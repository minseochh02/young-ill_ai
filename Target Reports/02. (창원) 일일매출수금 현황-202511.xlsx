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rinterSettings/printerSettings1.bin" ContentType="application/vnd.openxmlformats-officedocument.spreadsheetml.printerSettings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rinterSettings/printerSettings2.bin" ContentType="application/vnd.openxmlformats-officedocument.spreadsheetml.printerSettings"/>
  <Override PartName="/xl/comments7.xml" ContentType="application/vnd.openxmlformats-officedocument.spreadsheetml.comments+xml"/>
  <Override PartName="/xl/printerSettings/printerSettings3.bin" ContentType="application/vnd.openxmlformats-officedocument.spreadsheetml.printerSettings"/>
  <Override PartName="/xl/comments8.xml" ContentType="application/vnd.openxmlformats-officedocument.spreadsheetml.comments+xml"/>
  <Override PartName="/xl/printerSettings/printerSettings4.bin" ContentType="application/vnd.openxmlformats-officedocument.spreadsheetml.printerSettings"/>
  <Override PartName="/xl/comments9.xml" ContentType="application/vnd.openxmlformats-officedocument.spreadsheetml.comments+xml"/>
  <Override PartName="/xl/printerSettings/printerSettings5.bin" ContentType="application/vnd.openxmlformats-officedocument.spreadsheetml.printerSettings"/>
  <Override PartName="/xl/comments10.xml" ContentType="application/vnd.openxmlformats-officedocument.spreadsheetml.comments+xml"/>
  <Override PartName="/xl/printerSettings/printerSettings6.bin" ContentType="application/vnd.openxmlformats-officedocument.spreadsheetml.printerSettings"/>
  <Override PartName="/xl/comments11.xml" ContentType="application/vnd.openxmlformats-officedocument.spreadsheetml.comments+xml"/>
  <Override PartName="/xl/printerSettings/printerSettings7.bin" ContentType="application/vnd.openxmlformats-officedocument.spreadsheetml.printerSettings"/>
  <Override PartName="/xl/comments12.xml" ContentType="application/vnd.openxmlformats-officedocument.spreadsheetml.comments+xml"/>
  <Override PartName="/xl/printerSettings/printerSettings8.bin" ContentType="application/vnd.openxmlformats-officedocument.spreadsheetml.printerSettings"/>
  <Override PartName="/xl/comments13.xml" ContentType="application/vnd.openxmlformats-officedocument.spreadsheetml.comments+xml"/>
  <Override PartName="/xl/printerSettings/printerSettings9.bin" ContentType="application/vnd.openxmlformats-officedocument.spreadsheetml.printerSettings"/>
  <Override PartName="/xl/comments14.xml" ContentType="application/vnd.openxmlformats-officedocument.spreadsheetml.comments+xml"/>
  <Override PartName="/xl/printerSettings/printerSettings10.bin" ContentType="application/vnd.openxmlformats-officedocument.spreadsheetml.printerSettings"/>
  <Override PartName="/xl/comments15.xml" ContentType="application/vnd.openxmlformats-officedocument.spreadsheetml.comments+xml"/>
  <Override PartName="/xl/printerSettings/printerSettings11.bin" ContentType="application/vnd.openxmlformats-officedocument.spreadsheetml.printerSettings"/>
  <Override PartName="/xl/comments16.xml" ContentType="application/vnd.openxmlformats-officedocument.spreadsheetml.comments+xml"/>
  <Override PartName="/xl/printerSettings/printerSettings12.bin" ContentType="application/vnd.openxmlformats-officedocument.spreadsheetml.printerSettings"/>
  <Override PartName="/xl/comments17.xml" ContentType="application/vnd.openxmlformats-officedocument.spreadsheetml.comments+xml"/>
  <Override PartName="/xl/printerSettings/printerSettings13.bin" ContentType="application/vnd.openxmlformats-officedocument.spreadsheetml.printerSettings"/>
  <Override PartName="/xl/comments18.xml" ContentType="application/vnd.openxmlformats-officedocument.spreadsheetml.comments+xml"/>
  <Override PartName="/xl/printerSettings/printerSettings14.bin" ContentType="application/vnd.openxmlformats-officedocument.spreadsheetml.printerSettings"/>
  <Override PartName="/xl/comments19.xml" ContentType="application/vnd.openxmlformats-officedocument.spreadsheetml.comments+xml"/>
  <Override PartName="/xl/printerSettings/printerSettings15.bin" ContentType="application/vnd.openxmlformats-officedocument.spreadsheetml.printerSettings"/>
  <Override PartName="/xl/comments20.xml" ContentType="application/vnd.openxmlformats-officedocument.spreadsheetml.comments+xml"/>
  <Override PartName="/xl/printerSettings/printerSettings16.bin" ContentType="application/vnd.openxmlformats-officedocument.spreadsheetml.printerSettings"/>
  <Override PartName="/xl/comments21.xml" ContentType="application/vnd.openxmlformats-officedocument.spreadsheetml.comments+xml"/>
  <Override PartName="/xl/printerSettings/printerSettings17.bin" ContentType="application/vnd.openxmlformats-officedocument.spreadsheetml.printerSettings"/>
  <Override PartName="/xl/comments22.xml" ContentType="application/vnd.openxmlformats-officedocument.spreadsheetml.comments+xml"/>
  <Override PartName="/xl/printerSettings/printerSettings18.bin" ContentType="application/vnd.openxmlformats-officedocument.spreadsheetml.printerSettings"/>
  <Override PartName="/xl/comments2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N\Documents\1영일오엔씨\계약서\MCP서버 구축\"/>
    </mc:Choice>
  </mc:AlternateContent>
  <xr:revisionPtr revIDLastSave="0" documentId="8_{62CA6206-D927-495F-BFA4-22BAC3A30CE4}" xr6:coauthVersionLast="47" xr6:coauthVersionMax="47" xr10:uidLastSave="{00000000-0000-0000-0000-000000000000}"/>
  <bookViews>
    <workbookView xWindow="28680" yWindow="-180" windowWidth="29040" windowHeight="15720" tabRatio="832" activeTab="3" xr2:uid="{00000000-000D-0000-FFFF-FFFF00000000}"/>
  </bookViews>
  <sheets>
    <sheet name="1101" sheetId="146" r:id="rId1"/>
    <sheet name="1103" sheetId="147" r:id="rId2"/>
    <sheet name="1104" sheetId="151" r:id="rId3"/>
    <sheet name="1105" sheetId="68" r:id="rId4"/>
    <sheet name="1106" sheetId="143" r:id="rId5"/>
    <sheet name="1107" sheetId="149" r:id="rId6"/>
    <sheet name="1110" sheetId="113" r:id="rId7"/>
    <sheet name="1111" sheetId="112" r:id="rId8"/>
    <sheet name="1112" sheetId="114" r:id="rId9"/>
    <sheet name="1113" sheetId="115" r:id="rId10"/>
    <sheet name="1114" sheetId="116" r:id="rId11"/>
    <sheet name="1117" sheetId="118" r:id="rId12"/>
    <sheet name="1024" sheetId="119" state="hidden" r:id="rId13"/>
    <sheet name="1027" sheetId="120" state="hidden" r:id="rId14"/>
    <sheet name="1028" sheetId="130" state="hidden" r:id="rId15"/>
    <sheet name="1029" sheetId="131" state="hidden" r:id="rId16"/>
    <sheet name="0923" sheetId="132" state="hidden" r:id="rId17"/>
    <sheet name="0924" sheetId="133" state="hidden" r:id="rId18"/>
    <sheet name="0925" sheetId="134" state="hidden" r:id="rId19"/>
    <sheet name="0926" sheetId="135" state="hidden" r:id="rId20"/>
    <sheet name="0930" sheetId="136" state="hidden" r:id="rId21"/>
    <sheet name="0730" sheetId="137" state="hidden" r:id="rId22"/>
    <sheet name="0731" sheetId="152" state="hidden" r:id="rId23"/>
  </sheets>
  <definedNames>
    <definedName name="_xlnm.Print_Area" localSheetId="21">'0730'!$A$1:$L$43</definedName>
    <definedName name="_xlnm.Print_Area" localSheetId="22">'0731'!$A$1:$L$43</definedName>
    <definedName name="_xlnm.Print_Area" localSheetId="16">'0923'!$A$1:$L$43</definedName>
    <definedName name="_xlnm.Print_Area" localSheetId="17">'0924'!$A$1:$L$43</definedName>
    <definedName name="_xlnm.Print_Area" localSheetId="18">'0925'!$A$1:$L$43</definedName>
    <definedName name="_xlnm.Print_Area" localSheetId="19">'0926'!$A$1:$L$43</definedName>
    <definedName name="_xlnm.Print_Area" localSheetId="20">'0930'!$A$1:$L$43</definedName>
    <definedName name="_xlnm.Print_Area" localSheetId="12">'1024'!$A$1:$L$43</definedName>
    <definedName name="_xlnm.Print_Area" localSheetId="13">'1027'!$A$1:$L$43</definedName>
    <definedName name="_xlnm.Print_Area" localSheetId="14">'1028'!$A$1:$L$43</definedName>
    <definedName name="_xlnm.Print_Area" localSheetId="15">'1029'!$A$1:$L$43</definedName>
    <definedName name="_xlnm.Print_Area" localSheetId="3">'1105'!$A$1:$L$43</definedName>
    <definedName name="_xlnm.Print_Area" localSheetId="6">'1110'!$A$1:$L$43</definedName>
    <definedName name="_xlnm.Print_Area" localSheetId="7">'1111'!$A$1:$L$43</definedName>
    <definedName name="_xlnm.Print_Area" localSheetId="8">'1112'!$A$1:$L$43</definedName>
    <definedName name="_xlnm.Print_Area" localSheetId="9">'1113'!$A$1:$L$43</definedName>
    <definedName name="_xlnm.Print_Area" localSheetId="10">'1114'!$A$1:$L$43</definedName>
    <definedName name="_xlnm.Print_Area" localSheetId="11">'1117'!$A$1:$L$43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14" l="1"/>
  <c r="E20" i="146"/>
  <c r="E21" i="146"/>
  <c r="E22" i="146"/>
  <c r="E23" i="146"/>
  <c r="K8" i="146"/>
  <c r="G8" i="146" s="1"/>
  <c r="E9" i="146"/>
  <c r="J24" i="120"/>
  <c r="F22" i="143"/>
  <c r="F23" i="143"/>
  <c r="J9" i="134"/>
  <c r="J24" i="119" l="1"/>
  <c r="E19" i="113"/>
  <c r="I24" i="115"/>
  <c r="J9" i="112" l="1"/>
  <c r="E9" i="151" l="1"/>
  <c r="E9" i="114"/>
  <c r="I24" i="143"/>
  <c r="J9" i="151"/>
  <c r="J9" i="146"/>
  <c r="E9" i="149" l="1"/>
  <c r="E9" i="68" l="1"/>
  <c r="E9" i="147"/>
  <c r="E9" i="134" l="1"/>
  <c r="E9" i="116" l="1"/>
  <c r="J20" i="137" l="1"/>
  <c r="I24" i="113" l="1"/>
  <c r="E9" i="143" l="1"/>
  <c r="J28" i="152"/>
  <c r="I24" i="152"/>
  <c r="F23" i="152"/>
  <c r="E23" i="152"/>
  <c r="F22" i="152"/>
  <c r="E22" i="152"/>
  <c r="F21" i="152"/>
  <c r="E21" i="152"/>
  <c r="F20" i="152"/>
  <c r="E20" i="152"/>
  <c r="F19" i="152"/>
  <c r="E19" i="152"/>
  <c r="E13" i="152"/>
  <c r="J9" i="152"/>
  <c r="E9" i="152"/>
  <c r="I24" i="147"/>
  <c r="E24" i="152" l="1"/>
  <c r="J24" i="152"/>
  <c r="F24" i="152"/>
  <c r="F4" i="146"/>
  <c r="E9" i="113"/>
  <c r="J24" i="133" l="1"/>
  <c r="I24" i="118"/>
  <c r="I24" i="119" l="1"/>
  <c r="J9" i="136" l="1"/>
  <c r="E23" i="119"/>
  <c r="J9" i="118"/>
  <c r="E9" i="135" l="1"/>
  <c r="E19" i="115"/>
  <c r="J24" i="68" l="1"/>
  <c r="I24" i="146"/>
  <c r="E9" i="133"/>
  <c r="J24" i="146" l="1"/>
  <c r="J28" i="151"/>
  <c r="I24" i="151"/>
  <c r="F23" i="151"/>
  <c r="E23" i="151"/>
  <c r="F22" i="151"/>
  <c r="E22" i="151"/>
  <c r="F21" i="151"/>
  <c r="E21" i="151"/>
  <c r="F20" i="151"/>
  <c r="E20" i="151"/>
  <c r="F19" i="151"/>
  <c r="E19" i="151"/>
  <c r="E13" i="151"/>
  <c r="E9" i="112"/>
  <c r="E24" i="151" l="1"/>
  <c r="F24" i="151"/>
  <c r="J24" i="151"/>
  <c r="E20" i="114"/>
  <c r="E21" i="114"/>
  <c r="E22" i="114"/>
  <c r="E23" i="114"/>
  <c r="E19" i="114"/>
  <c r="F21" i="112"/>
  <c r="F22" i="149" l="1"/>
  <c r="J28" i="149"/>
  <c r="I24" i="149"/>
  <c r="F23" i="149"/>
  <c r="E23" i="149"/>
  <c r="E22" i="149"/>
  <c r="F21" i="149"/>
  <c r="E21" i="149"/>
  <c r="F20" i="149"/>
  <c r="E20" i="149"/>
  <c r="F19" i="149"/>
  <c r="E19" i="149"/>
  <c r="E13" i="149"/>
  <c r="J9" i="149"/>
  <c r="D24" i="146"/>
  <c r="J24" i="134"/>
  <c r="E22" i="118"/>
  <c r="E23" i="118"/>
  <c r="E24" i="149" l="1"/>
  <c r="F24" i="149"/>
  <c r="J24" i="149"/>
  <c r="F22" i="114"/>
  <c r="F20" i="112"/>
  <c r="J28" i="147"/>
  <c r="F23" i="147"/>
  <c r="E23" i="147"/>
  <c r="E22" i="147"/>
  <c r="F21" i="147"/>
  <c r="E21" i="147"/>
  <c r="E20" i="147"/>
  <c r="F19" i="147"/>
  <c r="E19" i="147"/>
  <c r="E13" i="147"/>
  <c r="J9" i="147"/>
  <c r="E9" i="136"/>
  <c r="F22" i="147" l="1"/>
  <c r="J24" i="147"/>
  <c r="F20" i="147"/>
  <c r="E24" i="147"/>
  <c r="J28" i="134"/>
  <c r="J28" i="146"/>
  <c r="F23" i="146"/>
  <c r="F22" i="146"/>
  <c r="F21" i="146"/>
  <c r="F19" i="146"/>
  <c r="E19" i="146"/>
  <c r="F17" i="146"/>
  <c r="D17" i="147" s="1"/>
  <c r="F17" i="147" s="1"/>
  <c r="D17" i="151" s="1"/>
  <c r="F17" i="151" s="1"/>
  <c r="D17" i="68" s="1"/>
  <c r="F17" i="68" s="1"/>
  <c r="F16" i="146"/>
  <c r="F15" i="146"/>
  <c r="F14" i="146"/>
  <c r="E13" i="146"/>
  <c r="D13" i="146"/>
  <c r="F12" i="146"/>
  <c r="D12" i="147" s="1"/>
  <c r="F12" i="147" s="1"/>
  <c r="D12" i="151" s="1"/>
  <c r="F12" i="151" s="1"/>
  <c r="D12" i="68" s="1"/>
  <c r="F11" i="146"/>
  <c r="D11" i="147" s="1"/>
  <c r="F11" i="147" s="1"/>
  <c r="D11" i="151" s="1"/>
  <c r="F11" i="151" s="1"/>
  <c r="D11" i="68" s="1"/>
  <c r="F10" i="146"/>
  <c r="I9" i="146"/>
  <c r="D9" i="146"/>
  <c r="F8" i="146"/>
  <c r="K7" i="146"/>
  <c r="G7" i="146" s="1"/>
  <c r="F7" i="146"/>
  <c r="K6" i="146"/>
  <c r="F6" i="146"/>
  <c r="K5" i="146"/>
  <c r="F5" i="146"/>
  <c r="K4" i="146"/>
  <c r="F24" i="147" l="1"/>
  <c r="D16" i="147"/>
  <c r="F16" i="147" s="1"/>
  <c r="D15" i="147"/>
  <c r="D10" i="147"/>
  <c r="D6" i="147"/>
  <c r="F6" i="147" s="1"/>
  <c r="D6" i="151" s="1"/>
  <c r="F6" i="151" s="1"/>
  <c r="D6" i="68" s="1"/>
  <c r="D8" i="147"/>
  <c r="F8" i="147" s="1"/>
  <c r="D8" i="151" s="1"/>
  <c r="F8" i="151" s="1"/>
  <c r="D8" i="68" s="1"/>
  <c r="D5" i="147"/>
  <c r="F5" i="147" s="1"/>
  <c r="D5" i="151" s="1"/>
  <c r="F5" i="151" s="1"/>
  <c r="D5" i="68" s="1"/>
  <c r="I8" i="147"/>
  <c r="K8" i="147" s="1"/>
  <c r="G6" i="146"/>
  <c r="I6" i="147"/>
  <c r="K6" i="147" s="1"/>
  <c r="I6" i="151" s="1"/>
  <c r="K6" i="151" s="1"/>
  <c r="G14" i="146"/>
  <c r="D14" i="147"/>
  <c r="F14" i="147" s="1"/>
  <c r="D14" i="151" s="1"/>
  <c r="F14" i="151" s="1"/>
  <c r="I7" i="147"/>
  <c r="K7" i="147" s="1"/>
  <c r="I7" i="151" s="1"/>
  <c r="K7" i="151" s="1"/>
  <c r="G5" i="146"/>
  <c r="I5" i="147"/>
  <c r="G4" i="146"/>
  <c r="I4" i="147"/>
  <c r="D4" i="147"/>
  <c r="F4" i="147" s="1"/>
  <c r="D4" i="151" s="1"/>
  <c r="F4" i="151" s="1"/>
  <c r="D4" i="68" s="1"/>
  <c r="D7" i="147"/>
  <c r="G21" i="146"/>
  <c r="F13" i="146"/>
  <c r="F20" i="146"/>
  <c r="F24" i="146" s="1"/>
  <c r="E24" i="146"/>
  <c r="G23" i="146"/>
  <c r="F9" i="146"/>
  <c r="M4" i="146"/>
  <c r="K9" i="146"/>
  <c r="G22" i="146"/>
  <c r="G19" i="146"/>
  <c r="K5" i="147" l="1"/>
  <c r="I5" i="151" s="1"/>
  <c r="K5" i="151" s="1"/>
  <c r="F10" i="147"/>
  <c r="D10" i="151" s="1"/>
  <c r="F10" i="151" s="1"/>
  <c r="F15" i="147"/>
  <c r="D15" i="151" s="1"/>
  <c r="F15" i="151" s="1"/>
  <c r="D15" i="68" s="1"/>
  <c r="D13" i="147"/>
  <c r="G14" i="151"/>
  <c r="D14" i="68"/>
  <c r="G6" i="151"/>
  <c r="I6" i="68"/>
  <c r="G7" i="151"/>
  <c r="I7" i="68"/>
  <c r="G8" i="147"/>
  <c r="I8" i="151"/>
  <c r="K8" i="151" s="1"/>
  <c r="D16" i="151"/>
  <c r="F16" i="151" s="1"/>
  <c r="D16" i="68" s="1"/>
  <c r="F16" i="68" s="1"/>
  <c r="D22" i="147"/>
  <c r="G22" i="147" s="1"/>
  <c r="D23" i="147"/>
  <c r="G6" i="147"/>
  <c r="D21" i="147"/>
  <c r="G14" i="147"/>
  <c r="F7" i="147"/>
  <c r="D7" i="151" s="1"/>
  <c r="F7" i="151" s="1"/>
  <c r="D7" i="68" s="1"/>
  <c r="G7" i="147"/>
  <c r="G9" i="146"/>
  <c r="K4" i="147"/>
  <c r="I4" i="151" s="1"/>
  <c r="I9" i="147"/>
  <c r="G20" i="146"/>
  <c r="D19" i="147"/>
  <c r="G19" i="147" s="1"/>
  <c r="D19" i="151" s="1"/>
  <c r="G19" i="151" s="1"/>
  <c r="D19" i="68" s="1"/>
  <c r="D9" i="147"/>
  <c r="J22" i="137"/>
  <c r="E23" i="116"/>
  <c r="G21" i="147" l="1"/>
  <c r="D21" i="151" s="1"/>
  <c r="G21" i="151" s="1"/>
  <c r="D21" i="68" s="1"/>
  <c r="G23" i="147"/>
  <c r="D23" i="151" s="1"/>
  <c r="G23" i="151" s="1"/>
  <c r="D23" i="68" s="1"/>
  <c r="G5" i="147"/>
  <c r="G5" i="151"/>
  <c r="I5" i="68"/>
  <c r="F13" i="147"/>
  <c r="D13" i="151"/>
  <c r="D9" i="151"/>
  <c r="G8" i="151"/>
  <c r="I8" i="68"/>
  <c r="F9" i="151"/>
  <c r="K4" i="151"/>
  <c r="I9" i="151"/>
  <c r="G24" i="146"/>
  <c r="D20" i="147"/>
  <c r="F9" i="147"/>
  <c r="K9" i="147"/>
  <c r="G4" i="147"/>
  <c r="M4" i="147"/>
  <c r="D22" i="151"/>
  <c r="G22" i="151" s="1"/>
  <c r="D22" i="68" s="1"/>
  <c r="F20" i="143"/>
  <c r="J28" i="143"/>
  <c r="E23" i="143"/>
  <c r="E22" i="143"/>
  <c r="J24" i="143"/>
  <c r="E21" i="143"/>
  <c r="E20" i="143"/>
  <c r="F19" i="143"/>
  <c r="E19" i="143"/>
  <c r="E13" i="143"/>
  <c r="J9" i="143"/>
  <c r="E9" i="115"/>
  <c r="G20" i="147" l="1"/>
  <c r="D20" i="151" s="1"/>
  <c r="G9" i="147"/>
  <c r="D10" i="68"/>
  <c r="F10" i="68" s="1"/>
  <c r="F13" i="151"/>
  <c r="I4" i="68"/>
  <c r="M4" i="151"/>
  <c r="K9" i="151"/>
  <c r="G4" i="151"/>
  <c r="G9" i="151" s="1"/>
  <c r="D24" i="147"/>
  <c r="G24" i="147"/>
  <c r="E24" i="143"/>
  <c r="F21" i="143"/>
  <c r="F24" i="143" s="1"/>
  <c r="K5" i="68"/>
  <c r="I5" i="143" s="1"/>
  <c r="K5" i="143" s="1"/>
  <c r="I5" i="149" s="1"/>
  <c r="K5" i="149" s="1"/>
  <c r="K6" i="68"/>
  <c r="I6" i="143" s="1"/>
  <c r="K6" i="143" s="1"/>
  <c r="I6" i="149" s="1"/>
  <c r="K6" i="149" s="1"/>
  <c r="F8" i="68"/>
  <c r="D8" i="143" s="1"/>
  <c r="F8" i="143" s="1"/>
  <c r="D24" i="151" l="1"/>
  <c r="G20" i="151"/>
  <c r="G24" i="151" s="1"/>
  <c r="I6" i="113"/>
  <c r="G6" i="149"/>
  <c r="I5" i="113"/>
  <c r="K5" i="113" s="1"/>
  <c r="G5" i="149"/>
  <c r="D8" i="149"/>
  <c r="F8" i="149" s="1"/>
  <c r="D8" i="113" s="1"/>
  <c r="G5" i="143"/>
  <c r="G6" i="143"/>
  <c r="E23" i="113"/>
  <c r="F22" i="112"/>
  <c r="F23" i="112"/>
  <c r="J28" i="137"/>
  <c r="I24" i="137"/>
  <c r="F23" i="137"/>
  <c r="E23" i="137"/>
  <c r="F22" i="137"/>
  <c r="E22" i="137"/>
  <c r="J21" i="137"/>
  <c r="F21" i="137" s="1"/>
  <c r="E21" i="137"/>
  <c r="F20" i="137"/>
  <c r="E20" i="137"/>
  <c r="F19" i="137"/>
  <c r="E19" i="137"/>
  <c r="E13" i="137"/>
  <c r="J9" i="137"/>
  <c r="E9" i="137"/>
  <c r="J28" i="136"/>
  <c r="I24" i="136"/>
  <c r="F23" i="136"/>
  <c r="E23" i="136"/>
  <c r="F22" i="136"/>
  <c r="E22" i="136"/>
  <c r="F21" i="136"/>
  <c r="E21" i="136"/>
  <c r="F20" i="136"/>
  <c r="E20" i="136"/>
  <c r="F19" i="136"/>
  <c r="E19" i="136"/>
  <c r="E13" i="136"/>
  <c r="J28" i="135"/>
  <c r="I24" i="135"/>
  <c r="F23" i="135"/>
  <c r="E23" i="135"/>
  <c r="F22" i="135"/>
  <c r="E22" i="135"/>
  <c r="F21" i="135"/>
  <c r="E21" i="135"/>
  <c r="F20" i="135"/>
  <c r="E20" i="135"/>
  <c r="F19" i="135"/>
  <c r="E19" i="135"/>
  <c r="E13" i="135"/>
  <c r="J9" i="135"/>
  <c r="I24" i="134"/>
  <c r="F23" i="134"/>
  <c r="E23" i="134"/>
  <c r="F22" i="134"/>
  <c r="E22" i="134"/>
  <c r="F21" i="134"/>
  <c r="E21" i="134"/>
  <c r="F20" i="134"/>
  <c r="E20" i="134"/>
  <c r="F19" i="134"/>
  <c r="E19" i="134"/>
  <c r="E13" i="134"/>
  <c r="J28" i="133"/>
  <c r="I24" i="133"/>
  <c r="F23" i="133"/>
  <c r="E23" i="133"/>
  <c r="F22" i="133"/>
  <c r="E22" i="133"/>
  <c r="F21" i="133"/>
  <c r="E21" i="133"/>
  <c r="F20" i="133"/>
  <c r="E20" i="133"/>
  <c r="F19" i="133"/>
  <c r="E19" i="133"/>
  <c r="E13" i="133"/>
  <c r="J9" i="133"/>
  <c r="J28" i="132"/>
  <c r="I24" i="132"/>
  <c r="F23" i="132"/>
  <c r="E23" i="132"/>
  <c r="F22" i="132"/>
  <c r="E22" i="132"/>
  <c r="F21" i="132"/>
  <c r="E21" i="132"/>
  <c r="F20" i="132"/>
  <c r="E20" i="132"/>
  <c r="F19" i="132"/>
  <c r="E19" i="132"/>
  <c r="E13" i="132"/>
  <c r="J9" i="132"/>
  <c r="E9" i="132"/>
  <c r="J28" i="131"/>
  <c r="I24" i="131"/>
  <c r="F23" i="131"/>
  <c r="E23" i="131"/>
  <c r="F22" i="131"/>
  <c r="E22" i="131"/>
  <c r="F21" i="131"/>
  <c r="E21" i="131"/>
  <c r="E20" i="131"/>
  <c r="F19" i="131"/>
  <c r="E19" i="131"/>
  <c r="E13" i="131"/>
  <c r="J9" i="131"/>
  <c r="E9" i="131"/>
  <c r="J28" i="130"/>
  <c r="I24" i="130"/>
  <c r="F23" i="130"/>
  <c r="E23" i="130"/>
  <c r="F22" i="130"/>
  <c r="E22" i="130"/>
  <c r="F21" i="130"/>
  <c r="E21" i="130"/>
  <c r="F20" i="130"/>
  <c r="E20" i="130"/>
  <c r="F19" i="130"/>
  <c r="E19" i="130"/>
  <c r="E13" i="130"/>
  <c r="J9" i="130"/>
  <c r="E9" i="130"/>
  <c r="D20" i="68" l="1"/>
  <c r="D24" i="68" s="1"/>
  <c r="E24" i="137"/>
  <c r="F24" i="137"/>
  <c r="J24" i="137"/>
  <c r="F24" i="136"/>
  <c r="E24" i="136"/>
  <c r="J24" i="136"/>
  <c r="E24" i="135"/>
  <c r="F24" i="135"/>
  <c r="J24" i="135"/>
  <c r="E24" i="134"/>
  <c r="F24" i="134"/>
  <c r="E24" i="133"/>
  <c r="E24" i="132"/>
  <c r="F24" i="133"/>
  <c r="J24" i="132"/>
  <c r="F24" i="132"/>
  <c r="E24" i="131"/>
  <c r="J24" i="131"/>
  <c r="F20" i="131"/>
  <c r="E24" i="130"/>
  <c r="F24" i="130"/>
  <c r="J24" i="130"/>
  <c r="E23" i="115"/>
  <c r="F24" i="131" l="1"/>
  <c r="J28" i="120"/>
  <c r="I24" i="120"/>
  <c r="F23" i="120"/>
  <c r="E23" i="120"/>
  <c r="F22" i="120"/>
  <c r="E22" i="120"/>
  <c r="F21" i="120"/>
  <c r="E21" i="120"/>
  <c r="F20" i="120"/>
  <c r="E20" i="120"/>
  <c r="F19" i="120"/>
  <c r="E19" i="120"/>
  <c r="E13" i="120"/>
  <c r="J9" i="120"/>
  <c r="E9" i="120"/>
  <c r="J28" i="119"/>
  <c r="F23" i="119"/>
  <c r="F22" i="119"/>
  <c r="E22" i="119"/>
  <c r="F21" i="119"/>
  <c r="E21" i="119"/>
  <c r="E20" i="119"/>
  <c r="F19" i="119"/>
  <c r="E19" i="119"/>
  <c r="E13" i="119"/>
  <c r="J9" i="119"/>
  <c r="E9" i="119"/>
  <c r="J28" i="118"/>
  <c r="F23" i="118"/>
  <c r="F22" i="118"/>
  <c r="F21" i="118"/>
  <c r="E21" i="118"/>
  <c r="F20" i="118"/>
  <c r="E20" i="118"/>
  <c r="F19" i="118"/>
  <c r="E19" i="118"/>
  <c r="E13" i="118"/>
  <c r="E9" i="118"/>
  <c r="E24" i="118" l="1"/>
  <c r="E24" i="120"/>
  <c r="F24" i="120"/>
  <c r="E24" i="119"/>
  <c r="F20" i="119"/>
  <c r="F24" i="119" s="1"/>
  <c r="J24" i="118"/>
  <c r="F24" i="118"/>
  <c r="J28" i="116"/>
  <c r="I24" i="116"/>
  <c r="F23" i="116"/>
  <c r="F22" i="116"/>
  <c r="E22" i="116"/>
  <c r="J24" i="116"/>
  <c r="E21" i="116"/>
  <c r="F20" i="116"/>
  <c r="E20" i="116"/>
  <c r="F19" i="116"/>
  <c r="E19" i="116"/>
  <c r="E13" i="116"/>
  <c r="J9" i="116"/>
  <c r="F21" i="116" l="1"/>
  <c r="E24" i="116"/>
  <c r="F24" i="116"/>
  <c r="J28" i="115"/>
  <c r="F23" i="115"/>
  <c r="F22" i="115"/>
  <c r="E22" i="115"/>
  <c r="F21" i="115"/>
  <c r="E21" i="115"/>
  <c r="F20" i="115"/>
  <c r="E20" i="115"/>
  <c r="F19" i="115"/>
  <c r="E13" i="115"/>
  <c r="J9" i="115"/>
  <c r="J28" i="114"/>
  <c r="I24" i="114"/>
  <c r="F23" i="114"/>
  <c r="F21" i="114"/>
  <c r="F19" i="114"/>
  <c r="E13" i="114"/>
  <c r="J9" i="114"/>
  <c r="J28" i="113"/>
  <c r="F23" i="113"/>
  <c r="F22" i="113"/>
  <c r="E22" i="113"/>
  <c r="F21" i="113"/>
  <c r="E21" i="113"/>
  <c r="F20" i="113"/>
  <c r="E20" i="113"/>
  <c r="F19" i="113"/>
  <c r="J9" i="113"/>
  <c r="J28" i="112"/>
  <c r="I24" i="112"/>
  <c r="E23" i="112"/>
  <c r="E22" i="112"/>
  <c r="E21" i="112"/>
  <c r="E20" i="112"/>
  <c r="F19" i="112"/>
  <c r="E19" i="112"/>
  <c r="E24" i="113" l="1"/>
  <c r="E24" i="112"/>
  <c r="F24" i="115"/>
  <c r="J24" i="115"/>
  <c r="E24" i="115"/>
  <c r="F20" i="114"/>
  <c r="F24" i="114" s="1"/>
  <c r="E24" i="114"/>
  <c r="F24" i="113"/>
  <c r="J24" i="113"/>
  <c r="F24" i="112"/>
  <c r="J24" i="112"/>
  <c r="J28" i="68"/>
  <c r="I24" i="68"/>
  <c r="F23" i="68"/>
  <c r="E23" i="68"/>
  <c r="F22" i="68"/>
  <c r="E22" i="68"/>
  <c r="F21" i="68"/>
  <c r="E21" i="68"/>
  <c r="F20" i="68"/>
  <c r="E20" i="68"/>
  <c r="E19" i="68"/>
  <c r="F15" i="68"/>
  <c r="F14" i="68"/>
  <c r="E13" i="68"/>
  <c r="D13" i="68"/>
  <c r="F12" i="68"/>
  <c r="D12" i="143" s="1"/>
  <c r="F12" i="143" s="1"/>
  <c r="D12" i="149" s="1"/>
  <c r="F12" i="149" s="1"/>
  <c r="D12" i="113" s="1"/>
  <c r="F12" i="113" s="1"/>
  <c r="F11" i="68"/>
  <c r="D11" i="143" s="1"/>
  <c r="F11" i="143" s="1"/>
  <c r="J9" i="68"/>
  <c r="I9" i="68"/>
  <c r="K8" i="68"/>
  <c r="K7" i="68"/>
  <c r="F7" i="68"/>
  <c r="F6" i="68"/>
  <c r="F5" i="68"/>
  <c r="D5" i="143" s="1"/>
  <c r="F5" i="143" s="1"/>
  <c r="K4" i="68"/>
  <c r="D11" i="149" l="1"/>
  <c r="D5" i="149"/>
  <c r="F5" i="149" s="1"/>
  <c r="D5" i="113" s="1"/>
  <c r="D6" i="143"/>
  <c r="F6" i="143" s="1"/>
  <c r="D15" i="143"/>
  <c r="F15" i="143" s="1"/>
  <c r="D17" i="143"/>
  <c r="F17" i="143" s="1"/>
  <c r="D14" i="143"/>
  <c r="F14" i="143" s="1"/>
  <c r="D14" i="149" s="1"/>
  <c r="F14" i="149" s="1"/>
  <c r="D10" i="143"/>
  <c r="D16" i="143"/>
  <c r="F16" i="143" s="1"/>
  <c r="D7" i="143"/>
  <c r="I8" i="143"/>
  <c r="K8" i="143" s="1"/>
  <c r="I8" i="149" s="1"/>
  <c r="K8" i="149" s="1"/>
  <c r="I7" i="143"/>
  <c r="K7" i="143" s="1"/>
  <c r="I7" i="149" s="1"/>
  <c r="K7" i="149" s="1"/>
  <c r="I4" i="143"/>
  <c r="G5" i="68"/>
  <c r="K6" i="113"/>
  <c r="I6" i="112" s="1"/>
  <c r="K6" i="112" s="1"/>
  <c r="I6" i="114" s="1"/>
  <c r="F8" i="113"/>
  <c r="I5" i="112"/>
  <c r="K5" i="112" s="1"/>
  <c r="I5" i="114" s="1"/>
  <c r="G14" i="68"/>
  <c r="G6" i="68"/>
  <c r="G7" i="68"/>
  <c r="G8" i="68"/>
  <c r="M4" i="68"/>
  <c r="G4" i="68"/>
  <c r="G20" i="68"/>
  <c r="G22" i="68"/>
  <c r="F13" i="68"/>
  <c r="G21" i="68"/>
  <c r="G23" i="68"/>
  <c r="K9" i="68"/>
  <c r="F19" i="68"/>
  <c r="F24" i="68" s="1"/>
  <c r="E24" i="68"/>
  <c r="G9" i="68" l="1"/>
  <c r="F11" i="149"/>
  <c r="D11" i="113" s="1"/>
  <c r="F11" i="113" s="1"/>
  <c r="D11" i="112" s="1"/>
  <c r="F11" i="112" s="1"/>
  <c r="D11" i="114" s="1"/>
  <c r="F11" i="114" s="1"/>
  <c r="D11" i="115" s="1"/>
  <c r="F11" i="115" s="1"/>
  <c r="D11" i="116" s="1"/>
  <c r="F10" i="143"/>
  <c r="D10" i="149" s="1"/>
  <c r="F10" i="149" s="1"/>
  <c r="D12" i="112"/>
  <c r="F12" i="112" s="1"/>
  <c r="D12" i="114" s="1"/>
  <c r="F12" i="114" s="1"/>
  <c r="D12" i="115" s="1"/>
  <c r="F12" i="115" s="1"/>
  <c r="D12" i="116" s="1"/>
  <c r="F12" i="116" s="1"/>
  <c r="D12" i="118" s="1"/>
  <c r="F12" i="118" s="1"/>
  <c r="D12" i="119" s="1"/>
  <c r="F12" i="119" s="1"/>
  <c r="D12" i="120" s="1"/>
  <c r="F12" i="120" s="1"/>
  <c r="D12" i="130" s="1"/>
  <c r="F12" i="130" s="1"/>
  <c r="D12" i="131" s="1"/>
  <c r="F12" i="131" s="1"/>
  <c r="D12" i="132" s="1"/>
  <c r="F12" i="132" s="1"/>
  <c r="D12" i="133" s="1"/>
  <c r="F12" i="133" s="1"/>
  <c r="D12" i="134" s="1"/>
  <c r="F12" i="134" s="1"/>
  <c r="D12" i="135" s="1"/>
  <c r="F12" i="135" s="1"/>
  <c r="D12" i="136" s="1"/>
  <c r="F12" i="136" s="1"/>
  <c r="D12" i="137" s="1"/>
  <c r="F12" i="137" s="1"/>
  <c r="D12" i="152" s="1"/>
  <c r="F12" i="152" s="1"/>
  <c r="D17" i="149"/>
  <c r="F17" i="149" s="1"/>
  <c r="D15" i="149"/>
  <c r="G14" i="149"/>
  <c r="D14" i="113"/>
  <c r="I8" i="113"/>
  <c r="G8" i="149"/>
  <c r="I7" i="113"/>
  <c r="G7" i="149"/>
  <c r="D8" i="112"/>
  <c r="F8" i="112" s="1"/>
  <c r="D8" i="114" s="1"/>
  <c r="F8" i="114" s="1"/>
  <c r="D8" i="115" s="1"/>
  <c r="F8" i="115" s="1"/>
  <c r="D8" i="116" s="1"/>
  <c r="G5" i="112"/>
  <c r="G6" i="112"/>
  <c r="F5" i="113"/>
  <c r="D6" i="149"/>
  <c r="F6" i="149" s="1"/>
  <c r="D6" i="113" s="1"/>
  <c r="F6" i="113" s="1"/>
  <c r="D16" i="149"/>
  <c r="F16" i="149" s="1"/>
  <c r="G14" i="143"/>
  <c r="G7" i="143"/>
  <c r="G8" i="143"/>
  <c r="D13" i="143"/>
  <c r="F7" i="143"/>
  <c r="D7" i="149" s="1"/>
  <c r="F7" i="149" s="1"/>
  <c r="D7" i="113" s="1"/>
  <c r="I9" i="143"/>
  <c r="K4" i="143"/>
  <c r="D20" i="143"/>
  <c r="G20" i="143" s="1"/>
  <c r="D23" i="143"/>
  <c r="G23" i="143" s="1"/>
  <c r="D22" i="143"/>
  <c r="G22" i="143" s="1"/>
  <c r="D21" i="143"/>
  <c r="G6" i="113"/>
  <c r="K6" i="114"/>
  <c r="G5" i="113"/>
  <c r="K5" i="114"/>
  <c r="G19" i="68"/>
  <c r="F15" i="149" l="1"/>
  <c r="D15" i="113" s="1"/>
  <c r="F15" i="113" s="1"/>
  <c r="D15" i="112" s="1"/>
  <c r="D17" i="113"/>
  <c r="F17" i="113" s="1"/>
  <c r="D17" i="112" s="1"/>
  <c r="F17" i="112" s="1"/>
  <c r="D17" i="114" s="1"/>
  <c r="D16" i="113"/>
  <c r="F16" i="113" s="1"/>
  <c r="D16" i="112" s="1"/>
  <c r="F16" i="112" s="1"/>
  <c r="D16" i="114" s="1"/>
  <c r="F13" i="149"/>
  <c r="D13" i="149"/>
  <c r="F11" i="116"/>
  <c r="D11" i="118" s="1"/>
  <c r="D23" i="149"/>
  <c r="G23" i="149" s="1"/>
  <c r="D23" i="113" s="1"/>
  <c r="G23" i="113" s="1"/>
  <c r="D23" i="112" s="1"/>
  <c r="G23" i="112" s="1"/>
  <c r="D23" i="114" s="1"/>
  <c r="D10" i="113"/>
  <c r="D22" i="149"/>
  <c r="G22" i="149" s="1"/>
  <c r="D22" i="113" s="1"/>
  <c r="G22" i="113" s="1"/>
  <c r="D22" i="112" s="1"/>
  <c r="G22" i="112" s="1"/>
  <c r="D22" i="114" s="1"/>
  <c r="G22" i="114" s="1"/>
  <c r="D22" i="115" s="1"/>
  <c r="G22" i="115" s="1"/>
  <c r="D22" i="116" s="1"/>
  <c r="G22" i="116" s="1"/>
  <c r="D22" i="118" s="1"/>
  <c r="G22" i="118" s="1"/>
  <c r="D22" i="119" s="1"/>
  <c r="G22" i="119" s="1"/>
  <c r="D22" i="120" s="1"/>
  <c r="G22" i="120" s="1"/>
  <c r="D22" i="130" s="1"/>
  <c r="G22" i="130" s="1"/>
  <c r="D6" i="112"/>
  <c r="F6" i="112" s="1"/>
  <c r="D6" i="114" s="1"/>
  <c r="F6" i="114" s="1"/>
  <c r="D6" i="115" s="1"/>
  <c r="F6" i="115" s="1"/>
  <c r="D6" i="116" s="1"/>
  <c r="F6" i="116" s="1"/>
  <c r="D6" i="118" s="1"/>
  <c r="F6" i="118" s="1"/>
  <c r="D6" i="119" s="1"/>
  <c r="F6" i="119" s="1"/>
  <c r="D6" i="120" s="1"/>
  <c r="F6" i="120" s="1"/>
  <c r="D6" i="130" s="1"/>
  <c r="F6" i="130" s="1"/>
  <c r="D6" i="131" s="1"/>
  <c r="F6" i="131" s="1"/>
  <c r="D6" i="132" s="1"/>
  <c r="F6" i="132" s="1"/>
  <c r="D6" i="133" s="1"/>
  <c r="F6" i="133" s="1"/>
  <c r="D6" i="134" s="1"/>
  <c r="F6" i="134" s="1"/>
  <c r="D6" i="135" s="1"/>
  <c r="F6" i="135" s="1"/>
  <c r="D6" i="136" s="1"/>
  <c r="F6" i="136" s="1"/>
  <c r="D6" i="137" s="1"/>
  <c r="F6" i="137" s="1"/>
  <c r="D6" i="152" s="1"/>
  <c r="F6" i="152" s="1"/>
  <c r="D5" i="112"/>
  <c r="F5" i="112" s="1"/>
  <c r="D5" i="114" s="1"/>
  <c r="F5" i="114" s="1"/>
  <c r="D5" i="115" s="1"/>
  <c r="F5" i="115" s="1"/>
  <c r="D5" i="116" s="1"/>
  <c r="F5" i="116" s="1"/>
  <c r="D5" i="118" s="1"/>
  <c r="F5" i="118" s="1"/>
  <c r="D5" i="119" s="1"/>
  <c r="F5" i="119" s="1"/>
  <c r="D5" i="120" s="1"/>
  <c r="F5" i="120" s="1"/>
  <c r="D5" i="130" s="1"/>
  <c r="F5" i="130" s="1"/>
  <c r="D5" i="131" s="1"/>
  <c r="F5" i="131" s="1"/>
  <c r="D5" i="132" s="1"/>
  <c r="F5" i="132" s="1"/>
  <c r="D5" i="133" s="1"/>
  <c r="F5" i="133" s="1"/>
  <c r="D5" i="134" s="1"/>
  <c r="F5" i="134" s="1"/>
  <c r="D5" i="135" s="1"/>
  <c r="F5" i="135" s="1"/>
  <c r="D5" i="136" s="1"/>
  <c r="F5" i="136" s="1"/>
  <c r="D20" i="149"/>
  <c r="K7" i="113"/>
  <c r="K8" i="113"/>
  <c r="I4" i="149"/>
  <c r="F14" i="113"/>
  <c r="D14" i="112" s="1"/>
  <c r="F14" i="112" s="1"/>
  <c r="D14" i="114" s="1"/>
  <c r="F13" i="143"/>
  <c r="K9" i="143"/>
  <c r="M4" i="143"/>
  <c r="G4" i="143"/>
  <c r="G9" i="143" s="1"/>
  <c r="D19" i="143"/>
  <c r="G19" i="143" s="1"/>
  <c r="G21" i="143"/>
  <c r="G6" i="114"/>
  <c r="I6" i="115"/>
  <c r="K6" i="115" s="1"/>
  <c r="F8" i="116"/>
  <c r="G5" i="114"/>
  <c r="I5" i="115"/>
  <c r="K5" i="115" s="1"/>
  <c r="G24" i="68"/>
  <c r="F11" i="118" l="1"/>
  <c r="D11" i="119" s="1"/>
  <c r="F11" i="119" s="1"/>
  <c r="D11" i="120" s="1"/>
  <c r="F11" i="120" s="1"/>
  <c r="D11" i="130" s="1"/>
  <c r="D5" i="137"/>
  <c r="F5" i="137" s="1"/>
  <c r="D5" i="152" s="1"/>
  <c r="F5" i="152" s="1"/>
  <c r="D13" i="113"/>
  <c r="F10" i="113"/>
  <c r="F16" i="114"/>
  <c r="D16" i="115" s="1"/>
  <c r="F16" i="115" s="1"/>
  <c r="D16" i="116" s="1"/>
  <c r="F16" i="116" s="1"/>
  <c r="D16" i="118" s="1"/>
  <c r="F16" i="118" s="1"/>
  <c r="D16" i="119" s="1"/>
  <c r="F16" i="119" s="1"/>
  <c r="D16" i="120" s="1"/>
  <c r="F16" i="120" s="1"/>
  <c r="D16" i="130" s="1"/>
  <c r="F16" i="130" s="1"/>
  <c r="D16" i="131" s="1"/>
  <c r="F16" i="131" s="1"/>
  <c r="D16" i="132" s="1"/>
  <c r="F16" i="132" s="1"/>
  <c r="D16" i="133" s="1"/>
  <c r="F16" i="133" s="1"/>
  <c r="D16" i="134" s="1"/>
  <c r="F16" i="134" s="1"/>
  <c r="D16" i="135" s="1"/>
  <c r="F16" i="135" s="1"/>
  <c r="D16" i="136" s="1"/>
  <c r="F16" i="136" s="1"/>
  <c r="F17" i="114"/>
  <c r="D17" i="115" s="1"/>
  <c r="F17" i="115" s="1"/>
  <c r="D17" i="116" s="1"/>
  <c r="F17" i="116" s="1"/>
  <c r="D17" i="118" s="1"/>
  <c r="F17" i="118" s="1"/>
  <c r="D17" i="119" s="1"/>
  <c r="F17" i="119" s="1"/>
  <c r="D17" i="120" s="1"/>
  <c r="F17" i="120" s="1"/>
  <c r="D17" i="130" s="1"/>
  <c r="F15" i="112"/>
  <c r="D15" i="114" s="1"/>
  <c r="D21" i="149"/>
  <c r="G21" i="149" s="1"/>
  <c r="D21" i="113" s="1"/>
  <c r="G14" i="112"/>
  <c r="D19" i="149"/>
  <c r="G19" i="149" s="1"/>
  <c r="D19" i="113" s="1"/>
  <c r="G20" i="149"/>
  <c r="G8" i="113"/>
  <c r="I8" i="112"/>
  <c r="K8" i="112" s="1"/>
  <c r="G7" i="113"/>
  <c r="I7" i="112"/>
  <c r="G23" i="114"/>
  <c r="D23" i="115" s="1"/>
  <c r="G23" i="115" s="1"/>
  <c r="D23" i="116" s="1"/>
  <c r="K4" i="149"/>
  <c r="I4" i="113" s="1"/>
  <c r="I9" i="149"/>
  <c r="F14" i="114"/>
  <c r="G14" i="113"/>
  <c r="G24" i="143"/>
  <c r="D24" i="143"/>
  <c r="D22" i="131"/>
  <c r="G6" i="115"/>
  <c r="I6" i="116"/>
  <c r="K6" i="116" s="1"/>
  <c r="D8" i="118"/>
  <c r="G5" i="115"/>
  <c r="I5" i="116"/>
  <c r="F11" i="130" l="1"/>
  <c r="D11" i="131" s="1"/>
  <c r="F11" i="131" s="1"/>
  <c r="D11" i="132" s="1"/>
  <c r="F11" i="132" s="1"/>
  <c r="D11" i="133" s="1"/>
  <c r="F11" i="133" s="1"/>
  <c r="D11" i="134" s="1"/>
  <c r="F11" i="134" s="1"/>
  <c r="D11" i="135" s="1"/>
  <c r="F11" i="135" s="1"/>
  <c r="D11" i="136" s="1"/>
  <c r="F11" i="136" s="1"/>
  <c r="D16" i="137"/>
  <c r="F16" i="137" s="1"/>
  <c r="D16" i="152" s="1"/>
  <c r="F16" i="152" s="1"/>
  <c r="F17" i="130"/>
  <c r="D17" i="131" s="1"/>
  <c r="F17" i="131" s="1"/>
  <c r="D17" i="132" s="1"/>
  <c r="F17" i="132" s="1"/>
  <c r="D17" i="133" s="1"/>
  <c r="F17" i="133" s="1"/>
  <c r="D17" i="134" s="1"/>
  <c r="F17" i="134" s="1"/>
  <c r="D17" i="135" s="1"/>
  <c r="F17" i="135" s="1"/>
  <c r="D17" i="136" s="1"/>
  <c r="F17" i="136" s="1"/>
  <c r="F15" i="114"/>
  <c r="D15" i="115" s="1"/>
  <c r="F15" i="115" s="1"/>
  <c r="D15" i="116" s="1"/>
  <c r="F15" i="116" s="1"/>
  <c r="D15" i="118" s="1"/>
  <c r="F15" i="118" s="1"/>
  <c r="D15" i="119" s="1"/>
  <c r="F15" i="119" s="1"/>
  <c r="D15" i="120" s="1"/>
  <c r="F15" i="120" s="1"/>
  <c r="D15" i="130" s="1"/>
  <c r="D24" i="149"/>
  <c r="D20" i="113"/>
  <c r="D24" i="113" s="1"/>
  <c r="G24" i="149"/>
  <c r="K7" i="112"/>
  <c r="G8" i="112"/>
  <c r="I8" i="114"/>
  <c r="K8" i="114" s="1"/>
  <c r="M4" i="149"/>
  <c r="K9" i="149"/>
  <c r="G4" i="149"/>
  <c r="G9" i="149" s="1"/>
  <c r="D14" i="115"/>
  <c r="F14" i="115" s="1"/>
  <c r="G14" i="114"/>
  <c r="G22" i="131"/>
  <c r="G6" i="116"/>
  <c r="I6" i="118"/>
  <c r="K6" i="118" s="1"/>
  <c r="G23" i="116"/>
  <c r="F8" i="118"/>
  <c r="D8" i="119" s="1"/>
  <c r="F8" i="119" s="1"/>
  <c r="D8" i="120" s="1"/>
  <c r="K5" i="116"/>
  <c r="I5" i="118" s="1"/>
  <c r="G19" i="113"/>
  <c r="D19" i="112" s="1"/>
  <c r="G19" i="112" s="1"/>
  <c r="D19" i="114" s="1"/>
  <c r="K5" i="118" l="1"/>
  <c r="I5" i="119" s="1"/>
  <c r="F15" i="130"/>
  <c r="D15" i="131" s="1"/>
  <c r="F15" i="131" s="1"/>
  <c r="D15" i="132" s="1"/>
  <c r="F15" i="132" s="1"/>
  <c r="D15" i="133" s="1"/>
  <c r="F15" i="133" s="1"/>
  <c r="D15" i="134" s="1"/>
  <c r="F15" i="134" s="1"/>
  <c r="D15" i="135" s="1"/>
  <c r="F15" i="135" s="1"/>
  <c r="D15" i="136" s="1"/>
  <c r="F15" i="136" s="1"/>
  <c r="D11" i="137"/>
  <c r="F11" i="137" s="1"/>
  <c r="D11" i="152" s="1"/>
  <c r="F11" i="152" s="1"/>
  <c r="D17" i="137"/>
  <c r="F17" i="137" s="1"/>
  <c r="D17" i="152" s="1"/>
  <c r="F17" i="152" s="1"/>
  <c r="F8" i="120"/>
  <c r="D8" i="130" s="1"/>
  <c r="F8" i="130" s="1"/>
  <c r="D8" i="131" s="1"/>
  <c r="F8" i="131" s="1"/>
  <c r="D8" i="132" s="1"/>
  <c r="F8" i="132" s="1"/>
  <c r="D8" i="133" s="1"/>
  <c r="F8" i="133" s="1"/>
  <c r="D8" i="134" s="1"/>
  <c r="F8" i="134" s="1"/>
  <c r="D8" i="135" s="1"/>
  <c r="F8" i="135" s="1"/>
  <c r="D8" i="136" s="1"/>
  <c r="F8" i="136" s="1"/>
  <c r="G8" i="114"/>
  <c r="I8" i="115"/>
  <c r="K8" i="115" s="1"/>
  <c r="I8" i="116" s="1"/>
  <c r="K8" i="116" s="1"/>
  <c r="I8" i="118" s="1"/>
  <c r="K8" i="118" s="1"/>
  <c r="G7" i="112"/>
  <c r="I7" i="114"/>
  <c r="K7" i="114" s="1"/>
  <c r="G14" i="115"/>
  <c r="D14" i="116"/>
  <c r="F14" i="116" s="1"/>
  <c r="D10" i="112"/>
  <c r="F10" i="112" s="1"/>
  <c r="F7" i="113"/>
  <c r="D7" i="112" s="1"/>
  <c r="F7" i="112" s="1"/>
  <c r="D7" i="114" s="1"/>
  <c r="D22" i="132"/>
  <c r="G6" i="118"/>
  <c r="I6" i="119"/>
  <c r="K6" i="119" s="1"/>
  <c r="I6" i="120" s="1"/>
  <c r="D23" i="118"/>
  <c r="G5" i="116"/>
  <c r="G5" i="118" l="1"/>
  <c r="K5" i="119"/>
  <c r="G5" i="119" s="1"/>
  <c r="D15" i="137"/>
  <c r="F15" i="137" s="1"/>
  <c r="D15" i="152" s="1"/>
  <c r="F15" i="152" s="1"/>
  <c r="D8" i="137"/>
  <c r="F8" i="137" s="1"/>
  <c r="D8" i="152" s="1"/>
  <c r="F8" i="152" s="1"/>
  <c r="G8" i="115"/>
  <c r="D13" i="112"/>
  <c r="G8" i="116"/>
  <c r="G7" i="114"/>
  <c r="I7" i="115"/>
  <c r="K7" i="115" s="1"/>
  <c r="D14" i="118"/>
  <c r="F14" i="118" s="1"/>
  <c r="G14" i="116"/>
  <c r="F13" i="113"/>
  <c r="G22" i="132"/>
  <c r="G8" i="118"/>
  <c r="I8" i="119"/>
  <c r="K8" i="119" s="1"/>
  <c r="I8" i="120" s="1"/>
  <c r="G6" i="119"/>
  <c r="K6" i="120"/>
  <c r="I6" i="130" s="1"/>
  <c r="K6" i="130" s="1"/>
  <c r="G23" i="118"/>
  <c r="G19" i="114"/>
  <c r="I5" i="120" l="1"/>
  <c r="K5" i="120" s="1"/>
  <c r="D10" i="114"/>
  <c r="F10" i="114" s="1"/>
  <c r="F13" i="112"/>
  <c r="G7" i="115"/>
  <c r="I7" i="116"/>
  <c r="K7" i="116" s="1"/>
  <c r="G14" i="118"/>
  <c r="D14" i="119"/>
  <c r="F14" i="119" s="1"/>
  <c r="F7" i="114"/>
  <c r="D22" i="133"/>
  <c r="G6" i="130"/>
  <c r="I6" i="131"/>
  <c r="K6" i="131" s="1"/>
  <c r="G6" i="120"/>
  <c r="K8" i="120"/>
  <c r="I8" i="130" s="1"/>
  <c r="K8" i="130" s="1"/>
  <c r="G8" i="119"/>
  <c r="D23" i="119"/>
  <c r="D19" i="115"/>
  <c r="I5" i="130" l="1"/>
  <c r="K5" i="130" s="1"/>
  <c r="G5" i="120"/>
  <c r="D13" i="114"/>
  <c r="G7" i="116"/>
  <c r="I7" i="118"/>
  <c r="K7" i="118" s="1"/>
  <c r="D14" i="120"/>
  <c r="F14" i="120" s="1"/>
  <c r="G14" i="119"/>
  <c r="D10" i="115"/>
  <c r="F10" i="115" s="1"/>
  <c r="F13" i="114"/>
  <c r="D7" i="115"/>
  <c r="G22" i="133"/>
  <c r="G6" i="131"/>
  <c r="I6" i="132"/>
  <c r="K6" i="132" s="1"/>
  <c r="G8" i="130"/>
  <c r="I8" i="131"/>
  <c r="K8" i="131" s="1"/>
  <c r="G8" i="120"/>
  <c r="G23" i="119"/>
  <c r="G19" i="115"/>
  <c r="I5" i="131" l="1"/>
  <c r="K5" i="131" s="1"/>
  <c r="G5" i="131" s="1"/>
  <c r="G5" i="130"/>
  <c r="G7" i="118"/>
  <c r="I7" i="119"/>
  <c r="K7" i="119" s="1"/>
  <c r="D14" i="130"/>
  <c r="F14" i="130" s="1"/>
  <c r="G14" i="120"/>
  <c r="D13" i="115"/>
  <c r="F7" i="115"/>
  <c r="D22" i="134"/>
  <c r="G8" i="131"/>
  <c r="I8" i="132"/>
  <c r="K8" i="132" s="1"/>
  <c r="G6" i="132"/>
  <c r="I6" i="133"/>
  <c r="K6" i="133" s="1"/>
  <c r="I6" i="134" s="1"/>
  <c r="K6" i="134" s="1"/>
  <c r="D19" i="116"/>
  <c r="D23" i="120"/>
  <c r="I5" i="132" l="1"/>
  <c r="K5" i="132" s="1"/>
  <c r="I7" i="120"/>
  <c r="K7" i="120" s="1"/>
  <c r="G7" i="119"/>
  <c r="G14" i="130"/>
  <c r="D14" i="131"/>
  <c r="F14" i="131" s="1"/>
  <c r="D10" i="116"/>
  <c r="F10" i="116" s="1"/>
  <c r="F13" i="115"/>
  <c r="D7" i="116"/>
  <c r="G6" i="134"/>
  <c r="I6" i="135"/>
  <c r="K6" i="135" s="1"/>
  <c r="G22" i="134"/>
  <c r="G6" i="133"/>
  <c r="G8" i="132"/>
  <c r="I8" i="133"/>
  <c r="K8" i="133" s="1"/>
  <c r="G19" i="116"/>
  <c r="G23" i="120"/>
  <c r="D23" i="130" s="1"/>
  <c r="G23" i="130" s="1"/>
  <c r="D23" i="131" s="1"/>
  <c r="G23" i="131" s="1"/>
  <c r="D23" i="132" s="1"/>
  <c r="G23" i="132" s="1"/>
  <c r="D23" i="133" s="1"/>
  <c r="G23" i="133" s="1"/>
  <c r="D23" i="134" s="1"/>
  <c r="G23" i="134" s="1"/>
  <c r="D23" i="135" s="1"/>
  <c r="G23" i="135" l="1"/>
  <c r="D23" i="136" s="1"/>
  <c r="G23" i="136" s="1"/>
  <c r="I7" i="130"/>
  <c r="K7" i="130" s="1"/>
  <c r="G7" i="120"/>
  <c r="D14" i="132"/>
  <c r="F14" i="132" s="1"/>
  <c r="G14" i="131"/>
  <c r="D13" i="116"/>
  <c r="F7" i="116"/>
  <c r="G6" i="135"/>
  <c r="I6" i="136"/>
  <c r="K6" i="136" s="1"/>
  <c r="G8" i="133"/>
  <c r="I8" i="134"/>
  <c r="K8" i="134" s="1"/>
  <c r="D22" i="135"/>
  <c r="G22" i="135" s="1"/>
  <c r="G5" i="132"/>
  <c r="I5" i="133"/>
  <c r="D19" i="118"/>
  <c r="D23" i="137" l="1"/>
  <c r="G23" i="137" s="1"/>
  <c r="D23" i="152" s="1"/>
  <c r="G23" i="152" s="1"/>
  <c r="G7" i="130"/>
  <c r="I7" i="131"/>
  <c r="K7" i="131" s="1"/>
  <c r="G14" i="132"/>
  <c r="D14" i="133"/>
  <c r="F14" i="133" s="1"/>
  <c r="F13" i="116"/>
  <c r="D10" i="118"/>
  <c r="F10" i="118" s="1"/>
  <c r="D7" i="118"/>
  <c r="G6" i="136"/>
  <c r="I6" i="137"/>
  <c r="K6" i="137" s="1"/>
  <c r="I6" i="152" s="1"/>
  <c r="G8" i="134"/>
  <c r="I8" i="135"/>
  <c r="K8" i="135" s="1"/>
  <c r="K5" i="133"/>
  <c r="I5" i="134" s="1"/>
  <c r="K5" i="134" s="1"/>
  <c r="G19" i="118"/>
  <c r="G7" i="131" l="1"/>
  <c r="I7" i="132"/>
  <c r="K7" i="132" s="1"/>
  <c r="G14" i="133"/>
  <c r="D14" i="134"/>
  <c r="F14" i="134" s="1"/>
  <c r="D13" i="118"/>
  <c r="F7" i="118"/>
  <c r="G6" i="137"/>
  <c r="G8" i="135"/>
  <c r="I8" i="136"/>
  <c r="K8" i="136" s="1"/>
  <c r="G5" i="134"/>
  <c r="I5" i="135"/>
  <c r="K5" i="135" s="1"/>
  <c r="D22" i="136"/>
  <c r="G5" i="133"/>
  <c r="D19" i="119"/>
  <c r="G7" i="132" l="1"/>
  <c r="I7" i="133"/>
  <c r="K7" i="133" s="1"/>
  <c r="G14" i="134"/>
  <c r="D14" i="135"/>
  <c r="F14" i="135" s="1"/>
  <c r="D10" i="119"/>
  <c r="F10" i="119" s="1"/>
  <c r="F13" i="118"/>
  <c r="D7" i="119"/>
  <c r="G8" i="136"/>
  <c r="I8" i="137"/>
  <c r="K8" i="137" s="1"/>
  <c r="I8" i="152" s="1"/>
  <c r="G5" i="135"/>
  <c r="I5" i="136"/>
  <c r="K5" i="136" s="1"/>
  <c r="G22" i="136"/>
  <c r="G19" i="119"/>
  <c r="I7" i="134" l="1"/>
  <c r="K7" i="134" s="1"/>
  <c r="G7" i="133"/>
  <c r="G14" i="135"/>
  <c r="D14" i="136"/>
  <c r="F14" i="136" s="1"/>
  <c r="D13" i="119"/>
  <c r="F7" i="119"/>
  <c r="G8" i="137"/>
  <c r="I5" i="137"/>
  <c r="K5" i="137" s="1"/>
  <c r="I5" i="152" s="1"/>
  <c r="G5" i="136"/>
  <c r="D22" i="137"/>
  <c r="D19" i="120"/>
  <c r="G7" i="134" l="1"/>
  <c r="I7" i="135"/>
  <c r="K7" i="135" s="1"/>
  <c r="D14" i="137"/>
  <c r="F14" i="137" s="1"/>
  <c r="D14" i="152" s="1"/>
  <c r="F14" i="152" s="1"/>
  <c r="G14" i="152" s="1"/>
  <c r="G14" i="136"/>
  <c r="F13" i="119"/>
  <c r="D10" i="120"/>
  <c r="F10" i="120" s="1"/>
  <c r="D7" i="120"/>
  <c r="G5" i="137"/>
  <c r="G22" i="137"/>
  <c r="D22" i="152" s="1"/>
  <c r="G22" i="152" s="1"/>
  <c r="G19" i="120"/>
  <c r="D19" i="130" s="1"/>
  <c r="G7" i="135" l="1"/>
  <c r="I7" i="136"/>
  <c r="K7" i="136" s="1"/>
  <c r="G14" i="137"/>
  <c r="D13" i="120"/>
  <c r="F7" i="120"/>
  <c r="G19" i="130"/>
  <c r="I7" i="137" l="1"/>
  <c r="K7" i="137" s="1"/>
  <c r="I7" i="152" s="1"/>
  <c r="G7" i="136"/>
  <c r="D10" i="130"/>
  <c r="F10" i="130" s="1"/>
  <c r="F13" i="120"/>
  <c r="D7" i="130"/>
  <c r="D19" i="131"/>
  <c r="G7" i="137" l="1"/>
  <c r="D13" i="130"/>
  <c r="F7" i="130"/>
  <c r="G19" i="131"/>
  <c r="D10" i="131" l="1"/>
  <c r="F10" i="131" s="1"/>
  <c r="F13" i="130"/>
  <c r="D7" i="131"/>
  <c r="D19" i="132"/>
  <c r="D13" i="131" l="1"/>
  <c r="F7" i="131"/>
  <c r="G19" i="132"/>
  <c r="D10" i="132" l="1"/>
  <c r="F13" i="131"/>
  <c r="D7" i="132"/>
  <c r="D19" i="133"/>
  <c r="F10" i="132" l="1"/>
  <c r="D13" i="132"/>
  <c r="F7" i="132"/>
  <c r="G19" i="133"/>
  <c r="D10" i="133" l="1"/>
  <c r="F13" i="132"/>
  <c r="D7" i="133"/>
  <c r="D19" i="134"/>
  <c r="D13" i="133" l="1"/>
  <c r="F10" i="133"/>
  <c r="F7" i="133"/>
  <c r="G19" i="134"/>
  <c r="D10" i="134" l="1"/>
  <c r="F13" i="133"/>
  <c r="D7" i="134"/>
  <c r="D19" i="135"/>
  <c r="D13" i="134" l="1"/>
  <c r="F10" i="134"/>
  <c r="F7" i="134"/>
  <c r="G19" i="135"/>
  <c r="F13" i="134" l="1"/>
  <c r="D10" i="135"/>
  <c r="D7" i="135"/>
  <c r="D19" i="136"/>
  <c r="D13" i="135" l="1"/>
  <c r="F10" i="135"/>
  <c r="F7" i="135"/>
  <c r="G19" i="136"/>
  <c r="F13" i="135" l="1"/>
  <c r="D10" i="136"/>
  <c r="D7" i="136"/>
  <c r="D19" i="137"/>
  <c r="F10" i="136" l="1"/>
  <c r="D13" i="136"/>
  <c r="F7" i="136"/>
  <c r="G19" i="137"/>
  <c r="D19" i="152" s="1"/>
  <c r="G19" i="152" s="1"/>
  <c r="F13" i="136" l="1"/>
  <c r="D10" i="137"/>
  <c r="F10" i="137" s="1"/>
  <c r="D10" i="152" s="1"/>
  <c r="D13" i="152" s="1"/>
  <c r="D7" i="137"/>
  <c r="F10" i="152" l="1"/>
  <c r="F13" i="152" s="1"/>
  <c r="D13" i="137"/>
  <c r="F7" i="137"/>
  <c r="D7" i="152" s="1"/>
  <c r="F7" i="152" s="1"/>
  <c r="F13" i="137" l="1"/>
  <c r="D9" i="68" l="1"/>
  <c r="F4" i="68"/>
  <c r="D4" i="143" l="1"/>
  <c r="D9" i="143" s="1"/>
  <c r="F9" i="68"/>
  <c r="F4" i="143" l="1"/>
  <c r="D4" i="149" s="1"/>
  <c r="D9" i="149" s="1"/>
  <c r="F9" i="143" l="1"/>
  <c r="F4" i="149"/>
  <c r="D4" i="113" s="1"/>
  <c r="F4" i="113" s="1"/>
  <c r="F9" i="149" l="1"/>
  <c r="D9" i="113"/>
  <c r="D4" i="112"/>
  <c r="D9" i="112" l="1"/>
  <c r="F4" i="112"/>
  <c r="F9" i="113"/>
  <c r="D4" i="114" l="1"/>
  <c r="F4" i="114" s="1"/>
  <c r="F9" i="112"/>
  <c r="D9" i="114" l="1"/>
  <c r="F9" i="114" l="1"/>
  <c r="D4" i="115"/>
  <c r="F4" i="115" l="1"/>
  <c r="D9" i="115"/>
  <c r="D4" i="116" l="1"/>
  <c r="F9" i="115"/>
  <c r="D9" i="116" l="1"/>
  <c r="F4" i="116"/>
  <c r="D4" i="118" l="1"/>
  <c r="F9" i="116"/>
  <c r="F4" i="118" l="1"/>
  <c r="D9" i="118"/>
  <c r="F9" i="118" l="1"/>
  <c r="D4" i="119"/>
  <c r="D9" i="119" l="1"/>
  <c r="F4" i="119"/>
  <c r="D4" i="120" l="1"/>
  <c r="F4" i="120" s="1"/>
  <c r="F9" i="119"/>
  <c r="D9" i="120" l="1"/>
  <c r="F9" i="120" l="1"/>
  <c r="D4" i="130"/>
  <c r="F4" i="130" l="1"/>
  <c r="D9" i="130"/>
  <c r="F9" i="130" l="1"/>
  <c r="D4" i="131"/>
  <c r="D9" i="131" l="1"/>
  <c r="F4" i="131"/>
  <c r="D4" i="132" l="1"/>
  <c r="F9" i="131"/>
  <c r="F4" i="132" l="1"/>
  <c r="D9" i="132"/>
  <c r="F9" i="132" l="1"/>
  <c r="D4" i="133"/>
  <c r="F4" i="133" l="1"/>
  <c r="D9" i="133"/>
  <c r="F9" i="133" l="1"/>
  <c r="D4" i="134"/>
  <c r="F4" i="134" l="1"/>
  <c r="D9" i="134"/>
  <c r="F9" i="134" l="1"/>
  <c r="D4" i="135"/>
  <c r="F4" i="135" l="1"/>
  <c r="D9" i="135"/>
  <c r="F9" i="135" l="1"/>
  <c r="D4" i="136"/>
  <c r="F4" i="136" l="1"/>
  <c r="D9" i="136"/>
  <c r="D4" i="137" l="1"/>
  <c r="F9" i="136"/>
  <c r="F4" i="137" l="1"/>
  <c r="D4" i="152" s="1"/>
  <c r="D9" i="137"/>
  <c r="F4" i="152" l="1"/>
  <c r="F9" i="152" s="1"/>
  <c r="D9" i="152"/>
  <c r="F9" i="137"/>
  <c r="I9" i="113" l="1"/>
  <c r="K4" i="113"/>
  <c r="K9" i="113" l="1"/>
  <c r="I4" i="112"/>
  <c r="M4" i="113"/>
  <c r="G4" i="113"/>
  <c r="G9" i="113" s="1"/>
  <c r="K4" i="112" l="1"/>
  <c r="I9" i="112"/>
  <c r="I4" i="114" l="1"/>
  <c r="G4" i="112"/>
  <c r="G9" i="112" s="1"/>
  <c r="M4" i="112"/>
  <c r="K9" i="112"/>
  <c r="I9" i="114" l="1"/>
  <c r="K4" i="114"/>
  <c r="G4" i="114" l="1"/>
  <c r="G9" i="114" s="1"/>
  <c r="M4" i="114"/>
  <c r="I4" i="115"/>
  <c r="K9" i="114"/>
  <c r="K4" i="115" l="1"/>
  <c r="I9" i="115"/>
  <c r="G4" i="115" l="1"/>
  <c r="G9" i="115" s="1"/>
  <c r="I4" i="116"/>
  <c r="M4" i="115"/>
  <c r="K9" i="115"/>
  <c r="K4" i="116" l="1"/>
  <c r="M4" i="116" s="1"/>
  <c r="I9" i="116"/>
  <c r="I4" i="118" l="1"/>
  <c r="K9" i="116"/>
  <c r="G4" i="116"/>
  <c r="G9" i="116" s="1"/>
  <c r="I9" i="118" l="1"/>
  <c r="K4" i="118"/>
  <c r="M4" i="118" s="1"/>
  <c r="I4" i="119" l="1"/>
  <c r="K9" i="118"/>
  <c r="G4" i="118"/>
  <c r="G9" i="118" s="1"/>
  <c r="I9" i="119" l="1"/>
  <c r="K4" i="119"/>
  <c r="G4" i="119" l="1"/>
  <c r="G9" i="119" s="1"/>
  <c r="M4" i="119"/>
  <c r="K9" i="119"/>
  <c r="I4" i="120"/>
  <c r="K4" i="120" l="1"/>
  <c r="I9" i="120"/>
  <c r="I4" i="130" l="1"/>
  <c r="M4" i="120"/>
  <c r="K9" i="120"/>
  <c r="G4" i="120"/>
  <c r="G9" i="120" s="1"/>
  <c r="I9" i="130" l="1"/>
  <c r="K4" i="130"/>
  <c r="M4" i="130" l="1"/>
  <c r="G4" i="130"/>
  <c r="G9" i="130" s="1"/>
  <c r="I4" i="131"/>
  <c r="K9" i="130"/>
  <c r="I9" i="131" l="1"/>
  <c r="K4" i="131"/>
  <c r="G4" i="131" l="1"/>
  <c r="G9" i="131" s="1"/>
  <c r="M4" i="131"/>
  <c r="I4" i="132"/>
  <c r="K9" i="131"/>
  <c r="K4" i="132" l="1"/>
  <c r="I9" i="132"/>
  <c r="I4" i="133" l="1"/>
  <c r="K9" i="132"/>
  <c r="G4" i="132"/>
  <c r="G9" i="132" s="1"/>
  <c r="M4" i="132"/>
  <c r="I9" i="133" l="1"/>
  <c r="K4" i="133"/>
  <c r="I4" i="134" l="1"/>
  <c r="K9" i="133"/>
  <c r="G4" i="133"/>
  <c r="G9" i="133" s="1"/>
  <c r="M4" i="133"/>
  <c r="I9" i="134" l="1"/>
  <c r="K4" i="134"/>
  <c r="I4" i="135" l="1"/>
  <c r="G4" i="134"/>
  <c r="G9" i="134" s="1"/>
  <c r="K9" i="134"/>
  <c r="M4" i="134"/>
  <c r="K4" i="135" l="1"/>
  <c r="I9" i="135"/>
  <c r="G4" i="135" l="1"/>
  <c r="G9" i="135" s="1"/>
  <c r="I4" i="136"/>
  <c r="K9" i="135"/>
  <c r="M4" i="135"/>
  <c r="K4" i="136" l="1"/>
  <c r="I9" i="136"/>
  <c r="I4" i="137" l="1"/>
  <c r="G4" i="136"/>
  <c r="G9" i="136" s="1"/>
  <c r="K9" i="136"/>
  <c r="M4" i="136"/>
  <c r="I9" i="137" l="1"/>
  <c r="K4" i="137"/>
  <c r="I4" i="152" s="1"/>
  <c r="G4" i="137" l="1"/>
  <c r="G9" i="137" s="1"/>
  <c r="K9" i="137"/>
  <c r="M4" i="137"/>
  <c r="G20" i="113"/>
  <c r="D20" i="112" s="1"/>
  <c r="G20" i="112" l="1"/>
  <c r="D20" i="114" l="1"/>
  <c r="G20" i="114" l="1"/>
  <c r="D20" i="115" l="1"/>
  <c r="G20" i="115" l="1"/>
  <c r="D20" i="116" l="1"/>
  <c r="G20" i="116" l="1"/>
  <c r="D20" i="118" l="1"/>
  <c r="G20" i="118" l="1"/>
  <c r="D20" i="119" l="1"/>
  <c r="G20" i="119" l="1"/>
  <c r="D20" i="120" l="1"/>
  <c r="G20" i="120" l="1"/>
  <c r="D20" i="130" l="1"/>
  <c r="G20" i="130" l="1"/>
  <c r="D20" i="131" l="1"/>
  <c r="G20" i="131" l="1"/>
  <c r="D20" i="132" l="1"/>
  <c r="G20" i="132" l="1"/>
  <c r="D20" i="133" l="1"/>
  <c r="G20" i="133" l="1"/>
  <c r="D20" i="134" l="1"/>
  <c r="G20" i="134" l="1"/>
  <c r="D20" i="135" l="1"/>
  <c r="G20" i="135" s="1"/>
  <c r="D20" i="136" l="1"/>
  <c r="G20" i="136" l="1"/>
  <c r="D20" i="137" l="1"/>
  <c r="G20" i="137" l="1"/>
  <c r="D20" i="152" s="1"/>
  <c r="G20" i="152" s="1"/>
  <c r="G21" i="113" l="1"/>
  <c r="D21" i="112" s="1"/>
  <c r="G21" i="112" s="1"/>
  <c r="G24" i="113" l="1"/>
  <c r="D24" i="112"/>
  <c r="D21" i="114"/>
  <c r="G21" i="114" s="1"/>
  <c r="D21" i="115" s="1"/>
  <c r="G24" i="112"/>
  <c r="D24" i="114" l="1"/>
  <c r="G24" i="114"/>
  <c r="G21" i="115"/>
  <c r="D24" i="115"/>
  <c r="D21" i="116" l="1"/>
  <c r="G24" i="115"/>
  <c r="G21" i="116" l="1"/>
  <c r="D24" i="116"/>
  <c r="D21" i="118" l="1"/>
  <c r="G24" i="116"/>
  <c r="G21" i="118" l="1"/>
  <c r="D24" i="118"/>
  <c r="D21" i="119" l="1"/>
  <c r="G24" i="118"/>
  <c r="G21" i="119" l="1"/>
  <c r="D24" i="119"/>
  <c r="D21" i="120" l="1"/>
  <c r="G24" i="119"/>
  <c r="G21" i="120" l="1"/>
  <c r="D24" i="120"/>
  <c r="D21" i="130" l="1"/>
  <c r="G24" i="120"/>
  <c r="G21" i="130" l="1"/>
  <c r="D24" i="130"/>
  <c r="D21" i="131" l="1"/>
  <c r="G24" i="130"/>
  <c r="G21" i="131" l="1"/>
  <c r="D24" i="131"/>
  <c r="D21" i="132" l="1"/>
  <c r="G24" i="131"/>
  <c r="G21" i="132" l="1"/>
  <c r="D24" i="132"/>
  <c r="D21" i="133" l="1"/>
  <c r="G24" i="132"/>
  <c r="G21" i="133" l="1"/>
  <c r="D24" i="133"/>
  <c r="D21" i="134" l="1"/>
  <c r="G24" i="133"/>
  <c r="G21" i="134" l="1"/>
  <c r="D24" i="134"/>
  <c r="D21" i="135" l="1"/>
  <c r="G21" i="135" s="1"/>
  <c r="G24" i="135" s="1"/>
  <c r="G24" i="134"/>
  <c r="D24" i="135" l="1"/>
  <c r="D21" i="136" l="1"/>
  <c r="G21" i="136" l="1"/>
  <c r="D24" i="136"/>
  <c r="D21" i="137" l="1"/>
  <c r="G24" i="136"/>
  <c r="G21" i="137" l="1"/>
  <c r="D21" i="152" s="1"/>
  <c r="D24" i="137"/>
  <c r="G21" i="152" l="1"/>
  <c r="G24" i="152" s="1"/>
  <c r="D24" i="152"/>
  <c r="G24" i="137"/>
  <c r="I9" i="152"/>
  <c r="K7" i="152"/>
  <c r="G7" i="152" s="1"/>
  <c r="K5" i="152"/>
  <c r="K8" i="152"/>
  <c r="G8" i="152" s="1"/>
  <c r="K6" i="152"/>
  <c r="G6" i="152" s="1"/>
  <c r="K4" i="152"/>
  <c r="G4" i="152" s="1"/>
  <c r="K9" i="152" l="1"/>
  <c r="G5" i="152"/>
  <c r="G9" i="152" s="1"/>
  <c r="M4" i="1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0A69BF99-C1E0-4570-A8E1-664CDA170001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7DED2C0A-DD4E-4B30-8A45-B3710DA3FF53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234A6619-9A88-4386-8A37-5981F1DDFDF5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4698D546-C74A-4C70-B774-9147418685A3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416336E9-05B6-401A-BA4C-7DAA0F87A024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CAAD4C00-CAB4-42FF-AEF4-67A3EBEF35A3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6548CE34-F759-4AB5-A65A-7207DDCA031E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8837DE7F-E413-42DB-8682-E5C2AA5D7F23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36456451-C3DD-48BA-8205-C57B087DA951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0B725E3B-A453-44B0-B6B3-9349550C02A7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2F728B72-CBF4-48D6-92C0-7139D6479DD8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538DC7B7-41BE-4831-8D1C-3A510F8E3283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11AA45BC-B8DB-4A53-8188-10D5E915441E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AE57D996-AB1A-40EC-90B2-DCDBBDD50819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735C45DD-5E89-42C7-BBCE-49FE357802B7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F60FB409-E8E7-4B51-910B-E2537DB1F3B4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99B4DC78-FB79-4495-8514-60D066A5DF2A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31A5324E-8603-43A3-A7D9-78D35F54F5CE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4E3D57F6-B37C-4F9C-95A2-89EE4887765F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27FF2B0C-565F-411B-81F1-565A9693E526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32BDEB97-CBC9-463C-A910-5BA86F9D80B1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D9076DC7-8C16-43DE-A62F-BCC3CA7E8292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ADD09F43-07F6-400C-A0CD-EC7ABB3A759A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F52BF5C6-291E-476C-94CA-A46F0BCBEF5E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845EB7B1-99E2-495F-B419-7596FF88D1B3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B822F44E-4C05-4648-ABE8-F0BA74B02263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B01F6733-A25D-4382-BF38-516876AA88D9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E1C37DB2-5E86-4DB0-891B-22B4FD3A612B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C77B5DCC-3527-4913-B9B5-D2FE2C23E233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9659C8D2-E3D2-4379-B39A-AF6BE102FBD6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93708353-EFAF-46A7-9DBD-637E2D15401A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18234B57-1B1F-4517-B18F-794AB4AA12B6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FF628426-89BA-4FEE-92AE-EB8B40EF30A3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E3FDEAFA-266F-401C-B81B-B1D61A43B26C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F93872FC-F3FF-43F8-8664-0A5A63B74CBC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F0746E25-70C1-49E2-B5C3-84696156FCFA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B74BE069-286D-4662-B012-5521812D34A5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14B93220-8749-4CE7-9C4B-2587B3FA826C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9C4AD36F-126D-498D-B4D9-EDC449189540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4F200959-A690-495A-9E8A-A1DD20EDEEF8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E5EED580-9ADA-4902-AF27-3150B223A3A9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8FBD9C27-3A81-40FB-8C9F-1B53AE74E004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</author>
  </authors>
  <commentList>
    <comment ref="I18" authorId="0" shapeId="0" xr:uid="{2C84A2A1-47CE-41DD-926B-B410EF35C9AB}">
      <text>
        <r>
          <rPr>
            <b/>
            <sz val="9"/>
            <color indexed="81"/>
            <rFont val="돋움"/>
            <family val="3"/>
            <charset val="129"/>
          </rPr>
          <t xml:space="preserve">매입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8" authorId="0" shapeId="0" xr:uid="{75AE232D-D387-430D-A119-A6D839DC9B6A}">
      <text>
        <r>
          <rPr>
            <b/>
            <sz val="9"/>
            <color indexed="81"/>
            <rFont val="돋움"/>
            <family val="3"/>
            <charset val="129"/>
          </rPr>
          <t xml:space="preserve">매출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+
</t>
        </r>
        <r>
          <rPr>
            <b/>
            <sz val="9"/>
            <color indexed="81"/>
            <rFont val="돋움"/>
            <family val="3"/>
            <charset val="129"/>
          </rPr>
          <t>창고이동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<sst xmlns="http://schemas.openxmlformats.org/spreadsheetml/2006/main" count="1356" uniqueCount="59">
  <si>
    <t>(창원) 일일매출/수금 마감현황</t>
    <phoneticPr fontId="4" type="noConversion"/>
  </si>
  <si>
    <t>[단위 : 원, VAT포함]   [단위 : D/M]</t>
    <phoneticPr fontId="4" type="noConversion"/>
  </si>
  <si>
    <t>[단위 : L]</t>
    <phoneticPr fontId="3" type="noConversion"/>
  </si>
  <si>
    <t>구분</t>
    <phoneticPr fontId="4" type="noConversion"/>
  </si>
  <si>
    <t>전일누계</t>
    <phoneticPr fontId="4" type="noConversion"/>
  </si>
  <si>
    <t>당일</t>
    <phoneticPr fontId="4" type="noConversion"/>
  </si>
  <si>
    <t>누계</t>
    <phoneticPr fontId="4" type="noConversion"/>
  </si>
  <si>
    <t>비고</t>
    <phoneticPr fontId="4" type="noConversion"/>
  </si>
  <si>
    <t>전일누계</t>
  </si>
  <si>
    <t>당일</t>
    <phoneticPr fontId="3" type="noConversion"/>
  </si>
  <si>
    <t>누계</t>
  </si>
  <si>
    <t>판매현황</t>
    <phoneticPr fontId="3" type="noConversion"/>
  </si>
  <si>
    <t>Mobil</t>
    <phoneticPr fontId="3" type="noConversion"/>
  </si>
  <si>
    <t>Mobil-MB</t>
    <phoneticPr fontId="3" type="noConversion"/>
  </si>
  <si>
    <t>블라자</t>
    <phoneticPr fontId="4" type="noConversion"/>
  </si>
  <si>
    <t>훅스</t>
    <phoneticPr fontId="4" type="noConversion"/>
  </si>
  <si>
    <t>기타(쉘 외 타사제품)</t>
    <phoneticPr fontId="4" type="noConversion"/>
  </si>
  <si>
    <t>매출액</t>
    <phoneticPr fontId="4" type="noConversion"/>
  </si>
  <si>
    <t>수금액</t>
    <phoneticPr fontId="4" type="noConversion"/>
  </si>
  <si>
    <t>Cash</t>
    <phoneticPr fontId="4" type="noConversion"/>
  </si>
  <si>
    <t>어음</t>
    <phoneticPr fontId="4" type="noConversion"/>
  </si>
  <si>
    <t>카드</t>
    <phoneticPr fontId="4" type="noConversion"/>
  </si>
  <si>
    <t>합계</t>
    <phoneticPr fontId="4" type="noConversion"/>
  </si>
  <si>
    <t>매입/발주</t>
    <phoneticPr fontId="4" type="noConversion"/>
  </si>
  <si>
    <t>모빌</t>
    <phoneticPr fontId="4" type="noConversion"/>
  </si>
  <si>
    <t>Vol(L)</t>
    <phoneticPr fontId="4" type="noConversion"/>
  </si>
  <si>
    <t>금액</t>
    <phoneticPr fontId="4" type="noConversion"/>
  </si>
  <si>
    <t>IL
(Flagship)</t>
    <phoneticPr fontId="4" type="noConversion"/>
  </si>
  <si>
    <t>매출</t>
    <phoneticPr fontId="4" type="noConversion"/>
  </si>
  <si>
    <t>매입</t>
    <phoneticPr fontId="4" type="noConversion"/>
  </si>
  <si>
    <t>재고</t>
    <phoneticPr fontId="4" type="noConversion"/>
  </si>
  <si>
    <t>전일재고</t>
    <phoneticPr fontId="4" type="noConversion"/>
  </si>
  <si>
    <t>입고</t>
    <phoneticPr fontId="4" type="noConversion"/>
  </si>
  <si>
    <t>출고</t>
    <phoneticPr fontId="4" type="noConversion"/>
  </si>
  <si>
    <t>입고</t>
  </si>
  <si>
    <t>출고</t>
    <phoneticPr fontId="3" type="noConversion"/>
  </si>
  <si>
    <t>Mobil</t>
  </si>
  <si>
    <t>D/M</t>
    <phoneticPr fontId="3" type="noConversion"/>
  </si>
  <si>
    <t>기타(쉘외 타사제품)</t>
    <phoneticPr fontId="4" type="noConversion"/>
  </si>
  <si>
    <t>*. 주요현황</t>
    <phoneticPr fontId="4" type="noConversion"/>
  </si>
  <si>
    <t>날짜</t>
    <phoneticPr fontId="4" type="noConversion"/>
  </si>
  <si>
    <t>상 호</t>
    <phoneticPr fontId="4" type="noConversion"/>
  </si>
  <si>
    <t>금  액</t>
    <phoneticPr fontId="4" type="noConversion"/>
  </si>
  <si>
    <t>비   고</t>
    <phoneticPr fontId="4" type="noConversion"/>
  </si>
  <si>
    <t>*. 신규개척업체</t>
    <phoneticPr fontId="4" type="noConversion"/>
  </si>
  <si>
    <t>소재지</t>
    <phoneticPr fontId="4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</si>
  <si>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4" type="noConversion"/>
  </si>
  <si>
    <t>2024.07.18</t>
    <phoneticPr fontId="3" type="noConversion"/>
  </si>
  <si>
    <t>워너프코리아㈜</t>
    <phoneticPr fontId="3" type="noConversion"/>
  </si>
  <si>
    <t>부산광역시 강서구 미음산단5로 41번길 71, 209호(미음동, 부산글로벌테크비즈센터)</t>
  </si>
  <si>
    <t>2024.07.19</t>
    <phoneticPr fontId="3" type="noConversion"/>
  </si>
  <si>
    <t>케이피항공산업㈜</t>
    <phoneticPr fontId="3" type="noConversion"/>
  </si>
  <si>
    <t>경상남도 김해시 진례면 태크노밸리12</t>
  </si>
  <si>
    <t>조종복부장</t>
    <phoneticPr fontId="3" type="noConversion"/>
  </si>
  <si>
    <t>박경묵이사(rarus 827 2말외)</t>
    <phoneticPr fontId="3" type="noConversion"/>
  </si>
  <si>
    <t xml:space="preserve">        </t>
    <phoneticPr fontId="3" type="noConversion"/>
  </si>
  <si>
    <t>당일</t>
    <phoneticPr fontId="3" type="noConversion"/>
  </si>
  <si>
    <t>당월</t>
    <phoneticPr fontId="3" type="noConversion"/>
  </si>
  <si>
    <t xml:space="preserve">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</si>
</sst>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[$-F800]dddd\,\ mmmm\ dd\,\ yyyy"/>
    <numFmt numFmtId="177" formatCode="_-* #,##0.00_-;\-* #,##0.00_-;_-* &quot;-&quot;_-;_-@_-"/>
    <numFmt numFmtId="178" formatCode="mm&quot;월&quot;\ dd&quot;일&quot;"/>
  </numFmts>
  <fonts count="22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8"/>
      <color rgb="FF000000"/>
      <name val="돋움"/>
      <family val="3"/>
      <charset val="129"/>
    </font>
    <font>
      <sz val="8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rgb="FFFF0000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2">
    <xf numFmtId="0" fontId="0" fillId="0" borderId="0" xfId="0">
      <alignment vertical="center"/>
    </xf>
    <xf numFmtId="0" fontId="5" fillId="2" borderId="0" xfId="0" applyFont="1" applyFill="1">
      <alignment vertical="center"/>
    </xf>
    <xf numFmtId="41" fontId="5" fillId="2" borderId="0" xfId="1" applyFont="1" applyFill="1">
      <alignment vertical="center"/>
    </xf>
    <xf numFmtId="0" fontId="7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41" fontId="9" fillId="3" borderId="3" xfId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2" borderId="5" xfId="0" applyFont="1" applyFill="1" applyBorder="1">
      <alignment vertical="center"/>
    </xf>
    <xf numFmtId="41" fontId="5" fillId="4" borderId="6" xfId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41" fontId="5" fillId="2" borderId="0" xfId="0" applyNumberFormat="1" applyFont="1" applyFill="1">
      <alignment vertical="center"/>
    </xf>
    <xf numFmtId="41" fontId="5" fillId="0" borderId="10" xfId="1" applyFont="1" applyFill="1" applyBorder="1">
      <alignment vertical="center"/>
    </xf>
    <xf numFmtId="41" fontId="10" fillId="0" borderId="6" xfId="1" applyFont="1" applyFill="1" applyBorder="1">
      <alignment vertical="center"/>
    </xf>
    <xf numFmtId="41" fontId="5" fillId="2" borderId="10" xfId="1" applyFont="1" applyFill="1" applyBorder="1">
      <alignment vertical="center"/>
    </xf>
    <xf numFmtId="43" fontId="5" fillId="2" borderId="11" xfId="0" applyNumberFormat="1" applyFont="1" applyFill="1" applyBorder="1">
      <alignment vertical="center"/>
    </xf>
    <xf numFmtId="0" fontId="9" fillId="2" borderId="0" xfId="0" applyFont="1" applyFill="1">
      <alignment vertical="center"/>
    </xf>
    <xf numFmtId="41" fontId="10" fillId="2" borderId="10" xfId="1" applyFont="1" applyFill="1" applyBorder="1">
      <alignment vertical="center"/>
    </xf>
    <xf numFmtId="41" fontId="5" fillId="2" borderId="10" xfId="0" applyNumberFormat="1" applyFont="1" applyFill="1" applyBorder="1">
      <alignment vertical="center"/>
    </xf>
    <xf numFmtId="43" fontId="5" fillId="2" borderId="14" xfId="0" applyNumberFormat="1" applyFont="1" applyFill="1" applyBorder="1">
      <alignment vertical="center"/>
    </xf>
    <xf numFmtId="41" fontId="10" fillId="2" borderId="6" xfId="1" applyFont="1" applyFill="1" applyBorder="1">
      <alignment vertical="center"/>
    </xf>
    <xf numFmtId="41" fontId="5" fillId="2" borderId="6" xfId="0" applyNumberFormat="1" applyFont="1" applyFill="1" applyBorder="1">
      <alignment vertical="center"/>
    </xf>
    <xf numFmtId="43" fontId="10" fillId="2" borderId="14" xfId="0" applyNumberFormat="1" applyFont="1" applyFill="1" applyBorder="1">
      <alignment vertical="center"/>
    </xf>
    <xf numFmtId="0" fontId="10" fillId="2" borderId="0" xfId="0" applyFont="1" applyFill="1">
      <alignment vertical="center"/>
    </xf>
    <xf numFmtId="41" fontId="10" fillId="2" borderId="6" xfId="0" applyNumberFormat="1" applyFont="1" applyFill="1" applyBorder="1">
      <alignment vertical="center"/>
    </xf>
    <xf numFmtId="3" fontId="5" fillId="2" borderId="0" xfId="0" applyNumberFormat="1" applyFont="1" applyFill="1">
      <alignment vertical="center"/>
    </xf>
    <xf numFmtId="41" fontId="11" fillId="0" borderId="0" xfId="1" applyFont="1">
      <alignment vertical="center"/>
    </xf>
    <xf numFmtId="41" fontId="10" fillId="2" borderId="18" xfId="1" applyFont="1" applyFill="1" applyBorder="1">
      <alignment vertical="center"/>
    </xf>
    <xf numFmtId="43" fontId="10" fillId="2" borderId="19" xfId="0" applyNumberFormat="1" applyFont="1" applyFill="1" applyBorder="1">
      <alignment vertical="center"/>
    </xf>
    <xf numFmtId="41" fontId="12" fillId="5" borderId="23" xfId="1" applyFont="1" applyFill="1" applyBorder="1">
      <alignment vertical="center"/>
    </xf>
    <xf numFmtId="43" fontId="12" fillId="5" borderId="24" xfId="0" applyNumberFormat="1" applyFont="1" applyFill="1" applyBorder="1">
      <alignment vertical="center"/>
    </xf>
    <xf numFmtId="0" fontId="12" fillId="0" borderId="0" xfId="0" applyFont="1">
      <alignment vertical="center"/>
    </xf>
    <xf numFmtId="41" fontId="10" fillId="4" borderId="6" xfId="1" applyFont="1" applyFill="1" applyBorder="1">
      <alignment vertical="center"/>
    </xf>
    <xf numFmtId="41" fontId="13" fillId="0" borderId="0" xfId="1" applyFont="1">
      <alignment vertical="center"/>
    </xf>
    <xf numFmtId="41" fontId="10" fillId="2" borderId="3" xfId="1" applyFont="1" applyFill="1" applyBorder="1">
      <alignment vertical="center"/>
    </xf>
    <xf numFmtId="0" fontId="10" fillId="2" borderId="4" xfId="0" applyFont="1" applyFill="1" applyBorder="1">
      <alignment vertical="center"/>
    </xf>
    <xf numFmtId="41" fontId="10" fillId="2" borderId="0" xfId="1" applyFont="1" applyFill="1">
      <alignment vertical="center"/>
    </xf>
    <xf numFmtId="3" fontId="10" fillId="0" borderId="0" xfId="0" applyNumberFormat="1" applyFont="1">
      <alignment vertical="center"/>
    </xf>
    <xf numFmtId="0" fontId="10" fillId="0" borderId="14" xfId="0" applyFont="1" applyBorder="1">
      <alignment vertical="center"/>
    </xf>
    <xf numFmtId="3" fontId="10" fillId="2" borderId="0" xfId="0" applyNumberFormat="1" applyFont="1" applyFill="1">
      <alignment vertical="center"/>
    </xf>
    <xf numFmtId="0" fontId="10" fillId="2" borderId="19" xfId="0" applyFont="1" applyFill="1" applyBorder="1">
      <alignment vertical="center"/>
    </xf>
    <xf numFmtId="0" fontId="10" fillId="5" borderId="24" xfId="0" applyFont="1" applyFill="1" applyBorder="1">
      <alignment vertical="center"/>
    </xf>
    <xf numFmtId="41" fontId="10" fillId="2" borderId="28" xfId="1" applyFont="1" applyFill="1" applyBorder="1">
      <alignment vertical="center"/>
    </xf>
    <xf numFmtId="177" fontId="12" fillId="2" borderId="4" xfId="0" applyNumberFormat="1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41" fontId="10" fillId="2" borderId="19" xfId="0" applyNumberFormat="1" applyFont="1" applyFill="1" applyBorder="1">
      <alignment vertical="center"/>
    </xf>
    <xf numFmtId="0" fontId="10" fillId="2" borderId="10" xfId="0" applyFont="1" applyFill="1" applyBorder="1" applyAlignment="1">
      <alignment horizontal="center" vertical="center"/>
    </xf>
    <xf numFmtId="41" fontId="5" fillId="0" borderId="3" xfId="1" applyFont="1" applyFill="1" applyBorder="1">
      <alignment vertical="center"/>
    </xf>
    <xf numFmtId="41" fontId="10" fillId="2" borderId="4" xfId="0" applyNumberFormat="1" applyFont="1" applyFill="1" applyBorder="1">
      <alignment vertical="center"/>
    </xf>
    <xf numFmtId="3" fontId="14" fillId="0" borderId="0" xfId="0" applyNumberFormat="1" applyFont="1">
      <alignment vertical="center"/>
    </xf>
    <xf numFmtId="0" fontId="15" fillId="2" borderId="0" xfId="0" applyFont="1" applyFill="1" applyAlignment="1">
      <alignment horizontal="right" vertical="center"/>
    </xf>
    <xf numFmtId="41" fontId="5" fillId="0" borderId="0" xfId="1" applyFont="1" applyFill="1">
      <alignment vertical="center"/>
    </xf>
    <xf numFmtId="0" fontId="5" fillId="0" borderId="0" xfId="0" applyFont="1">
      <alignment vertical="center"/>
    </xf>
    <xf numFmtId="3" fontId="5" fillId="0" borderId="0" xfId="0" applyNumberFormat="1" applyFont="1">
      <alignment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3" xfId="0" applyFont="1" applyFill="1" applyBorder="1">
      <alignment vertical="center"/>
    </xf>
    <xf numFmtId="177" fontId="12" fillId="3" borderId="3" xfId="1" applyNumberFormat="1" applyFont="1" applyFill="1" applyBorder="1" applyAlignment="1">
      <alignment horizontal="center" vertical="center"/>
    </xf>
    <xf numFmtId="177" fontId="12" fillId="3" borderId="4" xfId="0" applyNumberFormat="1" applyFont="1" applyFill="1" applyBorder="1" applyAlignment="1">
      <alignment horizontal="center" vertical="center"/>
    </xf>
    <xf numFmtId="41" fontId="10" fillId="4" borderId="6" xfId="1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41" fontId="9" fillId="0" borderId="0" xfId="0" applyNumberFormat="1" applyFont="1">
      <alignment vertical="center"/>
    </xf>
    <xf numFmtId="3" fontId="9" fillId="0" borderId="0" xfId="0" applyNumberFormat="1" applyFont="1">
      <alignment vertical="center"/>
    </xf>
    <xf numFmtId="41" fontId="9" fillId="0" borderId="0" xfId="1" applyFont="1" applyFill="1">
      <alignment vertical="center"/>
    </xf>
    <xf numFmtId="177" fontId="10" fillId="0" borderId="6" xfId="1" applyNumberFormat="1" applyFont="1" applyFill="1" applyBorder="1" applyAlignment="1">
      <alignment horizontal="center" vertical="center"/>
    </xf>
    <xf numFmtId="177" fontId="10" fillId="2" borderId="6" xfId="1" applyNumberFormat="1" applyFont="1" applyFill="1" applyBorder="1" applyAlignment="1">
      <alignment horizontal="center" vertical="center"/>
    </xf>
    <xf numFmtId="177" fontId="10" fillId="2" borderId="14" xfId="1" applyNumberFormat="1" applyFont="1" applyFill="1" applyBorder="1" applyAlignment="1">
      <alignment horizontal="center" vertical="center"/>
    </xf>
    <xf numFmtId="0" fontId="12" fillId="2" borderId="32" xfId="0" applyFont="1" applyFill="1" applyBorder="1">
      <alignment vertical="center"/>
    </xf>
    <xf numFmtId="41" fontId="10" fillId="2" borderId="6" xfId="1" applyFont="1" applyFill="1" applyBorder="1" applyAlignment="1">
      <alignment vertical="center"/>
    </xf>
    <xf numFmtId="43" fontId="9" fillId="0" borderId="0" xfId="0" applyNumberFormat="1" applyFont="1">
      <alignment vertical="center"/>
    </xf>
    <xf numFmtId="0" fontId="10" fillId="2" borderId="6" xfId="0" applyFont="1" applyFill="1" applyBorder="1" applyAlignment="1">
      <alignment horizontal="center" vertical="center"/>
    </xf>
    <xf numFmtId="41" fontId="10" fillId="2" borderId="6" xfId="1" applyFont="1" applyFill="1" applyBorder="1" applyAlignment="1">
      <alignment vertical="center" wrapText="1"/>
    </xf>
    <xf numFmtId="0" fontId="12" fillId="5" borderId="23" xfId="0" applyFont="1" applyFill="1" applyBorder="1" applyAlignment="1">
      <alignment horizontal="center" vertical="center"/>
    </xf>
    <xf numFmtId="0" fontId="12" fillId="5" borderId="23" xfId="0" applyFont="1" applyFill="1" applyBorder="1">
      <alignment vertical="center"/>
    </xf>
    <xf numFmtId="177" fontId="12" fillId="5" borderId="23" xfId="1" applyNumberFormat="1" applyFont="1" applyFill="1" applyBorder="1">
      <alignment vertical="center"/>
    </xf>
    <xf numFmtId="177" fontId="12" fillId="5" borderId="22" xfId="1" applyNumberFormat="1" applyFont="1" applyFill="1" applyBorder="1">
      <alignment vertical="center"/>
    </xf>
    <xf numFmtId="177" fontId="12" fillId="5" borderId="24" xfId="1" applyNumberFormat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41" fontId="10" fillId="2" borderId="0" xfId="1" applyFont="1" applyFill="1" applyAlignment="1">
      <alignment horizontal="center" vertical="center"/>
    </xf>
    <xf numFmtId="0" fontId="10" fillId="2" borderId="21" xfId="0" applyFont="1" applyFill="1" applyBorder="1">
      <alignment vertical="center"/>
    </xf>
    <xf numFmtId="3" fontId="11" fillId="0" borderId="0" xfId="0" applyNumberFormat="1" applyFont="1">
      <alignment vertical="center"/>
    </xf>
    <xf numFmtId="0" fontId="10" fillId="2" borderId="37" xfId="0" applyFont="1" applyFill="1" applyBorder="1" applyAlignment="1">
      <alignment horizontal="center" vertical="center"/>
    </xf>
    <xf numFmtId="41" fontId="17" fillId="2" borderId="0" xfId="1" applyFont="1" applyFill="1">
      <alignment vertical="center"/>
    </xf>
    <xf numFmtId="178" fontId="18" fillId="2" borderId="37" xfId="0" quotePrefix="1" applyNumberFormat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43" fontId="10" fillId="2" borderId="0" xfId="1" applyNumberFormat="1" applyFont="1" applyFill="1">
      <alignment vertical="center"/>
    </xf>
    <xf numFmtId="177" fontId="10" fillId="2" borderId="0" xfId="1" applyNumberFormat="1" applyFont="1" applyFill="1">
      <alignment vertical="center"/>
    </xf>
    <xf numFmtId="178" fontId="18" fillId="0" borderId="40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41" fontId="18" fillId="0" borderId="41" xfId="1" applyFont="1" applyFill="1" applyBorder="1" applyAlignment="1">
      <alignment vertical="center"/>
    </xf>
    <xf numFmtId="41" fontId="18" fillId="2" borderId="0" xfId="1" applyFont="1" applyFill="1" applyBorder="1">
      <alignment vertical="center"/>
    </xf>
    <xf numFmtId="41" fontId="18" fillId="2" borderId="8" xfId="1" applyFont="1" applyFill="1" applyBorder="1" applyAlignment="1">
      <alignment vertical="center"/>
    </xf>
    <xf numFmtId="41" fontId="18" fillId="2" borderId="39" xfId="1" applyFont="1" applyFill="1" applyBorder="1" applyAlignment="1">
      <alignment horizontal="right" vertical="center" indent="2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78" fontId="18" fillId="0" borderId="37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 shrinkToFit="1"/>
    </xf>
    <xf numFmtId="178" fontId="18" fillId="2" borderId="40" xfId="0" quotePrefix="1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178" fontId="18" fillId="2" borderId="29" xfId="0" quotePrefix="1" applyNumberFormat="1" applyFont="1" applyFill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 shrinkToFit="1"/>
    </xf>
    <xf numFmtId="0" fontId="18" fillId="2" borderId="30" xfId="0" applyFont="1" applyFill="1" applyBorder="1" applyAlignment="1">
      <alignment horizontal="center" vertical="center"/>
    </xf>
    <xf numFmtId="0" fontId="18" fillId="2" borderId="0" xfId="0" applyFont="1" applyFill="1">
      <alignment vertical="center"/>
    </xf>
    <xf numFmtId="41" fontId="9" fillId="7" borderId="0" xfId="1" applyFont="1" applyFill="1">
      <alignment vertical="center"/>
    </xf>
    <xf numFmtId="41" fontId="10" fillId="2" borderId="33" xfId="1" applyFont="1" applyFill="1" applyBorder="1">
      <alignment vertical="center"/>
    </xf>
    <xf numFmtId="177" fontId="10" fillId="2" borderId="45" xfId="0" applyNumberFormat="1" applyFont="1" applyFill="1" applyBorder="1">
      <alignment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/>
    </xf>
    <xf numFmtId="0" fontId="18" fillId="2" borderId="6" xfId="0" applyFont="1" applyFill="1" applyBorder="1">
      <alignment vertical="center"/>
    </xf>
    <xf numFmtId="41" fontId="5" fillId="0" borderId="30" xfId="1" applyFont="1" applyFill="1" applyBorder="1">
      <alignment vertical="center"/>
    </xf>
    <xf numFmtId="41" fontId="10" fillId="2" borderId="30" xfId="1" applyFont="1" applyFill="1" applyBorder="1">
      <alignment vertical="center"/>
    </xf>
    <xf numFmtId="41" fontId="10" fillId="2" borderId="31" xfId="1" applyFont="1" applyFill="1" applyBorder="1">
      <alignment vertical="center"/>
    </xf>
    <xf numFmtId="177" fontId="12" fillId="3" borderId="10" xfId="1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30" xfId="0" applyFont="1" applyFill="1" applyBorder="1" applyAlignment="1">
      <alignment horizontal="left" vertical="center" shrinkToFit="1"/>
    </xf>
    <xf numFmtId="41" fontId="10" fillId="0" borderId="38" xfId="1" applyFont="1" applyFill="1" applyBorder="1">
      <alignment vertical="center"/>
    </xf>
    <xf numFmtId="0" fontId="10" fillId="0" borderId="39" xfId="0" applyFont="1" applyBorder="1">
      <alignment vertical="center"/>
    </xf>
    <xf numFmtId="177" fontId="9" fillId="0" borderId="0" xfId="0" applyNumberFormat="1" applyFont="1">
      <alignment vertical="center"/>
    </xf>
    <xf numFmtId="41" fontId="10" fillId="0" borderId="3" xfId="1" applyFont="1" applyFill="1" applyBorder="1">
      <alignment vertical="center"/>
    </xf>
    <xf numFmtId="41" fontId="10" fillId="0" borderId="18" xfId="1" applyFont="1" applyFill="1" applyBorder="1">
      <alignment vertical="center"/>
    </xf>
    <xf numFmtId="41" fontId="10" fillId="0" borderId="28" xfId="1" applyFont="1" applyFill="1" applyBorder="1">
      <alignment vertical="center"/>
    </xf>
    <xf numFmtId="41" fontId="13" fillId="0" borderId="0" xfId="1" applyFont="1" applyFill="1">
      <alignment vertical="center"/>
    </xf>
    <xf numFmtId="41" fontId="9" fillId="8" borderId="0" xfId="1" applyFont="1" applyFill="1">
      <alignment vertical="center"/>
    </xf>
    <xf numFmtId="41" fontId="12" fillId="9" borderId="23" xfId="1" applyFont="1" applyFill="1" applyBorder="1">
      <alignment vertical="center"/>
    </xf>
    <xf numFmtId="41" fontId="10" fillId="0" borderId="33" xfId="1" applyFont="1" applyFill="1" applyBorder="1">
      <alignment vertical="center"/>
    </xf>
    <xf numFmtId="177" fontId="12" fillId="9" borderId="24" xfId="1" applyNumberFormat="1" applyFont="1" applyFill="1" applyBorder="1" applyAlignment="1">
      <alignment horizontal="center" vertical="center"/>
    </xf>
    <xf numFmtId="41" fontId="5" fillId="0" borderId="10" xfId="0" applyNumberFormat="1" applyFont="1" applyBorder="1">
      <alignment vertical="center"/>
    </xf>
    <xf numFmtId="41" fontId="5" fillId="2" borderId="46" xfId="1" applyFont="1" applyFill="1" applyBorder="1">
      <alignment vertical="center"/>
    </xf>
    <xf numFmtId="0" fontId="10" fillId="2" borderId="30" xfId="0" applyFont="1" applyFill="1" applyBorder="1" applyAlignment="1">
      <alignment horizontal="center" vertical="center"/>
    </xf>
    <xf numFmtId="41" fontId="5" fillId="0" borderId="33" xfId="1" applyFont="1" applyFill="1" applyBorder="1">
      <alignment vertical="center"/>
    </xf>
    <xf numFmtId="41" fontId="10" fillId="0" borderId="30" xfId="1" applyFont="1" applyFill="1" applyBorder="1">
      <alignment vertical="center"/>
    </xf>
    <xf numFmtId="41" fontId="18" fillId="2" borderId="30" xfId="1" applyFont="1" applyFill="1" applyBorder="1" applyAlignment="1">
      <alignment horizontal="left" vertical="center"/>
    </xf>
    <xf numFmtId="41" fontId="18" fillId="2" borderId="44" xfId="1" applyFont="1" applyFill="1" applyBorder="1" applyAlignment="1">
      <alignment horizontal="left" vertical="center"/>
    </xf>
    <xf numFmtId="41" fontId="18" fillId="2" borderId="6" xfId="1" applyFont="1" applyFill="1" applyBorder="1" applyAlignment="1">
      <alignment horizontal="left" vertical="center"/>
    </xf>
    <xf numFmtId="41" fontId="18" fillId="2" borderId="14" xfId="1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6" fillId="6" borderId="34" xfId="0" applyFont="1" applyFill="1" applyBorder="1" applyAlignment="1">
      <alignment horizontal="center" vertical="center"/>
    </xf>
    <xf numFmtId="0" fontId="16" fillId="6" borderId="35" xfId="0" applyFont="1" applyFill="1" applyBorder="1" applyAlignment="1">
      <alignment horizontal="center" vertical="center"/>
    </xf>
    <xf numFmtId="0" fontId="16" fillId="6" borderId="36" xfId="0" applyFont="1" applyFill="1" applyBorder="1" applyAlignment="1">
      <alignment horizontal="center" vertical="center"/>
    </xf>
    <xf numFmtId="41" fontId="10" fillId="2" borderId="38" xfId="1" applyFont="1" applyFill="1" applyBorder="1" applyAlignment="1">
      <alignment horizontal="left" vertical="center"/>
    </xf>
    <xf numFmtId="41" fontId="10" fillId="2" borderId="12" xfId="1" applyFont="1" applyFill="1" applyBorder="1" applyAlignment="1">
      <alignment horizontal="left" vertical="center"/>
    </xf>
    <xf numFmtId="41" fontId="10" fillId="2" borderId="39" xfId="1" applyFont="1" applyFill="1" applyBorder="1" applyAlignment="1">
      <alignment horizontal="left" vertical="center"/>
    </xf>
    <xf numFmtId="41" fontId="18" fillId="2" borderId="38" xfId="1" applyFont="1" applyFill="1" applyBorder="1" applyAlignment="1">
      <alignment horizontal="left" vertical="center"/>
    </xf>
    <xf numFmtId="41" fontId="18" fillId="2" borderId="12" xfId="1" applyFont="1" applyFill="1" applyBorder="1" applyAlignment="1">
      <alignment horizontal="left" vertical="center"/>
    </xf>
    <xf numFmtId="41" fontId="18" fillId="2" borderId="39" xfId="1" applyFont="1" applyFill="1" applyBorder="1" applyAlignment="1">
      <alignment horizontal="left" vertical="center"/>
    </xf>
    <xf numFmtId="0" fontId="6" fillId="6" borderId="4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43" xfId="0" applyFont="1" applyFill="1" applyBorder="1" applyAlignment="1">
      <alignment horizontal="center" vertical="center"/>
    </xf>
    <xf numFmtId="41" fontId="5" fillId="2" borderId="3" xfId="1" applyFont="1" applyFill="1" applyBorder="1" applyAlignment="1">
      <alignment horizontal="left" vertical="center"/>
    </xf>
    <xf numFmtId="41" fontId="5" fillId="2" borderId="4" xfId="1" applyFont="1" applyFill="1" applyBorder="1" applyAlignment="1">
      <alignment horizontal="left" vertical="center"/>
    </xf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2" fillId="5" borderId="22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5" borderId="2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176" fontId="6" fillId="2" borderId="1" xfId="0" applyNumberFormat="1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customProperty" Target="../customProperty16.bin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customProperty" Target="../customProperty20.bin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customProperty" Target="../customProperty21.bin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customProperty" Target="../customProperty22.bin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customProperty" Target="../customProperty23.bin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C47B-45C3-4FA2-80DB-D74C9F253478}">
  <dimension ref="A1:P43"/>
  <sheetViews>
    <sheetView workbookViewId="0">
      <selection activeCell="D20" sqref="D20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45962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56</v>
      </c>
      <c r="F3" s="5" t="s">
        <v>6</v>
      </c>
      <c r="G3" s="6" t="s">
        <v>7</v>
      </c>
      <c r="H3" s="7"/>
      <c r="I3" s="8" t="s">
        <v>8</v>
      </c>
      <c r="J3" s="9"/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/>
      <c r="E4" s="12">
        <v>31562388</v>
      </c>
      <c r="F4" s="13">
        <f>D4+E4</f>
        <v>31562388</v>
      </c>
      <c r="G4" s="14">
        <f>K4/200</f>
        <v>21.05</v>
      </c>
      <c r="H4" s="15"/>
      <c r="I4" s="11"/>
      <c r="J4" s="16">
        <v>4210</v>
      </c>
      <c r="K4" s="17">
        <f>I4+J4</f>
        <v>4210</v>
      </c>
      <c r="L4" s="10"/>
      <c r="M4" s="103">
        <f>+K4+K6+K7+K8</f>
        <v>4615</v>
      </c>
      <c r="N4" s="2"/>
    </row>
    <row r="5" spans="1:16">
      <c r="A5" s="172"/>
      <c r="B5" s="176" t="s">
        <v>13</v>
      </c>
      <c r="C5" s="177"/>
      <c r="D5" s="11"/>
      <c r="E5" s="12"/>
      <c r="F5" s="13">
        <f t="shared" ref="F5:F8" si="0">D5+E5</f>
        <v>0</v>
      </c>
      <c r="G5" s="18">
        <f>K5/200</f>
        <v>54.46</v>
      </c>
      <c r="H5" s="15"/>
      <c r="I5" s="11"/>
      <c r="J5" s="12">
        <v>10892</v>
      </c>
      <c r="K5" s="17">
        <f>I5+J5</f>
        <v>10892</v>
      </c>
      <c r="L5" s="10"/>
      <c r="M5" s="2"/>
      <c r="N5" s="2"/>
    </row>
    <row r="6" spans="1:16">
      <c r="A6" s="172"/>
      <c r="B6" s="176" t="s">
        <v>14</v>
      </c>
      <c r="C6" s="177"/>
      <c r="D6" s="11"/>
      <c r="E6" s="12"/>
      <c r="F6" s="13">
        <f t="shared" si="0"/>
        <v>0</v>
      </c>
      <c r="G6" s="18">
        <f>K6/200</f>
        <v>0</v>
      </c>
      <c r="I6" s="11"/>
      <c r="J6" s="19"/>
      <c r="K6" s="17">
        <f>I6+J6</f>
        <v>0</v>
      </c>
      <c r="M6" s="2"/>
      <c r="N6" s="2"/>
    </row>
    <row r="7" spans="1:16">
      <c r="A7" s="172"/>
      <c r="B7" s="178" t="s">
        <v>15</v>
      </c>
      <c r="C7" s="179"/>
      <c r="D7" s="11"/>
      <c r="E7" s="12">
        <v>2264570</v>
      </c>
      <c r="F7" s="13">
        <f t="shared" si="0"/>
        <v>2264570</v>
      </c>
      <c r="G7" s="18">
        <f t="shared" ref="G7:G8" si="1">K7/200</f>
        <v>2.0249999999999999</v>
      </c>
      <c r="H7" s="22"/>
      <c r="I7" s="11"/>
      <c r="J7" s="19">
        <v>405</v>
      </c>
      <c r="K7" s="23">
        <f>I7+J7</f>
        <v>405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/>
      <c r="E8" s="25"/>
      <c r="F8" s="13">
        <f t="shared" si="0"/>
        <v>0</v>
      </c>
      <c r="G8" s="18">
        <f t="shared" si="1"/>
        <v>0</v>
      </c>
      <c r="H8" s="22"/>
      <c r="I8" s="11"/>
      <c r="J8" s="19"/>
      <c r="K8" s="23">
        <f>I8+J8</f>
        <v>0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0</v>
      </c>
      <c r="E9" s="28">
        <f>SUM(E4:E8)</f>
        <v>33826958</v>
      </c>
      <c r="F9" s="28">
        <f>SUM(F4:F8)</f>
        <v>33826958</v>
      </c>
      <c r="G9" s="29">
        <f>SUM(G4:G8)</f>
        <v>77.535000000000011</v>
      </c>
      <c r="H9" s="30"/>
      <c r="I9" s="31">
        <f>SUM(I4:I8)</f>
        <v>0</v>
      </c>
      <c r="J9" s="31">
        <f>SUM(J4:J8)</f>
        <v>15507</v>
      </c>
      <c r="K9" s="31">
        <f>SUM(K4:K8)</f>
        <v>15507</v>
      </c>
      <c r="M9" s="10"/>
    </row>
    <row r="10" spans="1:16">
      <c r="A10" s="144" t="s">
        <v>18</v>
      </c>
      <c r="B10" s="140" t="s">
        <v>19</v>
      </c>
      <c r="C10" s="140"/>
      <c r="D10" s="11"/>
      <c r="E10" s="32">
        <v>149600</v>
      </c>
      <c r="F10" s="33">
        <f>D10+E10</f>
        <v>149600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/>
      <c r="E11" s="12"/>
      <c r="F11" s="19">
        <f>D11+E11</f>
        <v>0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/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0</v>
      </c>
      <c r="E13" s="28">
        <f>SUM(E10:E12)</f>
        <v>149600</v>
      </c>
      <c r="F13" s="28">
        <f>SUM(F10:F12)</f>
        <v>149600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/>
      <c r="E14" s="41"/>
      <c r="F14" s="33">
        <f>D14+E14</f>
        <v>0</v>
      </c>
      <c r="G14" s="42">
        <f>F14/200</f>
        <v>0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/>
      <c r="E15" s="26"/>
      <c r="F15" s="26">
        <f>D15+E15</f>
        <v>0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>
      <c r="A16" s="142" t="s">
        <v>27</v>
      </c>
      <c r="B16" s="45" t="s">
        <v>28</v>
      </c>
      <c r="C16" s="106" t="s">
        <v>25</v>
      </c>
      <c r="D16" s="46"/>
      <c r="E16" s="33">
        <v>18</v>
      </c>
      <c r="F16" s="33">
        <f>D16+E16</f>
        <v>18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11"/>
      <c r="E17" s="104"/>
      <c r="F17" s="104">
        <f>D17+E17</f>
        <v>0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v>653.59</v>
      </c>
      <c r="E19" s="64">
        <f>I19/200</f>
        <v>0</v>
      </c>
      <c r="F19" s="64">
        <f t="shared" ref="E19:F23" si="2">J19/200</f>
        <v>20.45</v>
      </c>
      <c r="G19" s="65">
        <f>D19+E19-F19</f>
        <v>633.14</v>
      </c>
      <c r="H19" s="66"/>
      <c r="I19" s="67"/>
      <c r="J19" s="19">
        <v>4090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v>130.16</v>
      </c>
      <c r="E20" s="64">
        <f t="shared" si="2"/>
        <v>0</v>
      </c>
      <c r="F20" s="64">
        <f t="shared" si="2"/>
        <v>54.46</v>
      </c>
      <c r="G20" s="65">
        <f t="shared" ref="G20:G23" si="3">D20+E20-F20</f>
        <v>75.699999999999989</v>
      </c>
      <c r="H20" s="43"/>
      <c r="I20" s="67"/>
      <c r="J20" s="19">
        <v>10892</v>
      </c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/>
      <c r="E21" s="64">
        <f t="shared" si="2"/>
        <v>0</v>
      </c>
      <c r="F21" s="64">
        <f t="shared" si="2"/>
        <v>0</v>
      </c>
      <c r="G21" s="65">
        <f t="shared" si="3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v>67.099999999999994</v>
      </c>
      <c r="E22" s="64">
        <f t="shared" si="2"/>
        <v>0</v>
      </c>
      <c r="F22" s="64">
        <f t="shared" si="2"/>
        <v>2.0249999999999999</v>
      </c>
      <c r="G22" s="65">
        <f t="shared" si="3"/>
        <v>65.074999999999989</v>
      </c>
      <c r="H22" s="43"/>
      <c r="I22" s="70"/>
      <c r="J22" s="19">
        <v>405</v>
      </c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v>30.875</v>
      </c>
      <c r="E23" s="64">
        <f>I23/200</f>
        <v>0</v>
      </c>
      <c r="F23" s="64">
        <f t="shared" si="2"/>
        <v>0</v>
      </c>
      <c r="G23" s="65">
        <f t="shared" si="3"/>
        <v>30.875</v>
      </c>
      <c r="H23" s="43"/>
      <c r="I23" s="70"/>
      <c r="J23" s="19"/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881.72500000000002</v>
      </c>
      <c r="E24" s="74">
        <f>SUM(E19:E23)</f>
        <v>0</v>
      </c>
      <c r="F24" s="73">
        <f>SUM(F19:F23)</f>
        <v>76.935000000000002</v>
      </c>
      <c r="G24" s="75">
        <f>SUM(G19:G23)</f>
        <v>804.79</v>
      </c>
      <c r="H24" s="30"/>
      <c r="I24" s="31">
        <f>SUM(I19:I23)</f>
        <v>0</v>
      </c>
      <c r="J24" s="31">
        <f>SUM(J19:J23)</f>
        <v>15387</v>
      </c>
      <c r="K24" s="76"/>
      <c r="L24" s="59"/>
      <c r="M24" s="120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36"/>
      <c r="E33" s="136"/>
      <c r="F33" s="136"/>
      <c r="G33" s="137"/>
      <c r="I33" s="1"/>
    </row>
    <row r="34" spans="1:9" s="22" customFormat="1">
      <c r="A34" s="94"/>
      <c r="B34" s="95"/>
      <c r="C34" s="95"/>
      <c r="D34" s="136"/>
      <c r="E34" s="136"/>
      <c r="F34" s="136"/>
      <c r="G34" s="13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A1:G1"/>
    <mergeCell ref="A2:B2"/>
    <mergeCell ref="A3:C3"/>
    <mergeCell ref="A4:A8"/>
    <mergeCell ref="B4:C4"/>
    <mergeCell ref="B5:C5"/>
    <mergeCell ref="B6:C6"/>
    <mergeCell ref="B7:C7"/>
    <mergeCell ref="B8:C8"/>
    <mergeCell ref="A9:C9"/>
    <mergeCell ref="A10:A13"/>
    <mergeCell ref="B10:C10"/>
    <mergeCell ref="B11:C11"/>
    <mergeCell ref="B12:C12"/>
    <mergeCell ref="B13:C13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D40:G40"/>
    <mergeCell ref="D34:G34"/>
    <mergeCell ref="D35:G35"/>
    <mergeCell ref="D36:G36"/>
    <mergeCell ref="D37:G37"/>
    <mergeCell ref="D38:G38"/>
    <mergeCell ref="D39:G39"/>
  </mergeCells>
  <phoneticPr fontId="3" type="noConversion"/>
  <pageMargins left="0.7" right="0.7" top="0.75" bottom="0.75" header="0.3" footer="0.3"/>
  <customProperties>
    <customPr name="SheetID" r:id="rId1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74E0-0C3D-441A-B782-273B590CC5F7}">
  <dimension ref="A1:P43"/>
  <sheetViews>
    <sheetView workbookViewId="0">
      <selection activeCell="C15" sqref="C14:C15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45964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57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SUM('1101'!F4)</f>
        <v>31562388</v>
      </c>
      <c r="E4" s="12">
        <v>93730544</v>
      </c>
      <c r="F4" s="13">
        <f t="shared" ref="F4:F8" si="0">D4+E4</f>
        <v>125292932</v>
      </c>
      <c r="G4" s="14">
        <f>K4/200</f>
        <v>109.26</v>
      </c>
      <c r="H4" s="15"/>
      <c r="I4" s="11">
        <f>'1101'!K4</f>
        <v>4210</v>
      </c>
      <c r="J4" s="16">
        <v>17642</v>
      </c>
      <c r="K4" s="17">
        <f>I4+J4</f>
        <v>21852</v>
      </c>
      <c r="L4" s="10"/>
      <c r="M4" s="103">
        <f>+K4+K6+K7+K8</f>
        <v>28867</v>
      </c>
      <c r="N4" s="2"/>
    </row>
    <row r="5" spans="1:16">
      <c r="A5" s="172"/>
      <c r="B5" s="176" t="s">
        <v>13</v>
      </c>
      <c r="C5" s="177"/>
      <c r="D5" s="11">
        <f>SUM('1101'!F5)</f>
        <v>0</v>
      </c>
      <c r="E5" s="12"/>
      <c r="F5" s="13">
        <f t="shared" si="0"/>
        <v>0</v>
      </c>
      <c r="G5" s="18">
        <f>K5/200</f>
        <v>100.9</v>
      </c>
      <c r="H5" s="15"/>
      <c r="I5" s="11">
        <f>'1101'!K5</f>
        <v>10892</v>
      </c>
      <c r="J5" s="12">
        <v>9288</v>
      </c>
      <c r="K5" s="17">
        <f>I5+J5</f>
        <v>20180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SUM('1101'!F6)</f>
        <v>0</v>
      </c>
      <c r="E6" s="12"/>
      <c r="F6" s="13">
        <f t="shared" si="0"/>
        <v>0</v>
      </c>
      <c r="G6" s="18">
        <f>K6/200</f>
        <v>0</v>
      </c>
      <c r="I6" s="11">
        <f>'1101'!K6</f>
        <v>0</v>
      </c>
      <c r="J6" s="19"/>
      <c r="K6" s="17">
        <f t="shared" ref="K6" si="1">I6+J6</f>
        <v>0</v>
      </c>
      <c r="M6" s="2"/>
      <c r="N6" s="2"/>
    </row>
    <row r="7" spans="1:16">
      <c r="A7" s="172"/>
      <c r="B7" s="178" t="s">
        <v>15</v>
      </c>
      <c r="C7" s="179"/>
      <c r="D7" s="11">
        <f>SUM('1101'!F7)</f>
        <v>2264570</v>
      </c>
      <c r="E7" s="12">
        <v>25522640</v>
      </c>
      <c r="F7" s="13">
        <f t="shared" si="0"/>
        <v>27787210</v>
      </c>
      <c r="G7" s="21">
        <f>K7/200</f>
        <v>31.074999999999999</v>
      </c>
      <c r="H7" s="22"/>
      <c r="I7" s="11">
        <f>'1101'!K7</f>
        <v>405</v>
      </c>
      <c r="J7" s="19">
        <v>5810</v>
      </c>
      <c r="K7" s="23">
        <f>I7+J7</f>
        <v>6215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SUM('1101'!F8)</f>
        <v>0</v>
      </c>
      <c r="E8" s="25">
        <v>2046000</v>
      </c>
      <c r="F8" s="13">
        <f t="shared" si="0"/>
        <v>2046000</v>
      </c>
      <c r="G8" s="27">
        <f>K8/200</f>
        <v>4</v>
      </c>
      <c r="H8" s="22"/>
      <c r="I8" s="11">
        <f>'1101'!K8</f>
        <v>0</v>
      </c>
      <c r="J8" s="19">
        <v>800</v>
      </c>
      <c r="K8" s="23">
        <f>I8+J8</f>
        <v>800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33826958</v>
      </c>
      <c r="E9" s="28">
        <f>SUM(E4:E8)</f>
        <v>121299184</v>
      </c>
      <c r="F9" s="28">
        <f>SUM(F4:F8)</f>
        <v>155126142</v>
      </c>
      <c r="G9" s="29">
        <f>SUM(G4:G8)</f>
        <v>245.23500000000001</v>
      </c>
      <c r="H9" s="30"/>
      <c r="I9" s="31">
        <f>SUM(I4:I8)</f>
        <v>15507</v>
      </c>
      <c r="J9" s="31">
        <f>SUM(J4:J8)</f>
        <v>33540</v>
      </c>
      <c r="K9" s="31">
        <f>SUM(K4:K8)</f>
        <v>49047</v>
      </c>
      <c r="M9" s="10"/>
    </row>
    <row r="10" spans="1:16">
      <c r="A10" s="144" t="s">
        <v>18</v>
      </c>
      <c r="B10" s="140" t="s">
        <v>19</v>
      </c>
      <c r="C10" s="140"/>
      <c r="D10" s="11">
        <f>SUM('1101'!F10)</f>
        <v>149600</v>
      </c>
      <c r="E10" s="32">
        <v>6115340</v>
      </c>
      <c r="F10" s="33">
        <f>D10+E10</f>
        <v>6264940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SUM('1101'!F11)</f>
        <v>0</v>
      </c>
      <c r="E11" s="12"/>
      <c r="F11" s="19">
        <f>D11+E11</f>
        <v>0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SUM('1101'!F12)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149600</v>
      </c>
      <c r="E13" s="28">
        <f>SUM(E10:E12)</f>
        <v>6115340</v>
      </c>
      <c r="F13" s="28">
        <f>SUM(F10:F12)</f>
        <v>6264940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SUM('1101'!F14)</f>
        <v>0</v>
      </c>
      <c r="E14" s="123">
        <v>10621</v>
      </c>
      <c r="F14" s="33">
        <f>D14+E14</f>
        <v>10621</v>
      </c>
      <c r="G14" s="42">
        <f>F14/200</f>
        <v>53.104999999999997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2">
        <f>SUM('1101'!F15)</f>
        <v>0</v>
      </c>
      <c r="E15" s="122">
        <v>84709020</v>
      </c>
      <c r="F15" s="113">
        <f>D15+E15</f>
        <v>84709020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>
      <c r="A16" s="142" t="s">
        <v>27</v>
      </c>
      <c r="B16" s="45" t="s">
        <v>28</v>
      </c>
      <c r="C16" s="106" t="s">
        <v>25</v>
      </c>
      <c r="D16" s="11">
        <f>SUM('1101'!F16)</f>
        <v>18</v>
      </c>
      <c r="E16" s="121">
        <v>1352</v>
      </c>
      <c r="F16" s="33">
        <f>D16+E16</f>
        <v>1370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11">
        <f>SUM('1101'!F17)</f>
        <v>0</v>
      </c>
      <c r="E17" s="104">
        <v>2277</v>
      </c>
      <c r="F17" s="104">
        <f>D17+E17</f>
        <v>2277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'1101'!G19</f>
        <v>633.14</v>
      </c>
      <c r="E19" s="64">
        <f>I19/200</f>
        <v>53.104999999999997</v>
      </c>
      <c r="F19" s="64">
        <f t="shared" ref="E19:F23" si="2">J19/200</f>
        <v>91.57</v>
      </c>
      <c r="G19" s="65">
        <f>D19+E19-F19</f>
        <v>594.67499999999995</v>
      </c>
      <c r="H19" s="66"/>
      <c r="I19" s="67">
        <v>10621</v>
      </c>
      <c r="J19" s="19">
        <v>18314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'1101'!G20</f>
        <v>75.699999999999989</v>
      </c>
      <c r="E20" s="64">
        <f t="shared" si="2"/>
        <v>0</v>
      </c>
      <c r="F20" s="64">
        <f t="shared" si="2"/>
        <v>46.44</v>
      </c>
      <c r="G20" s="65">
        <f t="shared" ref="G20:G23" si="3">D20+E20-F20</f>
        <v>29.259999999999991</v>
      </c>
      <c r="H20" s="43"/>
      <c r="I20" s="67"/>
      <c r="J20" s="19">
        <v>9288</v>
      </c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'1101'!G21</f>
        <v>0</v>
      </c>
      <c r="E21" s="64">
        <f t="shared" si="2"/>
        <v>0</v>
      </c>
      <c r="F21" s="64">
        <f t="shared" si="2"/>
        <v>0</v>
      </c>
      <c r="G21" s="65">
        <f t="shared" si="3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'1101'!G22</f>
        <v>65.074999999999989</v>
      </c>
      <c r="E22" s="64">
        <f t="shared" si="2"/>
        <v>14</v>
      </c>
      <c r="F22" s="64">
        <f t="shared" si="2"/>
        <v>29.05</v>
      </c>
      <c r="G22" s="65">
        <f t="shared" si="3"/>
        <v>50.024999999999991</v>
      </c>
      <c r="H22" s="43"/>
      <c r="I22" s="70">
        <v>2800</v>
      </c>
      <c r="J22" s="19">
        <v>5810</v>
      </c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'1101'!G23</f>
        <v>30.875</v>
      </c>
      <c r="E23" s="64">
        <f>I23/200</f>
        <v>0</v>
      </c>
      <c r="F23" s="64">
        <f t="shared" si="2"/>
        <v>4</v>
      </c>
      <c r="G23" s="65">
        <f t="shared" si="3"/>
        <v>26.875</v>
      </c>
      <c r="H23" s="43"/>
      <c r="I23" s="70"/>
      <c r="J23" s="19">
        <v>800</v>
      </c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804.79</v>
      </c>
      <c r="E24" s="74">
        <f>SUM(E19:E23)</f>
        <v>67.10499999999999</v>
      </c>
      <c r="F24" s="73">
        <f>SUM(F19:F23)</f>
        <v>171.06</v>
      </c>
      <c r="G24" s="75">
        <f>SUM(G19:G23)</f>
        <v>700.83499999999992</v>
      </c>
      <c r="H24" s="30"/>
      <c r="I24" s="31">
        <f>SUM(I19:I23)</f>
        <v>13421</v>
      </c>
      <c r="J24" s="31">
        <f>SUM(J19:J23)</f>
        <v>34212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36"/>
      <c r="E33" s="136"/>
      <c r="F33" s="136"/>
      <c r="G33" s="137"/>
      <c r="I33" s="1"/>
    </row>
    <row r="34" spans="1:9" s="22" customFormat="1">
      <c r="A34" s="94"/>
      <c r="B34" s="95"/>
      <c r="C34" s="95"/>
      <c r="D34" s="136"/>
      <c r="E34" s="136"/>
      <c r="F34" s="136"/>
      <c r="G34" s="13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A1:G1"/>
    <mergeCell ref="A2:B2"/>
    <mergeCell ref="A3:C3"/>
    <mergeCell ref="A4:A8"/>
    <mergeCell ref="B4:C4"/>
    <mergeCell ref="B5:C5"/>
    <mergeCell ref="B6:C6"/>
    <mergeCell ref="B7:C7"/>
    <mergeCell ref="B8:C8"/>
    <mergeCell ref="A9:C9"/>
    <mergeCell ref="A10:A13"/>
    <mergeCell ref="B10:C10"/>
    <mergeCell ref="B11:C11"/>
    <mergeCell ref="B12:C12"/>
    <mergeCell ref="B13:C13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D40:G40"/>
    <mergeCell ref="D34:G34"/>
    <mergeCell ref="D35:G35"/>
    <mergeCell ref="D36:G36"/>
    <mergeCell ref="D37:G37"/>
    <mergeCell ref="D38:G38"/>
    <mergeCell ref="D39:G39"/>
  </mergeCells>
  <phoneticPr fontId="3" type="noConversion"/>
  <pageMargins left="0.7" right="0.7" top="0.75" bottom="0.75" header="0.3" footer="0.3"/>
  <customProperties>
    <customPr name="SheetID" r:id="rId1"/>
  </customPropertie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B643-E9B6-41B1-B6E8-0B77F1B2B9D6}">
  <dimension ref="A1:P43"/>
  <sheetViews>
    <sheetView workbookViewId="0">
      <selection activeCell="E8" sqref="E8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45965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57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SUM('1103'!F4)</f>
        <v>125292932</v>
      </c>
      <c r="E4" s="12">
        <v>17694710</v>
      </c>
      <c r="F4" s="13">
        <f t="shared" ref="F4:F8" si="0">D4+E4</f>
        <v>142987642</v>
      </c>
      <c r="G4" s="14">
        <f>K4/200</f>
        <v>136.26499999999999</v>
      </c>
      <c r="H4" s="15"/>
      <c r="I4" s="11">
        <f>'1103'!K4</f>
        <v>21852</v>
      </c>
      <c r="J4" s="16">
        <v>5401</v>
      </c>
      <c r="K4" s="17">
        <f>I4+J4</f>
        <v>27253</v>
      </c>
      <c r="L4" s="10"/>
      <c r="M4" s="103">
        <f>+K4+K6+K7+K8</f>
        <v>34668</v>
      </c>
      <c r="N4" s="2"/>
    </row>
    <row r="5" spans="1:16">
      <c r="A5" s="172"/>
      <c r="B5" s="176" t="s">
        <v>13</v>
      </c>
      <c r="C5" s="177"/>
      <c r="D5" s="11">
        <f>SUM('1103'!F5)</f>
        <v>0</v>
      </c>
      <c r="E5" s="12"/>
      <c r="F5" s="13">
        <f t="shared" si="0"/>
        <v>0</v>
      </c>
      <c r="G5" s="18">
        <f>K5/200</f>
        <v>100.9</v>
      </c>
      <c r="H5" s="15"/>
      <c r="I5" s="11">
        <f>'1103'!K5</f>
        <v>20180</v>
      </c>
      <c r="J5" s="19"/>
      <c r="K5" s="17">
        <f>I5+J5</f>
        <v>20180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SUM('1103'!F6)</f>
        <v>0</v>
      </c>
      <c r="E6" s="12"/>
      <c r="F6" s="13">
        <f t="shared" si="0"/>
        <v>0</v>
      </c>
      <c r="G6" s="18">
        <f>K6/200</f>
        <v>0</v>
      </c>
      <c r="I6" s="11">
        <f>'1103'!K6</f>
        <v>0</v>
      </c>
      <c r="J6" s="19"/>
      <c r="K6" s="17">
        <f t="shared" ref="K6" si="1">I6+J6</f>
        <v>0</v>
      </c>
      <c r="M6" s="2"/>
      <c r="N6" s="2"/>
    </row>
    <row r="7" spans="1:16">
      <c r="A7" s="172"/>
      <c r="B7" s="178" t="s">
        <v>15</v>
      </c>
      <c r="C7" s="179"/>
      <c r="D7" s="11">
        <f>SUM('1103'!F7)</f>
        <v>27787210</v>
      </c>
      <c r="E7" s="12">
        <v>1595000</v>
      </c>
      <c r="F7" s="13">
        <f t="shared" si="0"/>
        <v>29382210</v>
      </c>
      <c r="G7" s="21">
        <f>K7/200</f>
        <v>33.075000000000003</v>
      </c>
      <c r="H7" s="22"/>
      <c r="I7" s="11">
        <f>'1103'!K7</f>
        <v>6215</v>
      </c>
      <c r="J7" s="19">
        <v>400</v>
      </c>
      <c r="K7" s="23">
        <f>I7+J7</f>
        <v>6615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SUM('1103'!F8)</f>
        <v>2046000</v>
      </c>
      <c r="E8" s="25"/>
      <c r="F8" s="13">
        <f t="shared" si="0"/>
        <v>2046000</v>
      </c>
      <c r="G8" s="27">
        <f>K8/200</f>
        <v>4</v>
      </c>
      <c r="H8" s="22"/>
      <c r="I8" s="11">
        <f>'1103'!K8</f>
        <v>800</v>
      </c>
      <c r="J8" s="19"/>
      <c r="K8" s="23">
        <f>I8+J8</f>
        <v>800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155126142</v>
      </c>
      <c r="E9" s="28">
        <f>SUM(E4:E8)</f>
        <v>19289710</v>
      </c>
      <c r="F9" s="28">
        <f>SUM(F4:F8)</f>
        <v>174415852</v>
      </c>
      <c r="G9" s="29">
        <f>SUM(G4:G8)</f>
        <v>274.24</v>
      </c>
      <c r="H9" s="30"/>
      <c r="I9" s="31">
        <f>SUM(I4:I8)</f>
        <v>49047</v>
      </c>
      <c r="J9" s="31">
        <f>SUM(J4:J8)</f>
        <v>5801</v>
      </c>
      <c r="K9" s="31">
        <f>SUM(K4:K8)</f>
        <v>54848</v>
      </c>
      <c r="M9" s="10"/>
    </row>
    <row r="10" spans="1:16">
      <c r="A10" s="144" t="s">
        <v>18</v>
      </c>
      <c r="B10" s="140" t="s">
        <v>19</v>
      </c>
      <c r="C10" s="140"/>
      <c r="D10" s="11">
        <f>SUM('1103'!F10)</f>
        <v>6264940</v>
      </c>
      <c r="E10" s="32">
        <v>17755100</v>
      </c>
      <c r="F10" s="33">
        <f>D10+E10</f>
        <v>24020040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SUM('1103'!F11)</f>
        <v>0</v>
      </c>
      <c r="E11" s="12"/>
      <c r="F11" s="19">
        <f>D11+E11</f>
        <v>0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SUM('1103'!F12)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6264940</v>
      </c>
      <c r="E13" s="28">
        <f>SUM(E10:E12)</f>
        <v>17755100</v>
      </c>
      <c r="F13" s="28">
        <f>SUM(F10:F12)</f>
        <v>24020040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SUM('1103'!F14)</f>
        <v>10621</v>
      </c>
      <c r="E14" s="123">
        <v>11720</v>
      </c>
      <c r="F14" s="33">
        <f>D14+E14</f>
        <v>22341</v>
      </c>
      <c r="G14" s="42">
        <f>F14/200</f>
        <v>111.705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2">
        <f>SUM('1103'!F15)</f>
        <v>84709020</v>
      </c>
      <c r="E15" s="122">
        <v>35180200</v>
      </c>
      <c r="F15" s="26">
        <f>D15+E15</f>
        <v>119889220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>
      <c r="A16" s="142" t="s">
        <v>27</v>
      </c>
      <c r="B16" s="45" t="s">
        <v>28</v>
      </c>
      <c r="C16" s="106" t="s">
        <v>25</v>
      </c>
      <c r="D16" s="11">
        <f>SUM('1103'!F16)</f>
        <v>1370</v>
      </c>
      <c r="E16" s="33"/>
      <c r="F16" s="33">
        <f>D16+E16</f>
        <v>1370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11">
        <f>SUM('1103'!F17)</f>
        <v>2277</v>
      </c>
      <c r="E17" s="104"/>
      <c r="F17" s="104">
        <f>D17+E17</f>
        <v>2277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'1103'!G19</f>
        <v>594.67499999999995</v>
      </c>
      <c r="E19" s="64">
        <f>I19/200</f>
        <v>58.8</v>
      </c>
      <c r="F19" s="64">
        <f t="shared" ref="E19:F22" si="2">J19/200</f>
        <v>39.85</v>
      </c>
      <c r="G19" s="65">
        <f>D19+E19-F19</f>
        <v>613.62499999999989</v>
      </c>
      <c r="H19" s="66"/>
      <c r="I19" s="67">
        <v>11760</v>
      </c>
      <c r="J19" s="16">
        <v>7970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'1103'!G20</f>
        <v>29.259999999999991</v>
      </c>
      <c r="E20" s="64">
        <f t="shared" si="2"/>
        <v>0</v>
      </c>
      <c r="F20" s="64">
        <f>J20/200</f>
        <v>0</v>
      </c>
      <c r="G20" s="65">
        <f t="shared" ref="G20:G23" si="3">D20+E20-F20</f>
        <v>29.259999999999991</v>
      </c>
      <c r="H20" s="43"/>
      <c r="I20" s="67"/>
      <c r="J20" s="19"/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'1103'!G21</f>
        <v>0</v>
      </c>
      <c r="E21" s="64">
        <f t="shared" si="2"/>
        <v>0</v>
      </c>
      <c r="F21" s="64">
        <f>J21/200</f>
        <v>0</v>
      </c>
      <c r="G21" s="65">
        <f t="shared" si="3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'1103'!G22</f>
        <v>50.024999999999991</v>
      </c>
      <c r="E22" s="64">
        <f t="shared" si="2"/>
        <v>0</v>
      </c>
      <c r="F22" s="64">
        <f>J22/200</f>
        <v>2</v>
      </c>
      <c r="G22" s="65">
        <f t="shared" si="3"/>
        <v>48.024999999999991</v>
      </c>
      <c r="H22" s="43"/>
      <c r="I22" s="70"/>
      <c r="J22" s="19">
        <v>400</v>
      </c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'1103'!G23</f>
        <v>26.875</v>
      </c>
      <c r="E23" s="64">
        <f>I23/200</f>
        <v>5.2</v>
      </c>
      <c r="F23" s="64">
        <f>J23/200</f>
        <v>0</v>
      </c>
      <c r="G23" s="65">
        <f t="shared" si="3"/>
        <v>32.075000000000003</v>
      </c>
      <c r="H23" s="43"/>
      <c r="I23" s="70">
        <v>1040</v>
      </c>
      <c r="J23" s="19"/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700.83499999999992</v>
      </c>
      <c r="E24" s="74">
        <f>SUM(E19:E23)</f>
        <v>64</v>
      </c>
      <c r="F24" s="73">
        <f>SUM(F19:F23)</f>
        <v>41.85</v>
      </c>
      <c r="G24" s="75">
        <f>SUM(G19:G23)</f>
        <v>722.9849999999999</v>
      </c>
      <c r="H24" s="30"/>
      <c r="I24" s="31">
        <f>SUM(I19:I23)</f>
        <v>12800</v>
      </c>
      <c r="J24" s="31">
        <f>SUM(J19:J23)</f>
        <v>8370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36"/>
      <c r="E33" s="136"/>
      <c r="F33" s="136"/>
      <c r="G33" s="137"/>
      <c r="I33" s="1"/>
    </row>
    <row r="34" spans="1:9" s="22" customFormat="1">
      <c r="A34" s="94"/>
      <c r="B34" s="95"/>
      <c r="C34" s="95"/>
      <c r="D34" s="136"/>
      <c r="E34" s="136"/>
      <c r="F34" s="136"/>
      <c r="G34" s="13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D40:G40"/>
    <mergeCell ref="D34:G34"/>
    <mergeCell ref="D35:G35"/>
    <mergeCell ref="D36:G36"/>
    <mergeCell ref="D37:G37"/>
    <mergeCell ref="D38:G38"/>
    <mergeCell ref="D39:G39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A9:C9"/>
    <mergeCell ref="A10:A13"/>
    <mergeCell ref="B10:C10"/>
    <mergeCell ref="B11:C11"/>
    <mergeCell ref="B12:C12"/>
    <mergeCell ref="B13:C13"/>
    <mergeCell ref="A1:G1"/>
    <mergeCell ref="A2:B2"/>
    <mergeCell ref="A3:C3"/>
    <mergeCell ref="A4:A8"/>
    <mergeCell ref="B4:C4"/>
    <mergeCell ref="B5:C5"/>
    <mergeCell ref="B6:C6"/>
    <mergeCell ref="B7:C7"/>
    <mergeCell ref="B8:C8"/>
  </mergeCells>
  <phoneticPr fontId="3" type="noConversion"/>
  <pageMargins left="0.7" right="0.7" top="0.75" bottom="0.75" header="0.3" footer="0.3"/>
  <customProperties>
    <customPr name="SheetID" r:id="rId1"/>
  </customProperti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zoomScaleNormal="100" workbookViewId="0">
      <selection activeCell="J20" sqref="J20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3.25" customHeight="1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45966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57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SUM('1104'!F4)</f>
        <v>142987642</v>
      </c>
      <c r="E4" s="12">
        <v>86280260</v>
      </c>
      <c r="F4" s="13">
        <f t="shared" ref="F4:F8" si="0">D4+E4</f>
        <v>229267902</v>
      </c>
      <c r="G4" s="14">
        <f>K4/200</f>
        <v>192.44499999999999</v>
      </c>
      <c r="H4" s="15"/>
      <c r="I4" s="11">
        <f>'1104'!K4</f>
        <v>27253</v>
      </c>
      <c r="J4" s="16">
        <v>11236</v>
      </c>
      <c r="K4" s="17">
        <f>I4+J4</f>
        <v>38489</v>
      </c>
      <c r="L4" s="10"/>
      <c r="M4" s="103">
        <f>+K4+K6+K7+K8</f>
        <v>47914</v>
      </c>
      <c r="N4" s="2"/>
    </row>
    <row r="5" spans="1:16">
      <c r="A5" s="172"/>
      <c r="B5" s="176" t="s">
        <v>13</v>
      </c>
      <c r="C5" s="177"/>
      <c r="D5" s="11">
        <f>SUM('1104'!F5)</f>
        <v>0</v>
      </c>
      <c r="E5" s="12"/>
      <c r="F5" s="13">
        <f t="shared" si="0"/>
        <v>0</v>
      </c>
      <c r="G5" s="18">
        <f>K5/200</f>
        <v>100.9</v>
      </c>
      <c r="H5" s="15"/>
      <c r="I5" s="11">
        <f>'1104'!K5</f>
        <v>20180</v>
      </c>
      <c r="J5" s="19"/>
      <c r="K5" s="17">
        <f t="shared" ref="K5:K6" si="1">I5+J5</f>
        <v>20180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SUM('1104'!F6)</f>
        <v>0</v>
      </c>
      <c r="E6" s="12"/>
      <c r="F6" s="13">
        <f t="shared" si="0"/>
        <v>0</v>
      </c>
      <c r="G6" s="18">
        <f>K6/200</f>
        <v>0</v>
      </c>
      <c r="I6" s="11">
        <f>'1104'!K6</f>
        <v>0</v>
      </c>
      <c r="J6" s="19"/>
      <c r="K6" s="17">
        <f t="shared" si="1"/>
        <v>0</v>
      </c>
      <c r="M6" s="2"/>
      <c r="N6" s="2"/>
    </row>
    <row r="7" spans="1:16">
      <c r="A7" s="172"/>
      <c r="B7" s="178" t="s">
        <v>15</v>
      </c>
      <c r="C7" s="179"/>
      <c r="D7" s="11">
        <f>SUM('1104'!F7)</f>
        <v>29382210</v>
      </c>
      <c r="E7" s="12">
        <v>7180140</v>
      </c>
      <c r="F7" s="13">
        <f t="shared" si="0"/>
        <v>36562350</v>
      </c>
      <c r="G7" s="21">
        <f>K7/200</f>
        <v>41.125</v>
      </c>
      <c r="H7" s="22"/>
      <c r="I7" s="11">
        <f>'1104'!K7</f>
        <v>6615</v>
      </c>
      <c r="J7" s="19">
        <v>1610</v>
      </c>
      <c r="K7" s="23">
        <f>I7+J7</f>
        <v>8225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SUM('1104'!F8)</f>
        <v>2046000</v>
      </c>
      <c r="E8" s="25">
        <v>1023000</v>
      </c>
      <c r="F8" s="13">
        <f t="shared" si="0"/>
        <v>3069000</v>
      </c>
      <c r="G8" s="27">
        <f>K8/200</f>
        <v>6</v>
      </c>
      <c r="H8" s="22"/>
      <c r="I8" s="11">
        <f>'1104'!K8</f>
        <v>800</v>
      </c>
      <c r="J8" s="19">
        <v>400</v>
      </c>
      <c r="K8" s="23">
        <f>I8+J8</f>
        <v>1200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174415852</v>
      </c>
      <c r="E9" s="28">
        <f>SUM(E4:E8)</f>
        <v>94483400</v>
      </c>
      <c r="F9" s="28">
        <f>SUM(F4:F8)</f>
        <v>268899252</v>
      </c>
      <c r="G9" s="29">
        <f>SUM(G4:G8)</f>
        <v>340.47</v>
      </c>
      <c r="H9" s="30"/>
      <c r="I9" s="31">
        <f>SUM(I4:I8)</f>
        <v>54848</v>
      </c>
      <c r="J9" s="31">
        <f>SUM(J4:J8)</f>
        <v>13246</v>
      </c>
      <c r="K9" s="31">
        <f>SUM(K4:K8)</f>
        <v>68094</v>
      </c>
      <c r="M9" s="10"/>
    </row>
    <row r="10" spans="1:16">
      <c r="A10" s="144" t="s">
        <v>18</v>
      </c>
      <c r="B10" s="140" t="s">
        <v>19</v>
      </c>
      <c r="C10" s="140"/>
      <c r="D10" s="11">
        <f>SUM('1104'!F10)</f>
        <v>24020040</v>
      </c>
      <c r="E10" s="32">
        <v>20001410</v>
      </c>
      <c r="F10" s="33">
        <f>D10+E10</f>
        <v>44021450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SUM('1104'!F11)</f>
        <v>0</v>
      </c>
      <c r="E11" s="12"/>
      <c r="F11" s="19">
        <f>D11+E11</f>
        <v>0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SUM('1104'!F12)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24020040</v>
      </c>
      <c r="E13" s="28">
        <f>SUM(E10:E12)</f>
        <v>20001410</v>
      </c>
      <c r="F13" s="28">
        <f>SUM(F10:F12)</f>
        <v>44021450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46">
        <f>SUM('1104'!F14)</f>
        <v>22341</v>
      </c>
      <c r="E14" s="123">
        <v>11186</v>
      </c>
      <c r="F14" s="33">
        <f>D14+E14</f>
        <v>33527</v>
      </c>
      <c r="G14" s="42">
        <f>F14/200</f>
        <v>167.63499999999999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31" t="s">
        <v>26</v>
      </c>
      <c r="D15" s="132">
        <f>SUM('1104'!F15)</f>
        <v>119889220</v>
      </c>
      <c r="E15" s="133">
        <v>47381180</v>
      </c>
      <c r="F15" s="113">
        <f>D15+E15</f>
        <v>167270400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>
      <c r="A16" s="142" t="s">
        <v>27</v>
      </c>
      <c r="B16" s="45" t="s">
        <v>28</v>
      </c>
      <c r="C16" s="45" t="s">
        <v>25</v>
      </c>
      <c r="D16" s="11">
        <f>SUM('1104'!F16)</f>
        <v>1370</v>
      </c>
      <c r="E16" s="16">
        <v>2800</v>
      </c>
      <c r="F16" s="16">
        <f>D16+E16</f>
        <v>4170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11">
        <f>SUM('1104'!F17)</f>
        <v>2277</v>
      </c>
      <c r="E17" s="104">
        <v>500</v>
      </c>
      <c r="F17" s="104">
        <f>D17+E17</f>
        <v>2777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'1104'!G19</f>
        <v>613.62499999999989</v>
      </c>
      <c r="E19" s="64">
        <f>I19/200</f>
        <v>55.93</v>
      </c>
      <c r="F19" s="64">
        <f t="shared" ref="E19:F23" si="2">J19/200</f>
        <v>59.08</v>
      </c>
      <c r="G19" s="65">
        <f>D19+E19-F19</f>
        <v>610.4749999999998</v>
      </c>
      <c r="H19" s="66"/>
      <c r="I19" s="67">
        <v>11186</v>
      </c>
      <c r="J19" s="19">
        <v>11816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'1104'!G20</f>
        <v>29.259999999999991</v>
      </c>
      <c r="E20" s="64">
        <f t="shared" si="2"/>
        <v>0</v>
      </c>
      <c r="F20" s="64">
        <f t="shared" si="2"/>
        <v>0</v>
      </c>
      <c r="G20" s="65">
        <f t="shared" ref="G20:G23" si="3">D20+E20-F20</f>
        <v>29.259999999999991</v>
      </c>
      <c r="H20" s="43"/>
      <c r="I20" s="67"/>
      <c r="J20" s="19"/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'1104'!G21</f>
        <v>0</v>
      </c>
      <c r="E21" s="64">
        <f t="shared" si="2"/>
        <v>0</v>
      </c>
      <c r="F21" s="64">
        <f t="shared" si="2"/>
        <v>0</v>
      </c>
      <c r="G21" s="65">
        <f t="shared" si="3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'1104'!G22</f>
        <v>48.024999999999991</v>
      </c>
      <c r="E22" s="64">
        <f t="shared" si="2"/>
        <v>5</v>
      </c>
      <c r="F22" s="64">
        <f t="shared" si="2"/>
        <v>8.0500000000000007</v>
      </c>
      <c r="G22" s="65">
        <f t="shared" si="3"/>
        <v>44.974999999999994</v>
      </c>
      <c r="H22" s="43"/>
      <c r="I22" s="70">
        <v>1000</v>
      </c>
      <c r="J22" s="19">
        <v>1610</v>
      </c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'1104'!G23</f>
        <v>32.075000000000003</v>
      </c>
      <c r="E23" s="64">
        <f>I23/200</f>
        <v>0</v>
      </c>
      <c r="F23" s="64">
        <f t="shared" si="2"/>
        <v>2</v>
      </c>
      <c r="G23" s="65">
        <f t="shared" si="3"/>
        <v>30.075000000000003</v>
      </c>
      <c r="H23" s="43"/>
      <c r="I23" s="70"/>
      <c r="J23" s="19">
        <v>400</v>
      </c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722.9849999999999</v>
      </c>
      <c r="E24" s="74">
        <f>SUM(E19:E23)</f>
        <v>60.93</v>
      </c>
      <c r="F24" s="73">
        <f>SUM(F19:F23)</f>
        <v>69.13</v>
      </c>
      <c r="G24" s="75">
        <f>SUM(G19:G23)</f>
        <v>714.78499999999985</v>
      </c>
      <c r="H24" s="30"/>
      <c r="I24" s="31">
        <f>SUM(I19:I23)</f>
        <v>12186</v>
      </c>
      <c r="J24" s="31">
        <f>SUM(J19:J23)</f>
        <v>13826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36"/>
      <c r="E33" s="136"/>
      <c r="F33" s="136"/>
      <c r="G33" s="137"/>
      <c r="I33" s="1"/>
    </row>
    <row r="34" spans="1:9" s="22" customFormat="1">
      <c r="A34" s="94"/>
      <c r="B34" s="95"/>
      <c r="C34" s="95"/>
      <c r="D34" s="136"/>
      <c r="E34" s="136"/>
      <c r="F34" s="136"/>
      <c r="G34" s="13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A1:G1"/>
    <mergeCell ref="A2:B2"/>
    <mergeCell ref="A3:C3"/>
    <mergeCell ref="A4:A8"/>
    <mergeCell ref="B4:C4"/>
    <mergeCell ref="B5:C5"/>
    <mergeCell ref="B6:C6"/>
    <mergeCell ref="B7:C7"/>
    <mergeCell ref="B8:C8"/>
    <mergeCell ref="A9:C9"/>
    <mergeCell ref="A10:A13"/>
    <mergeCell ref="B10:C10"/>
    <mergeCell ref="B11:C11"/>
    <mergeCell ref="B12:C12"/>
    <mergeCell ref="B13:C13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D40:G40"/>
    <mergeCell ref="D34:G34"/>
    <mergeCell ref="D35:G35"/>
    <mergeCell ref="D36:G36"/>
    <mergeCell ref="D37:G37"/>
    <mergeCell ref="D38:G38"/>
    <mergeCell ref="D39:G39"/>
  </mergeCells>
  <phoneticPr fontId="3" type="noConversion"/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05A1-7755-428D-848E-F644730E3A0A}">
  <dimension ref="A1:P43"/>
  <sheetViews>
    <sheetView workbookViewId="0">
      <selection activeCell="F12" sqref="F12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45967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SUM('1105'!F4)</f>
        <v>229267902</v>
      </c>
      <c r="E4" s="12">
        <v>22511610</v>
      </c>
      <c r="F4" s="13">
        <f>D4+E4</f>
        <v>251779512</v>
      </c>
      <c r="G4" s="14">
        <f>K4/200</f>
        <v>214.67500000000001</v>
      </c>
      <c r="H4" s="15"/>
      <c r="I4" s="11">
        <f>SUM('1105'!K4)</f>
        <v>38489</v>
      </c>
      <c r="J4" s="16">
        <v>4446</v>
      </c>
      <c r="K4" s="17">
        <f>I4+J4</f>
        <v>42935</v>
      </c>
      <c r="L4" s="10"/>
      <c r="M4" s="103">
        <f>+K4+K6+K7+K8</f>
        <v>56160</v>
      </c>
      <c r="N4" s="2"/>
    </row>
    <row r="5" spans="1:16">
      <c r="A5" s="172"/>
      <c r="B5" s="176" t="s">
        <v>13</v>
      </c>
      <c r="C5" s="177"/>
      <c r="D5" s="11">
        <f>SUM('1105'!F5)</f>
        <v>0</v>
      </c>
      <c r="E5" s="12"/>
      <c r="F5" s="13">
        <f t="shared" ref="F5:F8" si="0">D5+E5</f>
        <v>0</v>
      </c>
      <c r="G5" s="18">
        <f>K5/200</f>
        <v>100.9</v>
      </c>
      <c r="H5" s="15"/>
      <c r="I5" s="11">
        <f>SUM('1105'!K5)</f>
        <v>20180</v>
      </c>
      <c r="J5" s="19"/>
      <c r="K5" s="20">
        <f>I5+J5</f>
        <v>20180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SUM('1105'!F6)</f>
        <v>0</v>
      </c>
      <c r="E6" s="12"/>
      <c r="F6" s="13">
        <f t="shared" si="0"/>
        <v>0</v>
      </c>
      <c r="G6" s="18">
        <f>K6/200</f>
        <v>0</v>
      </c>
      <c r="I6" s="11">
        <f>SUM('1105'!K6)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SUM('1105'!F7)</f>
        <v>36562350</v>
      </c>
      <c r="E7" s="12">
        <v>12853500</v>
      </c>
      <c r="F7" s="13">
        <f t="shared" si="0"/>
        <v>49415850</v>
      </c>
      <c r="G7" s="21">
        <f>K7/200</f>
        <v>56.125</v>
      </c>
      <c r="H7" s="22"/>
      <c r="I7" s="11">
        <f>SUM('1105'!K7)</f>
        <v>8225</v>
      </c>
      <c r="J7" s="19">
        <v>3000</v>
      </c>
      <c r="K7" s="23">
        <f>I7+J7</f>
        <v>11225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SUM('1105'!F8)</f>
        <v>3069000</v>
      </c>
      <c r="E8" s="25">
        <v>2046000</v>
      </c>
      <c r="F8" s="13">
        <f t="shared" si="0"/>
        <v>5115000</v>
      </c>
      <c r="G8" s="27">
        <f>K8/200</f>
        <v>10</v>
      </c>
      <c r="H8" s="22"/>
      <c r="I8" s="11">
        <f>SUM('1105'!K8)</f>
        <v>1200</v>
      </c>
      <c r="J8" s="19">
        <v>800</v>
      </c>
      <c r="K8" s="23">
        <f>I8+J8</f>
        <v>2000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268899252</v>
      </c>
      <c r="E9" s="28">
        <f>SUM(E4:E8)</f>
        <v>37411110</v>
      </c>
      <c r="F9" s="28">
        <f>SUM(F4:F8)</f>
        <v>306310362</v>
      </c>
      <c r="G9" s="29">
        <f>SUM(G4:G8)</f>
        <v>381.70000000000005</v>
      </c>
      <c r="H9" s="30"/>
      <c r="I9" s="31">
        <f>SUM(I4:I8)</f>
        <v>68094</v>
      </c>
      <c r="J9" s="31">
        <f>SUM(J4:J8)</f>
        <v>8246</v>
      </c>
      <c r="K9" s="31">
        <f>SUM(K4:K8)</f>
        <v>76340</v>
      </c>
      <c r="M9" s="10"/>
    </row>
    <row r="10" spans="1:16">
      <c r="A10" s="144" t="s">
        <v>18</v>
      </c>
      <c r="B10" s="140" t="s">
        <v>19</v>
      </c>
      <c r="C10" s="140"/>
      <c r="D10" s="11">
        <f>SUM('1105'!F10)</f>
        <v>44021450</v>
      </c>
      <c r="E10" s="32">
        <v>1700600</v>
      </c>
      <c r="F10" s="33">
        <f>D10+E10</f>
        <v>45722050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SUM('1105'!F11)</f>
        <v>0</v>
      </c>
      <c r="E11" s="12"/>
      <c r="F11" s="19">
        <f>D11+E11</f>
        <v>0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SUM('1105'!F12)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44021450</v>
      </c>
      <c r="E13" s="28">
        <f>SUM(E10:E12)</f>
        <v>1700600</v>
      </c>
      <c r="F13" s="28">
        <f>SUM(F10:F12)</f>
        <v>45722050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SUM('1105'!F14)</f>
        <v>33527</v>
      </c>
      <c r="E14" s="123">
        <v>11713</v>
      </c>
      <c r="F14" s="33">
        <f>D14+E14</f>
        <v>45240</v>
      </c>
      <c r="G14" s="42">
        <f>F14/200</f>
        <v>226.2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>
        <f>SUM('1105'!F15)</f>
        <v>167270400</v>
      </c>
      <c r="E15" s="122">
        <v>41175808</v>
      </c>
      <c r="F15" s="26">
        <f>D15+E15</f>
        <v>208446208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>
      <c r="A16" s="142" t="s">
        <v>27</v>
      </c>
      <c r="B16" s="45" t="s">
        <v>28</v>
      </c>
      <c r="C16" s="106" t="s">
        <v>25</v>
      </c>
      <c r="D16" s="46">
        <f>SUM('1105'!F16)</f>
        <v>4170</v>
      </c>
      <c r="E16" s="33"/>
      <c r="F16" s="33">
        <f>D16+E16</f>
        <v>4170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11">
        <f>SUM('1105'!F17)</f>
        <v>2777</v>
      </c>
      <c r="E17" s="104">
        <v>689</v>
      </c>
      <c r="F17" s="104">
        <f>D17+E17</f>
        <v>3466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SUM('1105'!G19)</f>
        <v>610.4749999999998</v>
      </c>
      <c r="E19" s="64">
        <f>I19/200</f>
        <v>29.445</v>
      </c>
      <c r="F19" s="64">
        <f t="shared" ref="E19:F23" si="1">J19/200</f>
        <v>25.31</v>
      </c>
      <c r="G19" s="65">
        <f>D19+E19-F19</f>
        <v>614.6099999999999</v>
      </c>
      <c r="H19" s="66"/>
      <c r="I19" s="67">
        <v>5889</v>
      </c>
      <c r="J19" s="16">
        <v>5062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SUM('1105'!G20)</f>
        <v>29.259999999999991</v>
      </c>
      <c r="E20" s="64">
        <f t="shared" si="1"/>
        <v>29.12</v>
      </c>
      <c r="F20" s="64">
        <f t="shared" si="1"/>
        <v>9.36</v>
      </c>
      <c r="G20" s="65">
        <f t="shared" ref="G20:G23" si="2">D20+E20-F20</f>
        <v>49.019999999999996</v>
      </c>
      <c r="H20" s="43"/>
      <c r="I20" s="67">
        <v>5824</v>
      </c>
      <c r="J20" s="16">
        <v>1872</v>
      </c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SUM('1105'!G21)</f>
        <v>0</v>
      </c>
      <c r="E21" s="64">
        <f t="shared" si="1"/>
        <v>0</v>
      </c>
      <c r="F21" s="64">
        <f>J21/200</f>
        <v>0</v>
      </c>
      <c r="G21" s="65">
        <f t="shared" si="2"/>
        <v>0</v>
      </c>
      <c r="H21" s="43"/>
      <c r="I21" s="19"/>
      <c r="J21" s="16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SUM('1105'!G22)</f>
        <v>44.974999999999994</v>
      </c>
      <c r="E22" s="64">
        <f t="shared" si="1"/>
        <v>29</v>
      </c>
      <c r="F22" s="64">
        <f t="shared" si="1"/>
        <v>15</v>
      </c>
      <c r="G22" s="65">
        <f t="shared" si="2"/>
        <v>58.974999999999994</v>
      </c>
      <c r="H22" s="43"/>
      <c r="I22" s="70">
        <v>5800</v>
      </c>
      <c r="J22" s="16">
        <v>3000</v>
      </c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SUM('1105'!G23)</f>
        <v>30.075000000000003</v>
      </c>
      <c r="E23" s="64">
        <f>I23/200</f>
        <v>12</v>
      </c>
      <c r="F23" s="64">
        <f t="shared" si="1"/>
        <v>4</v>
      </c>
      <c r="G23" s="65">
        <f t="shared" si="2"/>
        <v>38.075000000000003</v>
      </c>
      <c r="H23" s="43"/>
      <c r="I23" s="70">
        <v>2400</v>
      </c>
      <c r="J23" s="16">
        <v>800</v>
      </c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714.78499999999985</v>
      </c>
      <c r="E24" s="74">
        <f>SUM(E19:E23)</f>
        <v>99.564999999999998</v>
      </c>
      <c r="F24" s="73">
        <f>SUM(F19:F23)</f>
        <v>53.67</v>
      </c>
      <c r="G24" s="75">
        <f>SUM(G19:G23)</f>
        <v>760.68</v>
      </c>
      <c r="H24" s="30"/>
      <c r="I24" s="31">
        <f>SUM(I19:I23)</f>
        <v>19913</v>
      </c>
      <c r="J24" s="31">
        <f>SUM(J19:J23)</f>
        <v>10734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36"/>
      <c r="E33" s="136"/>
      <c r="F33" s="136"/>
      <c r="G33" s="137"/>
      <c r="I33" s="1"/>
    </row>
    <row r="34" spans="1:9" s="22" customFormat="1">
      <c r="A34" s="94"/>
      <c r="B34" s="95"/>
      <c r="C34" s="95"/>
      <c r="D34" s="136"/>
      <c r="E34" s="136"/>
      <c r="F34" s="136"/>
      <c r="G34" s="13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D40:G40"/>
    <mergeCell ref="D34:G34"/>
    <mergeCell ref="D35:G35"/>
    <mergeCell ref="D36:G36"/>
    <mergeCell ref="D37:G37"/>
    <mergeCell ref="D38:G38"/>
    <mergeCell ref="D39:G39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A9:C9"/>
    <mergeCell ref="A10:A13"/>
    <mergeCell ref="B10:C10"/>
    <mergeCell ref="B11:C11"/>
    <mergeCell ref="B12:C12"/>
    <mergeCell ref="B13:C13"/>
    <mergeCell ref="A1:G1"/>
    <mergeCell ref="A2:B2"/>
    <mergeCell ref="A3:C3"/>
    <mergeCell ref="A4:A8"/>
    <mergeCell ref="B4:C4"/>
    <mergeCell ref="B5:C5"/>
    <mergeCell ref="B6:C6"/>
    <mergeCell ref="B7:C7"/>
    <mergeCell ref="B8:C8"/>
  </mergeCells>
  <phoneticPr fontId="3" type="noConversion"/>
  <pageMargins left="0.7" right="0.7" top="0.75" bottom="0.75" header="0.3" footer="0.3"/>
  <customProperties>
    <customPr name="SheetID" r:id="rId1"/>
  </customPropertie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27E4-06DD-49E7-8DDD-22A6C489D51A}">
  <dimension ref="A1:P43"/>
  <sheetViews>
    <sheetView workbookViewId="0">
      <selection activeCell="E9" sqref="E9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45968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SUM('1106'!F4)</f>
        <v>251779512</v>
      </c>
      <c r="E4" s="12">
        <v>49460587</v>
      </c>
      <c r="F4" s="13">
        <f>D4+E4</f>
        <v>301240099</v>
      </c>
      <c r="G4" s="14">
        <f>K4/200</f>
        <v>283.995</v>
      </c>
      <c r="H4" s="15"/>
      <c r="I4" s="11">
        <f>SUM('1106'!K4)</f>
        <v>42935</v>
      </c>
      <c r="J4" s="16">
        <v>13864</v>
      </c>
      <c r="K4" s="17">
        <f>I4+J4</f>
        <v>56799</v>
      </c>
      <c r="L4" s="10"/>
      <c r="M4" s="125">
        <f>+K4+K6+K7+K8</f>
        <v>72884</v>
      </c>
      <c r="N4" s="2"/>
    </row>
    <row r="5" spans="1:16">
      <c r="A5" s="172"/>
      <c r="B5" s="176" t="s">
        <v>13</v>
      </c>
      <c r="C5" s="177"/>
      <c r="D5" s="11">
        <f>SUM('1106'!F5)</f>
        <v>0</v>
      </c>
      <c r="E5" s="12"/>
      <c r="F5" s="13">
        <f t="shared" ref="F5:F8" si="0">D5+E5</f>
        <v>0</v>
      </c>
      <c r="G5" s="18">
        <f>K5/200</f>
        <v>100.9</v>
      </c>
      <c r="H5" s="15"/>
      <c r="I5" s="11">
        <f>SUM('1106'!K5)</f>
        <v>20180</v>
      </c>
      <c r="J5" s="19"/>
      <c r="K5" s="129">
        <f t="shared" ref="K5:K8" si="1">I5+J5</f>
        <v>20180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SUM('1106'!F6)</f>
        <v>0</v>
      </c>
      <c r="E6" s="12"/>
      <c r="F6" s="13">
        <f t="shared" si="0"/>
        <v>0</v>
      </c>
      <c r="G6" s="18">
        <f>K6/200</f>
        <v>0</v>
      </c>
      <c r="I6" s="11">
        <f>SUM('1106'!K6)</f>
        <v>0</v>
      </c>
      <c r="J6" s="19"/>
      <c r="K6" s="17">
        <f t="shared" si="1"/>
        <v>0</v>
      </c>
      <c r="M6" s="2"/>
      <c r="N6" s="2"/>
    </row>
    <row r="7" spans="1:16">
      <c r="A7" s="172"/>
      <c r="B7" s="178" t="s">
        <v>15</v>
      </c>
      <c r="C7" s="179"/>
      <c r="D7" s="11">
        <f>SUM('1106'!F7)</f>
        <v>49415850</v>
      </c>
      <c r="E7" s="12">
        <v>6010730</v>
      </c>
      <c r="F7" s="13">
        <f t="shared" si="0"/>
        <v>55426580</v>
      </c>
      <c r="G7" s="21">
        <f>K7/200</f>
        <v>65.224999999999994</v>
      </c>
      <c r="H7" s="22"/>
      <c r="I7" s="11">
        <f>SUM('1106'!K7)</f>
        <v>11225</v>
      </c>
      <c r="J7" s="19">
        <v>1820</v>
      </c>
      <c r="K7" s="17">
        <f t="shared" si="1"/>
        <v>13045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SUM('1106'!F8)</f>
        <v>5115000</v>
      </c>
      <c r="E8" s="25">
        <v>9974800</v>
      </c>
      <c r="F8" s="13">
        <f t="shared" si="0"/>
        <v>15089800</v>
      </c>
      <c r="G8" s="27">
        <f>K8/200</f>
        <v>15.2</v>
      </c>
      <c r="H8" s="22"/>
      <c r="I8" s="11">
        <f>SUM('1106'!K8)</f>
        <v>2000</v>
      </c>
      <c r="J8" s="19">
        <v>1040</v>
      </c>
      <c r="K8" s="17">
        <f t="shared" si="1"/>
        <v>3040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306310362</v>
      </c>
      <c r="E9" s="28">
        <f>SUM(E4:E8)</f>
        <v>65446117</v>
      </c>
      <c r="F9" s="126">
        <f>SUM(F4:F8)</f>
        <v>371756479</v>
      </c>
      <c r="G9" s="29">
        <f>SUM(G4:G8)</f>
        <v>465.32</v>
      </c>
      <c r="H9" s="30"/>
      <c r="I9" s="31">
        <f>SUM(I4:I8)</f>
        <v>76340</v>
      </c>
      <c r="J9" s="31">
        <f>SUM(J4:J8)</f>
        <v>16724</v>
      </c>
      <c r="K9" s="31">
        <f>SUM(K4:K8)</f>
        <v>93064</v>
      </c>
      <c r="M9" s="10"/>
    </row>
    <row r="10" spans="1:16">
      <c r="A10" s="144" t="s">
        <v>18</v>
      </c>
      <c r="B10" s="140" t="s">
        <v>19</v>
      </c>
      <c r="C10" s="140"/>
      <c r="D10" s="11">
        <f>SUM('1106'!F10)</f>
        <v>45722050</v>
      </c>
      <c r="E10" s="32">
        <v>436700</v>
      </c>
      <c r="F10" s="121">
        <f>D10+E10</f>
        <v>46158750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SUM('1106'!F11)</f>
        <v>0</v>
      </c>
      <c r="E11" s="12">
        <v>44007150</v>
      </c>
      <c r="F11" s="12">
        <f>D11+E11</f>
        <v>44007150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SUM('1106'!F12)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45722050</v>
      </c>
      <c r="E13" s="28">
        <f>SUM(E10:E12)</f>
        <v>44443850</v>
      </c>
      <c r="F13" s="28">
        <f>SUM(F10:F12)</f>
        <v>90165900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SUM('1106'!F14)</f>
        <v>45240</v>
      </c>
      <c r="E14" s="123">
        <v>10623</v>
      </c>
      <c r="F14" s="121">
        <f>D14+E14</f>
        <v>55863</v>
      </c>
      <c r="G14" s="42">
        <f>F14/200</f>
        <v>279.315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>
        <f>SUM('1106'!F15)</f>
        <v>208446208</v>
      </c>
      <c r="E15" s="122">
        <v>41024922</v>
      </c>
      <c r="F15" s="122">
        <f>D15+E15</f>
        <v>249471130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>
      <c r="A16" s="142" t="s">
        <v>27</v>
      </c>
      <c r="B16" s="45" t="s">
        <v>28</v>
      </c>
      <c r="C16" s="106" t="s">
        <v>25</v>
      </c>
      <c r="D16" s="46">
        <f>SUM('1106'!F16)</f>
        <v>4170</v>
      </c>
      <c r="E16" s="121">
        <v>436</v>
      </c>
      <c r="F16" s="121">
        <f>D16+E16</f>
        <v>4606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11">
        <f>SUM('1106'!F17)</f>
        <v>3466</v>
      </c>
      <c r="E17" s="127">
        <v>40</v>
      </c>
      <c r="F17" s="127">
        <f>D17+E17</f>
        <v>3506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SUM('1106'!G19)</f>
        <v>614.6099999999999</v>
      </c>
      <c r="E19" s="64">
        <f>I19/200</f>
        <v>45.075000000000003</v>
      </c>
      <c r="F19" s="64">
        <f>J19/200</f>
        <v>71.14</v>
      </c>
      <c r="G19" s="65">
        <f>D19+E19-F19</f>
        <v>588.54499999999996</v>
      </c>
      <c r="H19" s="66"/>
      <c r="I19" s="67">
        <v>9015</v>
      </c>
      <c r="J19" s="16">
        <v>14228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SUM('1106'!G20)</f>
        <v>49.019999999999996</v>
      </c>
      <c r="E20" s="64">
        <f t="shared" ref="E20:F23" si="2">I20/200</f>
        <v>8.0399999999999991</v>
      </c>
      <c r="F20" s="64">
        <f t="shared" si="2"/>
        <v>0</v>
      </c>
      <c r="G20" s="65">
        <f t="shared" ref="G20:G23" si="3">D20+E20-F20</f>
        <v>57.059999999999995</v>
      </c>
      <c r="H20" s="43"/>
      <c r="I20" s="67">
        <v>1608</v>
      </c>
      <c r="J20" s="16"/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SUM('1106'!G21)</f>
        <v>0</v>
      </c>
      <c r="E21" s="64">
        <f t="shared" si="2"/>
        <v>0</v>
      </c>
      <c r="F21" s="64">
        <f t="shared" si="2"/>
        <v>0</v>
      </c>
      <c r="G21" s="65">
        <f t="shared" si="3"/>
        <v>0</v>
      </c>
      <c r="H21" s="43"/>
      <c r="I21" s="19"/>
      <c r="J21" s="16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SUM('1106'!G22)</f>
        <v>58.974999999999994</v>
      </c>
      <c r="E22" s="64">
        <f t="shared" si="2"/>
        <v>0</v>
      </c>
      <c r="F22" s="64">
        <f>J22/200</f>
        <v>9.1</v>
      </c>
      <c r="G22" s="65">
        <f t="shared" si="3"/>
        <v>49.874999999999993</v>
      </c>
      <c r="H22" s="43"/>
      <c r="I22" s="70"/>
      <c r="J22" s="16">
        <v>1820</v>
      </c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SUM('1106'!G23)</f>
        <v>38.075000000000003</v>
      </c>
      <c r="E23" s="64">
        <f>I23/200</f>
        <v>0</v>
      </c>
      <c r="F23" s="64">
        <f t="shared" si="2"/>
        <v>5.2</v>
      </c>
      <c r="G23" s="65">
        <f t="shared" si="3"/>
        <v>32.875</v>
      </c>
      <c r="H23" s="43"/>
      <c r="I23" s="70"/>
      <c r="J23" s="16">
        <v>1040</v>
      </c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760.68</v>
      </c>
      <c r="E24" s="74">
        <f>SUM(E19:E23)</f>
        <v>53.115000000000002</v>
      </c>
      <c r="F24" s="73">
        <f>SUM(F19:F23)</f>
        <v>85.44</v>
      </c>
      <c r="G24" s="128">
        <f>SUM(G19:G23)</f>
        <v>728.3549999999999</v>
      </c>
      <c r="H24" s="30"/>
      <c r="I24" s="31">
        <f>SUM(I19:I23)</f>
        <v>10623</v>
      </c>
      <c r="J24" s="31">
        <f>SUM(J19:J23)</f>
        <v>17088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55"/>
      <c r="E33" s="156"/>
      <c r="F33" s="156"/>
      <c r="G33" s="157"/>
      <c r="I33" s="1"/>
    </row>
    <row r="34" spans="1:9" s="22" customFormat="1">
      <c r="A34" s="94"/>
      <c r="B34" s="95"/>
      <c r="C34" s="95"/>
      <c r="D34" s="155"/>
      <c r="E34" s="156"/>
      <c r="F34" s="156"/>
      <c r="G34" s="15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A1:G1"/>
    <mergeCell ref="A2:B2"/>
    <mergeCell ref="A3:C3"/>
    <mergeCell ref="A4:A8"/>
    <mergeCell ref="B4:C4"/>
    <mergeCell ref="B5:C5"/>
    <mergeCell ref="B6:C6"/>
    <mergeCell ref="B7:C7"/>
    <mergeCell ref="B8:C8"/>
    <mergeCell ref="A9:C9"/>
    <mergeCell ref="A10:A13"/>
    <mergeCell ref="B10:C10"/>
    <mergeCell ref="B11:C11"/>
    <mergeCell ref="B12:C12"/>
    <mergeCell ref="B13:C13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D40:G40"/>
    <mergeCell ref="D34:G34"/>
    <mergeCell ref="D35:G35"/>
    <mergeCell ref="D36:G36"/>
    <mergeCell ref="D37:G37"/>
    <mergeCell ref="D38:G38"/>
    <mergeCell ref="D39:G39"/>
  </mergeCells>
  <phoneticPr fontId="3" type="noConversion"/>
  <pageMargins left="0.7" right="0.7" top="0.75" bottom="0.75" header="0.3" footer="0.3"/>
  <customProperties>
    <customPr name="SheetID" r:id="rId1"/>
  </customPropertie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2630-7AB8-437A-B4F8-36B0E975A9D0}">
  <dimension ref="A1:P43"/>
  <sheetViews>
    <sheetView zoomScaleNormal="100" workbookViewId="0">
      <selection activeCell="J8" activeCellId="2" sqref="J4 J7 J8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45971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SUM('1107'!F4)</f>
        <v>301240099</v>
      </c>
      <c r="E4" s="12">
        <v>71699870</v>
      </c>
      <c r="F4" s="13">
        <f>D4+E4</f>
        <v>372939969</v>
      </c>
      <c r="G4" s="14">
        <f>K4/200</f>
        <v>333.935</v>
      </c>
      <c r="H4" s="15"/>
      <c r="I4" s="11">
        <f>SUM('1107'!K4)</f>
        <v>56799</v>
      </c>
      <c r="J4" s="16">
        <v>9988</v>
      </c>
      <c r="K4" s="17">
        <f>I4+J4</f>
        <v>66787</v>
      </c>
      <c r="L4" s="10"/>
      <c r="M4" s="103">
        <f>+K4+K6+K7+K8</f>
        <v>83872</v>
      </c>
      <c r="N4" s="2"/>
    </row>
    <row r="5" spans="1:16">
      <c r="A5" s="172"/>
      <c r="B5" s="176" t="s">
        <v>13</v>
      </c>
      <c r="C5" s="177"/>
      <c r="D5" s="11">
        <f>SUM('1107'!F5)</f>
        <v>0</v>
      </c>
      <c r="E5" s="12"/>
      <c r="F5" s="13">
        <f t="shared" ref="F5:F8" si="0">D5+E5</f>
        <v>0</v>
      </c>
      <c r="G5" s="18">
        <f>K5/200</f>
        <v>151.97999999999999</v>
      </c>
      <c r="H5" s="15"/>
      <c r="I5" s="11">
        <f>SUM('1107'!K5)</f>
        <v>20180</v>
      </c>
      <c r="J5" s="19">
        <v>10216</v>
      </c>
      <c r="K5" s="20">
        <f>I5+J5</f>
        <v>30396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SUM('1107'!F6)</f>
        <v>0</v>
      </c>
      <c r="E6" s="12"/>
      <c r="F6" s="13">
        <f t="shared" si="0"/>
        <v>0</v>
      </c>
      <c r="G6" s="18">
        <f>K6/200</f>
        <v>0</v>
      </c>
      <c r="I6" s="11">
        <f>SUM('1107'!K6)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SUM('1107'!F7)</f>
        <v>55426580</v>
      </c>
      <c r="E7" s="12">
        <v>3036000</v>
      </c>
      <c r="F7" s="13">
        <f t="shared" si="0"/>
        <v>58462580</v>
      </c>
      <c r="G7" s="21">
        <f>K7/200</f>
        <v>68.224999999999994</v>
      </c>
      <c r="H7" s="22"/>
      <c r="I7" s="11">
        <f>SUM('1107'!K7)</f>
        <v>13045</v>
      </c>
      <c r="J7" s="19">
        <v>600</v>
      </c>
      <c r="K7" s="23">
        <f>I7+J7</f>
        <v>13645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SUM('1107'!F8)</f>
        <v>15089800</v>
      </c>
      <c r="E8" s="25">
        <v>1023000</v>
      </c>
      <c r="F8" s="13">
        <f t="shared" si="0"/>
        <v>16112800</v>
      </c>
      <c r="G8" s="27">
        <f>K8/200</f>
        <v>17.2</v>
      </c>
      <c r="H8" s="22"/>
      <c r="I8" s="11">
        <f>SUM('1107'!K8)</f>
        <v>3040</v>
      </c>
      <c r="J8" s="19">
        <v>400</v>
      </c>
      <c r="K8" s="23">
        <f>I8+J8</f>
        <v>3440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371756479</v>
      </c>
      <c r="E9" s="28">
        <f>SUM(E4:E8)</f>
        <v>75758870</v>
      </c>
      <c r="F9" s="28">
        <f>SUM(F4:F8)</f>
        <v>447515349</v>
      </c>
      <c r="G9" s="29">
        <f>SUM(G4:G8)</f>
        <v>571.34</v>
      </c>
      <c r="H9" s="30"/>
      <c r="I9" s="31">
        <f>SUM(I4:I8)</f>
        <v>93064</v>
      </c>
      <c r="J9" s="31">
        <f>SUM(J4:J8)</f>
        <v>21204</v>
      </c>
      <c r="K9" s="31">
        <f>SUM(K4:K8)</f>
        <v>114268</v>
      </c>
      <c r="M9" s="10"/>
    </row>
    <row r="10" spans="1:16">
      <c r="A10" s="144" t="s">
        <v>18</v>
      </c>
      <c r="B10" s="140" t="s">
        <v>19</v>
      </c>
      <c r="C10" s="140"/>
      <c r="D10" s="11">
        <f>SUM('1107'!F10)</f>
        <v>46158750</v>
      </c>
      <c r="E10" s="32">
        <v>82940137</v>
      </c>
      <c r="F10" s="41">
        <f>D10+E10</f>
        <v>129098887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SUM('1107'!F11)</f>
        <v>44007150</v>
      </c>
      <c r="E11" s="118"/>
      <c r="F11" s="19">
        <f t="shared" ref="F11:F12" si="1">D11+E11</f>
        <v>44007150</v>
      </c>
      <c r="G11" s="119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SUM('1107'!F12)</f>
        <v>0</v>
      </c>
      <c r="E12" s="12"/>
      <c r="F12" s="16">
        <f t="shared" si="1"/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90165900</v>
      </c>
      <c r="E13" s="28"/>
      <c r="F13" s="28">
        <f>SUM(F10:F12)</f>
        <v>173106037</v>
      </c>
      <c r="G13" s="40"/>
      <c r="H13" s="22"/>
      <c r="I13" s="22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SUM('1107'!F14)</f>
        <v>55863</v>
      </c>
      <c r="E14" s="41">
        <v>11680</v>
      </c>
      <c r="F14" s="33">
        <f>D14+E14</f>
        <v>67543</v>
      </c>
      <c r="G14" s="42">
        <f>F14/200</f>
        <v>337.71499999999997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2">
        <f>SUM('1107'!F15)</f>
        <v>249471130</v>
      </c>
      <c r="E15" s="26">
        <v>42526611</v>
      </c>
      <c r="F15" s="26">
        <f>D15+E15</f>
        <v>291997741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>
      <c r="A16" s="142" t="s">
        <v>27</v>
      </c>
      <c r="B16" s="45" t="s">
        <v>28</v>
      </c>
      <c r="C16" s="106" t="s">
        <v>25</v>
      </c>
      <c r="D16" s="11">
        <f>SUM('1107'!F16)</f>
        <v>4606</v>
      </c>
      <c r="E16" s="33">
        <v>2720</v>
      </c>
      <c r="F16" s="33">
        <f>D16+E16</f>
        <v>7326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11">
        <f>SUM('1107'!F17)</f>
        <v>3506</v>
      </c>
      <c r="E17" s="104"/>
      <c r="F17" s="104">
        <f>D17+E17</f>
        <v>3506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SUM('1107'!G19)</f>
        <v>588.54499999999996</v>
      </c>
      <c r="E19" s="64">
        <f t="shared" ref="E19:F23" si="2">I19/200</f>
        <v>37.6</v>
      </c>
      <c r="F19" s="64">
        <f t="shared" si="2"/>
        <v>51.73</v>
      </c>
      <c r="G19" s="65">
        <f>D19+E19-F19</f>
        <v>574.41499999999996</v>
      </c>
      <c r="H19" s="66"/>
      <c r="I19" s="67">
        <v>7520</v>
      </c>
      <c r="J19" s="16">
        <v>10346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SUM('1107'!G20)</f>
        <v>57.059999999999995</v>
      </c>
      <c r="E20" s="64">
        <f t="shared" si="2"/>
        <v>20.8</v>
      </c>
      <c r="F20" s="64">
        <f t="shared" si="2"/>
        <v>51.08</v>
      </c>
      <c r="G20" s="65">
        <f t="shared" ref="G20:G23" si="3">D20+E20-F20</f>
        <v>26.78</v>
      </c>
      <c r="H20" s="43"/>
      <c r="I20" s="67">
        <v>4160</v>
      </c>
      <c r="J20" s="19">
        <v>10216</v>
      </c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SUM('1107'!G21)</f>
        <v>0</v>
      </c>
      <c r="E21" s="64">
        <f t="shared" si="2"/>
        <v>0</v>
      </c>
      <c r="F21" s="64">
        <f t="shared" si="2"/>
        <v>0</v>
      </c>
      <c r="G21" s="65">
        <f t="shared" si="3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SUM('1107'!G22)</f>
        <v>49.874999999999993</v>
      </c>
      <c r="E22" s="64">
        <f t="shared" si="2"/>
        <v>14</v>
      </c>
      <c r="F22" s="64">
        <f t="shared" si="2"/>
        <v>3</v>
      </c>
      <c r="G22" s="65">
        <f t="shared" si="3"/>
        <v>60.874999999999993</v>
      </c>
      <c r="H22" s="43"/>
      <c r="I22" s="70">
        <v>2800</v>
      </c>
      <c r="J22" s="19">
        <v>600</v>
      </c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SUM('1107'!G23)</f>
        <v>32.875</v>
      </c>
      <c r="E23" s="64">
        <f t="shared" si="2"/>
        <v>0</v>
      </c>
      <c r="F23" s="64">
        <f t="shared" si="2"/>
        <v>2</v>
      </c>
      <c r="G23" s="65">
        <f t="shared" si="3"/>
        <v>30.875</v>
      </c>
      <c r="H23" s="43"/>
      <c r="I23" s="70"/>
      <c r="J23" s="19">
        <v>400</v>
      </c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728.3549999999999</v>
      </c>
      <c r="E24" s="74">
        <f>SUM(E19:E23)</f>
        <v>72.400000000000006</v>
      </c>
      <c r="F24" s="73">
        <f>SUM(F19:F23)</f>
        <v>107.81</v>
      </c>
      <c r="G24" s="75">
        <f>SUM(G19:G23)</f>
        <v>692.94499999999994</v>
      </c>
      <c r="H24" s="30"/>
      <c r="I24" s="31">
        <f>SUM(I19:I23)</f>
        <v>14480</v>
      </c>
      <c r="J24" s="31">
        <f>SUM(J19:J23)</f>
        <v>21562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82"/>
      <c r="B31" s="83"/>
      <c r="C31" s="83"/>
      <c r="D31" s="136"/>
      <c r="E31" s="136"/>
      <c r="F31" s="136"/>
      <c r="G31" s="137"/>
      <c r="I31" s="1"/>
    </row>
    <row r="32" spans="1:16">
      <c r="A32" s="82"/>
      <c r="B32" s="83"/>
      <c r="C32" s="83"/>
      <c r="D32" s="155"/>
      <c r="E32" s="156"/>
      <c r="F32" s="156"/>
      <c r="G32" s="157"/>
      <c r="I32" s="1"/>
    </row>
    <row r="33" spans="1:9" s="22" customFormat="1">
      <c r="A33" s="94"/>
      <c r="B33" s="95"/>
      <c r="C33" s="95"/>
      <c r="D33" s="155"/>
      <c r="E33" s="156"/>
      <c r="F33" s="156"/>
      <c r="G33" s="157"/>
      <c r="I33" s="2"/>
    </row>
    <row r="34" spans="1:9" s="22" customFormat="1">
      <c r="A34" s="94"/>
      <c r="B34" s="95"/>
      <c r="C34" s="95"/>
      <c r="D34" s="136"/>
      <c r="E34" s="136"/>
      <c r="F34" s="136"/>
      <c r="G34" s="13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D40:G40"/>
    <mergeCell ref="D34:G34"/>
    <mergeCell ref="D35:G35"/>
    <mergeCell ref="D36:G36"/>
    <mergeCell ref="D37:G37"/>
    <mergeCell ref="D38:G38"/>
    <mergeCell ref="D39:G39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A9:C9"/>
    <mergeCell ref="A10:A13"/>
    <mergeCell ref="B10:C10"/>
    <mergeCell ref="B11:C11"/>
    <mergeCell ref="B12:C12"/>
    <mergeCell ref="B13:C13"/>
    <mergeCell ref="A1:G1"/>
    <mergeCell ref="A2:B2"/>
    <mergeCell ref="A3:C3"/>
    <mergeCell ref="A4:A8"/>
    <mergeCell ref="B4:C4"/>
    <mergeCell ref="B5:C5"/>
    <mergeCell ref="B6:C6"/>
    <mergeCell ref="B7:C7"/>
    <mergeCell ref="B8:C8"/>
  </mergeCells>
  <phoneticPr fontId="3" type="noConversion"/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2FF2-1923-4A52-B427-FC003D790923}">
  <dimension ref="A1:P43"/>
  <sheetViews>
    <sheetView zoomScaleNormal="100" workbookViewId="0">
      <selection activeCell="E11" sqref="E11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45972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SUM('1110'!F4)</f>
        <v>372939969</v>
      </c>
      <c r="E4" s="12">
        <v>21931932</v>
      </c>
      <c r="F4" s="13">
        <f>D4+E4</f>
        <v>394871901</v>
      </c>
      <c r="G4" s="14">
        <f>K4/200</f>
        <v>369.11500000000001</v>
      </c>
      <c r="H4" s="15"/>
      <c r="I4" s="11">
        <f>SUM('1110'!K4)</f>
        <v>66787</v>
      </c>
      <c r="J4" s="16">
        <v>7036</v>
      </c>
      <c r="K4" s="17">
        <f>I4+J4</f>
        <v>73823</v>
      </c>
      <c r="L4" s="10"/>
      <c r="M4" s="103">
        <f>+K4+K6+K7+K8</f>
        <v>91204</v>
      </c>
      <c r="N4" s="2"/>
    </row>
    <row r="5" spans="1:16">
      <c r="A5" s="172"/>
      <c r="B5" s="176" t="s">
        <v>13</v>
      </c>
      <c r="C5" s="177"/>
      <c r="D5" s="11">
        <f>SUM('1110'!F5)</f>
        <v>0</v>
      </c>
      <c r="E5" s="12"/>
      <c r="F5" s="13">
        <f t="shared" ref="F5:F8" si="0">D5+E5</f>
        <v>0</v>
      </c>
      <c r="G5" s="18">
        <f>K5/200</f>
        <v>151.97999999999999</v>
      </c>
      <c r="H5" s="15"/>
      <c r="I5" s="11">
        <f>SUM('1110'!K5)</f>
        <v>30396</v>
      </c>
      <c r="J5" s="19"/>
      <c r="K5" s="20">
        <f>I5+J5</f>
        <v>30396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SUM('1110'!F6)</f>
        <v>0</v>
      </c>
      <c r="E6" s="12"/>
      <c r="F6" s="13">
        <f t="shared" si="0"/>
        <v>0</v>
      </c>
      <c r="G6" s="18">
        <f>K6/200</f>
        <v>0</v>
      </c>
      <c r="I6" s="11">
        <f>SUM('1110'!K6)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SUM('1110'!F7)</f>
        <v>58462580</v>
      </c>
      <c r="E7" s="12">
        <v>880000</v>
      </c>
      <c r="F7" s="13">
        <f t="shared" si="0"/>
        <v>59342580</v>
      </c>
      <c r="G7" s="21">
        <f>K7/200</f>
        <v>69.224999999999994</v>
      </c>
      <c r="H7" s="22"/>
      <c r="I7" s="11">
        <f>SUM('1110'!K7)</f>
        <v>13645</v>
      </c>
      <c r="J7" s="19">
        <v>200</v>
      </c>
      <c r="K7" s="23">
        <f>I7+J7</f>
        <v>13845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SUM('1110'!F8)</f>
        <v>16112800</v>
      </c>
      <c r="E8" s="25">
        <v>454080</v>
      </c>
      <c r="F8" s="13">
        <f t="shared" si="0"/>
        <v>16566880</v>
      </c>
      <c r="G8" s="27">
        <f>K8/200</f>
        <v>17.68</v>
      </c>
      <c r="H8" s="22"/>
      <c r="I8" s="11">
        <f>SUM('1110'!K8)</f>
        <v>3440</v>
      </c>
      <c r="J8" s="19">
        <v>96</v>
      </c>
      <c r="K8" s="23">
        <f>I8+J8</f>
        <v>3536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447515349</v>
      </c>
      <c r="E9" s="28">
        <f>SUM(E4:E8)</f>
        <v>23266012</v>
      </c>
      <c r="F9" s="28">
        <f>SUM(F4:F8)</f>
        <v>470781361</v>
      </c>
      <c r="G9" s="29">
        <f>SUM(G4:G8)</f>
        <v>608</v>
      </c>
      <c r="H9" s="30"/>
      <c r="I9" s="31">
        <f>SUM(I4:I8)</f>
        <v>114268</v>
      </c>
      <c r="J9" s="31">
        <f>SUM(J4:J8)</f>
        <v>7332</v>
      </c>
      <c r="K9" s="31">
        <f>SUM(K4:K8)</f>
        <v>121600</v>
      </c>
      <c r="M9" s="10"/>
    </row>
    <row r="10" spans="1:16">
      <c r="A10" s="144" t="s">
        <v>18</v>
      </c>
      <c r="B10" s="140" t="s">
        <v>19</v>
      </c>
      <c r="C10" s="140"/>
      <c r="D10" s="11">
        <f>SUM('1110'!F10)</f>
        <v>129098887</v>
      </c>
      <c r="E10" s="32">
        <v>9702000</v>
      </c>
      <c r="F10" s="41">
        <f>D10+E10</f>
        <v>138800887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SUM('1110'!F11)</f>
        <v>44007150</v>
      </c>
      <c r="E11" s="12"/>
      <c r="F11" s="19">
        <f t="shared" ref="F11:F12" si="1">D11+E11</f>
        <v>44007150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SUM('1110'!F12)</f>
        <v>0</v>
      </c>
      <c r="E12" s="12"/>
      <c r="F12" s="16">
        <f t="shared" si="1"/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173106037</v>
      </c>
      <c r="E13" s="28"/>
      <c r="F13" s="28">
        <f>SUM(F10:F12)</f>
        <v>182808037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SUM('1110'!F14)</f>
        <v>67543</v>
      </c>
      <c r="E14" s="41">
        <v>11212</v>
      </c>
      <c r="F14" s="41">
        <f>D14+E14</f>
        <v>78755</v>
      </c>
      <c r="G14" s="42">
        <f>F14/200</f>
        <v>393.77499999999998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2">
        <f>SUM('1110'!F15)</f>
        <v>291997741</v>
      </c>
      <c r="E15" s="26">
        <v>54690412</v>
      </c>
      <c r="F15" s="113">
        <f>D15+E15</f>
        <v>346688153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>
      <c r="A16" s="142" t="s">
        <v>27</v>
      </c>
      <c r="B16" s="45" t="s">
        <v>28</v>
      </c>
      <c r="C16" s="106" t="s">
        <v>25</v>
      </c>
      <c r="D16" s="11">
        <f>SUM('1110'!F16)</f>
        <v>7326</v>
      </c>
      <c r="E16" s="33"/>
      <c r="F16" s="114">
        <f t="shared" ref="F16:F17" si="2">D16+E16</f>
        <v>7326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11">
        <f>SUM('1110'!F17)</f>
        <v>3506</v>
      </c>
      <c r="E17" s="104">
        <v>1448</v>
      </c>
      <c r="F17" s="113">
        <f t="shared" si="2"/>
        <v>4954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11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SUM('1110'!G19)</f>
        <v>574.41499999999996</v>
      </c>
      <c r="E19" s="64">
        <f>I19/200</f>
        <v>52.94</v>
      </c>
      <c r="F19" s="64">
        <f t="shared" ref="E19:F23" si="3">J19/200</f>
        <v>35.880000000000003</v>
      </c>
      <c r="G19" s="65">
        <f>D19+E19-F19</f>
        <v>591.47500000000002</v>
      </c>
      <c r="H19" s="66"/>
      <c r="I19" s="67">
        <v>10588</v>
      </c>
      <c r="J19" s="16">
        <v>7176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SUM('1110'!G20)</f>
        <v>26.78</v>
      </c>
      <c r="E20" s="64">
        <f t="shared" si="3"/>
        <v>3.12</v>
      </c>
      <c r="F20" s="64">
        <f t="shared" si="3"/>
        <v>0</v>
      </c>
      <c r="G20" s="65">
        <f t="shared" ref="G20:G23" si="4">D20+E20-F20</f>
        <v>29.900000000000002</v>
      </c>
      <c r="H20" s="43"/>
      <c r="I20" s="67">
        <v>624</v>
      </c>
      <c r="J20" s="16"/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SUM('1110'!G21)</f>
        <v>0</v>
      </c>
      <c r="E21" s="64">
        <f t="shared" si="3"/>
        <v>0</v>
      </c>
      <c r="F21" s="64">
        <f t="shared" si="3"/>
        <v>0</v>
      </c>
      <c r="G21" s="65">
        <f t="shared" si="4"/>
        <v>0</v>
      </c>
      <c r="H21" s="43"/>
      <c r="I21" s="19"/>
      <c r="J21" s="16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SUM('1110'!G22)</f>
        <v>60.874999999999993</v>
      </c>
      <c r="E22" s="64">
        <f t="shared" si="3"/>
        <v>0</v>
      </c>
      <c r="F22" s="64">
        <f t="shared" si="3"/>
        <v>1</v>
      </c>
      <c r="G22" s="65">
        <f t="shared" si="4"/>
        <v>59.874999999999993</v>
      </c>
      <c r="H22" s="43"/>
      <c r="I22" s="70"/>
      <c r="J22" s="16">
        <v>200</v>
      </c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SUM('1110'!G23)</f>
        <v>30.875</v>
      </c>
      <c r="E23" s="64">
        <f>I23/200</f>
        <v>0.48</v>
      </c>
      <c r="F23" s="64">
        <f t="shared" si="3"/>
        <v>0.48</v>
      </c>
      <c r="G23" s="65">
        <f t="shared" si="4"/>
        <v>30.875</v>
      </c>
      <c r="H23" s="43"/>
      <c r="I23" s="70">
        <v>96</v>
      </c>
      <c r="J23" s="16">
        <v>96</v>
      </c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692.94499999999994</v>
      </c>
      <c r="E24" s="74">
        <f>SUM(E19:E23)</f>
        <v>56.539999999999992</v>
      </c>
      <c r="F24" s="73">
        <f>SUM(F19:F23)</f>
        <v>37.36</v>
      </c>
      <c r="G24" s="75">
        <f>SUM(G19:G23)</f>
        <v>712.125</v>
      </c>
      <c r="H24" s="30"/>
      <c r="I24" s="31">
        <f>SUM(I19:I23)</f>
        <v>11308</v>
      </c>
      <c r="J24" s="31">
        <f>SUM(J19:J23)</f>
        <v>7472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55"/>
      <c r="E33" s="156"/>
      <c r="F33" s="156"/>
      <c r="G33" s="157"/>
      <c r="I33" s="1"/>
    </row>
    <row r="34" spans="1:9" s="22" customFormat="1">
      <c r="A34" s="94"/>
      <c r="B34" s="95"/>
      <c r="C34" s="95"/>
      <c r="D34" s="155"/>
      <c r="E34" s="156"/>
      <c r="F34" s="156"/>
      <c r="G34" s="157"/>
      <c r="I34" s="2"/>
    </row>
    <row r="35" spans="1:9" s="22" customFormat="1">
      <c r="A35" s="94"/>
      <c r="B35" s="95"/>
      <c r="C35" s="95"/>
      <c r="D35" s="155"/>
      <c r="E35" s="156"/>
      <c r="F35" s="156"/>
      <c r="G35" s="15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D40:G40"/>
    <mergeCell ref="D34:G34"/>
    <mergeCell ref="D35:G35"/>
    <mergeCell ref="D36:G36"/>
    <mergeCell ref="D37:G37"/>
    <mergeCell ref="D38:G38"/>
    <mergeCell ref="D39:G39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A9:C9"/>
    <mergeCell ref="A10:A13"/>
    <mergeCell ref="B10:C10"/>
    <mergeCell ref="B11:C11"/>
    <mergeCell ref="B12:C12"/>
    <mergeCell ref="B13:C13"/>
    <mergeCell ref="A1:G1"/>
    <mergeCell ref="A2:B2"/>
    <mergeCell ref="A3:C3"/>
    <mergeCell ref="A4:A8"/>
    <mergeCell ref="B4:C4"/>
    <mergeCell ref="B5:C5"/>
    <mergeCell ref="B6:C6"/>
    <mergeCell ref="B7:C7"/>
    <mergeCell ref="B8:C8"/>
  </mergeCells>
  <phoneticPr fontId="3" type="noConversion"/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1301-725B-42DB-8C39-CFB921E41090}">
  <dimension ref="A1:P43"/>
  <sheetViews>
    <sheetView zoomScaleNormal="100" workbookViewId="0">
      <selection activeCell="E11" sqref="E11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45973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SUM('1111'!F4)</f>
        <v>394871901</v>
      </c>
      <c r="E4" s="12">
        <v>23435390</v>
      </c>
      <c r="F4" s="13">
        <f>SUM(D4:E4)</f>
        <v>418307291</v>
      </c>
      <c r="G4" s="14">
        <f>K4/200</f>
        <v>406.39499999999998</v>
      </c>
      <c r="H4" s="15"/>
      <c r="I4" s="11">
        <f>SUM('1111'!K4)</f>
        <v>73823</v>
      </c>
      <c r="J4" s="16">
        <v>7456</v>
      </c>
      <c r="K4" s="17">
        <f>I4+J4</f>
        <v>81279</v>
      </c>
      <c r="L4" s="10"/>
      <c r="M4" s="103">
        <f>+K4+K6+K7+K8</f>
        <v>99260</v>
      </c>
      <c r="N4" s="2"/>
    </row>
    <row r="5" spans="1:16">
      <c r="A5" s="172"/>
      <c r="B5" s="176" t="s">
        <v>13</v>
      </c>
      <c r="C5" s="177"/>
      <c r="D5" s="11">
        <f>SUM('1111'!F5)</f>
        <v>0</v>
      </c>
      <c r="E5" s="12"/>
      <c r="F5" s="13">
        <f t="shared" ref="F5:F8" si="0">D5+E5</f>
        <v>0</v>
      </c>
      <c r="G5" s="18">
        <f>K5/200</f>
        <v>151.97999999999999</v>
      </c>
      <c r="H5" s="15"/>
      <c r="I5" s="11">
        <f>SUM('1111'!K5)</f>
        <v>30396</v>
      </c>
      <c r="J5" s="19"/>
      <c r="K5" s="20">
        <f>I5+J5</f>
        <v>30396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SUM('1111'!F6)</f>
        <v>0</v>
      </c>
      <c r="E6" s="12"/>
      <c r="F6" s="13">
        <f t="shared" si="0"/>
        <v>0</v>
      </c>
      <c r="G6" s="18">
        <f>K6/200</f>
        <v>0</v>
      </c>
      <c r="I6" s="11">
        <f>SUM('1111'!K6)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SUM('1111'!F7)</f>
        <v>59342580</v>
      </c>
      <c r="E7" s="12"/>
      <c r="F7" s="13">
        <f t="shared" si="0"/>
        <v>59342580</v>
      </c>
      <c r="G7" s="21">
        <f>K7/200</f>
        <v>69.224999999999994</v>
      </c>
      <c r="H7" s="22"/>
      <c r="I7" s="11">
        <f>SUM('1111'!K7)</f>
        <v>13845</v>
      </c>
      <c r="J7" s="19"/>
      <c r="K7" s="23">
        <f>I7+J7</f>
        <v>13845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SUM('1111'!F8)</f>
        <v>16566880</v>
      </c>
      <c r="E8" s="25">
        <v>2799500</v>
      </c>
      <c r="F8" s="13">
        <f t="shared" si="0"/>
        <v>19366380</v>
      </c>
      <c r="G8" s="27">
        <f>K8/200</f>
        <v>20.68</v>
      </c>
      <c r="H8" s="22"/>
      <c r="I8" s="11">
        <f>SUM('1111'!K8)</f>
        <v>3536</v>
      </c>
      <c r="J8" s="19">
        <v>600</v>
      </c>
      <c r="K8" s="23">
        <f>I8+J8</f>
        <v>4136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470781361</v>
      </c>
      <c r="E9" s="28">
        <f>SUM(E4:E8)</f>
        <v>26234890</v>
      </c>
      <c r="F9" s="28">
        <f>SUM(F4:F8)</f>
        <v>497016251</v>
      </c>
      <c r="G9" s="29">
        <f>SUM(G4:G8)</f>
        <v>648.28</v>
      </c>
      <c r="H9" s="30"/>
      <c r="I9" s="31">
        <f>SUM(I4:I8)</f>
        <v>121600</v>
      </c>
      <c r="J9" s="31">
        <f>SUM(J4:J8)</f>
        <v>8056</v>
      </c>
      <c r="K9" s="31">
        <f>SUM(K4:K8)</f>
        <v>129656</v>
      </c>
      <c r="M9" s="10"/>
    </row>
    <row r="10" spans="1:16">
      <c r="A10" s="144" t="s">
        <v>18</v>
      </c>
      <c r="B10" s="140" t="s">
        <v>19</v>
      </c>
      <c r="C10" s="140"/>
      <c r="D10" s="11">
        <f>SUM('1111'!F10)</f>
        <v>138800887</v>
      </c>
      <c r="E10" s="32">
        <v>14998940</v>
      </c>
      <c r="F10" s="33">
        <f>SUM(D10:E10)</f>
        <v>153799827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SUM('1111'!F11)</f>
        <v>44007150</v>
      </c>
      <c r="E11" s="12">
        <v>4689410</v>
      </c>
      <c r="F11" s="19">
        <f>D11+E11</f>
        <v>48696560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SUM('1111'!F12)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182808037</v>
      </c>
      <c r="E13" s="28">
        <f>SUM(E10:E12)</f>
        <v>19688350</v>
      </c>
      <c r="F13" s="28">
        <f>SUM(F10:F12)</f>
        <v>202496387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SUM('1111'!F14)</f>
        <v>78755</v>
      </c>
      <c r="E14" s="41">
        <v>15805</v>
      </c>
      <c r="F14" s="33">
        <f>D14+E14</f>
        <v>94560</v>
      </c>
      <c r="G14" s="42">
        <f>F14/200</f>
        <v>472.8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>
        <f>SUM('1111'!F15)</f>
        <v>346688153</v>
      </c>
      <c r="E15" s="26">
        <v>57444635</v>
      </c>
      <c r="F15" s="26">
        <f>D15+E15</f>
        <v>404132788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>
      <c r="A16" s="142" t="s">
        <v>27</v>
      </c>
      <c r="B16" s="45" t="s">
        <v>28</v>
      </c>
      <c r="C16" s="106" t="s">
        <v>25</v>
      </c>
      <c r="D16" s="46">
        <f>SUM('1111'!F16)</f>
        <v>7326</v>
      </c>
      <c r="E16" s="33"/>
      <c r="F16" s="33">
        <f>D16+E16</f>
        <v>7326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11">
        <f>SUM('1111'!F17)</f>
        <v>4954</v>
      </c>
      <c r="E17" s="104">
        <v>1308</v>
      </c>
      <c r="F17" s="104">
        <f>D17+E17</f>
        <v>6262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58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SUM('1111'!G19)</f>
        <v>591.47500000000002</v>
      </c>
      <c r="E19" s="64">
        <f>I19/200</f>
        <v>53.305</v>
      </c>
      <c r="F19" s="64">
        <f t="shared" ref="F19:F23" si="1">J19/200</f>
        <v>36.774999999999999</v>
      </c>
      <c r="G19" s="65">
        <f>D19+E19-F19</f>
        <v>608.005</v>
      </c>
      <c r="H19" s="66"/>
      <c r="I19" s="67">
        <v>10661</v>
      </c>
      <c r="J19" s="19">
        <v>7355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SUM('1111'!G20)</f>
        <v>29.900000000000002</v>
      </c>
      <c r="E20" s="64">
        <f t="shared" ref="E20:E23" si="2">I20/200</f>
        <v>25.72</v>
      </c>
      <c r="F20" s="64">
        <f t="shared" si="1"/>
        <v>0.42</v>
      </c>
      <c r="G20" s="65">
        <f t="shared" ref="G20:G23" si="3">D20+E20-F20</f>
        <v>55.2</v>
      </c>
      <c r="H20" s="43"/>
      <c r="I20" s="67">
        <v>5144</v>
      </c>
      <c r="J20" s="19">
        <v>84</v>
      </c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SUM('1111'!G21)</f>
        <v>0</v>
      </c>
      <c r="E21" s="64">
        <f t="shared" si="2"/>
        <v>0</v>
      </c>
      <c r="F21" s="64">
        <f t="shared" si="1"/>
        <v>0</v>
      </c>
      <c r="G21" s="65">
        <f t="shared" si="3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SUM('1111'!G22)</f>
        <v>59.874999999999993</v>
      </c>
      <c r="E22" s="64">
        <f t="shared" si="2"/>
        <v>0</v>
      </c>
      <c r="F22" s="64">
        <f t="shared" si="1"/>
        <v>0</v>
      </c>
      <c r="G22" s="65">
        <f t="shared" si="3"/>
        <v>59.874999999999993</v>
      </c>
      <c r="H22" s="43"/>
      <c r="I22" s="70"/>
      <c r="J22" s="19"/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SUM('1111'!G23)</f>
        <v>30.875</v>
      </c>
      <c r="E23" s="64">
        <f t="shared" si="2"/>
        <v>0.1</v>
      </c>
      <c r="F23" s="64">
        <f t="shared" si="1"/>
        <v>3</v>
      </c>
      <c r="G23" s="65">
        <f t="shared" si="3"/>
        <v>27.975000000000001</v>
      </c>
      <c r="H23" s="43"/>
      <c r="I23" s="70">
        <v>20</v>
      </c>
      <c r="J23" s="19">
        <v>600</v>
      </c>
      <c r="K23" s="59"/>
      <c r="L23" s="59"/>
      <c r="M23" s="59"/>
      <c r="N23" s="59"/>
      <c r="O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712.125</v>
      </c>
      <c r="E24" s="74">
        <f>SUM(E19:E23)</f>
        <v>79.125</v>
      </c>
      <c r="F24" s="73">
        <f>SUM(F19:F23)</f>
        <v>40.195</v>
      </c>
      <c r="G24" s="75">
        <f>SUM(G19:G23)</f>
        <v>751.05500000000006</v>
      </c>
      <c r="H24" s="30"/>
      <c r="I24" s="31">
        <f>SUM(I19:I23)</f>
        <v>15825</v>
      </c>
      <c r="J24" s="31">
        <f>SUM(J19:J23)</f>
        <v>8039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55"/>
      <c r="E33" s="156"/>
      <c r="F33" s="156"/>
      <c r="G33" s="157"/>
      <c r="I33" s="1"/>
    </row>
    <row r="34" spans="1:9" s="22" customFormat="1">
      <c r="A34" s="94"/>
      <c r="B34" s="95"/>
      <c r="C34" s="95"/>
      <c r="D34" s="155"/>
      <c r="E34" s="156"/>
      <c r="F34" s="156"/>
      <c r="G34" s="157"/>
      <c r="I34" s="2"/>
    </row>
    <row r="35" spans="1:9" s="22" customFormat="1">
      <c r="A35" s="94"/>
      <c r="B35" s="95"/>
      <c r="C35" s="95"/>
      <c r="D35" s="155"/>
      <c r="E35" s="156"/>
      <c r="F35" s="156"/>
      <c r="G35" s="15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D32:G32"/>
    <mergeCell ref="D33:G33"/>
    <mergeCell ref="D40:G40"/>
    <mergeCell ref="D34:G34"/>
    <mergeCell ref="D35:G35"/>
    <mergeCell ref="D36:G36"/>
    <mergeCell ref="D37:G37"/>
    <mergeCell ref="D38:G38"/>
    <mergeCell ref="D39:G39"/>
    <mergeCell ref="A26:G26"/>
    <mergeCell ref="D27:G27"/>
    <mergeCell ref="D28:G28"/>
    <mergeCell ref="A30:G30"/>
    <mergeCell ref="D31:G31"/>
    <mergeCell ref="A14:A15"/>
    <mergeCell ref="B14:B15"/>
    <mergeCell ref="A16:A17"/>
    <mergeCell ref="A18:A24"/>
    <mergeCell ref="C19:C23"/>
    <mergeCell ref="A9:C9"/>
    <mergeCell ref="A10:A13"/>
    <mergeCell ref="B10:C10"/>
    <mergeCell ref="B11:C11"/>
    <mergeCell ref="B12:C12"/>
    <mergeCell ref="B13:C13"/>
    <mergeCell ref="A1:G1"/>
    <mergeCell ref="A2:B2"/>
    <mergeCell ref="A3:C3"/>
    <mergeCell ref="A4:A8"/>
    <mergeCell ref="B4:C4"/>
    <mergeCell ref="B5:C5"/>
    <mergeCell ref="B6:C6"/>
    <mergeCell ref="B7:C7"/>
    <mergeCell ref="B8:C8"/>
  </mergeCells>
  <phoneticPr fontId="3" type="noConversion"/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E632-BF00-41BC-910E-B11C4DD29963}">
  <dimension ref="A1:P43"/>
  <sheetViews>
    <sheetView zoomScaleNormal="100" workbookViewId="0">
      <selection activeCell="E11" sqref="E11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45974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SUM('1112'!F4)</f>
        <v>418307291</v>
      </c>
      <c r="E4" s="12">
        <v>23592690</v>
      </c>
      <c r="F4" s="13">
        <f>D4+E4</f>
        <v>441899981</v>
      </c>
      <c r="G4" s="14">
        <f>K4/200</f>
        <v>437.63499999999999</v>
      </c>
      <c r="H4" s="15"/>
      <c r="I4" s="11">
        <f>SUM('1112'!K4)</f>
        <v>81279</v>
      </c>
      <c r="J4" s="16">
        <v>6248</v>
      </c>
      <c r="K4" s="17">
        <f>I4+J4</f>
        <v>87527</v>
      </c>
      <c r="L4" s="10"/>
      <c r="M4" s="103">
        <f>+K4+K6+K7+K8</f>
        <v>106738</v>
      </c>
      <c r="N4" s="2"/>
    </row>
    <row r="5" spans="1:16">
      <c r="A5" s="172"/>
      <c r="B5" s="176" t="s">
        <v>13</v>
      </c>
      <c r="C5" s="177"/>
      <c r="D5" s="11">
        <f>SUM('1112'!F5)</f>
        <v>0</v>
      </c>
      <c r="E5" s="12"/>
      <c r="F5" s="13">
        <f t="shared" ref="F5:F8" si="0">D5+E5</f>
        <v>0</v>
      </c>
      <c r="G5" s="18">
        <f>K5/200</f>
        <v>151.97999999999999</v>
      </c>
      <c r="H5" s="15"/>
      <c r="I5" s="11">
        <f>SUM('1112'!K5)</f>
        <v>30396</v>
      </c>
      <c r="J5" s="19"/>
      <c r="K5" s="20">
        <f>I5+J5</f>
        <v>30396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SUM('1112'!F6)</f>
        <v>0</v>
      </c>
      <c r="E6" s="12"/>
      <c r="F6" s="13">
        <f t="shared" si="0"/>
        <v>0</v>
      </c>
      <c r="G6" s="18">
        <f>K6/200</f>
        <v>0</v>
      </c>
      <c r="I6" s="11">
        <f>SUM('1112'!K6)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SUM('1112'!F7)</f>
        <v>59342580</v>
      </c>
      <c r="E7" s="12">
        <v>5057140</v>
      </c>
      <c r="F7" s="13">
        <f t="shared" si="0"/>
        <v>64399720</v>
      </c>
      <c r="G7" s="21">
        <f>K7/200</f>
        <v>75.275000000000006</v>
      </c>
      <c r="H7" s="22"/>
      <c r="I7" s="11">
        <f>SUM('1112'!K7)</f>
        <v>13845</v>
      </c>
      <c r="J7" s="19">
        <v>1210</v>
      </c>
      <c r="K7" s="23">
        <f>I7+J7</f>
        <v>15055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SUM('1112'!F8)</f>
        <v>19366380</v>
      </c>
      <c r="E8" s="25">
        <v>116600</v>
      </c>
      <c r="F8" s="13">
        <f t="shared" si="0"/>
        <v>19482980</v>
      </c>
      <c r="G8" s="27">
        <f>K8/200</f>
        <v>20.78</v>
      </c>
      <c r="H8" s="22"/>
      <c r="I8" s="11">
        <f>SUM('1112'!K8)</f>
        <v>4136</v>
      </c>
      <c r="J8" s="19">
        <v>20</v>
      </c>
      <c r="K8" s="23">
        <f>I8+J8</f>
        <v>4156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497016251</v>
      </c>
      <c r="E9" s="28">
        <f>SUM(E4:E8)</f>
        <v>28766430</v>
      </c>
      <c r="F9" s="28">
        <f>SUM(F4:F8)</f>
        <v>525782681</v>
      </c>
      <c r="G9" s="29">
        <f>SUM(G4:G8)</f>
        <v>685.67</v>
      </c>
      <c r="H9" s="30"/>
      <c r="I9" s="31">
        <f>SUM(I4:I8)</f>
        <v>129656</v>
      </c>
      <c r="J9" s="31">
        <f>SUM(J4:J8)</f>
        <v>7478</v>
      </c>
      <c r="K9" s="31">
        <f>SUM(K4:K8)</f>
        <v>137134</v>
      </c>
      <c r="M9" s="10"/>
    </row>
    <row r="10" spans="1:16">
      <c r="A10" s="144" t="s">
        <v>18</v>
      </c>
      <c r="B10" s="140" t="s">
        <v>19</v>
      </c>
      <c r="C10" s="140"/>
      <c r="D10" s="11">
        <f>SUM('1112'!F10)</f>
        <v>153799827</v>
      </c>
      <c r="E10" s="32">
        <v>54351660</v>
      </c>
      <c r="F10" s="33">
        <f>D10+E10</f>
        <v>208151487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SUM('1112'!F11)</f>
        <v>48696560</v>
      </c>
      <c r="E11" s="12"/>
      <c r="F11" s="19">
        <f>D11+E11</f>
        <v>48696560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SUM('1112'!F12)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202496387</v>
      </c>
      <c r="E13" s="28">
        <f>SUM(E10:E12)</f>
        <v>54351660</v>
      </c>
      <c r="F13" s="28">
        <f>SUM(F10:F12)</f>
        <v>256848047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SUM('1112'!F14)</f>
        <v>94560</v>
      </c>
      <c r="E14" s="41">
        <v>11894</v>
      </c>
      <c r="F14" s="33">
        <f>D14+E14</f>
        <v>106454</v>
      </c>
      <c r="G14" s="42">
        <f>F14/200</f>
        <v>532.27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>
        <f>SUM('1112'!F15)</f>
        <v>404132788</v>
      </c>
      <c r="E15" s="26">
        <v>28132940</v>
      </c>
      <c r="F15" s="26">
        <f>D15+E15</f>
        <v>432265728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>
      <c r="A16" s="142" t="s">
        <v>27</v>
      </c>
      <c r="B16" s="45" t="s">
        <v>28</v>
      </c>
      <c r="C16" s="106" t="s">
        <v>25</v>
      </c>
      <c r="D16" s="46">
        <f>SUM('1112'!F16)</f>
        <v>7326</v>
      </c>
      <c r="E16" s="33">
        <v>428</v>
      </c>
      <c r="F16" s="33">
        <f>D16+E16</f>
        <v>7754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11">
        <f>SUM('1112'!F17)</f>
        <v>6262</v>
      </c>
      <c r="E17" s="104"/>
      <c r="F17" s="104">
        <f>D17+E17</f>
        <v>6262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SUM('1112'!G19)</f>
        <v>608.005</v>
      </c>
      <c r="E19" s="64">
        <f>I19/200</f>
        <v>59.77</v>
      </c>
      <c r="F19" s="64">
        <f t="shared" ref="E19:F23" si="1">J19/200</f>
        <v>59.63</v>
      </c>
      <c r="G19" s="65">
        <f>D19+E19-F19</f>
        <v>608.14499999999998</v>
      </c>
      <c r="H19" s="66"/>
      <c r="I19" s="67">
        <v>11954</v>
      </c>
      <c r="J19" s="19">
        <v>11926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SUM('1112'!G20)</f>
        <v>55.2</v>
      </c>
      <c r="E20" s="64">
        <f t="shared" si="1"/>
        <v>0</v>
      </c>
      <c r="F20" s="64">
        <f t="shared" si="1"/>
        <v>0</v>
      </c>
      <c r="G20" s="65">
        <f t="shared" ref="G20:G23" si="2">D20+E20-F20</f>
        <v>55.2</v>
      </c>
      <c r="H20" s="43"/>
      <c r="I20" s="67"/>
      <c r="J20" s="19"/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SUM('1112'!G21)</f>
        <v>0</v>
      </c>
      <c r="E21" s="64">
        <f t="shared" si="1"/>
        <v>0</v>
      </c>
      <c r="F21" s="64">
        <f t="shared" si="1"/>
        <v>0</v>
      </c>
      <c r="G21" s="65">
        <f t="shared" si="2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SUM('1112'!G22)</f>
        <v>59.874999999999993</v>
      </c>
      <c r="E22" s="64">
        <f t="shared" si="1"/>
        <v>8</v>
      </c>
      <c r="F22" s="64">
        <f t="shared" si="1"/>
        <v>6.05</v>
      </c>
      <c r="G22" s="65">
        <f t="shared" si="2"/>
        <v>61.825000000000003</v>
      </c>
      <c r="H22" s="43"/>
      <c r="I22" s="70">
        <v>1600</v>
      </c>
      <c r="J22" s="19">
        <v>1210</v>
      </c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SUM('1112'!G23)</f>
        <v>27.975000000000001</v>
      </c>
      <c r="E23" s="64">
        <f t="shared" si="1"/>
        <v>0</v>
      </c>
      <c r="F23" s="64">
        <f t="shared" si="1"/>
        <v>0.1</v>
      </c>
      <c r="G23" s="65">
        <f t="shared" si="2"/>
        <v>27.875</v>
      </c>
      <c r="H23" s="43"/>
      <c r="I23" s="70"/>
      <c r="J23" s="19">
        <v>20</v>
      </c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751.05500000000006</v>
      </c>
      <c r="E24" s="74">
        <f>SUM(E19:E23)</f>
        <v>67.77000000000001</v>
      </c>
      <c r="F24" s="73">
        <f>SUM(F19:F23)</f>
        <v>65.78</v>
      </c>
      <c r="G24" s="75">
        <f>SUM(G19:G23)</f>
        <v>753.04500000000007</v>
      </c>
      <c r="H24" s="30"/>
      <c r="I24" s="31">
        <f>SUM(I19:I23)</f>
        <v>13554</v>
      </c>
      <c r="J24" s="31">
        <f>SUM(J19:J23)</f>
        <v>13156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82"/>
      <c r="B31" s="83"/>
      <c r="C31" s="83"/>
      <c r="D31" s="136"/>
      <c r="E31" s="136"/>
      <c r="F31" s="136"/>
      <c r="G31" s="137"/>
      <c r="I31" s="1"/>
    </row>
    <row r="32" spans="1:16">
      <c r="A32" s="82"/>
      <c r="B32" s="83"/>
      <c r="C32" s="83"/>
      <c r="D32" s="155"/>
      <c r="E32" s="156"/>
      <c r="F32" s="156"/>
      <c r="G32" s="157"/>
      <c r="I32" s="1"/>
    </row>
    <row r="33" spans="1:9" s="22" customFormat="1">
      <c r="A33" s="94"/>
      <c r="B33" s="95"/>
      <c r="C33" s="95"/>
      <c r="D33" s="155"/>
      <c r="E33" s="156"/>
      <c r="F33" s="156"/>
      <c r="G33" s="157"/>
      <c r="I33" s="2"/>
    </row>
    <row r="34" spans="1:9" s="22" customFormat="1">
      <c r="A34" s="94"/>
      <c r="B34" s="95"/>
      <c r="C34" s="95"/>
      <c r="D34" s="155"/>
      <c r="E34" s="156"/>
      <c r="F34" s="156"/>
      <c r="G34" s="15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D40:G40"/>
    <mergeCell ref="D34:G34"/>
    <mergeCell ref="D35:G35"/>
    <mergeCell ref="D36:G36"/>
    <mergeCell ref="D37:G37"/>
    <mergeCell ref="D38:G38"/>
    <mergeCell ref="D39:G39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A9:C9"/>
    <mergeCell ref="A10:A13"/>
    <mergeCell ref="B10:C10"/>
    <mergeCell ref="B11:C11"/>
    <mergeCell ref="B12:C12"/>
    <mergeCell ref="B13:C13"/>
    <mergeCell ref="A1:G1"/>
    <mergeCell ref="A2:B2"/>
    <mergeCell ref="A3:C3"/>
    <mergeCell ref="A4:A8"/>
    <mergeCell ref="B4:C4"/>
    <mergeCell ref="B5:C5"/>
    <mergeCell ref="B6:C6"/>
    <mergeCell ref="B7:C7"/>
    <mergeCell ref="B8:C8"/>
  </mergeCells>
  <phoneticPr fontId="3" type="noConversion"/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3FC4-C743-4C8C-ABD1-2971E839D4C9}">
  <dimension ref="A1:P43"/>
  <sheetViews>
    <sheetView zoomScaleNormal="100" workbookViewId="0">
      <selection activeCell="E11" sqref="E11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45975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SUM('1113'!F4)</f>
        <v>441899981</v>
      </c>
      <c r="E4" s="12">
        <v>32553400</v>
      </c>
      <c r="F4" s="13">
        <f>D4+E4</f>
        <v>474453381</v>
      </c>
      <c r="G4" s="14">
        <f>K4/200</f>
        <v>455.40499999999997</v>
      </c>
      <c r="H4" s="15"/>
      <c r="I4" s="11">
        <f>SUM('1113'!K4)</f>
        <v>87527</v>
      </c>
      <c r="J4" s="16">
        <v>3554</v>
      </c>
      <c r="K4" s="17">
        <f>I4+J4</f>
        <v>91081</v>
      </c>
      <c r="L4" s="10"/>
      <c r="M4" s="103">
        <f>+K4+K6+K7+K8</f>
        <v>111697</v>
      </c>
      <c r="N4" s="2"/>
    </row>
    <row r="5" spans="1:16">
      <c r="A5" s="172"/>
      <c r="B5" s="176" t="s">
        <v>13</v>
      </c>
      <c r="C5" s="177"/>
      <c r="D5" s="11">
        <f>SUM('1113'!F5)</f>
        <v>0</v>
      </c>
      <c r="E5" s="12"/>
      <c r="F5" s="13">
        <f t="shared" ref="F5:F8" si="0">D5+E5</f>
        <v>0</v>
      </c>
      <c r="G5" s="18">
        <f>K5/200</f>
        <v>151.97999999999999</v>
      </c>
      <c r="H5" s="15"/>
      <c r="I5" s="11">
        <f>SUM('1113'!K5)</f>
        <v>30396</v>
      </c>
      <c r="J5" s="19"/>
      <c r="K5" s="20">
        <f>I5+J5</f>
        <v>30396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SUM('1113'!F6)</f>
        <v>0</v>
      </c>
      <c r="E6" s="12"/>
      <c r="F6" s="13">
        <f t="shared" si="0"/>
        <v>0</v>
      </c>
      <c r="G6" s="18">
        <f>K6/200</f>
        <v>0</v>
      </c>
      <c r="I6" s="11">
        <f>SUM('1113'!K6)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SUM('1113'!F7)</f>
        <v>64399720</v>
      </c>
      <c r="E7" s="12">
        <v>8677570</v>
      </c>
      <c r="F7" s="13">
        <f t="shared" si="0"/>
        <v>73077290</v>
      </c>
      <c r="G7" s="21">
        <f>K7/200</f>
        <v>82.3</v>
      </c>
      <c r="H7" s="22"/>
      <c r="I7" s="11">
        <f>SUM('1113'!K7)</f>
        <v>15055</v>
      </c>
      <c r="J7" s="19">
        <v>1405</v>
      </c>
      <c r="K7" s="23">
        <f>I7+J7</f>
        <v>16460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SUM('1113'!F8)</f>
        <v>19482980</v>
      </c>
      <c r="E8" s="25"/>
      <c r="F8" s="13">
        <f t="shared" si="0"/>
        <v>19482980</v>
      </c>
      <c r="G8" s="27">
        <f>K8/200</f>
        <v>20.78</v>
      </c>
      <c r="H8" s="22"/>
      <c r="I8" s="11">
        <f>SUM('1113'!K8)</f>
        <v>4156</v>
      </c>
      <c r="J8" s="19"/>
      <c r="K8" s="23">
        <f>I8+J8</f>
        <v>4156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525782681</v>
      </c>
      <c r="E9" s="28">
        <f>SUM(E4:E8)</f>
        <v>41230970</v>
      </c>
      <c r="F9" s="28">
        <f>SUM(F4:F8)</f>
        <v>567013651</v>
      </c>
      <c r="G9" s="29">
        <f>SUM(G4:G8)</f>
        <v>710.46499999999992</v>
      </c>
      <c r="H9" s="30"/>
      <c r="I9" s="31">
        <f>SUM(I4:I8)</f>
        <v>137134</v>
      </c>
      <c r="J9" s="31">
        <f>SUM(J4:J8)</f>
        <v>4959</v>
      </c>
      <c r="K9" s="31">
        <f>SUM(K4:K8)</f>
        <v>142093</v>
      </c>
      <c r="M9" s="10"/>
    </row>
    <row r="10" spans="1:16">
      <c r="A10" s="144" t="s">
        <v>18</v>
      </c>
      <c r="B10" s="140" t="s">
        <v>19</v>
      </c>
      <c r="C10" s="140"/>
      <c r="D10" s="11">
        <f>SUM('1113'!F10)</f>
        <v>208151487</v>
      </c>
      <c r="E10" s="32">
        <v>58543397</v>
      </c>
      <c r="F10" s="33">
        <f>D10+E10</f>
        <v>266694884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SUM('1113'!F11)</f>
        <v>48696560</v>
      </c>
      <c r="E11" s="12"/>
      <c r="F11" s="19">
        <f>D11+E11</f>
        <v>48696560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SUM('1113'!F12)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256848047</v>
      </c>
      <c r="E13" s="28">
        <f>SUM(E10:E12)</f>
        <v>58543397</v>
      </c>
      <c r="F13" s="28">
        <f>SUM(F10:F12)</f>
        <v>315391444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SUM('1113'!F14)</f>
        <v>106454</v>
      </c>
      <c r="E14" s="41"/>
      <c r="F14" s="33">
        <f>D14+E14</f>
        <v>106454</v>
      </c>
      <c r="G14" s="42">
        <f>F14/200</f>
        <v>532.27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>
        <f>SUM('1113'!F15)</f>
        <v>432265728</v>
      </c>
      <c r="E15" s="26"/>
      <c r="F15" s="26">
        <f>D15+E15</f>
        <v>432265728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 ht="17.25" thickBot="1">
      <c r="A16" s="142" t="s">
        <v>27</v>
      </c>
      <c r="B16" s="45" t="s">
        <v>28</v>
      </c>
      <c r="C16" s="106" t="s">
        <v>25</v>
      </c>
      <c r="D16" s="46">
        <f>SUM('1113'!F16)</f>
        <v>7754</v>
      </c>
      <c r="E16" s="33">
        <v>1078</v>
      </c>
      <c r="F16" s="33">
        <f>D16+E16</f>
        <v>8832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46">
        <f>SUM('1113'!F17)</f>
        <v>6262</v>
      </c>
      <c r="E17" s="104"/>
      <c r="F17" s="104">
        <f>D17+E17</f>
        <v>6262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SUM('1113'!G19)</f>
        <v>608.14499999999998</v>
      </c>
      <c r="E19" s="64">
        <f t="shared" ref="E19:F23" si="1">I19/200</f>
        <v>0</v>
      </c>
      <c r="F19" s="64">
        <f t="shared" si="1"/>
        <v>20.170000000000002</v>
      </c>
      <c r="G19" s="65">
        <f>D19+E19-F19</f>
        <v>587.97500000000002</v>
      </c>
      <c r="H19" s="66"/>
      <c r="I19" s="67"/>
      <c r="J19" s="19">
        <v>4034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SUM('1113'!G20)</f>
        <v>55.2</v>
      </c>
      <c r="E20" s="64">
        <f t="shared" si="1"/>
        <v>0</v>
      </c>
      <c r="F20" s="64">
        <f t="shared" si="1"/>
        <v>0</v>
      </c>
      <c r="G20" s="65">
        <f t="shared" ref="G20:G23" si="2">D20+E20-F20</f>
        <v>55.2</v>
      </c>
      <c r="H20" s="43"/>
      <c r="I20" s="67"/>
      <c r="J20" s="19"/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SUM('1113'!G21)</f>
        <v>0</v>
      </c>
      <c r="E21" s="64">
        <f t="shared" si="1"/>
        <v>0</v>
      </c>
      <c r="F21" s="64">
        <f t="shared" si="1"/>
        <v>0</v>
      </c>
      <c r="G21" s="65">
        <f t="shared" si="2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SUM('1113'!G22)</f>
        <v>61.825000000000003</v>
      </c>
      <c r="E22" s="64">
        <f t="shared" si="1"/>
        <v>5</v>
      </c>
      <c r="F22" s="64">
        <f t="shared" si="1"/>
        <v>7.0250000000000004</v>
      </c>
      <c r="G22" s="65">
        <f t="shared" si="2"/>
        <v>59.800000000000004</v>
      </c>
      <c r="H22" s="43"/>
      <c r="I22" s="70">
        <v>1000</v>
      </c>
      <c r="J22" s="19">
        <v>1405</v>
      </c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SUM('1113'!G23)</f>
        <v>27.875</v>
      </c>
      <c r="E23" s="64">
        <f t="shared" si="1"/>
        <v>0</v>
      </c>
      <c r="F23" s="64">
        <f t="shared" si="1"/>
        <v>0</v>
      </c>
      <c r="G23" s="65">
        <f t="shared" si="2"/>
        <v>27.875</v>
      </c>
      <c r="H23" s="43"/>
      <c r="I23" s="70"/>
      <c r="J23" s="19"/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753.04500000000007</v>
      </c>
      <c r="E24" s="74">
        <f>SUM(E19:E23)</f>
        <v>5</v>
      </c>
      <c r="F24" s="73">
        <f>SUM(F19:F23)</f>
        <v>27.195</v>
      </c>
      <c r="G24" s="75">
        <f>SUM(G19:G23)</f>
        <v>730.85</v>
      </c>
      <c r="H24" s="30"/>
      <c r="I24" s="31">
        <f>SUM(I19:I23)</f>
        <v>1000</v>
      </c>
      <c r="J24" s="31">
        <f>SUM(J19:J23)</f>
        <v>5439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55"/>
      <c r="E33" s="156"/>
      <c r="F33" s="156"/>
      <c r="G33" s="157"/>
      <c r="I33" s="1"/>
    </row>
    <row r="34" spans="1:9" s="22" customFormat="1">
      <c r="A34" s="94"/>
      <c r="B34" s="95"/>
      <c r="C34" s="95"/>
      <c r="D34" s="155"/>
      <c r="E34" s="156"/>
      <c r="F34" s="156"/>
      <c r="G34" s="157"/>
      <c r="I34" s="2"/>
    </row>
    <row r="35" spans="1:9" s="22" customFormat="1">
      <c r="A35" s="94"/>
      <c r="B35" s="95"/>
      <c r="C35" s="95"/>
      <c r="D35" s="155"/>
      <c r="E35" s="156"/>
      <c r="F35" s="156"/>
      <c r="G35" s="15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D40:G40"/>
    <mergeCell ref="D34:G34"/>
    <mergeCell ref="D35:G35"/>
    <mergeCell ref="D36:G36"/>
    <mergeCell ref="D37:G37"/>
    <mergeCell ref="D38:G38"/>
    <mergeCell ref="D39:G39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A9:C9"/>
    <mergeCell ref="A10:A13"/>
    <mergeCell ref="B10:C10"/>
    <mergeCell ref="B11:C11"/>
    <mergeCell ref="B12:C12"/>
    <mergeCell ref="B13:C13"/>
    <mergeCell ref="A1:G1"/>
    <mergeCell ref="A2:B2"/>
    <mergeCell ref="A3:C3"/>
    <mergeCell ref="A4:A8"/>
    <mergeCell ref="B4:C4"/>
    <mergeCell ref="B5:C5"/>
    <mergeCell ref="B6:C6"/>
    <mergeCell ref="B7:C7"/>
    <mergeCell ref="B8:C8"/>
  </mergeCells>
  <phoneticPr fontId="3" type="noConversion"/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79F58-C17A-4038-87EA-EEE6927D101A}">
  <dimension ref="A1:P43"/>
  <sheetViews>
    <sheetView zoomScaleNormal="100" workbookViewId="0">
      <selection activeCell="E11" sqref="E11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45978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SUM('1114'!F4)</f>
        <v>474453381</v>
      </c>
      <c r="E4" s="12">
        <v>35622510</v>
      </c>
      <c r="F4" s="13">
        <f>D4+E4</f>
        <v>510075891</v>
      </c>
      <c r="G4" s="14">
        <f>K4/200</f>
        <v>488.26499999999999</v>
      </c>
      <c r="H4" s="15"/>
      <c r="I4" s="11">
        <f>SUM('1114'!K4)</f>
        <v>91081</v>
      </c>
      <c r="J4" s="16">
        <v>6572</v>
      </c>
      <c r="K4" s="17">
        <f>I4+J4</f>
        <v>97653</v>
      </c>
      <c r="L4" s="10"/>
      <c r="M4" s="103">
        <f>+K4+K6+K7+K8</f>
        <v>120329</v>
      </c>
      <c r="N4" s="2"/>
    </row>
    <row r="5" spans="1:16">
      <c r="A5" s="172"/>
      <c r="B5" s="176" t="s">
        <v>13</v>
      </c>
      <c r="C5" s="177"/>
      <c r="D5" s="11">
        <f>SUM('1114'!F5)</f>
        <v>0</v>
      </c>
      <c r="E5" s="12"/>
      <c r="F5" s="13">
        <f t="shared" ref="F5:F8" si="0">D5+E5</f>
        <v>0</v>
      </c>
      <c r="G5" s="18">
        <f>K5/200</f>
        <v>200.7</v>
      </c>
      <c r="H5" s="15"/>
      <c r="I5" s="11">
        <f>SUM('1114'!K5)</f>
        <v>30396</v>
      </c>
      <c r="J5" s="19">
        <v>9744</v>
      </c>
      <c r="K5" s="20">
        <f>I5+J5</f>
        <v>40140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SUM('1114'!F6)</f>
        <v>0</v>
      </c>
      <c r="E6" s="12"/>
      <c r="F6" s="13">
        <f t="shared" si="0"/>
        <v>0</v>
      </c>
      <c r="G6" s="18">
        <f>K6/200</f>
        <v>0</v>
      </c>
      <c r="I6" s="11">
        <f>SUM('1114'!K6)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SUM('1114'!F7)</f>
        <v>73077290</v>
      </c>
      <c r="E7" s="12">
        <v>6319500</v>
      </c>
      <c r="F7" s="13">
        <f t="shared" si="0"/>
        <v>79396790</v>
      </c>
      <c r="G7" s="21">
        <f>K7/200</f>
        <v>88.6</v>
      </c>
      <c r="H7" s="22"/>
      <c r="I7" s="11">
        <f>SUM('1114'!K7)</f>
        <v>16460</v>
      </c>
      <c r="J7" s="19">
        <v>1260</v>
      </c>
      <c r="K7" s="23">
        <f>I7+J7</f>
        <v>17720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SUM('1114'!F8)</f>
        <v>19482980</v>
      </c>
      <c r="E8" s="25">
        <v>2046000</v>
      </c>
      <c r="F8" s="13">
        <f t="shared" si="0"/>
        <v>21528980</v>
      </c>
      <c r="G8" s="27">
        <f>K8/200</f>
        <v>24.78</v>
      </c>
      <c r="H8" s="22"/>
      <c r="I8" s="11">
        <f>SUM('1114'!K8)</f>
        <v>4156</v>
      </c>
      <c r="J8" s="19">
        <v>800</v>
      </c>
      <c r="K8" s="23">
        <f>I8+J8</f>
        <v>4956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567013651</v>
      </c>
      <c r="E9" s="28">
        <f>SUM(E4:E8)</f>
        <v>43988010</v>
      </c>
      <c r="F9" s="28">
        <f>SUM(F4:F8)</f>
        <v>611001661</v>
      </c>
      <c r="G9" s="29">
        <f>SUM(G4:G8)</f>
        <v>802.34499999999991</v>
      </c>
      <c r="H9" s="30"/>
      <c r="I9" s="31">
        <f>SUM(I4:I8)</f>
        <v>142093</v>
      </c>
      <c r="J9" s="31">
        <f>SUM(J4:J8)</f>
        <v>18376</v>
      </c>
      <c r="K9" s="31">
        <f>SUM(K4:K8)</f>
        <v>160469</v>
      </c>
      <c r="M9" s="10"/>
    </row>
    <row r="10" spans="1:16">
      <c r="A10" s="144" t="s">
        <v>18</v>
      </c>
      <c r="B10" s="140" t="s">
        <v>19</v>
      </c>
      <c r="C10" s="140"/>
      <c r="D10" s="11">
        <f>SUM('1114'!F10)</f>
        <v>266694884</v>
      </c>
      <c r="E10" s="124">
        <v>1816650</v>
      </c>
      <c r="F10" s="121">
        <f>D10+E10</f>
        <v>268511534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SUM('1114'!F11)</f>
        <v>48696560</v>
      </c>
      <c r="E11" s="12"/>
      <c r="F11" s="12">
        <f>D11+E11</f>
        <v>48696560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SUM('1114'!F12)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315391444</v>
      </c>
      <c r="E13" s="28">
        <f>SUM(E10:E12)</f>
        <v>1816650</v>
      </c>
      <c r="F13" s="28">
        <f>SUM(F10:F12)</f>
        <v>317208094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SUM('1114'!F14)</f>
        <v>106454</v>
      </c>
      <c r="E14" s="123">
        <v>16128</v>
      </c>
      <c r="F14" s="121">
        <f>D14+E14</f>
        <v>122582</v>
      </c>
      <c r="G14" s="42">
        <f>F14/200</f>
        <v>612.91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>
        <f>SUM('1114'!F15)</f>
        <v>432265728</v>
      </c>
      <c r="E15" s="122">
        <v>59553243</v>
      </c>
      <c r="F15" s="122">
        <f>D15+E15</f>
        <v>491818971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 ht="17.25" thickBot="1">
      <c r="A16" s="142" t="s">
        <v>27</v>
      </c>
      <c r="B16" s="45" t="s">
        <v>28</v>
      </c>
      <c r="C16" s="106" t="s">
        <v>25</v>
      </c>
      <c r="D16" s="46">
        <f>SUM('1114'!F16)</f>
        <v>8832</v>
      </c>
      <c r="E16" s="33">
        <v>220</v>
      </c>
      <c r="F16" s="33">
        <f>D16+E16</f>
        <v>9052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46">
        <f>SUM('1114'!F17)</f>
        <v>6262</v>
      </c>
      <c r="E17" s="104">
        <v>132</v>
      </c>
      <c r="F17" s="104">
        <f>D17+E17</f>
        <v>6394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SUM('1114'!G19)</f>
        <v>587.97500000000002</v>
      </c>
      <c r="E19" s="64">
        <f t="shared" ref="E19:F23" si="1">I19/200</f>
        <v>63.24</v>
      </c>
      <c r="F19" s="64">
        <f t="shared" si="1"/>
        <v>32.86</v>
      </c>
      <c r="G19" s="65">
        <f>D19+E19-F19</f>
        <v>618.35500000000002</v>
      </c>
      <c r="H19" s="66"/>
      <c r="I19" s="67">
        <v>12648</v>
      </c>
      <c r="J19" s="19">
        <v>6572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SUM('1114'!G20)</f>
        <v>55.2</v>
      </c>
      <c r="E20" s="64">
        <f t="shared" si="1"/>
        <v>17.399999999999999</v>
      </c>
      <c r="F20" s="64">
        <f>J20/200</f>
        <v>53.48</v>
      </c>
      <c r="G20" s="65">
        <f t="shared" ref="G20:G23" si="2">D20+E20-F20</f>
        <v>19.119999999999997</v>
      </c>
      <c r="H20" s="43"/>
      <c r="I20" s="67">
        <v>3480</v>
      </c>
      <c r="J20" s="19">
        <v>10696</v>
      </c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SUM('1114'!G21)</f>
        <v>0</v>
      </c>
      <c r="E21" s="64">
        <f t="shared" si="1"/>
        <v>0</v>
      </c>
      <c r="F21" s="64">
        <f t="shared" si="1"/>
        <v>0</v>
      </c>
      <c r="G21" s="65">
        <f t="shared" si="2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SUM('1114'!G22)</f>
        <v>59.800000000000004</v>
      </c>
      <c r="E22" s="64">
        <f t="shared" si="1"/>
        <v>0</v>
      </c>
      <c r="F22" s="64">
        <f>J22/200</f>
        <v>6.3</v>
      </c>
      <c r="G22" s="65">
        <f t="shared" si="2"/>
        <v>53.500000000000007</v>
      </c>
      <c r="H22" s="43"/>
      <c r="I22" s="70"/>
      <c r="J22" s="19">
        <v>1260</v>
      </c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SUM('1114'!G23)</f>
        <v>27.875</v>
      </c>
      <c r="E23" s="64">
        <f t="shared" si="1"/>
        <v>6</v>
      </c>
      <c r="F23" s="64">
        <f t="shared" si="1"/>
        <v>6</v>
      </c>
      <c r="G23" s="65">
        <f t="shared" si="2"/>
        <v>27.875</v>
      </c>
      <c r="H23" s="43"/>
      <c r="I23" s="70">
        <v>1200</v>
      </c>
      <c r="J23" s="19">
        <v>1200</v>
      </c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730.85</v>
      </c>
      <c r="E24" s="74">
        <f>SUM(E19:E23)</f>
        <v>86.64</v>
      </c>
      <c r="F24" s="73">
        <f>SUM(F19:F23)</f>
        <v>98.64</v>
      </c>
      <c r="G24" s="75">
        <f>SUM(G19:G23)</f>
        <v>718.85</v>
      </c>
      <c r="H24" s="30"/>
      <c r="I24" s="31">
        <f>SUM(I19:I23)</f>
        <v>17328</v>
      </c>
      <c r="J24" s="31">
        <f>SUM(J19:J23)</f>
        <v>19728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 s="22" customFormat="1">
      <c r="A33" s="82"/>
      <c r="B33" s="83"/>
      <c r="C33" s="83"/>
      <c r="D33" s="155"/>
      <c r="E33" s="156"/>
      <c r="F33" s="156"/>
      <c r="G33" s="157"/>
      <c r="I33" s="2"/>
    </row>
    <row r="34" spans="1:9" s="22" customFormat="1">
      <c r="A34" s="94"/>
      <c r="B34" s="95"/>
      <c r="C34" s="95"/>
      <c r="D34" s="155"/>
      <c r="E34" s="156"/>
      <c r="F34" s="156"/>
      <c r="G34" s="15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A1:G1"/>
    <mergeCell ref="A2:B2"/>
    <mergeCell ref="A3:C3"/>
    <mergeCell ref="A4:A8"/>
    <mergeCell ref="B4:C4"/>
    <mergeCell ref="B5:C5"/>
    <mergeCell ref="B6:C6"/>
    <mergeCell ref="B7:C7"/>
    <mergeCell ref="B8:C8"/>
    <mergeCell ref="A9:C9"/>
    <mergeCell ref="A10:A13"/>
    <mergeCell ref="B10:C10"/>
    <mergeCell ref="B11:C11"/>
    <mergeCell ref="B12:C12"/>
    <mergeCell ref="B13:C13"/>
    <mergeCell ref="A26:G26"/>
    <mergeCell ref="D27:G27"/>
    <mergeCell ref="D28:G28"/>
    <mergeCell ref="A30:G30"/>
    <mergeCell ref="D32:G32"/>
    <mergeCell ref="D31:G31"/>
    <mergeCell ref="A14:A15"/>
    <mergeCell ref="B14:B15"/>
    <mergeCell ref="A16:A17"/>
    <mergeCell ref="A18:A24"/>
    <mergeCell ref="C19:C23"/>
    <mergeCell ref="D33:G33"/>
    <mergeCell ref="D40:G40"/>
    <mergeCell ref="D34:G34"/>
    <mergeCell ref="D35:G35"/>
    <mergeCell ref="D36:G36"/>
    <mergeCell ref="D37:G37"/>
    <mergeCell ref="D38:G38"/>
    <mergeCell ref="D39:G39"/>
  </mergeCells>
  <phoneticPr fontId="3" type="noConversion"/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6872-7C55-42EB-914B-7A598BAFCC68}">
  <dimension ref="A1:P43"/>
  <sheetViews>
    <sheetView zoomScaleNormal="100" workbookViewId="0">
      <selection activeCell="E5" sqref="E5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45954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SUM('1117'!F4)</f>
        <v>510075891</v>
      </c>
      <c r="E4" s="12">
        <v>25041170</v>
      </c>
      <c r="F4" s="13">
        <f>D4+E4</f>
        <v>535117061</v>
      </c>
      <c r="G4" s="14">
        <f>K4/200</f>
        <v>508.61</v>
      </c>
      <c r="H4" s="15"/>
      <c r="I4" s="11">
        <f>SUM('1117'!K4)</f>
        <v>97653</v>
      </c>
      <c r="J4" s="16">
        <v>4069</v>
      </c>
      <c r="K4" s="17">
        <f>I4+J4</f>
        <v>101722</v>
      </c>
      <c r="L4" s="10"/>
      <c r="M4" s="103">
        <f>+K4+K6+K7+K8</f>
        <v>124398</v>
      </c>
      <c r="N4" s="2"/>
    </row>
    <row r="5" spans="1:16">
      <c r="A5" s="172"/>
      <c r="B5" s="176" t="s">
        <v>13</v>
      </c>
      <c r="C5" s="177"/>
      <c r="D5" s="11">
        <f>SUM('1117'!F5)</f>
        <v>0</v>
      </c>
      <c r="E5" s="12"/>
      <c r="F5" s="13">
        <f t="shared" ref="F5:F8" si="0">D5+E5</f>
        <v>0</v>
      </c>
      <c r="G5" s="18">
        <f>K5/200</f>
        <v>200.7</v>
      </c>
      <c r="H5" s="15"/>
      <c r="I5" s="11">
        <f>SUM('1117'!K5)</f>
        <v>40140</v>
      </c>
      <c r="J5" s="19"/>
      <c r="K5" s="20">
        <f>I5+J5</f>
        <v>40140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SUM('1117'!F6)</f>
        <v>0</v>
      </c>
      <c r="E6" s="12"/>
      <c r="F6" s="13">
        <f t="shared" si="0"/>
        <v>0</v>
      </c>
      <c r="G6" s="18">
        <f>K6/200</f>
        <v>0</v>
      </c>
      <c r="I6" s="11">
        <f>SUM('1117'!K6)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SUM('1117'!F7)</f>
        <v>79396790</v>
      </c>
      <c r="E7" s="12"/>
      <c r="F7" s="13">
        <f t="shared" si="0"/>
        <v>79396790</v>
      </c>
      <c r="G7" s="21">
        <f>K7/200</f>
        <v>88.6</v>
      </c>
      <c r="H7" s="22"/>
      <c r="I7" s="11">
        <f>SUM('1117'!K7)</f>
        <v>17720</v>
      </c>
      <c r="J7" s="19"/>
      <c r="K7" s="23">
        <f>I7+J7</f>
        <v>17720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SUM('1117'!F8)</f>
        <v>21528980</v>
      </c>
      <c r="E8" s="25"/>
      <c r="F8" s="13">
        <f t="shared" si="0"/>
        <v>21528980</v>
      </c>
      <c r="G8" s="27">
        <f>K8/200</f>
        <v>24.78</v>
      </c>
      <c r="H8" s="22"/>
      <c r="I8" s="11">
        <f>SUM('1117'!K8)</f>
        <v>4956</v>
      </c>
      <c r="J8" s="19"/>
      <c r="K8" s="23">
        <f>I8+J8</f>
        <v>4956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611001661</v>
      </c>
      <c r="E9" s="28">
        <f>SUM(E4:E8)</f>
        <v>25041170</v>
      </c>
      <c r="F9" s="28">
        <f>SUM(F4:F8)</f>
        <v>636042831</v>
      </c>
      <c r="G9" s="29">
        <f>SUM(G4:G8)</f>
        <v>822.68999999999994</v>
      </c>
      <c r="H9" s="30"/>
      <c r="I9" s="31">
        <f>SUM(I4:I8)</f>
        <v>160469</v>
      </c>
      <c r="J9" s="31">
        <f>SUM(J4:J8)</f>
        <v>4069</v>
      </c>
      <c r="K9" s="31">
        <f>SUM(K4:K8)</f>
        <v>164538</v>
      </c>
      <c r="M9" s="10"/>
    </row>
    <row r="10" spans="1:16">
      <c r="A10" s="144" t="s">
        <v>18</v>
      </c>
      <c r="B10" s="140" t="s">
        <v>19</v>
      </c>
      <c r="C10" s="140"/>
      <c r="D10" s="11">
        <f>SUM('1117'!F10)</f>
        <v>268511534</v>
      </c>
      <c r="E10" s="32">
        <v>11233640</v>
      </c>
      <c r="F10" s="33">
        <f>D10+E10</f>
        <v>279745174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SUM('1117'!F11)</f>
        <v>48696560</v>
      </c>
      <c r="E11" s="12">
        <v>23841730</v>
      </c>
      <c r="F11" s="19">
        <f>D11+E11</f>
        <v>72538290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SUM('1117'!F12)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317208094</v>
      </c>
      <c r="E13" s="28">
        <f>SUM(E10:E12)</f>
        <v>35075370</v>
      </c>
      <c r="F13" s="28">
        <f>SUM(F10:F12)</f>
        <v>352283464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SUM('1117'!F14)</f>
        <v>122582</v>
      </c>
      <c r="E14" s="41"/>
      <c r="F14" s="33">
        <f>D14+E14</f>
        <v>122582</v>
      </c>
      <c r="G14" s="42">
        <f>F14/200</f>
        <v>612.91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>
        <f>SUM('1117'!F15)</f>
        <v>491818971</v>
      </c>
      <c r="E15" s="26"/>
      <c r="F15" s="26">
        <f>D15+E15</f>
        <v>491818971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 ht="17.25" thickBot="1">
      <c r="A16" s="142" t="s">
        <v>27</v>
      </c>
      <c r="B16" s="45" t="s">
        <v>28</v>
      </c>
      <c r="C16" s="106" t="s">
        <v>25</v>
      </c>
      <c r="D16" s="46">
        <f>SUM('1117'!F16)</f>
        <v>9052</v>
      </c>
      <c r="E16" s="33">
        <v>605</v>
      </c>
      <c r="F16" s="33">
        <f>D16+E16</f>
        <v>9657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46">
        <f>SUM('1117'!F17)</f>
        <v>6394</v>
      </c>
      <c r="E17" s="104"/>
      <c r="F17" s="104">
        <f>D17+E17</f>
        <v>6394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SUM('1117'!G19)</f>
        <v>618.35500000000002</v>
      </c>
      <c r="E19" s="64">
        <f t="shared" ref="E19:F23" si="1">I19/200</f>
        <v>0</v>
      </c>
      <c r="F19" s="64">
        <f t="shared" si="1"/>
        <v>20.445</v>
      </c>
      <c r="G19" s="65">
        <f>D19+E19-F19</f>
        <v>597.91</v>
      </c>
      <c r="H19" s="66"/>
      <c r="I19" s="67"/>
      <c r="J19" s="19">
        <v>4089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SUM('1117'!G20)</f>
        <v>19.119999999999997</v>
      </c>
      <c r="E20" s="64">
        <f t="shared" si="1"/>
        <v>0</v>
      </c>
      <c r="F20" s="64">
        <f t="shared" si="1"/>
        <v>0</v>
      </c>
      <c r="G20" s="65">
        <f t="shared" ref="G20:G23" si="2">D20+E20-F20</f>
        <v>19.119999999999997</v>
      </c>
      <c r="H20" s="43"/>
      <c r="I20" s="67"/>
      <c r="J20" s="19"/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SUM('1117'!G21)</f>
        <v>0</v>
      </c>
      <c r="E21" s="64">
        <f t="shared" si="1"/>
        <v>0</v>
      </c>
      <c r="F21" s="64">
        <f t="shared" si="1"/>
        <v>0</v>
      </c>
      <c r="G21" s="65">
        <f t="shared" si="2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SUM('1117'!G22)</f>
        <v>53.500000000000007</v>
      </c>
      <c r="E22" s="64">
        <f t="shared" si="1"/>
        <v>0</v>
      </c>
      <c r="F22" s="64">
        <f t="shared" si="1"/>
        <v>0</v>
      </c>
      <c r="G22" s="65">
        <f t="shared" si="2"/>
        <v>53.500000000000007</v>
      </c>
      <c r="H22" s="43"/>
      <c r="I22" s="70"/>
      <c r="J22" s="19"/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SUM('1117'!G23)</f>
        <v>27.875</v>
      </c>
      <c r="E23" s="64">
        <f t="shared" si="1"/>
        <v>0</v>
      </c>
      <c r="F23" s="64">
        <f t="shared" si="1"/>
        <v>0</v>
      </c>
      <c r="G23" s="65">
        <f t="shared" si="2"/>
        <v>27.875</v>
      </c>
      <c r="H23" s="43"/>
      <c r="I23" s="70"/>
      <c r="J23" s="19"/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718.85</v>
      </c>
      <c r="E24" s="74">
        <f>SUM(E19:E23)</f>
        <v>0</v>
      </c>
      <c r="F24" s="73">
        <f>SUM(F19:F23)</f>
        <v>20.445</v>
      </c>
      <c r="G24" s="75">
        <f>SUM(G19:G23)</f>
        <v>698.40499999999997</v>
      </c>
      <c r="H24" s="30"/>
      <c r="I24" s="31">
        <f>SUM(I19:I23)</f>
        <v>0</v>
      </c>
      <c r="J24" s="31">
        <f>SUM(J19:J23)</f>
        <v>4089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 ht="15.75" customHeight="1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55"/>
      <c r="E33" s="156"/>
      <c r="F33" s="156"/>
      <c r="G33" s="157"/>
      <c r="I33" s="1"/>
    </row>
    <row r="34" spans="1:9" s="22" customFormat="1">
      <c r="A34" s="94"/>
      <c r="B34" s="95"/>
      <c r="C34" s="95"/>
      <c r="D34" s="155"/>
      <c r="E34" s="156"/>
      <c r="F34" s="156"/>
      <c r="G34" s="15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D40:G40"/>
    <mergeCell ref="D34:G34"/>
    <mergeCell ref="D35:G35"/>
    <mergeCell ref="D36:G36"/>
    <mergeCell ref="D37:G37"/>
    <mergeCell ref="D38:G38"/>
    <mergeCell ref="D39:G39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A9:C9"/>
    <mergeCell ref="A10:A13"/>
    <mergeCell ref="B10:C10"/>
    <mergeCell ref="B11:C11"/>
    <mergeCell ref="B12:C12"/>
    <mergeCell ref="B13:C13"/>
    <mergeCell ref="A1:G1"/>
    <mergeCell ref="A2:B2"/>
    <mergeCell ref="A3:C3"/>
    <mergeCell ref="A4:A8"/>
    <mergeCell ref="B4:C4"/>
    <mergeCell ref="B5:C5"/>
    <mergeCell ref="B6:C6"/>
    <mergeCell ref="B7:C7"/>
    <mergeCell ref="B8:C8"/>
  </mergeCells>
  <phoneticPr fontId="3" type="noConversion"/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D9D3-24BA-44A1-A104-4BC07CD8ECC6}">
  <dimension ref="A1:P43"/>
  <sheetViews>
    <sheetView zoomScaleNormal="100" workbookViewId="0">
      <selection activeCell="E5" sqref="E5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45957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SUM('1024'!F4)</f>
        <v>535117061</v>
      </c>
      <c r="E4" s="12">
        <v>11628760</v>
      </c>
      <c r="F4" s="13">
        <f>D4+E4</f>
        <v>546745821</v>
      </c>
      <c r="G4" s="14">
        <f>K4/200</f>
        <v>521.04999999999995</v>
      </c>
      <c r="H4" s="15"/>
      <c r="I4" s="11">
        <f>SUM('1024'!K4)</f>
        <v>101722</v>
      </c>
      <c r="J4" s="16">
        <v>2488</v>
      </c>
      <c r="K4" s="17">
        <f>I4+J4</f>
        <v>104210</v>
      </c>
      <c r="L4" s="10"/>
      <c r="M4" s="103">
        <f>+K4+K6+K7+K8</f>
        <v>126886</v>
      </c>
      <c r="N4" s="2"/>
    </row>
    <row r="5" spans="1:16">
      <c r="A5" s="172"/>
      <c r="B5" s="176" t="s">
        <v>13</v>
      </c>
      <c r="C5" s="177"/>
      <c r="D5" s="11">
        <f>SUM('1024'!F5)</f>
        <v>0</v>
      </c>
      <c r="E5" s="12"/>
      <c r="F5" s="13">
        <f t="shared" ref="F5:F7" si="0">D5+E5</f>
        <v>0</v>
      </c>
      <c r="G5" s="18">
        <f>K5/200</f>
        <v>200.7</v>
      </c>
      <c r="H5" s="15"/>
      <c r="I5" s="11">
        <f>SUM('1024'!K5)</f>
        <v>40140</v>
      </c>
      <c r="J5" s="19"/>
      <c r="K5" s="20">
        <f>I5+J5</f>
        <v>40140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SUM('1024'!F6)</f>
        <v>0</v>
      </c>
      <c r="E6" s="12"/>
      <c r="F6" s="13">
        <f t="shared" si="0"/>
        <v>0</v>
      </c>
      <c r="G6" s="18">
        <f>K6/200</f>
        <v>0</v>
      </c>
      <c r="I6" s="11">
        <f>SUM('1024'!K6)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SUM('1024'!F7)</f>
        <v>79396790</v>
      </c>
      <c r="E7" s="12"/>
      <c r="F7" s="13">
        <f t="shared" si="0"/>
        <v>79396790</v>
      </c>
      <c r="G7" s="21">
        <f>K7/200</f>
        <v>88.6</v>
      </c>
      <c r="H7" s="22"/>
      <c r="I7" s="11">
        <f>SUM('1024'!K7)</f>
        <v>17720</v>
      </c>
      <c r="J7" s="19"/>
      <c r="K7" s="23">
        <f>I7+J7</f>
        <v>17720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SUM('1024'!F8)</f>
        <v>21528980</v>
      </c>
      <c r="E8" s="25"/>
      <c r="F8" s="13">
        <f>D8+E8</f>
        <v>21528980</v>
      </c>
      <c r="G8" s="27">
        <f>K8/200</f>
        <v>24.78</v>
      </c>
      <c r="H8" s="22"/>
      <c r="I8" s="11">
        <f>SUM('1024'!K8)</f>
        <v>4956</v>
      </c>
      <c r="J8" s="19"/>
      <c r="K8" s="23">
        <f>I8+J8</f>
        <v>4956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636042831</v>
      </c>
      <c r="E9" s="28">
        <f>SUM(E4:E8)</f>
        <v>11628760</v>
      </c>
      <c r="F9" s="28">
        <f>SUM(F4:F8)</f>
        <v>647671591</v>
      </c>
      <c r="G9" s="29">
        <f>SUM(G4:G8)</f>
        <v>835.13</v>
      </c>
      <c r="H9" s="30"/>
      <c r="I9" s="31">
        <f>SUM(I4:I8)</f>
        <v>164538</v>
      </c>
      <c r="J9" s="31">
        <f>SUM(J4:J8)</f>
        <v>2488</v>
      </c>
      <c r="K9" s="31">
        <f>SUM(K4:K8)</f>
        <v>167026</v>
      </c>
      <c r="M9" s="10"/>
    </row>
    <row r="10" spans="1:16">
      <c r="A10" s="144" t="s">
        <v>18</v>
      </c>
      <c r="B10" s="140" t="s">
        <v>19</v>
      </c>
      <c r="C10" s="140"/>
      <c r="D10" s="11">
        <f>SUM('1024'!F10)</f>
        <v>279745174</v>
      </c>
      <c r="E10" s="32">
        <v>43379160</v>
      </c>
      <c r="F10" s="33">
        <f>D10+E10</f>
        <v>323124334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SUM('1024'!F11)</f>
        <v>72538290</v>
      </c>
      <c r="E11" s="12"/>
      <c r="F11" s="19">
        <f>D11+E11</f>
        <v>72538290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SUM('1024'!F12)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352283464</v>
      </c>
      <c r="E13" s="28">
        <f>SUM(E10:E12)</f>
        <v>43379160</v>
      </c>
      <c r="F13" s="28">
        <f>SUM(F10:F12)</f>
        <v>395662624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SUM('1024'!F14)</f>
        <v>122582</v>
      </c>
      <c r="E14" s="41">
        <v>10812</v>
      </c>
      <c r="F14" s="33">
        <f>D14+E14</f>
        <v>133394</v>
      </c>
      <c r="G14" s="42">
        <f>F14/200</f>
        <v>666.97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>
        <f>SUM('1024'!F15)</f>
        <v>491818971</v>
      </c>
      <c r="E15" s="26">
        <v>37520718</v>
      </c>
      <c r="F15" s="26">
        <f>D15+E15</f>
        <v>529339689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 ht="17.25" thickBot="1">
      <c r="A16" s="142" t="s">
        <v>27</v>
      </c>
      <c r="B16" s="45" t="s">
        <v>28</v>
      </c>
      <c r="C16" s="106" t="s">
        <v>25</v>
      </c>
      <c r="D16" s="46">
        <f>SUM('1024'!F16)</f>
        <v>9657</v>
      </c>
      <c r="E16" s="33">
        <v>208</v>
      </c>
      <c r="F16" s="33">
        <f>D16+E16</f>
        <v>9865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46">
        <f>SUM('1024'!F17)</f>
        <v>6394</v>
      </c>
      <c r="E17" s="104">
        <v>208</v>
      </c>
      <c r="F17" s="104">
        <f>D17+E17</f>
        <v>6602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SUM('1024'!G19)</f>
        <v>597.91</v>
      </c>
      <c r="E19" s="64">
        <f t="shared" ref="E19:F23" si="1">I19/200</f>
        <v>45.74</v>
      </c>
      <c r="F19" s="64">
        <f t="shared" si="1"/>
        <v>21.754999999999999</v>
      </c>
      <c r="G19" s="65">
        <f>D19+E19-F19</f>
        <v>621.89499999999998</v>
      </c>
      <c r="H19" s="66"/>
      <c r="I19" s="67">
        <v>9148</v>
      </c>
      <c r="J19" s="19">
        <v>4351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SUM('1024'!G20)</f>
        <v>19.119999999999997</v>
      </c>
      <c r="E20" s="64">
        <f t="shared" si="1"/>
        <v>8.32</v>
      </c>
      <c r="F20" s="64">
        <f t="shared" si="1"/>
        <v>0</v>
      </c>
      <c r="G20" s="65">
        <f t="shared" ref="G20:G23" si="2">D20+E20-F20</f>
        <v>27.439999999999998</v>
      </c>
      <c r="H20" s="43"/>
      <c r="I20" s="67">
        <v>1664</v>
      </c>
      <c r="J20" s="19"/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SUM('1024'!G21)</f>
        <v>0</v>
      </c>
      <c r="E21" s="64">
        <f t="shared" si="1"/>
        <v>0</v>
      </c>
      <c r="F21" s="64">
        <f t="shared" si="1"/>
        <v>0</v>
      </c>
      <c r="G21" s="65">
        <f t="shared" si="2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SUM('1024'!G22)</f>
        <v>53.500000000000007</v>
      </c>
      <c r="E22" s="64">
        <f t="shared" si="1"/>
        <v>0</v>
      </c>
      <c r="F22" s="64">
        <f t="shared" si="1"/>
        <v>0</v>
      </c>
      <c r="G22" s="65">
        <f t="shared" si="2"/>
        <v>53.500000000000007</v>
      </c>
      <c r="H22" s="43"/>
      <c r="I22" s="70"/>
      <c r="J22" s="19"/>
      <c r="K22" s="22"/>
      <c r="L22" s="59"/>
      <c r="M22" s="59" t="s">
        <v>55</v>
      </c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SUM('1024'!G23)</f>
        <v>27.875</v>
      </c>
      <c r="E23" s="64">
        <f t="shared" si="1"/>
        <v>0</v>
      </c>
      <c r="F23" s="64">
        <f t="shared" si="1"/>
        <v>0</v>
      </c>
      <c r="G23" s="65">
        <f t="shared" si="2"/>
        <v>27.875</v>
      </c>
      <c r="H23" s="43"/>
      <c r="I23" s="70"/>
      <c r="J23" s="19"/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698.40499999999997</v>
      </c>
      <c r="E24" s="74">
        <f>SUM(E19:E23)</f>
        <v>54.06</v>
      </c>
      <c r="F24" s="73">
        <f>SUM(F19:F23)</f>
        <v>21.754999999999999</v>
      </c>
      <c r="G24" s="75">
        <f>SUM(G19:G23)</f>
        <v>730.71</v>
      </c>
      <c r="H24" s="30"/>
      <c r="I24" s="31">
        <f>SUM(I19:I23)</f>
        <v>10812</v>
      </c>
      <c r="J24" s="31">
        <f>SUM(J19:J23)</f>
        <v>4351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55"/>
      <c r="E33" s="156"/>
      <c r="F33" s="156"/>
      <c r="G33" s="157"/>
      <c r="I33" s="1"/>
    </row>
    <row r="34" spans="1:9" s="22" customFormat="1">
      <c r="A34" s="94"/>
      <c r="B34" s="95"/>
      <c r="C34" s="95"/>
      <c r="D34" s="155"/>
      <c r="E34" s="156"/>
      <c r="F34" s="156"/>
      <c r="G34" s="15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A1:G1"/>
    <mergeCell ref="A2:B2"/>
    <mergeCell ref="A3:C3"/>
    <mergeCell ref="A4:A8"/>
    <mergeCell ref="B4:C4"/>
    <mergeCell ref="B5:C5"/>
    <mergeCell ref="B6:C6"/>
    <mergeCell ref="B7:C7"/>
    <mergeCell ref="B8:C8"/>
    <mergeCell ref="A9:C9"/>
    <mergeCell ref="A10:A13"/>
    <mergeCell ref="B10:C10"/>
    <mergeCell ref="B11:C11"/>
    <mergeCell ref="B12:C12"/>
    <mergeCell ref="B13:C13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D40:G40"/>
    <mergeCell ref="D34:G34"/>
    <mergeCell ref="D35:G35"/>
    <mergeCell ref="D36:G36"/>
    <mergeCell ref="D37:G37"/>
    <mergeCell ref="D38:G38"/>
    <mergeCell ref="D39:G39"/>
  </mergeCells>
  <phoneticPr fontId="3" type="noConversion"/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E06A-B77C-4107-894F-9EA89811AA39}">
  <dimension ref="A1:P43"/>
  <sheetViews>
    <sheetView zoomScaleNormal="100" workbookViewId="0">
      <selection activeCell="E5" sqref="E5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45958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SUM('1027'!F4)</f>
        <v>546745821</v>
      </c>
      <c r="E4" s="12">
        <v>38013754</v>
      </c>
      <c r="F4" s="13">
        <f>D4+E4</f>
        <v>584759575</v>
      </c>
      <c r="G4" s="14">
        <f>K4/200</f>
        <v>551.52</v>
      </c>
      <c r="H4" s="15"/>
      <c r="I4" s="11">
        <f>SUM('1027'!K4)</f>
        <v>104210</v>
      </c>
      <c r="J4" s="16">
        <v>6094</v>
      </c>
      <c r="K4" s="17">
        <f>I4+J4</f>
        <v>110304</v>
      </c>
      <c r="L4" s="10"/>
      <c r="M4" s="103">
        <f>+K4+K6+K7+K8</f>
        <v>132980</v>
      </c>
      <c r="N4" s="2"/>
    </row>
    <row r="5" spans="1:16">
      <c r="A5" s="172"/>
      <c r="B5" s="176" t="s">
        <v>13</v>
      </c>
      <c r="C5" s="177"/>
      <c r="D5" s="11">
        <f>SUM('1027'!F5)</f>
        <v>0</v>
      </c>
      <c r="E5" s="12"/>
      <c r="F5" s="13">
        <f t="shared" ref="F5:F8" si="0">D5+E5</f>
        <v>0</v>
      </c>
      <c r="G5" s="18">
        <f>K5/200</f>
        <v>200.7</v>
      </c>
      <c r="H5" s="15"/>
      <c r="I5" s="11">
        <f>SUM('1027'!K5)</f>
        <v>40140</v>
      </c>
      <c r="J5" s="19"/>
      <c r="K5" s="20">
        <f>I5+J5</f>
        <v>40140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SUM('1027'!F6)</f>
        <v>0</v>
      </c>
      <c r="E6" s="12"/>
      <c r="F6" s="13">
        <f t="shared" si="0"/>
        <v>0</v>
      </c>
      <c r="G6" s="18">
        <f>K6/200</f>
        <v>0</v>
      </c>
      <c r="I6" s="11">
        <f>SUM('1027'!K6)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SUM('1027'!F7)</f>
        <v>79396790</v>
      </c>
      <c r="E7" s="12"/>
      <c r="F7" s="13">
        <f t="shared" si="0"/>
        <v>79396790</v>
      </c>
      <c r="G7" s="21">
        <f>K7/200</f>
        <v>88.6</v>
      </c>
      <c r="H7" s="22"/>
      <c r="I7" s="11">
        <f>SUM('1027'!K7)</f>
        <v>17720</v>
      </c>
      <c r="J7" s="19"/>
      <c r="K7" s="23">
        <f>I7+J7</f>
        <v>17720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SUM('1027'!F8)</f>
        <v>21528980</v>
      </c>
      <c r="E8" s="25"/>
      <c r="F8" s="13">
        <f t="shared" si="0"/>
        <v>21528980</v>
      </c>
      <c r="G8" s="27">
        <f>K8/200</f>
        <v>24.78</v>
      </c>
      <c r="H8" s="22"/>
      <c r="I8" s="11">
        <f>SUM('1027'!K8)</f>
        <v>4956</v>
      </c>
      <c r="J8" s="19"/>
      <c r="K8" s="23">
        <f>I8+J8</f>
        <v>4956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647671591</v>
      </c>
      <c r="E9" s="28">
        <f>SUM(E4:E8)</f>
        <v>38013754</v>
      </c>
      <c r="F9" s="28">
        <f>SUM(F4:F8)</f>
        <v>685685345</v>
      </c>
      <c r="G9" s="29">
        <f>SUM(G4:G8)</f>
        <v>865.6</v>
      </c>
      <c r="H9" s="30"/>
      <c r="I9" s="31">
        <f>SUM(I4:I8)</f>
        <v>167026</v>
      </c>
      <c r="J9" s="31">
        <f>SUM(J4:J8)</f>
        <v>6094</v>
      </c>
      <c r="K9" s="31">
        <f>SUM(K4:K8)</f>
        <v>173120</v>
      </c>
      <c r="M9" s="10"/>
    </row>
    <row r="10" spans="1:16">
      <c r="A10" s="144" t="s">
        <v>18</v>
      </c>
      <c r="B10" s="140" t="s">
        <v>19</v>
      </c>
      <c r="C10" s="140"/>
      <c r="D10" s="11">
        <f>SUM('1027'!F10)</f>
        <v>323124334</v>
      </c>
      <c r="E10" s="32"/>
      <c r="F10" s="33">
        <f>D10+E10</f>
        <v>323124334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SUM('1027'!F11)</f>
        <v>72538290</v>
      </c>
      <c r="E11" s="12"/>
      <c r="F11" s="19">
        <f>D11+E11</f>
        <v>72538290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SUM('1027'!F12)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395662624</v>
      </c>
      <c r="E13" s="28">
        <f>SUM(E10:E12)</f>
        <v>0</v>
      </c>
      <c r="F13" s="28">
        <f>SUM(F10:F12)</f>
        <v>395662624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46">
        <f>SUM('1027'!F14)</f>
        <v>133394</v>
      </c>
      <c r="E14" s="130">
        <v>10864</v>
      </c>
      <c r="F14" s="33">
        <f>D14+E14</f>
        <v>144258</v>
      </c>
      <c r="G14" s="42">
        <f>F14/200</f>
        <v>721.29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>
        <f>SUM('1027'!F15)</f>
        <v>529339689</v>
      </c>
      <c r="E15" s="114">
        <v>37670526</v>
      </c>
      <c r="F15" s="26">
        <f>D15+E15</f>
        <v>567010215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>
      <c r="A16" s="142" t="s">
        <v>27</v>
      </c>
      <c r="B16" s="45" t="s">
        <v>28</v>
      </c>
      <c r="C16" s="106" t="s">
        <v>25</v>
      </c>
      <c r="D16" s="46">
        <f>SUM('1027'!F16)</f>
        <v>9865</v>
      </c>
      <c r="E16" s="33">
        <v>734</v>
      </c>
      <c r="F16" s="33">
        <f>D16+E16</f>
        <v>10599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11">
        <f>SUM('1027'!F17)</f>
        <v>6602</v>
      </c>
      <c r="E17" s="104">
        <v>160</v>
      </c>
      <c r="F17" s="104">
        <f>D17+E17</f>
        <v>6762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SUM('1027'!G19)</f>
        <v>621.89499999999998</v>
      </c>
      <c r="E19" s="64">
        <f t="shared" ref="E19:F23" si="1">I19/200</f>
        <v>41.18</v>
      </c>
      <c r="F19" s="64">
        <f t="shared" si="1"/>
        <v>30.47</v>
      </c>
      <c r="G19" s="65">
        <f>D19+E19-F19</f>
        <v>632.6049999999999</v>
      </c>
      <c r="H19" s="66"/>
      <c r="I19" s="67">
        <v>8236</v>
      </c>
      <c r="J19" s="16">
        <v>6094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SUM('1027'!G20)</f>
        <v>27.439999999999998</v>
      </c>
      <c r="E20" s="64">
        <f t="shared" si="1"/>
        <v>13.52</v>
      </c>
      <c r="F20" s="64">
        <f t="shared" si="1"/>
        <v>0</v>
      </c>
      <c r="G20" s="65">
        <f t="shared" ref="G20:G23" si="2">D20+E20-F20</f>
        <v>40.959999999999994</v>
      </c>
      <c r="H20" s="43"/>
      <c r="I20" s="67">
        <v>2704</v>
      </c>
      <c r="J20" s="19"/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SUM('1027'!G21)</f>
        <v>0</v>
      </c>
      <c r="E21" s="64">
        <f t="shared" si="1"/>
        <v>0</v>
      </c>
      <c r="F21" s="64">
        <f t="shared" si="1"/>
        <v>0</v>
      </c>
      <c r="G21" s="65">
        <f t="shared" si="2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SUM('1027'!G22)</f>
        <v>53.500000000000007</v>
      </c>
      <c r="E22" s="64">
        <f t="shared" si="1"/>
        <v>6.15</v>
      </c>
      <c r="F22" s="64">
        <f t="shared" si="1"/>
        <v>0</v>
      </c>
      <c r="G22" s="65">
        <f t="shared" si="2"/>
        <v>59.650000000000006</v>
      </c>
      <c r="H22" s="43"/>
      <c r="I22" s="70">
        <v>1230</v>
      </c>
      <c r="J22" s="19"/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SUM('1027'!G23)</f>
        <v>27.875</v>
      </c>
      <c r="E23" s="64">
        <f t="shared" si="1"/>
        <v>0</v>
      </c>
      <c r="F23" s="64">
        <f t="shared" si="1"/>
        <v>0</v>
      </c>
      <c r="G23" s="65">
        <f t="shared" si="2"/>
        <v>27.875</v>
      </c>
      <c r="H23" s="43"/>
      <c r="I23" s="70"/>
      <c r="J23" s="19"/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730.71</v>
      </c>
      <c r="E24" s="74">
        <f>SUM(E19:E23)</f>
        <v>60.85</v>
      </c>
      <c r="F24" s="73">
        <f>SUM(F19:F23)</f>
        <v>30.47</v>
      </c>
      <c r="G24" s="75">
        <f>SUM(G19:G23)</f>
        <v>761.08999999999992</v>
      </c>
      <c r="H24" s="30"/>
      <c r="I24" s="31">
        <f>SUM(I19:I23)</f>
        <v>12170</v>
      </c>
      <c r="J24" s="31">
        <f>SUM(J19:J23)</f>
        <v>6094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55"/>
      <c r="E33" s="156"/>
      <c r="F33" s="156"/>
      <c r="G33" s="157"/>
      <c r="I33" s="1"/>
    </row>
    <row r="34" spans="1:9" s="22" customFormat="1">
      <c r="A34" s="94"/>
      <c r="B34" s="95"/>
      <c r="C34" s="95"/>
      <c r="D34" s="155"/>
      <c r="E34" s="156"/>
      <c r="F34" s="156"/>
      <c r="G34" s="15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D40:G40"/>
    <mergeCell ref="D34:G34"/>
    <mergeCell ref="D35:G35"/>
    <mergeCell ref="D36:G36"/>
    <mergeCell ref="D37:G37"/>
    <mergeCell ref="D38:G38"/>
    <mergeCell ref="D39:G39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A9:C9"/>
    <mergeCell ref="A10:A13"/>
    <mergeCell ref="B10:C10"/>
    <mergeCell ref="B11:C11"/>
    <mergeCell ref="B12:C12"/>
    <mergeCell ref="B13:C13"/>
    <mergeCell ref="A1:G1"/>
    <mergeCell ref="A2:B2"/>
    <mergeCell ref="A3:C3"/>
    <mergeCell ref="A4:A8"/>
    <mergeCell ref="B4:C4"/>
    <mergeCell ref="B5:C5"/>
    <mergeCell ref="B6:C6"/>
    <mergeCell ref="B7:C7"/>
    <mergeCell ref="B8:C8"/>
  </mergeCells>
  <phoneticPr fontId="3" type="noConversion"/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4F222-7215-47C5-815D-D8E8FD34B4A2}">
  <dimension ref="A1:P43"/>
  <sheetViews>
    <sheetView zoomScaleNormal="100" workbookViewId="0">
      <selection activeCell="E5" sqref="E5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45959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SUM('1028'!F4)</f>
        <v>584759575</v>
      </c>
      <c r="E4" s="12">
        <v>30679748</v>
      </c>
      <c r="F4" s="13">
        <f>D4+E4</f>
        <v>615439323</v>
      </c>
      <c r="G4" s="14">
        <f>K4/200</f>
        <v>598.08000000000004</v>
      </c>
      <c r="H4" s="15"/>
      <c r="I4" s="11">
        <f>SUM('1028'!K4)</f>
        <v>110304</v>
      </c>
      <c r="J4" s="16">
        <v>9312</v>
      </c>
      <c r="K4" s="17">
        <f>I4+J4</f>
        <v>119616</v>
      </c>
      <c r="L4" s="10"/>
      <c r="M4" s="103">
        <f>+K4+K6+K7+K8</f>
        <v>142372</v>
      </c>
      <c r="N4" s="2"/>
    </row>
    <row r="5" spans="1:16">
      <c r="A5" s="172"/>
      <c r="B5" s="176" t="s">
        <v>13</v>
      </c>
      <c r="C5" s="177"/>
      <c r="D5" s="11">
        <f>SUM('1028'!F5)</f>
        <v>0</v>
      </c>
      <c r="E5" s="12"/>
      <c r="F5" s="13">
        <f t="shared" ref="F5:F8" si="0">D5+E5</f>
        <v>0</v>
      </c>
      <c r="G5" s="18">
        <f>K5/200</f>
        <v>200.7</v>
      </c>
      <c r="H5" s="15"/>
      <c r="I5" s="11">
        <f>SUM('1028'!K5)</f>
        <v>40140</v>
      </c>
      <c r="J5" s="19"/>
      <c r="K5" s="20">
        <f>I5+J5</f>
        <v>40140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SUM('1028'!F6)</f>
        <v>0</v>
      </c>
      <c r="E6" s="12"/>
      <c r="F6" s="13">
        <f t="shared" si="0"/>
        <v>0</v>
      </c>
      <c r="G6" s="18">
        <f>K6/200</f>
        <v>0</v>
      </c>
      <c r="I6" s="11">
        <f>SUM('1028'!K6)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SUM('1028'!F7)</f>
        <v>79396790</v>
      </c>
      <c r="E7" s="12">
        <v>396000</v>
      </c>
      <c r="F7" s="13">
        <f t="shared" si="0"/>
        <v>79792790</v>
      </c>
      <c r="G7" s="21">
        <f>K7/200</f>
        <v>89</v>
      </c>
      <c r="H7" s="22"/>
      <c r="I7" s="11">
        <f>SUM('1028'!K7)</f>
        <v>17720</v>
      </c>
      <c r="J7" s="19">
        <v>80</v>
      </c>
      <c r="K7" s="23">
        <f>I7+J7</f>
        <v>17800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SUM('1028'!F8)</f>
        <v>21528980</v>
      </c>
      <c r="E8" s="25"/>
      <c r="F8" s="13">
        <f t="shared" si="0"/>
        <v>21528980</v>
      </c>
      <c r="G8" s="27">
        <f>K8/200</f>
        <v>24.78</v>
      </c>
      <c r="H8" s="22"/>
      <c r="I8" s="11">
        <f>SUM('1028'!K8)</f>
        <v>4956</v>
      </c>
      <c r="J8" s="19"/>
      <c r="K8" s="23">
        <f>I8+J8</f>
        <v>4956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685685345</v>
      </c>
      <c r="E9" s="28">
        <f>SUM(E4:E8)</f>
        <v>31075748</v>
      </c>
      <c r="F9" s="28">
        <f>SUM(F4:F8)</f>
        <v>716761093</v>
      </c>
      <c r="G9" s="29">
        <f>SUM(G4:G8)</f>
        <v>912.56</v>
      </c>
      <c r="H9" s="30"/>
      <c r="I9" s="31">
        <f>SUM(I4:I8)</f>
        <v>173120</v>
      </c>
      <c r="J9" s="31">
        <f>SUM(J4:J8)</f>
        <v>9392</v>
      </c>
      <c r="K9" s="31">
        <f>SUM(K4:K8)</f>
        <v>182512</v>
      </c>
      <c r="M9" s="10"/>
    </row>
    <row r="10" spans="1:16">
      <c r="A10" s="144" t="s">
        <v>18</v>
      </c>
      <c r="B10" s="140" t="s">
        <v>19</v>
      </c>
      <c r="C10" s="140"/>
      <c r="D10" s="11">
        <f>SUM('1028'!F10)</f>
        <v>323124334</v>
      </c>
      <c r="E10" s="32">
        <v>78100</v>
      </c>
      <c r="F10" s="33">
        <f>D10+E10</f>
        <v>323202434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SUM('1028'!F11)</f>
        <v>72538290</v>
      </c>
      <c r="E11" s="12"/>
      <c r="F11" s="19">
        <f>D11+E11</f>
        <v>72538290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SUM('1028'!F12)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395662624</v>
      </c>
      <c r="E13" s="28">
        <f>SUM(E10:E12)</f>
        <v>78100</v>
      </c>
      <c r="F13" s="28">
        <f>SUM(F10:F12)</f>
        <v>395740724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SUM('1028'!F14)</f>
        <v>144258</v>
      </c>
      <c r="E14" s="41">
        <v>5440</v>
      </c>
      <c r="F14" s="33">
        <f>D14+E14</f>
        <v>149698</v>
      </c>
      <c r="G14" s="42">
        <f>F14/200</f>
        <v>748.49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>
        <f>SUM('1028'!F15)</f>
        <v>567010215</v>
      </c>
      <c r="E15" s="26">
        <v>14893340</v>
      </c>
      <c r="F15" s="26">
        <f>D15+E15</f>
        <v>581903555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 ht="17.25" thickBot="1">
      <c r="A16" s="142" t="s">
        <v>27</v>
      </c>
      <c r="B16" s="45" t="s">
        <v>28</v>
      </c>
      <c r="C16" s="106" t="s">
        <v>25</v>
      </c>
      <c r="D16" s="46">
        <f>SUM('1028'!F16)</f>
        <v>10599</v>
      </c>
      <c r="E16" s="33">
        <v>16</v>
      </c>
      <c r="F16" s="33">
        <f>D16+E16</f>
        <v>10615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46">
        <f>SUM('1028'!F17)</f>
        <v>6762</v>
      </c>
      <c r="E17" s="104"/>
      <c r="F17" s="104">
        <f>D17+E17</f>
        <v>6762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SUM('1028'!G19)</f>
        <v>632.6049999999999</v>
      </c>
      <c r="E19" s="64">
        <f t="shared" ref="E19:F23" si="1">I19/200</f>
        <v>27.2</v>
      </c>
      <c r="F19" s="64">
        <f t="shared" si="1"/>
        <v>51.34</v>
      </c>
      <c r="G19" s="65">
        <f>D19+E19-F19</f>
        <v>608.46499999999992</v>
      </c>
      <c r="H19" s="66"/>
      <c r="I19" s="67">
        <v>5440</v>
      </c>
      <c r="J19" s="16">
        <v>10268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SUM('1028'!G20)</f>
        <v>40.959999999999994</v>
      </c>
      <c r="E20" s="64">
        <f t="shared" si="1"/>
        <v>0</v>
      </c>
      <c r="F20" s="64">
        <f t="shared" si="1"/>
        <v>0</v>
      </c>
      <c r="G20" s="65">
        <f t="shared" ref="G20:G23" si="2">D20+E20-F20</f>
        <v>40.959999999999994</v>
      </c>
      <c r="H20" s="43"/>
      <c r="I20" s="67"/>
      <c r="J20" s="19"/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SUM('1028'!G21)</f>
        <v>0</v>
      </c>
      <c r="E21" s="64">
        <f t="shared" si="1"/>
        <v>0</v>
      </c>
      <c r="F21" s="64">
        <f t="shared" si="1"/>
        <v>0</v>
      </c>
      <c r="G21" s="65">
        <f t="shared" si="2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SUM('1028'!G22)</f>
        <v>59.650000000000006</v>
      </c>
      <c r="E22" s="64">
        <f t="shared" si="1"/>
        <v>4.5</v>
      </c>
      <c r="F22" s="64">
        <f t="shared" si="1"/>
        <v>0.4</v>
      </c>
      <c r="G22" s="65">
        <f t="shared" si="2"/>
        <v>63.750000000000007</v>
      </c>
      <c r="H22" s="43"/>
      <c r="I22" s="70">
        <v>900</v>
      </c>
      <c r="J22" s="19">
        <v>80</v>
      </c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SUM('1028'!G23)</f>
        <v>27.875</v>
      </c>
      <c r="E23" s="64">
        <f t="shared" si="1"/>
        <v>0</v>
      </c>
      <c r="F23" s="64">
        <f t="shared" si="1"/>
        <v>0</v>
      </c>
      <c r="G23" s="65">
        <f t="shared" si="2"/>
        <v>27.875</v>
      </c>
      <c r="H23" s="43"/>
      <c r="I23" s="70"/>
      <c r="J23" s="19"/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761.08999999999992</v>
      </c>
      <c r="E24" s="74">
        <f>SUM(E19:E23)</f>
        <v>31.7</v>
      </c>
      <c r="F24" s="73">
        <f>SUM(F19:F23)</f>
        <v>51.74</v>
      </c>
      <c r="G24" s="75">
        <f>SUM(G19:G23)</f>
        <v>741.05</v>
      </c>
      <c r="H24" s="30"/>
      <c r="I24" s="31">
        <f>SUM(I19:I23)</f>
        <v>6340</v>
      </c>
      <c r="J24" s="31">
        <f>SUM(J19:J23)</f>
        <v>10348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55"/>
      <c r="E33" s="156"/>
      <c r="F33" s="156"/>
      <c r="G33" s="157"/>
      <c r="I33" s="1"/>
    </row>
    <row r="34" spans="1:9" s="22" customFormat="1">
      <c r="A34" s="94"/>
      <c r="B34" s="95"/>
      <c r="C34" s="95"/>
      <c r="D34" s="155"/>
      <c r="E34" s="156"/>
      <c r="F34" s="156"/>
      <c r="G34" s="15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A1:G1"/>
    <mergeCell ref="A2:B2"/>
    <mergeCell ref="A3:C3"/>
    <mergeCell ref="A4:A8"/>
    <mergeCell ref="B4:C4"/>
    <mergeCell ref="B5:C5"/>
    <mergeCell ref="B6:C6"/>
    <mergeCell ref="B7:C7"/>
    <mergeCell ref="B8:C8"/>
    <mergeCell ref="A9:C9"/>
    <mergeCell ref="A10:A13"/>
    <mergeCell ref="B10:C10"/>
    <mergeCell ref="B11:C11"/>
    <mergeCell ref="B12:C12"/>
    <mergeCell ref="B13:C13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D40:G40"/>
    <mergeCell ref="D34:G34"/>
    <mergeCell ref="D35:G35"/>
    <mergeCell ref="D36:G36"/>
    <mergeCell ref="D37:G37"/>
    <mergeCell ref="D38:G38"/>
    <mergeCell ref="D39:G39"/>
  </mergeCells>
  <phoneticPr fontId="3" type="noConversion"/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2FE0-4B29-468C-9427-2426F77D7585}">
  <dimension ref="A1:P43"/>
  <sheetViews>
    <sheetView zoomScaleNormal="100" workbookViewId="0">
      <selection activeCell="A3" sqref="A3:C3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45923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SUM('1029'!F4)</f>
        <v>615439323</v>
      </c>
      <c r="E4" s="12">
        <v>24345618</v>
      </c>
      <c r="F4" s="13">
        <f>D4+E4</f>
        <v>639784941</v>
      </c>
      <c r="G4" s="14">
        <f>K4/200</f>
        <v>623.60500000000002</v>
      </c>
      <c r="H4" s="15"/>
      <c r="I4" s="11">
        <f>SUM('1029'!K4)</f>
        <v>119616</v>
      </c>
      <c r="J4" s="16">
        <v>5105</v>
      </c>
      <c r="K4" s="17">
        <f>I4+J4</f>
        <v>124721</v>
      </c>
      <c r="L4" s="10"/>
      <c r="M4" s="103">
        <f>+K4+K6+K7+K8</f>
        <v>147897</v>
      </c>
      <c r="N4" s="2"/>
    </row>
    <row r="5" spans="1:16">
      <c r="A5" s="172"/>
      <c r="B5" s="176" t="s">
        <v>13</v>
      </c>
      <c r="C5" s="177"/>
      <c r="D5" s="11">
        <f>SUM('1029'!F5)</f>
        <v>0</v>
      </c>
      <c r="E5" s="12"/>
      <c r="F5" s="13">
        <f t="shared" ref="F5:F8" si="0">D5+E5</f>
        <v>0</v>
      </c>
      <c r="G5" s="18">
        <f>K5/200</f>
        <v>200.7</v>
      </c>
      <c r="H5" s="15"/>
      <c r="I5" s="11">
        <f>SUM('1029'!K5)</f>
        <v>40140</v>
      </c>
      <c r="J5" s="19"/>
      <c r="K5" s="20">
        <f>I5+J5</f>
        <v>40140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SUM('1029'!F6)</f>
        <v>0</v>
      </c>
      <c r="E6" s="12"/>
      <c r="F6" s="13">
        <f t="shared" si="0"/>
        <v>0</v>
      </c>
      <c r="G6" s="18">
        <f>K6/200</f>
        <v>0</v>
      </c>
      <c r="I6" s="11">
        <f>SUM('1029'!K6)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SUM('1029'!F7)</f>
        <v>79792790</v>
      </c>
      <c r="E7" s="12">
        <v>1778700</v>
      </c>
      <c r="F7" s="13">
        <f t="shared" si="0"/>
        <v>81571490</v>
      </c>
      <c r="G7" s="21">
        <f>K7/200</f>
        <v>91.1</v>
      </c>
      <c r="H7" s="22"/>
      <c r="I7" s="11">
        <f>SUM('1029'!K7)</f>
        <v>17800</v>
      </c>
      <c r="J7" s="19">
        <v>420</v>
      </c>
      <c r="K7" s="23">
        <f>I7+J7</f>
        <v>18220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SUM('1029'!F8)</f>
        <v>21528980</v>
      </c>
      <c r="E8" s="25"/>
      <c r="F8" s="13">
        <f t="shared" si="0"/>
        <v>21528980</v>
      </c>
      <c r="G8" s="27">
        <f>K8/200</f>
        <v>24.78</v>
      </c>
      <c r="H8" s="22"/>
      <c r="I8" s="11">
        <f>SUM('1029'!K8)</f>
        <v>4956</v>
      </c>
      <c r="J8" s="19"/>
      <c r="K8" s="23">
        <f>I8+J8</f>
        <v>4956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716761093</v>
      </c>
      <c r="E9" s="28">
        <f>SUM(E4:E8)</f>
        <v>26124318</v>
      </c>
      <c r="F9" s="28">
        <f>SUM(F4:F8)</f>
        <v>742885411</v>
      </c>
      <c r="G9" s="29">
        <f>SUM(G4:G8)</f>
        <v>940.18500000000006</v>
      </c>
      <c r="H9" s="30"/>
      <c r="I9" s="31">
        <f>SUM(I4:I8)</f>
        <v>182512</v>
      </c>
      <c r="J9" s="31">
        <f>SUM(J4:J8)</f>
        <v>5525</v>
      </c>
      <c r="K9" s="31">
        <f>SUM(K4:K8)</f>
        <v>188037</v>
      </c>
      <c r="M9" s="10"/>
    </row>
    <row r="10" spans="1:16">
      <c r="A10" s="144" t="s">
        <v>18</v>
      </c>
      <c r="B10" s="140" t="s">
        <v>19</v>
      </c>
      <c r="C10" s="140"/>
      <c r="D10" s="11">
        <f>SUM('1029'!F10)</f>
        <v>323202434</v>
      </c>
      <c r="E10" s="32">
        <v>2741200</v>
      </c>
      <c r="F10" s="33">
        <f>D10+E10</f>
        <v>325943634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SUM('1029'!F11)</f>
        <v>72538290</v>
      </c>
      <c r="E11" s="12">
        <v>1610400</v>
      </c>
      <c r="F11" s="19">
        <f>D11+E11</f>
        <v>74148690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SUM('1029'!F12)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395740724</v>
      </c>
      <c r="E13" s="28">
        <f>SUM(E10:E12)</f>
        <v>4351600</v>
      </c>
      <c r="F13" s="28">
        <f>SUM(F10:F12)</f>
        <v>400092324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SUM('1029'!F14)</f>
        <v>149698</v>
      </c>
      <c r="E14" s="41">
        <v>11792</v>
      </c>
      <c r="F14" s="33">
        <f>D14+E14</f>
        <v>161490</v>
      </c>
      <c r="G14" s="42">
        <f>F14/200</f>
        <v>807.45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>
        <f>SUM('1029'!F15)</f>
        <v>581903555</v>
      </c>
      <c r="E15" s="26">
        <v>47668060</v>
      </c>
      <c r="F15" s="26">
        <f>D15+E15</f>
        <v>629571615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 ht="17.25" thickBot="1">
      <c r="A16" s="142" t="s">
        <v>27</v>
      </c>
      <c r="B16" s="45" t="s">
        <v>28</v>
      </c>
      <c r="C16" s="106" t="s">
        <v>25</v>
      </c>
      <c r="D16" s="46">
        <f>SUM('1029'!F16)</f>
        <v>10615</v>
      </c>
      <c r="E16" s="33">
        <v>57</v>
      </c>
      <c r="F16" s="33">
        <f>D16+E16</f>
        <v>10672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46">
        <f>SUM('1029'!F17)</f>
        <v>6762</v>
      </c>
      <c r="E17" s="104">
        <v>832</v>
      </c>
      <c r="F17" s="104">
        <f>D17+E17</f>
        <v>7594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/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SUM('1029'!G19)</f>
        <v>608.46499999999992</v>
      </c>
      <c r="E19" s="64">
        <f t="shared" ref="E19:F23" si="1">I19/200</f>
        <v>58.96</v>
      </c>
      <c r="F19" s="64">
        <f t="shared" si="1"/>
        <v>25.72</v>
      </c>
      <c r="G19" s="65">
        <f>D19+E19-F19</f>
        <v>641.70499999999993</v>
      </c>
      <c r="H19" s="66"/>
      <c r="I19" s="67">
        <v>11792</v>
      </c>
      <c r="J19" s="19">
        <v>5144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SUM('1029'!G20)</f>
        <v>40.959999999999994</v>
      </c>
      <c r="E20" s="64">
        <f t="shared" si="1"/>
        <v>0</v>
      </c>
      <c r="F20" s="64">
        <f t="shared" si="1"/>
        <v>0.12</v>
      </c>
      <c r="G20" s="65">
        <f t="shared" ref="G20:G23" si="2">D20+E20-F20</f>
        <v>40.839999999999996</v>
      </c>
      <c r="H20" s="43"/>
      <c r="I20" s="67"/>
      <c r="J20" s="19">
        <v>24</v>
      </c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SUM('1029'!G21)</f>
        <v>0</v>
      </c>
      <c r="E21" s="64">
        <f t="shared" si="1"/>
        <v>0</v>
      </c>
      <c r="F21" s="64">
        <f t="shared" si="1"/>
        <v>0</v>
      </c>
      <c r="G21" s="65">
        <f t="shared" si="2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SUM('1029'!G22)</f>
        <v>63.750000000000007</v>
      </c>
      <c r="E22" s="64">
        <f t="shared" si="1"/>
        <v>1</v>
      </c>
      <c r="F22" s="64">
        <f t="shared" si="1"/>
        <v>2.1</v>
      </c>
      <c r="G22" s="65">
        <f t="shared" si="2"/>
        <v>62.65</v>
      </c>
      <c r="H22" s="43"/>
      <c r="I22" s="70">
        <v>200</v>
      </c>
      <c r="J22" s="19">
        <v>420</v>
      </c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SUM('1029'!G23)</f>
        <v>27.875</v>
      </c>
      <c r="E23" s="64">
        <f t="shared" si="1"/>
        <v>0</v>
      </c>
      <c r="F23" s="64">
        <f t="shared" si="1"/>
        <v>0</v>
      </c>
      <c r="G23" s="65">
        <f t="shared" si="2"/>
        <v>27.875</v>
      </c>
      <c r="H23" s="43"/>
      <c r="I23" s="70"/>
      <c r="J23" s="19"/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741.05</v>
      </c>
      <c r="E24" s="74">
        <f>SUM(E19:E23)</f>
        <v>59.96</v>
      </c>
      <c r="F24" s="73">
        <f>SUM(F19:F23)</f>
        <v>27.94</v>
      </c>
      <c r="G24" s="75">
        <f>SUM(G19:G23)</f>
        <v>773.06999999999994</v>
      </c>
      <c r="H24" s="30"/>
      <c r="I24" s="31">
        <f>SUM(I19:I23)</f>
        <v>11992</v>
      </c>
      <c r="J24" s="31">
        <f>SUM(J19:J23)</f>
        <v>5588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55"/>
      <c r="E33" s="156"/>
      <c r="F33" s="156"/>
      <c r="G33" s="157"/>
      <c r="I33" s="1"/>
    </row>
    <row r="34" spans="1:9" s="22" customFormat="1">
      <c r="A34" s="94"/>
      <c r="B34" s="95"/>
      <c r="C34" s="95"/>
      <c r="D34" s="155"/>
      <c r="E34" s="156"/>
      <c r="F34" s="156"/>
      <c r="G34" s="15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D40:G40"/>
    <mergeCell ref="D34:G34"/>
    <mergeCell ref="D35:G35"/>
    <mergeCell ref="D36:G36"/>
    <mergeCell ref="D37:G37"/>
    <mergeCell ref="D38:G38"/>
    <mergeCell ref="D39:G39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A9:C9"/>
    <mergeCell ref="A10:A13"/>
    <mergeCell ref="B10:C10"/>
    <mergeCell ref="B11:C11"/>
    <mergeCell ref="B12:C12"/>
    <mergeCell ref="B13:C13"/>
    <mergeCell ref="A1:G1"/>
    <mergeCell ref="A2:B2"/>
    <mergeCell ref="A3:C3"/>
    <mergeCell ref="A4:A8"/>
    <mergeCell ref="B4:C4"/>
    <mergeCell ref="B5:C5"/>
    <mergeCell ref="B6:C6"/>
    <mergeCell ref="B7:C7"/>
    <mergeCell ref="B8:C8"/>
  </mergeCells>
  <phoneticPr fontId="3" type="noConversion"/>
  <conditionalFormatting sqref="B34:C34">
    <cfRule type="expression" dxfId="5" priority="1">
      <formula>$B34&lt;&gt;""</formula>
    </cfRule>
  </conditionalFormatting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24D7-CFFA-44F1-B85B-B38A04204936}">
  <dimension ref="A1:P43"/>
  <sheetViews>
    <sheetView zoomScaleNormal="100" workbookViewId="0">
      <selection activeCell="A3" sqref="A3:C3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45924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SUM('0923'!F4)</f>
        <v>639784941</v>
      </c>
      <c r="E4" s="12">
        <v>57944260</v>
      </c>
      <c r="F4" s="13">
        <f>D4+E4</f>
        <v>697729201</v>
      </c>
      <c r="G4" s="14">
        <f>K4/200</f>
        <v>691.255</v>
      </c>
      <c r="H4" s="15"/>
      <c r="I4" s="11">
        <f>SUM('0923'!K4)</f>
        <v>124721</v>
      </c>
      <c r="J4" s="16">
        <v>13530</v>
      </c>
      <c r="K4" s="17">
        <f>I4+J4</f>
        <v>138251</v>
      </c>
      <c r="L4" s="10"/>
      <c r="M4" s="103">
        <f>+K4+K6+K7+K8</f>
        <v>162497</v>
      </c>
      <c r="N4" s="2"/>
    </row>
    <row r="5" spans="1:16">
      <c r="A5" s="172"/>
      <c r="B5" s="176" t="s">
        <v>13</v>
      </c>
      <c r="C5" s="177"/>
      <c r="D5" s="11">
        <f>SUM('0923'!F5)</f>
        <v>0</v>
      </c>
      <c r="E5" s="12"/>
      <c r="F5" s="13">
        <f t="shared" ref="F5:F8" si="0">D5+E5</f>
        <v>0</v>
      </c>
      <c r="G5" s="18">
        <f>K5/200</f>
        <v>200.7</v>
      </c>
      <c r="H5" s="15"/>
      <c r="I5" s="11">
        <f>SUM('0923'!K5)</f>
        <v>40140</v>
      </c>
      <c r="J5" s="19"/>
      <c r="K5" s="20">
        <f>I5+J5</f>
        <v>40140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SUM('0923'!F6)</f>
        <v>0</v>
      </c>
      <c r="E6" s="12"/>
      <c r="F6" s="13">
        <f t="shared" si="0"/>
        <v>0</v>
      </c>
      <c r="G6" s="18">
        <f>K6/200</f>
        <v>0</v>
      </c>
      <c r="I6" s="11">
        <f>SUM('0923'!K6)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SUM('0923'!F7)</f>
        <v>81571490</v>
      </c>
      <c r="E7" s="12">
        <v>2288000</v>
      </c>
      <c r="F7" s="13">
        <f t="shared" si="0"/>
        <v>83859490</v>
      </c>
      <c r="G7" s="21">
        <f>K7/200</f>
        <v>95.1</v>
      </c>
      <c r="H7" s="22"/>
      <c r="I7" s="11">
        <f>SUM('0923'!K7)</f>
        <v>18220</v>
      </c>
      <c r="J7" s="19">
        <v>800</v>
      </c>
      <c r="K7" s="23">
        <f>I7+J7</f>
        <v>19020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SUM('0923'!F8)</f>
        <v>21528980</v>
      </c>
      <c r="E8" s="25">
        <v>907500</v>
      </c>
      <c r="F8" s="13">
        <f t="shared" si="0"/>
        <v>22436480</v>
      </c>
      <c r="G8" s="27">
        <f>K8/200</f>
        <v>26.13</v>
      </c>
      <c r="H8" s="22"/>
      <c r="I8" s="11">
        <f>SUM('0923'!K8)</f>
        <v>4956</v>
      </c>
      <c r="J8" s="19">
        <v>270</v>
      </c>
      <c r="K8" s="23">
        <f>I8+J8</f>
        <v>5226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742885411</v>
      </c>
      <c r="E9" s="28">
        <f>SUM(E4:E8)</f>
        <v>61139760</v>
      </c>
      <c r="F9" s="28">
        <f>SUM(F4:F8)</f>
        <v>804025171</v>
      </c>
      <c r="G9" s="29">
        <f>SUM(G4:G8)</f>
        <v>1013.1849999999999</v>
      </c>
      <c r="H9" s="30"/>
      <c r="I9" s="31">
        <f>SUM(I4:I8)</f>
        <v>188037</v>
      </c>
      <c r="J9" s="31">
        <f>SUM(J4:J8)</f>
        <v>14600</v>
      </c>
      <c r="K9" s="31">
        <f>SUM(K4:K8)</f>
        <v>202637</v>
      </c>
      <c r="M9" s="10"/>
    </row>
    <row r="10" spans="1:16">
      <c r="A10" s="144" t="s">
        <v>18</v>
      </c>
      <c r="B10" s="140" t="s">
        <v>19</v>
      </c>
      <c r="C10" s="140"/>
      <c r="D10" s="11">
        <f>SUM('0923'!F10)</f>
        <v>325943634</v>
      </c>
      <c r="E10" s="32">
        <v>2738010</v>
      </c>
      <c r="F10" s="33">
        <f>D10+E10</f>
        <v>328681644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SUM('0923'!F11)</f>
        <v>74148690</v>
      </c>
      <c r="E11" s="12">
        <v>29768083</v>
      </c>
      <c r="F11" s="19">
        <f>D11+E11</f>
        <v>103916773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SUM('0923'!F12)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400092324</v>
      </c>
      <c r="E13" s="28">
        <f>SUM(E10:E12)</f>
        <v>32506093</v>
      </c>
      <c r="F13" s="28">
        <f>SUM(F10:F12)</f>
        <v>432598417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SUM('0923'!F14)</f>
        <v>161490</v>
      </c>
      <c r="E14" s="41">
        <v>3104</v>
      </c>
      <c r="F14" s="33">
        <f>D14+E14</f>
        <v>164594</v>
      </c>
      <c r="G14" s="42">
        <f>F14/200</f>
        <v>822.97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>
        <f>SUM('0923'!F15)</f>
        <v>629571615</v>
      </c>
      <c r="E15" s="26">
        <v>9243080</v>
      </c>
      <c r="F15" s="26">
        <f>D15+E15</f>
        <v>638814695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 ht="17.25" thickBot="1">
      <c r="A16" s="142" t="s">
        <v>27</v>
      </c>
      <c r="B16" s="45" t="s">
        <v>28</v>
      </c>
      <c r="C16" s="106" t="s">
        <v>25</v>
      </c>
      <c r="D16" s="46">
        <f>SUM('0923'!F16)</f>
        <v>10672</v>
      </c>
      <c r="E16" s="33">
        <v>38</v>
      </c>
      <c r="F16" s="33">
        <f>D16+E16</f>
        <v>10710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46">
        <f>SUM('0923'!F17)</f>
        <v>7594</v>
      </c>
      <c r="E17" s="104"/>
      <c r="F17" s="104">
        <f>D17+E17</f>
        <v>7594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SUM('0923'!G19)</f>
        <v>641.70499999999993</v>
      </c>
      <c r="E19" s="64">
        <f t="shared" ref="E19:F23" si="1">I19/200</f>
        <v>15.52</v>
      </c>
      <c r="F19" s="64">
        <f t="shared" si="1"/>
        <v>77.75</v>
      </c>
      <c r="G19" s="65">
        <f>D19+E19-F19</f>
        <v>579.47499999999991</v>
      </c>
      <c r="H19" s="66"/>
      <c r="I19" s="67">
        <v>3104</v>
      </c>
      <c r="J19" s="19">
        <v>15550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SUM('0923'!G20)</f>
        <v>40.839999999999996</v>
      </c>
      <c r="E20" s="64">
        <f t="shared" si="1"/>
        <v>0</v>
      </c>
      <c r="F20" s="64">
        <f t="shared" si="1"/>
        <v>0</v>
      </c>
      <c r="G20" s="65">
        <f t="shared" ref="G20:G23" si="2">D20+E20-F20</f>
        <v>40.839999999999996</v>
      </c>
      <c r="H20" s="43"/>
      <c r="I20" s="67"/>
      <c r="J20" s="19"/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SUM('0923'!G21)</f>
        <v>0</v>
      </c>
      <c r="E21" s="64">
        <f t="shared" si="1"/>
        <v>0</v>
      </c>
      <c r="F21" s="64">
        <f t="shared" si="1"/>
        <v>0</v>
      </c>
      <c r="G21" s="65">
        <f t="shared" si="2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SUM('0923'!G22)</f>
        <v>62.65</v>
      </c>
      <c r="E22" s="64">
        <f t="shared" si="1"/>
        <v>0</v>
      </c>
      <c r="F22" s="64">
        <f t="shared" si="1"/>
        <v>4</v>
      </c>
      <c r="G22" s="65">
        <f t="shared" si="2"/>
        <v>58.65</v>
      </c>
      <c r="H22" s="43"/>
      <c r="I22" s="70"/>
      <c r="J22" s="19">
        <v>800</v>
      </c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SUM('0923'!G23)</f>
        <v>27.875</v>
      </c>
      <c r="E23" s="64">
        <f t="shared" si="1"/>
        <v>0</v>
      </c>
      <c r="F23" s="64">
        <f t="shared" si="1"/>
        <v>1.35</v>
      </c>
      <c r="G23" s="65">
        <f t="shared" si="2"/>
        <v>26.524999999999999</v>
      </c>
      <c r="H23" s="43"/>
      <c r="I23" s="70"/>
      <c r="J23" s="19">
        <v>270</v>
      </c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773.06999999999994</v>
      </c>
      <c r="E24" s="74">
        <f>SUM(E19:E23)</f>
        <v>15.52</v>
      </c>
      <c r="F24" s="73">
        <f>SUM(F19:F23)</f>
        <v>83.1</v>
      </c>
      <c r="G24" s="75">
        <f>SUM(G19:G23)</f>
        <v>705.4899999999999</v>
      </c>
      <c r="H24" s="30"/>
      <c r="I24" s="31">
        <f>SUM(I19:I23)</f>
        <v>3104</v>
      </c>
      <c r="J24" s="31">
        <f>SUM(J19:J23)</f>
        <v>16620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55"/>
      <c r="E33" s="156"/>
      <c r="F33" s="156"/>
      <c r="G33" s="157"/>
      <c r="I33" s="1"/>
    </row>
    <row r="34" spans="1:9" s="22" customFormat="1">
      <c r="A34" s="94"/>
      <c r="B34" s="95"/>
      <c r="C34" s="95"/>
      <c r="D34" s="155"/>
      <c r="E34" s="156"/>
      <c r="F34" s="156"/>
      <c r="G34" s="15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116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17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A1:G1"/>
    <mergeCell ref="A2:B2"/>
    <mergeCell ref="A3:C3"/>
    <mergeCell ref="A4:A8"/>
    <mergeCell ref="B4:C4"/>
    <mergeCell ref="B5:C5"/>
    <mergeCell ref="B6:C6"/>
    <mergeCell ref="B7:C7"/>
    <mergeCell ref="B8:C8"/>
    <mergeCell ref="A9:C9"/>
    <mergeCell ref="A10:A13"/>
    <mergeCell ref="B10:C10"/>
    <mergeCell ref="B11:C11"/>
    <mergeCell ref="B12:C12"/>
    <mergeCell ref="B13:C13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D40:G40"/>
    <mergeCell ref="D34:G34"/>
    <mergeCell ref="D35:G35"/>
    <mergeCell ref="D36:G36"/>
    <mergeCell ref="D37:G37"/>
    <mergeCell ref="D38:G38"/>
    <mergeCell ref="D39:G39"/>
  </mergeCells>
  <phoneticPr fontId="3" type="noConversion"/>
  <conditionalFormatting sqref="B34:C34">
    <cfRule type="expression" dxfId="4" priority="1">
      <formula>$B34&lt;&gt;""</formula>
    </cfRule>
  </conditionalFormatting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8A61-02FB-4BA3-844E-1EBED08C5A1E}">
  <dimension ref="A1:P43"/>
  <sheetViews>
    <sheetView zoomScaleNormal="100" workbookViewId="0">
      <selection activeCell="A3" sqref="A3:C3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45925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SUM('0924'!F4)</f>
        <v>697729201</v>
      </c>
      <c r="E4" s="12">
        <v>7657320</v>
      </c>
      <c r="F4" s="13">
        <f>D4+E4</f>
        <v>705386521</v>
      </c>
      <c r="G4" s="14">
        <f>K4/200</f>
        <v>701.13499999999999</v>
      </c>
      <c r="H4" s="15"/>
      <c r="I4" s="11">
        <f>SUM('0924'!K4)</f>
        <v>138251</v>
      </c>
      <c r="J4" s="16">
        <v>1976</v>
      </c>
      <c r="K4" s="17">
        <f>I4+J4</f>
        <v>140227</v>
      </c>
      <c r="L4" s="10"/>
      <c r="M4" s="103">
        <f>+K4+K6+K7+K8</f>
        <v>164493</v>
      </c>
      <c r="N4" s="2"/>
    </row>
    <row r="5" spans="1:16">
      <c r="A5" s="172"/>
      <c r="B5" s="176" t="s">
        <v>13</v>
      </c>
      <c r="C5" s="177"/>
      <c r="D5" s="11">
        <f>SUM('0924'!F5)</f>
        <v>0</v>
      </c>
      <c r="E5" s="12"/>
      <c r="F5" s="13">
        <f t="shared" ref="F5:F8" si="0">D5+E5</f>
        <v>0</v>
      </c>
      <c r="G5" s="18">
        <f>K5/200</f>
        <v>200.7</v>
      </c>
      <c r="H5" s="15"/>
      <c r="I5" s="11">
        <f>SUM('0924'!K5)</f>
        <v>40140</v>
      </c>
      <c r="J5" s="19"/>
      <c r="K5" s="20">
        <f>I5+J5</f>
        <v>40140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SUM('0924'!F6)</f>
        <v>0</v>
      </c>
      <c r="E6" s="12"/>
      <c r="F6" s="13">
        <f t="shared" si="0"/>
        <v>0</v>
      </c>
      <c r="G6" s="18">
        <f>K6/200</f>
        <v>0</v>
      </c>
      <c r="I6" s="11">
        <f>SUM('0924'!K6)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SUM('0924'!F7)</f>
        <v>83859490</v>
      </c>
      <c r="E7" s="12"/>
      <c r="F7" s="13">
        <f t="shared" si="0"/>
        <v>83859490</v>
      </c>
      <c r="G7" s="21">
        <f>K7/200</f>
        <v>95.1</v>
      </c>
      <c r="H7" s="22"/>
      <c r="I7" s="11">
        <f>SUM('0924'!K7)</f>
        <v>19020</v>
      </c>
      <c r="J7" s="19"/>
      <c r="K7" s="23">
        <f>I7+J7</f>
        <v>19020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SUM('0924'!F8)</f>
        <v>22436480</v>
      </c>
      <c r="E8" s="25">
        <v>341000</v>
      </c>
      <c r="F8" s="13">
        <f t="shared" si="0"/>
        <v>22777480</v>
      </c>
      <c r="G8" s="27">
        <f>K8/200</f>
        <v>26.23</v>
      </c>
      <c r="H8" s="22"/>
      <c r="I8" s="11">
        <f>SUM('0924'!K8)</f>
        <v>5226</v>
      </c>
      <c r="J8" s="19">
        <v>20</v>
      </c>
      <c r="K8" s="23">
        <f>I8+J8</f>
        <v>5246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804025171</v>
      </c>
      <c r="E9" s="28">
        <f>SUM(E4:E8)</f>
        <v>7998320</v>
      </c>
      <c r="F9" s="28">
        <f>SUM(F4:F8)</f>
        <v>812023491</v>
      </c>
      <c r="G9" s="29">
        <f>SUM(G4:G8)</f>
        <v>1023.1650000000001</v>
      </c>
      <c r="H9" s="30"/>
      <c r="I9" s="31">
        <f>SUM(I4:I8)</f>
        <v>202637</v>
      </c>
      <c r="J9" s="31">
        <f>SUM(J4:J8)</f>
        <v>1996</v>
      </c>
      <c r="K9" s="31">
        <f>SUM(K4:K8)</f>
        <v>204633</v>
      </c>
      <c r="M9" s="10"/>
    </row>
    <row r="10" spans="1:16">
      <c r="A10" s="144" t="s">
        <v>18</v>
      </c>
      <c r="B10" s="140" t="s">
        <v>19</v>
      </c>
      <c r="C10" s="140"/>
      <c r="D10" s="11">
        <f>SUM('0924'!F10)</f>
        <v>328681644</v>
      </c>
      <c r="E10" s="32">
        <v>133120680</v>
      </c>
      <c r="F10" s="33">
        <f>D10+E10</f>
        <v>461802324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SUM('0924'!F11)</f>
        <v>103916773</v>
      </c>
      <c r="E11" s="12"/>
      <c r="F11" s="19">
        <f>D11+E11</f>
        <v>103916773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SUM('0924'!F12)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432598417</v>
      </c>
      <c r="E13" s="28">
        <f>SUM(E10:E12)</f>
        <v>133120680</v>
      </c>
      <c r="F13" s="28">
        <f>SUM(F10:F12)</f>
        <v>565719097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SUM('0924'!F14)</f>
        <v>164594</v>
      </c>
      <c r="E14" s="41">
        <v>11254</v>
      </c>
      <c r="F14" s="33">
        <f>D14+E14</f>
        <v>175848</v>
      </c>
      <c r="G14" s="42">
        <f>F14/200</f>
        <v>879.24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>
        <f>SUM('0924'!F15)</f>
        <v>638814695</v>
      </c>
      <c r="E15" s="26">
        <v>37623181</v>
      </c>
      <c r="F15" s="26">
        <f>D15+E15</f>
        <v>676437876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 ht="17.25" thickBot="1">
      <c r="A16" s="142" t="s">
        <v>27</v>
      </c>
      <c r="B16" s="45" t="s">
        <v>28</v>
      </c>
      <c r="C16" s="106" t="s">
        <v>25</v>
      </c>
      <c r="D16" s="46">
        <f>SUM('0924'!F16)</f>
        <v>10710</v>
      </c>
      <c r="E16" s="33"/>
      <c r="F16" s="33">
        <f>D16+E16</f>
        <v>10710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46">
        <f>SUM('0924'!F17)</f>
        <v>7594</v>
      </c>
      <c r="E17" s="104">
        <v>230</v>
      </c>
      <c r="F17" s="104">
        <f>D17+E17</f>
        <v>7824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SUM('0924'!G19)</f>
        <v>579.47499999999991</v>
      </c>
      <c r="E19" s="64">
        <f t="shared" ref="E19:F23" si="1">I19/200</f>
        <v>32.35</v>
      </c>
      <c r="F19" s="64">
        <f t="shared" si="1"/>
        <v>14.445</v>
      </c>
      <c r="G19" s="65">
        <f>D19+E19-F19</f>
        <v>597.37999999999988</v>
      </c>
      <c r="H19" s="66"/>
      <c r="I19" s="67">
        <v>6470</v>
      </c>
      <c r="J19" s="19">
        <v>2889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SUM('0924'!G20)</f>
        <v>40.839999999999996</v>
      </c>
      <c r="E20" s="64">
        <f t="shared" si="1"/>
        <v>23.92</v>
      </c>
      <c r="F20" s="64">
        <f t="shared" si="1"/>
        <v>0</v>
      </c>
      <c r="G20" s="65">
        <f t="shared" ref="G20:G23" si="2">D20+E20-F20</f>
        <v>64.759999999999991</v>
      </c>
      <c r="H20" s="43"/>
      <c r="I20" s="67">
        <v>4784</v>
      </c>
      <c r="J20" s="19"/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SUM('0924'!G21)</f>
        <v>0</v>
      </c>
      <c r="E21" s="64">
        <f t="shared" si="1"/>
        <v>0</v>
      </c>
      <c r="F21" s="64">
        <f t="shared" si="1"/>
        <v>0</v>
      </c>
      <c r="G21" s="65">
        <f t="shared" si="2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SUM('0924'!G22)</f>
        <v>58.65</v>
      </c>
      <c r="E22" s="64">
        <f t="shared" si="1"/>
        <v>9.0749999999999993</v>
      </c>
      <c r="F22" s="64">
        <f t="shared" si="1"/>
        <v>0</v>
      </c>
      <c r="G22" s="65">
        <f t="shared" si="2"/>
        <v>67.724999999999994</v>
      </c>
      <c r="H22" s="43"/>
      <c r="I22" s="70">
        <v>1815</v>
      </c>
      <c r="J22" s="19"/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SUM('0924'!G23)</f>
        <v>26.524999999999999</v>
      </c>
      <c r="E23" s="64">
        <f t="shared" si="1"/>
        <v>0.1</v>
      </c>
      <c r="F23" s="64">
        <f t="shared" si="1"/>
        <v>0.1</v>
      </c>
      <c r="G23" s="65">
        <f t="shared" si="2"/>
        <v>26.524999999999999</v>
      </c>
      <c r="H23" s="43"/>
      <c r="I23" s="70">
        <v>20</v>
      </c>
      <c r="J23" s="19">
        <v>20</v>
      </c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705.4899999999999</v>
      </c>
      <c r="E24" s="74">
        <f>SUM(E19:E23)</f>
        <v>65.444999999999993</v>
      </c>
      <c r="F24" s="73">
        <f>SUM(F19:F23)</f>
        <v>14.545</v>
      </c>
      <c r="G24" s="75">
        <f>SUM(G19:G23)</f>
        <v>756.38999999999987</v>
      </c>
      <c r="H24" s="30"/>
      <c r="I24" s="31">
        <f>SUM(I19:I23)</f>
        <v>13089</v>
      </c>
      <c r="J24" s="31">
        <f>SUM(J19:J23)</f>
        <v>2909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55"/>
      <c r="E33" s="156"/>
      <c r="F33" s="156"/>
      <c r="G33" s="157"/>
      <c r="I33" s="1"/>
    </row>
    <row r="34" spans="1:9" s="22" customFormat="1">
      <c r="A34" s="94"/>
      <c r="B34" s="95"/>
      <c r="C34" s="95"/>
      <c r="D34" s="155"/>
      <c r="E34" s="156"/>
      <c r="F34" s="156"/>
      <c r="G34" s="15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111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116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D40:G40"/>
    <mergeCell ref="D34:G34"/>
    <mergeCell ref="D35:G35"/>
    <mergeCell ref="D36:G36"/>
    <mergeCell ref="D37:G37"/>
    <mergeCell ref="D38:G38"/>
    <mergeCell ref="D39:G39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A9:C9"/>
    <mergeCell ref="A10:A13"/>
    <mergeCell ref="B10:C10"/>
    <mergeCell ref="B11:C11"/>
    <mergeCell ref="B12:C12"/>
    <mergeCell ref="B13:C13"/>
    <mergeCell ref="A1:G1"/>
    <mergeCell ref="A2:B2"/>
    <mergeCell ref="A3:C3"/>
    <mergeCell ref="A4:A8"/>
    <mergeCell ref="B4:C4"/>
    <mergeCell ref="B5:C5"/>
    <mergeCell ref="B6:C6"/>
    <mergeCell ref="B7:C7"/>
    <mergeCell ref="B8:C8"/>
  </mergeCells>
  <phoneticPr fontId="3" type="noConversion"/>
  <conditionalFormatting sqref="B34:C34">
    <cfRule type="expression" dxfId="3" priority="1">
      <formula>$B34&lt;&gt;""</formula>
    </cfRule>
  </conditionalFormatting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9AF0-E3EA-487F-8F3B-E63E8F6658DA}">
  <dimension ref="A1:P43"/>
  <sheetViews>
    <sheetView zoomScaleNormal="100" workbookViewId="0">
      <selection activeCell="A3" sqref="A3:C3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45926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SUM('0925'!F4)</f>
        <v>705386521</v>
      </c>
      <c r="E4" s="12">
        <v>37585350</v>
      </c>
      <c r="F4" s="13">
        <f>D4+E4</f>
        <v>742971871</v>
      </c>
      <c r="G4" s="14">
        <f>K4/200</f>
        <v>741.01</v>
      </c>
      <c r="H4" s="15"/>
      <c r="I4" s="11">
        <f>SUM('0925'!K4)</f>
        <v>140227</v>
      </c>
      <c r="J4" s="16">
        <v>7975</v>
      </c>
      <c r="K4" s="17">
        <f>I4+J4</f>
        <v>148202</v>
      </c>
      <c r="L4" s="10"/>
      <c r="M4" s="103">
        <f>+K4+K6+K7+K8</f>
        <v>172468</v>
      </c>
      <c r="N4" s="2"/>
    </row>
    <row r="5" spans="1:16">
      <c r="A5" s="172"/>
      <c r="B5" s="176" t="s">
        <v>13</v>
      </c>
      <c r="C5" s="177"/>
      <c r="D5" s="11">
        <f>SUM('0925'!F5)</f>
        <v>0</v>
      </c>
      <c r="E5" s="12"/>
      <c r="F5" s="13">
        <f t="shared" ref="F5:F8" si="0">D5+E5</f>
        <v>0</v>
      </c>
      <c r="G5" s="18">
        <f>K5/200</f>
        <v>200.7</v>
      </c>
      <c r="H5" s="15"/>
      <c r="I5" s="11">
        <f>SUM('0925'!K5)</f>
        <v>40140</v>
      </c>
      <c r="J5" s="19"/>
      <c r="K5" s="20">
        <f>I5+J5</f>
        <v>40140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SUM('0925'!F6)</f>
        <v>0</v>
      </c>
      <c r="E6" s="12"/>
      <c r="F6" s="13">
        <f t="shared" si="0"/>
        <v>0</v>
      </c>
      <c r="G6" s="18">
        <f>K6/200</f>
        <v>0</v>
      </c>
      <c r="I6" s="11">
        <f>SUM('0925'!K6)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SUM('0925'!F7)</f>
        <v>83859490</v>
      </c>
      <c r="E7" s="12"/>
      <c r="F7" s="13">
        <f t="shared" si="0"/>
        <v>83859490</v>
      </c>
      <c r="G7" s="21">
        <f>K7/200</f>
        <v>95.1</v>
      </c>
      <c r="H7" s="22"/>
      <c r="I7" s="11">
        <f>SUM('0925'!K7)</f>
        <v>19020</v>
      </c>
      <c r="J7" s="19"/>
      <c r="K7" s="23">
        <f>I7+J7</f>
        <v>19020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SUM('0925'!F8)</f>
        <v>22777480</v>
      </c>
      <c r="E8" s="25"/>
      <c r="F8" s="13">
        <f t="shared" si="0"/>
        <v>22777480</v>
      </c>
      <c r="G8" s="27">
        <f>K8/200</f>
        <v>26.23</v>
      </c>
      <c r="H8" s="22"/>
      <c r="I8" s="11">
        <f>SUM('0925'!K8)</f>
        <v>5246</v>
      </c>
      <c r="J8" s="19"/>
      <c r="K8" s="23">
        <f>I8+J8</f>
        <v>5246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812023491</v>
      </c>
      <c r="E9" s="28">
        <f>SUM(E4:E8)</f>
        <v>37585350</v>
      </c>
      <c r="F9" s="28">
        <f>SUM(F4:F8)</f>
        <v>849608841</v>
      </c>
      <c r="G9" s="29">
        <f>SUM(G4:G8)</f>
        <v>1063.04</v>
      </c>
      <c r="H9" s="30"/>
      <c r="I9" s="31">
        <f>SUM(I4:I8)</f>
        <v>204633</v>
      </c>
      <c r="J9" s="31">
        <f>SUM(J4:J8)</f>
        <v>7975</v>
      </c>
      <c r="K9" s="31">
        <f>SUM(K4:K8)</f>
        <v>212608</v>
      </c>
      <c r="M9" s="10"/>
    </row>
    <row r="10" spans="1:16">
      <c r="A10" s="144" t="s">
        <v>18</v>
      </c>
      <c r="B10" s="140" t="s">
        <v>19</v>
      </c>
      <c r="C10" s="140"/>
      <c r="D10" s="11">
        <f>SUM('0925'!F10)</f>
        <v>461802324</v>
      </c>
      <c r="E10" s="32">
        <v>83230400</v>
      </c>
      <c r="F10" s="33">
        <f>D10+E10</f>
        <v>545032724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SUM('0925'!F11)</f>
        <v>103916773</v>
      </c>
      <c r="E11" s="12"/>
      <c r="F11" s="19">
        <f>D11+E11</f>
        <v>103916773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SUM('0925'!F12)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565719097</v>
      </c>
      <c r="E13" s="28">
        <f>SUM(E10:E12)</f>
        <v>83230400</v>
      </c>
      <c r="F13" s="28">
        <f>SUM(F10:F12)</f>
        <v>648949497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SUM('0925'!F14)</f>
        <v>175848</v>
      </c>
      <c r="E14" s="41"/>
      <c r="F14" s="33">
        <f>D14+E14</f>
        <v>175848</v>
      </c>
      <c r="G14" s="42">
        <f>F14/200</f>
        <v>879.24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>
        <f>SUM('0925'!F15)</f>
        <v>676437876</v>
      </c>
      <c r="E15" s="26"/>
      <c r="F15" s="26">
        <f>D15+E15</f>
        <v>676437876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 ht="17.25" thickBot="1">
      <c r="A16" s="142" t="s">
        <v>27</v>
      </c>
      <c r="B16" s="45" t="s">
        <v>28</v>
      </c>
      <c r="C16" s="106" t="s">
        <v>25</v>
      </c>
      <c r="D16" s="46">
        <f>SUM('0925'!F16)</f>
        <v>10710</v>
      </c>
      <c r="E16" s="33">
        <v>982</v>
      </c>
      <c r="F16" s="33">
        <f>D16+E16</f>
        <v>11692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46">
        <f>SUM('0925'!F17)</f>
        <v>7824</v>
      </c>
      <c r="E17" s="104"/>
      <c r="F17" s="33">
        <f>D17+E17</f>
        <v>7824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SUM('0925'!G19)</f>
        <v>597.37999999999988</v>
      </c>
      <c r="E19" s="64">
        <f t="shared" ref="E19:F23" si="1">I19/200</f>
        <v>0</v>
      </c>
      <c r="F19" s="64">
        <f t="shared" si="1"/>
        <v>45.094999999999999</v>
      </c>
      <c r="G19" s="65">
        <f>D19+E19-F19</f>
        <v>552.28499999999985</v>
      </c>
      <c r="H19" s="66"/>
      <c r="I19" s="19"/>
      <c r="J19" s="19">
        <v>9019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SUM('0925'!G20)</f>
        <v>64.759999999999991</v>
      </c>
      <c r="E20" s="64">
        <f t="shared" si="1"/>
        <v>0</v>
      </c>
      <c r="F20" s="64">
        <f t="shared" si="1"/>
        <v>0</v>
      </c>
      <c r="G20" s="65">
        <f t="shared" ref="G20:G23" si="2">D20+E20-F20</f>
        <v>64.759999999999991</v>
      </c>
      <c r="H20" s="43"/>
      <c r="I20" s="19"/>
      <c r="J20" s="19"/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SUM('0925'!G21)</f>
        <v>0</v>
      </c>
      <c r="E21" s="64">
        <f t="shared" si="1"/>
        <v>0</v>
      </c>
      <c r="F21" s="64">
        <f t="shared" si="1"/>
        <v>0</v>
      </c>
      <c r="G21" s="65">
        <f t="shared" si="2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SUM('0925'!G22)</f>
        <v>67.724999999999994</v>
      </c>
      <c r="E22" s="64">
        <f t="shared" si="1"/>
        <v>0</v>
      </c>
      <c r="F22" s="64">
        <f t="shared" si="1"/>
        <v>0</v>
      </c>
      <c r="G22" s="65">
        <f t="shared" si="2"/>
        <v>67.724999999999994</v>
      </c>
      <c r="H22" s="43"/>
      <c r="I22" s="70"/>
      <c r="J22" s="19"/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SUM('0925'!G23)</f>
        <v>26.524999999999999</v>
      </c>
      <c r="E23" s="64">
        <f t="shared" si="1"/>
        <v>0</v>
      </c>
      <c r="F23" s="64">
        <f t="shared" si="1"/>
        <v>0</v>
      </c>
      <c r="G23" s="65">
        <f t="shared" si="2"/>
        <v>26.524999999999999</v>
      </c>
      <c r="H23" s="43"/>
      <c r="I23" s="70"/>
      <c r="J23" s="19"/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756.38999999999987</v>
      </c>
      <c r="E24" s="74">
        <f>SUM(E19:E23)</f>
        <v>0</v>
      </c>
      <c r="F24" s="73">
        <f>SUM(F19:F23)</f>
        <v>45.094999999999999</v>
      </c>
      <c r="G24" s="75">
        <f>SUM(G19:G23)</f>
        <v>711.29499999999985</v>
      </c>
      <c r="H24" s="30"/>
      <c r="I24" s="31">
        <f>SUM(I19:I23)</f>
        <v>0</v>
      </c>
      <c r="J24" s="31">
        <f>SUM(J19:J23)</f>
        <v>9019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55"/>
      <c r="E33" s="156"/>
      <c r="F33" s="156"/>
      <c r="G33" s="157"/>
      <c r="I33" s="1"/>
    </row>
    <row r="34" spans="1:9" s="22" customFormat="1">
      <c r="A34" s="94"/>
      <c r="B34" s="95"/>
      <c r="C34" s="95"/>
      <c r="D34" s="155"/>
      <c r="E34" s="156"/>
      <c r="F34" s="156"/>
      <c r="G34" s="15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111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A1:G1"/>
    <mergeCell ref="A2:B2"/>
    <mergeCell ref="A3:C3"/>
    <mergeCell ref="A4:A8"/>
    <mergeCell ref="B4:C4"/>
    <mergeCell ref="B5:C5"/>
    <mergeCell ref="B6:C6"/>
    <mergeCell ref="B7:C7"/>
    <mergeCell ref="B8:C8"/>
    <mergeCell ref="A9:C9"/>
    <mergeCell ref="A10:A13"/>
    <mergeCell ref="B10:C10"/>
    <mergeCell ref="B11:C11"/>
    <mergeCell ref="B12:C12"/>
    <mergeCell ref="B13:C13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D40:G40"/>
    <mergeCell ref="D34:G34"/>
    <mergeCell ref="D35:G35"/>
    <mergeCell ref="D36:G36"/>
    <mergeCell ref="D37:G37"/>
    <mergeCell ref="D38:G38"/>
    <mergeCell ref="D39:G39"/>
  </mergeCells>
  <phoneticPr fontId="3" type="noConversion"/>
  <conditionalFormatting sqref="B34:C34">
    <cfRule type="expression" dxfId="2" priority="1">
      <formula>$B34&lt;&gt;""</formula>
    </cfRule>
  </conditionalFormatting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7676-C7CB-475F-83C0-AAAD3EE8B76C}">
  <dimension ref="A1:P43"/>
  <sheetViews>
    <sheetView zoomScaleNormal="100" workbookViewId="0">
      <selection activeCell="A3" sqref="A3:C3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45930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SUM('0926'!F4)</f>
        <v>742971871</v>
      </c>
      <c r="E4" s="12">
        <v>14055492</v>
      </c>
      <c r="F4" s="13">
        <f>D4+E4</f>
        <v>757027363</v>
      </c>
      <c r="G4" s="14">
        <f>K4/200</f>
        <v>757.54499999999996</v>
      </c>
      <c r="H4" s="15"/>
      <c r="I4" s="11">
        <f>SUM('0926'!K4)</f>
        <v>148202</v>
      </c>
      <c r="J4" s="16">
        <v>3307</v>
      </c>
      <c r="K4" s="17">
        <f>I4+J4</f>
        <v>151509</v>
      </c>
      <c r="L4" s="10"/>
      <c r="M4" s="103">
        <f>+K4+K6+K7+K8</f>
        <v>175775</v>
      </c>
      <c r="N4" s="2"/>
    </row>
    <row r="5" spans="1:16">
      <c r="A5" s="172"/>
      <c r="B5" s="176" t="s">
        <v>13</v>
      </c>
      <c r="C5" s="177"/>
      <c r="D5" s="11">
        <f>SUM('0926'!F5)</f>
        <v>0</v>
      </c>
      <c r="E5" s="12"/>
      <c r="F5" s="13">
        <f t="shared" ref="F5:F8" si="0">D5+E5</f>
        <v>0</v>
      </c>
      <c r="G5" s="18">
        <f>K5/200</f>
        <v>200.7</v>
      </c>
      <c r="H5" s="15"/>
      <c r="I5" s="11">
        <f>SUM('0926'!K5)</f>
        <v>40140</v>
      </c>
      <c r="J5" s="19"/>
      <c r="K5" s="20">
        <f>I5+J5</f>
        <v>40140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SUM('0926'!F6)</f>
        <v>0</v>
      </c>
      <c r="E6" s="12"/>
      <c r="F6" s="13">
        <f t="shared" si="0"/>
        <v>0</v>
      </c>
      <c r="G6" s="18">
        <f>K6/200</f>
        <v>0</v>
      </c>
      <c r="I6" s="11">
        <f>SUM('0926'!K6)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SUM('0926'!F7)</f>
        <v>83859490</v>
      </c>
      <c r="E7" s="12"/>
      <c r="F7" s="13">
        <f t="shared" si="0"/>
        <v>83859490</v>
      </c>
      <c r="G7" s="21">
        <f>K7/200</f>
        <v>95.1</v>
      </c>
      <c r="H7" s="22"/>
      <c r="I7" s="11">
        <f>SUM('0926'!K7)</f>
        <v>19020</v>
      </c>
      <c r="J7" s="19"/>
      <c r="K7" s="23">
        <f>I7+J7</f>
        <v>19020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SUM('0926'!F8)</f>
        <v>22777480</v>
      </c>
      <c r="E8" s="12"/>
      <c r="F8" s="13">
        <f t="shared" si="0"/>
        <v>22777480</v>
      </c>
      <c r="G8" s="27">
        <f>K8/200</f>
        <v>26.23</v>
      </c>
      <c r="H8" s="22"/>
      <c r="I8" s="11">
        <f>SUM('0926'!K8)</f>
        <v>5246</v>
      </c>
      <c r="J8" s="19"/>
      <c r="K8" s="23">
        <f>I8+J8</f>
        <v>5246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849608841</v>
      </c>
      <c r="E9" s="28">
        <f>SUM(E4:E8)</f>
        <v>14055492</v>
      </c>
      <c r="F9" s="28">
        <f>SUM(F4:F8)</f>
        <v>863664333</v>
      </c>
      <c r="G9" s="29">
        <f>SUM(G4:G8)</f>
        <v>1079.5749999999998</v>
      </c>
      <c r="H9" s="30"/>
      <c r="I9" s="31">
        <f>SUM(I4:I8)</f>
        <v>212608</v>
      </c>
      <c r="J9" s="31">
        <f>SUM(J4:J8)</f>
        <v>3307</v>
      </c>
      <c r="K9" s="31">
        <f>SUM(K4:K8)</f>
        <v>215915</v>
      </c>
      <c r="M9" s="10"/>
    </row>
    <row r="10" spans="1:16">
      <c r="A10" s="144" t="s">
        <v>18</v>
      </c>
      <c r="B10" s="140" t="s">
        <v>19</v>
      </c>
      <c r="C10" s="140"/>
      <c r="D10" s="11">
        <f>SUM('0926'!F10)</f>
        <v>545032724</v>
      </c>
      <c r="E10" s="32">
        <v>28689100</v>
      </c>
      <c r="F10" s="33">
        <f>D10+E10</f>
        <v>573721824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SUM('0926'!F11)</f>
        <v>103916773</v>
      </c>
      <c r="E11" s="12">
        <v>15741000</v>
      </c>
      <c r="F11" s="19">
        <f>D11+E11</f>
        <v>119657773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SUM('0926'!F12)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648949497</v>
      </c>
      <c r="E13" s="28">
        <f>SUM(E10:E12)</f>
        <v>44430100</v>
      </c>
      <c r="F13" s="28">
        <f>SUM(F10:F12)</f>
        <v>693379597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SUM('0926'!F14)</f>
        <v>175848</v>
      </c>
      <c r="E14" s="41">
        <v>10964</v>
      </c>
      <c r="F14" s="33">
        <f>D14+E14</f>
        <v>186812</v>
      </c>
      <c r="G14" s="42">
        <f>F14/200</f>
        <v>934.06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>
        <f>SUM('0926'!F15)</f>
        <v>676437876</v>
      </c>
      <c r="E15" s="26">
        <v>49348165</v>
      </c>
      <c r="F15" s="26">
        <f>D15+E15</f>
        <v>725786041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 ht="17.25" thickBot="1">
      <c r="A16" s="142" t="s">
        <v>27</v>
      </c>
      <c r="B16" s="45" t="s">
        <v>28</v>
      </c>
      <c r="C16" s="106" t="s">
        <v>25</v>
      </c>
      <c r="D16" s="46">
        <f>SUM('0926'!F16)</f>
        <v>11692</v>
      </c>
      <c r="E16" s="33">
        <v>127</v>
      </c>
      <c r="F16" s="33">
        <f>D16+E16</f>
        <v>11819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46">
        <f>SUM('0926'!F17)</f>
        <v>7824</v>
      </c>
      <c r="E17" s="104">
        <v>880</v>
      </c>
      <c r="F17" s="104">
        <f>D17+E17</f>
        <v>8704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SUM('0926'!G19)</f>
        <v>552.28499999999985</v>
      </c>
      <c r="E19" s="64">
        <f t="shared" ref="E19:F23" si="1">I19/200</f>
        <v>48.7</v>
      </c>
      <c r="F19" s="64">
        <f t="shared" si="1"/>
        <v>21.574999999999999</v>
      </c>
      <c r="G19" s="65">
        <f>D19+E19-F19</f>
        <v>579.40999999999985</v>
      </c>
      <c r="H19" s="66"/>
      <c r="I19" s="67">
        <v>9740</v>
      </c>
      <c r="J19" s="16">
        <v>4315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SUM('0926'!G20)</f>
        <v>64.759999999999991</v>
      </c>
      <c r="E20" s="64">
        <f t="shared" si="1"/>
        <v>6.12</v>
      </c>
      <c r="F20" s="64">
        <f t="shared" si="1"/>
        <v>0</v>
      </c>
      <c r="G20" s="65">
        <f t="shared" ref="G20:G23" si="2">D20+E20-F20</f>
        <v>70.88</v>
      </c>
      <c r="H20" s="43"/>
      <c r="I20" s="67">
        <v>1224</v>
      </c>
      <c r="J20" s="19"/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SUM('0926'!G21)</f>
        <v>0</v>
      </c>
      <c r="E21" s="64">
        <f t="shared" si="1"/>
        <v>0</v>
      </c>
      <c r="F21" s="64">
        <f t="shared" si="1"/>
        <v>0</v>
      </c>
      <c r="G21" s="65">
        <f t="shared" si="2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SUM('0926'!G22)</f>
        <v>67.724999999999994</v>
      </c>
      <c r="E22" s="64">
        <f t="shared" si="1"/>
        <v>0</v>
      </c>
      <c r="F22" s="64">
        <f t="shared" si="1"/>
        <v>0</v>
      </c>
      <c r="G22" s="65">
        <f t="shared" si="2"/>
        <v>67.724999999999994</v>
      </c>
      <c r="H22" s="43"/>
      <c r="I22" s="70"/>
      <c r="J22" s="19"/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SUM('0926'!G23)</f>
        <v>26.524999999999999</v>
      </c>
      <c r="E23" s="64">
        <f t="shared" si="1"/>
        <v>0</v>
      </c>
      <c r="F23" s="64">
        <f t="shared" si="1"/>
        <v>0</v>
      </c>
      <c r="G23" s="65">
        <f t="shared" si="2"/>
        <v>26.524999999999999</v>
      </c>
      <c r="H23" s="43"/>
      <c r="I23" s="70"/>
      <c r="J23" s="19"/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711.29499999999985</v>
      </c>
      <c r="E24" s="74">
        <f>SUM(E19:E23)</f>
        <v>54.82</v>
      </c>
      <c r="F24" s="73">
        <f>SUM(F19:F23)</f>
        <v>21.574999999999999</v>
      </c>
      <c r="G24" s="75">
        <f>SUM(G19:G23)</f>
        <v>744.53999999999985</v>
      </c>
      <c r="H24" s="30"/>
      <c r="I24" s="31">
        <f>SUM(I19:I23)</f>
        <v>10964</v>
      </c>
      <c r="J24" s="31">
        <f>SUM(J19:J23)</f>
        <v>4315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55"/>
      <c r="E33" s="156"/>
      <c r="F33" s="156"/>
      <c r="G33" s="157"/>
      <c r="I33" s="1"/>
    </row>
    <row r="34" spans="1:9" s="22" customFormat="1">
      <c r="A34" s="94"/>
      <c r="B34" s="95"/>
      <c r="C34" s="95"/>
      <c r="D34" s="155"/>
      <c r="E34" s="156"/>
      <c r="F34" s="156"/>
      <c r="G34" s="15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111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10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D40:G40"/>
    <mergeCell ref="D34:G34"/>
    <mergeCell ref="D35:G35"/>
    <mergeCell ref="D36:G36"/>
    <mergeCell ref="D37:G37"/>
    <mergeCell ref="D38:G38"/>
    <mergeCell ref="D39:G39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A9:C9"/>
    <mergeCell ref="A10:A13"/>
    <mergeCell ref="B10:C10"/>
    <mergeCell ref="B11:C11"/>
    <mergeCell ref="B12:C12"/>
    <mergeCell ref="B13:C13"/>
    <mergeCell ref="A1:G1"/>
    <mergeCell ref="A2:B2"/>
    <mergeCell ref="A3:C3"/>
    <mergeCell ref="A4:A8"/>
    <mergeCell ref="B4:C4"/>
    <mergeCell ref="B5:C5"/>
    <mergeCell ref="B6:C6"/>
    <mergeCell ref="B7:C7"/>
    <mergeCell ref="B8:C8"/>
  </mergeCells>
  <phoneticPr fontId="3" type="noConversion"/>
  <conditionalFormatting sqref="B34:C34">
    <cfRule type="expression" dxfId="1" priority="1">
      <formula>$B34&lt;&gt;""</formula>
    </cfRule>
  </conditionalFormatting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AA7C-8564-489C-A91C-83138D55664E}">
  <dimension ref="A1:P43"/>
  <sheetViews>
    <sheetView zoomScaleNormal="100" workbookViewId="0">
      <selection activeCell="I20" sqref="I20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45868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SUM('0930'!F4)</f>
        <v>757027363</v>
      </c>
      <c r="E4" s="12">
        <v>13436280</v>
      </c>
      <c r="F4" s="13">
        <f>D4+E4</f>
        <v>770463643</v>
      </c>
      <c r="G4" s="14">
        <f>K4/200</f>
        <v>772.17</v>
      </c>
      <c r="H4" s="15"/>
      <c r="I4" s="11">
        <f>SUM('0930'!K4)</f>
        <v>151509</v>
      </c>
      <c r="J4" s="16">
        <v>2925</v>
      </c>
      <c r="K4" s="17">
        <f>I4+J4</f>
        <v>154434</v>
      </c>
      <c r="L4" s="10"/>
      <c r="M4" s="103">
        <f>+K4+K6+K7+K8</f>
        <v>178700</v>
      </c>
      <c r="N4" s="2"/>
    </row>
    <row r="5" spans="1:16">
      <c r="A5" s="172"/>
      <c r="B5" s="176" t="s">
        <v>13</v>
      </c>
      <c r="C5" s="177"/>
      <c r="D5" s="11">
        <f>SUM('0930'!F5)</f>
        <v>0</v>
      </c>
      <c r="E5" s="12"/>
      <c r="F5" s="13">
        <f t="shared" ref="F5:F8" si="0">D5+E5</f>
        <v>0</v>
      </c>
      <c r="G5" s="18">
        <f>K5/200</f>
        <v>200.7</v>
      </c>
      <c r="H5" s="15"/>
      <c r="I5" s="11">
        <f>SUM('0930'!K5)</f>
        <v>40140</v>
      </c>
      <c r="J5" s="19"/>
      <c r="K5" s="20">
        <f>I5+J5</f>
        <v>40140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SUM('0930'!F6)</f>
        <v>0</v>
      </c>
      <c r="E6" s="12"/>
      <c r="F6" s="13">
        <f t="shared" si="0"/>
        <v>0</v>
      </c>
      <c r="G6" s="18">
        <f>K6/200</f>
        <v>0</v>
      </c>
      <c r="I6" s="11">
        <f>SUM('0930'!K6)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SUM('0930'!F7)</f>
        <v>83859490</v>
      </c>
      <c r="E7" s="12"/>
      <c r="F7" s="13">
        <f t="shared" si="0"/>
        <v>83859490</v>
      </c>
      <c r="G7" s="21">
        <f>K7/200</f>
        <v>95.1</v>
      </c>
      <c r="H7" s="22"/>
      <c r="I7" s="11">
        <f>SUM('0930'!K7)</f>
        <v>19020</v>
      </c>
      <c r="J7" s="19"/>
      <c r="K7" s="23">
        <f>I7+J7</f>
        <v>19020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SUM('0930'!F8)</f>
        <v>22777480</v>
      </c>
      <c r="E8" s="25"/>
      <c r="F8" s="13">
        <f t="shared" si="0"/>
        <v>22777480</v>
      </c>
      <c r="G8" s="27">
        <f>K8/200</f>
        <v>26.23</v>
      </c>
      <c r="H8" s="22"/>
      <c r="I8" s="11">
        <f>SUM('0930'!K8)</f>
        <v>5246</v>
      </c>
      <c r="J8" s="19"/>
      <c r="K8" s="23">
        <f>I8+J8</f>
        <v>5246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863664333</v>
      </c>
      <c r="E9" s="28">
        <f>SUM(E4:E8)</f>
        <v>13436280</v>
      </c>
      <c r="F9" s="28">
        <f>SUM(F4:F8)</f>
        <v>877100613</v>
      </c>
      <c r="G9" s="29">
        <f>SUM(G4:G8)</f>
        <v>1094.1999999999998</v>
      </c>
      <c r="H9" s="30"/>
      <c r="I9" s="31">
        <f>SUM(I4:I8)</f>
        <v>215915</v>
      </c>
      <c r="J9" s="31">
        <f>SUM(J4:J8)</f>
        <v>2925</v>
      </c>
      <c r="K9" s="31">
        <f>SUM(K4:K8)</f>
        <v>218840</v>
      </c>
      <c r="M9" s="10"/>
    </row>
    <row r="10" spans="1:16">
      <c r="A10" s="144" t="s">
        <v>18</v>
      </c>
      <c r="B10" s="140" t="s">
        <v>19</v>
      </c>
      <c r="C10" s="140"/>
      <c r="D10" s="11">
        <f>SUM('0930'!F10)</f>
        <v>573721824</v>
      </c>
      <c r="E10" s="32">
        <v>21736330</v>
      </c>
      <c r="F10" s="33">
        <f>D10+E10</f>
        <v>595458154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SUM('0930'!F11)</f>
        <v>119657773</v>
      </c>
      <c r="E11" s="12"/>
      <c r="F11" s="19">
        <f>D11+E11</f>
        <v>119657773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SUM('0930'!F12)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6.5" customHeight="1" thickBot="1">
      <c r="A13" s="143"/>
      <c r="B13" s="167" t="s">
        <v>22</v>
      </c>
      <c r="C13" s="165"/>
      <c r="D13" s="28">
        <f>SUM(D10:D12)</f>
        <v>693379597</v>
      </c>
      <c r="E13" s="28">
        <f>SUM(E10:E12)</f>
        <v>21736330</v>
      </c>
      <c r="F13" s="28">
        <f>SUM(F10:F12)</f>
        <v>715115927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SUM('0930'!F14)</f>
        <v>186812</v>
      </c>
      <c r="E14" s="41">
        <v>5400</v>
      </c>
      <c r="F14" s="33">
        <f>D14+E14</f>
        <v>192212</v>
      </c>
      <c r="G14" s="42">
        <f>F14/200</f>
        <v>961.06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>
        <f>SUM('0930'!F15)</f>
        <v>725786041</v>
      </c>
      <c r="E15" s="26">
        <v>14784880</v>
      </c>
      <c r="F15" s="26">
        <f>D15+E15</f>
        <v>740570921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 ht="17.25" thickBot="1">
      <c r="A16" s="142" t="s">
        <v>27</v>
      </c>
      <c r="B16" s="45" t="s">
        <v>28</v>
      </c>
      <c r="C16" s="106" t="s">
        <v>25</v>
      </c>
      <c r="D16" s="46">
        <f>SUM('0930'!F16)</f>
        <v>11819</v>
      </c>
      <c r="E16" s="33">
        <v>297</v>
      </c>
      <c r="F16" s="33">
        <f>D16+E16</f>
        <v>12116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46">
        <f>SUM('0930'!F17)</f>
        <v>8704</v>
      </c>
      <c r="E17" s="104"/>
      <c r="F17" s="104">
        <f>D17+E17</f>
        <v>8704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SUM('0930'!G19)</f>
        <v>579.40999999999985</v>
      </c>
      <c r="E19" s="64">
        <f t="shared" ref="E19:F23" si="1">I19/200</f>
        <v>27</v>
      </c>
      <c r="F19" s="64">
        <f t="shared" si="1"/>
        <v>16.100000000000001</v>
      </c>
      <c r="G19" s="65">
        <f>D19+E19-F19</f>
        <v>590.30999999999983</v>
      </c>
      <c r="H19" s="66"/>
      <c r="I19" s="19">
        <v>5400</v>
      </c>
      <c r="J19" s="19">
        <v>3220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SUM('0930'!G20)</f>
        <v>70.88</v>
      </c>
      <c r="E20" s="64">
        <f t="shared" si="1"/>
        <v>0</v>
      </c>
      <c r="F20" s="64">
        <f t="shared" si="1"/>
        <v>0</v>
      </c>
      <c r="G20" s="65">
        <f t="shared" ref="G20:G23" si="2">D20+E20-F20</f>
        <v>70.88</v>
      </c>
      <c r="H20" s="43"/>
      <c r="I20" s="19">
        <v>0</v>
      </c>
      <c r="J20" s="19">
        <f t="shared" ref="J20:J22" si="3">SUM(J5)</f>
        <v>0</v>
      </c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SUM('0930'!G21)</f>
        <v>0</v>
      </c>
      <c r="E21" s="64">
        <f t="shared" si="1"/>
        <v>0</v>
      </c>
      <c r="F21" s="64">
        <f t="shared" si="1"/>
        <v>0</v>
      </c>
      <c r="G21" s="65">
        <f t="shared" si="2"/>
        <v>0</v>
      </c>
      <c r="H21" s="43"/>
      <c r="I21" s="19">
        <v>0</v>
      </c>
      <c r="J21" s="19">
        <f t="shared" si="3"/>
        <v>0</v>
      </c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SUM('0930'!G22)</f>
        <v>67.724999999999994</v>
      </c>
      <c r="E22" s="64">
        <f t="shared" si="1"/>
        <v>0</v>
      </c>
      <c r="F22" s="64">
        <f t="shared" si="1"/>
        <v>0</v>
      </c>
      <c r="G22" s="65">
        <f t="shared" si="2"/>
        <v>67.724999999999994</v>
      </c>
      <c r="H22" s="43"/>
      <c r="I22" s="19"/>
      <c r="J22" s="19">
        <f t="shared" si="3"/>
        <v>0</v>
      </c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SUM('0930'!G23)</f>
        <v>26.524999999999999</v>
      </c>
      <c r="E23" s="64">
        <f t="shared" si="1"/>
        <v>0</v>
      </c>
      <c r="F23" s="64">
        <f t="shared" si="1"/>
        <v>0</v>
      </c>
      <c r="G23" s="65">
        <f t="shared" si="2"/>
        <v>26.524999999999999</v>
      </c>
      <c r="H23" s="43"/>
      <c r="I23" s="70">
        <v>0</v>
      </c>
      <c r="J23" s="19">
        <v>0</v>
      </c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744.53999999999985</v>
      </c>
      <c r="E24" s="74">
        <f>SUM(E19:E23)</f>
        <v>27</v>
      </c>
      <c r="F24" s="73">
        <f>SUM(F19:F23)</f>
        <v>16.100000000000001</v>
      </c>
      <c r="G24" s="75">
        <f>SUM(G19:G23)</f>
        <v>755.43999999999983</v>
      </c>
      <c r="H24" s="30"/>
      <c r="I24" s="31">
        <f>SUM(I19:I23)</f>
        <v>5400</v>
      </c>
      <c r="J24" s="31">
        <f>SUM(J19:J23)</f>
        <v>3220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/>
      <c r="B32" s="83"/>
      <c r="C32" s="83"/>
      <c r="D32" s="136"/>
      <c r="E32" s="136"/>
      <c r="F32" s="136"/>
      <c r="G32" s="137"/>
      <c r="I32" s="1"/>
    </row>
    <row r="33" spans="1:9">
      <c r="A33" s="82"/>
      <c r="B33" s="83"/>
      <c r="C33" s="83"/>
      <c r="D33" s="155"/>
      <c r="E33" s="156"/>
      <c r="F33" s="156"/>
      <c r="G33" s="157"/>
      <c r="I33" s="1"/>
    </row>
    <row r="34" spans="1:9" s="22" customFormat="1">
      <c r="A34" s="94"/>
      <c r="B34" s="95"/>
      <c r="C34" s="95"/>
      <c r="D34" s="136"/>
      <c r="E34" s="136"/>
      <c r="F34" s="136"/>
      <c r="G34" s="137"/>
      <c r="I34" s="2"/>
    </row>
    <row r="35" spans="1:9" s="22" customFormat="1">
      <c r="A35" s="94"/>
      <c r="B35" s="95"/>
      <c r="C35" s="95"/>
      <c r="D35" s="136"/>
      <c r="E35" s="136"/>
      <c r="F35" s="136"/>
      <c r="G35" s="137"/>
      <c r="I35" s="2"/>
    </row>
    <row r="36" spans="1:9">
      <c r="A36" s="82"/>
      <c r="B36" s="83"/>
      <c r="C36" s="111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A1:G1"/>
    <mergeCell ref="A2:B2"/>
    <mergeCell ref="A3:C3"/>
    <mergeCell ref="A4:A8"/>
    <mergeCell ref="B4:C4"/>
    <mergeCell ref="B5:C5"/>
    <mergeCell ref="B6:C6"/>
    <mergeCell ref="B7:C7"/>
    <mergeCell ref="B8:C8"/>
    <mergeCell ref="A9:C9"/>
    <mergeCell ref="A10:A13"/>
    <mergeCell ref="B10:C10"/>
    <mergeCell ref="B11:C11"/>
    <mergeCell ref="B12:C12"/>
    <mergeCell ref="B13:C13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D40:G40"/>
    <mergeCell ref="D34:G34"/>
    <mergeCell ref="D35:G35"/>
    <mergeCell ref="D36:G36"/>
    <mergeCell ref="D37:G37"/>
    <mergeCell ref="D38:G38"/>
    <mergeCell ref="D39:G39"/>
  </mergeCells>
  <phoneticPr fontId="3" type="noConversion"/>
  <conditionalFormatting sqref="B34:C34">
    <cfRule type="expression" dxfId="0" priority="1">
      <formula>$B34&lt;&gt;""</formula>
    </cfRule>
  </conditionalFormatting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B8CF-7AAF-4969-92D6-5C000B58C0F2}">
  <dimension ref="A1:P43"/>
  <sheetViews>
    <sheetView zoomScaleNormal="100" workbookViewId="0">
      <selection activeCell="I20" sqref="I20"/>
    </sheetView>
  </sheetViews>
  <sheetFormatPr defaultColWidth="9" defaultRowHeight="16.5"/>
  <cols>
    <col min="1" max="1" width="11.625" style="1" customWidth="1"/>
    <col min="2" max="2" width="20.625" style="1" customWidth="1"/>
    <col min="3" max="3" width="13" style="1" bestFit="1" customWidth="1"/>
    <col min="4" max="4" width="16.375" style="2" customWidth="1"/>
    <col min="5" max="6" width="16.5" style="2" customWidth="1"/>
    <col min="7" max="7" width="22.875" style="1" bestFit="1" customWidth="1"/>
    <col min="8" max="8" width="2.75" style="1" customWidth="1"/>
    <col min="9" max="9" width="9.625" style="2" customWidth="1"/>
    <col min="10" max="11" width="9.625" style="1" customWidth="1"/>
    <col min="12" max="12" width="5.375" style="1" customWidth="1"/>
    <col min="13" max="13" width="11.875" style="1" bestFit="1" customWidth="1"/>
    <col min="14" max="14" width="13" style="1" bestFit="1" customWidth="1"/>
    <col min="15" max="15" width="11.875" style="1" bestFit="1" customWidth="1"/>
    <col min="16" max="16" width="14.625" style="1" bestFit="1" customWidth="1"/>
    <col min="17" max="16384" width="9" style="1"/>
  </cols>
  <sheetData>
    <row r="1" spans="1:16" ht="26.25">
      <c r="A1" s="168" t="s">
        <v>0</v>
      </c>
      <c r="B1" s="168"/>
      <c r="C1" s="168"/>
      <c r="D1" s="168"/>
      <c r="E1" s="168"/>
      <c r="F1" s="168"/>
      <c r="G1" s="168"/>
    </row>
    <row r="2" spans="1:16" ht="18" thickBot="1">
      <c r="A2" s="169">
        <v>45869</v>
      </c>
      <c r="B2" s="169"/>
      <c r="G2" s="3" t="s">
        <v>1</v>
      </c>
      <c r="K2" s="4" t="s">
        <v>2</v>
      </c>
    </row>
    <row r="3" spans="1:16">
      <c r="A3" s="170" t="s">
        <v>3</v>
      </c>
      <c r="B3" s="171"/>
      <c r="C3" s="171"/>
      <c r="D3" s="5" t="s">
        <v>4</v>
      </c>
      <c r="E3" s="5" t="s">
        <v>5</v>
      </c>
      <c r="F3" s="5" t="s">
        <v>6</v>
      </c>
      <c r="G3" s="6" t="s">
        <v>7</v>
      </c>
      <c r="H3" s="7"/>
      <c r="I3" s="8" t="s">
        <v>8</v>
      </c>
      <c r="J3" s="9" t="s">
        <v>9</v>
      </c>
      <c r="K3" s="9" t="s">
        <v>10</v>
      </c>
      <c r="M3" s="10"/>
      <c r="N3" s="10"/>
    </row>
    <row r="4" spans="1:16">
      <c r="A4" s="172" t="s">
        <v>11</v>
      </c>
      <c r="B4" s="174" t="s">
        <v>12</v>
      </c>
      <c r="C4" s="175"/>
      <c r="D4" s="11">
        <f>SUM('0730'!F4)</f>
        <v>770463643</v>
      </c>
      <c r="E4" s="12">
        <v>32634871</v>
      </c>
      <c r="F4" s="13">
        <f>D4+E4</f>
        <v>803098514</v>
      </c>
      <c r="G4" s="14">
        <f>K4/200</f>
        <v>805.91499999999996</v>
      </c>
      <c r="H4" s="15"/>
      <c r="I4" s="11">
        <f>SUM('0730'!K4)</f>
        <v>154434</v>
      </c>
      <c r="J4" s="16">
        <v>6749</v>
      </c>
      <c r="K4" s="17">
        <f>I4+J4</f>
        <v>161183</v>
      </c>
      <c r="L4" s="10"/>
      <c r="M4" s="103">
        <f>+K4+K6+K7+K8</f>
        <v>183849</v>
      </c>
      <c r="N4" s="2"/>
    </row>
    <row r="5" spans="1:16">
      <c r="A5" s="172"/>
      <c r="B5" s="176" t="s">
        <v>13</v>
      </c>
      <c r="C5" s="177"/>
      <c r="D5" s="11">
        <f>SUM('0730'!F5)</f>
        <v>0</v>
      </c>
      <c r="E5" s="12"/>
      <c r="F5" s="13">
        <f t="shared" ref="F5:F8" si="0">D5+E5</f>
        <v>0</v>
      </c>
      <c r="G5" s="18">
        <f>K5/200</f>
        <v>200.7</v>
      </c>
      <c r="H5" s="15"/>
      <c r="I5" s="11">
        <f>SUM('0730'!K5)</f>
        <v>40140</v>
      </c>
      <c r="J5" s="19"/>
      <c r="K5" s="20">
        <f>I5+J5</f>
        <v>40140</v>
      </c>
      <c r="L5" s="10"/>
      <c r="M5" s="2"/>
      <c r="N5" s="2"/>
    </row>
    <row r="6" spans="1:16">
      <c r="A6" s="172"/>
      <c r="B6" s="176" t="s">
        <v>14</v>
      </c>
      <c r="C6" s="177"/>
      <c r="D6" s="11">
        <f>SUM('0730'!F6)</f>
        <v>0</v>
      </c>
      <c r="E6" s="12"/>
      <c r="F6" s="13">
        <f t="shared" si="0"/>
        <v>0</v>
      </c>
      <c r="G6" s="18">
        <f>K6/200</f>
        <v>0</v>
      </c>
      <c r="I6" s="11">
        <f>SUM('0730'!K6)</f>
        <v>0</v>
      </c>
      <c r="J6" s="19"/>
      <c r="K6" s="20">
        <f>I6+J6</f>
        <v>0</v>
      </c>
      <c r="M6" s="2"/>
      <c r="N6" s="2"/>
    </row>
    <row r="7" spans="1:16">
      <c r="A7" s="172"/>
      <c r="B7" s="178" t="s">
        <v>15</v>
      </c>
      <c r="C7" s="179"/>
      <c r="D7" s="11">
        <f>SUM('0730'!F7)</f>
        <v>83859490</v>
      </c>
      <c r="E7" s="12"/>
      <c r="F7" s="13">
        <f t="shared" si="0"/>
        <v>83859490</v>
      </c>
      <c r="G7" s="21">
        <f>K7/200</f>
        <v>95.1</v>
      </c>
      <c r="H7" s="22"/>
      <c r="I7" s="11">
        <f>SUM('0730'!K7)</f>
        <v>19020</v>
      </c>
      <c r="J7" s="19"/>
      <c r="K7" s="23">
        <f>I7+J7</f>
        <v>19020</v>
      </c>
      <c r="L7" s="24"/>
      <c r="M7" s="10"/>
      <c r="N7" s="10"/>
    </row>
    <row r="8" spans="1:16" ht="17.25" thickBot="1">
      <c r="A8" s="173"/>
      <c r="B8" s="180" t="s">
        <v>16</v>
      </c>
      <c r="C8" s="181"/>
      <c r="D8" s="11">
        <f>SUM('0730'!F8)</f>
        <v>22777480</v>
      </c>
      <c r="E8" s="25">
        <v>-4092000</v>
      </c>
      <c r="F8" s="13">
        <f t="shared" si="0"/>
        <v>18685480</v>
      </c>
      <c r="G8" s="27">
        <f>K8/200</f>
        <v>18.23</v>
      </c>
      <c r="H8" s="22"/>
      <c r="I8" s="11">
        <f>SUM('0730'!K8)</f>
        <v>5246</v>
      </c>
      <c r="J8" s="19">
        <v>-1600</v>
      </c>
      <c r="K8" s="23">
        <f>I8+J8</f>
        <v>3646</v>
      </c>
      <c r="L8" s="24"/>
      <c r="M8" s="10"/>
      <c r="N8" s="10"/>
    </row>
    <row r="9" spans="1:16" ht="17.25" thickBot="1">
      <c r="A9" s="163" t="s">
        <v>17</v>
      </c>
      <c r="B9" s="164"/>
      <c r="C9" s="165"/>
      <c r="D9" s="28">
        <f>SUM(D4:D8)</f>
        <v>877100613</v>
      </c>
      <c r="E9" s="28">
        <f>SUM(E4:E8)</f>
        <v>28542871</v>
      </c>
      <c r="F9" s="28">
        <f>SUM(F4:F8)</f>
        <v>905643484</v>
      </c>
      <c r="G9" s="29">
        <f>SUM(G4:G8)</f>
        <v>1119.9449999999999</v>
      </c>
      <c r="H9" s="30"/>
      <c r="I9" s="31">
        <f>SUM(I4:I8)</f>
        <v>218840</v>
      </c>
      <c r="J9" s="31">
        <f>SUM(J4:J8)</f>
        <v>5149</v>
      </c>
      <c r="K9" s="31">
        <f>SUM(K4:K8)</f>
        <v>223989</v>
      </c>
      <c r="M9" s="10"/>
    </row>
    <row r="10" spans="1:16">
      <c r="A10" s="144" t="s">
        <v>18</v>
      </c>
      <c r="B10" s="140" t="s">
        <v>19</v>
      </c>
      <c r="C10" s="140"/>
      <c r="D10" s="11">
        <f>SUM('0730'!F10)</f>
        <v>595458154</v>
      </c>
      <c r="E10" s="32">
        <v>101065200</v>
      </c>
      <c r="F10" s="33">
        <f>D10+E10</f>
        <v>696523354</v>
      </c>
      <c r="G10" s="34"/>
      <c r="H10" s="22"/>
      <c r="I10" s="35"/>
      <c r="J10" s="36"/>
      <c r="K10" s="22"/>
      <c r="L10" s="24"/>
      <c r="M10" s="10"/>
    </row>
    <row r="11" spans="1:16">
      <c r="A11" s="145"/>
      <c r="B11" s="166" t="s">
        <v>20</v>
      </c>
      <c r="C11" s="166"/>
      <c r="D11" s="11">
        <f>SUM('0730'!F11)</f>
        <v>119657773</v>
      </c>
      <c r="E11" s="12"/>
      <c r="F11" s="19">
        <f>D11+E11</f>
        <v>119657773</v>
      </c>
      <c r="G11" s="37"/>
      <c r="H11" s="22"/>
      <c r="I11" s="35"/>
      <c r="J11" s="38"/>
      <c r="K11" s="22"/>
    </row>
    <row r="12" spans="1:16" ht="17.25" thickBot="1">
      <c r="A12" s="145"/>
      <c r="B12" s="146" t="s">
        <v>21</v>
      </c>
      <c r="C12" s="146"/>
      <c r="D12" s="11">
        <f>SUM('0730'!F12)</f>
        <v>0</v>
      </c>
      <c r="E12" s="12"/>
      <c r="F12" s="16">
        <f>D12+E12</f>
        <v>0</v>
      </c>
      <c r="G12" s="39"/>
      <c r="H12" s="22"/>
      <c r="I12" s="35"/>
      <c r="J12" s="22"/>
      <c r="K12" s="22"/>
      <c r="L12" s="2"/>
      <c r="M12" s="2"/>
    </row>
    <row r="13" spans="1:16" ht="17.25" thickBot="1">
      <c r="A13" s="143"/>
      <c r="B13" s="167" t="s">
        <v>22</v>
      </c>
      <c r="C13" s="165"/>
      <c r="D13" s="28">
        <f>SUM(D10:D12)</f>
        <v>715115927</v>
      </c>
      <c r="E13" s="28">
        <f>SUM(E10:E12)</f>
        <v>101065200</v>
      </c>
      <c r="F13" s="28">
        <f>SUM(F10:F12)</f>
        <v>816181127</v>
      </c>
      <c r="G13" s="40"/>
      <c r="H13" s="22"/>
      <c r="I13" s="35"/>
      <c r="J13" s="22"/>
      <c r="K13" s="22"/>
      <c r="L13" s="2"/>
      <c r="M13" s="2"/>
      <c r="N13" s="24"/>
      <c r="O13" s="24"/>
    </row>
    <row r="14" spans="1:16">
      <c r="A14" s="138" t="s">
        <v>23</v>
      </c>
      <c r="B14" s="140" t="s">
        <v>24</v>
      </c>
      <c r="C14" s="106" t="s">
        <v>25</v>
      </c>
      <c r="D14" s="11">
        <f>SUM('0730'!F14)</f>
        <v>192212</v>
      </c>
      <c r="E14" s="41">
        <v>12166</v>
      </c>
      <c r="F14" s="33">
        <f>D14+E14</f>
        <v>204378</v>
      </c>
      <c r="G14" s="42">
        <f>F14/200</f>
        <v>1021.89</v>
      </c>
      <c r="H14" s="43"/>
      <c r="I14" s="35"/>
      <c r="J14" s="22"/>
      <c r="K14" s="22"/>
      <c r="L14" s="2"/>
      <c r="M14" s="2"/>
      <c r="N14" s="24"/>
      <c r="O14" s="24"/>
    </row>
    <row r="15" spans="1:16" ht="17.25" thickBot="1">
      <c r="A15" s="139"/>
      <c r="B15" s="141"/>
      <c r="C15" s="107" t="s">
        <v>26</v>
      </c>
      <c r="D15" s="11">
        <f>SUM('0730'!F15)</f>
        <v>740570921</v>
      </c>
      <c r="E15" s="26">
        <v>35691885</v>
      </c>
      <c r="F15" s="26">
        <f>D15+E15</f>
        <v>776262806</v>
      </c>
      <c r="G15" s="44"/>
      <c r="H15" s="22"/>
      <c r="I15" s="35"/>
      <c r="J15" s="22"/>
      <c r="K15" s="22"/>
      <c r="L15" s="2"/>
      <c r="M15" s="2"/>
      <c r="N15" s="24"/>
      <c r="O15" s="24"/>
    </row>
    <row r="16" spans="1:16">
      <c r="A16" s="142" t="s">
        <v>27</v>
      </c>
      <c r="B16" s="45" t="s">
        <v>28</v>
      </c>
      <c r="C16" s="106" t="s">
        <v>25</v>
      </c>
      <c r="D16" s="11">
        <f>SUM('0730'!F16)</f>
        <v>12116</v>
      </c>
      <c r="E16" s="33">
        <v>653</v>
      </c>
      <c r="F16" s="33">
        <f>D16+E16</f>
        <v>12769</v>
      </c>
      <c r="G16" s="47"/>
      <c r="H16" s="22"/>
      <c r="I16" s="35"/>
      <c r="J16" s="36"/>
      <c r="K16" s="22"/>
      <c r="L16" s="2"/>
      <c r="M16" s="2"/>
      <c r="O16" s="48"/>
      <c r="P16" s="2"/>
    </row>
    <row r="17" spans="1:16" ht="17.25" thickBot="1">
      <c r="A17" s="143"/>
      <c r="B17" s="45" t="s">
        <v>29</v>
      </c>
      <c r="C17" s="108" t="s">
        <v>25</v>
      </c>
      <c r="D17" s="11">
        <f>SUM('0730'!F17)</f>
        <v>8704</v>
      </c>
      <c r="E17" s="104"/>
      <c r="F17" s="104">
        <f>D17+E17</f>
        <v>8704</v>
      </c>
      <c r="G17" s="105"/>
      <c r="H17" s="22"/>
      <c r="I17" s="35"/>
      <c r="J17" s="49" t="s">
        <v>2</v>
      </c>
      <c r="K17" s="22"/>
      <c r="L17" s="50"/>
      <c r="M17" s="50"/>
      <c r="N17" s="51"/>
      <c r="O17" s="52"/>
      <c r="P17" s="50"/>
    </row>
    <row r="18" spans="1:16" s="15" customFormat="1">
      <c r="A18" s="144" t="s">
        <v>30</v>
      </c>
      <c r="B18" s="53" t="s">
        <v>3</v>
      </c>
      <c r="C18" s="54"/>
      <c r="D18" s="55" t="s">
        <v>31</v>
      </c>
      <c r="E18" s="55" t="s">
        <v>32</v>
      </c>
      <c r="F18" s="55" t="s">
        <v>33</v>
      </c>
      <c r="G18" s="56" t="s">
        <v>30</v>
      </c>
      <c r="H18" s="43"/>
      <c r="I18" s="57" t="s">
        <v>34</v>
      </c>
      <c r="J18" s="58" t="s">
        <v>35</v>
      </c>
      <c r="K18" s="22"/>
      <c r="L18" s="59"/>
      <c r="M18" s="60"/>
      <c r="N18" s="59"/>
      <c r="O18" s="61"/>
      <c r="P18" s="62"/>
    </row>
    <row r="19" spans="1:16" s="15" customFormat="1">
      <c r="A19" s="145"/>
      <c r="B19" s="45" t="s">
        <v>36</v>
      </c>
      <c r="C19" s="146" t="s">
        <v>37</v>
      </c>
      <c r="D19" s="63">
        <f>SUM('0730'!G19)</f>
        <v>590.30999999999983</v>
      </c>
      <c r="E19" s="64">
        <f t="shared" ref="E19:F23" si="1">I19/200</f>
        <v>64.83</v>
      </c>
      <c r="F19" s="64">
        <f t="shared" si="1"/>
        <v>9.2650000000000006</v>
      </c>
      <c r="G19" s="65">
        <f>D19+E19-F19</f>
        <v>645.87499999999989</v>
      </c>
      <c r="H19" s="66"/>
      <c r="I19" s="67">
        <v>12966</v>
      </c>
      <c r="J19" s="16">
        <v>1853</v>
      </c>
      <c r="K19" s="22"/>
      <c r="L19" s="60"/>
      <c r="M19" s="60"/>
      <c r="N19" s="59"/>
      <c r="O19" s="59"/>
      <c r="P19" s="68"/>
    </row>
    <row r="20" spans="1:16" s="15" customFormat="1">
      <c r="A20" s="145"/>
      <c r="B20" s="45" t="s">
        <v>13</v>
      </c>
      <c r="C20" s="147"/>
      <c r="D20" s="63">
        <f>SUM('0730'!G20)</f>
        <v>70.88</v>
      </c>
      <c r="E20" s="64">
        <f t="shared" si="1"/>
        <v>0</v>
      </c>
      <c r="F20" s="64">
        <f t="shared" si="1"/>
        <v>0</v>
      </c>
      <c r="G20" s="65">
        <f t="shared" ref="G20:G23" si="2">D20+E20-F20</f>
        <v>70.88</v>
      </c>
      <c r="H20" s="43"/>
      <c r="I20" s="67"/>
      <c r="J20" s="19"/>
      <c r="K20" s="22"/>
      <c r="L20" s="59"/>
      <c r="M20" s="68"/>
      <c r="N20" s="59"/>
      <c r="O20" s="59"/>
      <c r="P20" s="68"/>
    </row>
    <row r="21" spans="1:16" s="15" customFormat="1">
      <c r="A21" s="145"/>
      <c r="B21" s="69" t="s">
        <v>14</v>
      </c>
      <c r="C21" s="147"/>
      <c r="D21" s="63">
        <f>SUM('0730'!G21)</f>
        <v>0</v>
      </c>
      <c r="E21" s="64">
        <f t="shared" si="1"/>
        <v>0</v>
      </c>
      <c r="F21" s="64">
        <f t="shared" si="1"/>
        <v>0</v>
      </c>
      <c r="G21" s="65">
        <f t="shared" si="2"/>
        <v>0</v>
      </c>
      <c r="H21" s="43"/>
      <c r="I21" s="19"/>
      <c r="J21" s="19"/>
      <c r="K21" s="22"/>
      <c r="L21" s="59"/>
      <c r="M21" s="59"/>
      <c r="N21" s="59"/>
      <c r="O21" s="59"/>
      <c r="P21" s="68"/>
    </row>
    <row r="22" spans="1:16" s="15" customFormat="1">
      <c r="A22" s="145"/>
      <c r="B22" s="69" t="s">
        <v>15</v>
      </c>
      <c r="C22" s="147"/>
      <c r="D22" s="63">
        <f>SUM('0730'!G22)</f>
        <v>67.724999999999994</v>
      </c>
      <c r="E22" s="64">
        <f t="shared" si="1"/>
        <v>0</v>
      </c>
      <c r="F22" s="64">
        <f t="shared" si="1"/>
        <v>0</v>
      </c>
      <c r="G22" s="65">
        <f t="shared" si="2"/>
        <v>67.724999999999994</v>
      </c>
      <c r="H22" s="43"/>
      <c r="I22" s="19"/>
      <c r="J22" s="19"/>
      <c r="K22" s="22"/>
      <c r="L22" s="59"/>
      <c r="M22" s="59"/>
      <c r="N22" s="59"/>
      <c r="O22" s="59"/>
      <c r="P22" s="68"/>
    </row>
    <row r="23" spans="1:16" s="15" customFormat="1" ht="17.25" thickBot="1">
      <c r="A23" s="145"/>
      <c r="B23" s="107" t="s">
        <v>38</v>
      </c>
      <c r="C23" s="148"/>
      <c r="D23" s="63">
        <f>SUM('0730'!G23)</f>
        <v>26.524999999999999</v>
      </c>
      <c r="E23" s="64">
        <f t="shared" si="1"/>
        <v>0</v>
      </c>
      <c r="F23" s="64">
        <f t="shared" si="1"/>
        <v>-8</v>
      </c>
      <c r="G23" s="65">
        <f t="shared" si="2"/>
        <v>34.524999999999999</v>
      </c>
      <c r="H23" s="43"/>
      <c r="I23" s="70"/>
      <c r="J23" s="19">
        <v>-1600</v>
      </c>
      <c r="K23" s="22"/>
      <c r="L23" s="59"/>
      <c r="M23" s="59"/>
      <c r="N23" s="59"/>
      <c r="O23" s="59"/>
      <c r="P23" s="68"/>
    </row>
    <row r="24" spans="1:16" s="15" customFormat="1" ht="17.25" thickBot="1">
      <c r="A24" s="143"/>
      <c r="B24" s="71" t="s">
        <v>22</v>
      </c>
      <c r="C24" s="72"/>
      <c r="D24" s="73">
        <f>SUM(D19:D23)</f>
        <v>755.43999999999983</v>
      </c>
      <c r="E24" s="74">
        <f>SUM(E19:E23)</f>
        <v>64.83</v>
      </c>
      <c r="F24" s="73">
        <f>SUM(F19:F23)</f>
        <v>1.2650000000000006</v>
      </c>
      <c r="G24" s="75">
        <f>SUM(G19:G23)</f>
        <v>819.00499999999988</v>
      </c>
      <c r="H24" s="30"/>
      <c r="I24" s="31">
        <f>SUM(I19:I23)</f>
        <v>12966</v>
      </c>
      <c r="J24" s="31">
        <f>SUM(J19:J23)</f>
        <v>253</v>
      </c>
      <c r="K24" s="76"/>
      <c r="L24" s="59"/>
      <c r="M24" s="59"/>
      <c r="N24" s="59"/>
      <c r="O24" s="59"/>
      <c r="P24" s="68"/>
    </row>
    <row r="25" spans="1:16" ht="17.25" thickBot="1">
      <c r="A25" s="22"/>
      <c r="B25" s="22"/>
      <c r="C25" s="22"/>
      <c r="D25" s="35"/>
      <c r="E25" s="77"/>
      <c r="F25" s="77"/>
      <c r="G25" s="78"/>
      <c r="H25" s="22"/>
      <c r="I25" s="35"/>
      <c r="J25" s="79"/>
      <c r="K25" s="22"/>
      <c r="L25" s="59"/>
      <c r="M25" s="51"/>
      <c r="N25" s="59"/>
      <c r="O25" s="59"/>
      <c r="P25" s="68"/>
    </row>
    <row r="26" spans="1:16" ht="17.25">
      <c r="A26" s="149" t="s">
        <v>39</v>
      </c>
      <c r="B26" s="150"/>
      <c r="C26" s="150"/>
      <c r="D26" s="150"/>
      <c r="E26" s="150"/>
      <c r="F26" s="150"/>
      <c r="G26" s="151"/>
      <c r="H26" s="22"/>
      <c r="I26" s="35"/>
      <c r="J26" s="35"/>
      <c r="K26" s="22"/>
      <c r="L26" s="51"/>
      <c r="M26" s="51"/>
      <c r="N26" s="59"/>
      <c r="O26" s="59"/>
      <c r="P26" s="51"/>
    </row>
    <row r="27" spans="1:16">
      <c r="A27" s="80" t="s">
        <v>40</v>
      </c>
      <c r="B27" s="69" t="s">
        <v>41</v>
      </c>
      <c r="C27" s="69" t="s">
        <v>42</v>
      </c>
      <c r="D27" s="152" t="s">
        <v>43</v>
      </c>
      <c r="E27" s="153"/>
      <c r="F27" s="153"/>
      <c r="G27" s="154"/>
      <c r="H27" s="22"/>
      <c r="I27" s="35"/>
      <c r="J27" s="81">
        <v>200</v>
      </c>
      <c r="K27" s="22"/>
      <c r="L27" s="51"/>
      <c r="M27" s="51"/>
      <c r="N27" s="59"/>
      <c r="O27" s="51"/>
      <c r="P27" s="68"/>
    </row>
    <row r="28" spans="1:16">
      <c r="A28" s="82"/>
      <c r="B28" s="83"/>
      <c r="C28" s="83"/>
      <c r="D28" s="155"/>
      <c r="E28" s="156"/>
      <c r="F28" s="156"/>
      <c r="G28" s="157"/>
      <c r="H28" s="22"/>
      <c r="I28" s="84"/>
      <c r="J28" s="85">
        <f>+J26/J27</f>
        <v>0</v>
      </c>
      <c r="K28" s="22"/>
      <c r="L28" s="51"/>
      <c r="M28" s="51"/>
      <c r="N28" s="51"/>
      <c r="O28" s="51"/>
      <c r="P28" s="51"/>
    </row>
    <row r="29" spans="1:16">
      <c r="A29" s="86"/>
      <c r="B29" s="87"/>
      <c r="C29" s="87"/>
      <c r="D29" s="88"/>
      <c r="E29" s="89"/>
      <c r="F29" s="90"/>
      <c r="G29" s="91"/>
      <c r="J29" s="2"/>
      <c r="L29" s="51"/>
      <c r="M29" s="51"/>
      <c r="N29" s="51"/>
      <c r="O29" s="51"/>
      <c r="P29" s="51"/>
    </row>
    <row r="30" spans="1:16" ht="18" thickBot="1">
      <c r="A30" s="158" t="s">
        <v>44</v>
      </c>
      <c r="B30" s="159"/>
      <c r="C30" s="159"/>
      <c r="D30" s="159"/>
      <c r="E30" s="159"/>
      <c r="F30" s="159"/>
      <c r="G30" s="160"/>
      <c r="I30" s="1"/>
    </row>
    <row r="31" spans="1:16">
      <c r="A31" s="92" t="s">
        <v>40</v>
      </c>
      <c r="B31" s="93" t="s">
        <v>41</v>
      </c>
      <c r="C31" s="93" t="s">
        <v>45</v>
      </c>
      <c r="D31" s="161" t="s">
        <v>43</v>
      </c>
      <c r="E31" s="161"/>
      <c r="F31" s="161"/>
      <c r="G31" s="162"/>
      <c r="I31" s="1"/>
    </row>
    <row r="32" spans="1:16">
      <c r="A32" s="82" t="s">
        <v>47</v>
      </c>
      <c r="B32" s="83" t="s">
        <v>48</v>
      </c>
      <c r="C32" s="83" t="s">
        <v>49</v>
      </c>
      <c r="D32" s="136" t="s">
        <v>53</v>
      </c>
      <c r="E32" s="136"/>
      <c r="F32" s="136"/>
      <c r="G32" s="137"/>
      <c r="I32" s="1"/>
    </row>
    <row r="33" spans="1:9">
      <c r="A33" s="82" t="s">
        <v>50</v>
      </c>
      <c r="B33" s="83" t="s">
        <v>51</v>
      </c>
      <c r="C33" s="83" t="s">
        <v>52</v>
      </c>
      <c r="D33" s="136" t="s">
        <v>54</v>
      </c>
      <c r="E33" s="136"/>
      <c r="F33" s="136"/>
      <c r="G33" s="137"/>
      <c r="I33" s="1"/>
    </row>
    <row r="34" spans="1:9" s="22" customFormat="1">
      <c r="A34" s="94"/>
      <c r="B34" s="95"/>
      <c r="C34" s="95"/>
      <c r="D34" s="136"/>
      <c r="E34" s="136"/>
      <c r="F34" s="136"/>
      <c r="G34" s="137"/>
      <c r="I34" s="2"/>
    </row>
    <row r="35" spans="1:9" s="22" customFormat="1">
      <c r="A35" s="94"/>
      <c r="B35" s="95"/>
      <c r="C35" s="109"/>
      <c r="D35" s="136"/>
      <c r="E35" s="136"/>
      <c r="F35" s="136"/>
      <c r="G35" s="137"/>
      <c r="I35" s="2"/>
    </row>
    <row r="36" spans="1:9">
      <c r="A36" s="82"/>
      <c r="B36" s="83"/>
      <c r="C36" s="83"/>
      <c r="D36" s="136"/>
      <c r="E36" s="136"/>
      <c r="F36" s="136"/>
      <c r="G36" s="137"/>
      <c r="I36" s="1"/>
    </row>
    <row r="37" spans="1:9">
      <c r="A37" s="82"/>
      <c r="B37" s="96"/>
      <c r="C37" s="83"/>
      <c r="D37" s="136"/>
      <c r="E37" s="136"/>
      <c r="F37" s="136"/>
      <c r="G37" s="137"/>
      <c r="I37" s="1"/>
    </row>
    <row r="38" spans="1:9">
      <c r="A38" s="82"/>
      <c r="B38" s="83"/>
      <c r="C38" s="83"/>
      <c r="D38" s="136"/>
      <c r="E38" s="136"/>
      <c r="F38" s="136"/>
      <c r="G38" s="137"/>
      <c r="I38" s="1"/>
    </row>
    <row r="39" spans="1:9">
      <c r="A39" s="97"/>
      <c r="B39" s="98"/>
      <c r="C39" s="98"/>
      <c r="D39" s="136"/>
      <c r="E39" s="136"/>
      <c r="F39" s="136"/>
      <c r="G39" s="137"/>
      <c r="I39" s="1"/>
    </row>
    <row r="40" spans="1:9" s="102" customFormat="1" ht="17.25" thickBot="1">
      <c r="A40" s="99"/>
      <c r="B40" s="100"/>
      <c r="C40" s="101"/>
      <c r="D40" s="134"/>
      <c r="E40" s="134"/>
      <c r="F40" s="134"/>
      <c r="G40" s="135"/>
    </row>
    <row r="41" spans="1:9">
      <c r="I41" s="1"/>
    </row>
    <row r="43" spans="1:9">
      <c r="G43" s="1" t="s">
        <v>46</v>
      </c>
      <c r="I43" s="1"/>
    </row>
  </sheetData>
  <mergeCells count="34">
    <mergeCell ref="D40:G40"/>
    <mergeCell ref="D34:G34"/>
    <mergeCell ref="D35:G35"/>
    <mergeCell ref="D36:G36"/>
    <mergeCell ref="D37:G37"/>
    <mergeCell ref="D38:G38"/>
    <mergeCell ref="D39:G39"/>
    <mergeCell ref="D33:G33"/>
    <mergeCell ref="A14:A15"/>
    <mergeCell ref="B14:B15"/>
    <mergeCell ref="A16:A17"/>
    <mergeCell ref="A18:A24"/>
    <mergeCell ref="C19:C23"/>
    <mergeCell ref="A26:G26"/>
    <mergeCell ref="D27:G27"/>
    <mergeCell ref="D28:G28"/>
    <mergeCell ref="A30:G30"/>
    <mergeCell ref="D31:G31"/>
    <mergeCell ref="D32:G32"/>
    <mergeCell ref="A9:C9"/>
    <mergeCell ref="A10:A13"/>
    <mergeCell ref="B10:C10"/>
    <mergeCell ref="B11:C11"/>
    <mergeCell ref="B12:C12"/>
    <mergeCell ref="B13:C13"/>
    <mergeCell ref="A1:G1"/>
    <mergeCell ref="A2:B2"/>
    <mergeCell ref="A3:C3"/>
    <mergeCell ref="A4:A8"/>
    <mergeCell ref="B4:C4"/>
    <mergeCell ref="B5:C5"/>
    <mergeCell ref="B6:C6"/>
    <mergeCell ref="B7:C7"/>
    <mergeCell ref="B8:C8"/>
  </mergeCells>
  <phoneticPr fontId="3" type="noConversion"/>
  <pageMargins left="0.7" right="0.7" top="0.75" bottom="0.75" header="0.3" footer="0.3"/>
  <pageSetup paperSize="9" scale="52" orientation="portrait" horizontalDpi="4294967293" verticalDpi="4294967293" r:id="rId1"/>
  <colBreaks count="1" manualBreakCount="1">
    <brk id="12" max="42" man="1"/>
  </colBreaks>
  <customProperties>
    <customPr name="SheetID" r:id="rId2"/>
  </customPropertie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 지정된 범위</vt:lpstr>
      </vt:variant>
      <vt:variant>
        <vt:i4>18</vt:i4>
      </vt:variant>
    </vt:vector>
  </HeadingPairs>
  <TitlesOfParts>
    <vt:vector size="41" baseType="lpstr">
      <vt:lpstr>1101</vt:lpstr>
      <vt:lpstr>1103</vt:lpstr>
      <vt:lpstr>1104</vt:lpstr>
      <vt:lpstr>1105</vt:lpstr>
      <vt:lpstr>1106</vt:lpstr>
      <vt:lpstr>1107</vt:lpstr>
      <vt:lpstr>1110</vt:lpstr>
      <vt:lpstr>1111</vt:lpstr>
      <vt:lpstr>1112</vt:lpstr>
      <vt:lpstr>1113</vt:lpstr>
      <vt:lpstr>1114</vt:lpstr>
      <vt:lpstr>1117</vt:lpstr>
      <vt:lpstr>1024</vt:lpstr>
      <vt:lpstr>1027</vt:lpstr>
      <vt:lpstr>1028</vt:lpstr>
      <vt:lpstr>1029</vt:lpstr>
      <vt:lpstr>0923</vt:lpstr>
      <vt:lpstr>0924</vt:lpstr>
      <vt:lpstr>0925</vt:lpstr>
      <vt:lpstr>0926</vt:lpstr>
      <vt:lpstr>0930</vt:lpstr>
      <vt:lpstr>0730</vt:lpstr>
      <vt:lpstr>0731</vt:lpstr>
      <vt:lpstr>'0730'!Print_Area</vt:lpstr>
      <vt:lpstr>'0731'!Print_Area</vt:lpstr>
      <vt:lpstr>'0923'!Print_Area</vt:lpstr>
      <vt:lpstr>'0924'!Print_Area</vt:lpstr>
      <vt:lpstr>'0925'!Print_Area</vt:lpstr>
      <vt:lpstr>'0926'!Print_Area</vt:lpstr>
      <vt:lpstr>'0930'!Print_Area</vt:lpstr>
      <vt:lpstr>'1024'!Print_Area</vt:lpstr>
      <vt:lpstr>'1027'!Print_Area</vt:lpstr>
      <vt:lpstr>'1028'!Print_Area</vt:lpstr>
      <vt:lpstr>'1029'!Print_Area</vt:lpstr>
      <vt:lpstr>'1105'!Print_Area</vt:lpstr>
      <vt:lpstr>'1110'!Print_Area</vt:lpstr>
      <vt:lpstr>'1111'!Print_Area</vt:lpstr>
      <vt:lpstr>'1112'!Print_Area</vt:lpstr>
      <vt:lpstr>'1113'!Print_Area</vt:lpstr>
      <vt:lpstr>'1114'!Print_Area</vt:lpstr>
      <vt:lpstr>'1117'!Print_Area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형철 신</cp:lastModifiedBy>
  <cp:lastPrinted>2022-04-01T02:10:37Z</cp:lastPrinted>
  <dcterms:created xsi:type="dcterms:W3CDTF">2022-03-03T04:09:30Z</dcterms:created>
  <dcterms:modified xsi:type="dcterms:W3CDTF">2025-11-19T08:28:01Z</dcterms:modified>
</cp:coreProperties>
</file>