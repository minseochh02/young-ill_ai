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HIN\Documents\1영일오엔씨\계약서\MCP서버 구축\"/>
    </mc:Choice>
  </mc:AlternateContent>
  <xr:revisionPtr revIDLastSave="0" documentId="8_{6564470F-267E-40DF-8CC8-6A3F19F73255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11-13" sheetId="471" r:id="rId1"/>
    <sheet name="11-12" sheetId="470" r:id="rId2"/>
    <sheet name="11-03~11-11" sheetId="462" r:id="rId3"/>
  </sheets>
  <definedNames>
    <definedName name="_xlnm._FilterDatabase" localSheetId="2" hidden="1">'11-03~11-11'!$B$5:$K$878</definedName>
    <definedName name="_xlnm._FilterDatabase" localSheetId="1" hidden="1">'11-12'!$B$5:$K$151</definedName>
    <definedName name="_xlnm._FilterDatabase" localSheetId="0" hidden="1">'11-13'!$B$5:$K$137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471" l="1"/>
  <c r="K24" i="471" s="1"/>
  <c r="I60" i="471"/>
  <c r="K60" i="471" s="1"/>
  <c r="H136" i="471"/>
  <c r="J136" i="471" s="1"/>
  <c r="H135" i="471"/>
  <c r="J135" i="471" s="1"/>
  <c r="J133" i="471"/>
  <c r="H133" i="471"/>
  <c r="H131" i="471"/>
  <c r="J131" i="471" s="1"/>
  <c r="H127" i="471"/>
  <c r="J127" i="471" s="1"/>
  <c r="H125" i="471"/>
  <c r="J125" i="471" s="1"/>
  <c r="H123" i="471"/>
  <c r="J123" i="471" s="1"/>
  <c r="H120" i="471"/>
  <c r="J120" i="471" s="1"/>
  <c r="H117" i="471"/>
  <c r="J117" i="471" s="1"/>
  <c r="H115" i="471"/>
  <c r="J115" i="471" s="1"/>
  <c r="H114" i="471"/>
  <c r="J114" i="471" s="1"/>
  <c r="H112" i="471"/>
  <c r="J112" i="471" s="1"/>
  <c r="H110" i="471"/>
  <c r="J110" i="471" s="1"/>
  <c r="H109" i="471"/>
  <c r="J109" i="471" s="1"/>
  <c r="H107" i="471"/>
  <c r="J107" i="471" s="1"/>
  <c r="H105" i="471"/>
  <c r="J105" i="471" s="1"/>
  <c r="H104" i="471"/>
  <c r="J104" i="471" s="1"/>
  <c r="H102" i="471"/>
  <c r="J102" i="471" s="1"/>
  <c r="H101" i="471"/>
  <c r="J101" i="471" s="1"/>
  <c r="H99" i="471"/>
  <c r="J99" i="471" s="1"/>
  <c r="H98" i="471"/>
  <c r="J98" i="471" s="1"/>
  <c r="H96" i="471"/>
  <c r="J96" i="471" s="1"/>
  <c r="H95" i="471"/>
  <c r="J95" i="471" s="1"/>
  <c r="H93" i="471"/>
  <c r="J93" i="471" s="1"/>
  <c r="H92" i="471"/>
  <c r="J92" i="471" s="1"/>
  <c r="H90" i="471"/>
  <c r="J90" i="471" s="1"/>
  <c r="H89" i="471"/>
  <c r="J89" i="471" s="1"/>
  <c r="H87" i="471"/>
  <c r="J87" i="471" s="1"/>
  <c r="H86" i="471"/>
  <c r="J86" i="471" s="1"/>
  <c r="H84" i="471"/>
  <c r="J84" i="471" s="1"/>
  <c r="H83" i="471"/>
  <c r="J83" i="471" s="1"/>
  <c r="H81" i="471"/>
  <c r="J81" i="471" s="1"/>
  <c r="H79" i="471"/>
  <c r="J79" i="471" s="1"/>
  <c r="H78" i="471"/>
  <c r="J78" i="471" s="1"/>
  <c r="H74" i="471"/>
  <c r="J74" i="471" s="1"/>
  <c r="H72" i="471"/>
  <c r="J72" i="471" s="1"/>
  <c r="H71" i="471"/>
  <c r="J71" i="471" s="1"/>
  <c r="H69" i="471"/>
  <c r="J69" i="471" s="1"/>
  <c r="H68" i="471"/>
  <c r="J68" i="471" s="1"/>
  <c r="H66" i="471"/>
  <c r="J66" i="471" s="1"/>
  <c r="H65" i="471"/>
  <c r="J65" i="471" s="1"/>
  <c r="H62" i="471"/>
  <c r="J62" i="471" s="1"/>
  <c r="H58" i="471"/>
  <c r="J58" i="471" s="1"/>
  <c r="H55" i="471"/>
  <c r="J55" i="471" s="1"/>
  <c r="H53" i="471"/>
  <c r="J53" i="471" s="1"/>
  <c r="H52" i="471"/>
  <c r="J52" i="471" s="1"/>
  <c r="J50" i="471"/>
  <c r="H50" i="471"/>
  <c r="H49" i="471"/>
  <c r="J49" i="471" s="1"/>
  <c r="H47" i="471"/>
  <c r="J47" i="471" s="1"/>
  <c r="H46" i="471"/>
  <c r="J46" i="471" s="1"/>
  <c r="H44" i="471"/>
  <c r="J44" i="471" s="1"/>
  <c r="H42" i="471"/>
  <c r="J42" i="471" s="1"/>
  <c r="H40" i="471"/>
  <c r="J40" i="471" s="1"/>
  <c r="H38" i="471"/>
  <c r="J38" i="471" s="1"/>
  <c r="H36" i="471"/>
  <c r="J36" i="471" s="1"/>
  <c r="H35" i="471"/>
  <c r="J35" i="471" s="1"/>
  <c r="H34" i="471"/>
  <c r="J34" i="471" s="1"/>
  <c r="H33" i="471"/>
  <c r="J33" i="471" s="1"/>
  <c r="H31" i="471"/>
  <c r="J31" i="471" s="1"/>
  <c r="H29" i="471"/>
  <c r="J29" i="471" s="1"/>
  <c r="H26" i="471"/>
  <c r="J26" i="471" s="1"/>
  <c r="H21" i="471"/>
  <c r="J21" i="471" s="1"/>
  <c r="H20" i="471"/>
  <c r="J20" i="471" s="1"/>
  <c r="H18" i="471"/>
  <c r="J18" i="471" s="1"/>
  <c r="H15" i="471"/>
  <c r="J15" i="471" s="1"/>
  <c r="H13" i="471"/>
  <c r="J13" i="471" s="1"/>
  <c r="H11" i="471"/>
  <c r="J11" i="471" s="1"/>
  <c r="H9" i="471"/>
  <c r="J9" i="471" s="1"/>
  <c r="G137" i="471" l="1"/>
  <c r="F137" i="471"/>
  <c r="E137" i="471"/>
  <c r="D137" i="471"/>
  <c r="I137" i="471"/>
  <c r="H137" i="471"/>
  <c r="K137" i="471" l="1"/>
  <c r="J137" i="471"/>
  <c r="I136" i="470"/>
  <c r="K136" i="470" s="1"/>
  <c r="I134" i="470"/>
  <c r="K134" i="470" s="1"/>
  <c r="I23" i="470"/>
  <c r="K23" i="470" s="1"/>
  <c r="I22" i="470"/>
  <c r="K22" i="470" s="1"/>
  <c r="I21" i="470"/>
  <c r="K21" i="470" s="1"/>
  <c r="I20" i="470"/>
  <c r="K20" i="470" s="1"/>
  <c r="I19" i="470"/>
  <c r="K19" i="470" s="1"/>
  <c r="I18" i="470"/>
  <c r="K18" i="470" s="1"/>
  <c r="I16" i="470"/>
  <c r="K16" i="470" s="1"/>
  <c r="I15" i="470"/>
  <c r="K15" i="470" s="1"/>
  <c r="I14" i="470"/>
  <c r="K14" i="470" s="1"/>
  <c r="I13" i="470"/>
  <c r="K13" i="470" s="1"/>
  <c r="H150" i="470"/>
  <c r="J150" i="470" s="1"/>
  <c r="H148" i="470"/>
  <c r="J148" i="470" s="1"/>
  <c r="H144" i="470"/>
  <c r="J144" i="470" s="1"/>
  <c r="H141" i="470"/>
  <c r="J141" i="470" s="1"/>
  <c r="H139" i="470"/>
  <c r="J139" i="470" s="1"/>
  <c r="H131" i="470"/>
  <c r="J131" i="470" s="1"/>
  <c r="H129" i="470"/>
  <c r="J129" i="470" s="1"/>
  <c r="H127" i="470"/>
  <c r="J127" i="470" s="1"/>
  <c r="H125" i="470"/>
  <c r="J125" i="470" s="1"/>
  <c r="H123" i="470"/>
  <c r="J123" i="470" s="1"/>
  <c r="H121" i="470"/>
  <c r="J121" i="470" s="1"/>
  <c r="H120" i="470"/>
  <c r="J120" i="470" s="1"/>
  <c r="H119" i="470"/>
  <c r="J119" i="470" s="1"/>
  <c r="H118" i="470"/>
  <c r="J118" i="470" s="1"/>
  <c r="H117" i="470"/>
  <c r="J117" i="470" s="1"/>
  <c r="H115" i="470"/>
  <c r="J115" i="470" s="1"/>
  <c r="H113" i="470"/>
  <c r="J113" i="470" s="1"/>
  <c r="H112" i="470"/>
  <c r="J112" i="470" s="1"/>
  <c r="H110" i="470"/>
  <c r="J110" i="470" s="1"/>
  <c r="H108" i="470"/>
  <c r="J108" i="470" s="1"/>
  <c r="H106" i="470"/>
  <c r="J106" i="470" s="1"/>
  <c r="H105" i="470"/>
  <c r="J105" i="470" s="1"/>
  <c r="H103" i="470"/>
  <c r="J103" i="470" s="1"/>
  <c r="H101" i="470"/>
  <c r="J101" i="470" s="1"/>
  <c r="H99" i="470"/>
  <c r="J99" i="470" s="1"/>
  <c r="H98" i="470"/>
  <c r="J98" i="470" s="1"/>
  <c r="H97" i="470"/>
  <c r="J97" i="470" s="1"/>
  <c r="H93" i="470"/>
  <c r="J93" i="470" s="1"/>
  <c r="H91" i="470"/>
  <c r="J91" i="470" s="1"/>
  <c r="H90" i="470"/>
  <c r="J90" i="470" s="1"/>
  <c r="H87" i="470"/>
  <c r="J87" i="470" s="1"/>
  <c r="H85" i="470"/>
  <c r="J85" i="470" s="1"/>
  <c r="H84" i="470"/>
  <c r="J84" i="470" s="1"/>
  <c r="H83" i="470"/>
  <c r="J83" i="470" s="1"/>
  <c r="H81" i="470"/>
  <c r="J81" i="470" s="1"/>
  <c r="H79" i="470"/>
  <c r="J79" i="470" s="1"/>
  <c r="H76" i="470"/>
  <c r="J76" i="470" s="1"/>
  <c r="H74" i="470"/>
  <c r="J74" i="470" s="1"/>
  <c r="H73" i="470"/>
  <c r="J73" i="470" s="1"/>
  <c r="H72" i="470"/>
  <c r="J72" i="470" s="1"/>
  <c r="H69" i="470"/>
  <c r="J69" i="470" s="1"/>
  <c r="H67" i="470"/>
  <c r="J67" i="470" s="1"/>
  <c r="H66" i="470"/>
  <c r="J66" i="470" s="1"/>
  <c r="H64" i="470"/>
  <c r="J64" i="470" s="1"/>
  <c r="H63" i="470"/>
  <c r="J63" i="470" s="1"/>
  <c r="H61" i="470"/>
  <c r="J61" i="470" s="1"/>
  <c r="H59" i="470"/>
  <c r="J59" i="470" s="1"/>
  <c r="H58" i="470"/>
  <c r="J58" i="470" s="1"/>
  <c r="H56" i="470"/>
  <c r="J56" i="470" s="1"/>
  <c r="H54" i="470"/>
  <c r="J54" i="470" s="1"/>
  <c r="H52" i="470"/>
  <c r="J52" i="470" s="1"/>
  <c r="H51" i="470"/>
  <c r="J51" i="470" s="1"/>
  <c r="H49" i="470"/>
  <c r="J49" i="470" s="1"/>
  <c r="H48" i="470"/>
  <c r="J48" i="470" s="1"/>
  <c r="H47" i="470"/>
  <c r="J47" i="470" s="1"/>
  <c r="H44" i="470"/>
  <c r="J44" i="470" s="1"/>
  <c r="H41" i="470"/>
  <c r="J41" i="470" s="1"/>
  <c r="H40" i="470"/>
  <c r="J40" i="470" s="1"/>
  <c r="H39" i="470"/>
  <c r="J39" i="470" s="1"/>
  <c r="H37" i="470"/>
  <c r="J37" i="470" s="1"/>
  <c r="H35" i="470"/>
  <c r="J35" i="470" s="1"/>
  <c r="H33" i="470"/>
  <c r="J33" i="470" s="1"/>
  <c r="H30" i="470"/>
  <c r="J30" i="470" s="1"/>
  <c r="H28" i="470"/>
  <c r="J28" i="470" s="1"/>
  <c r="H27" i="470"/>
  <c r="J27" i="470" s="1"/>
  <c r="H26" i="470"/>
  <c r="J26" i="470" s="1"/>
  <c r="H25" i="470"/>
  <c r="J25" i="470" s="1"/>
  <c r="H11" i="470"/>
  <c r="J11" i="470" s="1"/>
  <c r="H9" i="470"/>
  <c r="J9" i="470" s="1"/>
  <c r="G151" i="470"/>
  <c r="F151" i="470"/>
  <c r="E151" i="470"/>
  <c r="D151" i="470"/>
  <c r="I770" i="462"/>
  <c r="K770" i="462" s="1"/>
  <c r="I769" i="462"/>
  <c r="K769" i="462" s="1"/>
  <c r="I755" i="462"/>
  <c r="K755" i="462" s="1"/>
  <c r="I754" i="462"/>
  <c r="K754" i="462" s="1"/>
  <c r="I753" i="462"/>
  <c r="K753" i="462" s="1"/>
  <c r="I472" i="462"/>
  <c r="K472" i="462" s="1"/>
  <c r="I254" i="462"/>
  <c r="K254" i="462" s="1"/>
  <c r="I161" i="462"/>
  <c r="K161" i="462" s="1"/>
  <c r="I141" i="462"/>
  <c r="K141" i="462" s="1"/>
  <c r="I727" i="462"/>
  <c r="K727" i="462" s="1"/>
  <c r="I723" i="462"/>
  <c r="K723" i="462" s="1"/>
  <c r="I409" i="462"/>
  <c r="K409" i="462" s="1"/>
  <c r="I393" i="462"/>
  <c r="K393" i="462" s="1"/>
  <c r="I392" i="462"/>
  <c r="K392" i="462" s="1"/>
  <c r="I391" i="462"/>
  <c r="K391" i="462" s="1"/>
  <c r="I113" i="462"/>
  <c r="K113" i="462" s="1"/>
  <c r="I82" i="462"/>
  <c r="K82" i="462" s="1"/>
  <c r="I81" i="462"/>
  <c r="K81" i="462" s="1"/>
  <c r="I80" i="462"/>
  <c r="K80" i="462" s="1"/>
  <c r="I78" i="462"/>
  <c r="K78" i="462" s="1"/>
  <c r="I77" i="462"/>
  <c r="K77" i="462" s="1"/>
  <c r="I76" i="462"/>
  <c r="K76" i="462" s="1"/>
  <c r="I75" i="462"/>
  <c r="K75" i="462" s="1"/>
  <c r="I74" i="462"/>
  <c r="K74" i="462" s="1"/>
  <c r="I72" i="462"/>
  <c r="K72" i="462" s="1"/>
  <c r="I71" i="462"/>
  <c r="K71" i="462" s="1"/>
  <c r="I70" i="462"/>
  <c r="K70" i="462" s="1"/>
  <c r="I69" i="462"/>
  <c r="K69" i="462" s="1"/>
  <c r="I68" i="462"/>
  <c r="K68" i="462" s="1"/>
  <c r="I67" i="462"/>
  <c r="K67" i="462" s="1"/>
  <c r="I66" i="462"/>
  <c r="K66" i="462" s="1"/>
  <c r="I65" i="462"/>
  <c r="K65" i="462" s="1"/>
  <c r="I63" i="462"/>
  <c r="K63" i="462" s="1"/>
  <c r="I62" i="462"/>
  <c r="K62" i="462" s="1"/>
  <c r="I61" i="462"/>
  <c r="K61" i="462" s="1"/>
  <c r="I51" i="462"/>
  <c r="K51" i="462" s="1"/>
  <c r="I26" i="462"/>
  <c r="K26" i="462" s="1"/>
  <c r="I18" i="462"/>
  <c r="K18" i="462" s="1"/>
  <c r="I17" i="462"/>
  <c r="K17" i="462" s="1"/>
  <c r="I16" i="462"/>
  <c r="K16" i="462" s="1"/>
  <c r="I15" i="462"/>
  <c r="K15" i="462" s="1"/>
  <c r="I14" i="462"/>
  <c r="K14" i="462" s="1"/>
  <c r="I10" i="462"/>
  <c r="K10" i="462" s="1"/>
  <c r="I9" i="462"/>
  <c r="K9" i="462" s="1"/>
  <c r="H877" i="462"/>
  <c r="J877" i="462" s="1"/>
  <c r="H875" i="462"/>
  <c r="J875" i="462" s="1"/>
  <c r="H873" i="462"/>
  <c r="J873" i="462" s="1"/>
  <c r="H871" i="462"/>
  <c r="J871" i="462" s="1"/>
  <c r="H869" i="462"/>
  <c r="J869" i="462" s="1"/>
  <c r="H868" i="462"/>
  <c r="J868" i="462" s="1"/>
  <c r="H867" i="462"/>
  <c r="J867" i="462" s="1"/>
  <c r="H866" i="462"/>
  <c r="J866" i="462" s="1"/>
  <c r="H864" i="462"/>
  <c r="J864" i="462" s="1"/>
  <c r="H862" i="462"/>
  <c r="J862" i="462" s="1"/>
  <c r="H860" i="462"/>
  <c r="J860" i="462" s="1"/>
  <c r="H858" i="462"/>
  <c r="J858" i="462" s="1"/>
  <c r="H857" i="462"/>
  <c r="J857" i="462" s="1"/>
  <c r="H855" i="462"/>
  <c r="J855" i="462" s="1"/>
  <c r="H854" i="462"/>
  <c r="J854" i="462" s="1"/>
  <c r="H852" i="462"/>
  <c r="J852" i="462" s="1"/>
  <c r="H850" i="462"/>
  <c r="J850" i="462" s="1"/>
  <c r="H848" i="462"/>
  <c r="J848" i="462" s="1"/>
  <c r="H847" i="462"/>
  <c r="J847" i="462" s="1"/>
  <c r="H846" i="462"/>
  <c r="J846" i="462" s="1"/>
  <c r="H844" i="462"/>
  <c r="J844" i="462" s="1"/>
  <c r="H843" i="462"/>
  <c r="J843" i="462" s="1"/>
  <c r="H842" i="462"/>
  <c r="J842" i="462" s="1"/>
  <c r="H840" i="462"/>
  <c r="J840" i="462" s="1"/>
  <c r="H838" i="462"/>
  <c r="J838" i="462" s="1"/>
  <c r="H836" i="462"/>
  <c r="J836" i="462" s="1"/>
  <c r="H834" i="462"/>
  <c r="J834" i="462" s="1"/>
  <c r="H833" i="462"/>
  <c r="J833" i="462" s="1"/>
  <c r="H831" i="462"/>
  <c r="J831" i="462" s="1"/>
  <c r="H829" i="462"/>
  <c r="J829" i="462" s="1"/>
  <c r="H828" i="462"/>
  <c r="J828" i="462" s="1"/>
  <c r="H827" i="462"/>
  <c r="J827" i="462" s="1"/>
  <c r="H826" i="462"/>
  <c r="J826" i="462" s="1"/>
  <c r="H825" i="462"/>
  <c r="J825" i="462" s="1"/>
  <c r="H824" i="462"/>
  <c r="J824" i="462" s="1"/>
  <c r="H823" i="462"/>
  <c r="J823" i="462" s="1"/>
  <c r="H822" i="462"/>
  <c r="J822" i="462" s="1"/>
  <c r="H821" i="462"/>
  <c r="J821" i="462" s="1"/>
  <c r="H820" i="462"/>
  <c r="J820" i="462" s="1"/>
  <c r="H819" i="462"/>
  <c r="J819" i="462" s="1"/>
  <c r="H817" i="462"/>
  <c r="J817" i="462" s="1"/>
  <c r="H815" i="462"/>
  <c r="J815" i="462" s="1"/>
  <c r="H814" i="462"/>
  <c r="J814" i="462" s="1"/>
  <c r="H813" i="462"/>
  <c r="J813" i="462" s="1"/>
  <c r="H811" i="462"/>
  <c r="J811" i="462" s="1"/>
  <c r="H810" i="462"/>
  <c r="J810" i="462" s="1"/>
  <c r="H809" i="462"/>
  <c r="J809" i="462" s="1"/>
  <c r="H807" i="462"/>
  <c r="J807" i="462" s="1"/>
  <c r="H806" i="462"/>
  <c r="J806" i="462" s="1"/>
  <c r="H805" i="462"/>
  <c r="J805" i="462" s="1"/>
  <c r="H801" i="462"/>
  <c r="J801" i="462" s="1"/>
  <c r="H798" i="462"/>
  <c r="J798" i="462" s="1"/>
  <c r="H797" i="462"/>
  <c r="J797" i="462" s="1"/>
  <c r="H796" i="462"/>
  <c r="J796" i="462" s="1"/>
  <c r="H794" i="462"/>
  <c r="J794" i="462" s="1"/>
  <c r="H792" i="462"/>
  <c r="J792" i="462" s="1"/>
  <c r="H791" i="462"/>
  <c r="J791" i="462" s="1"/>
  <c r="H790" i="462"/>
  <c r="J790" i="462" s="1"/>
  <c r="H788" i="462"/>
  <c r="J788" i="462" s="1"/>
  <c r="H786" i="462"/>
  <c r="J786" i="462" s="1"/>
  <c r="H785" i="462"/>
  <c r="J785" i="462" s="1"/>
  <c r="H784" i="462"/>
  <c r="J784" i="462" s="1"/>
  <c r="H783" i="462"/>
  <c r="J783" i="462" s="1"/>
  <c r="H782" i="462"/>
  <c r="J782" i="462" s="1"/>
  <c r="H781" i="462"/>
  <c r="J781" i="462" s="1"/>
  <c r="H780" i="462"/>
  <c r="J780" i="462" s="1"/>
  <c r="H779" i="462"/>
  <c r="J779" i="462" s="1"/>
  <c r="H778" i="462"/>
  <c r="J778" i="462" s="1"/>
  <c r="H777" i="462"/>
  <c r="J777" i="462" s="1"/>
  <c r="H776" i="462"/>
  <c r="J776" i="462" s="1"/>
  <c r="H775" i="462"/>
  <c r="J775" i="462" s="1"/>
  <c r="H774" i="462"/>
  <c r="J774" i="462" s="1"/>
  <c r="H773" i="462"/>
  <c r="J773" i="462" s="1"/>
  <c r="H772" i="462"/>
  <c r="J772" i="462" s="1"/>
  <c r="H767" i="462"/>
  <c r="J767" i="462" s="1"/>
  <c r="H766" i="462"/>
  <c r="J766" i="462" s="1"/>
  <c r="H765" i="462"/>
  <c r="J765" i="462" s="1"/>
  <c r="H764" i="462"/>
  <c r="J764" i="462" s="1"/>
  <c r="H763" i="462"/>
  <c r="J763" i="462" s="1"/>
  <c r="H762" i="462"/>
  <c r="J762" i="462" s="1"/>
  <c r="H760" i="462"/>
  <c r="J760" i="462" s="1"/>
  <c r="H756" i="462"/>
  <c r="J756" i="462" s="1"/>
  <c r="H752" i="462"/>
  <c r="J752" i="462" s="1"/>
  <c r="H751" i="462"/>
  <c r="J751" i="462" s="1"/>
  <c r="H749" i="462"/>
  <c r="J749" i="462" s="1"/>
  <c r="H748" i="462"/>
  <c r="J748" i="462" s="1"/>
  <c r="H746" i="462"/>
  <c r="J746" i="462" s="1"/>
  <c r="H745" i="462"/>
  <c r="J745" i="462" s="1"/>
  <c r="H743" i="462"/>
  <c r="J743" i="462" s="1"/>
  <c r="H742" i="462"/>
  <c r="J742" i="462" s="1"/>
  <c r="H740" i="462"/>
  <c r="J740" i="462" s="1"/>
  <c r="H738" i="462"/>
  <c r="J738" i="462" s="1"/>
  <c r="H736" i="462"/>
  <c r="J736" i="462" s="1"/>
  <c r="H734" i="462"/>
  <c r="J734" i="462" s="1"/>
  <c r="H733" i="462"/>
  <c r="J733" i="462" s="1"/>
  <c r="H731" i="462"/>
  <c r="J731" i="462" s="1"/>
  <c r="H730" i="462"/>
  <c r="J730" i="462" s="1"/>
  <c r="H729" i="462"/>
  <c r="J729" i="462" s="1"/>
  <c r="H725" i="462"/>
  <c r="J725" i="462" s="1"/>
  <c r="H722" i="462"/>
  <c r="J722" i="462" s="1"/>
  <c r="H719" i="462"/>
  <c r="J719" i="462" s="1"/>
  <c r="H718" i="462"/>
  <c r="J718" i="462" s="1"/>
  <c r="H716" i="462"/>
  <c r="J716" i="462" s="1"/>
  <c r="H715" i="462"/>
  <c r="J715" i="462" s="1"/>
  <c r="H713" i="462"/>
  <c r="J713" i="462" s="1"/>
  <c r="H712" i="462"/>
  <c r="J712" i="462" s="1"/>
  <c r="H710" i="462"/>
  <c r="J710" i="462" s="1"/>
  <c r="H709" i="462"/>
  <c r="J709" i="462" s="1"/>
  <c r="H706" i="462"/>
  <c r="J706" i="462" s="1"/>
  <c r="H704" i="462"/>
  <c r="J704" i="462" s="1"/>
  <c r="H703" i="462"/>
  <c r="J703" i="462" s="1"/>
  <c r="H702" i="462"/>
  <c r="J702" i="462" s="1"/>
  <c r="H700" i="462"/>
  <c r="J700" i="462" s="1"/>
  <c r="H699" i="462"/>
  <c r="J699" i="462" s="1"/>
  <c r="H698" i="462"/>
  <c r="J698" i="462" s="1"/>
  <c r="H697" i="462"/>
  <c r="J697" i="462" s="1"/>
  <c r="H696" i="462"/>
  <c r="J696" i="462" s="1"/>
  <c r="H695" i="462"/>
  <c r="J695" i="462" s="1"/>
  <c r="H693" i="462"/>
  <c r="J693" i="462" s="1"/>
  <c r="H692" i="462"/>
  <c r="J692" i="462" s="1"/>
  <c r="H691" i="462"/>
  <c r="J691" i="462" s="1"/>
  <c r="H690" i="462"/>
  <c r="J690" i="462" s="1"/>
  <c r="H688" i="462"/>
  <c r="J688" i="462" s="1"/>
  <c r="H686" i="462"/>
  <c r="J686" i="462" s="1"/>
  <c r="H685" i="462"/>
  <c r="J685" i="462" s="1"/>
  <c r="H684" i="462"/>
  <c r="J684" i="462" s="1"/>
  <c r="H682" i="462"/>
  <c r="J682" i="462" s="1"/>
  <c r="H680" i="462"/>
  <c r="J680" i="462" s="1"/>
  <c r="H679" i="462"/>
  <c r="J679" i="462" s="1"/>
  <c r="H678" i="462"/>
  <c r="J678" i="462" s="1"/>
  <c r="H676" i="462"/>
  <c r="J676" i="462" s="1"/>
  <c r="H674" i="462"/>
  <c r="J674" i="462" s="1"/>
  <c r="H672" i="462"/>
  <c r="J672" i="462" s="1"/>
  <c r="H670" i="462"/>
  <c r="J670" i="462" s="1"/>
  <c r="H669" i="462"/>
  <c r="J669" i="462" s="1"/>
  <c r="H667" i="462"/>
  <c r="J667" i="462" s="1"/>
  <c r="H666" i="462"/>
  <c r="J666" i="462" s="1"/>
  <c r="H665" i="462"/>
  <c r="J665" i="462" s="1"/>
  <c r="H664" i="462"/>
  <c r="J664" i="462" s="1"/>
  <c r="H663" i="462"/>
  <c r="J663" i="462" s="1"/>
  <c r="H661" i="462"/>
  <c r="J661" i="462" s="1"/>
  <c r="H659" i="462"/>
  <c r="J659" i="462" s="1"/>
  <c r="H658" i="462"/>
  <c r="J658" i="462" s="1"/>
  <c r="H657" i="462"/>
  <c r="J657" i="462" s="1"/>
  <c r="H656" i="462"/>
  <c r="J656" i="462" s="1"/>
  <c r="H655" i="462"/>
  <c r="J655" i="462" s="1"/>
  <c r="H654" i="462"/>
  <c r="J654" i="462" s="1"/>
  <c r="H653" i="462"/>
  <c r="J653" i="462" s="1"/>
  <c r="H652" i="462"/>
  <c r="J652" i="462" s="1"/>
  <c r="H650" i="462"/>
  <c r="J650" i="462" s="1"/>
  <c r="H649" i="462"/>
  <c r="J649" i="462" s="1"/>
  <c r="H647" i="462"/>
  <c r="J647" i="462" s="1"/>
  <c r="H646" i="462"/>
  <c r="J646" i="462" s="1"/>
  <c r="H644" i="462"/>
  <c r="J644" i="462" s="1"/>
  <c r="H642" i="462"/>
  <c r="J642" i="462" s="1"/>
  <c r="H641" i="462"/>
  <c r="J641" i="462" s="1"/>
  <c r="H640" i="462"/>
  <c r="J640" i="462" s="1"/>
  <c r="H639" i="462"/>
  <c r="J639" i="462" s="1"/>
  <c r="H638" i="462"/>
  <c r="J638" i="462" s="1"/>
  <c r="H636" i="462"/>
  <c r="J636" i="462" s="1"/>
  <c r="H635" i="462"/>
  <c r="J635" i="462" s="1"/>
  <c r="H634" i="462"/>
  <c r="J634" i="462" s="1"/>
  <c r="H633" i="462"/>
  <c r="J633" i="462" s="1"/>
  <c r="H632" i="462"/>
  <c r="J632" i="462" s="1"/>
  <c r="H630" i="462"/>
  <c r="J630" i="462" s="1"/>
  <c r="H629" i="462"/>
  <c r="J629" i="462" s="1"/>
  <c r="H628" i="462"/>
  <c r="J628" i="462" s="1"/>
  <c r="H627" i="462"/>
  <c r="J627" i="462" s="1"/>
  <c r="H625" i="462"/>
  <c r="J625" i="462" s="1"/>
  <c r="H624" i="462"/>
  <c r="J624" i="462" s="1"/>
  <c r="H623" i="462"/>
  <c r="J623" i="462" s="1"/>
  <c r="H622" i="462"/>
  <c r="J622" i="462" s="1"/>
  <c r="H621" i="462"/>
  <c r="J621" i="462" s="1"/>
  <c r="H619" i="462"/>
  <c r="J619" i="462" s="1"/>
  <c r="H618" i="462"/>
  <c r="J618" i="462" s="1"/>
  <c r="H617" i="462"/>
  <c r="J617" i="462" s="1"/>
  <c r="H616" i="462"/>
  <c r="J616" i="462" s="1"/>
  <c r="H615" i="462"/>
  <c r="J615" i="462" s="1"/>
  <c r="H614" i="462"/>
  <c r="J614" i="462" s="1"/>
  <c r="H612" i="462"/>
  <c r="J612" i="462" s="1"/>
  <c r="H610" i="462"/>
  <c r="J610" i="462" s="1"/>
  <c r="H609" i="462"/>
  <c r="J609" i="462" s="1"/>
  <c r="H608" i="462"/>
  <c r="J608" i="462" s="1"/>
  <c r="H606" i="462"/>
  <c r="J606" i="462" s="1"/>
  <c r="H605" i="462"/>
  <c r="J605" i="462" s="1"/>
  <c r="H604" i="462"/>
  <c r="J604" i="462" s="1"/>
  <c r="H603" i="462"/>
  <c r="J603" i="462" s="1"/>
  <c r="H602" i="462"/>
  <c r="J602" i="462" s="1"/>
  <c r="H601" i="462"/>
  <c r="J601" i="462" s="1"/>
  <c r="H600" i="462"/>
  <c r="J600" i="462" s="1"/>
  <c r="H599" i="462"/>
  <c r="J599" i="462" s="1"/>
  <c r="H598" i="462"/>
  <c r="J598" i="462" s="1"/>
  <c r="H597" i="462"/>
  <c r="J597" i="462" s="1"/>
  <c r="H596" i="462"/>
  <c r="J596" i="462" s="1"/>
  <c r="H595" i="462"/>
  <c r="J595" i="462" s="1"/>
  <c r="H594" i="462"/>
  <c r="J594" i="462" s="1"/>
  <c r="H592" i="462"/>
  <c r="J592" i="462" s="1"/>
  <c r="H590" i="462"/>
  <c r="J590" i="462" s="1"/>
  <c r="H589" i="462"/>
  <c r="J589" i="462" s="1"/>
  <c r="H588" i="462"/>
  <c r="J588" i="462" s="1"/>
  <c r="H586" i="462"/>
  <c r="J586" i="462" s="1"/>
  <c r="H585" i="462"/>
  <c r="J585" i="462" s="1"/>
  <c r="H584" i="462"/>
  <c r="J584" i="462" s="1"/>
  <c r="H583" i="462"/>
  <c r="J583" i="462" s="1"/>
  <c r="H582" i="462"/>
  <c r="J582" i="462" s="1"/>
  <c r="H581" i="462"/>
  <c r="J581" i="462" s="1"/>
  <c r="H580" i="462"/>
  <c r="J580" i="462" s="1"/>
  <c r="H579" i="462"/>
  <c r="J579" i="462" s="1"/>
  <c r="H578" i="462"/>
  <c r="J578" i="462" s="1"/>
  <c r="H577" i="462"/>
  <c r="J577" i="462" s="1"/>
  <c r="H576" i="462"/>
  <c r="J576" i="462" s="1"/>
  <c r="H575" i="462"/>
  <c r="J575" i="462" s="1"/>
  <c r="H574" i="462"/>
  <c r="J574" i="462" s="1"/>
  <c r="H573" i="462"/>
  <c r="J573" i="462" s="1"/>
  <c r="H572" i="462"/>
  <c r="J572" i="462" s="1"/>
  <c r="H571" i="462"/>
  <c r="J571" i="462" s="1"/>
  <c r="H569" i="462"/>
  <c r="J569" i="462" s="1"/>
  <c r="H568" i="462"/>
  <c r="J568" i="462" s="1"/>
  <c r="H567" i="462"/>
  <c r="J567" i="462" s="1"/>
  <c r="H566" i="462"/>
  <c r="J566" i="462" s="1"/>
  <c r="H564" i="462"/>
  <c r="J564" i="462" s="1"/>
  <c r="H562" i="462"/>
  <c r="J562" i="462" s="1"/>
  <c r="H561" i="462"/>
  <c r="J561" i="462" s="1"/>
  <c r="H560" i="462"/>
  <c r="J560" i="462" s="1"/>
  <c r="H558" i="462"/>
  <c r="J558" i="462" s="1"/>
  <c r="H557" i="462"/>
  <c r="J557" i="462" s="1"/>
  <c r="H556" i="462"/>
  <c r="J556" i="462" s="1"/>
  <c r="H555" i="462"/>
  <c r="J555" i="462" s="1"/>
  <c r="H553" i="462"/>
  <c r="J553" i="462" s="1"/>
  <c r="H552" i="462"/>
  <c r="J552" i="462" s="1"/>
  <c r="H551" i="462"/>
  <c r="J551" i="462" s="1"/>
  <c r="H550" i="462"/>
  <c r="J550" i="462" s="1"/>
  <c r="H548" i="462"/>
  <c r="J548" i="462" s="1"/>
  <c r="H547" i="462"/>
  <c r="J547" i="462" s="1"/>
  <c r="H546" i="462"/>
  <c r="J546" i="462" s="1"/>
  <c r="H545" i="462"/>
  <c r="J545" i="462" s="1"/>
  <c r="H544" i="462"/>
  <c r="J544" i="462" s="1"/>
  <c r="H543" i="462"/>
  <c r="J543" i="462" s="1"/>
  <c r="H541" i="462"/>
  <c r="J541" i="462" s="1"/>
  <c r="H539" i="462"/>
  <c r="J539" i="462" s="1"/>
  <c r="H537" i="462"/>
  <c r="J537" i="462" s="1"/>
  <c r="H536" i="462"/>
  <c r="J536" i="462" s="1"/>
  <c r="H535" i="462"/>
  <c r="J535" i="462" s="1"/>
  <c r="H534" i="462"/>
  <c r="J534" i="462" s="1"/>
  <c r="H533" i="462"/>
  <c r="J533" i="462" s="1"/>
  <c r="H531" i="462"/>
  <c r="J531" i="462" s="1"/>
  <c r="H530" i="462"/>
  <c r="J530" i="462" s="1"/>
  <c r="H529" i="462"/>
  <c r="J529" i="462" s="1"/>
  <c r="H527" i="462"/>
  <c r="J527" i="462" s="1"/>
  <c r="H526" i="462"/>
  <c r="J526" i="462" s="1"/>
  <c r="H524" i="462"/>
  <c r="J524" i="462" s="1"/>
  <c r="H522" i="462"/>
  <c r="J522" i="462" s="1"/>
  <c r="H521" i="462"/>
  <c r="J521" i="462" s="1"/>
  <c r="H519" i="462"/>
  <c r="J519" i="462" s="1"/>
  <c r="H518" i="462"/>
  <c r="J518" i="462" s="1"/>
  <c r="H517" i="462"/>
  <c r="J517" i="462" s="1"/>
  <c r="H515" i="462"/>
  <c r="J515" i="462" s="1"/>
  <c r="H514" i="462"/>
  <c r="J514" i="462" s="1"/>
  <c r="H513" i="462"/>
  <c r="J513" i="462" s="1"/>
  <c r="H512" i="462"/>
  <c r="J512" i="462" s="1"/>
  <c r="H511" i="462"/>
  <c r="J511" i="462" s="1"/>
  <c r="H509" i="462"/>
  <c r="J509" i="462" s="1"/>
  <c r="H507" i="462"/>
  <c r="J507" i="462" s="1"/>
  <c r="H506" i="462"/>
  <c r="J506" i="462" s="1"/>
  <c r="H504" i="462"/>
  <c r="J504" i="462" s="1"/>
  <c r="H502" i="462"/>
  <c r="J502" i="462" s="1"/>
  <c r="H501" i="462"/>
  <c r="J501" i="462" s="1"/>
  <c r="H499" i="462"/>
  <c r="J499" i="462" s="1"/>
  <c r="H497" i="462"/>
  <c r="J497" i="462" s="1"/>
  <c r="H496" i="462"/>
  <c r="J496" i="462" s="1"/>
  <c r="H494" i="462"/>
  <c r="J494" i="462" s="1"/>
  <c r="H492" i="462"/>
  <c r="J492" i="462" s="1"/>
  <c r="H490" i="462"/>
  <c r="J490" i="462" s="1"/>
  <c r="H488" i="462"/>
  <c r="J488" i="462" s="1"/>
  <c r="H486" i="462"/>
  <c r="J486" i="462" s="1"/>
  <c r="H485" i="462"/>
  <c r="J485" i="462" s="1"/>
  <c r="H484" i="462"/>
  <c r="J484" i="462" s="1"/>
  <c r="H483" i="462"/>
  <c r="J483" i="462" s="1"/>
  <c r="H481" i="462"/>
  <c r="J481" i="462" s="1"/>
  <c r="H480" i="462"/>
  <c r="J480" i="462" s="1"/>
  <c r="H478" i="462"/>
  <c r="J478" i="462" s="1"/>
  <c r="H476" i="462"/>
  <c r="J476" i="462" s="1"/>
  <c r="H475" i="462"/>
  <c r="J475" i="462" s="1"/>
  <c r="H474" i="462"/>
  <c r="J474" i="462" s="1"/>
  <c r="H473" i="462"/>
  <c r="J473" i="462" s="1"/>
  <c r="H471" i="462"/>
  <c r="J471" i="462" s="1"/>
  <c r="H467" i="462"/>
  <c r="J467" i="462" s="1"/>
  <c r="H465" i="462"/>
  <c r="J465" i="462" s="1"/>
  <c r="H464" i="462"/>
  <c r="J464" i="462" s="1"/>
  <c r="H463" i="462"/>
  <c r="J463" i="462" s="1"/>
  <c r="H461" i="462"/>
  <c r="J461" i="462" s="1"/>
  <c r="H460" i="462"/>
  <c r="J460" i="462" s="1"/>
  <c r="H458" i="462"/>
  <c r="J458" i="462" s="1"/>
  <c r="H456" i="462"/>
  <c r="J456" i="462" s="1"/>
  <c r="H455" i="462"/>
  <c r="J455" i="462" s="1"/>
  <c r="H454" i="462"/>
  <c r="J454" i="462" s="1"/>
  <c r="H453" i="462"/>
  <c r="J453" i="462" s="1"/>
  <c r="H451" i="462"/>
  <c r="J451" i="462" s="1"/>
  <c r="H450" i="462"/>
  <c r="J450" i="462" s="1"/>
  <c r="H449" i="462"/>
  <c r="J449" i="462" s="1"/>
  <c r="H448" i="462"/>
  <c r="J448" i="462" s="1"/>
  <c r="H447" i="462"/>
  <c r="J447" i="462" s="1"/>
  <c r="H445" i="462"/>
  <c r="J445" i="462" s="1"/>
  <c r="H444" i="462"/>
  <c r="J444" i="462" s="1"/>
  <c r="H443" i="462"/>
  <c r="J443" i="462" s="1"/>
  <c r="H442" i="462"/>
  <c r="J442" i="462" s="1"/>
  <c r="H439" i="462"/>
  <c r="J439" i="462" s="1"/>
  <c r="H437" i="462"/>
  <c r="J437" i="462" s="1"/>
  <c r="H435" i="462"/>
  <c r="J435" i="462" s="1"/>
  <c r="H434" i="462"/>
  <c r="J434" i="462" s="1"/>
  <c r="H433" i="462"/>
  <c r="J433" i="462" s="1"/>
  <c r="H432" i="462"/>
  <c r="J432" i="462" s="1"/>
  <c r="H431" i="462"/>
  <c r="J431" i="462" s="1"/>
  <c r="H430" i="462"/>
  <c r="J430" i="462" s="1"/>
  <c r="H429" i="462"/>
  <c r="J429" i="462" s="1"/>
  <c r="H428" i="462"/>
  <c r="J428" i="462" s="1"/>
  <c r="H426" i="462"/>
  <c r="J426" i="462" s="1"/>
  <c r="H425" i="462"/>
  <c r="J425" i="462" s="1"/>
  <c r="H424" i="462"/>
  <c r="J424" i="462" s="1"/>
  <c r="H422" i="462"/>
  <c r="J422" i="462" s="1"/>
  <c r="H420" i="462"/>
  <c r="J420" i="462" s="1"/>
  <c r="H418" i="462"/>
  <c r="J418" i="462" s="1"/>
  <c r="H416" i="462"/>
  <c r="J416" i="462" s="1"/>
  <c r="H414" i="462"/>
  <c r="J414" i="462" s="1"/>
  <c r="H413" i="462"/>
  <c r="J413" i="462" s="1"/>
  <c r="H410" i="462"/>
  <c r="J410" i="462" s="1"/>
  <c r="H407" i="462"/>
  <c r="J407" i="462" s="1"/>
  <c r="H406" i="462"/>
  <c r="J406" i="462" s="1"/>
  <c r="H405" i="462"/>
  <c r="J405" i="462" s="1"/>
  <c r="H404" i="462"/>
  <c r="J404" i="462" s="1"/>
  <c r="H403" i="462"/>
  <c r="J403" i="462" s="1"/>
  <c r="H402" i="462"/>
  <c r="J402" i="462" s="1"/>
  <c r="H401" i="462"/>
  <c r="J401" i="462" s="1"/>
  <c r="H399" i="462"/>
  <c r="J399" i="462" s="1"/>
  <c r="H398" i="462"/>
  <c r="J398" i="462" s="1"/>
  <c r="H396" i="462"/>
  <c r="J396" i="462" s="1"/>
  <c r="H395" i="462"/>
  <c r="J395" i="462" s="1"/>
  <c r="H389" i="462"/>
  <c r="J389" i="462" s="1"/>
  <c r="H387" i="462"/>
  <c r="J387" i="462" s="1"/>
  <c r="H386" i="462"/>
  <c r="J386" i="462" s="1"/>
  <c r="H385" i="462"/>
  <c r="J385" i="462" s="1"/>
  <c r="H383" i="462"/>
  <c r="J383" i="462" s="1"/>
  <c r="H381" i="462"/>
  <c r="J381" i="462" s="1"/>
  <c r="H380" i="462"/>
  <c r="J380" i="462" s="1"/>
  <c r="H378" i="462"/>
  <c r="J378" i="462" s="1"/>
  <c r="H377" i="462"/>
  <c r="J377" i="462" s="1"/>
  <c r="H375" i="462"/>
  <c r="J375" i="462" s="1"/>
  <c r="H373" i="462"/>
  <c r="J373" i="462" s="1"/>
  <c r="H372" i="462"/>
  <c r="J372" i="462" s="1"/>
  <c r="H370" i="462"/>
  <c r="J370" i="462" s="1"/>
  <c r="H369" i="462"/>
  <c r="J369" i="462" s="1"/>
  <c r="H366" i="462"/>
  <c r="J366" i="462" s="1"/>
  <c r="H364" i="462"/>
  <c r="J364" i="462" s="1"/>
  <c r="H363" i="462"/>
  <c r="J363" i="462" s="1"/>
  <c r="H361" i="462"/>
  <c r="J361" i="462" s="1"/>
  <c r="H359" i="462"/>
  <c r="J359" i="462" s="1"/>
  <c r="H356" i="462"/>
  <c r="J356" i="462" s="1"/>
  <c r="H354" i="462"/>
  <c r="J354" i="462" s="1"/>
  <c r="H353" i="462"/>
  <c r="J353" i="462" s="1"/>
  <c r="H352" i="462"/>
  <c r="J352" i="462" s="1"/>
  <c r="H351" i="462"/>
  <c r="J351" i="462" s="1"/>
  <c r="H350" i="462"/>
  <c r="J350" i="462" s="1"/>
  <c r="H349" i="462"/>
  <c r="J349" i="462" s="1"/>
  <c r="H347" i="462"/>
  <c r="J347" i="462" s="1"/>
  <c r="H345" i="462"/>
  <c r="J345" i="462" s="1"/>
  <c r="H343" i="462"/>
  <c r="J343" i="462" s="1"/>
  <c r="H342" i="462"/>
  <c r="J342" i="462" s="1"/>
  <c r="H341" i="462"/>
  <c r="J341" i="462" s="1"/>
  <c r="H340" i="462"/>
  <c r="J340" i="462" s="1"/>
  <c r="H339" i="462"/>
  <c r="J339" i="462" s="1"/>
  <c r="H338" i="462"/>
  <c r="J338" i="462" s="1"/>
  <c r="H337" i="462"/>
  <c r="J337" i="462" s="1"/>
  <c r="H336" i="462"/>
  <c r="J336" i="462" s="1"/>
  <c r="H335" i="462"/>
  <c r="J335" i="462" s="1"/>
  <c r="H334" i="462"/>
  <c r="J334" i="462" s="1"/>
  <c r="H333" i="462"/>
  <c r="J333" i="462" s="1"/>
  <c r="H332" i="462"/>
  <c r="J332" i="462" s="1"/>
  <c r="H331" i="462"/>
  <c r="J331" i="462" s="1"/>
  <c r="H330" i="462"/>
  <c r="J330" i="462" s="1"/>
  <c r="H329" i="462"/>
  <c r="J329" i="462" s="1"/>
  <c r="H327" i="462"/>
  <c r="J327" i="462" s="1"/>
  <c r="H325" i="462"/>
  <c r="J325" i="462" s="1"/>
  <c r="H324" i="462"/>
  <c r="J324" i="462" s="1"/>
  <c r="H322" i="462"/>
  <c r="J322" i="462" s="1"/>
  <c r="H320" i="462"/>
  <c r="J320" i="462" s="1"/>
  <c r="H318" i="462"/>
  <c r="J318" i="462" s="1"/>
  <c r="H316" i="462"/>
  <c r="J316" i="462" s="1"/>
  <c r="H315" i="462"/>
  <c r="J315" i="462" s="1"/>
  <c r="H313" i="462"/>
  <c r="J313" i="462" s="1"/>
  <c r="H312" i="462"/>
  <c r="J312" i="462" s="1"/>
  <c r="H311" i="462"/>
  <c r="J311" i="462" s="1"/>
  <c r="H310" i="462"/>
  <c r="J310" i="462" s="1"/>
  <c r="H309" i="462"/>
  <c r="J309" i="462" s="1"/>
  <c r="H308" i="462"/>
  <c r="J308" i="462" s="1"/>
  <c r="H307" i="462"/>
  <c r="J307" i="462" s="1"/>
  <c r="H305" i="462"/>
  <c r="J305" i="462" s="1"/>
  <c r="H304" i="462"/>
  <c r="J304" i="462" s="1"/>
  <c r="H303" i="462"/>
  <c r="J303" i="462" s="1"/>
  <c r="H302" i="462"/>
  <c r="J302" i="462" s="1"/>
  <c r="H300" i="462"/>
  <c r="J300" i="462" s="1"/>
  <c r="H298" i="462"/>
  <c r="J298" i="462" s="1"/>
  <c r="H297" i="462"/>
  <c r="J297" i="462" s="1"/>
  <c r="H296" i="462"/>
  <c r="J296" i="462" s="1"/>
  <c r="H295" i="462"/>
  <c r="J295" i="462" s="1"/>
  <c r="H294" i="462"/>
  <c r="J294" i="462" s="1"/>
  <c r="H293" i="462"/>
  <c r="J293" i="462" s="1"/>
  <c r="H292" i="462"/>
  <c r="J292" i="462" s="1"/>
  <c r="H291" i="462"/>
  <c r="J291" i="462" s="1"/>
  <c r="H290" i="462"/>
  <c r="J290" i="462" s="1"/>
  <c r="H289" i="462"/>
  <c r="J289" i="462" s="1"/>
  <c r="H288" i="462"/>
  <c r="J288" i="462" s="1"/>
  <c r="H287" i="462"/>
  <c r="J287" i="462" s="1"/>
  <c r="H286" i="462"/>
  <c r="J286" i="462" s="1"/>
  <c r="H285" i="462"/>
  <c r="J285" i="462" s="1"/>
  <c r="H284" i="462"/>
  <c r="J284" i="462" s="1"/>
  <c r="H283" i="462"/>
  <c r="J283" i="462" s="1"/>
  <c r="H282" i="462"/>
  <c r="J282" i="462" s="1"/>
  <c r="H281" i="462"/>
  <c r="J281" i="462" s="1"/>
  <c r="H280" i="462"/>
  <c r="J280" i="462" s="1"/>
  <c r="H279" i="462"/>
  <c r="J279" i="462" s="1"/>
  <c r="H277" i="462"/>
  <c r="J277" i="462" s="1"/>
  <c r="H275" i="462"/>
  <c r="J275" i="462" s="1"/>
  <c r="H274" i="462"/>
  <c r="J274" i="462" s="1"/>
  <c r="H273" i="462"/>
  <c r="J273" i="462" s="1"/>
  <c r="H271" i="462"/>
  <c r="J271" i="462" s="1"/>
  <c r="H270" i="462"/>
  <c r="J270" i="462" s="1"/>
  <c r="H269" i="462"/>
  <c r="J269" i="462" s="1"/>
  <c r="H268" i="462"/>
  <c r="J268" i="462" s="1"/>
  <c r="H267" i="462"/>
  <c r="J267" i="462" s="1"/>
  <c r="H266" i="462"/>
  <c r="J266" i="462" s="1"/>
  <c r="H265" i="462"/>
  <c r="J265" i="462" s="1"/>
  <c r="H263" i="462"/>
  <c r="J263" i="462" s="1"/>
  <c r="H262" i="462"/>
  <c r="J262" i="462" s="1"/>
  <c r="H261" i="462"/>
  <c r="J261" i="462" s="1"/>
  <c r="H260" i="462"/>
  <c r="J260" i="462" s="1"/>
  <c r="H259" i="462"/>
  <c r="J259" i="462" s="1"/>
  <c r="H258" i="462"/>
  <c r="J258" i="462" s="1"/>
  <c r="H257" i="462"/>
  <c r="J257" i="462" s="1"/>
  <c r="H256" i="462"/>
  <c r="J256" i="462" s="1"/>
  <c r="H255" i="462"/>
  <c r="J255" i="462" s="1"/>
  <c r="H253" i="462"/>
  <c r="J253" i="462" s="1"/>
  <c r="H252" i="462"/>
  <c r="J252" i="462" s="1"/>
  <c r="H250" i="462"/>
  <c r="J250" i="462" s="1"/>
  <c r="H248" i="462"/>
  <c r="J248" i="462" s="1"/>
  <c r="H247" i="462"/>
  <c r="J247" i="462" s="1"/>
  <c r="H246" i="462"/>
  <c r="J246" i="462" s="1"/>
  <c r="H245" i="462"/>
  <c r="J245" i="462" s="1"/>
  <c r="H244" i="462"/>
  <c r="J244" i="462" s="1"/>
  <c r="H243" i="462"/>
  <c r="J243" i="462" s="1"/>
  <c r="H242" i="462"/>
  <c r="J242" i="462" s="1"/>
  <c r="H240" i="462"/>
  <c r="J240" i="462" s="1"/>
  <c r="H239" i="462"/>
  <c r="J239" i="462" s="1"/>
  <c r="H238" i="462"/>
  <c r="J238" i="462" s="1"/>
  <c r="H237" i="462"/>
  <c r="J237" i="462" s="1"/>
  <c r="H236" i="462"/>
  <c r="J236" i="462" s="1"/>
  <c r="H235" i="462"/>
  <c r="J235" i="462" s="1"/>
  <c r="H234" i="462"/>
  <c r="J234" i="462" s="1"/>
  <c r="H233" i="462"/>
  <c r="J233" i="462" s="1"/>
  <c r="H232" i="462"/>
  <c r="J232" i="462" s="1"/>
  <c r="H231" i="462"/>
  <c r="J231" i="462" s="1"/>
  <c r="H230" i="462"/>
  <c r="J230" i="462" s="1"/>
  <c r="H229" i="462"/>
  <c r="J229" i="462" s="1"/>
  <c r="H228" i="462"/>
  <c r="J228" i="462" s="1"/>
  <c r="H227" i="462"/>
  <c r="J227" i="462" s="1"/>
  <c r="H225" i="462"/>
  <c r="J225" i="462" s="1"/>
  <c r="H224" i="462"/>
  <c r="J224" i="462" s="1"/>
  <c r="H222" i="462"/>
  <c r="J222" i="462" s="1"/>
  <c r="H220" i="462"/>
  <c r="J220" i="462" s="1"/>
  <c r="H219" i="462"/>
  <c r="J219" i="462" s="1"/>
  <c r="H217" i="462"/>
  <c r="J217" i="462" s="1"/>
  <c r="H216" i="462"/>
  <c r="J216" i="462" s="1"/>
  <c r="H214" i="462"/>
  <c r="J214" i="462" s="1"/>
  <c r="H213" i="462"/>
  <c r="J213" i="462" s="1"/>
  <c r="H211" i="462"/>
  <c r="J211" i="462" s="1"/>
  <c r="H210" i="462"/>
  <c r="J210" i="462" s="1"/>
  <c r="H209" i="462"/>
  <c r="J209" i="462" s="1"/>
  <c r="H208" i="462"/>
  <c r="J208" i="462" s="1"/>
  <c r="H206" i="462"/>
  <c r="J206" i="462" s="1"/>
  <c r="H205" i="462"/>
  <c r="J205" i="462" s="1"/>
  <c r="H204" i="462"/>
  <c r="J204" i="462" s="1"/>
  <c r="H203" i="462"/>
  <c r="J203" i="462" s="1"/>
  <c r="H202" i="462"/>
  <c r="J202" i="462" s="1"/>
  <c r="H200" i="462"/>
  <c r="J200" i="462" s="1"/>
  <c r="H198" i="462"/>
  <c r="J198" i="462" s="1"/>
  <c r="H197" i="462"/>
  <c r="J197" i="462" s="1"/>
  <c r="H195" i="462"/>
  <c r="J195" i="462" s="1"/>
  <c r="H193" i="462"/>
  <c r="J193" i="462" s="1"/>
  <c r="H192" i="462"/>
  <c r="J192" i="462" s="1"/>
  <c r="H191" i="462"/>
  <c r="J191" i="462" s="1"/>
  <c r="H190" i="462"/>
  <c r="J190" i="462" s="1"/>
  <c r="H189" i="462"/>
  <c r="J189" i="462" s="1"/>
  <c r="H188" i="462"/>
  <c r="J188" i="462" s="1"/>
  <c r="H187" i="462"/>
  <c r="J187" i="462" s="1"/>
  <c r="H186" i="462"/>
  <c r="J186" i="462" s="1"/>
  <c r="H185" i="462"/>
  <c r="J185" i="462" s="1"/>
  <c r="H184" i="462"/>
  <c r="J184" i="462" s="1"/>
  <c r="H183" i="462"/>
  <c r="J183" i="462" s="1"/>
  <c r="H182" i="462"/>
  <c r="J182" i="462" s="1"/>
  <c r="H181" i="462"/>
  <c r="J181" i="462" s="1"/>
  <c r="H180" i="462"/>
  <c r="J180" i="462" s="1"/>
  <c r="H179" i="462"/>
  <c r="J179" i="462" s="1"/>
  <c r="H178" i="462"/>
  <c r="J178" i="462" s="1"/>
  <c r="H177" i="462"/>
  <c r="J177" i="462" s="1"/>
  <c r="H176" i="462"/>
  <c r="J176" i="462" s="1"/>
  <c r="H175" i="462"/>
  <c r="J175" i="462" s="1"/>
  <c r="H174" i="462"/>
  <c r="J174" i="462" s="1"/>
  <c r="H173" i="462"/>
  <c r="J173" i="462" s="1"/>
  <c r="H172" i="462"/>
  <c r="J172" i="462" s="1"/>
  <c r="H170" i="462"/>
  <c r="J170" i="462" s="1"/>
  <c r="H169" i="462"/>
  <c r="J169" i="462" s="1"/>
  <c r="H168" i="462"/>
  <c r="J168" i="462" s="1"/>
  <c r="H167" i="462"/>
  <c r="J167" i="462" s="1"/>
  <c r="H165" i="462"/>
  <c r="J165" i="462" s="1"/>
  <c r="H164" i="462"/>
  <c r="J164" i="462" s="1"/>
  <c r="H162" i="462"/>
  <c r="J162" i="462" s="1"/>
  <c r="H160" i="462"/>
  <c r="J160" i="462" s="1"/>
  <c r="H159" i="462"/>
  <c r="J159" i="462" s="1"/>
  <c r="H158" i="462"/>
  <c r="J158" i="462" s="1"/>
  <c r="H157" i="462"/>
  <c r="J157" i="462" s="1"/>
  <c r="H155" i="462"/>
  <c r="J155" i="462" s="1"/>
  <c r="H154" i="462"/>
  <c r="J154" i="462" s="1"/>
  <c r="H153" i="462"/>
  <c r="J153" i="462" s="1"/>
  <c r="H152" i="462"/>
  <c r="J152" i="462" s="1"/>
  <c r="H149" i="462"/>
  <c r="J149" i="462" s="1"/>
  <c r="H148" i="462"/>
  <c r="J148" i="462" s="1"/>
  <c r="H147" i="462"/>
  <c r="J147" i="462" s="1"/>
  <c r="H146" i="462"/>
  <c r="J146" i="462" s="1"/>
  <c r="H144" i="462"/>
  <c r="J144" i="462" s="1"/>
  <c r="H143" i="462"/>
  <c r="J143" i="462" s="1"/>
  <c r="H140" i="462"/>
  <c r="J140" i="462" s="1"/>
  <c r="H139" i="462"/>
  <c r="J139" i="462" s="1"/>
  <c r="H137" i="462"/>
  <c r="J137" i="462" s="1"/>
  <c r="H135" i="462"/>
  <c r="J135" i="462" s="1"/>
  <c r="H133" i="462"/>
  <c r="J133" i="462" s="1"/>
  <c r="H132" i="462"/>
  <c r="J132" i="462" s="1"/>
  <c r="H130" i="462"/>
  <c r="J130" i="462" s="1"/>
  <c r="H128" i="462"/>
  <c r="J128" i="462" s="1"/>
  <c r="H126" i="462"/>
  <c r="J126" i="462" s="1"/>
  <c r="H124" i="462"/>
  <c r="J124" i="462" s="1"/>
  <c r="H123" i="462"/>
  <c r="J123" i="462" s="1"/>
  <c r="H121" i="462"/>
  <c r="J121" i="462" s="1"/>
  <c r="H119" i="462"/>
  <c r="J119" i="462" s="1"/>
  <c r="H118" i="462"/>
  <c r="J118" i="462" s="1"/>
  <c r="H116" i="462"/>
  <c r="J116" i="462" s="1"/>
  <c r="H115" i="462"/>
  <c r="J115" i="462" s="1"/>
  <c r="H111" i="462"/>
  <c r="J111" i="462" s="1"/>
  <c r="H108" i="462"/>
  <c r="J108" i="462" s="1"/>
  <c r="H107" i="462"/>
  <c r="J107" i="462" s="1"/>
  <c r="H106" i="462"/>
  <c r="J106" i="462" s="1"/>
  <c r="H105" i="462"/>
  <c r="J105" i="462" s="1"/>
  <c r="H104" i="462"/>
  <c r="J104" i="462" s="1"/>
  <c r="H102" i="462"/>
  <c r="J102" i="462" s="1"/>
  <c r="H99" i="462"/>
  <c r="J99" i="462" s="1"/>
  <c r="H97" i="462"/>
  <c r="J97" i="462" s="1"/>
  <c r="H95" i="462"/>
  <c r="J95" i="462" s="1"/>
  <c r="H93" i="462"/>
  <c r="J93" i="462" s="1"/>
  <c r="H91" i="462"/>
  <c r="J91" i="462" s="1"/>
  <c r="H88" i="462"/>
  <c r="J88" i="462" s="1"/>
  <c r="H86" i="462"/>
  <c r="J86" i="462" s="1"/>
  <c r="H84" i="462"/>
  <c r="J84" i="462" s="1"/>
  <c r="H59" i="462"/>
  <c r="J59" i="462" s="1"/>
  <c r="H58" i="462"/>
  <c r="J58" i="462" s="1"/>
  <c r="H56" i="462"/>
  <c r="J56" i="462" s="1"/>
  <c r="H54" i="462"/>
  <c r="J54" i="462" s="1"/>
  <c r="H53" i="462"/>
  <c r="J53" i="462" s="1"/>
  <c r="H52" i="462"/>
  <c r="J52" i="462" s="1"/>
  <c r="H50" i="462"/>
  <c r="J50" i="462" s="1"/>
  <c r="H49" i="462"/>
  <c r="J49" i="462" s="1"/>
  <c r="H48" i="462"/>
  <c r="J48" i="462" s="1"/>
  <c r="H47" i="462"/>
  <c r="J47" i="462" s="1"/>
  <c r="H46" i="462"/>
  <c r="J46" i="462" s="1"/>
  <c r="H44" i="462"/>
  <c r="J44" i="462" s="1"/>
  <c r="H43" i="462"/>
  <c r="J43" i="462" s="1"/>
  <c r="H41" i="462"/>
  <c r="J41" i="462" s="1"/>
  <c r="H40" i="462"/>
  <c r="J40" i="462" s="1"/>
  <c r="H38" i="462"/>
  <c r="J38" i="462" s="1"/>
  <c r="H36" i="462"/>
  <c r="J36" i="462" s="1"/>
  <c r="H34" i="462"/>
  <c r="J34" i="462" s="1"/>
  <c r="H32" i="462"/>
  <c r="J32" i="462" s="1"/>
  <c r="H31" i="462"/>
  <c r="J31" i="462" s="1"/>
  <c r="H30" i="462"/>
  <c r="J30" i="462" s="1"/>
  <c r="H29" i="462"/>
  <c r="J29" i="462" s="1"/>
  <c r="H28" i="462"/>
  <c r="J28" i="462" s="1"/>
  <c r="H27" i="462"/>
  <c r="J27" i="462" s="1"/>
  <c r="H25" i="462"/>
  <c r="J25" i="462" s="1"/>
  <c r="H24" i="462"/>
  <c r="J24" i="462" s="1"/>
  <c r="H23" i="462"/>
  <c r="J23" i="462" s="1"/>
  <c r="H22" i="462"/>
  <c r="J22" i="462" s="1"/>
  <c r="H21" i="462"/>
  <c r="J21" i="462" s="1"/>
  <c r="H20" i="462"/>
  <c r="J20" i="462" s="1"/>
  <c r="H12" i="462"/>
  <c r="J12" i="462" s="1"/>
  <c r="H151" i="470" l="1"/>
  <c r="J151" i="470" s="1"/>
  <c r="I151" i="470"/>
  <c r="K151" i="470" s="1"/>
  <c r="G878" i="462" l="1"/>
  <c r="F878" i="462"/>
  <c r="E878" i="462"/>
  <c r="D878" i="462"/>
  <c r="I878" i="462"/>
  <c r="K878" i="462" l="1"/>
  <c r="H878" i="462"/>
  <c r="J878" i="462" s="1"/>
</calcChain>
</file>

<file path=xl/sharedStrings.xml><?xml version="1.0" encoding="utf-8"?>
<sst xmlns="http://schemas.openxmlformats.org/spreadsheetml/2006/main" count="1234" uniqueCount="616">
  <si>
    <t>김기진</t>
  </si>
  <si>
    <t>이익율(ASP)</t>
    <phoneticPr fontId="3" type="noConversion"/>
  </si>
  <si>
    <t>이익률(DSP)</t>
    <phoneticPr fontId="3" type="noConversion"/>
  </si>
  <si>
    <t>매출이익(ASP)</t>
    <phoneticPr fontId="3" type="noConversion"/>
  </si>
  <si>
    <t>매출이익(DSP)</t>
    <phoneticPr fontId="3" type="noConversion"/>
  </si>
  <si>
    <t>기타비용
(운임 외)</t>
  </si>
  <si>
    <t>ASP</t>
    <phoneticPr fontId="9" type="noConversion"/>
  </si>
  <si>
    <t>공급가</t>
  </si>
  <si>
    <t>단가</t>
  </si>
  <si>
    <t>수량</t>
  </si>
  <si>
    <t>비     고</t>
  </si>
  <si>
    <t>이익율 (%)</t>
  </si>
  <si>
    <t>매출이익</t>
  </si>
  <si>
    <t>구매현황</t>
  </si>
  <si>
    <t>일일매출 현황</t>
  </si>
  <si>
    <t>B2C 사업부 / 일일매출 분석 (2020. 05)</t>
  </si>
  <si>
    <t>조종복</t>
  </si>
  <si>
    <t>조성호</t>
  </si>
  <si>
    <t>박경묵</t>
  </si>
  <si>
    <t>조봉건</t>
  </si>
  <si>
    <t>MOBIL VACUO 1409 [20]</t>
  </si>
  <si>
    <t>김철주</t>
  </si>
  <si>
    <t>MOBIL HYDRAULIC AW 32 [20]</t>
  </si>
  <si>
    <t>MOBIL VELOCITE 3 [20]</t>
  </si>
  <si>
    <t>MOBIL VACTRA 2 [200]</t>
  </si>
  <si>
    <t>MOBIL DTE 25 ULTRA [200]</t>
  </si>
  <si>
    <t>창원사업소</t>
  </si>
  <si>
    <t>부산사업소</t>
  </si>
  <si>
    <t>화성사업소</t>
  </si>
  <si>
    <t>이승복</t>
  </si>
  <si>
    <t>MOBIL MULTIPURPOSE ATF PL 20L [20／1]</t>
  </si>
  <si>
    <t>동부상사</t>
  </si>
  <si>
    <t>DSP</t>
  </si>
  <si>
    <t>MOBIL HYDRAULIC AW 46 [200]</t>
  </si>
  <si>
    <t>김윤석</t>
  </si>
  <si>
    <t>(주)삼경O&amp;T</t>
  </si>
  <si>
    <t>MOBIL HYDRAULIC AW 68 [20]</t>
  </si>
  <si>
    <t>MOBIL VACTRA 2 SLC [200]</t>
  </si>
  <si>
    <t>MOBIL 1 ESP X4 0W40 CTN 12X1L:KR [1/12]</t>
  </si>
  <si>
    <t>MOBIL FLUID 424(B) PL 20L-SP [20/1]</t>
  </si>
  <si>
    <t>MOBIL 1 ESP 0W30 (PORSCHE) CTN 12X1L [1／12]</t>
  </si>
  <si>
    <t>(주)도이치아우토 수원지점</t>
  </si>
  <si>
    <t>MOBIL 1 ESP X2 0W20 (PORSCHE) CTN 12X1L [1/12]</t>
  </si>
  <si>
    <t>(주)서브원</t>
  </si>
  <si>
    <t>MOBIL DTE HEAVY MEDIUM [20]</t>
  </si>
  <si>
    <t>MOBIL POLYREX EM(35LB) [16]</t>
  </si>
  <si>
    <t>MOBIL VELOCITE 3-sp [20]</t>
  </si>
  <si>
    <t>(주)에스큐디에이모터스(SQDA Motors Co.,Ltd)</t>
  </si>
  <si>
    <t>스투트가르트스포츠카(주)</t>
  </si>
  <si>
    <t>택배운임</t>
  </si>
  <si>
    <t>MOBIL DTE 24 ULTRA [20]</t>
  </si>
  <si>
    <t>MOBIL VACTRA 2 [20]</t>
  </si>
  <si>
    <t>MOBIL DTE 24 ULTRA-wia [200]</t>
  </si>
  <si>
    <t>MOBIL RARUS 424-sp [20]</t>
  </si>
  <si>
    <t>MOBIL VACTRA 4 [20]</t>
  </si>
  <si>
    <t>MOBIL DTE LIGHT-sp [20]</t>
  </si>
  <si>
    <t>MOBIL VACUO 1405 [20]</t>
  </si>
  <si>
    <t>삼광오엔씨주식회사</t>
  </si>
  <si>
    <t>임재창</t>
  </si>
  <si>
    <t>김건우</t>
  </si>
  <si>
    <t>MOBIL GLYGOYLE 460-10L [10]</t>
  </si>
  <si>
    <t>MOBIL HYDRAULIC AW 68-RAIL OIL-4L [4]</t>
  </si>
  <si>
    <t>코리아이플랫폼㈜</t>
  </si>
  <si>
    <t>MOBIL DELVAC MODERN 15W40 CP PL 20L [20/1]</t>
  </si>
  <si>
    <t>티케이엘리베이터코리아(주)</t>
  </si>
  <si>
    <t>MOBIL SPARTAN EP 320 [20]</t>
  </si>
  <si>
    <t>MOBIL DTE 10 EXCEL 32 [20]</t>
  </si>
  <si>
    <t>MOBIL DTE LIGHT [20]</t>
  </si>
  <si>
    <t>MOBIL VACTRA 2 SLC [20]</t>
  </si>
  <si>
    <t>대원강업 (주) 창원공장</t>
  </si>
  <si>
    <t>덕흥주식회사</t>
  </si>
  <si>
    <t>MOBIL VELOCITE 6 [20]</t>
  </si>
  <si>
    <t>롤링</t>
  </si>
  <si>
    <t>셰플러코리아 유한책임회사</t>
  </si>
  <si>
    <t>유진엘앤씨</t>
  </si>
  <si>
    <t>주식회사 극동윤활유</t>
  </si>
  <si>
    <t>주식회사경남윤활유</t>
  </si>
  <si>
    <t>한백윤활유</t>
  </si>
  <si>
    <t>이성욱</t>
  </si>
  <si>
    <t>부라다워너 유한책임회사</t>
  </si>
  <si>
    <t>주식회사 우진윤활유</t>
  </si>
  <si>
    <t>주식회사 엔비알롤러(NBR Roller Co., Ltd.)</t>
  </si>
  <si>
    <t>AJ네트웍스 주식회사</t>
  </si>
  <si>
    <t>MOBIL HYDRAULIC AW 32-BUFFER OIL-4L [4]</t>
  </si>
  <si>
    <t>디엘모터스(주) 자동차부품</t>
  </si>
  <si>
    <t>동양JPN</t>
  </si>
  <si>
    <t>무림피앤피(주)</t>
  </si>
  <si>
    <t>영일케미칼</t>
  </si>
  <si>
    <t>세기윤활유</t>
  </si>
  <si>
    <t>MOBIL 1 ESP X4 0W40 (PORSCHE) CTN 12X1L [1/12]</t>
  </si>
  <si>
    <t>MOBIL 1 ESP X2 0W20 (PORSCHE) DR 200L [200]</t>
  </si>
  <si>
    <t>아우토슈타트(주)대전지점</t>
  </si>
  <si>
    <t>대신윤활유(주)</t>
  </si>
  <si>
    <t>주식회사신화특수유</t>
  </si>
  <si>
    <t>M GREASE XHP 222(12X0.39KG) [0.39/12]</t>
  </si>
  <si>
    <t>MOBIL GEAR 600 XP 220-sp [200]</t>
  </si>
  <si>
    <t>MOBIL GEAR 600 XP 320 [20]</t>
  </si>
  <si>
    <t>MOBIL SHC 629-sp [20]</t>
  </si>
  <si>
    <t>MOBIL FLUID 424(B) DR 200L-SP [200/1]</t>
  </si>
  <si>
    <t>정현우</t>
  </si>
  <si>
    <t>MOBIL PEGASUS 805-sp [200]</t>
  </si>
  <si>
    <t>MOBIL DTE 25 ULTRA [20]</t>
  </si>
  <si>
    <t>MOBIL RARUS 427-sp [20]</t>
  </si>
  <si>
    <t>김중경</t>
  </si>
  <si>
    <t>MOBIL GEAR 600 XP 220-sp [20]</t>
  </si>
  <si>
    <t>현대위아㈜</t>
  </si>
  <si>
    <t>MOBIL VACTRA 4 [200]</t>
  </si>
  <si>
    <t>MOBIL SHC 630-sp [20]</t>
  </si>
  <si>
    <t>대한루브켐</t>
  </si>
  <si>
    <t>대한루브켐주식회사</t>
  </si>
  <si>
    <t>모빌대명광유</t>
  </si>
  <si>
    <t>MOBIL DELVAC LEGEND 1330 DR 200L [200/1]</t>
  </si>
  <si>
    <t>MOBILUX EP 2(16KG) [16]</t>
  </si>
  <si>
    <t>MOBIL 1 0W40 (SN) CTN 12X1L [1／12]</t>
  </si>
  <si>
    <t>주식회사 고려유화</t>
  </si>
  <si>
    <t>MOBIL DELVAC MODERN 15W40 CP CTN 4X4L [4/4]</t>
  </si>
  <si>
    <t>MOBIL THERM 605 [20]</t>
  </si>
  <si>
    <t>MOBIL NUTO H 32-sp [20]</t>
  </si>
  <si>
    <t>(주)오에스티</t>
  </si>
  <si>
    <t>주식회사한국엠엘</t>
  </si>
  <si>
    <t>(주)신흥</t>
  </si>
  <si>
    <t>대한양행㈜</t>
  </si>
  <si>
    <t>동아켐텍(Dong-A Chem Tech)</t>
  </si>
  <si>
    <t>MOBIL VACTRA 1 [20]</t>
  </si>
  <si>
    <t>택배비</t>
  </si>
  <si>
    <t>MOBIL RARUS 425 [20]</t>
  </si>
  <si>
    <t>서울특수유</t>
  </si>
  <si>
    <t>MOBIL RARUS 424 [20]</t>
  </si>
  <si>
    <t>MOBILUX EP 2(16KG)-ajoo [16]</t>
  </si>
  <si>
    <t>MOBILUX EP 1(16KG) [16]</t>
  </si>
  <si>
    <t>제일윤활유상사</t>
  </si>
  <si>
    <t>주식회사 금세기</t>
  </si>
  <si>
    <t>한국아카데미화학</t>
  </si>
  <si>
    <t>원강산업주식회사</t>
  </si>
  <si>
    <t>MOBIL GEAR 600 XP 150 [200]</t>
  </si>
  <si>
    <t>테크젠 주식회사</t>
  </si>
  <si>
    <t>MOBIL FLUID LT DR 208L [208／1]</t>
  </si>
  <si>
    <t>태림페이퍼(주)마산공장</t>
  </si>
  <si>
    <t>대성윤활유</t>
  </si>
  <si>
    <t>석두실업</t>
  </si>
  <si>
    <t>케이디루브텍</t>
  </si>
  <si>
    <t>MOBIL SHC 632-sp [20]</t>
  </si>
  <si>
    <t>MOBIL SHC 639(5GA) [18.9]</t>
  </si>
  <si>
    <t>화물운임</t>
  </si>
  <si>
    <t>(주)국제모빌</t>
  </si>
  <si>
    <t>MOBILUX EP 3(16KG)-sp [16]</t>
  </si>
  <si>
    <t>MOBIL DTE MEDIUM [20]</t>
  </si>
  <si>
    <t>MOBIL GREASE 28(16KG)-sp [16]</t>
  </si>
  <si>
    <t>MOBIL DTE MEDIUM-hy [200]</t>
  </si>
  <si>
    <t>(주) 세아특수강</t>
  </si>
  <si>
    <t>MOBILUX EP 0(16KG) [16]</t>
  </si>
  <si>
    <t>MOBIL THERM 603-sp [200]</t>
  </si>
  <si>
    <t>부경하우톤</t>
  </si>
  <si>
    <t>MOBIL RONEX MP(35LB) [16]</t>
  </si>
  <si>
    <t>마음피앤에스 주식회사</t>
  </si>
  <si>
    <t>한국서부발전주식회사태안발전본부</t>
  </si>
  <si>
    <t>MOBIL 1 0W40 (PORSCHE) CTN 12X1L [1／12]</t>
    <phoneticPr fontId="3" type="noConversion"/>
  </si>
  <si>
    <t>MOBIL VELOCITE 10-sp [20]</t>
  </si>
  <si>
    <t>MOBILUX EP 1(16KG)-sp [16]</t>
  </si>
  <si>
    <t>세영모빌리티 주식회사</t>
  </si>
  <si>
    <t>MOBIL 1 0W40 (PORSCHE) CTN 12X1L [1／12]</t>
  </si>
  <si>
    <t>MOBIL 1 ESP X2 0W20(PORSCHE) DR 200L:KR [200]</t>
  </si>
  <si>
    <t>아우토슈타트(주)</t>
  </si>
  <si>
    <t>아우토슈타트(주)북대구지점</t>
  </si>
  <si>
    <t>현대제철주식회사</t>
  </si>
  <si>
    <t>MOBIL GREASE XHP 222(16KG) [16]</t>
  </si>
  <si>
    <t>(주) 서진루브</t>
  </si>
  <si>
    <t>MOBIL DTE 26 ULTRA [20]</t>
  </si>
  <si>
    <t>(주)극동오일</t>
  </si>
  <si>
    <t>(주)삼화상사</t>
  </si>
  <si>
    <t>MOBIL DTE MEDIUM-sp [20]</t>
  </si>
  <si>
    <t>극동특수OMT</t>
  </si>
  <si>
    <t>MOBIL SUPER EP 5W30 DR 200L [200/1]</t>
  </si>
  <si>
    <t>MOBIL DTE 24 ULTRA [200]</t>
  </si>
  <si>
    <t>MOBIL GLYGOYLE 30 [20]</t>
  </si>
  <si>
    <t>MOBIL SPARTAN EP 220 [20]</t>
  </si>
  <si>
    <t>MOBIL SPARTAN EP 220-sp [200]</t>
  </si>
  <si>
    <t>MOBIL VACUUM PUMP-sp [20]</t>
  </si>
  <si>
    <t>MOBIL VACUO 1409 [200]</t>
  </si>
  <si>
    <t>MOBIL GEAR 600 XP 320 [200]</t>
  </si>
  <si>
    <t>부광윤활유</t>
  </si>
  <si>
    <t>MOBIL DTE 26 ULTRA [200]</t>
  </si>
  <si>
    <t>MOBIL VELOCITE 6-sp [20]</t>
  </si>
  <si>
    <t>오일트리</t>
  </si>
  <si>
    <t>(주)삼표산업 인천사업소</t>
  </si>
  <si>
    <t>(주)나우테크</t>
  </si>
  <si>
    <t>셰플러안산 유한책임회사</t>
  </si>
  <si>
    <t>MOBIL SPARTAN EP 460 [20]</t>
  </si>
  <si>
    <t>MOBIL VACUO 533-sp [20]</t>
  </si>
  <si>
    <t>에어프로덕츠코리아주식회사</t>
  </si>
  <si>
    <t>(주)한즈모트롤</t>
  </si>
  <si>
    <t>MOBIL HYDRAULIC AW 46 [20]</t>
  </si>
  <si>
    <t>(주) 지성큐앤텍</t>
  </si>
  <si>
    <t>(주)SIMPAC</t>
  </si>
  <si>
    <t>MOBIL HYDRAULIC AW 68 [200]</t>
  </si>
  <si>
    <t>광우케미칼</t>
  </si>
  <si>
    <t>구영테크</t>
  </si>
  <si>
    <t>MOBIL HYDRAULIC AW 32 [200]</t>
  </si>
  <si>
    <t>MOBIL VELOCITE 3 [200]</t>
  </si>
  <si>
    <t>소매</t>
  </si>
  <si>
    <t>에이치디현대크랭크샤프트 주식회사</t>
  </si>
  <si>
    <t>Fuchs Ecocool 1500EF-DR200L [200／1]</t>
  </si>
  <si>
    <t>RENEP CGLP 68K [200]</t>
  </si>
  <si>
    <t>이엠코리아 (주) 함안지점</t>
  </si>
  <si>
    <t>MOBIL VACTRA 2 SLC-wia [200]</t>
  </si>
  <si>
    <t>이엠코리아(주)</t>
  </si>
  <si>
    <t>주식회사 신화케미칼</t>
  </si>
  <si>
    <t>주식회사 에스아이루브</t>
  </si>
  <si>
    <t>MOBILUBE LS 85W90 PL 20L [20／1]</t>
  </si>
  <si>
    <t>진성사</t>
  </si>
  <si>
    <t>한국금속유</t>
  </si>
  <si>
    <t>보광열처리 주식회사</t>
  </si>
  <si>
    <t>삼진윤활유</t>
  </si>
  <si>
    <t>MOBIL DTE 25 ULTRA-wia [200]</t>
  </si>
  <si>
    <t>MOBIL GEAR 600 XP 220 [200]</t>
  </si>
  <si>
    <t>MOBIL VACUO 533 [200]</t>
  </si>
  <si>
    <t>창원</t>
  </si>
  <si>
    <t>주식회사 칼텍코리아</t>
  </si>
  <si>
    <t>MOBIL GEAR 600 XP 68 [20]</t>
  </si>
  <si>
    <t>(주)비에스루브</t>
  </si>
  <si>
    <t>삼덕특수유</t>
  </si>
  <si>
    <t>MOBIL 1 ESP X2 0W20 (PORSCHE) 12X1L:KR [1/12]</t>
    <phoneticPr fontId="3" type="noConversion"/>
  </si>
  <si>
    <t>MOBIL 1 ESP 5W30 (PORSCHE) CTN 12X1L [1／12]</t>
    <phoneticPr fontId="3" type="noConversion"/>
  </si>
  <si>
    <t>I SOPAR - MH [20／1]</t>
    <phoneticPr fontId="3" type="noConversion"/>
  </si>
  <si>
    <t>(주)광일유화</t>
  </si>
  <si>
    <t>MOBIL DTE 22 ULTRA [20]</t>
  </si>
  <si>
    <t>(주)아이마켓코리아</t>
  </si>
  <si>
    <t>코오롱아우토(주)</t>
  </si>
  <si>
    <t>용차운임</t>
  </si>
  <si>
    <t>MOBIL GEAR 600 XP 680-sp [200]</t>
  </si>
  <si>
    <t>MOBIL DTE 10 EXCEL 46 [20]</t>
  </si>
  <si>
    <t>(주)지앤엘에스티</t>
  </si>
  <si>
    <t>MOBIL GEAR 600 XP 320-sp [200]</t>
  </si>
  <si>
    <t>(주)청우하이드로</t>
  </si>
  <si>
    <t>MOBIL DTE LIGHT-sp [200]</t>
  </si>
  <si>
    <t>MOBIL DTE 10 EXCEL 15 [20]</t>
  </si>
  <si>
    <t>MOBIL DTE HEAVY [20]</t>
  </si>
  <si>
    <t>MOBILUX EP 023(16KG)-sp [16]</t>
  </si>
  <si>
    <t>극동루브컨설팅</t>
  </si>
  <si>
    <t>MOBIL SPARTAN EP 150 [20]</t>
  </si>
  <si>
    <t>대동윤활유상사</t>
  </si>
  <si>
    <t>MOBIL GEAR 600 XP 100 [20]</t>
  </si>
  <si>
    <t>MOBIL GEAR 600 XP 460 [20]</t>
  </si>
  <si>
    <t>MOBIL VELOCITE 10 [20]</t>
  </si>
  <si>
    <t>MOBILITH SHC 460(16KG) [16]</t>
  </si>
  <si>
    <t>영신쿼츠(주)</t>
  </si>
  <si>
    <t>(주)우신엔지니어링</t>
  </si>
  <si>
    <t>주식회사 링크잇</t>
  </si>
  <si>
    <t>지엠아시아퍼시픽지역본부 주식회사</t>
  </si>
  <si>
    <t>(주)플루엔</t>
  </si>
  <si>
    <t>그린에코 (GREEN ECO)</t>
  </si>
  <si>
    <t>다이나솔루션</t>
  </si>
  <si>
    <t>MOBIL RARUS 427 [20]</t>
  </si>
  <si>
    <t>MOBIL DELVAC ULTRA 5W40 UP V1 DR 208L [208/1]</t>
  </si>
  <si>
    <t>루브엔툴</t>
  </si>
  <si>
    <t>MOBIL FLUID 424(B) PL 20L [20／1]</t>
  </si>
  <si>
    <t>MOBILUX EP 0(16KG)-ajoo [16]</t>
  </si>
  <si>
    <t>우성에퍼트코리아</t>
  </si>
  <si>
    <t>MOBIL DTE LIGHT [200]</t>
  </si>
  <si>
    <t>진주하우톤</t>
  </si>
  <si>
    <t>하나텍</t>
  </si>
  <si>
    <t>현대종합상사</t>
  </si>
  <si>
    <t>우림피티에스(주)</t>
  </si>
  <si>
    <t>주식회사 스맥</t>
  </si>
  <si>
    <t>현대로템주식회사</t>
  </si>
  <si>
    <t>광신기계공업(주)</t>
  </si>
  <si>
    <t>MOBIL PEGASUS 610 [200]</t>
  </si>
  <si>
    <t>부성선박 주식회사</t>
  </si>
  <si>
    <t>엑모스카인즈케미칼</t>
  </si>
  <si>
    <t>현대종합윤활유</t>
  </si>
  <si>
    <t>(주) 수산세보틱스</t>
  </si>
  <si>
    <t>(주)참존오토모티브</t>
  </si>
  <si>
    <t>서해종합상사</t>
  </si>
  <si>
    <t>MOBIL DTE 22 ULTRA [200]</t>
  </si>
  <si>
    <t>MOBIL WYROL H 15 [208]</t>
  </si>
  <si>
    <t>MOBIL GEAR 600 XP 150-hy [200]</t>
  </si>
  <si>
    <t>성원루브테크</t>
  </si>
  <si>
    <t>MOBIL GEAR 600 XP 150 [20]</t>
  </si>
  <si>
    <t>지에스엘리베이터 주식회사</t>
  </si>
  <si>
    <t>에스티에이프로덕트(주)</t>
  </si>
  <si>
    <t>MOBIL GEAR 600 XP 220 [20]</t>
  </si>
  <si>
    <t>창원윤활유</t>
  </si>
  <si>
    <t>세아창원특수강(주)</t>
  </si>
  <si>
    <t>주식회사서진메카닉스</t>
  </si>
  <si>
    <t>(주)효진상사</t>
  </si>
  <si>
    <t>MOBIL GLYGOYLE 460-sp [208]</t>
  </si>
  <si>
    <t>네오트랜스주식회사</t>
  </si>
  <si>
    <t>주식회사 나비엠알오</t>
  </si>
  <si>
    <t>(주)금화피에스시</t>
  </si>
  <si>
    <t>(주)에너세이버</t>
  </si>
  <si>
    <t>네이처텍 (Nature Tech)</t>
  </si>
  <si>
    <t>MOBILITH SHC 220(16KG) [16]</t>
  </si>
  <si>
    <t>에이제이지오텍(주)</t>
  </si>
  <si>
    <t>유압유필터링작업</t>
  </si>
  <si>
    <t>MOBIL NUTO H 46-sp [20]</t>
  </si>
  <si>
    <t>현대모비스㈜</t>
  </si>
  <si>
    <t>현대트랜시스(주)</t>
  </si>
  <si>
    <t>MOBIL DELVAC LEGEND 1340 PL 20L [20／1]</t>
  </si>
  <si>
    <t>(주)명성유화</t>
  </si>
  <si>
    <t>MOBILITH SHC 100(16KG)-sp [16]</t>
  </si>
  <si>
    <t>2M</t>
  </si>
  <si>
    <t>MOBIL DELVAC LEGEND 1330 PL 20L [20／1]</t>
  </si>
  <si>
    <t>주식회사 쉰들러엘리베이터</t>
  </si>
  <si>
    <t>한국지엠(주)</t>
  </si>
  <si>
    <t>에스케이가스 (주)</t>
  </si>
  <si>
    <t>주식회사 수경피에스티</t>
  </si>
  <si>
    <t>주식회사대동이엔지</t>
  </si>
  <si>
    <t>MOBIL DELVAC MODERN 10W40 CP V1 CTN 4X4L [4/4]</t>
  </si>
  <si>
    <t>MOBIL VELOCITE 3-wia [200]</t>
  </si>
  <si>
    <t>(주) 엔투비</t>
  </si>
  <si>
    <t>(주)범우케미칼</t>
  </si>
  <si>
    <t>경남에너지(주)</t>
  </si>
  <si>
    <t>극동모빌</t>
  </si>
  <si>
    <t>대영켐테크</t>
  </si>
  <si>
    <t>MOBIL GEAR 600 XP 680 [20]</t>
  </si>
  <si>
    <t>좋은윤활유</t>
  </si>
  <si>
    <t>주식회사 태영특수유</t>
  </si>
  <si>
    <t>태광엠앤에스 주식회사</t>
  </si>
  <si>
    <t>피앤씨루브</t>
  </si>
  <si>
    <t>무림페이퍼(주)</t>
  </si>
  <si>
    <t>범우켐테크주식회사</t>
  </si>
  <si>
    <t>우성엠피아이</t>
  </si>
  <si>
    <t>원동오일</t>
  </si>
  <si>
    <t>해동상사</t>
  </si>
  <si>
    <t>전진엘에스</t>
  </si>
  <si>
    <t>행복나래</t>
  </si>
  <si>
    <t>린데수소에너지 주식회사</t>
  </si>
  <si>
    <t>(주) 명성</t>
  </si>
  <si>
    <t>MOBIL THERM 605-sp [200]</t>
  </si>
  <si>
    <t>미정화학(주)</t>
  </si>
  <si>
    <t>주식회사 우진플라임</t>
  </si>
  <si>
    <t>MOBIL HYJET V(5G)-sp [18.9]</t>
  </si>
  <si>
    <t>현대그린파워주식회사</t>
  </si>
  <si>
    <t>MOBIL VELOCITE 6-sp [200]</t>
  </si>
  <si>
    <t>MOBIL AERO HF(5GA)-sp [18.9]</t>
  </si>
  <si>
    <t>MOBIL SPARTAN EP 320 [200]</t>
  </si>
  <si>
    <t>MOBIL GREASE XHP 222(180KG) [180]</t>
  </si>
  <si>
    <t>한국야금 (주) 진천공장</t>
  </si>
  <si>
    <t>MOBILITH SHC 100(16KG) [16]</t>
  </si>
  <si>
    <t>주식회사 세기하이텍</t>
  </si>
  <si>
    <t>한울정비</t>
  </si>
  <si>
    <t>2025-11-03 (월) ~ 2025-11-11 (화)</t>
    <phoneticPr fontId="3" type="noConversion"/>
  </si>
  <si>
    <t xml:space="preserve">B2B 사업부 / 일일매출 분석 (2025. 11) </t>
    <phoneticPr fontId="9" type="noConversion"/>
  </si>
  <si>
    <t>MOBIL UNIVIS N 46 [200]</t>
  </si>
  <si>
    <t>MOBIL 1 C40 GT 0W40 (PORSCHE) CTN 12X1L ML [1／12]</t>
  </si>
  <si>
    <t>MOBIL GREASE XHP 222 SPECIAL(16KG) [16]</t>
  </si>
  <si>
    <t>(주)인성지티씨</t>
  </si>
  <si>
    <t>MOBIL MULTIPURPOSE ATF DR 200L [200／1]</t>
  </si>
  <si>
    <t>MOBIL ATF HK8 CTN 12X1L [1／12]</t>
  </si>
  <si>
    <t>MOBIL ATF HK8 PL 20L [20／1]</t>
  </si>
  <si>
    <t>MOBIL 1 ESP 5W30 (PORSCHE) CTN 12X1L [1／12]</t>
  </si>
  <si>
    <t>주식회사 한서모터스</t>
  </si>
  <si>
    <t>서해그린에너지(주)</t>
  </si>
  <si>
    <t>사용유분석</t>
  </si>
  <si>
    <t>제이비 주식회사</t>
  </si>
  <si>
    <t>MOBIL DTE 732-sp [200]</t>
  </si>
  <si>
    <t>MOBIL TAC 375NC(38LB)-sp [17.23]</t>
  </si>
  <si>
    <t>(주)신라정밀</t>
  </si>
  <si>
    <t>대한제강(주)</t>
  </si>
  <si>
    <t>MOBIL VACUO 525 [200]</t>
  </si>
  <si>
    <t>에어로케이항공 주식회사</t>
  </si>
  <si>
    <t>유니투스 주식회사</t>
  </si>
  <si>
    <t>MOBIL RARUS 829 [20]</t>
  </si>
  <si>
    <t>이스타항공 주식회사</t>
  </si>
  <si>
    <t>MOBIL SHC 626(5GA)-sp [18.9]</t>
  </si>
  <si>
    <t>(주)대창루브</t>
  </si>
  <si>
    <t>MOBIL DTE HEAVY MEDIUM-sp [200]</t>
  </si>
  <si>
    <t>MOBIL VACUO 533-sp [200]</t>
  </si>
  <si>
    <t>MOBIL VELOCITE HP 32-sp [200]</t>
  </si>
  <si>
    <t>(주)티에스테크솔루션</t>
  </si>
  <si>
    <t>TY코리아</t>
  </si>
  <si>
    <t>대기유화상사</t>
  </si>
  <si>
    <t>MOBIL VELOCITE HP 24-sp [200]</t>
  </si>
  <si>
    <t>MOBIL VELOCITE HP 32 [20]</t>
  </si>
  <si>
    <t>대명산업</t>
  </si>
  <si>
    <t>대양오일마트</t>
  </si>
  <si>
    <t>대원윤활유</t>
  </si>
  <si>
    <t>대한상사</t>
  </si>
  <si>
    <t>부원통상</t>
  </si>
  <si>
    <t>MOBIL GREASE 33(16KG)-sp [16]</t>
  </si>
  <si>
    <t>MOBIL GEAR MS 100 [200]</t>
  </si>
  <si>
    <t>MOBIL GEAR MS 460 [200]</t>
  </si>
  <si>
    <t>삼신유화</t>
  </si>
  <si>
    <t>성보기업</t>
  </si>
  <si>
    <t>성일오일</t>
  </si>
  <si>
    <t>세건윤활유</t>
  </si>
  <si>
    <t>신화윤활유</t>
  </si>
  <si>
    <t>주식회사 서광세라믹</t>
  </si>
  <si>
    <t>주식회사 스카이상사</t>
  </si>
  <si>
    <t>(주)선인</t>
  </si>
  <si>
    <t>G-40M [20KG]</t>
  </si>
  <si>
    <t>(주)화인프라텍</t>
  </si>
  <si>
    <t>주식회사 에스피에스엔에이</t>
  </si>
  <si>
    <t>MOBIL GLYGOYLE 460-ts [208]</t>
  </si>
  <si>
    <t>주식회사 롯데엘리베이터</t>
  </si>
  <si>
    <t>MOBIL NUTO H 68 [20]</t>
  </si>
  <si>
    <t>태림페이퍼(주)</t>
  </si>
  <si>
    <t>MOBIL GEAR 600 XP 100-sp [200]</t>
  </si>
  <si>
    <t>MOBILUBE GX 80W90 PL 20L-SP [20／1]</t>
  </si>
  <si>
    <t>린데코리아 주식회사</t>
  </si>
  <si>
    <t>에스케이스페셜티 주식회사</t>
  </si>
  <si>
    <t>MOBIL DELVAC MODERN 10W40 AP PL 20L [20/1]</t>
  </si>
  <si>
    <t>MOBILUBE GX 80W90 CTN 4X4L [4／4]</t>
  </si>
  <si>
    <t>MOBILUBE GX 80W90 DR 200L [200／1]</t>
  </si>
  <si>
    <t>MOBIL SHC Grease 460 WT(16KG) [16]</t>
  </si>
  <si>
    <t>MOBIL SPARTAN EP 220-ts [200]</t>
  </si>
  <si>
    <t>주식회사 오천</t>
  </si>
  <si>
    <t>한신-카드매출</t>
  </si>
  <si>
    <t>경남기업</t>
  </si>
  <si>
    <t>MOBIL RONEX MP(181KG) [181]</t>
  </si>
  <si>
    <t>MOBIL DELVAC ULTRA 5W40 UP V1 CTN 4X4L [4/4]</t>
  </si>
  <si>
    <t>MOBIL VACTRA 2 SLC-wia [20]</t>
  </si>
  <si>
    <t>영일윤활유</t>
  </si>
  <si>
    <t>우주테크(주)</t>
  </si>
  <si>
    <t>ECOCOOL S 761B [200／1]</t>
  </si>
  <si>
    <t>MOBILUBE HD 85W140 PL 20L [20／1]</t>
  </si>
  <si>
    <t>주식회사 세원하이테크</t>
  </si>
  <si>
    <t>MOBIL VELOCITE 10-wia [200]</t>
  </si>
  <si>
    <t>태성윤활유</t>
  </si>
  <si>
    <t>태원케미칼</t>
  </si>
  <si>
    <t>MOBIL VELOCITE 6 [200]</t>
  </si>
  <si>
    <t>현대정밀화학</t>
  </si>
  <si>
    <t>신화케미칼</t>
  </si>
  <si>
    <t>(주)에코비트</t>
  </si>
  <si>
    <t>MOBIL VACUO 528 [200]</t>
  </si>
  <si>
    <t>영화금속(주) 함안공장</t>
  </si>
  <si>
    <t>한국서부발전(주)화순풍력건설소</t>
  </si>
  <si>
    <t>MOBIL SHC 626(55GA) [208]</t>
  </si>
  <si>
    <t>MOBIL DTE 846 [208]</t>
  </si>
  <si>
    <t>MOBILITH SHC 007(16KG) [16]</t>
  </si>
  <si>
    <t>MOBILITH SHC 1500(16KG) [16]</t>
  </si>
  <si>
    <t>바인플랜트 주식회사 (Vine Plant Inc.)</t>
  </si>
  <si>
    <t>제주에너지공사</t>
  </si>
  <si>
    <t>(주)리보너스</t>
  </si>
  <si>
    <t>(주)해진엘에스</t>
  </si>
  <si>
    <t>MOBIL VACUO 528 [20]</t>
  </si>
  <si>
    <t>디알티 주식회사</t>
  </si>
  <si>
    <t>MOBIL NUTO H 46 [200]</t>
  </si>
  <si>
    <t>MOBILUX EP 1(180KG) [180]</t>
  </si>
  <si>
    <t>유승토탈산업</t>
  </si>
  <si>
    <t>주식회사 싸이베리어</t>
  </si>
  <si>
    <t>MOBIL GLYGOYLE 460 [20]</t>
  </si>
  <si>
    <t>지에스하이드로코리아(주)</t>
  </si>
  <si>
    <t>화진기업(주)</t>
  </si>
  <si>
    <t>MOBIL SHC 525(5GA) [18.9]</t>
  </si>
  <si>
    <t>MOBILITH SHC 220(16KG) [16]</t>
    <phoneticPr fontId="3" type="noConversion"/>
  </si>
  <si>
    <t>MOBILITH SHC 460(16KG) [16]</t>
    <phoneticPr fontId="3" type="noConversion"/>
  </si>
  <si>
    <t>MOBIL DTE 732 M 2 [208]</t>
    <phoneticPr fontId="3" type="noConversion"/>
  </si>
  <si>
    <t>MOBIL DTE 846-sp [208]</t>
    <phoneticPr fontId="3" type="noConversion"/>
  </si>
  <si>
    <t>MOBIL DTE 732-sp [200]</t>
    <phoneticPr fontId="3" type="noConversion"/>
  </si>
  <si>
    <t>ECOCOOL TPSL [200／1]</t>
    <phoneticPr fontId="3" type="noConversion"/>
  </si>
  <si>
    <t>MOBIL UNIVIS N 46 [20]</t>
    <phoneticPr fontId="3" type="noConversion"/>
  </si>
  <si>
    <t>MOBIL 1 C40 GT 0W40 (PORSCHE) CTN 12X1L ML [1／12]</t>
    <phoneticPr fontId="3" type="noConversion"/>
  </si>
  <si>
    <t>MOBIL 1 ESP 0W30 (PORSCHE) CTN 12X1L [1／12]</t>
    <phoneticPr fontId="3" type="noConversion"/>
  </si>
  <si>
    <t>MOBIL 1 ESP X2 0W20 (PORSCHE) CTN 12X1L [1/12]</t>
    <phoneticPr fontId="3" type="noConversion"/>
  </si>
  <si>
    <t>MOBIL 1 ESP X4 0W40 (PORSCHE) CTN 12X1L [1/12]</t>
    <phoneticPr fontId="3" type="noConversion"/>
  </si>
  <si>
    <t>MARCOL 82 [180 / 1]</t>
    <phoneticPr fontId="3" type="noConversion"/>
  </si>
  <si>
    <t>MOBIL 1 ESP LV 0W30 CTN 12X1L [1/12]</t>
    <phoneticPr fontId="3" type="noConversion"/>
  </si>
  <si>
    <t>워셔액(에탄올) [1.8/8]</t>
    <phoneticPr fontId="3" type="noConversion"/>
  </si>
  <si>
    <t>SD 5000 GOLD (ZIC X5000 15W40) [20／1]</t>
    <phoneticPr fontId="3" type="noConversion"/>
  </si>
  <si>
    <t>MOBIL VELOCITE 3-sp [20]</t>
    <phoneticPr fontId="3" type="noConversion"/>
  </si>
  <si>
    <t>MOBIL VELOCITE 3 [20]</t>
    <phoneticPr fontId="3" type="noConversion"/>
  </si>
  <si>
    <t>MOBIL HYDRAULIC AW 68 [20]</t>
    <phoneticPr fontId="3" type="noConversion"/>
  </si>
  <si>
    <t>MOBIL HYDRAULIC AW 32 [20]</t>
    <phoneticPr fontId="3" type="noConversion"/>
  </si>
  <si>
    <t>계약 단가</t>
    <phoneticPr fontId="3" type="noConversion"/>
  </si>
  <si>
    <t>발보린 부동액/핑크 ( 3L/4) [3/4]</t>
    <phoneticPr fontId="3" type="noConversion"/>
  </si>
  <si>
    <t>SKF LHDF 900/5 [5 /1]</t>
    <phoneticPr fontId="3" type="noConversion"/>
  </si>
  <si>
    <t>MOBIL 1 ESP 5W30 (PORSCHE) CTN 12X1L [1／12]</t>
    <phoneticPr fontId="3" type="noConversion"/>
  </si>
  <si>
    <t>MOBIL 1 0W40 (PORSCHE) CTN 12X1L [1／12]</t>
    <phoneticPr fontId="3" type="noConversion"/>
  </si>
  <si>
    <t>MOBIL SHC GEAR 320 WT [208]</t>
    <phoneticPr fontId="3" type="noConversion"/>
  </si>
  <si>
    <t>중앙창원 특가 - 2,738,000</t>
    <phoneticPr fontId="3" type="noConversion"/>
  </si>
  <si>
    <t>MOBIL SHC Grease 681 WT(174KG)-shilla [174]</t>
    <phoneticPr fontId="3" type="noConversion"/>
  </si>
  <si>
    <t>MOBIL JET OIL 2(CT1QTX24)-sp [0.95/24]</t>
    <phoneticPr fontId="3" type="noConversion"/>
  </si>
  <si>
    <t>MOBIL VACUO 137-hy [1]</t>
    <phoneticPr fontId="3" type="noConversion"/>
  </si>
  <si>
    <t>MOBIL DELVAC 1 GEAR OIL 75W90 DR208L-korail [208／1]</t>
    <phoneticPr fontId="3" type="noConversion"/>
  </si>
  <si>
    <t>코레일 특가 - 1,648,000</t>
    <phoneticPr fontId="3" type="noConversion"/>
  </si>
  <si>
    <t>ECOCUT EDF 100 [200]</t>
    <phoneticPr fontId="3" type="noConversion"/>
  </si>
  <si>
    <t>MOBIL VACUO 1409 [20]</t>
    <phoneticPr fontId="3" type="noConversion"/>
  </si>
  <si>
    <t>MOBIL VACUO 537 [200]</t>
    <phoneticPr fontId="3" type="noConversion"/>
  </si>
  <si>
    <t>MOBIL GREASE XHP 220(16KG) [16]</t>
    <phoneticPr fontId="3" type="noConversion"/>
  </si>
  <si>
    <t>G-40M [20KG]</t>
    <phoneticPr fontId="3" type="noConversion"/>
  </si>
  <si>
    <t>티센 특가 - 1,755,000</t>
    <phoneticPr fontId="3" type="noConversion"/>
  </si>
  <si>
    <t>MOBIL GEAR SHC XMP 320 [20]</t>
    <phoneticPr fontId="3" type="noConversion"/>
  </si>
  <si>
    <t>MOBIL SHC Grease 460 WT(16KG) [16]</t>
    <phoneticPr fontId="3" type="noConversion"/>
  </si>
  <si>
    <t>MOBIL GEAR SHC XMP 320 [208]</t>
    <phoneticPr fontId="3" type="noConversion"/>
  </si>
  <si>
    <t>현대일렉트릭 특가 - 2,420,000</t>
    <phoneticPr fontId="3" type="noConversion"/>
  </si>
  <si>
    <t>현대일렉트릭 특가 - 231,000</t>
    <phoneticPr fontId="3" type="noConversion"/>
  </si>
  <si>
    <t>ISOPAR L [156 / 1]</t>
    <phoneticPr fontId="3" type="noConversion"/>
  </si>
  <si>
    <t>MOBIL 1 0W20 (CADILLAC) CTN 12X1L [1/12]</t>
    <phoneticPr fontId="3" type="noConversion"/>
  </si>
  <si>
    <t>MOBIL 1 0W40 (CADILLAC) CTN 12X1L [1／12]</t>
    <phoneticPr fontId="3" type="noConversion"/>
  </si>
  <si>
    <t>MOBIL 1 5W30 (CADILLAC) CTN 12X1L [1／12]</t>
    <phoneticPr fontId="3" type="noConversion"/>
  </si>
  <si>
    <t>GS LIPLEX 2 [15/1]</t>
    <phoneticPr fontId="3" type="noConversion"/>
  </si>
  <si>
    <t>MOBIL 1 SYNTHETIC LV ATF HP CTN 6X1L [1/6]</t>
    <phoneticPr fontId="3" type="noConversion"/>
  </si>
  <si>
    <t>DI WATER (이온교환수) [200]</t>
    <phoneticPr fontId="3" type="noConversion"/>
  </si>
  <si>
    <t>Kluber ISOFLEX ALLTIME SL2 [1/1]</t>
    <phoneticPr fontId="3" type="noConversion"/>
  </si>
  <si>
    <t>MOBIL DELVAC MODERN 10W40 AP CTN 4X4L [4/4]</t>
    <phoneticPr fontId="3" type="noConversion"/>
  </si>
  <si>
    <t>ANTICORIT BGI 21 INA [20.5]</t>
    <phoneticPr fontId="3" type="noConversion"/>
  </si>
  <si>
    <t>계약 단가</t>
    <phoneticPr fontId="3" type="noConversion"/>
  </si>
  <si>
    <t>ANTICORIT DFO 6101 [20/1]</t>
    <phoneticPr fontId="3" type="noConversion"/>
  </si>
  <si>
    <t>UCON-A [20／1]</t>
    <phoneticPr fontId="3" type="noConversion"/>
  </si>
  <si>
    <t>ECOCOOL 1700 [200／1]</t>
    <phoneticPr fontId="3" type="noConversion"/>
  </si>
  <si>
    <t>LHL X-100 [700ml]</t>
    <phoneticPr fontId="3" type="noConversion"/>
  </si>
  <si>
    <t>Castrol AIRCOL CM 150 [20]</t>
    <phoneticPr fontId="3" type="noConversion"/>
  </si>
  <si>
    <t>ECOCOOL 1600AVD [200／1]</t>
    <phoneticPr fontId="3" type="noConversion"/>
  </si>
  <si>
    <t>ECOCOOL SM 70 [200]</t>
    <phoneticPr fontId="3" type="noConversion"/>
  </si>
  <si>
    <t>MOBIL JET OIL 2(CT1QTX24)-sp [0.95/24]</t>
    <phoneticPr fontId="3" type="noConversion"/>
  </si>
  <si>
    <t>ANTICORIT BGI 21 INA [205／1]</t>
    <phoneticPr fontId="3" type="noConversion"/>
  </si>
  <si>
    <t>I SOPAR - MH [200／1]</t>
    <phoneticPr fontId="3" type="noConversion"/>
  </si>
  <si>
    <t>THERMISOL SQ 70 [200]</t>
    <phoneticPr fontId="3" type="noConversion"/>
  </si>
  <si>
    <t>ECOCOOL G 7 [1000]</t>
    <phoneticPr fontId="3" type="noConversion"/>
  </si>
  <si>
    <t>ECOCOOL G 7 [20]</t>
    <phoneticPr fontId="3" type="noConversion"/>
  </si>
  <si>
    <t>ECOCOOL S 761B [20／1]</t>
    <phoneticPr fontId="3" type="noConversion"/>
  </si>
  <si>
    <t>ECOOL 600NBF K [20／1]</t>
    <phoneticPr fontId="3" type="noConversion"/>
  </si>
  <si>
    <t>Fuchs Ecocool 1500EF [20／1]</t>
    <phoneticPr fontId="3" type="noConversion"/>
  </si>
  <si>
    <t>RENEP CGLP 68K [20]</t>
    <phoneticPr fontId="3" type="noConversion"/>
  </si>
  <si>
    <t>MOBIL HYJET V 6X1(6G) [22.7]</t>
    <phoneticPr fontId="3" type="noConversion"/>
  </si>
  <si>
    <t>ECOCOOL SYN 005ND(K) [20 ／ 1]</t>
    <phoneticPr fontId="3" type="noConversion"/>
  </si>
  <si>
    <t>MOBIL MET 763 [200]</t>
    <phoneticPr fontId="3" type="noConversion"/>
  </si>
  <si>
    <t>ECOCUT HFN 13 LE UNI-DM200L [200 ／ 1]</t>
    <phoneticPr fontId="3" type="noConversion"/>
  </si>
  <si>
    <t>CR-7000(250KG) [250]</t>
    <phoneticPr fontId="3" type="noConversion"/>
  </si>
  <si>
    <t>THERMISOL QH 60 [200]</t>
    <phoneticPr fontId="3" type="noConversion"/>
  </si>
  <si>
    <t>MOBIL VACUO 525 [200]</t>
    <phoneticPr fontId="3" type="noConversion"/>
  </si>
  <si>
    <t>ECOCUT 628 [200/1]</t>
    <phoneticPr fontId="3" type="noConversion"/>
  </si>
  <si>
    <t>RENOSAFE HF 68 [200/1]</t>
    <phoneticPr fontId="3" type="noConversion"/>
  </si>
  <si>
    <t>TOTAL CARTER EP 68 [20/1]</t>
    <phoneticPr fontId="3" type="noConversion"/>
  </si>
  <si>
    <t>BEARING-46 [P/L]</t>
    <phoneticPr fontId="3" type="noConversion"/>
  </si>
  <si>
    <t>TECTYL 859B [208/1]</t>
    <phoneticPr fontId="3" type="noConversion"/>
  </si>
  <si>
    <t>MOBIL ATF HK8 PL 20L [20／1]</t>
    <phoneticPr fontId="3" type="noConversion"/>
  </si>
  <si>
    <t>현대위아 특가 - 397,000</t>
    <phoneticPr fontId="3" type="noConversion"/>
  </si>
  <si>
    <t>MOBIL VACTRA 2 [200]</t>
    <phoneticPr fontId="3" type="noConversion"/>
  </si>
  <si>
    <t>MOBIL VELOCITE 3-wia [200]</t>
    <phoneticPr fontId="3" type="noConversion"/>
  </si>
  <si>
    <t>MOBILUX EP 2(16KG)-ajoo [16]</t>
    <phoneticPr fontId="3" type="noConversion"/>
  </si>
  <si>
    <t>계약 단가 / 아주 특가 - 69,900</t>
    <phoneticPr fontId="3" type="noConversion"/>
  </si>
  <si>
    <t>계약 단가 / 하이스코 특가 - 506,210</t>
    <phoneticPr fontId="3" type="noConversion"/>
  </si>
  <si>
    <t>MOBIL GEAR 600 XP 680-sp [200]</t>
    <phoneticPr fontId="3" type="noConversion"/>
  </si>
  <si>
    <t>MOBIL DTE 25 ULTRA [200]</t>
    <phoneticPr fontId="3" type="noConversion"/>
  </si>
  <si>
    <t>MOBIL DTE 26 ULTRA [20]</t>
    <phoneticPr fontId="3" type="noConversion"/>
  </si>
  <si>
    <t>MOBIL DTE 24 ULTRA-wia [200]</t>
    <phoneticPr fontId="3" type="noConversion"/>
  </si>
  <si>
    <t>MOBIL VACTRA 2 SLC-wia [200]</t>
    <phoneticPr fontId="3" type="noConversion"/>
  </si>
  <si>
    <t>현대위아 특가 - 463,000</t>
    <phoneticPr fontId="3" type="noConversion"/>
  </si>
  <si>
    <t>현대 일렉트릭 특가 - 231,000</t>
    <phoneticPr fontId="3" type="noConversion"/>
  </si>
  <si>
    <t>중앙창원 특가 - 365,200</t>
    <phoneticPr fontId="3" type="noConversion"/>
  </si>
  <si>
    <t>현대위아 특가 - 41,400</t>
    <phoneticPr fontId="3" type="noConversion"/>
  </si>
  <si>
    <t>현대일렉트릭 특가 - 231,000</t>
    <phoneticPr fontId="3" type="noConversion"/>
  </si>
  <si>
    <t>계약 단가 / 현대위아 특가 - 397,000</t>
    <phoneticPr fontId="3" type="noConversion"/>
  </si>
  <si>
    <t>MOBIL DTE LIGHT-wia [200]</t>
    <phoneticPr fontId="3" type="noConversion"/>
  </si>
  <si>
    <t>MOBIL DTE PM 150 [200]</t>
    <phoneticPr fontId="3" type="noConversion"/>
  </si>
  <si>
    <t>MOBIL DTE PM 220 [200]</t>
    <phoneticPr fontId="3" type="noConversion"/>
  </si>
  <si>
    <t>2025-11-12 (수)</t>
    <phoneticPr fontId="3" type="noConversion"/>
  </si>
  <si>
    <t>주식회사 아이언오토</t>
  </si>
  <si>
    <t>신일기술 주식회사</t>
  </si>
  <si>
    <t>엔진테크윈(주)</t>
  </si>
  <si>
    <t>주식회사 엘케이</t>
  </si>
  <si>
    <t>영웅프레저</t>
  </si>
  <si>
    <t>오일랜드 윤활유</t>
  </si>
  <si>
    <t>주식회사 공단유화상사</t>
  </si>
  <si>
    <t>중봉유화</t>
  </si>
  <si>
    <t>코니아이앤씨</t>
  </si>
  <si>
    <t>하동중기센타</t>
  </si>
  <si>
    <t>한국체인모터</t>
  </si>
  <si>
    <t>금강기업(주)</t>
  </si>
  <si>
    <t>주식회사 현대엘앤씨</t>
  </si>
  <si>
    <t>보그워너평택 유한책임회사</t>
  </si>
  <si>
    <t>혜성 엔지니어링</t>
  </si>
  <si>
    <t>(주) 엘지화학</t>
  </si>
  <si>
    <t>아메코주식회사</t>
  </si>
  <si>
    <t>정암루브플러스</t>
  </si>
  <si>
    <t>MOBIL DTE 846-sp [208]</t>
  </si>
  <si>
    <t>MOBIL VACUO 537 [200]</t>
  </si>
  <si>
    <t>MOBIL SHC 630 [208]</t>
  </si>
  <si>
    <t>그린루브텍</t>
  </si>
  <si>
    <t>MOBIL 1 ESP 0W30 (PORSCHE) CTN 12X1L:KR [1／12]</t>
    <phoneticPr fontId="3" type="noConversion"/>
  </si>
  <si>
    <t>LG부동액 (CX) [200／1]</t>
    <phoneticPr fontId="3" type="noConversion"/>
  </si>
  <si>
    <t>KOTEC RP-530 [200/1]</t>
    <phoneticPr fontId="3" type="noConversion"/>
  </si>
  <si>
    <t>MOBIL DTE 732 M 2 [1]</t>
    <phoneticPr fontId="3" type="noConversion"/>
  </si>
  <si>
    <t>롯데케미칼 특가 - 580,000</t>
    <phoneticPr fontId="3" type="noConversion"/>
  </si>
  <si>
    <t>MOBIL HYDRAULIC AW 68 [200]</t>
    <phoneticPr fontId="3" type="noConversion"/>
  </si>
  <si>
    <t>MOBIL VELOCITE 3-wia [200]</t>
    <phoneticPr fontId="3" type="noConversion"/>
  </si>
  <si>
    <t>현대위아 특가 - 490,000</t>
    <phoneticPr fontId="3" type="noConversion"/>
  </si>
  <si>
    <t>MOBIL VELOCITE 6-wia [200]</t>
    <phoneticPr fontId="3" type="noConversion"/>
  </si>
  <si>
    <t>현대위아 특가 - 497,000</t>
    <phoneticPr fontId="3" type="noConversion"/>
  </si>
  <si>
    <t>MOBILUX EP 0(16KG)-ajoo [16]</t>
    <phoneticPr fontId="3" type="noConversion"/>
  </si>
  <si>
    <t>계약 단가 / 아주 특가 - 66,000</t>
    <phoneticPr fontId="3" type="noConversion"/>
  </si>
  <si>
    <t>2025-11-13 (목)</t>
    <phoneticPr fontId="3" type="noConversion"/>
  </si>
  <si>
    <t>MOBIL DELVAC LEGEND 10W40 PROTECTION PL 20L [20／1]</t>
  </si>
  <si>
    <t>롯데오토케어(주)</t>
  </si>
  <si>
    <t>MOBIL SUPER TP TURBO 0W30 CTN 12X1L [1/12]</t>
  </si>
  <si>
    <t>(주)리워터</t>
  </si>
  <si>
    <t>MOBIL PEGASUS 610-sp [200]</t>
  </si>
  <si>
    <t>MOBIL RARUS 46 EXCEL [20]</t>
  </si>
  <si>
    <t>(주)갑원루브</t>
  </si>
  <si>
    <t>MOBIL RARUS 827(5GA) [18.9]</t>
  </si>
  <si>
    <t>(주)유남테크</t>
  </si>
  <si>
    <t>MOBIL RARUS 425-sp [20]</t>
  </si>
  <si>
    <t>삼익엔지니어링</t>
  </si>
  <si>
    <t>현대상사-구로</t>
  </si>
  <si>
    <t>(주)빠라베에사</t>
  </si>
  <si>
    <t>MOBIL SHC 630-sp [208]</t>
  </si>
  <si>
    <t>주식회사 에스피네이처</t>
  </si>
  <si>
    <t>MOBIL VACUO 133 [200]</t>
  </si>
  <si>
    <t>MOBIL DTE 25 ULTRA-wia [20]</t>
  </si>
  <si>
    <t>명문기공(주)</t>
  </si>
  <si>
    <t>MOBIL VELOCITE 6-wia [200]</t>
  </si>
  <si>
    <t>ANTICORIT BGI 21 INA [205／1]</t>
  </si>
  <si>
    <t>(주)지에스동해전력</t>
  </si>
  <si>
    <t>MOBIL SHC GEAR 220 [20]</t>
  </si>
  <si>
    <t>다가정공</t>
  </si>
  <si>
    <t>MOBIL MET 424 [200]</t>
  </si>
  <si>
    <t>(주) 광일금속</t>
  </si>
  <si>
    <t>MOBIL DTE HEAVY [200]</t>
  </si>
  <si>
    <t>MOBILARMA 798(5GA) [18.9]</t>
  </si>
  <si>
    <t>MOBILUX EP 0(180KG)-sp [180]</t>
    <phoneticPr fontId="3" type="noConversion"/>
  </si>
  <si>
    <t>VICTOR ENTERPRISE(싱가포르)</t>
    <phoneticPr fontId="3" type="noConversion"/>
  </si>
  <si>
    <t>MOBIL MET 426 [200]</t>
    <phoneticPr fontId="3" type="noConversion"/>
  </si>
  <si>
    <t>TELLUS S2 MX 46(TELLUS 46) [20/1]</t>
    <phoneticPr fontId="3" type="noConversion"/>
  </si>
  <si>
    <t>MOBIL DELVAC MODERN 15W40 CP PL 20L [20/1]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</si>
</sst>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.00_ ;[Red]\-#,##0.00\ "/>
    <numFmt numFmtId="177" formatCode="#,##0_ ;[Red]\-#,##0\ "/>
    <numFmt numFmtId="178" formatCode="0.00_ ;[Red]\-0.00\ 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8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medium">
        <color indexed="64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2">
      <alignment vertical="center"/>
    </xf>
    <xf numFmtId="42" fontId="0" fillId="0" borderId="0" xfId="2" applyNumberFormat="1" applyFont="1">
      <alignment vertical="center"/>
    </xf>
    <xf numFmtId="176" fontId="4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horizontal="center" vertical="center"/>
    </xf>
    <xf numFmtId="177" fontId="0" fillId="0" borderId="0" xfId="2" applyNumberFormat="1" applyFont="1">
      <alignment vertical="center"/>
    </xf>
    <xf numFmtId="177" fontId="6" fillId="0" borderId="0" xfId="2" applyNumberFormat="1" applyFont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0" fontId="0" fillId="0" borderId="0" xfId="2" applyFont="1">
      <alignment vertical="center"/>
    </xf>
    <xf numFmtId="0" fontId="4" fillId="0" borderId="0" xfId="2" applyFont="1">
      <alignment vertical="center"/>
    </xf>
    <xf numFmtId="0" fontId="2" fillId="0" borderId="0" xfId="2" applyAlignment="1">
      <alignment horizontal="center" vertical="center"/>
    </xf>
    <xf numFmtId="176" fontId="4" fillId="3" borderId="5" xfId="3" applyNumberFormat="1" applyFont="1" applyFill="1" applyBorder="1" applyAlignment="1">
      <alignment horizontal="center" vertical="center"/>
    </xf>
    <xf numFmtId="176" fontId="4" fillId="3" borderId="5" xfId="4" applyNumberFormat="1" applyFont="1" applyFill="1" applyBorder="1" applyAlignment="1">
      <alignment horizontal="center" vertical="center"/>
    </xf>
    <xf numFmtId="177" fontId="4" fillId="4" borderId="5" xfId="4" applyNumberFormat="1" applyFont="1" applyFill="1" applyBorder="1" applyAlignment="1">
      <alignment horizontal="center" vertical="center"/>
    </xf>
    <xf numFmtId="177" fontId="11" fillId="5" borderId="5" xfId="4" applyNumberFormat="1" applyFont="1" applyFill="1" applyBorder="1" applyAlignment="1">
      <alignment horizontal="center" vertical="center" wrapText="1"/>
    </xf>
    <xf numFmtId="177" fontId="4" fillId="5" borderId="5" xfId="4" applyNumberFormat="1" applyFont="1" applyFill="1" applyBorder="1" applyAlignment="1">
      <alignment horizontal="center" vertical="center"/>
    </xf>
    <xf numFmtId="41" fontId="4" fillId="6" borderId="5" xfId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177" fontId="7" fillId="0" borderId="0" xfId="2" applyNumberFormat="1" applyFont="1">
      <alignment vertical="center"/>
    </xf>
    <xf numFmtId="0" fontId="0" fillId="0" borderId="0" xfId="2" applyFont="1" applyAlignment="1">
      <alignment horizontal="left" vertical="center"/>
    </xf>
    <xf numFmtId="41" fontId="7" fillId="0" borderId="3" xfId="1" applyFont="1" applyFill="1" applyBorder="1">
      <alignment vertical="center"/>
    </xf>
    <xf numFmtId="178" fontId="8" fillId="0" borderId="3" xfId="1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41" fontId="14" fillId="0" borderId="3" xfId="1" applyFont="1" applyFill="1" applyBorder="1">
      <alignment vertical="center"/>
    </xf>
    <xf numFmtId="42" fontId="14" fillId="0" borderId="4" xfId="0" applyNumberFormat="1" applyFont="1" applyBorder="1">
      <alignment vertical="center"/>
    </xf>
    <xf numFmtId="42" fontId="14" fillId="0" borderId="4" xfId="0" applyNumberFormat="1" applyFont="1" applyBorder="1" applyAlignment="1">
      <alignment vertical="center" wrapText="1"/>
    </xf>
    <xf numFmtId="41" fontId="10" fillId="2" borderId="2" xfId="1" applyFont="1" applyFill="1" applyBorder="1">
      <alignment vertical="center"/>
    </xf>
    <xf numFmtId="176" fontId="10" fillId="2" borderId="2" xfId="4" applyNumberFormat="1" applyFont="1" applyFill="1" applyBorder="1" applyAlignment="1">
      <alignment horizontal="center" vertical="center"/>
    </xf>
    <xf numFmtId="176" fontId="10" fillId="2" borderId="2" xfId="3" applyNumberFormat="1" applyFont="1" applyFill="1" applyBorder="1" applyAlignment="1">
      <alignment horizontal="center" vertical="center"/>
    </xf>
    <xf numFmtId="42" fontId="10" fillId="2" borderId="1" xfId="2" applyNumberFormat="1" applyFont="1" applyFill="1" applyBorder="1">
      <alignment vertical="center"/>
    </xf>
    <xf numFmtId="41" fontId="10" fillId="2" borderId="11" xfId="5" applyFont="1" applyFill="1" applyBorder="1">
      <alignment vertical="center"/>
    </xf>
    <xf numFmtId="41" fontId="14" fillId="0" borderId="12" xfId="1" applyFont="1" applyFill="1" applyBorder="1">
      <alignment vertical="center"/>
    </xf>
    <xf numFmtId="41" fontId="7" fillId="0" borderId="3" xfId="1" applyFont="1" applyBorder="1">
      <alignment vertical="center"/>
    </xf>
    <xf numFmtId="178" fontId="8" fillId="0" borderId="3" xfId="1" applyNumberFormat="1" applyFont="1" applyBorder="1" applyAlignment="1">
      <alignment horizontal="center" vertical="center"/>
    </xf>
    <xf numFmtId="41" fontId="14" fillId="8" borderId="12" xfId="1" applyFont="1" applyFill="1" applyBorder="1">
      <alignment vertical="center"/>
    </xf>
    <xf numFmtId="41" fontId="14" fillId="8" borderId="3" xfId="1" applyFont="1" applyFill="1" applyBorder="1">
      <alignment vertical="center"/>
    </xf>
    <xf numFmtId="41" fontId="7" fillId="8" borderId="3" xfId="1" applyFont="1" applyFill="1" applyBorder="1">
      <alignment vertical="center"/>
    </xf>
    <xf numFmtId="178" fontId="8" fillId="8" borderId="3" xfId="1" applyNumberFormat="1" applyFont="1" applyFill="1" applyBorder="1" applyAlignment="1">
      <alignment horizontal="center" vertical="center"/>
    </xf>
    <xf numFmtId="42" fontId="14" fillId="8" borderId="4" xfId="0" applyNumberFormat="1" applyFont="1" applyFill="1" applyBorder="1">
      <alignment vertical="center"/>
    </xf>
    <xf numFmtId="42" fontId="14" fillId="8" borderId="4" xfId="0" applyNumberFormat="1" applyFont="1" applyFill="1" applyBorder="1" applyAlignment="1">
      <alignment vertical="center" wrapText="1"/>
    </xf>
    <xf numFmtId="41" fontId="16" fillId="0" borderId="3" xfId="1" applyFont="1" applyBorder="1" applyAlignment="1">
      <alignment vertical="center"/>
    </xf>
    <xf numFmtId="0" fontId="16" fillId="0" borderId="12" xfId="0" applyFont="1" applyBorder="1" applyAlignment="1">
      <alignment horizontal="left" vertical="center" indent="2"/>
    </xf>
    <xf numFmtId="0" fontId="16" fillId="0" borderId="12" xfId="0" applyFont="1" applyBorder="1" applyAlignment="1">
      <alignment horizontal="left" vertical="center" indent="3"/>
    </xf>
    <xf numFmtId="0" fontId="16" fillId="0" borderId="13" xfId="0" applyFont="1" applyBorder="1" applyAlignment="1">
      <alignment horizontal="left" vertical="center" indent="3"/>
    </xf>
    <xf numFmtId="41" fontId="16" fillId="0" borderId="14" xfId="1" applyFont="1" applyBorder="1" applyAlignment="1">
      <alignment vertical="center"/>
    </xf>
    <xf numFmtId="0" fontId="17" fillId="0" borderId="12" xfId="0" applyFont="1" applyBorder="1" applyAlignment="1">
      <alignment horizontal="left" vertical="center" indent="1"/>
    </xf>
    <xf numFmtId="0" fontId="17" fillId="7" borderId="12" xfId="0" applyFont="1" applyFill="1" applyBorder="1" applyAlignment="1">
      <alignment horizontal="left" vertical="center"/>
    </xf>
    <xf numFmtId="41" fontId="16" fillId="0" borderId="16" xfId="1" applyFont="1" applyBorder="1" applyAlignment="1">
      <alignment vertical="center"/>
    </xf>
    <xf numFmtId="0" fontId="16" fillId="0" borderId="15" xfId="0" applyFont="1" applyBorder="1" applyAlignment="1">
      <alignment horizontal="left" vertical="center" indent="2"/>
    </xf>
    <xf numFmtId="0" fontId="16" fillId="0" borderId="15" xfId="0" applyFont="1" applyBorder="1" applyAlignment="1">
      <alignment horizontal="left" vertical="center" indent="3"/>
    </xf>
    <xf numFmtId="0" fontId="17" fillId="0" borderId="15" xfId="0" applyFont="1" applyBorder="1" applyAlignment="1">
      <alignment horizontal="left" vertical="center" indent="1"/>
    </xf>
    <xf numFmtId="0" fontId="17" fillId="7" borderId="15" xfId="0" applyFont="1" applyFill="1" applyBorder="1" applyAlignment="1">
      <alignment horizontal="left" vertical="center"/>
    </xf>
    <xf numFmtId="0" fontId="16" fillId="8" borderId="15" xfId="0" applyFont="1" applyFill="1" applyBorder="1" applyAlignment="1">
      <alignment horizontal="left" vertical="center" indent="3"/>
    </xf>
    <xf numFmtId="41" fontId="16" fillId="8" borderId="16" xfId="1" applyFont="1" applyFill="1" applyBorder="1" applyAlignment="1">
      <alignment vertical="center"/>
    </xf>
    <xf numFmtId="0" fontId="16" fillId="8" borderId="12" xfId="0" applyFont="1" applyFill="1" applyBorder="1" applyAlignment="1">
      <alignment horizontal="left" vertical="center" indent="3"/>
    </xf>
    <xf numFmtId="41" fontId="16" fillId="8" borderId="3" xfId="1" applyFont="1" applyFill="1" applyBorder="1" applyAlignment="1">
      <alignment vertical="center"/>
    </xf>
    <xf numFmtId="0" fontId="16" fillId="0" borderId="17" xfId="0" applyFont="1" applyBorder="1" applyAlignment="1">
      <alignment horizontal="left" vertical="center" indent="3"/>
    </xf>
    <xf numFmtId="41" fontId="16" fillId="0" borderId="18" xfId="1" applyFont="1" applyBorder="1" applyAlignment="1">
      <alignment vertical="center"/>
    </xf>
    <xf numFmtId="0" fontId="13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14" fontId="12" fillId="0" borderId="6" xfId="4" applyNumberFormat="1" applyFont="1" applyBorder="1" applyAlignment="1">
      <alignment horizontal="center" vertical="center"/>
    </xf>
    <xf numFmtId="0" fontId="12" fillId="0" borderId="5" xfId="4" applyFont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177" fontId="4" fillId="0" borderId="8" xfId="2" applyNumberFormat="1" applyFont="1" applyBorder="1" applyAlignment="1">
      <alignment horizontal="center" vertical="center"/>
    </xf>
    <xf numFmtId="177" fontId="2" fillId="0" borderId="9" xfId="2" applyNumberFormat="1" applyBorder="1" applyAlignment="1">
      <alignment horizontal="center" vertical="center"/>
    </xf>
    <xf numFmtId="177" fontId="4" fillId="0" borderId="7" xfId="2" applyNumberFormat="1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42" fontId="4" fillId="0" borderId="6" xfId="4" applyNumberFormat="1" applyFont="1" applyBorder="1" applyAlignment="1">
      <alignment horizontal="center" vertical="center"/>
    </xf>
    <xf numFmtId="42" fontId="4" fillId="0" borderId="5" xfId="4" applyNumberFormat="1" applyFont="1" applyBorder="1" applyAlignment="1">
      <alignment horizontal="center" vertical="center"/>
    </xf>
  </cellXfs>
  <cellStyles count="6">
    <cellStyle name="백분율 2" xfId="3" xr:uid="{00000000-0005-0000-0000-000000000000}"/>
    <cellStyle name="쉼표 [0]" xfId="1" builtinId="6"/>
    <cellStyle name="쉼표 [0] 2" xfId="5" xr:uid="{00000000-0005-0000-0000-000002000000}"/>
    <cellStyle name="표준" xfId="0" builtinId="0"/>
    <cellStyle name="표준 2 2" xfId="4" xr:uid="{00000000-0005-0000-0000-000004000000}"/>
    <cellStyle name="표준 3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topLeftCell="A2" zoomScale="85" zoomScaleNormal="85" zoomScaleSheetLayoutView="75" workbookViewId="0">
      <pane ySplit="4" topLeftCell="A6" activePane="bottomLeft" state="frozen"/>
      <selection activeCell="G23" sqref="G23"/>
      <selection pane="bottomLeft" activeCell="A2" sqref="A2:L2"/>
    </sheetView>
  </sheetViews>
  <sheetFormatPr defaultColWidth="9" defaultRowHeight="19.5" customHeight="1" x14ac:dyDescent="0.3"/>
  <cols>
    <col min="1" max="1" width="58.5" style="9" bestFit="1" customWidth="1"/>
    <col min="2" max="2" width="14.25" style="7" customWidth="1"/>
    <col min="3" max="3" width="14.25" style="8" customWidth="1"/>
    <col min="4" max="4" width="15.375" style="7" customWidth="1"/>
    <col min="5" max="6" width="14.25" style="6" customWidth="1"/>
    <col min="7" max="7" width="14.25" style="5" customWidth="1"/>
    <col min="8" max="9" width="14.75" style="5" customWidth="1"/>
    <col min="10" max="10" width="14.75" style="4" customWidth="1"/>
    <col min="11" max="11" width="14.75" style="3" customWidth="1"/>
    <col min="12" max="12" width="47.125" style="2" customWidth="1"/>
    <col min="13" max="16384" width="9" style="1"/>
  </cols>
  <sheetData>
    <row r="1" spans="1:12" s="9" customFormat="1" ht="47.25" customHeight="1" thickBot="1" x14ac:dyDescent="0.35">
      <c r="A1" s="60" t="s">
        <v>15</v>
      </c>
      <c r="B1" s="60"/>
      <c r="C1" s="60"/>
      <c r="D1" s="60"/>
      <c r="E1" s="61"/>
      <c r="F1" s="62"/>
      <c r="G1" s="60"/>
      <c r="H1" s="60"/>
      <c r="I1" s="60"/>
      <c r="J1" s="60"/>
      <c r="K1" s="60"/>
      <c r="L1" s="60"/>
    </row>
    <row r="2" spans="1:12" s="9" customFormat="1" ht="60.75" customHeight="1" thickTop="1" thickBot="1" x14ac:dyDescent="0.35">
      <c r="A2" s="60" t="s">
        <v>342</v>
      </c>
      <c r="B2" s="60"/>
      <c r="C2" s="60"/>
      <c r="D2" s="60"/>
      <c r="E2" s="60"/>
      <c r="F2" s="63"/>
      <c r="G2" s="60"/>
      <c r="H2" s="60"/>
      <c r="I2" s="60"/>
      <c r="J2" s="60"/>
      <c r="K2" s="60"/>
      <c r="L2" s="60"/>
    </row>
    <row r="3" spans="1:12" s="9" customFormat="1" ht="12.75" customHeight="1" thickTop="1" x14ac:dyDescent="0.3">
      <c r="A3" s="21"/>
      <c r="B3" s="7"/>
      <c r="C3" s="8"/>
      <c r="D3" s="7"/>
      <c r="E3" s="20"/>
      <c r="F3" s="20"/>
      <c r="G3" s="5"/>
      <c r="H3" s="5"/>
      <c r="I3" s="5"/>
      <c r="J3" s="19"/>
      <c r="K3" s="18"/>
      <c r="L3" s="2"/>
    </row>
    <row r="4" spans="1:12" ht="31.5" customHeight="1" thickBot="1" x14ac:dyDescent="0.35">
      <c r="A4" s="64" t="s">
        <v>583</v>
      </c>
      <c r="B4" s="66" t="s">
        <v>14</v>
      </c>
      <c r="C4" s="67"/>
      <c r="D4" s="68"/>
      <c r="E4" s="69" t="s">
        <v>13</v>
      </c>
      <c r="F4" s="70"/>
      <c r="G4" s="71"/>
      <c r="H4" s="69" t="s">
        <v>12</v>
      </c>
      <c r="I4" s="71"/>
      <c r="J4" s="72" t="s">
        <v>11</v>
      </c>
      <c r="K4" s="73"/>
      <c r="L4" s="74" t="s">
        <v>10</v>
      </c>
    </row>
    <row r="5" spans="1:12" s="11" customFormat="1" ht="30" customHeight="1" x14ac:dyDescent="0.3">
      <c r="A5" s="65"/>
      <c r="B5" s="17" t="s">
        <v>9</v>
      </c>
      <c r="C5" s="17" t="s">
        <v>8</v>
      </c>
      <c r="D5" s="17" t="s">
        <v>7</v>
      </c>
      <c r="E5" s="16" t="s">
        <v>32</v>
      </c>
      <c r="F5" s="16" t="s">
        <v>6</v>
      </c>
      <c r="G5" s="15" t="s">
        <v>5</v>
      </c>
      <c r="H5" s="14" t="s">
        <v>4</v>
      </c>
      <c r="I5" s="14" t="s">
        <v>3</v>
      </c>
      <c r="J5" s="13" t="s">
        <v>2</v>
      </c>
      <c r="K5" s="12" t="s">
        <v>1</v>
      </c>
      <c r="L5" s="75"/>
    </row>
    <row r="6" spans="1:12" s="24" customFormat="1" ht="20.100000000000001" customHeight="1" x14ac:dyDescent="0.3">
      <c r="A6" s="53" t="s">
        <v>28</v>
      </c>
      <c r="B6" s="49"/>
      <c r="C6" s="49"/>
      <c r="D6" s="49"/>
      <c r="E6" s="33"/>
      <c r="F6" s="25"/>
      <c r="G6" s="25"/>
      <c r="H6" s="22"/>
      <c r="I6" s="22"/>
      <c r="J6" s="23"/>
      <c r="K6" s="23"/>
      <c r="L6" s="26"/>
    </row>
    <row r="7" spans="1:12" s="24" customFormat="1" ht="20.100000000000001" customHeight="1" x14ac:dyDescent="0.3">
      <c r="A7" s="52" t="s">
        <v>17</v>
      </c>
      <c r="B7" s="49"/>
      <c r="C7" s="49"/>
      <c r="D7" s="49"/>
      <c r="E7" s="33"/>
      <c r="F7" s="25"/>
      <c r="G7" s="25"/>
      <c r="H7" s="22"/>
      <c r="I7" s="22"/>
      <c r="J7" s="23"/>
      <c r="K7" s="23"/>
      <c r="L7" s="27"/>
    </row>
    <row r="8" spans="1:12" s="24" customFormat="1" ht="20.100000000000001" customHeight="1" x14ac:dyDescent="0.3">
      <c r="A8" s="50" t="s">
        <v>270</v>
      </c>
      <c r="B8" s="49"/>
      <c r="C8" s="49"/>
      <c r="D8" s="49"/>
      <c r="E8" s="33"/>
      <c r="F8" s="25"/>
      <c r="G8" s="25"/>
      <c r="H8" s="22"/>
      <c r="I8" s="22"/>
      <c r="J8" s="23"/>
      <c r="K8" s="23"/>
      <c r="L8" s="27"/>
    </row>
    <row r="9" spans="1:12" s="24" customFormat="1" ht="20.100000000000001" customHeight="1" x14ac:dyDescent="0.3">
      <c r="A9" s="51" t="s">
        <v>273</v>
      </c>
      <c r="B9" s="49">
        <v>3</v>
      </c>
      <c r="C9" s="49">
        <v>572000</v>
      </c>
      <c r="D9" s="49">
        <v>1716000</v>
      </c>
      <c r="E9" s="33">
        <v>520000</v>
      </c>
      <c r="F9" s="25"/>
      <c r="G9" s="25"/>
      <c r="H9" s="34">
        <f t="shared" ref="H9" si="0">D9-(E9*B9)-G9</f>
        <v>156000</v>
      </c>
      <c r="I9" s="34"/>
      <c r="J9" s="35">
        <f t="shared" ref="J9" si="1">(H9/D9)*100</f>
        <v>9.0909090909090917</v>
      </c>
      <c r="K9" s="35"/>
      <c r="L9" s="26"/>
    </row>
    <row r="10" spans="1:12" s="24" customFormat="1" ht="20.100000000000001" customHeight="1" x14ac:dyDescent="0.3">
      <c r="A10" s="50" t="s">
        <v>43</v>
      </c>
      <c r="B10" s="49"/>
      <c r="C10" s="49"/>
      <c r="D10" s="49"/>
      <c r="E10" s="33"/>
      <c r="F10" s="25"/>
      <c r="G10" s="25"/>
      <c r="H10" s="22"/>
      <c r="I10" s="22"/>
      <c r="J10" s="23"/>
      <c r="K10" s="23"/>
      <c r="L10" s="26"/>
    </row>
    <row r="11" spans="1:12" s="24" customFormat="1" ht="20.100000000000001" customHeight="1" x14ac:dyDescent="0.3">
      <c r="A11" s="51" t="s">
        <v>25</v>
      </c>
      <c r="B11" s="49">
        <v>1</v>
      </c>
      <c r="C11" s="49">
        <v>567500</v>
      </c>
      <c r="D11" s="49">
        <v>567500</v>
      </c>
      <c r="E11" s="33">
        <v>492000</v>
      </c>
      <c r="F11" s="25"/>
      <c r="G11" s="25"/>
      <c r="H11" s="34">
        <f t="shared" ref="H11" si="2">D11-(E11*B11)-G11</f>
        <v>75500</v>
      </c>
      <c r="I11" s="34"/>
      <c r="J11" s="35">
        <f t="shared" ref="J11" si="3">(H11/D11)*100</f>
        <v>13.303964757709252</v>
      </c>
      <c r="K11" s="35"/>
      <c r="L11" s="26"/>
    </row>
    <row r="12" spans="1:12" s="24" customFormat="1" ht="20.100000000000001" customHeight="1" x14ac:dyDescent="0.3">
      <c r="A12" s="50" t="s">
        <v>82</v>
      </c>
      <c r="B12" s="49"/>
      <c r="C12" s="49"/>
      <c r="D12" s="49"/>
      <c r="E12" s="33"/>
      <c r="F12" s="25"/>
      <c r="G12" s="25"/>
      <c r="H12" s="22"/>
      <c r="I12" s="22"/>
      <c r="J12" s="23"/>
      <c r="K12" s="23"/>
      <c r="L12" s="27"/>
    </row>
    <row r="13" spans="1:12" s="24" customFormat="1" ht="19.5" customHeight="1" x14ac:dyDescent="0.3">
      <c r="A13" s="51" t="s">
        <v>584</v>
      </c>
      <c r="B13" s="49">
        <v>9</v>
      </c>
      <c r="C13" s="49">
        <v>64000</v>
      </c>
      <c r="D13" s="49">
        <v>576000</v>
      </c>
      <c r="E13" s="33">
        <v>55200</v>
      </c>
      <c r="F13" s="25"/>
      <c r="G13" s="25"/>
      <c r="H13" s="34">
        <f t="shared" ref="H13" si="4">D13-(E13*B13)-G13</f>
        <v>79200</v>
      </c>
      <c r="I13" s="34"/>
      <c r="J13" s="35">
        <f t="shared" ref="J13" si="5">(H13/D13)*100</f>
        <v>13.750000000000002</v>
      </c>
      <c r="K13" s="35"/>
      <c r="L13" s="26"/>
    </row>
    <row r="14" spans="1:12" s="24" customFormat="1" ht="20.100000000000001" customHeight="1" x14ac:dyDescent="0.3">
      <c r="A14" s="50" t="s">
        <v>585</v>
      </c>
      <c r="B14" s="49"/>
      <c r="C14" s="49"/>
      <c r="D14" s="49"/>
      <c r="E14" s="33"/>
      <c r="F14" s="25"/>
      <c r="G14" s="25"/>
      <c r="H14" s="22"/>
      <c r="I14" s="22"/>
      <c r="J14" s="23"/>
      <c r="K14" s="23"/>
      <c r="L14" s="26"/>
    </row>
    <row r="15" spans="1:12" s="24" customFormat="1" ht="20.100000000000001" customHeight="1" x14ac:dyDescent="0.3">
      <c r="A15" s="51" t="s">
        <v>586</v>
      </c>
      <c r="B15" s="49">
        <v>70</v>
      </c>
      <c r="C15" s="49">
        <v>73992</v>
      </c>
      <c r="D15" s="49">
        <v>5179440</v>
      </c>
      <c r="E15" s="33">
        <v>50300</v>
      </c>
      <c r="F15" s="25"/>
      <c r="G15" s="25"/>
      <c r="H15" s="34">
        <f t="shared" ref="H15" si="6">D15-(E15*B15)-G15</f>
        <v>1658440</v>
      </c>
      <c r="I15" s="34"/>
      <c r="J15" s="35">
        <f t="shared" ref="J15" si="7">(H15/D15)*100</f>
        <v>32.019677803005727</v>
      </c>
      <c r="K15" s="35"/>
      <c r="L15" s="26"/>
    </row>
    <row r="16" spans="1:12" s="24" customFormat="1" ht="20.100000000000001" customHeight="1" x14ac:dyDescent="0.3">
      <c r="A16" s="52" t="s">
        <v>99</v>
      </c>
      <c r="B16" s="49"/>
      <c r="C16" s="49"/>
      <c r="D16" s="49"/>
      <c r="E16" s="33"/>
      <c r="F16" s="25"/>
      <c r="G16" s="25"/>
      <c r="H16" s="22"/>
      <c r="I16" s="22"/>
      <c r="J16" s="23"/>
      <c r="K16" s="23"/>
      <c r="L16" s="27"/>
    </row>
    <row r="17" spans="1:12" s="24" customFormat="1" ht="19.5" customHeight="1" x14ac:dyDescent="0.3">
      <c r="A17" s="50" t="s">
        <v>587</v>
      </c>
      <c r="B17" s="49"/>
      <c r="C17" s="49"/>
      <c r="D17" s="49"/>
      <c r="E17" s="33"/>
      <c r="F17" s="25"/>
      <c r="G17" s="25"/>
      <c r="H17" s="22"/>
      <c r="I17" s="22"/>
      <c r="J17" s="23"/>
      <c r="K17" s="23"/>
      <c r="L17" s="26"/>
    </row>
    <row r="18" spans="1:12" s="24" customFormat="1" ht="20.100000000000001" customHeight="1" x14ac:dyDescent="0.3">
      <c r="A18" s="51" t="s">
        <v>588</v>
      </c>
      <c r="B18" s="49">
        <v>4</v>
      </c>
      <c r="C18" s="49">
        <v>900000</v>
      </c>
      <c r="D18" s="49">
        <v>3600000</v>
      </c>
      <c r="E18" s="33">
        <v>630000</v>
      </c>
      <c r="F18" s="25"/>
      <c r="G18" s="25"/>
      <c r="H18" s="34">
        <f t="shared" ref="H18" si="8">D18-(E18*B18)-G18</f>
        <v>1080000</v>
      </c>
      <c r="I18" s="34"/>
      <c r="J18" s="35">
        <f t="shared" ref="J18" si="9">(H18/D18)*100</f>
        <v>30</v>
      </c>
      <c r="K18" s="35"/>
      <c r="L18" s="26"/>
    </row>
    <row r="19" spans="1:12" s="24" customFormat="1" ht="20.100000000000001" customHeight="1" x14ac:dyDescent="0.3">
      <c r="A19" s="50" t="s">
        <v>155</v>
      </c>
      <c r="B19" s="49"/>
      <c r="C19" s="49"/>
      <c r="D19" s="49"/>
      <c r="E19" s="33"/>
      <c r="F19" s="25"/>
      <c r="G19" s="25"/>
      <c r="H19" s="22"/>
      <c r="I19" s="22"/>
      <c r="J19" s="23"/>
      <c r="K19" s="23"/>
      <c r="L19" s="26"/>
    </row>
    <row r="20" spans="1:12" s="24" customFormat="1" ht="20.100000000000001" customHeight="1" x14ac:dyDescent="0.3">
      <c r="A20" s="51" t="s">
        <v>449</v>
      </c>
      <c r="B20" s="49">
        <v>4</v>
      </c>
      <c r="C20" s="49">
        <v>790000</v>
      </c>
      <c r="D20" s="49">
        <v>3160000</v>
      </c>
      <c r="E20" s="33">
        <v>575000</v>
      </c>
      <c r="F20" s="25"/>
      <c r="G20" s="25"/>
      <c r="H20" s="34">
        <f t="shared" ref="H20:H21" si="10">D20-(E20*B20)-G20</f>
        <v>860000</v>
      </c>
      <c r="I20" s="34"/>
      <c r="J20" s="35">
        <f t="shared" ref="J20:J21" si="11">(H20/D20)*100</f>
        <v>27.215189873417721</v>
      </c>
      <c r="K20" s="35"/>
      <c r="L20" s="27"/>
    </row>
    <row r="21" spans="1:12" s="24" customFormat="1" ht="20.100000000000001" customHeight="1" x14ac:dyDescent="0.3">
      <c r="A21" s="51" t="s">
        <v>104</v>
      </c>
      <c r="B21" s="49">
        <v>20</v>
      </c>
      <c r="C21" s="49">
        <v>90000</v>
      </c>
      <c r="D21" s="49">
        <v>1800000</v>
      </c>
      <c r="E21" s="33">
        <v>70900</v>
      </c>
      <c r="F21" s="25"/>
      <c r="G21" s="25"/>
      <c r="H21" s="34">
        <f t="shared" si="10"/>
        <v>382000</v>
      </c>
      <c r="I21" s="34"/>
      <c r="J21" s="35">
        <f t="shared" si="11"/>
        <v>21.222222222222221</v>
      </c>
      <c r="K21" s="35"/>
      <c r="L21" s="26"/>
    </row>
    <row r="22" spans="1:12" s="24" customFormat="1" ht="20.100000000000001" customHeight="1" x14ac:dyDescent="0.3">
      <c r="A22" s="52" t="s">
        <v>103</v>
      </c>
      <c r="B22" s="49"/>
      <c r="C22" s="49"/>
      <c r="D22" s="49"/>
      <c r="E22" s="33"/>
      <c r="F22" s="25"/>
      <c r="G22" s="25"/>
      <c r="H22" s="22"/>
      <c r="I22" s="22"/>
      <c r="J22" s="23"/>
      <c r="K22" s="23"/>
      <c r="L22" s="27"/>
    </row>
    <row r="23" spans="1:12" s="24" customFormat="1" ht="20.100000000000001" customHeight="1" x14ac:dyDescent="0.3">
      <c r="A23" s="50" t="s">
        <v>105</v>
      </c>
      <c r="B23" s="49"/>
      <c r="C23" s="49"/>
      <c r="D23" s="49"/>
      <c r="E23" s="33"/>
      <c r="F23" s="25"/>
      <c r="G23" s="25"/>
      <c r="H23" s="22"/>
      <c r="I23" s="22"/>
      <c r="J23" s="23"/>
      <c r="K23" s="23"/>
      <c r="L23" s="27"/>
    </row>
    <row r="24" spans="1:12" s="24" customFormat="1" ht="20.100000000000001" customHeight="1" x14ac:dyDescent="0.3">
      <c r="A24" s="51" t="s">
        <v>173</v>
      </c>
      <c r="B24" s="49">
        <v>4</v>
      </c>
      <c r="C24" s="49">
        <v>424000</v>
      </c>
      <c r="D24" s="49">
        <v>1696000</v>
      </c>
      <c r="E24" s="33"/>
      <c r="F24" s="25">
        <v>397000</v>
      </c>
      <c r="G24" s="25"/>
      <c r="H24" s="22"/>
      <c r="I24" s="34">
        <f t="shared" ref="I24" si="12">D24-(F24*B24)-G24</f>
        <v>108000</v>
      </c>
      <c r="J24" s="35"/>
      <c r="K24" s="35">
        <f t="shared" ref="K24" si="13">(I24/D24)*100</f>
        <v>6.367924528301887</v>
      </c>
      <c r="L24" s="27"/>
    </row>
    <row r="25" spans="1:12" s="24" customFormat="1" ht="20.100000000000001" customHeight="1" x14ac:dyDescent="0.3">
      <c r="A25" s="50" t="s">
        <v>164</v>
      </c>
      <c r="B25" s="49"/>
      <c r="C25" s="49"/>
      <c r="D25" s="49"/>
      <c r="E25" s="33"/>
      <c r="F25" s="25"/>
      <c r="G25" s="25"/>
      <c r="H25" s="22"/>
      <c r="I25" s="22"/>
      <c r="J25" s="23"/>
      <c r="K25" s="23"/>
      <c r="L25" s="26"/>
    </row>
    <row r="26" spans="1:12" s="24" customFormat="1" ht="20.100000000000001" customHeight="1" x14ac:dyDescent="0.3">
      <c r="A26" s="51" t="s">
        <v>611</v>
      </c>
      <c r="B26" s="49">
        <v>2</v>
      </c>
      <c r="C26" s="49">
        <v>788580</v>
      </c>
      <c r="D26" s="49">
        <v>1577160</v>
      </c>
      <c r="E26" s="33">
        <v>728000</v>
      </c>
      <c r="F26" s="25"/>
      <c r="G26" s="25"/>
      <c r="H26" s="34">
        <f t="shared" ref="H26" si="14">D26-(E26*B26)-G26</f>
        <v>121160</v>
      </c>
      <c r="I26" s="34"/>
      <c r="J26" s="35">
        <f t="shared" ref="J26" si="15">(H26/D26)*100</f>
        <v>7.6821628750412136</v>
      </c>
      <c r="K26" s="35"/>
      <c r="L26" s="26"/>
    </row>
    <row r="27" spans="1:12" s="24" customFormat="1" ht="20.100000000000001" customHeight="1" x14ac:dyDescent="0.3">
      <c r="A27" s="52" t="s">
        <v>0</v>
      </c>
      <c r="B27" s="49"/>
      <c r="C27" s="49"/>
      <c r="D27" s="49"/>
      <c r="E27" s="33"/>
      <c r="F27" s="25"/>
      <c r="G27" s="25"/>
      <c r="H27" s="22"/>
      <c r="I27" s="22"/>
      <c r="J27" s="23"/>
      <c r="K27" s="23"/>
      <c r="L27" s="26"/>
    </row>
    <row r="28" spans="1:12" s="24" customFormat="1" ht="20.100000000000001" customHeight="1" x14ac:dyDescent="0.3">
      <c r="A28" s="50" t="s">
        <v>166</v>
      </c>
      <c r="B28" s="49"/>
      <c r="C28" s="49"/>
      <c r="D28" s="49"/>
      <c r="E28" s="33"/>
      <c r="F28" s="25"/>
      <c r="G28" s="25"/>
      <c r="H28" s="22"/>
      <c r="I28" s="22"/>
      <c r="J28" s="23"/>
      <c r="K28" s="23"/>
      <c r="L28" s="26"/>
    </row>
    <row r="29" spans="1:12" s="24" customFormat="1" ht="20.100000000000001" customHeight="1" x14ac:dyDescent="0.3">
      <c r="A29" s="51" t="s">
        <v>589</v>
      </c>
      <c r="B29" s="49">
        <v>5</v>
      </c>
      <c r="C29" s="49">
        <v>92000</v>
      </c>
      <c r="D29" s="49">
        <v>460000</v>
      </c>
      <c r="E29" s="33">
        <v>79200</v>
      </c>
      <c r="F29" s="25"/>
      <c r="G29" s="25"/>
      <c r="H29" s="34">
        <f t="shared" ref="H29" si="16">D29-(E29*B29)-G29</f>
        <v>64000</v>
      </c>
      <c r="I29" s="34"/>
      <c r="J29" s="35">
        <f t="shared" ref="J29" si="17">(H29/D29)*100</f>
        <v>13.913043478260869</v>
      </c>
      <c r="K29" s="35"/>
      <c r="L29" s="26"/>
    </row>
    <row r="30" spans="1:12" s="24" customFormat="1" ht="20.100000000000001" customHeight="1" x14ac:dyDescent="0.3">
      <c r="A30" s="50" t="s">
        <v>590</v>
      </c>
      <c r="B30" s="49"/>
      <c r="C30" s="49"/>
      <c r="D30" s="49"/>
      <c r="E30" s="33"/>
      <c r="F30" s="25"/>
      <c r="G30" s="25"/>
      <c r="H30" s="22"/>
      <c r="I30" s="22"/>
      <c r="J30" s="23"/>
      <c r="K30" s="23"/>
      <c r="L30" s="27"/>
    </row>
    <row r="31" spans="1:12" s="24" customFormat="1" ht="20.100000000000001" customHeight="1" x14ac:dyDescent="0.3">
      <c r="A31" s="51" t="s">
        <v>236</v>
      </c>
      <c r="B31" s="49">
        <v>10</v>
      </c>
      <c r="C31" s="49">
        <v>101000</v>
      </c>
      <c r="D31" s="49">
        <v>1010000</v>
      </c>
      <c r="E31" s="33">
        <v>83600</v>
      </c>
      <c r="F31" s="25"/>
      <c r="G31" s="25"/>
      <c r="H31" s="34">
        <f t="shared" ref="H31" si="18">D31-(E31*B31)-G31</f>
        <v>174000</v>
      </c>
      <c r="I31" s="34"/>
      <c r="J31" s="35">
        <f t="shared" ref="J31" si="19">(H31/D31)*100</f>
        <v>17.227722772277225</v>
      </c>
      <c r="K31" s="35"/>
      <c r="L31" s="26"/>
    </row>
    <row r="32" spans="1:12" s="24" customFormat="1" ht="19.5" customHeight="1" x14ac:dyDescent="0.3">
      <c r="A32" s="50" t="s">
        <v>168</v>
      </c>
      <c r="B32" s="49"/>
      <c r="C32" s="49"/>
      <c r="D32" s="49"/>
      <c r="E32" s="33"/>
      <c r="F32" s="25"/>
      <c r="G32" s="25"/>
      <c r="H32" s="22"/>
      <c r="I32" s="22"/>
      <c r="J32" s="23"/>
      <c r="K32" s="23"/>
      <c r="L32" s="26"/>
    </row>
    <row r="33" spans="1:12" s="24" customFormat="1" ht="20.100000000000001" customHeight="1" x14ac:dyDescent="0.3">
      <c r="A33" s="51" t="s">
        <v>236</v>
      </c>
      <c r="B33" s="49">
        <v>24</v>
      </c>
      <c r="C33" s="49">
        <v>85300</v>
      </c>
      <c r="D33" s="49">
        <v>2047200</v>
      </c>
      <c r="E33" s="33">
        <v>83600</v>
      </c>
      <c r="F33" s="25"/>
      <c r="G33" s="25"/>
      <c r="H33" s="34">
        <f t="shared" ref="H33:H36" si="20">D33-(E33*B33)-G33</f>
        <v>40800</v>
      </c>
      <c r="I33" s="34"/>
      <c r="J33" s="35">
        <f t="shared" ref="J33:J36" si="21">(H33/D33)*100</f>
        <v>1.992966002344666</v>
      </c>
      <c r="K33" s="35"/>
      <c r="L33" s="26"/>
    </row>
    <row r="34" spans="1:12" s="24" customFormat="1" ht="20.100000000000001" customHeight="1" x14ac:dyDescent="0.3">
      <c r="A34" s="51" t="s">
        <v>117</v>
      </c>
      <c r="B34" s="49">
        <v>1</v>
      </c>
      <c r="C34" s="49">
        <v>44900</v>
      </c>
      <c r="D34" s="49">
        <v>44900</v>
      </c>
      <c r="E34" s="33">
        <v>44000</v>
      </c>
      <c r="F34" s="25"/>
      <c r="G34" s="25"/>
      <c r="H34" s="34">
        <f t="shared" si="20"/>
        <v>900</v>
      </c>
      <c r="I34" s="34"/>
      <c r="J34" s="35">
        <f t="shared" si="21"/>
        <v>2.0044543429844097</v>
      </c>
      <c r="K34" s="35"/>
      <c r="L34" s="27"/>
    </row>
    <row r="35" spans="1:12" s="24" customFormat="1" ht="20.100000000000001" customHeight="1" x14ac:dyDescent="0.3">
      <c r="A35" s="51" t="s">
        <v>591</v>
      </c>
      <c r="B35" s="49">
        <v>1</v>
      </c>
      <c r="C35" s="49">
        <v>323400</v>
      </c>
      <c r="D35" s="49">
        <v>323400</v>
      </c>
      <c r="E35" s="33">
        <v>317000</v>
      </c>
      <c r="F35" s="25"/>
      <c r="G35" s="25"/>
      <c r="H35" s="34">
        <f t="shared" si="20"/>
        <v>6400</v>
      </c>
      <c r="I35" s="34"/>
      <c r="J35" s="35">
        <f t="shared" si="21"/>
        <v>1.9789734075448362</v>
      </c>
      <c r="K35" s="35"/>
      <c r="L35" s="26"/>
    </row>
    <row r="36" spans="1:12" s="24" customFormat="1" ht="20.100000000000001" customHeight="1" x14ac:dyDescent="0.3">
      <c r="A36" s="51" t="s">
        <v>188</v>
      </c>
      <c r="B36" s="49">
        <v>2</v>
      </c>
      <c r="C36" s="49">
        <v>84100</v>
      </c>
      <c r="D36" s="49">
        <v>168200</v>
      </c>
      <c r="E36" s="33">
        <v>69500</v>
      </c>
      <c r="F36" s="25"/>
      <c r="G36" s="25"/>
      <c r="H36" s="34">
        <f t="shared" si="20"/>
        <v>29200</v>
      </c>
      <c r="I36" s="34"/>
      <c r="J36" s="35">
        <f t="shared" si="21"/>
        <v>17.360285374554103</v>
      </c>
      <c r="K36" s="35"/>
      <c r="L36" s="26"/>
    </row>
    <row r="37" spans="1:12" s="24" customFormat="1" ht="20.100000000000001" customHeight="1" x14ac:dyDescent="0.3">
      <c r="A37" s="50" t="s">
        <v>169</v>
      </c>
      <c r="B37" s="49"/>
      <c r="C37" s="49"/>
      <c r="D37" s="49"/>
      <c r="E37" s="33"/>
      <c r="F37" s="25"/>
      <c r="G37" s="25"/>
      <c r="H37" s="22"/>
      <c r="I37" s="22"/>
      <c r="J37" s="23"/>
      <c r="K37" s="23"/>
      <c r="L37" s="26"/>
    </row>
    <row r="38" spans="1:12" s="24" customFormat="1" ht="20.100000000000001" customHeight="1" x14ac:dyDescent="0.3">
      <c r="A38" s="51" t="s">
        <v>44</v>
      </c>
      <c r="B38" s="49">
        <v>1</v>
      </c>
      <c r="C38" s="49">
        <v>85300</v>
      </c>
      <c r="D38" s="49">
        <v>85300</v>
      </c>
      <c r="E38" s="33">
        <v>83600</v>
      </c>
      <c r="F38" s="25"/>
      <c r="G38" s="25"/>
      <c r="H38" s="34">
        <f t="shared" ref="H38" si="22">D38-(E38*B38)-G38</f>
        <v>1700</v>
      </c>
      <c r="I38" s="34"/>
      <c r="J38" s="35">
        <f t="shared" ref="J38" si="23">(H38/D38)*100</f>
        <v>1.992966002344666</v>
      </c>
      <c r="K38" s="35"/>
      <c r="L38" s="27"/>
    </row>
    <row r="39" spans="1:12" s="24" customFormat="1" ht="20.100000000000001" customHeight="1" x14ac:dyDescent="0.3">
      <c r="A39" s="50" t="s">
        <v>592</v>
      </c>
      <c r="B39" s="49"/>
      <c r="C39" s="49"/>
      <c r="D39" s="49"/>
      <c r="E39" s="33"/>
      <c r="F39" s="25"/>
      <c r="G39" s="25"/>
      <c r="H39" s="22"/>
      <c r="I39" s="22"/>
      <c r="J39" s="23"/>
      <c r="K39" s="23"/>
      <c r="L39" s="27"/>
    </row>
    <row r="40" spans="1:12" s="24" customFormat="1" ht="20.100000000000001" customHeight="1" x14ac:dyDescent="0.3">
      <c r="A40" s="51" t="s">
        <v>51</v>
      </c>
      <c r="B40" s="49">
        <v>20</v>
      </c>
      <c r="C40" s="49">
        <v>70000</v>
      </c>
      <c r="D40" s="49">
        <v>1400000</v>
      </c>
      <c r="E40" s="33">
        <v>54300</v>
      </c>
      <c r="F40" s="25"/>
      <c r="G40" s="25"/>
      <c r="H40" s="34">
        <f t="shared" ref="H40" si="24">D40-(E40*B40)-G40</f>
        <v>314000</v>
      </c>
      <c r="I40" s="34"/>
      <c r="J40" s="35">
        <f t="shared" ref="J40" si="25">(H40/D40)*100</f>
        <v>22.428571428571427</v>
      </c>
      <c r="K40" s="35"/>
      <c r="L40" s="26"/>
    </row>
    <row r="41" spans="1:12" s="24" customFormat="1" ht="20.100000000000001" customHeight="1" x14ac:dyDescent="0.3">
      <c r="A41" s="50" t="s">
        <v>31</v>
      </c>
      <c r="B41" s="49"/>
      <c r="C41" s="49"/>
      <c r="D41" s="49"/>
      <c r="E41" s="33"/>
      <c r="F41" s="25"/>
      <c r="G41" s="25"/>
      <c r="H41" s="22"/>
      <c r="I41" s="22"/>
      <c r="J41" s="23"/>
      <c r="K41" s="23"/>
      <c r="L41" s="27"/>
    </row>
    <row r="42" spans="1:12" s="24" customFormat="1" ht="20.100000000000001" customHeight="1" x14ac:dyDescent="0.3">
      <c r="A42" s="51" t="s">
        <v>182</v>
      </c>
      <c r="B42" s="49">
        <v>4</v>
      </c>
      <c r="C42" s="49">
        <v>69000</v>
      </c>
      <c r="D42" s="49">
        <v>276000</v>
      </c>
      <c r="E42" s="33">
        <v>55400</v>
      </c>
      <c r="F42" s="25"/>
      <c r="G42" s="25"/>
      <c r="H42" s="34">
        <f t="shared" ref="H42" si="26">D42-(E42*B42)-G42</f>
        <v>54400</v>
      </c>
      <c r="I42" s="34"/>
      <c r="J42" s="35">
        <f t="shared" ref="J42" si="27">(H42/D42)*100</f>
        <v>19.710144927536234</v>
      </c>
      <c r="K42" s="35"/>
      <c r="L42" s="26"/>
    </row>
    <row r="43" spans="1:12" s="24" customFormat="1" ht="20.100000000000001" customHeight="1" x14ac:dyDescent="0.3">
      <c r="A43" s="50" t="s">
        <v>110</v>
      </c>
      <c r="B43" s="49"/>
      <c r="C43" s="49"/>
      <c r="D43" s="49"/>
      <c r="E43" s="33"/>
      <c r="F43" s="25"/>
      <c r="G43" s="25"/>
      <c r="H43" s="22"/>
      <c r="I43" s="22"/>
      <c r="J43" s="23"/>
      <c r="K43" s="23"/>
      <c r="L43" s="26"/>
    </row>
    <row r="44" spans="1:12" s="24" customFormat="1" ht="20.100000000000001" customHeight="1" x14ac:dyDescent="0.3">
      <c r="A44" s="51" t="s">
        <v>123</v>
      </c>
      <c r="B44" s="49">
        <v>1</v>
      </c>
      <c r="C44" s="49">
        <v>56900</v>
      </c>
      <c r="D44" s="49">
        <v>56900</v>
      </c>
      <c r="E44" s="33">
        <v>55700</v>
      </c>
      <c r="F44" s="25"/>
      <c r="G44" s="25"/>
      <c r="H44" s="34">
        <f t="shared" ref="H44" si="28">D44-(E44*B44)-G44</f>
        <v>1200</v>
      </c>
      <c r="I44" s="34"/>
      <c r="J44" s="35">
        <f t="shared" ref="J44" si="29">(H44/D44)*100</f>
        <v>2.1089630931458698</v>
      </c>
      <c r="K44" s="35"/>
      <c r="L44" s="26"/>
    </row>
    <row r="45" spans="1:12" s="24" customFormat="1" ht="20.100000000000001" customHeight="1" x14ac:dyDescent="0.3">
      <c r="A45" s="50" t="s">
        <v>57</v>
      </c>
      <c r="B45" s="49"/>
      <c r="C45" s="49"/>
      <c r="D45" s="49"/>
      <c r="E45" s="33"/>
      <c r="F45" s="25"/>
      <c r="G45" s="25"/>
      <c r="H45" s="22"/>
      <c r="I45" s="22"/>
      <c r="J45" s="23"/>
      <c r="K45" s="23"/>
      <c r="L45" s="26"/>
    </row>
    <row r="46" spans="1:12" s="24" customFormat="1" ht="20.100000000000001" customHeight="1" x14ac:dyDescent="0.3">
      <c r="A46" s="51" t="s">
        <v>593</v>
      </c>
      <c r="B46" s="49">
        <v>2</v>
      </c>
      <c r="C46" s="49">
        <v>73000</v>
      </c>
      <c r="D46" s="49">
        <v>146000</v>
      </c>
      <c r="E46" s="33">
        <v>66900</v>
      </c>
      <c r="F46" s="25"/>
      <c r="G46" s="25"/>
      <c r="H46" s="34">
        <f t="shared" ref="H46:H47" si="30">D46-(E46*B46)-G46</f>
        <v>12200</v>
      </c>
      <c r="I46" s="34"/>
      <c r="J46" s="35">
        <f t="shared" ref="J46:J47" si="31">(H46/D46)*100</f>
        <v>8.3561643835616444</v>
      </c>
      <c r="K46" s="35"/>
      <c r="L46" s="26"/>
    </row>
    <row r="47" spans="1:12" s="24" customFormat="1" ht="20.100000000000001" customHeight="1" x14ac:dyDescent="0.3">
      <c r="A47" s="51" t="s">
        <v>24</v>
      </c>
      <c r="B47" s="49">
        <v>3</v>
      </c>
      <c r="C47" s="49">
        <v>528400</v>
      </c>
      <c r="D47" s="49">
        <v>1585200</v>
      </c>
      <c r="E47" s="33">
        <v>508000</v>
      </c>
      <c r="F47" s="25"/>
      <c r="G47" s="25"/>
      <c r="H47" s="34">
        <f t="shared" si="30"/>
        <v>61200</v>
      </c>
      <c r="I47" s="34"/>
      <c r="J47" s="35">
        <f t="shared" si="31"/>
        <v>3.8607115821347469</v>
      </c>
      <c r="K47" s="35"/>
      <c r="L47" s="26"/>
    </row>
    <row r="48" spans="1:12" s="24" customFormat="1" ht="20.100000000000001" customHeight="1" x14ac:dyDescent="0.3">
      <c r="A48" s="50" t="s">
        <v>594</v>
      </c>
      <c r="B48" s="49"/>
      <c r="C48" s="49"/>
      <c r="D48" s="49"/>
      <c r="E48" s="33"/>
      <c r="F48" s="25"/>
      <c r="G48" s="25"/>
      <c r="H48" s="22"/>
      <c r="I48" s="22"/>
      <c r="J48" s="23"/>
      <c r="K48" s="23"/>
      <c r="L48" s="26"/>
    </row>
    <row r="49" spans="1:12" s="24" customFormat="1" ht="20.100000000000001" customHeight="1" x14ac:dyDescent="0.3">
      <c r="A49" s="51" t="s">
        <v>44</v>
      </c>
      <c r="B49" s="49">
        <v>2</v>
      </c>
      <c r="C49" s="49">
        <v>117300</v>
      </c>
      <c r="D49" s="49">
        <v>234600</v>
      </c>
      <c r="E49" s="33">
        <v>83600</v>
      </c>
      <c r="F49" s="25"/>
      <c r="G49" s="25"/>
      <c r="H49" s="34">
        <f t="shared" ref="H49:H50" si="32">D49-(E49*B49)-G49</f>
        <v>67400</v>
      </c>
      <c r="I49" s="34"/>
      <c r="J49" s="35">
        <f t="shared" ref="J49:J50" si="33">(H49/D49)*100</f>
        <v>28.729752770673489</v>
      </c>
      <c r="K49" s="35"/>
      <c r="L49" s="26"/>
    </row>
    <row r="50" spans="1:12" s="24" customFormat="1" ht="20.100000000000001" customHeight="1" x14ac:dyDescent="0.3">
      <c r="A50" s="51" t="s">
        <v>143</v>
      </c>
      <c r="B50" s="49">
        <v>2</v>
      </c>
      <c r="C50" s="49">
        <v>7000</v>
      </c>
      <c r="D50" s="49">
        <v>14000</v>
      </c>
      <c r="E50" s="33">
        <v>7000</v>
      </c>
      <c r="F50" s="25"/>
      <c r="G50" s="25"/>
      <c r="H50" s="34">
        <f t="shared" si="32"/>
        <v>0</v>
      </c>
      <c r="I50" s="34"/>
      <c r="J50" s="35">
        <f t="shared" si="33"/>
        <v>0</v>
      </c>
      <c r="K50" s="35"/>
      <c r="L50" s="26"/>
    </row>
    <row r="51" spans="1:12" s="24" customFormat="1" ht="20.100000000000001" customHeight="1" x14ac:dyDescent="0.3">
      <c r="A51" s="50" t="s">
        <v>559</v>
      </c>
      <c r="B51" s="49"/>
      <c r="C51" s="49"/>
      <c r="D51" s="49"/>
      <c r="E51" s="33"/>
      <c r="F51" s="25"/>
      <c r="G51" s="25"/>
      <c r="H51" s="22"/>
      <c r="I51" s="22"/>
      <c r="J51" s="23"/>
      <c r="K51" s="23"/>
      <c r="L51" s="26"/>
    </row>
    <row r="52" spans="1:12" s="24" customFormat="1" ht="20.100000000000001" customHeight="1" x14ac:dyDescent="0.3">
      <c r="A52" s="51" t="s">
        <v>104</v>
      </c>
      <c r="B52" s="49">
        <v>1</v>
      </c>
      <c r="C52" s="49">
        <v>91400</v>
      </c>
      <c r="D52" s="49">
        <v>91400</v>
      </c>
      <c r="E52" s="33">
        <v>70900</v>
      </c>
      <c r="F52" s="25"/>
      <c r="G52" s="25"/>
      <c r="H52" s="34">
        <f t="shared" ref="H52:H53" si="34">D52-(E52*B52)-G52</f>
        <v>20500</v>
      </c>
      <c r="I52" s="34"/>
      <c r="J52" s="35">
        <f t="shared" ref="J52:J53" si="35">(H52/D52)*100</f>
        <v>22.428884026258206</v>
      </c>
      <c r="K52" s="35"/>
      <c r="L52" s="26"/>
    </row>
    <row r="53" spans="1:12" s="24" customFormat="1" ht="20.100000000000001" customHeight="1" x14ac:dyDescent="0.3">
      <c r="A53" s="51" t="s">
        <v>174</v>
      </c>
      <c r="B53" s="49">
        <v>1</v>
      </c>
      <c r="C53" s="49">
        <v>384800</v>
      </c>
      <c r="D53" s="49">
        <v>384800</v>
      </c>
      <c r="E53" s="33">
        <v>318000</v>
      </c>
      <c r="F53" s="25"/>
      <c r="G53" s="25"/>
      <c r="H53" s="34">
        <f t="shared" si="34"/>
        <v>66800</v>
      </c>
      <c r="I53" s="34"/>
      <c r="J53" s="35">
        <f t="shared" si="35"/>
        <v>17.359667359667359</v>
      </c>
      <c r="K53" s="35"/>
      <c r="L53" s="26"/>
    </row>
    <row r="54" spans="1:12" s="24" customFormat="1" ht="20.100000000000001" customHeight="1" x14ac:dyDescent="0.3">
      <c r="A54" s="50" t="s">
        <v>595</v>
      </c>
      <c r="B54" s="49"/>
      <c r="C54" s="49"/>
      <c r="D54" s="49"/>
      <c r="E54" s="33"/>
      <c r="F54" s="25"/>
      <c r="G54" s="25"/>
      <c r="H54" s="22"/>
      <c r="I54" s="22"/>
      <c r="J54" s="23"/>
      <c r="K54" s="23"/>
      <c r="L54" s="27"/>
    </row>
    <row r="55" spans="1:12" s="24" customFormat="1" ht="20.100000000000001" customHeight="1" x14ac:dyDescent="0.3">
      <c r="A55" s="51" t="s">
        <v>46</v>
      </c>
      <c r="B55" s="49">
        <v>2</v>
      </c>
      <c r="C55" s="49">
        <v>108800</v>
      </c>
      <c r="D55" s="49">
        <v>217600</v>
      </c>
      <c r="E55" s="33">
        <v>63400</v>
      </c>
      <c r="F55" s="25"/>
      <c r="G55" s="25"/>
      <c r="H55" s="34">
        <f t="shared" ref="H55" si="36">D55-(E55*B55)-G55</f>
        <v>90800</v>
      </c>
      <c r="I55" s="34"/>
      <c r="J55" s="35">
        <f t="shared" ref="J55" si="37">(H55/D55)*100</f>
        <v>41.727941176470587</v>
      </c>
      <c r="K55" s="35"/>
      <c r="L55" s="26"/>
    </row>
    <row r="56" spans="1:12" s="24" customFormat="1" ht="20.100000000000001" customHeight="1" x14ac:dyDescent="0.3">
      <c r="A56" s="52" t="s">
        <v>58</v>
      </c>
      <c r="B56" s="49"/>
      <c r="C56" s="49"/>
      <c r="D56" s="49"/>
      <c r="E56" s="33"/>
      <c r="F56" s="25"/>
      <c r="G56" s="25"/>
      <c r="H56" s="22"/>
      <c r="I56" s="22"/>
      <c r="J56" s="23"/>
      <c r="K56" s="23"/>
      <c r="L56" s="26"/>
    </row>
    <row r="57" spans="1:12" s="24" customFormat="1" ht="20.100000000000001" customHeight="1" x14ac:dyDescent="0.3">
      <c r="A57" s="50" t="s">
        <v>596</v>
      </c>
      <c r="B57" s="49"/>
      <c r="C57" s="49"/>
      <c r="D57" s="49"/>
      <c r="E57" s="33"/>
      <c r="F57" s="25"/>
      <c r="G57" s="25"/>
      <c r="H57" s="22"/>
      <c r="I57" s="22"/>
      <c r="J57" s="23"/>
      <c r="K57" s="23"/>
      <c r="L57" s="26"/>
    </row>
    <row r="58" spans="1:12" s="24" customFormat="1" ht="20.100000000000001" customHeight="1" x14ac:dyDescent="0.3">
      <c r="A58" s="51" t="s">
        <v>597</v>
      </c>
      <c r="B58" s="49">
        <v>1</v>
      </c>
      <c r="C58" s="49">
        <v>3410000</v>
      </c>
      <c r="D58" s="49">
        <v>3410000</v>
      </c>
      <c r="E58" s="33">
        <v>2763000</v>
      </c>
      <c r="F58" s="25"/>
      <c r="G58" s="25"/>
      <c r="H58" s="34">
        <f t="shared" ref="H58" si="38">D58-(E58*B58)-G58</f>
        <v>647000</v>
      </c>
      <c r="I58" s="34"/>
      <c r="J58" s="35">
        <f t="shared" ref="J58" si="39">(H58/D58)*100</f>
        <v>18.973607038123166</v>
      </c>
      <c r="K58" s="35"/>
      <c r="L58" s="26"/>
    </row>
    <row r="59" spans="1:12" s="24" customFormat="1" ht="20.100000000000001" customHeight="1" x14ac:dyDescent="0.3">
      <c r="A59" s="50" t="s">
        <v>598</v>
      </c>
      <c r="B59" s="49"/>
      <c r="C59" s="49"/>
      <c r="D59" s="49"/>
      <c r="E59" s="33"/>
      <c r="F59" s="25"/>
      <c r="G59" s="25"/>
      <c r="H59" s="22"/>
      <c r="I59" s="22"/>
      <c r="J59" s="23"/>
      <c r="K59" s="23"/>
      <c r="L59" s="26"/>
    </row>
    <row r="60" spans="1:12" s="24" customFormat="1" ht="20.100000000000001" customHeight="1" x14ac:dyDescent="0.3">
      <c r="A60" s="51" t="s">
        <v>615</v>
      </c>
      <c r="B60" s="49">
        <v>30</v>
      </c>
      <c r="C60" s="49">
        <v>54000</v>
      </c>
      <c r="D60" s="49">
        <v>1620000</v>
      </c>
      <c r="E60" s="33"/>
      <c r="F60" s="25">
        <v>52000</v>
      </c>
      <c r="G60" s="25"/>
      <c r="H60" s="22"/>
      <c r="I60" s="34">
        <f t="shared" ref="I60" si="40">D60-(F60*B60)-G60</f>
        <v>60000</v>
      </c>
      <c r="J60" s="35"/>
      <c r="K60" s="35">
        <f t="shared" ref="K60" si="41">(I60/D60)*100</f>
        <v>3.7037037037037033</v>
      </c>
      <c r="L60" s="26"/>
    </row>
    <row r="61" spans="1:12" s="24" customFormat="1" ht="20.100000000000001" customHeight="1" x14ac:dyDescent="0.3">
      <c r="A61" s="50" t="s">
        <v>392</v>
      </c>
      <c r="B61" s="49"/>
      <c r="C61" s="49"/>
      <c r="D61" s="49"/>
      <c r="E61" s="33"/>
      <c r="F61" s="25"/>
      <c r="G61" s="25"/>
      <c r="H61" s="22"/>
      <c r="I61" s="22"/>
      <c r="J61" s="23"/>
      <c r="K61" s="23"/>
      <c r="L61" s="27"/>
    </row>
    <row r="62" spans="1:12" s="24" customFormat="1" ht="20.100000000000001" customHeight="1" x14ac:dyDescent="0.3">
      <c r="A62" s="54" t="s">
        <v>446</v>
      </c>
      <c r="B62" s="55">
        <v>3</v>
      </c>
      <c r="C62" s="55">
        <v>348800</v>
      </c>
      <c r="D62" s="55">
        <v>1046400</v>
      </c>
      <c r="E62" s="36">
        <v>355000</v>
      </c>
      <c r="F62" s="37"/>
      <c r="G62" s="37"/>
      <c r="H62" s="38">
        <f t="shared" ref="H62" si="42">D62-(E62*B62)-G62</f>
        <v>-18600</v>
      </c>
      <c r="I62" s="38"/>
      <c r="J62" s="39">
        <f t="shared" ref="J62" si="43">(H62/D62)*100</f>
        <v>-1.7775229357798166</v>
      </c>
      <c r="K62" s="39"/>
      <c r="L62" s="40" t="s">
        <v>464</v>
      </c>
    </row>
    <row r="63" spans="1:12" s="24" customFormat="1" ht="20.100000000000001" customHeight="1" x14ac:dyDescent="0.3">
      <c r="A63" s="52" t="s">
        <v>59</v>
      </c>
      <c r="B63" s="49"/>
      <c r="C63" s="49"/>
      <c r="D63" s="49"/>
      <c r="E63" s="33"/>
      <c r="F63" s="25"/>
      <c r="G63" s="25"/>
      <c r="H63" s="22"/>
      <c r="I63" s="22"/>
      <c r="J63" s="23"/>
      <c r="K63" s="23"/>
      <c r="L63" s="26"/>
    </row>
    <row r="64" spans="1:12" s="24" customFormat="1" ht="20.100000000000001" customHeight="1" x14ac:dyDescent="0.3">
      <c r="A64" s="50" t="s">
        <v>612</v>
      </c>
      <c r="B64" s="49"/>
      <c r="C64" s="49"/>
      <c r="D64" s="49"/>
      <c r="E64" s="33"/>
      <c r="F64" s="25"/>
      <c r="G64" s="25"/>
      <c r="H64" s="22"/>
      <c r="I64" s="22"/>
      <c r="J64" s="23"/>
      <c r="K64" s="23"/>
      <c r="L64" s="27"/>
    </row>
    <row r="65" spans="1:12" s="24" customFormat="1" ht="20.100000000000001" customHeight="1" x14ac:dyDescent="0.3">
      <c r="A65" s="51" t="s">
        <v>613</v>
      </c>
      <c r="B65" s="49">
        <v>4</v>
      </c>
      <c r="C65" s="49">
        <v>1081632</v>
      </c>
      <c r="D65" s="49">
        <v>4326528</v>
      </c>
      <c r="E65" s="33">
        <v>755000</v>
      </c>
      <c r="F65" s="25"/>
      <c r="G65" s="25"/>
      <c r="H65" s="34">
        <f t="shared" ref="H65:H66" si="44">D65-(E65*B65)-G65</f>
        <v>1306528</v>
      </c>
      <c r="I65" s="34"/>
      <c r="J65" s="35">
        <f t="shared" ref="J65:J66" si="45">(H65/D65)*100</f>
        <v>30.198071062986305</v>
      </c>
      <c r="K65" s="35"/>
      <c r="L65" s="27"/>
    </row>
    <row r="66" spans="1:12" s="24" customFormat="1" ht="19.5" customHeight="1" x14ac:dyDescent="0.3">
      <c r="A66" s="51" t="s">
        <v>599</v>
      </c>
      <c r="B66" s="49">
        <v>16</v>
      </c>
      <c r="C66" s="49">
        <v>1209720</v>
      </c>
      <c r="D66" s="49">
        <v>19355520</v>
      </c>
      <c r="E66" s="33">
        <v>670000</v>
      </c>
      <c r="F66" s="25"/>
      <c r="G66" s="25"/>
      <c r="H66" s="34">
        <f t="shared" si="44"/>
        <v>8635520</v>
      </c>
      <c r="I66" s="34"/>
      <c r="J66" s="35">
        <f t="shared" si="45"/>
        <v>44.615282875376124</v>
      </c>
      <c r="K66" s="35"/>
      <c r="L66" s="26"/>
    </row>
    <row r="67" spans="1:12" s="24" customFormat="1" ht="20.100000000000001" customHeight="1" x14ac:dyDescent="0.3">
      <c r="A67" s="50" t="s">
        <v>247</v>
      </c>
      <c r="B67" s="49"/>
      <c r="C67" s="49"/>
      <c r="D67" s="49"/>
      <c r="E67" s="33"/>
      <c r="F67" s="25"/>
      <c r="G67" s="25"/>
      <c r="H67" s="22"/>
      <c r="I67" s="22"/>
      <c r="J67" s="23"/>
      <c r="K67" s="23"/>
      <c r="L67" s="26"/>
    </row>
    <row r="68" spans="1:12" s="24" customFormat="1" ht="20.100000000000001" customHeight="1" x14ac:dyDescent="0.3">
      <c r="A68" s="51" t="s">
        <v>435</v>
      </c>
      <c r="B68" s="49">
        <v>2</v>
      </c>
      <c r="C68" s="49">
        <v>100000</v>
      </c>
      <c r="D68" s="49">
        <v>200000</v>
      </c>
      <c r="E68" s="33">
        <v>82400</v>
      </c>
      <c r="F68" s="25"/>
      <c r="G68" s="25"/>
      <c r="H68" s="34">
        <f t="shared" ref="H68:H69" si="46">D68-(E68*B68)-G68</f>
        <v>35200</v>
      </c>
      <c r="I68" s="34"/>
      <c r="J68" s="35">
        <f t="shared" ref="J68:J69" si="47">(H68/D68)*100</f>
        <v>17.599999999999998</v>
      </c>
      <c r="K68" s="35"/>
      <c r="L68" s="26"/>
    </row>
    <row r="69" spans="1:12" s="24" customFormat="1" ht="20.100000000000001" customHeight="1" x14ac:dyDescent="0.3">
      <c r="A69" s="51" t="s">
        <v>49</v>
      </c>
      <c r="B69" s="49">
        <v>2</v>
      </c>
      <c r="C69" s="49">
        <v>6000</v>
      </c>
      <c r="D69" s="49">
        <v>12000</v>
      </c>
      <c r="E69" s="33">
        <v>6000</v>
      </c>
      <c r="F69" s="25"/>
      <c r="G69" s="25"/>
      <c r="H69" s="34">
        <f t="shared" si="46"/>
        <v>0</v>
      </c>
      <c r="I69" s="34"/>
      <c r="J69" s="35">
        <f t="shared" si="47"/>
        <v>0</v>
      </c>
      <c r="K69" s="35"/>
      <c r="L69" s="27"/>
    </row>
    <row r="70" spans="1:12" s="24" customFormat="1" ht="20.100000000000001" customHeight="1" x14ac:dyDescent="0.3">
      <c r="A70" s="50" t="s">
        <v>302</v>
      </c>
      <c r="B70" s="49"/>
      <c r="C70" s="49"/>
      <c r="D70" s="49"/>
      <c r="E70" s="33"/>
      <c r="F70" s="25"/>
      <c r="G70" s="25"/>
      <c r="H70" s="22"/>
      <c r="I70" s="22"/>
      <c r="J70" s="23"/>
      <c r="K70" s="23"/>
      <c r="L70" s="26"/>
    </row>
    <row r="71" spans="1:12" s="24" customFormat="1" ht="20.100000000000001" customHeight="1" x14ac:dyDescent="0.3">
      <c r="A71" s="51" t="s">
        <v>395</v>
      </c>
      <c r="B71" s="49">
        <v>3</v>
      </c>
      <c r="C71" s="49">
        <v>68000</v>
      </c>
      <c r="D71" s="49">
        <v>204000</v>
      </c>
      <c r="E71" s="33">
        <v>47600</v>
      </c>
      <c r="F71" s="25"/>
      <c r="G71" s="25"/>
      <c r="H71" s="34">
        <f t="shared" ref="H71:H72" si="48">D71-(E71*B71)-G71</f>
        <v>61200</v>
      </c>
      <c r="I71" s="34"/>
      <c r="J71" s="35">
        <f t="shared" ref="J71:J72" si="49">(H71/D71)*100</f>
        <v>30</v>
      </c>
      <c r="K71" s="35"/>
      <c r="L71" s="26"/>
    </row>
    <row r="72" spans="1:12" s="24" customFormat="1" ht="20.100000000000001" customHeight="1" x14ac:dyDescent="0.3">
      <c r="A72" s="51" t="s">
        <v>175</v>
      </c>
      <c r="B72" s="49">
        <v>3</v>
      </c>
      <c r="C72" s="49">
        <v>93000</v>
      </c>
      <c r="D72" s="49">
        <v>279000</v>
      </c>
      <c r="E72" s="33">
        <v>56700</v>
      </c>
      <c r="F72" s="25"/>
      <c r="G72" s="25"/>
      <c r="H72" s="34">
        <f t="shared" si="48"/>
        <v>108900</v>
      </c>
      <c r="I72" s="34"/>
      <c r="J72" s="35">
        <f t="shared" si="49"/>
        <v>39.032258064516128</v>
      </c>
      <c r="K72" s="35"/>
      <c r="L72" s="27"/>
    </row>
    <row r="73" spans="1:12" s="24" customFormat="1" ht="20.100000000000001" customHeight="1" x14ac:dyDescent="0.3">
      <c r="A73" s="50" t="s">
        <v>396</v>
      </c>
      <c r="B73" s="49"/>
      <c r="C73" s="49"/>
      <c r="D73" s="49"/>
      <c r="E73" s="33"/>
      <c r="F73" s="25"/>
      <c r="G73" s="25"/>
      <c r="H73" s="22"/>
      <c r="I73" s="22"/>
      <c r="J73" s="23"/>
      <c r="K73" s="23"/>
      <c r="L73" s="27"/>
    </row>
    <row r="74" spans="1:12" s="24" customFormat="1" ht="20.100000000000001" customHeight="1" x14ac:dyDescent="0.3">
      <c r="A74" s="51" t="s">
        <v>397</v>
      </c>
      <c r="B74" s="49">
        <v>8</v>
      </c>
      <c r="C74" s="49">
        <v>679000</v>
      </c>
      <c r="D74" s="49">
        <v>5432000</v>
      </c>
      <c r="E74" s="33">
        <v>607000</v>
      </c>
      <c r="F74" s="25"/>
      <c r="G74" s="25"/>
      <c r="H74" s="34">
        <f t="shared" ref="H74" si="50">D74-(E74*B74)-G74</f>
        <v>576000</v>
      </c>
      <c r="I74" s="34"/>
      <c r="J74" s="35">
        <f t="shared" ref="J74" si="51">(H74/D74)*100</f>
        <v>10.603829160530191</v>
      </c>
      <c r="K74" s="35"/>
      <c r="L74" s="27"/>
    </row>
    <row r="75" spans="1:12" s="24" customFormat="1" ht="20.100000000000001" customHeight="1" x14ac:dyDescent="0.3">
      <c r="A75" s="53" t="s">
        <v>26</v>
      </c>
      <c r="B75" s="49"/>
      <c r="C75" s="49"/>
      <c r="D75" s="49"/>
      <c r="E75" s="33"/>
      <c r="F75" s="25"/>
      <c r="G75" s="25"/>
      <c r="H75" s="22"/>
      <c r="I75" s="22"/>
      <c r="J75" s="23"/>
      <c r="K75" s="23"/>
      <c r="L75" s="26"/>
    </row>
    <row r="76" spans="1:12" s="24" customFormat="1" ht="20.100000000000001" customHeight="1" x14ac:dyDescent="0.3">
      <c r="A76" s="52" t="s">
        <v>18</v>
      </c>
      <c r="B76" s="49"/>
      <c r="C76" s="49"/>
      <c r="D76" s="49"/>
      <c r="E76" s="33"/>
      <c r="F76" s="25"/>
      <c r="G76" s="25"/>
      <c r="H76" s="22"/>
      <c r="I76" s="22"/>
      <c r="J76" s="23"/>
      <c r="K76" s="23"/>
      <c r="L76" s="26"/>
    </row>
    <row r="77" spans="1:12" s="24" customFormat="1" ht="20.100000000000001" customHeight="1" x14ac:dyDescent="0.3">
      <c r="A77" s="50" t="s">
        <v>62</v>
      </c>
      <c r="B77" s="49"/>
      <c r="C77" s="49"/>
      <c r="D77" s="49"/>
      <c r="E77" s="33"/>
      <c r="F77" s="25"/>
      <c r="G77" s="25"/>
      <c r="H77" s="22"/>
      <c r="I77" s="22"/>
      <c r="J77" s="23"/>
      <c r="K77" s="23"/>
      <c r="L77" s="26"/>
    </row>
    <row r="78" spans="1:12" s="24" customFormat="1" ht="20.100000000000001" customHeight="1" x14ac:dyDescent="0.3">
      <c r="A78" s="51" t="s">
        <v>600</v>
      </c>
      <c r="B78" s="49">
        <v>2</v>
      </c>
      <c r="C78" s="49">
        <v>60000</v>
      </c>
      <c r="D78" s="49">
        <v>120000</v>
      </c>
      <c r="E78" s="33">
        <v>53900</v>
      </c>
      <c r="F78" s="25"/>
      <c r="G78" s="25"/>
      <c r="H78" s="34">
        <f t="shared" ref="H78:H79" si="52">D78-(E78*B78)-G78</f>
        <v>12200</v>
      </c>
      <c r="I78" s="34"/>
      <c r="J78" s="35">
        <f t="shared" ref="J78:J79" si="53">(H78/D78)*100</f>
        <v>10.166666666666666</v>
      </c>
      <c r="K78" s="35"/>
      <c r="L78" s="27"/>
    </row>
    <row r="79" spans="1:12" s="24" customFormat="1" ht="19.5" customHeight="1" x14ac:dyDescent="0.3">
      <c r="A79" s="51" t="s">
        <v>67</v>
      </c>
      <c r="B79" s="49">
        <v>5</v>
      </c>
      <c r="C79" s="49">
        <v>70000</v>
      </c>
      <c r="D79" s="49">
        <v>350000</v>
      </c>
      <c r="E79" s="33">
        <v>66400</v>
      </c>
      <c r="F79" s="25"/>
      <c r="G79" s="25"/>
      <c r="H79" s="34">
        <f t="shared" si="52"/>
        <v>18000</v>
      </c>
      <c r="I79" s="34"/>
      <c r="J79" s="35">
        <f t="shared" si="53"/>
        <v>5.1428571428571423</v>
      </c>
      <c r="K79" s="35"/>
      <c r="L79" s="26"/>
    </row>
    <row r="80" spans="1:12" s="24" customFormat="1" ht="20.100000000000001" customHeight="1" x14ac:dyDescent="0.3">
      <c r="A80" s="50" t="s">
        <v>195</v>
      </c>
      <c r="B80" s="49"/>
      <c r="C80" s="49"/>
      <c r="D80" s="49"/>
      <c r="E80" s="33"/>
      <c r="F80" s="25"/>
      <c r="G80" s="25"/>
      <c r="H80" s="22"/>
      <c r="I80" s="22"/>
      <c r="J80" s="23"/>
      <c r="K80" s="23"/>
      <c r="L80" s="27"/>
    </row>
    <row r="81" spans="1:12" s="24" customFormat="1" ht="20.100000000000001" customHeight="1" x14ac:dyDescent="0.3">
      <c r="A81" s="51" t="s">
        <v>218</v>
      </c>
      <c r="B81" s="49">
        <v>2</v>
      </c>
      <c r="C81" s="49">
        <v>85900</v>
      </c>
      <c r="D81" s="49">
        <v>171800</v>
      </c>
      <c r="E81" s="33">
        <v>71000</v>
      </c>
      <c r="F81" s="25"/>
      <c r="G81" s="25"/>
      <c r="H81" s="34">
        <f t="shared" ref="H81" si="54">D81-(E81*B81)-G81</f>
        <v>29800</v>
      </c>
      <c r="I81" s="34"/>
      <c r="J81" s="35">
        <f t="shared" ref="J81" si="55">(H81/D81)*100</f>
        <v>17.345750873108265</v>
      </c>
      <c r="K81" s="35"/>
      <c r="L81" s="27"/>
    </row>
    <row r="82" spans="1:12" s="24" customFormat="1" ht="20.100000000000001" customHeight="1" x14ac:dyDescent="0.3">
      <c r="A82" s="50" t="s">
        <v>251</v>
      </c>
      <c r="B82" s="49"/>
      <c r="C82" s="49"/>
      <c r="D82" s="49"/>
      <c r="E82" s="33"/>
      <c r="F82" s="25"/>
      <c r="G82" s="25"/>
      <c r="H82" s="22"/>
      <c r="I82" s="22"/>
      <c r="J82" s="23"/>
      <c r="K82" s="23"/>
      <c r="L82" s="26"/>
    </row>
    <row r="83" spans="1:12" s="24" customFormat="1" ht="20.100000000000001" customHeight="1" x14ac:dyDescent="0.3">
      <c r="A83" s="51" t="s">
        <v>68</v>
      </c>
      <c r="B83" s="49">
        <v>3</v>
      </c>
      <c r="C83" s="49">
        <v>63000</v>
      </c>
      <c r="D83" s="49">
        <v>189000</v>
      </c>
      <c r="E83" s="33">
        <v>54300</v>
      </c>
      <c r="F83" s="25"/>
      <c r="G83" s="25"/>
      <c r="H83" s="34">
        <f t="shared" ref="H83:H84" si="56">D83-(E83*B83)-G83</f>
        <v>26100</v>
      </c>
      <c r="I83" s="34"/>
      <c r="J83" s="35">
        <f t="shared" ref="J83:J84" si="57">(H83/D83)*100</f>
        <v>13.80952380952381</v>
      </c>
      <c r="K83" s="35"/>
      <c r="L83" s="26"/>
    </row>
    <row r="84" spans="1:12" s="24" customFormat="1" ht="20.100000000000001" customHeight="1" x14ac:dyDescent="0.3">
      <c r="A84" s="51" t="s">
        <v>20</v>
      </c>
      <c r="B84" s="49">
        <v>1</v>
      </c>
      <c r="C84" s="49">
        <v>69600</v>
      </c>
      <c r="D84" s="49">
        <v>69600</v>
      </c>
      <c r="E84" s="33">
        <v>46600</v>
      </c>
      <c r="F84" s="25"/>
      <c r="G84" s="25"/>
      <c r="H84" s="34">
        <f t="shared" si="56"/>
        <v>23000</v>
      </c>
      <c r="I84" s="34"/>
      <c r="J84" s="35">
        <f t="shared" si="57"/>
        <v>33.045977011494251</v>
      </c>
      <c r="K84" s="35"/>
      <c r="L84" s="27"/>
    </row>
    <row r="85" spans="1:12" s="24" customFormat="1" ht="20.100000000000001" customHeight="1" x14ac:dyDescent="0.3">
      <c r="A85" s="50" t="s">
        <v>122</v>
      </c>
      <c r="B85" s="49"/>
      <c r="C85" s="49"/>
      <c r="D85" s="49"/>
      <c r="E85" s="33"/>
      <c r="F85" s="25"/>
      <c r="G85" s="25"/>
      <c r="H85" s="22"/>
      <c r="I85" s="22"/>
      <c r="J85" s="23"/>
      <c r="K85" s="23"/>
      <c r="L85" s="27"/>
    </row>
    <row r="86" spans="1:12" s="24" customFormat="1" ht="20.100000000000001" customHeight="1" x14ac:dyDescent="0.3">
      <c r="A86" s="51" t="s">
        <v>314</v>
      </c>
      <c r="B86" s="49">
        <v>2</v>
      </c>
      <c r="C86" s="49">
        <v>96700</v>
      </c>
      <c r="D86" s="49">
        <v>193400</v>
      </c>
      <c r="E86" s="33">
        <v>87100</v>
      </c>
      <c r="F86" s="25"/>
      <c r="G86" s="25"/>
      <c r="H86" s="34">
        <f t="shared" ref="H86:H87" si="58">D86-(E86*B86)-G86</f>
        <v>19200</v>
      </c>
      <c r="I86" s="34"/>
      <c r="J86" s="35">
        <f t="shared" ref="J86:J87" si="59">(H86/D86)*100</f>
        <v>9.9276111685625636</v>
      </c>
      <c r="K86" s="35"/>
      <c r="L86" s="26"/>
    </row>
    <row r="87" spans="1:12" s="24" customFormat="1" ht="20.100000000000001" customHeight="1" x14ac:dyDescent="0.3">
      <c r="A87" s="51" t="s">
        <v>20</v>
      </c>
      <c r="B87" s="49">
        <v>5</v>
      </c>
      <c r="C87" s="49">
        <v>51700</v>
      </c>
      <c r="D87" s="49">
        <v>258500</v>
      </c>
      <c r="E87" s="33">
        <v>46600</v>
      </c>
      <c r="F87" s="25"/>
      <c r="G87" s="25"/>
      <c r="H87" s="34">
        <f t="shared" si="58"/>
        <v>25500</v>
      </c>
      <c r="I87" s="34"/>
      <c r="J87" s="35">
        <f t="shared" si="59"/>
        <v>9.8646034816247585</v>
      </c>
      <c r="K87" s="35"/>
      <c r="L87" s="26"/>
    </row>
    <row r="88" spans="1:12" s="24" customFormat="1" ht="20.100000000000001" customHeight="1" x14ac:dyDescent="0.3">
      <c r="A88" s="50" t="s">
        <v>601</v>
      </c>
      <c r="B88" s="49"/>
      <c r="C88" s="49"/>
      <c r="D88" s="49"/>
      <c r="E88" s="33"/>
      <c r="F88" s="25"/>
      <c r="G88" s="25"/>
      <c r="H88" s="22"/>
      <c r="I88" s="22"/>
      <c r="J88" s="23"/>
      <c r="K88" s="23"/>
      <c r="L88" s="27"/>
    </row>
    <row r="89" spans="1:12" s="24" customFormat="1" ht="20.100000000000001" customHeight="1" x14ac:dyDescent="0.3">
      <c r="A89" s="51" t="s">
        <v>602</v>
      </c>
      <c r="B89" s="49">
        <v>1</v>
      </c>
      <c r="C89" s="49">
        <v>810000</v>
      </c>
      <c r="D89" s="49">
        <v>810000</v>
      </c>
      <c r="E89" s="33">
        <v>564000</v>
      </c>
      <c r="F89" s="25"/>
      <c r="G89" s="25"/>
      <c r="H89" s="34">
        <f t="shared" ref="H89:H90" si="60">D89-(E89*B89)-G89</f>
        <v>246000</v>
      </c>
      <c r="I89" s="34"/>
      <c r="J89" s="35">
        <f t="shared" ref="J89:J90" si="61">(H89/D89)*100</f>
        <v>30.37037037037037</v>
      </c>
      <c r="K89" s="35"/>
      <c r="L89" s="27"/>
    </row>
    <row r="90" spans="1:12" s="24" customFormat="1" ht="20.100000000000001" customHeight="1" x14ac:dyDescent="0.3">
      <c r="A90" s="51" t="s">
        <v>124</v>
      </c>
      <c r="B90" s="49">
        <v>1</v>
      </c>
      <c r="C90" s="49">
        <v>40000</v>
      </c>
      <c r="D90" s="49">
        <v>40000</v>
      </c>
      <c r="E90" s="33">
        <v>40000</v>
      </c>
      <c r="F90" s="25"/>
      <c r="G90" s="25"/>
      <c r="H90" s="34">
        <f t="shared" si="60"/>
        <v>0</v>
      </c>
      <c r="I90" s="34"/>
      <c r="J90" s="35">
        <f t="shared" si="61"/>
        <v>0</v>
      </c>
      <c r="K90" s="35"/>
      <c r="L90" s="26"/>
    </row>
    <row r="91" spans="1:12" s="24" customFormat="1" ht="20.100000000000001" customHeight="1" x14ac:dyDescent="0.3">
      <c r="A91" s="50" t="s">
        <v>152</v>
      </c>
      <c r="B91" s="49"/>
      <c r="C91" s="49"/>
      <c r="D91" s="49"/>
      <c r="E91" s="33"/>
      <c r="F91" s="25"/>
      <c r="G91" s="25"/>
      <c r="H91" s="22"/>
      <c r="I91" s="22"/>
      <c r="J91" s="23"/>
      <c r="K91" s="23"/>
      <c r="L91" s="26"/>
    </row>
    <row r="92" spans="1:12" s="24" customFormat="1" ht="20.100000000000001" customHeight="1" x14ac:dyDescent="0.3">
      <c r="A92" s="51" t="s">
        <v>141</v>
      </c>
      <c r="B92" s="49">
        <v>1</v>
      </c>
      <c r="C92" s="49">
        <v>362000</v>
      </c>
      <c r="D92" s="49">
        <v>362000</v>
      </c>
      <c r="E92" s="33">
        <v>289000</v>
      </c>
      <c r="F92" s="25"/>
      <c r="G92" s="25"/>
      <c r="H92" s="34">
        <f t="shared" ref="H92:H93" si="62">D92-(E92*B92)-G92</f>
        <v>73000</v>
      </c>
      <c r="I92" s="34"/>
      <c r="J92" s="35">
        <f t="shared" ref="J92:J93" si="63">(H92/D92)*100</f>
        <v>20.165745856353592</v>
      </c>
      <c r="K92" s="35"/>
      <c r="L92" s="26"/>
    </row>
    <row r="93" spans="1:12" s="24" customFormat="1" ht="20.100000000000001" customHeight="1" x14ac:dyDescent="0.3">
      <c r="A93" s="51" t="s">
        <v>20</v>
      </c>
      <c r="B93" s="49">
        <v>1</v>
      </c>
      <c r="C93" s="49">
        <v>69600</v>
      </c>
      <c r="D93" s="49">
        <v>69600</v>
      </c>
      <c r="E93" s="33">
        <v>46600</v>
      </c>
      <c r="F93" s="25"/>
      <c r="G93" s="25"/>
      <c r="H93" s="34">
        <f t="shared" si="62"/>
        <v>23000</v>
      </c>
      <c r="I93" s="34"/>
      <c r="J93" s="35">
        <f t="shared" si="63"/>
        <v>33.045977011494251</v>
      </c>
      <c r="K93" s="35"/>
      <c r="L93" s="26"/>
    </row>
    <row r="94" spans="1:12" s="24" customFormat="1" ht="20.100000000000001" customHeight="1" x14ac:dyDescent="0.3">
      <c r="A94" s="50" t="s">
        <v>88</v>
      </c>
      <c r="B94" s="49"/>
      <c r="C94" s="49"/>
      <c r="D94" s="49"/>
      <c r="E94" s="33"/>
      <c r="F94" s="25"/>
      <c r="G94" s="25"/>
      <c r="H94" s="22"/>
      <c r="I94" s="22"/>
      <c r="J94" s="23"/>
      <c r="K94" s="23"/>
      <c r="L94" s="26"/>
    </row>
    <row r="95" spans="1:12" s="24" customFormat="1" ht="20.100000000000001" customHeight="1" x14ac:dyDescent="0.3">
      <c r="A95" s="51" t="s">
        <v>123</v>
      </c>
      <c r="B95" s="49">
        <v>1</v>
      </c>
      <c r="C95" s="49">
        <v>64500</v>
      </c>
      <c r="D95" s="49">
        <v>64500</v>
      </c>
      <c r="E95" s="33">
        <v>55700</v>
      </c>
      <c r="F95" s="25"/>
      <c r="G95" s="25"/>
      <c r="H95" s="34">
        <f t="shared" ref="H95:H96" si="64">D95-(E95*B95)-G95</f>
        <v>8800</v>
      </c>
      <c r="I95" s="34"/>
      <c r="J95" s="35">
        <f t="shared" ref="J95:J96" si="65">(H95/D95)*100</f>
        <v>13.643410852713178</v>
      </c>
      <c r="K95" s="35"/>
      <c r="L95" s="26"/>
    </row>
    <row r="96" spans="1:12" s="24" customFormat="1" ht="20.100000000000001" customHeight="1" x14ac:dyDescent="0.3">
      <c r="A96" s="51" t="s">
        <v>56</v>
      </c>
      <c r="B96" s="49">
        <v>1</v>
      </c>
      <c r="C96" s="49">
        <v>78500</v>
      </c>
      <c r="D96" s="49">
        <v>78500</v>
      </c>
      <c r="E96" s="33">
        <v>66800</v>
      </c>
      <c r="F96" s="25"/>
      <c r="G96" s="25"/>
      <c r="H96" s="34">
        <f t="shared" si="64"/>
        <v>11700</v>
      </c>
      <c r="I96" s="34"/>
      <c r="J96" s="35">
        <f t="shared" si="65"/>
        <v>14.904458598726114</v>
      </c>
      <c r="K96" s="35"/>
      <c r="L96" s="26"/>
    </row>
    <row r="97" spans="1:12" s="24" customFormat="1" ht="20.100000000000001" customHeight="1" x14ac:dyDescent="0.3">
      <c r="A97" s="50" t="s">
        <v>73</v>
      </c>
      <c r="B97" s="49"/>
      <c r="C97" s="49"/>
      <c r="D97" s="49"/>
      <c r="E97" s="33"/>
      <c r="F97" s="25"/>
      <c r="G97" s="25"/>
      <c r="H97" s="22"/>
      <c r="I97" s="22"/>
      <c r="J97" s="23"/>
      <c r="K97" s="23"/>
      <c r="L97" s="26"/>
    </row>
    <row r="98" spans="1:12" s="24" customFormat="1" ht="20.100000000000001" customHeight="1" x14ac:dyDescent="0.3">
      <c r="A98" s="51" t="s">
        <v>496</v>
      </c>
      <c r="B98" s="49">
        <v>10</v>
      </c>
      <c r="C98" s="49">
        <v>125870</v>
      </c>
      <c r="D98" s="49">
        <v>1258700</v>
      </c>
      <c r="E98" s="33">
        <v>113500</v>
      </c>
      <c r="F98" s="25"/>
      <c r="G98" s="25"/>
      <c r="H98" s="34">
        <f t="shared" ref="H98:H99" si="66">D98-(E98*B98)-G98</f>
        <v>123700</v>
      </c>
      <c r="I98" s="34"/>
      <c r="J98" s="35">
        <f t="shared" ref="J98:J99" si="67">(H98/D98)*100</f>
        <v>9.8275999046635416</v>
      </c>
      <c r="K98" s="35"/>
      <c r="L98" s="26"/>
    </row>
    <row r="99" spans="1:12" s="24" customFormat="1" ht="20.100000000000001" customHeight="1" x14ac:dyDescent="0.3">
      <c r="A99" s="51" t="s">
        <v>603</v>
      </c>
      <c r="B99" s="49">
        <v>1</v>
      </c>
      <c r="C99" s="49">
        <v>1258700</v>
      </c>
      <c r="D99" s="49">
        <v>1258700</v>
      </c>
      <c r="E99" s="33">
        <v>1135000</v>
      </c>
      <c r="F99" s="25"/>
      <c r="G99" s="25"/>
      <c r="H99" s="34">
        <f t="shared" si="66"/>
        <v>123700</v>
      </c>
      <c r="I99" s="34"/>
      <c r="J99" s="35">
        <f t="shared" si="67"/>
        <v>9.8275999046635416</v>
      </c>
      <c r="K99" s="35"/>
      <c r="L99" s="26"/>
    </row>
    <row r="100" spans="1:12" s="24" customFormat="1" ht="20.100000000000001" customHeight="1" x14ac:dyDescent="0.3">
      <c r="A100" s="50" t="s">
        <v>130</v>
      </c>
      <c r="B100" s="49"/>
      <c r="C100" s="49"/>
      <c r="D100" s="49"/>
      <c r="E100" s="33"/>
      <c r="F100" s="25"/>
      <c r="G100" s="25"/>
      <c r="H100" s="22"/>
      <c r="I100" s="22"/>
      <c r="J100" s="23"/>
      <c r="K100" s="23"/>
      <c r="L100" s="26"/>
    </row>
    <row r="101" spans="1:12" s="24" customFormat="1" ht="20.100000000000001" customHeight="1" x14ac:dyDescent="0.3">
      <c r="A101" s="51" t="s">
        <v>68</v>
      </c>
      <c r="B101" s="49">
        <v>3</v>
      </c>
      <c r="C101" s="49">
        <v>63000</v>
      </c>
      <c r="D101" s="49">
        <v>189000</v>
      </c>
      <c r="E101" s="33">
        <v>54300</v>
      </c>
      <c r="F101" s="25"/>
      <c r="G101" s="25"/>
      <c r="H101" s="34">
        <f t="shared" ref="H101:H102" si="68">D101-(E101*B101)-G101</f>
        <v>26100</v>
      </c>
      <c r="I101" s="34"/>
      <c r="J101" s="35">
        <f t="shared" ref="J101:J102" si="69">(H101/D101)*100</f>
        <v>13.80952380952381</v>
      </c>
      <c r="K101" s="35"/>
      <c r="L101" s="26"/>
    </row>
    <row r="102" spans="1:12" s="24" customFormat="1" ht="20.100000000000001" customHeight="1" x14ac:dyDescent="0.3">
      <c r="A102" s="51" t="s">
        <v>20</v>
      </c>
      <c r="B102" s="49">
        <v>1</v>
      </c>
      <c r="C102" s="49">
        <v>69600</v>
      </c>
      <c r="D102" s="49">
        <v>69600</v>
      </c>
      <c r="E102" s="33">
        <v>46600</v>
      </c>
      <c r="F102" s="25"/>
      <c r="G102" s="25"/>
      <c r="H102" s="34">
        <f t="shared" si="68"/>
        <v>23000</v>
      </c>
      <c r="I102" s="34"/>
      <c r="J102" s="35">
        <f t="shared" si="69"/>
        <v>33.045977011494251</v>
      </c>
      <c r="K102" s="35"/>
      <c r="L102" s="26"/>
    </row>
    <row r="103" spans="1:12" s="24" customFormat="1" ht="20.100000000000001" customHeight="1" x14ac:dyDescent="0.3">
      <c r="A103" s="50" t="s">
        <v>75</v>
      </c>
      <c r="B103" s="49"/>
      <c r="C103" s="49"/>
      <c r="D103" s="49"/>
      <c r="E103" s="33"/>
      <c r="F103" s="25"/>
      <c r="G103" s="25"/>
      <c r="H103" s="22"/>
      <c r="I103" s="22"/>
      <c r="J103" s="23"/>
      <c r="K103" s="23"/>
      <c r="L103" s="26"/>
    </row>
    <row r="104" spans="1:12" s="24" customFormat="1" ht="20.100000000000001" customHeight="1" x14ac:dyDescent="0.3">
      <c r="A104" s="51" t="s">
        <v>50</v>
      </c>
      <c r="B104" s="49">
        <v>2</v>
      </c>
      <c r="C104" s="49">
        <v>63000</v>
      </c>
      <c r="D104" s="49">
        <v>126000</v>
      </c>
      <c r="E104" s="33">
        <v>53900</v>
      </c>
      <c r="F104" s="25"/>
      <c r="G104" s="25"/>
      <c r="H104" s="34">
        <f t="shared" ref="H104:H105" si="70">D104-(E104*B104)-G104</f>
        <v>18200</v>
      </c>
      <c r="I104" s="34"/>
      <c r="J104" s="35">
        <f t="shared" ref="J104:J105" si="71">(H104/D104)*100</f>
        <v>14.444444444444443</v>
      </c>
      <c r="K104" s="35"/>
      <c r="L104" s="27"/>
    </row>
    <row r="105" spans="1:12" s="24" customFormat="1" ht="20.100000000000001" customHeight="1" x14ac:dyDescent="0.3">
      <c r="A105" s="51" t="s">
        <v>101</v>
      </c>
      <c r="B105" s="49">
        <v>2</v>
      </c>
      <c r="C105" s="49">
        <v>63000</v>
      </c>
      <c r="D105" s="49">
        <v>126000</v>
      </c>
      <c r="E105" s="33">
        <v>53900</v>
      </c>
      <c r="F105" s="25"/>
      <c r="G105" s="25"/>
      <c r="H105" s="34">
        <f t="shared" si="70"/>
        <v>18200</v>
      </c>
      <c r="I105" s="34"/>
      <c r="J105" s="35">
        <f t="shared" si="71"/>
        <v>14.444444444444443</v>
      </c>
      <c r="K105" s="35"/>
      <c r="L105" s="26"/>
    </row>
    <row r="106" spans="1:12" s="24" customFormat="1" ht="20.100000000000001" customHeight="1" x14ac:dyDescent="0.3">
      <c r="A106" s="50" t="s">
        <v>131</v>
      </c>
      <c r="B106" s="49"/>
      <c r="C106" s="49"/>
      <c r="D106" s="49"/>
      <c r="E106" s="33"/>
      <c r="F106" s="25"/>
      <c r="G106" s="25"/>
      <c r="H106" s="22"/>
      <c r="I106" s="22"/>
      <c r="J106" s="23"/>
      <c r="K106" s="23"/>
      <c r="L106" s="26"/>
    </row>
    <row r="107" spans="1:12" s="24" customFormat="1" ht="20.100000000000001" customHeight="1" x14ac:dyDescent="0.3">
      <c r="A107" s="51" t="s">
        <v>71</v>
      </c>
      <c r="B107" s="49">
        <v>1</v>
      </c>
      <c r="C107" s="49">
        <v>73000</v>
      </c>
      <c r="D107" s="49">
        <v>73000</v>
      </c>
      <c r="E107" s="33">
        <v>55400</v>
      </c>
      <c r="F107" s="25"/>
      <c r="G107" s="25"/>
      <c r="H107" s="34">
        <f t="shared" ref="H107" si="72">D107-(E107*B107)-G107</f>
        <v>17600</v>
      </c>
      <c r="I107" s="34"/>
      <c r="J107" s="35">
        <f t="shared" ref="J107" si="73">(H107/D107)*100</f>
        <v>24.109589041095891</v>
      </c>
      <c r="K107" s="35"/>
      <c r="L107" s="26"/>
    </row>
    <row r="108" spans="1:12" s="24" customFormat="1" ht="20.100000000000001" customHeight="1" x14ac:dyDescent="0.3">
      <c r="A108" s="50" t="s">
        <v>76</v>
      </c>
      <c r="B108" s="49"/>
      <c r="C108" s="49"/>
      <c r="D108" s="49"/>
      <c r="E108" s="33"/>
      <c r="F108" s="25"/>
      <c r="G108" s="25"/>
      <c r="H108" s="22"/>
      <c r="I108" s="22"/>
      <c r="J108" s="23"/>
      <c r="K108" s="23"/>
      <c r="L108" s="26"/>
    </row>
    <row r="109" spans="1:12" s="24" customFormat="1" ht="20.100000000000001" customHeight="1" x14ac:dyDescent="0.3">
      <c r="A109" s="51" t="s">
        <v>569</v>
      </c>
      <c r="B109" s="49">
        <v>1</v>
      </c>
      <c r="C109" s="49">
        <v>3195000</v>
      </c>
      <c r="D109" s="49">
        <v>3195000</v>
      </c>
      <c r="E109" s="33">
        <v>287000</v>
      </c>
      <c r="F109" s="25"/>
      <c r="G109" s="25"/>
      <c r="H109" s="34">
        <f t="shared" ref="H109:H110" si="74">D109-(E109*B109)-G109</f>
        <v>2908000</v>
      </c>
      <c r="I109" s="34"/>
      <c r="J109" s="35">
        <f t="shared" ref="J109:J110" si="75">(H109/D109)*100</f>
        <v>91.017214397496076</v>
      </c>
      <c r="K109" s="35"/>
      <c r="L109" s="26"/>
    </row>
    <row r="110" spans="1:12" s="24" customFormat="1" ht="20.100000000000001" customHeight="1" x14ac:dyDescent="0.3">
      <c r="A110" s="51" t="s">
        <v>215</v>
      </c>
      <c r="B110" s="49">
        <v>5</v>
      </c>
      <c r="C110" s="49">
        <v>675000</v>
      </c>
      <c r="D110" s="49">
        <v>3375000</v>
      </c>
      <c r="E110" s="33">
        <v>654000</v>
      </c>
      <c r="F110" s="25"/>
      <c r="G110" s="25"/>
      <c r="H110" s="34">
        <f t="shared" si="74"/>
        <v>105000</v>
      </c>
      <c r="I110" s="34"/>
      <c r="J110" s="35">
        <f t="shared" si="75"/>
        <v>3.1111111111111112</v>
      </c>
      <c r="K110" s="35"/>
      <c r="L110" s="26"/>
    </row>
    <row r="111" spans="1:12" s="24" customFormat="1" ht="20.100000000000001" customHeight="1" x14ac:dyDescent="0.3">
      <c r="A111" s="50" t="s">
        <v>419</v>
      </c>
      <c r="B111" s="49"/>
      <c r="C111" s="49"/>
      <c r="D111" s="49"/>
      <c r="E111" s="33"/>
      <c r="F111" s="25"/>
      <c r="G111" s="25"/>
      <c r="H111" s="22"/>
      <c r="I111" s="22"/>
      <c r="J111" s="23"/>
      <c r="K111" s="23"/>
      <c r="L111" s="27"/>
    </row>
    <row r="112" spans="1:12" s="24" customFormat="1" ht="20.100000000000001" customHeight="1" x14ac:dyDescent="0.3">
      <c r="A112" s="51" t="s">
        <v>33</v>
      </c>
      <c r="B112" s="49">
        <v>16</v>
      </c>
      <c r="C112" s="49">
        <v>310000</v>
      </c>
      <c r="D112" s="49">
        <v>4960000</v>
      </c>
      <c r="E112" s="33">
        <v>289000</v>
      </c>
      <c r="F112" s="25"/>
      <c r="G112" s="25"/>
      <c r="H112" s="34">
        <f t="shared" ref="H112" si="76">D112-(E112*B112)-G112</f>
        <v>336000</v>
      </c>
      <c r="I112" s="34"/>
      <c r="J112" s="35">
        <f t="shared" ref="J112" si="77">(H112/D112)*100</f>
        <v>6.7741935483870979</v>
      </c>
      <c r="K112" s="35"/>
      <c r="L112" s="26"/>
    </row>
    <row r="113" spans="1:12" s="24" customFormat="1" ht="20.100000000000001" customHeight="1" x14ac:dyDescent="0.3">
      <c r="A113" s="50" t="s">
        <v>318</v>
      </c>
      <c r="B113" s="49"/>
      <c r="C113" s="49"/>
      <c r="D113" s="49"/>
      <c r="E113" s="33"/>
      <c r="F113" s="25"/>
      <c r="G113" s="25"/>
      <c r="H113" s="22"/>
      <c r="I113" s="22"/>
      <c r="J113" s="23"/>
      <c r="K113" s="23"/>
      <c r="L113" s="27"/>
    </row>
    <row r="114" spans="1:12" s="24" customFormat="1" ht="20.100000000000001" customHeight="1" x14ac:dyDescent="0.3">
      <c r="A114" s="51" t="s">
        <v>191</v>
      </c>
      <c r="B114" s="49">
        <v>8</v>
      </c>
      <c r="C114" s="49">
        <v>34300</v>
      </c>
      <c r="D114" s="49">
        <v>274400</v>
      </c>
      <c r="E114" s="33">
        <v>31200</v>
      </c>
      <c r="F114" s="25"/>
      <c r="G114" s="25"/>
      <c r="H114" s="34">
        <f t="shared" ref="H114:H115" si="78">D114-(E114*B114)-G114</f>
        <v>24800</v>
      </c>
      <c r="I114" s="34"/>
      <c r="J114" s="35">
        <f t="shared" ref="J114:J115" si="79">(H114/D114)*100</f>
        <v>9.037900874635568</v>
      </c>
      <c r="K114" s="35"/>
      <c r="L114" s="26"/>
    </row>
    <row r="115" spans="1:12" s="24" customFormat="1" ht="20.100000000000001" customHeight="1" x14ac:dyDescent="0.3">
      <c r="A115" s="51" t="s">
        <v>33</v>
      </c>
      <c r="B115" s="49">
        <v>2</v>
      </c>
      <c r="C115" s="49">
        <v>320000</v>
      </c>
      <c r="D115" s="49">
        <v>640000</v>
      </c>
      <c r="E115" s="33">
        <v>289000</v>
      </c>
      <c r="F115" s="25"/>
      <c r="G115" s="25"/>
      <c r="H115" s="34">
        <f t="shared" si="78"/>
        <v>62000</v>
      </c>
      <c r="I115" s="34"/>
      <c r="J115" s="35">
        <f t="shared" si="79"/>
        <v>9.6875</v>
      </c>
      <c r="K115" s="35"/>
      <c r="L115" s="26"/>
    </row>
    <row r="116" spans="1:12" s="24" customFormat="1" ht="20.100000000000001" customHeight="1" x14ac:dyDescent="0.3">
      <c r="A116" s="50" t="s">
        <v>77</v>
      </c>
      <c r="B116" s="49"/>
      <c r="C116" s="49"/>
      <c r="D116" s="49"/>
      <c r="E116" s="33"/>
      <c r="F116" s="25"/>
      <c r="G116" s="25"/>
      <c r="H116" s="22"/>
      <c r="I116" s="22"/>
      <c r="J116" s="23"/>
      <c r="K116" s="23"/>
      <c r="L116" s="27"/>
    </row>
    <row r="117" spans="1:12" s="24" customFormat="1" ht="20.100000000000001" customHeight="1" x14ac:dyDescent="0.3">
      <c r="A117" s="51" t="s">
        <v>67</v>
      </c>
      <c r="B117" s="49">
        <v>1</v>
      </c>
      <c r="C117" s="49">
        <v>93000</v>
      </c>
      <c r="D117" s="49">
        <v>93000</v>
      </c>
      <c r="E117" s="33">
        <v>66400</v>
      </c>
      <c r="F117" s="25"/>
      <c r="G117" s="25"/>
      <c r="H117" s="34">
        <f t="shared" ref="H117" si="80">D117-(E117*B117)-G117</f>
        <v>26600</v>
      </c>
      <c r="I117" s="34"/>
      <c r="J117" s="35">
        <f t="shared" ref="J117" si="81">(H117/D117)*100</f>
        <v>28.602150537634408</v>
      </c>
      <c r="K117" s="35"/>
      <c r="L117" s="27"/>
    </row>
    <row r="118" spans="1:12" s="24" customFormat="1" ht="20.100000000000001" customHeight="1" x14ac:dyDescent="0.3">
      <c r="A118" s="52" t="s">
        <v>78</v>
      </c>
      <c r="B118" s="49"/>
      <c r="C118" s="49"/>
      <c r="D118" s="49"/>
      <c r="E118" s="33"/>
      <c r="F118" s="25"/>
      <c r="G118" s="25"/>
      <c r="H118" s="22"/>
      <c r="I118" s="22"/>
      <c r="J118" s="23"/>
      <c r="K118" s="23"/>
      <c r="L118" s="27"/>
    </row>
    <row r="119" spans="1:12" s="24" customFormat="1" ht="20.100000000000001" customHeight="1" x14ac:dyDescent="0.3">
      <c r="A119" s="50" t="s">
        <v>81</v>
      </c>
      <c r="B119" s="49"/>
      <c r="C119" s="49"/>
      <c r="D119" s="49"/>
      <c r="E119" s="33"/>
      <c r="F119" s="25"/>
      <c r="G119" s="25"/>
      <c r="H119" s="22"/>
      <c r="I119" s="22"/>
      <c r="J119" s="23"/>
      <c r="K119" s="23"/>
      <c r="L119" s="26"/>
    </row>
    <row r="120" spans="1:12" s="24" customFormat="1" ht="20.100000000000001" customHeight="1" x14ac:dyDescent="0.3">
      <c r="A120" s="51" t="s">
        <v>520</v>
      </c>
      <c r="B120" s="49">
        <v>4</v>
      </c>
      <c r="C120" s="49">
        <v>520000</v>
      </c>
      <c r="D120" s="49">
        <v>2080000</v>
      </c>
      <c r="E120" s="33">
        <v>465000</v>
      </c>
      <c r="F120" s="25"/>
      <c r="G120" s="25"/>
      <c r="H120" s="34">
        <f t="shared" ref="H120" si="82">D120-(E120*B120)-G120</f>
        <v>220000</v>
      </c>
      <c r="I120" s="34"/>
      <c r="J120" s="35">
        <f t="shared" ref="J120" si="83">(H120/D120)*100</f>
        <v>10.576923076923077</v>
      </c>
      <c r="K120" s="35"/>
      <c r="L120" s="26"/>
    </row>
    <row r="121" spans="1:12" s="24" customFormat="1" ht="20.100000000000001" customHeight="1" x14ac:dyDescent="0.3">
      <c r="A121" s="52" t="s">
        <v>16</v>
      </c>
      <c r="B121" s="49"/>
      <c r="C121" s="49"/>
      <c r="D121" s="49"/>
      <c r="E121" s="33"/>
      <c r="F121" s="25"/>
      <c r="G121" s="25"/>
      <c r="H121" s="22"/>
      <c r="I121" s="22"/>
      <c r="J121" s="23"/>
      <c r="K121" s="23"/>
      <c r="L121" s="27"/>
    </row>
    <row r="122" spans="1:12" s="24" customFormat="1" ht="19.5" customHeight="1" x14ac:dyDescent="0.3">
      <c r="A122" s="50" t="s">
        <v>604</v>
      </c>
      <c r="B122" s="49"/>
      <c r="C122" s="49"/>
      <c r="D122" s="49"/>
      <c r="E122" s="33"/>
      <c r="F122" s="25"/>
      <c r="G122" s="25"/>
      <c r="H122" s="22"/>
      <c r="I122" s="22"/>
      <c r="J122" s="23"/>
      <c r="K122" s="23"/>
      <c r="L122" s="26"/>
    </row>
    <row r="123" spans="1:12" s="24" customFormat="1" ht="20.100000000000001" customHeight="1" x14ac:dyDescent="0.3">
      <c r="A123" s="51" t="s">
        <v>605</v>
      </c>
      <c r="B123" s="49">
        <v>10</v>
      </c>
      <c r="C123" s="49">
        <v>470000</v>
      </c>
      <c r="D123" s="49">
        <v>4700000</v>
      </c>
      <c r="E123" s="33">
        <v>392000</v>
      </c>
      <c r="F123" s="25"/>
      <c r="G123" s="25"/>
      <c r="H123" s="34">
        <f t="shared" ref="H123" si="84">D123-(E123*B123)-G123</f>
        <v>780000</v>
      </c>
      <c r="I123" s="34"/>
      <c r="J123" s="35">
        <f t="shared" ref="J123" si="85">(H123/D123)*100</f>
        <v>16.595744680851062</v>
      </c>
      <c r="K123" s="35"/>
      <c r="L123" s="26"/>
    </row>
    <row r="124" spans="1:12" s="24" customFormat="1" ht="20.100000000000001" customHeight="1" x14ac:dyDescent="0.3">
      <c r="A124" s="50" t="s">
        <v>265</v>
      </c>
      <c r="B124" s="49"/>
      <c r="C124" s="49"/>
      <c r="D124" s="49"/>
      <c r="E124" s="33"/>
      <c r="F124" s="25"/>
      <c r="G124" s="25"/>
      <c r="H124" s="22"/>
      <c r="I124" s="22"/>
      <c r="J124" s="23"/>
      <c r="K124" s="23"/>
      <c r="L124" s="27"/>
    </row>
    <row r="125" spans="1:12" s="24" customFormat="1" ht="20.100000000000001" customHeight="1" x14ac:dyDescent="0.3">
      <c r="A125" s="51" t="s">
        <v>614</v>
      </c>
      <c r="B125" s="49">
        <v>1</v>
      </c>
      <c r="C125" s="49">
        <v>66000</v>
      </c>
      <c r="D125" s="49">
        <v>66000</v>
      </c>
      <c r="E125" s="33">
        <v>58000</v>
      </c>
      <c r="F125" s="25"/>
      <c r="G125" s="25"/>
      <c r="H125" s="34">
        <f t="shared" ref="H125" si="86">D125-(E125*B125)-G125</f>
        <v>8000</v>
      </c>
      <c r="I125" s="34"/>
      <c r="J125" s="35">
        <f t="shared" ref="J125" si="87">(H125/D125)*100</f>
        <v>12.121212121212121</v>
      </c>
      <c r="K125" s="35"/>
      <c r="L125" s="26"/>
    </row>
    <row r="126" spans="1:12" s="24" customFormat="1" ht="20.100000000000001" customHeight="1" x14ac:dyDescent="0.3">
      <c r="A126" s="50" t="s">
        <v>606</v>
      </c>
      <c r="B126" s="49"/>
      <c r="C126" s="49"/>
      <c r="D126" s="49"/>
      <c r="E126" s="33"/>
      <c r="F126" s="25"/>
      <c r="G126" s="25"/>
      <c r="H126" s="22"/>
      <c r="I126" s="22"/>
      <c r="J126" s="23"/>
      <c r="K126" s="23"/>
      <c r="L126" s="27"/>
    </row>
    <row r="127" spans="1:12" s="24" customFormat="1" ht="20.100000000000001" customHeight="1" x14ac:dyDescent="0.3">
      <c r="A127" s="51" t="s">
        <v>607</v>
      </c>
      <c r="B127" s="49">
        <v>1</v>
      </c>
      <c r="C127" s="49">
        <v>890000</v>
      </c>
      <c r="D127" s="49">
        <v>890000</v>
      </c>
      <c r="E127" s="33">
        <v>755000</v>
      </c>
      <c r="F127" s="25"/>
      <c r="G127" s="25"/>
      <c r="H127" s="34">
        <f t="shared" ref="H127" si="88">D127-(E127*B127)-G127</f>
        <v>135000</v>
      </c>
      <c r="I127" s="34"/>
      <c r="J127" s="35">
        <f t="shared" ref="J127" si="89">(H127/D127)*100</f>
        <v>15.168539325842698</v>
      </c>
      <c r="K127" s="35"/>
      <c r="L127" s="27"/>
    </row>
    <row r="128" spans="1:12" s="24" customFormat="1" ht="20.100000000000001" customHeight="1" x14ac:dyDescent="0.3">
      <c r="A128" s="53" t="s">
        <v>27</v>
      </c>
      <c r="B128" s="49"/>
      <c r="C128" s="49"/>
      <c r="D128" s="49"/>
      <c r="E128" s="33"/>
      <c r="F128" s="25"/>
      <c r="G128" s="25"/>
      <c r="H128" s="22"/>
      <c r="I128" s="22"/>
      <c r="J128" s="23"/>
      <c r="K128" s="23"/>
      <c r="L128" s="26"/>
    </row>
    <row r="129" spans="1:12" s="24" customFormat="1" ht="20.100000000000001" customHeight="1" x14ac:dyDescent="0.3">
      <c r="A129" s="52" t="s">
        <v>21</v>
      </c>
      <c r="B129" s="49"/>
      <c r="C129" s="49"/>
      <c r="D129" s="49"/>
      <c r="E129" s="33"/>
      <c r="F129" s="25"/>
      <c r="G129" s="25"/>
      <c r="H129" s="22"/>
      <c r="I129" s="22"/>
      <c r="J129" s="23"/>
      <c r="K129" s="23"/>
      <c r="L129" s="26"/>
    </row>
    <row r="130" spans="1:12" s="24" customFormat="1" ht="20.100000000000001" customHeight="1" x14ac:dyDescent="0.3">
      <c r="A130" s="50" t="s">
        <v>608</v>
      </c>
      <c r="B130" s="49"/>
      <c r="C130" s="49"/>
      <c r="D130" s="49"/>
      <c r="E130" s="33"/>
      <c r="F130" s="25"/>
      <c r="G130" s="25"/>
      <c r="H130" s="22"/>
      <c r="I130" s="22"/>
      <c r="J130" s="23"/>
      <c r="K130" s="23"/>
      <c r="L130" s="27"/>
    </row>
    <row r="131" spans="1:12" s="24" customFormat="1" ht="20.100000000000001" customHeight="1" x14ac:dyDescent="0.3">
      <c r="A131" s="51" t="s">
        <v>25</v>
      </c>
      <c r="B131" s="49">
        <v>4</v>
      </c>
      <c r="C131" s="49">
        <v>540000</v>
      </c>
      <c r="D131" s="49">
        <v>2160000</v>
      </c>
      <c r="E131" s="33">
        <v>492000</v>
      </c>
      <c r="F131" s="25"/>
      <c r="G131" s="25"/>
      <c r="H131" s="34">
        <f t="shared" ref="H131" si="90">D131-(E131*B131)-G131</f>
        <v>192000</v>
      </c>
      <c r="I131" s="34"/>
      <c r="J131" s="35">
        <f t="shared" ref="J131" si="91">(H131/D131)*100</f>
        <v>8.8888888888888893</v>
      </c>
      <c r="K131" s="35"/>
      <c r="L131" s="26"/>
    </row>
    <row r="132" spans="1:12" s="24" customFormat="1" ht="20.100000000000001" customHeight="1" x14ac:dyDescent="0.3">
      <c r="A132" s="50" t="s">
        <v>35</v>
      </c>
      <c r="B132" s="49"/>
      <c r="C132" s="49"/>
      <c r="D132" s="49"/>
      <c r="E132" s="33"/>
      <c r="F132" s="25"/>
      <c r="G132" s="25"/>
      <c r="H132" s="22"/>
      <c r="I132" s="22"/>
      <c r="J132" s="23"/>
      <c r="K132" s="23"/>
      <c r="L132" s="27"/>
    </row>
    <row r="133" spans="1:12" s="24" customFormat="1" ht="20.100000000000001" customHeight="1" x14ac:dyDescent="0.3">
      <c r="A133" s="51" t="s">
        <v>198</v>
      </c>
      <c r="B133" s="49">
        <v>2</v>
      </c>
      <c r="C133" s="49">
        <v>918000</v>
      </c>
      <c r="D133" s="49">
        <v>1836000</v>
      </c>
      <c r="E133" s="33">
        <v>616000</v>
      </c>
      <c r="F133" s="25"/>
      <c r="G133" s="25"/>
      <c r="H133" s="34">
        <f t="shared" ref="H133" si="92">D133-(E133*B133)-G133</f>
        <v>604000</v>
      </c>
      <c r="I133" s="34"/>
      <c r="J133" s="35">
        <f t="shared" ref="J133" si="93">(H133/D133)*100</f>
        <v>32.897603485838779</v>
      </c>
      <c r="K133" s="35"/>
      <c r="L133" s="27"/>
    </row>
    <row r="134" spans="1:12" s="24" customFormat="1" ht="20.100000000000001" customHeight="1" x14ac:dyDescent="0.3">
      <c r="A134" s="50" t="s">
        <v>268</v>
      </c>
      <c r="B134" s="49"/>
      <c r="C134" s="49"/>
      <c r="D134" s="49"/>
      <c r="E134" s="33"/>
      <c r="F134" s="25"/>
      <c r="G134" s="25"/>
      <c r="H134" s="22"/>
      <c r="I134" s="22"/>
      <c r="J134" s="23"/>
      <c r="K134" s="23"/>
      <c r="L134" s="26"/>
    </row>
    <row r="135" spans="1:12" s="24" customFormat="1" ht="20.100000000000001" customHeight="1" x14ac:dyDescent="0.3">
      <c r="A135" s="51" t="s">
        <v>609</v>
      </c>
      <c r="B135" s="49">
        <v>3</v>
      </c>
      <c r="C135" s="49">
        <v>840000</v>
      </c>
      <c r="D135" s="49">
        <v>2520000</v>
      </c>
      <c r="E135" s="33">
        <v>687000</v>
      </c>
      <c r="F135" s="25"/>
      <c r="G135" s="25"/>
      <c r="H135" s="34">
        <f t="shared" ref="H135:H136" si="94">D135-(E135*B135)-G135</f>
        <v>459000</v>
      </c>
      <c r="I135" s="34"/>
      <c r="J135" s="35">
        <f t="shared" ref="J135:J136" si="95">(H135/D135)*100</f>
        <v>18.214285714285712</v>
      </c>
      <c r="K135" s="35"/>
      <c r="L135" s="26"/>
    </row>
    <row r="136" spans="1:12" s="24" customFormat="1" ht="20.100000000000001" customHeight="1" thickBot="1" x14ac:dyDescent="0.35">
      <c r="A136" s="58" t="s">
        <v>610</v>
      </c>
      <c r="B136" s="59">
        <v>2</v>
      </c>
      <c r="C136" s="59">
        <v>267000</v>
      </c>
      <c r="D136" s="59">
        <v>534000</v>
      </c>
      <c r="E136" s="33">
        <v>222000</v>
      </c>
      <c r="F136" s="25"/>
      <c r="G136" s="25"/>
      <c r="H136" s="34">
        <f t="shared" si="94"/>
        <v>90000</v>
      </c>
      <c r="I136" s="34"/>
      <c r="J136" s="35">
        <f t="shared" si="95"/>
        <v>16.853932584269664</v>
      </c>
      <c r="K136" s="35"/>
      <c r="L136" s="26"/>
    </row>
    <row r="137" spans="1:12" s="10" customFormat="1" ht="27" customHeight="1" thickBot="1" x14ac:dyDescent="0.35">
      <c r="A137" s="32"/>
      <c r="B137" s="28"/>
      <c r="C137" s="28"/>
      <c r="D137" s="28">
        <f t="shared" ref="D137:I137" si="96">SUM(D6:D136)</f>
        <v>97504348</v>
      </c>
      <c r="E137" s="28">
        <f t="shared" si="96"/>
        <v>18812000</v>
      </c>
      <c r="F137" s="28">
        <f t="shared" si="96"/>
        <v>449000</v>
      </c>
      <c r="G137" s="28">
        <f t="shared" si="96"/>
        <v>0</v>
      </c>
      <c r="H137" s="28">
        <f t="shared" si="96"/>
        <v>23586748</v>
      </c>
      <c r="I137" s="28">
        <f t="shared" si="96"/>
        <v>168000</v>
      </c>
      <c r="J137" s="29">
        <f>(H137/D137)*100</f>
        <v>24.1904576398993</v>
      </c>
      <c r="K137" s="30">
        <f>(I137/D137)*100</f>
        <v>0.17230000861089806</v>
      </c>
      <c r="L137" s="31"/>
    </row>
  </sheetData>
  <autoFilter ref="B5:K137" xr:uid="{00000000-0009-0000-0000-000000000000}"/>
  <mergeCells count="8">
    <mergeCell ref="A1:L1"/>
    <mergeCell ref="A2:L2"/>
    <mergeCell ref="A4:A5"/>
    <mergeCell ref="B4:D4"/>
    <mergeCell ref="E4:G4"/>
    <mergeCell ref="H4:I4"/>
    <mergeCell ref="J4:K4"/>
    <mergeCell ref="L4:L5"/>
  </mergeCells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opLeftCell="A2" zoomScale="85" zoomScaleNormal="85" zoomScaleSheetLayoutView="75" workbookViewId="0">
      <pane ySplit="4" topLeftCell="A6" activePane="bottomLeft" state="frozen"/>
      <selection activeCell="G23" sqref="G23"/>
      <selection pane="bottomLeft" activeCell="D23" sqref="D23"/>
    </sheetView>
  </sheetViews>
  <sheetFormatPr defaultColWidth="9" defaultRowHeight="19.5" customHeight="1" x14ac:dyDescent="0.3"/>
  <cols>
    <col min="1" max="1" width="58.5" style="9" bestFit="1" customWidth="1"/>
    <col min="2" max="2" width="14.25" style="7" customWidth="1"/>
    <col min="3" max="3" width="14.25" style="8" customWidth="1"/>
    <col min="4" max="4" width="15.375" style="7" customWidth="1"/>
    <col min="5" max="6" width="14.25" style="6" customWidth="1"/>
    <col min="7" max="7" width="14.25" style="5" customWidth="1"/>
    <col min="8" max="9" width="14.75" style="5" customWidth="1"/>
    <col min="10" max="10" width="14.75" style="4" customWidth="1"/>
    <col min="11" max="11" width="14.75" style="3" customWidth="1"/>
    <col min="12" max="12" width="47.125" style="2" customWidth="1"/>
    <col min="13" max="16384" width="9" style="1"/>
  </cols>
  <sheetData>
    <row r="1" spans="1:12" s="9" customFormat="1" ht="47.25" customHeight="1" thickBot="1" x14ac:dyDescent="0.35">
      <c r="A1" s="60" t="s">
        <v>15</v>
      </c>
      <c r="B1" s="60"/>
      <c r="C1" s="60"/>
      <c r="D1" s="60"/>
      <c r="E1" s="61"/>
      <c r="F1" s="62"/>
      <c r="G1" s="60"/>
      <c r="H1" s="60"/>
      <c r="I1" s="60"/>
      <c r="J1" s="60"/>
      <c r="K1" s="60"/>
      <c r="L1" s="60"/>
    </row>
    <row r="2" spans="1:12" s="9" customFormat="1" ht="60.75" customHeight="1" thickTop="1" thickBot="1" x14ac:dyDescent="0.35">
      <c r="A2" s="60" t="s">
        <v>342</v>
      </c>
      <c r="B2" s="60"/>
      <c r="C2" s="60"/>
      <c r="D2" s="60"/>
      <c r="E2" s="60"/>
      <c r="F2" s="63"/>
      <c r="G2" s="60"/>
      <c r="H2" s="60"/>
      <c r="I2" s="60"/>
      <c r="J2" s="60"/>
      <c r="K2" s="60"/>
      <c r="L2" s="60"/>
    </row>
    <row r="3" spans="1:12" s="9" customFormat="1" ht="12.75" customHeight="1" thickTop="1" x14ac:dyDescent="0.3">
      <c r="A3" s="21"/>
      <c r="B3" s="7"/>
      <c r="C3" s="8"/>
      <c r="D3" s="7"/>
      <c r="E3" s="20"/>
      <c r="F3" s="20"/>
      <c r="G3" s="5"/>
      <c r="H3" s="5"/>
      <c r="I3" s="5"/>
      <c r="J3" s="19"/>
      <c r="K3" s="18"/>
      <c r="L3" s="2"/>
    </row>
    <row r="4" spans="1:12" ht="31.5" customHeight="1" thickBot="1" x14ac:dyDescent="0.35">
      <c r="A4" s="64" t="s">
        <v>548</v>
      </c>
      <c r="B4" s="66" t="s">
        <v>14</v>
      </c>
      <c r="C4" s="67"/>
      <c r="D4" s="68"/>
      <c r="E4" s="69" t="s">
        <v>13</v>
      </c>
      <c r="F4" s="70"/>
      <c r="G4" s="71"/>
      <c r="H4" s="69" t="s">
        <v>12</v>
      </c>
      <c r="I4" s="71"/>
      <c r="J4" s="72" t="s">
        <v>11</v>
      </c>
      <c r="K4" s="73"/>
      <c r="L4" s="74" t="s">
        <v>10</v>
      </c>
    </row>
    <row r="5" spans="1:12" s="11" customFormat="1" ht="30" customHeight="1" x14ac:dyDescent="0.3">
      <c r="A5" s="65"/>
      <c r="B5" s="17" t="s">
        <v>9</v>
      </c>
      <c r="C5" s="17" t="s">
        <v>8</v>
      </c>
      <c r="D5" s="17" t="s">
        <v>7</v>
      </c>
      <c r="E5" s="16" t="s">
        <v>32</v>
      </c>
      <c r="F5" s="16" t="s">
        <v>6</v>
      </c>
      <c r="G5" s="15" t="s">
        <v>5</v>
      </c>
      <c r="H5" s="14" t="s">
        <v>4</v>
      </c>
      <c r="I5" s="14" t="s">
        <v>3</v>
      </c>
      <c r="J5" s="13" t="s">
        <v>2</v>
      </c>
      <c r="K5" s="12" t="s">
        <v>1</v>
      </c>
      <c r="L5" s="75"/>
    </row>
    <row r="6" spans="1:12" s="24" customFormat="1" ht="20.100000000000001" customHeight="1" x14ac:dyDescent="0.3">
      <c r="A6" s="53" t="s">
        <v>28</v>
      </c>
      <c r="B6" s="49"/>
      <c r="C6" s="49"/>
      <c r="D6" s="49"/>
      <c r="E6" s="33"/>
      <c r="F6" s="25"/>
      <c r="G6" s="25"/>
      <c r="H6" s="22"/>
      <c r="I6" s="22"/>
      <c r="J6" s="23"/>
      <c r="K6" s="23"/>
      <c r="L6" s="26"/>
    </row>
    <row r="7" spans="1:12" s="24" customFormat="1" ht="20.100000000000001" customHeight="1" x14ac:dyDescent="0.3">
      <c r="A7" s="52" t="s">
        <v>17</v>
      </c>
      <c r="B7" s="49"/>
      <c r="C7" s="49"/>
      <c r="D7" s="49"/>
      <c r="E7" s="33"/>
      <c r="F7" s="25"/>
      <c r="G7" s="25"/>
      <c r="H7" s="22"/>
      <c r="I7" s="22"/>
      <c r="J7" s="23"/>
      <c r="K7" s="23"/>
      <c r="L7" s="27"/>
    </row>
    <row r="8" spans="1:12" s="24" customFormat="1" ht="20.100000000000001" customHeight="1" x14ac:dyDescent="0.3">
      <c r="A8" s="50" t="s">
        <v>284</v>
      </c>
      <c r="B8" s="49"/>
      <c r="C8" s="49"/>
      <c r="D8" s="49"/>
      <c r="E8" s="33"/>
      <c r="F8" s="25"/>
      <c r="G8" s="25"/>
      <c r="H8" s="22"/>
      <c r="I8" s="22"/>
      <c r="J8" s="23"/>
      <c r="K8" s="23"/>
      <c r="L8" s="27"/>
    </row>
    <row r="9" spans="1:12" s="24" customFormat="1" ht="20.100000000000001" customHeight="1" x14ac:dyDescent="0.3">
      <c r="A9" s="51" t="s">
        <v>179</v>
      </c>
      <c r="B9" s="49">
        <v>35</v>
      </c>
      <c r="C9" s="49">
        <v>774000</v>
      </c>
      <c r="D9" s="49">
        <v>27090000</v>
      </c>
      <c r="E9" s="33">
        <v>641000</v>
      </c>
      <c r="F9" s="25"/>
      <c r="G9" s="25">
        <v>60000</v>
      </c>
      <c r="H9" s="34">
        <f t="shared" ref="H9" si="0">D9-(E9*B9)-G9</f>
        <v>4595000</v>
      </c>
      <c r="I9" s="34"/>
      <c r="J9" s="35">
        <f t="shared" ref="J9" si="1">(H9/D9)*100</f>
        <v>16.961978589885568</v>
      </c>
      <c r="K9" s="35"/>
      <c r="L9" s="26"/>
    </row>
    <row r="10" spans="1:12" s="24" customFormat="1" ht="20.100000000000001" customHeight="1" x14ac:dyDescent="0.3">
      <c r="A10" s="50" t="s">
        <v>82</v>
      </c>
      <c r="B10" s="49"/>
      <c r="C10" s="49"/>
      <c r="D10" s="49"/>
      <c r="E10" s="33"/>
      <c r="F10" s="25"/>
      <c r="G10" s="25"/>
      <c r="H10" s="22"/>
      <c r="I10" s="22"/>
      <c r="J10" s="23"/>
      <c r="K10" s="23"/>
      <c r="L10" s="26"/>
    </row>
    <row r="11" spans="1:12" s="24" customFormat="1" ht="20.100000000000001" customHeight="1" x14ac:dyDescent="0.3">
      <c r="A11" s="51" t="s">
        <v>235</v>
      </c>
      <c r="B11" s="49">
        <v>2</v>
      </c>
      <c r="C11" s="49">
        <v>87000</v>
      </c>
      <c r="D11" s="49">
        <v>174000</v>
      </c>
      <c r="E11" s="33">
        <v>71700</v>
      </c>
      <c r="F11" s="25"/>
      <c r="G11" s="25"/>
      <c r="H11" s="34">
        <f t="shared" ref="H11" si="2">D11-(E11*B11)-G11</f>
        <v>30600</v>
      </c>
      <c r="I11" s="34"/>
      <c r="J11" s="35">
        <f t="shared" ref="J11" si="3">(H11/D11)*100</f>
        <v>17.586206896551722</v>
      </c>
      <c r="K11" s="35"/>
      <c r="L11" s="26"/>
    </row>
    <row r="12" spans="1:12" s="24" customFormat="1" ht="20.100000000000001" customHeight="1" x14ac:dyDescent="0.3">
      <c r="A12" s="50" t="s">
        <v>159</v>
      </c>
      <c r="B12" s="49"/>
      <c r="C12" s="49"/>
      <c r="D12" s="49"/>
      <c r="E12" s="33"/>
      <c r="F12" s="25"/>
      <c r="G12" s="25"/>
      <c r="H12" s="22"/>
      <c r="I12" s="22"/>
      <c r="J12" s="23"/>
      <c r="K12" s="23"/>
      <c r="L12" s="27"/>
    </row>
    <row r="13" spans="1:12" s="24" customFormat="1" ht="19.5" customHeight="1" x14ac:dyDescent="0.3">
      <c r="A13" s="51" t="s">
        <v>571</v>
      </c>
      <c r="B13" s="49">
        <v>5</v>
      </c>
      <c r="C13" s="49">
        <v>176700</v>
      </c>
      <c r="D13" s="49">
        <v>883500</v>
      </c>
      <c r="E13" s="33"/>
      <c r="F13" s="25">
        <v>124000</v>
      </c>
      <c r="G13" s="25"/>
      <c r="H13" s="22"/>
      <c r="I13" s="34">
        <f t="shared" ref="I13" si="4">D13-(F13*B13)-G13</f>
        <v>263500</v>
      </c>
      <c r="J13" s="35"/>
      <c r="K13" s="35">
        <f t="shared" ref="K13" si="5">(I13/D13)*100</f>
        <v>29.82456140350877</v>
      </c>
      <c r="L13" s="26"/>
    </row>
    <row r="14" spans="1:12" s="24" customFormat="1" ht="20.100000000000001" customHeight="1" x14ac:dyDescent="0.3">
      <c r="A14" s="51" t="s">
        <v>222</v>
      </c>
      <c r="B14" s="49">
        <v>5</v>
      </c>
      <c r="C14" s="49">
        <v>176700</v>
      </c>
      <c r="D14" s="49">
        <v>883500</v>
      </c>
      <c r="E14" s="33"/>
      <c r="F14" s="25">
        <v>124000</v>
      </c>
      <c r="G14" s="25"/>
      <c r="H14" s="22"/>
      <c r="I14" s="34">
        <f t="shared" ref="I14:I16" si="6">D14-(F14*B14)-G14</f>
        <v>263500</v>
      </c>
      <c r="J14" s="35"/>
      <c r="K14" s="35">
        <f t="shared" ref="K14:K16" si="7">(I14/D14)*100</f>
        <v>29.82456140350877</v>
      </c>
      <c r="L14" s="26"/>
    </row>
    <row r="15" spans="1:12" s="24" customFormat="1" ht="20.100000000000001" customHeight="1" x14ac:dyDescent="0.3">
      <c r="A15" s="51" t="s">
        <v>221</v>
      </c>
      <c r="B15" s="49">
        <v>5</v>
      </c>
      <c r="C15" s="49">
        <v>176700</v>
      </c>
      <c r="D15" s="49">
        <v>883500</v>
      </c>
      <c r="E15" s="33"/>
      <c r="F15" s="25">
        <v>124000</v>
      </c>
      <c r="G15" s="25"/>
      <c r="H15" s="22"/>
      <c r="I15" s="34">
        <f t="shared" si="6"/>
        <v>263500</v>
      </c>
      <c r="J15" s="35"/>
      <c r="K15" s="35">
        <f t="shared" si="7"/>
        <v>29.82456140350877</v>
      </c>
      <c r="L15" s="26"/>
    </row>
    <row r="16" spans="1:12" s="24" customFormat="1" ht="20.100000000000001" customHeight="1" x14ac:dyDescent="0.3">
      <c r="A16" s="51" t="s">
        <v>455</v>
      </c>
      <c r="B16" s="49">
        <v>10</v>
      </c>
      <c r="C16" s="49">
        <v>176700</v>
      </c>
      <c r="D16" s="49">
        <v>1767000</v>
      </c>
      <c r="E16" s="33"/>
      <c r="F16" s="25">
        <v>124000</v>
      </c>
      <c r="G16" s="25"/>
      <c r="H16" s="22"/>
      <c r="I16" s="34">
        <f t="shared" si="6"/>
        <v>527000</v>
      </c>
      <c r="J16" s="35"/>
      <c r="K16" s="35">
        <f t="shared" si="7"/>
        <v>29.82456140350877</v>
      </c>
      <c r="L16" s="27"/>
    </row>
    <row r="17" spans="1:12" s="24" customFormat="1" ht="19.5" customHeight="1" x14ac:dyDescent="0.3">
      <c r="A17" s="50" t="s">
        <v>163</v>
      </c>
      <c r="B17" s="49"/>
      <c r="C17" s="49"/>
      <c r="D17" s="49"/>
      <c r="E17" s="33"/>
      <c r="F17" s="25"/>
      <c r="G17" s="25"/>
      <c r="H17" s="22"/>
      <c r="I17" s="22"/>
      <c r="J17" s="23"/>
      <c r="K17" s="23"/>
      <c r="L17" s="26"/>
    </row>
    <row r="18" spans="1:12" s="24" customFormat="1" ht="20.100000000000001" customHeight="1" x14ac:dyDescent="0.3">
      <c r="A18" s="51" t="s">
        <v>156</v>
      </c>
      <c r="B18" s="49">
        <v>3</v>
      </c>
      <c r="C18" s="49">
        <v>176700</v>
      </c>
      <c r="D18" s="49">
        <v>530100</v>
      </c>
      <c r="E18" s="33"/>
      <c r="F18" s="25">
        <v>118000</v>
      </c>
      <c r="G18" s="25"/>
      <c r="H18" s="22"/>
      <c r="I18" s="34">
        <f t="shared" ref="I18:I23" si="8">D18-(F18*B18)-G18</f>
        <v>176100</v>
      </c>
      <c r="J18" s="35"/>
      <c r="K18" s="35">
        <f t="shared" ref="K18:K23" si="9">(I18/D18)*100</f>
        <v>33.220147142048674</v>
      </c>
      <c r="L18" s="26"/>
    </row>
    <row r="19" spans="1:12" s="24" customFormat="1" ht="20.100000000000001" customHeight="1" x14ac:dyDescent="0.3">
      <c r="A19" s="51" t="s">
        <v>40</v>
      </c>
      <c r="B19" s="49">
        <v>40</v>
      </c>
      <c r="C19" s="49">
        <v>176700</v>
      </c>
      <c r="D19" s="49">
        <v>7068000</v>
      </c>
      <c r="E19" s="33"/>
      <c r="F19" s="25">
        <v>124000</v>
      </c>
      <c r="G19" s="25"/>
      <c r="H19" s="22"/>
      <c r="I19" s="34">
        <f t="shared" si="8"/>
        <v>2108000</v>
      </c>
      <c r="J19" s="35"/>
      <c r="K19" s="35">
        <f t="shared" si="9"/>
        <v>29.82456140350877</v>
      </c>
      <c r="L19" s="26"/>
    </row>
    <row r="20" spans="1:12" s="24" customFormat="1" ht="20.100000000000001" customHeight="1" x14ac:dyDescent="0.3">
      <c r="A20" s="51" t="s">
        <v>350</v>
      </c>
      <c r="B20" s="49">
        <v>3</v>
      </c>
      <c r="C20" s="49">
        <v>176700</v>
      </c>
      <c r="D20" s="49">
        <v>530100</v>
      </c>
      <c r="E20" s="33"/>
      <c r="F20" s="25">
        <v>124000</v>
      </c>
      <c r="G20" s="25"/>
      <c r="H20" s="22"/>
      <c r="I20" s="34">
        <f t="shared" si="8"/>
        <v>158100</v>
      </c>
      <c r="J20" s="35"/>
      <c r="K20" s="35">
        <f t="shared" si="9"/>
        <v>29.82456140350877</v>
      </c>
      <c r="L20" s="27"/>
    </row>
    <row r="21" spans="1:12" s="24" customFormat="1" ht="20.100000000000001" customHeight="1" x14ac:dyDescent="0.3">
      <c r="A21" s="51" t="s">
        <v>42</v>
      </c>
      <c r="B21" s="49">
        <v>3</v>
      </c>
      <c r="C21" s="49">
        <v>176700</v>
      </c>
      <c r="D21" s="49">
        <v>530100</v>
      </c>
      <c r="E21" s="33"/>
      <c r="F21" s="25">
        <v>124000</v>
      </c>
      <c r="G21" s="25"/>
      <c r="H21" s="22"/>
      <c r="I21" s="34">
        <f t="shared" si="8"/>
        <v>158100</v>
      </c>
      <c r="J21" s="35"/>
      <c r="K21" s="35">
        <f t="shared" si="9"/>
        <v>29.82456140350877</v>
      </c>
      <c r="L21" s="26"/>
    </row>
    <row r="22" spans="1:12" s="24" customFormat="1" ht="20.100000000000001" customHeight="1" x14ac:dyDescent="0.3">
      <c r="A22" s="51" t="s">
        <v>90</v>
      </c>
      <c r="B22" s="49">
        <v>3</v>
      </c>
      <c r="C22" s="49">
        <v>2700000</v>
      </c>
      <c r="D22" s="49">
        <v>8100000</v>
      </c>
      <c r="E22" s="33"/>
      <c r="F22" s="25">
        <v>1960000</v>
      </c>
      <c r="G22" s="25"/>
      <c r="H22" s="22"/>
      <c r="I22" s="34">
        <f t="shared" si="8"/>
        <v>2220000</v>
      </c>
      <c r="J22" s="35"/>
      <c r="K22" s="35">
        <f t="shared" si="9"/>
        <v>27.407407407407408</v>
      </c>
      <c r="L22" s="27"/>
    </row>
    <row r="23" spans="1:12" s="24" customFormat="1" ht="20.100000000000001" customHeight="1" x14ac:dyDescent="0.3">
      <c r="A23" s="51" t="s">
        <v>89</v>
      </c>
      <c r="B23" s="49">
        <v>30</v>
      </c>
      <c r="C23" s="49">
        <v>176700</v>
      </c>
      <c r="D23" s="49">
        <v>5301000</v>
      </c>
      <c r="E23" s="33"/>
      <c r="F23" s="25">
        <v>124000</v>
      </c>
      <c r="G23" s="25"/>
      <c r="H23" s="22"/>
      <c r="I23" s="34">
        <f t="shared" si="8"/>
        <v>1581000</v>
      </c>
      <c r="J23" s="35"/>
      <c r="K23" s="35">
        <f t="shared" si="9"/>
        <v>29.82456140350877</v>
      </c>
      <c r="L23" s="27"/>
    </row>
    <row r="24" spans="1:12" s="24" customFormat="1" ht="20.100000000000001" customHeight="1" x14ac:dyDescent="0.3">
      <c r="A24" s="50" t="s">
        <v>287</v>
      </c>
      <c r="B24" s="49"/>
      <c r="C24" s="49"/>
      <c r="D24" s="49"/>
      <c r="E24" s="33"/>
      <c r="F24" s="25"/>
      <c r="G24" s="25"/>
      <c r="H24" s="22"/>
      <c r="I24" s="22"/>
      <c r="J24" s="23"/>
      <c r="K24" s="23"/>
      <c r="L24" s="27"/>
    </row>
    <row r="25" spans="1:12" s="24" customFormat="1" ht="20.100000000000001" customHeight="1" x14ac:dyDescent="0.3">
      <c r="A25" s="51" t="s">
        <v>101</v>
      </c>
      <c r="B25" s="49">
        <v>5</v>
      </c>
      <c r="C25" s="49">
        <v>72000</v>
      </c>
      <c r="D25" s="49">
        <v>360000</v>
      </c>
      <c r="E25" s="33">
        <v>53900</v>
      </c>
      <c r="F25" s="25"/>
      <c r="G25" s="25"/>
      <c r="H25" s="34">
        <f t="shared" ref="H25:H28" si="10">D25-(E25*B25)-G25</f>
        <v>90500</v>
      </c>
      <c r="I25" s="34"/>
      <c r="J25" s="35">
        <f t="shared" ref="J25:J28" si="11">(H25/D25)*100</f>
        <v>25.138888888888889</v>
      </c>
      <c r="K25" s="35"/>
      <c r="L25" s="26"/>
    </row>
    <row r="26" spans="1:12" s="24" customFormat="1" ht="20.100000000000001" customHeight="1" x14ac:dyDescent="0.3">
      <c r="A26" s="51" t="s">
        <v>55</v>
      </c>
      <c r="B26" s="49">
        <v>1</v>
      </c>
      <c r="C26" s="49">
        <v>108000</v>
      </c>
      <c r="D26" s="49">
        <v>108000</v>
      </c>
      <c r="E26" s="33">
        <v>66400</v>
      </c>
      <c r="F26" s="25"/>
      <c r="G26" s="25"/>
      <c r="H26" s="34">
        <f t="shared" si="10"/>
        <v>41600</v>
      </c>
      <c r="I26" s="34"/>
      <c r="J26" s="35">
        <f t="shared" si="11"/>
        <v>38.518518518518519</v>
      </c>
      <c r="K26" s="35"/>
      <c r="L26" s="26"/>
    </row>
    <row r="27" spans="1:12" s="24" customFormat="1" ht="20.100000000000001" customHeight="1" x14ac:dyDescent="0.3">
      <c r="A27" s="51" t="s">
        <v>165</v>
      </c>
      <c r="B27" s="49">
        <v>1</v>
      </c>
      <c r="C27" s="49">
        <v>152000</v>
      </c>
      <c r="D27" s="49">
        <v>152000</v>
      </c>
      <c r="E27" s="33">
        <v>120000</v>
      </c>
      <c r="F27" s="25"/>
      <c r="G27" s="25"/>
      <c r="H27" s="34">
        <f t="shared" si="10"/>
        <v>32000</v>
      </c>
      <c r="I27" s="34"/>
      <c r="J27" s="35">
        <f t="shared" si="11"/>
        <v>21.052631578947366</v>
      </c>
      <c r="K27" s="35"/>
      <c r="L27" s="26"/>
    </row>
    <row r="28" spans="1:12" s="24" customFormat="1" ht="20.100000000000001" customHeight="1" x14ac:dyDescent="0.3">
      <c r="A28" s="51" t="s">
        <v>107</v>
      </c>
      <c r="B28" s="49">
        <v>6</v>
      </c>
      <c r="C28" s="49">
        <v>393000</v>
      </c>
      <c r="D28" s="49">
        <v>2358000</v>
      </c>
      <c r="E28" s="33">
        <v>287000</v>
      </c>
      <c r="F28" s="25"/>
      <c r="G28" s="25"/>
      <c r="H28" s="34">
        <f t="shared" si="10"/>
        <v>636000</v>
      </c>
      <c r="I28" s="34"/>
      <c r="J28" s="35">
        <f t="shared" si="11"/>
        <v>26.972010178117049</v>
      </c>
      <c r="K28" s="35"/>
      <c r="L28" s="26"/>
    </row>
    <row r="29" spans="1:12" s="24" customFormat="1" ht="20.100000000000001" customHeight="1" x14ac:dyDescent="0.3">
      <c r="A29" s="50" t="s">
        <v>549</v>
      </c>
      <c r="B29" s="49"/>
      <c r="C29" s="49"/>
      <c r="D29" s="49"/>
      <c r="E29" s="33"/>
      <c r="F29" s="25"/>
      <c r="G29" s="25"/>
      <c r="H29" s="22"/>
      <c r="I29" s="22"/>
      <c r="J29" s="23"/>
      <c r="K29" s="23"/>
      <c r="L29" s="26"/>
    </row>
    <row r="30" spans="1:12" s="24" customFormat="1" ht="20.100000000000001" customHeight="1" x14ac:dyDescent="0.3">
      <c r="A30" s="51" t="s">
        <v>38</v>
      </c>
      <c r="B30" s="49">
        <v>5</v>
      </c>
      <c r="C30" s="49">
        <v>186996</v>
      </c>
      <c r="D30" s="49">
        <v>934980</v>
      </c>
      <c r="E30" s="33">
        <v>124000</v>
      </c>
      <c r="F30" s="25"/>
      <c r="G30" s="25"/>
      <c r="H30" s="34">
        <f t="shared" ref="H30" si="12">D30-(E30*B30)-G30</f>
        <v>314980</v>
      </c>
      <c r="I30" s="34"/>
      <c r="J30" s="35">
        <f t="shared" ref="J30" si="13">(H30/D30)*100</f>
        <v>33.688421142698239</v>
      </c>
      <c r="K30" s="35"/>
      <c r="L30" s="27"/>
    </row>
    <row r="31" spans="1:12" s="24" customFormat="1" ht="20.100000000000001" customHeight="1" x14ac:dyDescent="0.3">
      <c r="A31" s="52" t="s">
        <v>99</v>
      </c>
      <c r="B31" s="49"/>
      <c r="C31" s="49"/>
      <c r="D31" s="49"/>
      <c r="E31" s="33"/>
      <c r="F31" s="25"/>
      <c r="G31" s="25"/>
      <c r="H31" s="22"/>
      <c r="I31" s="22"/>
      <c r="J31" s="23"/>
      <c r="K31" s="23"/>
      <c r="L31" s="26"/>
    </row>
    <row r="32" spans="1:12" s="24" customFormat="1" ht="19.5" customHeight="1" x14ac:dyDescent="0.3">
      <c r="A32" s="50" t="s">
        <v>550</v>
      </c>
      <c r="B32" s="49"/>
      <c r="C32" s="49"/>
      <c r="D32" s="49"/>
      <c r="E32" s="33"/>
      <c r="F32" s="25"/>
      <c r="G32" s="25"/>
      <c r="H32" s="22"/>
      <c r="I32" s="22"/>
      <c r="J32" s="23"/>
      <c r="K32" s="23"/>
      <c r="L32" s="26"/>
    </row>
    <row r="33" spans="1:12" s="24" customFormat="1" ht="20.100000000000001" customHeight="1" x14ac:dyDescent="0.3">
      <c r="A33" s="51" t="s">
        <v>100</v>
      </c>
      <c r="B33" s="49">
        <v>1</v>
      </c>
      <c r="C33" s="49">
        <v>870000</v>
      </c>
      <c r="D33" s="49">
        <v>870000</v>
      </c>
      <c r="E33" s="33">
        <v>630000</v>
      </c>
      <c r="F33" s="25"/>
      <c r="G33" s="25"/>
      <c r="H33" s="34">
        <f t="shared" ref="H33" si="14">D33-(E33*B33)-G33</f>
        <v>240000</v>
      </c>
      <c r="I33" s="34"/>
      <c r="J33" s="35">
        <f t="shared" ref="J33" si="15">(H33/D33)*100</f>
        <v>27.586206896551722</v>
      </c>
      <c r="K33" s="35"/>
      <c r="L33" s="26"/>
    </row>
    <row r="34" spans="1:12" s="24" customFormat="1" ht="20.100000000000001" customHeight="1" x14ac:dyDescent="0.3">
      <c r="A34" s="50" t="s">
        <v>551</v>
      </c>
      <c r="B34" s="49"/>
      <c r="C34" s="49"/>
      <c r="D34" s="49"/>
      <c r="E34" s="33"/>
      <c r="F34" s="25"/>
      <c r="G34" s="25"/>
      <c r="H34" s="22"/>
      <c r="I34" s="22"/>
      <c r="J34" s="23"/>
      <c r="K34" s="23"/>
      <c r="L34" s="27"/>
    </row>
    <row r="35" spans="1:12" s="24" customFormat="1" ht="20.100000000000001" customHeight="1" x14ac:dyDescent="0.3">
      <c r="A35" s="51" t="s">
        <v>572</v>
      </c>
      <c r="B35" s="49">
        <v>3</v>
      </c>
      <c r="C35" s="49">
        <v>650000</v>
      </c>
      <c r="D35" s="49">
        <v>1950000</v>
      </c>
      <c r="E35" s="33">
        <v>500000</v>
      </c>
      <c r="F35" s="25"/>
      <c r="G35" s="25"/>
      <c r="H35" s="34">
        <f t="shared" ref="H35" si="16">D35-(E35*B35)-G35</f>
        <v>450000</v>
      </c>
      <c r="I35" s="34"/>
      <c r="J35" s="35">
        <f t="shared" ref="J35" si="17">(H35/D35)*100</f>
        <v>23.076923076923077</v>
      </c>
      <c r="K35" s="35"/>
      <c r="L35" s="26"/>
    </row>
    <row r="36" spans="1:12" s="24" customFormat="1" ht="20.100000000000001" customHeight="1" x14ac:dyDescent="0.3">
      <c r="A36" s="50" t="s">
        <v>354</v>
      </c>
      <c r="B36" s="49"/>
      <c r="C36" s="49"/>
      <c r="D36" s="49"/>
      <c r="E36" s="33"/>
      <c r="F36" s="25"/>
      <c r="G36" s="25"/>
      <c r="H36" s="22"/>
      <c r="I36" s="22"/>
      <c r="J36" s="23"/>
      <c r="K36" s="23"/>
      <c r="L36" s="26"/>
    </row>
    <row r="37" spans="1:12" s="24" customFormat="1" ht="20.100000000000001" customHeight="1" x14ac:dyDescent="0.3">
      <c r="A37" s="51" t="s">
        <v>100</v>
      </c>
      <c r="B37" s="49">
        <v>20</v>
      </c>
      <c r="C37" s="49">
        <v>950000</v>
      </c>
      <c r="D37" s="49">
        <v>19000000</v>
      </c>
      <c r="E37" s="33">
        <v>630000</v>
      </c>
      <c r="F37" s="25"/>
      <c r="G37" s="25"/>
      <c r="H37" s="34">
        <f t="shared" ref="H37" si="18">D37-(E37*B37)-G37</f>
        <v>6400000</v>
      </c>
      <c r="I37" s="34"/>
      <c r="J37" s="35">
        <f t="shared" ref="J37" si="19">(H37/D37)*100</f>
        <v>33.684210526315788</v>
      </c>
      <c r="K37" s="35"/>
      <c r="L37" s="26"/>
    </row>
    <row r="38" spans="1:12" s="24" customFormat="1" ht="20.100000000000001" customHeight="1" x14ac:dyDescent="0.3">
      <c r="A38" s="50" t="s">
        <v>155</v>
      </c>
      <c r="B38" s="49"/>
      <c r="C38" s="49"/>
      <c r="D38" s="49"/>
      <c r="E38" s="33"/>
      <c r="F38" s="25"/>
      <c r="G38" s="25"/>
      <c r="H38" s="22"/>
      <c r="I38" s="22"/>
      <c r="J38" s="23"/>
      <c r="K38" s="23"/>
      <c r="L38" s="27"/>
    </row>
    <row r="39" spans="1:12" s="24" customFormat="1" ht="20.100000000000001" customHeight="1" x14ac:dyDescent="0.3">
      <c r="A39" s="51" t="s">
        <v>101</v>
      </c>
      <c r="B39" s="49">
        <v>10</v>
      </c>
      <c r="C39" s="49">
        <v>65000</v>
      </c>
      <c r="D39" s="49">
        <v>650000</v>
      </c>
      <c r="E39" s="33">
        <v>53900</v>
      </c>
      <c r="F39" s="25"/>
      <c r="G39" s="25"/>
      <c r="H39" s="34">
        <f t="shared" ref="H39:H41" si="20">D39-(E39*B39)-G39</f>
        <v>111000</v>
      </c>
      <c r="I39" s="34"/>
      <c r="J39" s="35">
        <f t="shared" ref="J39:J41" si="21">(H39/D39)*100</f>
        <v>17.076923076923077</v>
      </c>
      <c r="K39" s="35"/>
      <c r="L39" s="27"/>
    </row>
    <row r="40" spans="1:12" s="24" customFormat="1" ht="20.100000000000001" customHeight="1" x14ac:dyDescent="0.3">
      <c r="A40" s="51" t="s">
        <v>25</v>
      </c>
      <c r="B40" s="49">
        <v>3</v>
      </c>
      <c r="C40" s="49">
        <v>570000</v>
      </c>
      <c r="D40" s="49">
        <v>1710000</v>
      </c>
      <c r="E40" s="33">
        <v>492000</v>
      </c>
      <c r="F40" s="25"/>
      <c r="G40" s="25"/>
      <c r="H40" s="34">
        <f t="shared" si="20"/>
        <v>234000</v>
      </c>
      <c r="I40" s="34"/>
      <c r="J40" s="35">
        <f t="shared" si="21"/>
        <v>13.684210526315791</v>
      </c>
      <c r="K40" s="35"/>
      <c r="L40" s="26"/>
    </row>
    <row r="41" spans="1:12" s="24" customFormat="1" ht="20.100000000000001" customHeight="1" x14ac:dyDescent="0.3">
      <c r="A41" s="51" t="s">
        <v>95</v>
      </c>
      <c r="B41" s="49">
        <v>1</v>
      </c>
      <c r="C41" s="49">
        <v>820000</v>
      </c>
      <c r="D41" s="49">
        <v>820000</v>
      </c>
      <c r="E41" s="33">
        <v>623000</v>
      </c>
      <c r="F41" s="25"/>
      <c r="G41" s="25"/>
      <c r="H41" s="34">
        <f t="shared" si="20"/>
        <v>197000</v>
      </c>
      <c r="I41" s="34"/>
      <c r="J41" s="35">
        <f t="shared" si="21"/>
        <v>24.024390243902438</v>
      </c>
      <c r="K41" s="35"/>
      <c r="L41" s="27"/>
    </row>
    <row r="42" spans="1:12" s="24" customFormat="1" ht="20.100000000000001" customHeight="1" x14ac:dyDescent="0.3">
      <c r="A42" s="52" t="s">
        <v>103</v>
      </c>
      <c r="B42" s="49"/>
      <c r="C42" s="49"/>
      <c r="D42" s="49"/>
      <c r="E42" s="33"/>
      <c r="F42" s="25"/>
      <c r="G42" s="25"/>
      <c r="H42" s="22"/>
      <c r="I42" s="22"/>
      <c r="J42" s="23"/>
      <c r="K42" s="23"/>
      <c r="L42" s="26"/>
    </row>
    <row r="43" spans="1:12" s="24" customFormat="1" ht="20.100000000000001" customHeight="1" x14ac:dyDescent="0.3">
      <c r="A43" s="50" t="s">
        <v>552</v>
      </c>
      <c r="B43" s="49"/>
      <c r="C43" s="49"/>
      <c r="D43" s="49"/>
      <c r="E43" s="33"/>
      <c r="F43" s="25"/>
      <c r="G43" s="25"/>
      <c r="H43" s="22"/>
      <c r="I43" s="22"/>
      <c r="J43" s="23"/>
      <c r="K43" s="23"/>
      <c r="L43" s="26"/>
    </row>
    <row r="44" spans="1:12" s="24" customFormat="1" ht="20.100000000000001" customHeight="1" x14ac:dyDescent="0.3">
      <c r="A44" s="51" t="s">
        <v>106</v>
      </c>
      <c r="B44" s="49">
        <v>4</v>
      </c>
      <c r="C44" s="49">
        <v>700000</v>
      </c>
      <c r="D44" s="49">
        <v>2800000</v>
      </c>
      <c r="E44" s="33">
        <v>520000</v>
      </c>
      <c r="F44" s="25"/>
      <c r="G44" s="25"/>
      <c r="H44" s="34">
        <f t="shared" ref="H44" si="22">D44-(E44*B44)-G44</f>
        <v>720000</v>
      </c>
      <c r="I44" s="34"/>
      <c r="J44" s="35">
        <f t="shared" ref="J44" si="23">(H44/D44)*100</f>
        <v>25.714285714285712</v>
      </c>
      <c r="K44" s="35"/>
      <c r="L44" s="26"/>
    </row>
    <row r="45" spans="1:12" s="24" customFormat="1" ht="20.100000000000001" customHeight="1" x14ac:dyDescent="0.3">
      <c r="A45" s="52" t="s">
        <v>0</v>
      </c>
      <c r="B45" s="49"/>
      <c r="C45" s="49"/>
      <c r="D45" s="49"/>
      <c r="E45" s="33"/>
      <c r="F45" s="25"/>
      <c r="G45" s="25"/>
      <c r="H45" s="22"/>
      <c r="I45" s="22"/>
      <c r="J45" s="23"/>
      <c r="K45" s="23"/>
      <c r="L45" s="26"/>
    </row>
    <row r="46" spans="1:12" s="24" customFormat="1" ht="20.100000000000001" customHeight="1" x14ac:dyDescent="0.3">
      <c r="A46" s="50" t="s">
        <v>168</v>
      </c>
      <c r="B46" s="49"/>
      <c r="C46" s="49"/>
      <c r="D46" s="49"/>
      <c r="E46" s="33"/>
      <c r="F46" s="25"/>
      <c r="G46" s="25"/>
      <c r="H46" s="22"/>
      <c r="I46" s="22"/>
      <c r="J46" s="23"/>
      <c r="K46" s="23"/>
      <c r="L46" s="26"/>
    </row>
    <row r="47" spans="1:12" s="24" customFormat="1" ht="20.100000000000001" customHeight="1" x14ac:dyDescent="0.3">
      <c r="A47" s="51" t="s">
        <v>39</v>
      </c>
      <c r="B47" s="49">
        <v>11</v>
      </c>
      <c r="C47" s="49">
        <v>96300</v>
      </c>
      <c r="D47" s="49">
        <v>1059300</v>
      </c>
      <c r="E47" s="33">
        <v>78100</v>
      </c>
      <c r="F47" s="25"/>
      <c r="G47" s="25"/>
      <c r="H47" s="34">
        <f t="shared" ref="H47:H49" si="24">D47-(E47*B47)-G47</f>
        <v>200200</v>
      </c>
      <c r="I47" s="34"/>
      <c r="J47" s="35">
        <f t="shared" ref="J47:J49" si="25">(H47/D47)*100</f>
        <v>18.899273104880582</v>
      </c>
      <c r="K47" s="35"/>
      <c r="L47" s="26"/>
    </row>
    <row r="48" spans="1:12" s="24" customFormat="1" ht="20.100000000000001" customHeight="1" x14ac:dyDescent="0.3">
      <c r="A48" s="51" t="s">
        <v>291</v>
      </c>
      <c r="B48" s="49">
        <v>1</v>
      </c>
      <c r="C48" s="49">
        <v>359100</v>
      </c>
      <c r="D48" s="49">
        <v>359100</v>
      </c>
      <c r="E48" s="33">
        <v>352000</v>
      </c>
      <c r="F48" s="25"/>
      <c r="G48" s="25"/>
      <c r="H48" s="34">
        <f t="shared" si="24"/>
        <v>7100</v>
      </c>
      <c r="I48" s="34"/>
      <c r="J48" s="35">
        <f t="shared" si="25"/>
        <v>1.9771651350598718</v>
      </c>
      <c r="K48" s="35"/>
      <c r="L48" s="26"/>
    </row>
    <row r="49" spans="1:12" s="24" customFormat="1" ht="20.100000000000001" customHeight="1" x14ac:dyDescent="0.3">
      <c r="A49" s="51" t="s">
        <v>128</v>
      </c>
      <c r="B49" s="49">
        <v>3</v>
      </c>
      <c r="C49" s="49">
        <v>82700</v>
      </c>
      <c r="D49" s="49">
        <v>248100</v>
      </c>
      <c r="E49" s="33">
        <v>81000</v>
      </c>
      <c r="F49" s="25"/>
      <c r="G49" s="25"/>
      <c r="H49" s="34">
        <f t="shared" si="24"/>
        <v>5100</v>
      </c>
      <c r="I49" s="34"/>
      <c r="J49" s="35">
        <f t="shared" si="25"/>
        <v>2.0556227327690446</v>
      </c>
      <c r="K49" s="35"/>
      <c r="L49" s="26"/>
    </row>
    <row r="50" spans="1:12" s="24" customFormat="1" ht="20.100000000000001" customHeight="1" x14ac:dyDescent="0.3">
      <c r="A50" s="50" t="s">
        <v>110</v>
      </c>
      <c r="B50" s="49"/>
      <c r="C50" s="49"/>
      <c r="D50" s="49"/>
      <c r="E50" s="33"/>
      <c r="F50" s="25"/>
      <c r="G50" s="25"/>
      <c r="H50" s="22"/>
      <c r="I50" s="22"/>
      <c r="J50" s="23"/>
      <c r="K50" s="23"/>
      <c r="L50" s="26"/>
    </row>
    <row r="51" spans="1:12" s="24" customFormat="1" ht="20.100000000000001" customHeight="1" x14ac:dyDescent="0.3">
      <c r="A51" s="51" t="s">
        <v>67</v>
      </c>
      <c r="B51" s="49">
        <v>1</v>
      </c>
      <c r="C51" s="49">
        <v>85300</v>
      </c>
      <c r="D51" s="49">
        <v>85300</v>
      </c>
      <c r="E51" s="33">
        <v>66400</v>
      </c>
      <c r="F51" s="25"/>
      <c r="G51" s="25"/>
      <c r="H51" s="34">
        <f t="shared" ref="H51:H52" si="26">D51-(E51*B51)-G51</f>
        <v>18900</v>
      </c>
      <c r="I51" s="34"/>
      <c r="J51" s="35">
        <f t="shared" ref="J51:J52" si="27">(H51/D51)*100</f>
        <v>22.157092614302464</v>
      </c>
      <c r="K51" s="35"/>
      <c r="L51" s="26"/>
    </row>
    <row r="52" spans="1:12" s="24" customFormat="1" ht="20.100000000000001" customHeight="1" x14ac:dyDescent="0.3">
      <c r="A52" s="51" t="s">
        <v>20</v>
      </c>
      <c r="B52" s="49">
        <v>1</v>
      </c>
      <c r="C52" s="49">
        <v>47600</v>
      </c>
      <c r="D52" s="49">
        <v>47600</v>
      </c>
      <c r="E52" s="33">
        <v>46600</v>
      </c>
      <c r="F52" s="25"/>
      <c r="G52" s="25"/>
      <c r="H52" s="34">
        <f t="shared" si="26"/>
        <v>1000</v>
      </c>
      <c r="I52" s="34"/>
      <c r="J52" s="35">
        <f t="shared" si="27"/>
        <v>2.1008403361344539</v>
      </c>
      <c r="K52" s="35"/>
      <c r="L52" s="26"/>
    </row>
    <row r="53" spans="1:12" s="24" customFormat="1" ht="20.100000000000001" customHeight="1" x14ac:dyDescent="0.3">
      <c r="A53" s="50" t="s">
        <v>553</v>
      </c>
      <c r="B53" s="49"/>
      <c r="C53" s="49"/>
      <c r="D53" s="49"/>
      <c r="E53" s="33"/>
      <c r="F53" s="25"/>
      <c r="G53" s="25"/>
      <c r="H53" s="22"/>
      <c r="I53" s="22"/>
      <c r="J53" s="23"/>
      <c r="K53" s="23"/>
      <c r="L53" s="26"/>
    </row>
    <row r="54" spans="1:12" s="24" customFormat="1" ht="20.100000000000001" customHeight="1" x14ac:dyDescent="0.3">
      <c r="A54" s="51" t="s">
        <v>165</v>
      </c>
      <c r="B54" s="49">
        <v>1</v>
      </c>
      <c r="C54" s="49">
        <v>145200</v>
      </c>
      <c r="D54" s="49">
        <v>145200</v>
      </c>
      <c r="E54" s="33">
        <v>120000</v>
      </c>
      <c r="F54" s="25"/>
      <c r="G54" s="25"/>
      <c r="H54" s="34">
        <f t="shared" ref="H54" si="28">D54-(E54*B54)-G54</f>
        <v>25200</v>
      </c>
      <c r="I54" s="34"/>
      <c r="J54" s="35">
        <f t="shared" ref="J54" si="29">(H54/D54)*100</f>
        <v>17.355371900826448</v>
      </c>
      <c r="K54" s="35"/>
      <c r="L54" s="27"/>
    </row>
    <row r="55" spans="1:12" s="24" customFormat="1" ht="20.100000000000001" customHeight="1" x14ac:dyDescent="0.3">
      <c r="A55" s="50" t="s">
        <v>554</v>
      </c>
      <c r="B55" s="49"/>
      <c r="C55" s="49"/>
      <c r="D55" s="49"/>
      <c r="E55" s="33"/>
      <c r="F55" s="25"/>
      <c r="G55" s="25"/>
      <c r="H55" s="22"/>
      <c r="I55" s="22"/>
      <c r="J55" s="23"/>
      <c r="K55" s="23"/>
      <c r="L55" s="26"/>
    </row>
    <row r="56" spans="1:12" s="24" customFormat="1" ht="20.100000000000001" customHeight="1" x14ac:dyDescent="0.3">
      <c r="A56" s="51" t="s">
        <v>218</v>
      </c>
      <c r="B56" s="49">
        <v>5</v>
      </c>
      <c r="C56" s="49">
        <v>85900</v>
      </c>
      <c r="D56" s="49">
        <v>429500</v>
      </c>
      <c r="E56" s="33">
        <v>71000</v>
      </c>
      <c r="F56" s="25"/>
      <c r="G56" s="25"/>
      <c r="H56" s="34">
        <f t="shared" ref="H56" si="30">D56-(E56*B56)-G56</f>
        <v>74500</v>
      </c>
      <c r="I56" s="34"/>
      <c r="J56" s="35">
        <f t="shared" ref="J56" si="31">(H56/D56)*100</f>
        <v>17.345750873108265</v>
      </c>
      <c r="K56" s="35"/>
      <c r="L56" s="26"/>
    </row>
    <row r="57" spans="1:12" s="24" customFormat="1" ht="20.100000000000001" customHeight="1" x14ac:dyDescent="0.3">
      <c r="A57" s="50" t="s">
        <v>555</v>
      </c>
      <c r="B57" s="49"/>
      <c r="C57" s="49"/>
      <c r="D57" s="49"/>
      <c r="E57" s="33"/>
      <c r="F57" s="25"/>
      <c r="G57" s="25"/>
      <c r="H57" s="22"/>
      <c r="I57" s="22"/>
      <c r="J57" s="23"/>
      <c r="K57" s="23"/>
      <c r="L57" s="26"/>
    </row>
    <row r="58" spans="1:12" s="24" customFormat="1" ht="20.100000000000001" customHeight="1" x14ac:dyDescent="0.3">
      <c r="A58" s="51" t="s">
        <v>39</v>
      </c>
      <c r="B58" s="49">
        <v>5</v>
      </c>
      <c r="C58" s="49">
        <v>88000</v>
      </c>
      <c r="D58" s="49">
        <v>440000</v>
      </c>
      <c r="E58" s="33">
        <v>78100</v>
      </c>
      <c r="F58" s="25"/>
      <c r="G58" s="25"/>
      <c r="H58" s="34">
        <f t="shared" ref="H58:H59" si="32">D58-(E58*B58)-G58</f>
        <v>49500</v>
      </c>
      <c r="I58" s="34"/>
      <c r="J58" s="35">
        <f t="shared" ref="J58:J59" si="33">(H58/D58)*100</f>
        <v>11.25</v>
      </c>
      <c r="K58" s="35"/>
      <c r="L58" s="26"/>
    </row>
    <row r="59" spans="1:12" s="24" customFormat="1" ht="20.100000000000001" customHeight="1" x14ac:dyDescent="0.3">
      <c r="A59" s="51" t="s">
        <v>244</v>
      </c>
      <c r="B59" s="49">
        <v>3</v>
      </c>
      <c r="C59" s="49">
        <v>390000</v>
      </c>
      <c r="D59" s="49">
        <v>1170000</v>
      </c>
      <c r="E59" s="33">
        <v>355000</v>
      </c>
      <c r="F59" s="25"/>
      <c r="G59" s="25"/>
      <c r="H59" s="34">
        <f t="shared" si="32"/>
        <v>105000</v>
      </c>
      <c r="I59" s="34"/>
      <c r="J59" s="35">
        <f t="shared" si="33"/>
        <v>8.9743589743589745</v>
      </c>
      <c r="K59" s="35"/>
      <c r="L59" s="26"/>
    </row>
    <row r="60" spans="1:12" s="24" customFormat="1" ht="20.100000000000001" customHeight="1" x14ac:dyDescent="0.3">
      <c r="A60" s="50" t="s">
        <v>556</v>
      </c>
      <c r="B60" s="49"/>
      <c r="C60" s="49"/>
      <c r="D60" s="49"/>
      <c r="E60" s="33"/>
      <c r="F60" s="25"/>
      <c r="G60" s="25"/>
      <c r="H60" s="22"/>
      <c r="I60" s="22"/>
      <c r="J60" s="23"/>
      <c r="K60" s="23"/>
      <c r="L60" s="26"/>
    </row>
    <row r="61" spans="1:12" s="24" customFormat="1" ht="20.100000000000001" customHeight="1" x14ac:dyDescent="0.3">
      <c r="A61" s="51" t="s">
        <v>299</v>
      </c>
      <c r="B61" s="49">
        <v>1</v>
      </c>
      <c r="C61" s="49">
        <v>368600</v>
      </c>
      <c r="D61" s="49">
        <v>368600</v>
      </c>
      <c r="E61" s="33">
        <v>352000</v>
      </c>
      <c r="F61" s="25"/>
      <c r="G61" s="25"/>
      <c r="H61" s="34">
        <f t="shared" ref="H61" si="34">D61-(E61*B61)-G61</f>
        <v>16600</v>
      </c>
      <c r="I61" s="34"/>
      <c r="J61" s="35">
        <f t="shared" ref="J61" si="35">(H61/D61)*100</f>
        <v>4.5035268583830712</v>
      </c>
      <c r="K61" s="35"/>
      <c r="L61" s="27"/>
    </row>
    <row r="62" spans="1:12" s="24" customFormat="1" ht="20.100000000000001" customHeight="1" x14ac:dyDescent="0.3">
      <c r="A62" s="50" t="s">
        <v>557</v>
      </c>
      <c r="B62" s="49"/>
      <c r="C62" s="49"/>
      <c r="D62" s="49"/>
      <c r="E62" s="33"/>
      <c r="F62" s="25"/>
      <c r="G62" s="25"/>
      <c r="H62" s="22"/>
      <c r="I62" s="22"/>
      <c r="J62" s="23"/>
      <c r="K62" s="23"/>
      <c r="L62" s="26"/>
    </row>
    <row r="63" spans="1:12" s="24" customFormat="1" ht="20.100000000000001" customHeight="1" x14ac:dyDescent="0.3">
      <c r="A63" s="51" t="s">
        <v>225</v>
      </c>
      <c r="B63" s="49">
        <v>1</v>
      </c>
      <c r="C63" s="49">
        <v>68100</v>
      </c>
      <c r="D63" s="49">
        <v>68100</v>
      </c>
      <c r="E63" s="33">
        <v>56300</v>
      </c>
      <c r="F63" s="25"/>
      <c r="G63" s="25"/>
      <c r="H63" s="34">
        <f t="shared" ref="H63:H64" si="36">D63-(E63*B63)-G63</f>
        <v>11800</v>
      </c>
      <c r="I63" s="34"/>
      <c r="J63" s="35">
        <f t="shared" ref="J63:J64" si="37">(H63/D63)*100</f>
        <v>17.327459618208515</v>
      </c>
      <c r="K63" s="35"/>
      <c r="L63" s="26"/>
    </row>
    <row r="64" spans="1:12" s="24" customFormat="1" ht="20.100000000000001" customHeight="1" x14ac:dyDescent="0.3">
      <c r="A64" s="51" t="s">
        <v>49</v>
      </c>
      <c r="B64" s="49">
        <v>1</v>
      </c>
      <c r="C64" s="49">
        <v>6000</v>
      </c>
      <c r="D64" s="49">
        <v>6000</v>
      </c>
      <c r="E64" s="33">
        <v>6000</v>
      </c>
      <c r="F64" s="25"/>
      <c r="G64" s="25"/>
      <c r="H64" s="34">
        <f t="shared" si="36"/>
        <v>0</v>
      </c>
      <c r="I64" s="34"/>
      <c r="J64" s="35">
        <f t="shared" si="37"/>
        <v>0</v>
      </c>
      <c r="K64" s="35"/>
      <c r="L64" s="27"/>
    </row>
    <row r="65" spans="1:12" s="24" customFormat="1" ht="20.100000000000001" customHeight="1" x14ac:dyDescent="0.3">
      <c r="A65" s="50" t="s">
        <v>558</v>
      </c>
      <c r="B65" s="49"/>
      <c r="C65" s="49"/>
      <c r="D65" s="49"/>
      <c r="E65" s="33"/>
      <c r="F65" s="25"/>
      <c r="G65" s="25"/>
      <c r="H65" s="22"/>
      <c r="I65" s="22"/>
      <c r="J65" s="23"/>
      <c r="K65" s="23"/>
      <c r="L65" s="27"/>
    </row>
    <row r="66" spans="1:12" s="24" customFormat="1" ht="19.5" customHeight="1" x14ac:dyDescent="0.3">
      <c r="A66" s="51" t="s">
        <v>208</v>
      </c>
      <c r="B66" s="49">
        <v>3</v>
      </c>
      <c r="C66" s="49">
        <v>118000</v>
      </c>
      <c r="D66" s="49">
        <v>354000</v>
      </c>
      <c r="E66" s="33">
        <v>91100</v>
      </c>
      <c r="F66" s="25"/>
      <c r="G66" s="25"/>
      <c r="H66" s="34">
        <f t="shared" ref="H66:H67" si="38">D66-(E66*B66)-G66</f>
        <v>80700</v>
      </c>
      <c r="I66" s="34"/>
      <c r="J66" s="35">
        <f t="shared" ref="J66:J67" si="39">(H66/D66)*100</f>
        <v>22.796610169491522</v>
      </c>
      <c r="K66" s="35"/>
      <c r="L66" s="26"/>
    </row>
    <row r="67" spans="1:12" s="24" customFormat="1" ht="20.100000000000001" customHeight="1" x14ac:dyDescent="0.3">
      <c r="A67" s="51" t="s">
        <v>143</v>
      </c>
      <c r="B67" s="49">
        <v>3</v>
      </c>
      <c r="C67" s="49">
        <v>3500</v>
      </c>
      <c r="D67" s="49">
        <v>10500</v>
      </c>
      <c r="E67" s="33">
        <v>3500</v>
      </c>
      <c r="F67" s="25"/>
      <c r="G67" s="25"/>
      <c r="H67" s="34">
        <f t="shared" si="38"/>
        <v>0</v>
      </c>
      <c r="I67" s="34"/>
      <c r="J67" s="35">
        <f t="shared" si="39"/>
        <v>0</v>
      </c>
      <c r="K67" s="35"/>
      <c r="L67" s="26"/>
    </row>
    <row r="68" spans="1:12" s="24" customFormat="1" ht="20.100000000000001" customHeight="1" x14ac:dyDescent="0.3">
      <c r="A68" s="50" t="s">
        <v>559</v>
      </c>
      <c r="B68" s="49"/>
      <c r="C68" s="49"/>
      <c r="D68" s="49"/>
      <c r="E68" s="33"/>
      <c r="F68" s="25"/>
      <c r="G68" s="25"/>
      <c r="H68" s="22"/>
      <c r="I68" s="22"/>
      <c r="J68" s="23"/>
      <c r="K68" s="23"/>
      <c r="L68" s="26"/>
    </row>
    <row r="69" spans="1:12" s="24" customFormat="1" ht="20.100000000000001" customHeight="1" x14ac:dyDescent="0.3">
      <c r="A69" s="51" t="s">
        <v>104</v>
      </c>
      <c r="B69" s="49">
        <v>2</v>
      </c>
      <c r="C69" s="49">
        <v>91400</v>
      </c>
      <c r="D69" s="49">
        <v>182800</v>
      </c>
      <c r="E69" s="33">
        <v>70900</v>
      </c>
      <c r="F69" s="25"/>
      <c r="G69" s="25"/>
      <c r="H69" s="34">
        <f t="shared" ref="H69" si="40">D69-(E69*B69)-G69</f>
        <v>41000</v>
      </c>
      <c r="I69" s="34"/>
      <c r="J69" s="35">
        <f t="shared" ref="J69" si="41">(H69/D69)*100</f>
        <v>22.428884026258206</v>
      </c>
      <c r="K69" s="35"/>
      <c r="L69" s="27"/>
    </row>
    <row r="70" spans="1:12" s="24" customFormat="1" ht="20.100000000000001" customHeight="1" x14ac:dyDescent="0.3">
      <c r="A70" s="52" t="s">
        <v>58</v>
      </c>
      <c r="B70" s="49"/>
      <c r="C70" s="49"/>
      <c r="D70" s="49"/>
      <c r="E70" s="33"/>
      <c r="F70" s="25"/>
      <c r="G70" s="25"/>
      <c r="H70" s="22"/>
      <c r="I70" s="22"/>
      <c r="J70" s="23"/>
      <c r="K70" s="23"/>
      <c r="L70" s="26"/>
    </row>
    <row r="71" spans="1:12" s="24" customFormat="1" ht="20.100000000000001" customHeight="1" x14ac:dyDescent="0.3">
      <c r="A71" s="50" t="s">
        <v>560</v>
      </c>
      <c r="B71" s="49"/>
      <c r="C71" s="49"/>
      <c r="D71" s="49"/>
      <c r="E71" s="33"/>
      <c r="F71" s="25"/>
      <c r="G71" s="25"/>
      <c r="H71" s="22"/>
      <c r="I71" s="22"/>
      <c r="J71" s="23"/>
      <c r="K71" s="23"/>
      <c r="L71" s="26"/>
    </row>
    <row r="72" spans="1:12" s="24" customFormat="1" ht="20.100000000000001" customHeight="1" x14ac:dyDescent="0.3">
      <c r="A72" s="51" t="s">
        <v>101</v>
      </c>
      <c r="B72" s="49">
        <v>5</v>
      </c>
      <c r="C72" s="49">
        <v>71000</v>
      </c>
      <c r="D72" s="49">
        <v>355000</v>
      </c>
      <c r="E72" s="33">
        <v>53900</v>
      </c>
      <c r="F72" s="25"/>
      <c r="G72" s="25"/>
      <c r="H72" s="34">
        <f t="shared" ref="H72:H74" si="42">D72-(E72*B72)-G72</f>
        <v>85500</v>
      </c>
      <c r="I72" s="34"/>
      <c r="J72" s="35">
        <f t="shared" ref="J72:J74" si="43">(H72/D72)*100</f>
        <v>24.084507042253524</v>
      </c>
      <c r="K72" s="35"/>
      <c r="L72" s="27"/>
    </row>
    <row r="73" spans="1:12" s="24" customFormat="1" ht="20.100000000000001" customHeight="1" x14ac:dyDescent="0.3">
      <c r="A73" s="51" t="s">
        <v>104</v>
      </c>
      <c r="B73" s="49">
        <v>5</v>
      </c>
      <c r="C73" s="49">
        <v>89000</v>
      </c>
      <c r="D73" s="49">
        <v>445000</v>
      </c>
      <c r="E73" s="33">
        <v>70900</v>
      </c>
      <c r="F73" s="25"/>
      <c r="G73" s="25"/>
      <c r="H73" s="34">
        <f t="shared" si="42"/>
        <v>90500</v>
      </c>
      <c r="I73" s="34"/>
      <c r="J73" s="35">
        <f t="shared" si="43"/>
        <v>20.337078651685395</v>
      </c>
      <c r="K73" s="35"/>
      <c r="L73" s="27"/>
    </row>
    <row r="74" spans="1:12" s="24" customFormat="1" ht="20.100000000000001" customHeight="1" x14ac:dyDescent="0.3">
      <c r="A74" s="51" t="s">
        <v>188</v>
      </c>
      <c r="B74" s="49">
        <v>5</v>
      </c>
      <c r="C74" s="49">
        <v>92000</v>
      </c>
      <c r="D74" s="49">
        <v>460000</v>
      </c>
      <c r="E74" s="33">
        <v>69500</v>
      </c>
      <c r="F74" s="25"/>
      <c r="G74" s="25"/>
      <c r="H74" s="34">
        <f t="shared" si="42"/>
        <v>112500</v>
      </c>
      <c r="I74" s="34"/>
      <c r="J74" s="35">
        <f t="shared" si="43"/>
        <v>24.456521739130434</v>
      </c>
      <c r="K74" s="35"/>
      <c r="L74" s="27"/>
    </row>
    <row r="75" spans="1:12" s="24" customFormat="1" ht="20.100000000000001" customHeight="1" x14ac:dyDescent="0.3">
      <c r="A75" s="50" t="s">
        <v>561</v>
      </c>
      <c r="B75" s="49"/>
      <c r="C75" s="49"/>
      <c r="D75" s="49"/>
      <c r="E75" s="33"/>
      <c r="F75" s="25"/>
      <c r="G75" s="25"/>
      <c r="H75" s="22"/>
      <c r="I75" s="22"/>
      <c r="J75" s="23"/>
      <c r="K75" s="23"/>
      <c r="L75" s="26"/>
    </row>
    <row r="76" spans="1:12" s="24" customFormat="1" ht="20.100000000000001" customHeight="1" x14ac:dyDescent="0.3">
      <c r="A76" s="54" t="s">
        <v>581</v>
      </c>
      <c r="B76" s="55">
        <v>10</v>
      </c>
      <c r="C76" s="55">
        <v>77920</v>
      </c>
      <c r="D76" s="55">
        <v>779200</v>
      </c>
      <c r="E76" s="36">
        <v>81000</v>
      </c>
      <c r="F76" s="37"/>
      <c r="G76" s="37"/>
      <c r="H76" s="38">
        <f t="shared" ref="H76" si="44">D76-(E76*B76)-G76</f>
        <v>-30800</v>
      </c>
      <c r="I76" s="38"/>
      <c r="J76" s="39">
        <f t="shared" ref="J76" si="45">(H76/D76)*100</f>
        <v>-3.9527720739219716</v>
      </c>
      <c r="K76" s="39"/>
      <c r="L76" s="40" t="s">
        <v>582</v>
      </c>
    </row>
    <row r="77" spans="1:12" s="24" customFormat="1" ht="20.100000000000001" customHeight="1" x14ac:dyDescent="0.3">
      <c r="A77" s="52" t="s">
        <v>59</v>
      </c>
      <c r="B77" s="49"/>
      <c r="C77" s="49"/>
      <c r="D77" s="49"/>
      <c r="E77" s="33"/>
      <c r="F77" s="25"/>
      <c r="G77" s="25"/>
      <c r="H77" s="22"/>
      <c r="I77" s="22"/>
      <c r="J77" s="23"/>
      <c r="K77" s="23"/>
      <c r="L77" s="27"/>
    </row>
    <row r="78" spans="1:12" s="24" customFormat="1" ht="19.5" customHeight="1" x14ac:dyDescent="0.3">
      <c r="A78" s="50" t="s">
        <v>562</v>
      </c>
      <c r="B78" s="49"/>
      <c r="C78" s="49"/>
      <c r="D78" s="49"/>
      <c r="E78" s="33"/>
      <c r="F78" s="25"/>
      <c r="G78" s="25"/>
      <c r="H78" s="22"/>
      <c r="I78" s="22"/>
      <c r="J78" s="23"/>
      <c r="K78" s="23"/>
      <c r="L78" s="26"/>
    </row>
    <row r="79" spans="1:12" s="24" customFormat="1" ht="20.100000000000001" customHeight="1" x14ac:dyDescent="0.3">
      <c r="A79" s="51" t="s">
        <v>573</v>
      </c>
      <c r="B79" s="49">
        <v>3</v>
      </c>
      <c r="C79" s="49">
        <v>1092000</v>
      </c>
      <c r="D79" s="49">
        <v>3276000</v>
      </c>
      <c r="E79" s="33">
        <v>805000</v>
      </c>
      <c r="F79" s="25"/>
      <c r="G79" s="25"/>
      <c r="H79" s="34">
        <f t="shared" ref="H79" si="46">D79-(E79*B79)-G79</f>
        <v>861000</v>
      </c>
      <c r="I79" s="34"/>
      <c r="J79" s="35">
        <f t="shared" ref="J79" si="47">(H79/D79)*100</f>
        <v>26.282051282051285</v>
      </c>
      <c r="K79" s="35"/>
      <c r="L79" s="26"/>
    </row>
    <row r="80" spans="1:12" s="24" customFormat="1" ht="20.100000000000001" customHeight="1" x14ac:dyDescent="0.3">
      <c r="A80" s="50" t="s">
        <v>302</v>
      </c>
      <c r="B80" s="49"/>
      <c r="C80" s="49"/>
      <c r="D80" s="49"/>
      <c r="E80" s="33"/>
      <c r="F80" s="25"/>
      <c r="G80" s="25"/>
      <c r="H80" s="22"/>
      <c r="I80" s="22"/>
      <c r="J80" s="23"/>
      <c r="K80" s="23"/>
      <c r="L80" s="26"/>
    </row>
    <row r="81" spans="1:12" s="24" customFormat="1" ht="20.100000000000001" customHeight="1" x14ac:dyDescent="0.3">
      <c r="A81" s="51" t="s">
        <v>65</v>
      </c>
      <c r="B81" s="49">
        <v>1</v>
      </c>
      <c r="C81" s="49">
        <v>94000</v>
      </c>
      <c r="D81" s="49">
        <v>94000</v>
      </c>
      <c r="E81" s="33">
        <v>60600</v>
      </c>
      <c r="F81" s="25"/>
      <c r="G81" s="25"/>
      <c r="H81" s="34">
        <f t="shared" ref="H81" si="48">D81-(E81*B81)-G81</f>
        <v>33400</v>
      </c>
      <c r="I81" s="34"/>
      <c r="J81" s="35">
        <f t="shared" ref="J81" si="49">(H81/D81)*100</f>
        <v>35.531914893617021</v>
      </c>
      <c r="K81" s="35"/>
      <c r="L81" s="27"/>
    </row>
    <row r="82" spans="1:12" s="24" customFormat="1" ht="20.100000000000001" customHeight="1" x14ac:dyDescent="0.3">
      <c r="A82" s="50" t="s">
        <v>64</v>
      </c>
      <c r="B82" s="49"/>
      <c r="C82" s="49"/>
      <c r="D82" s="49"/>
      <c r="E82" s="33"/>
      <c r="F82" s="25"/>
      <c r="G82" s="25"/>
      <c r="H82" s="22"/>
      <c r="I82" s="22"/>
      <c r="J82" s="23"/>
      <c r="K82" s="23"/>
      <c r="L82" s="27"/>
    </row>
    <row r="83" spans="1:12" s="24" customFormat="1" ht="20.100000000000001" customHeight="1" x14ac:dyDescent="0.3">
      <c r="A83" s="51" t="s">
        <v>60</v>
      </c>
      <c r="B83" s="49">
        <v>1</v>
      </c>
      <c r="C83" s="49">
        <v>153400</v>
      </c>
      <c r="D83" s="49">
        <v>153400</v>
      </c>
      <c r="E83" s="33">
        <v>87260</v>
      </c>
      <c r="F83" s="25"/>
      <c r="G83" s="25"/>
      <c r="H83" s="34">
        <f t="shared" ref="H83:H85" si="50">D83-(E83*B83)-G83</f>
        <v>66140</v>
      </c>
      <c r="I83" s="34"/>
      <c r="J83" s="35">
        <f t="shared" ref="J83:J85" si="51">(H83/D83)*100</f>
        <v>43.116036505867015</v>
      </c>
      <c r="K83" s="35"/>
      <c r="L83" s="26"/>
    </row>
    <row r="84" spans="1:12" s="24" customFormat="1" ht="20.100000000000001" customHeight="1" x14ac:dyDescent="0.3">
      <c r="A84" s="51" t="s">
        <v>294</v>
      </c>
      <c r="B84" s="49">
        <v>38</v>
      </c>
      <c r="C84" s="49">
        <v>65980</v>
      </c>
      <c r="D84" s="49">
        <v>2507240</v>
      </c>
      <c r="E84" s="33">
        <v>44000</v>
      </c>
      <c r="F84" s="25"/>
      <c r="G84" s="25"/>
      <c r="H84" s="34">
        <f t="shared" si="50"/>
        <v>835240</v>
      </c>
      <c r="I84" s="34"/>
      <c r="J84" s="35">
        <f t="shared" si="51"/>
        <v>33.313125189451348</v>
      </c>
      <c r="K84" s="35"/>
      <c r="L84" s="26"/>
    </row>
    <row r="85" spans="1:12" s="24" customFormat="1" ht="20.100000000000001" customHeight="1" x14ac:dyDescent="0.3">
      <c r="A85" s="51" t="s">
        <v>188</v>
      </c>
      <c r="B85" s="49">
        <v>12</v>
      </c>
      <c r="C85" s="49">
        <v>86600</v>
      </c>
      <c r="D85" s="49">
        <v>1039200</v>
      </c>
      <c r="E85" s="33">
        <v>69500</v>
      </c>
      <c r="F85" s="25"/>
      <c r="G85" s="25"/>
      <c r="H85" s="34">
        <f t="shared" si="50"/>
        <v>205200</v>
      </c>
      <c r="I85" s="34"/>
      <c r="J85" s="35">
        <f t="shared" si="51"/>
        <v>19.745958429561199</v>
      </c>
      <c r="K85" s="35"/>
      <c r="L85" s="27"/>
    </row>
    <row r="86" spans="1:12" s="24" customFormat="1" ht="20.100000000000001" customHeight="1" x14ac:dyDescent="0.3">
      <c r="A86" s="50" t="s">
        <v>563</v>
      </c>
      <c r="B86" s="49"/>
      <c r="C86" s="49"/>
      <c r="D86" s="49"/>
      <c r="E86" s="33"/>
      <c r="F86" s="25"/>
      <c r="G86" s="25"/>
      <c r="H86" s="22"/>
      <c r="I86" s="22"/>
      <c r="J86" s="23"/>
      <c r="K86" s="23"/>
      <c r="L86" s="27"/>
    </row>
    <row r="87" spans="1:12" s="24" customFormat="1" ht="20.100000000000001" customHeight="1" x14ac:dyDescent="0.3">
      <c r="A87" s="51" t="s">
        <v>187</v>
      </c>
      <c r="B87" s="49">
        <v>10</v>
      </c>
      <c r="C87" s="49">
        <v>76000</v>
      </c>
      <c r="D87" s="49">
        <v>760000</v>
      </c>
      <c r="E87" s="33">
        <v>64600</v>
      </c>
      <c r="F87" s="25"/>
      <c r="G87" s="25"/>
      <c r="H87" s="34">
        <f t="shared" ref="H87" si="52">D87-(E87*B87)-G87</f>
        <v>114000</v>
      </c>
      <c r="I87" s="34"/>
      <c r="J87" s="35">
        <f t="shared" ref="J87" si="53">(H87/D87)*100</f>
        <v>15</v>
      </c>
      <c r="K87" s="35"/>
      <c r="L87" s="26"/>
    </row>
    <row r="88" spans="1:12" s="24" customFormat="1" ht="20.100000000000001" customHeight="1" x14ac:dyDescent="0.3">
      <c r="A88" s="52" t="s">
        <v>34</v>
      </c>
      <c r="B88" s="49"/>
      <c r="C88" s="49"/>
      <c r="D88" s="49"/>
      <c r="E88" s="33"/>
      <c r="F88" s="25"/>
      <c r="G88" s="25"/>
      <c r="H88" s="22"/>
      <c r="I88" s="22"/>
      <c r="J88" s="23"/>
      <c r="K88" s="23"/>
      <c r="L88" s="26"/>
    </row>
    <row r="89" spans="1:12" s="24" customFormat="1" ht="20.100000000000001" customHeight="1" x14ac:dyDescent="0.3">
      <c r="A89" s="50" t="s">
        <v>564</v>
      </c>
      <c r="B89" s="49"/>
      <c r="C89" s="49"/>
      <c r="D89" s="49"/>
      <c r="E89" s="33"/>
      <c r="F89" s="25"/>
      <c r="G89" s="25"/>
      <c r="H89" s="22"/>
      <c r="I89" s="22"/>
      <c r="J89" s="23"/>
      <c r="K89" s="23"/>
      <c r="L89" s="27"/>
    </row>
    <row r="90" spans="1:12" s="24" customFormat="1" ht="20.100000000000001" customHeight="1" x14ac:dyDescent="0.3">
      <c r="A90" s="51" t="s">
        <v>574</v>
      </c>
      <c r="B90" s="49">
        <v>24000</v>
      </c>
      <c r="C90" s="49">
        <v>3580</v>
      </c>
      <c r="D90" s="49">
        <v>85920000</v>
      </c>
      <c r="E90" s="33">
        <v>2500</v>
      </c>
      <c r="F90" s="25"/>
      <c r="G90" s="25"/>
      <c r="H90" s="34">
        <f t="shared" ref="H90:H91" si="54">D90-(E90*B90)-G90</f>
        <v>25920000</v>
      </c>
      <c r="I90" s="34"/>
      <c r="J90" s="35">
        <f t="shared" ref="J90:J91" si="55">(H90/D90)*100</f>
        <v>30.16759776536313</v>
      </c>
      <c r="K90" s="35"/>
      <c r="L90" s="27"/>
    </row>
    <row r="91" spans="1:12" s="24" customFormat="1" ht="20.100000000000001" customHeight="1" x14ac:dyDescent="0.3">
      <c r="A91" s="54" t="s">
        <v>447</v>
      </c>
      <c r="B91" s="55">
        <v>2</v>
      </c>
      <c r="C91" s="55">
        <v>744640</v>
      </c>
      <c r="D91" s="55">
        <v>1489280</v>
      </c>
      <c r="E91" s="36">
        <v>1029000</v>
      </c>
      <c r="F91" s="37"/>
      <c r="G91" s="37"/>
      <c r="H91" s="38">
        <f t="shared" si="54"/>
        <v>-568720</v>
      </c>
      <c r="I91" s="38"/>
      <c r="J91" s="39">
        <f t="shared" si="55"/>
        <v>-38.187580575848735</v>
      </c>
      <c r="K91" s="39"/>
      <c r="L91" s="40" t="s">
        <v>575</v>
      </c>
    </row>
    <row r="92" spans="1:12" s="24" customFormat="1" ht="20.100000000000001" customHeight="1" x14ac:dyDescent="0.3">
      <c r="A92" s="50" t="s">
        <v>118</v>
      </c>
      <c r="B92" s="49"/>
      <c r="C92" s="49"/>
      <c r="D92" s="49"/>
      <c r="E92" s="33"/>
      <c r="F92" s="25"/>
      <c r="G92" s="25"/>
      <c r="H92" s="22"/>
      <c r="I92" s="22"/>
      <c r="J92" s="23"/>
      <c r="K92" s="23"/>
      <c r="L92" s="26"/>
    </row>
    <row r="93" spans="1:12" s="24" customFormat="1" ht="20.100000000000001" customHeight="1" x14ac:dyDescent="0.3">
      <c r="A93" s="51" t="s">
        <v>117</v>
      </c>
      <c r="B93" s="49">
        <v>4</v>
      </c>
      <c r="C93" s="49">
        <v>48000</v>
      </c>
      <c r="D93" s="49">
        <v>192000</v>
      </c>
      <c r="E93" s="33">
        <v>44000</v>
      </c>
      <c r="F93" s="25"/>
      <c r="G93" s="25"/>
      <c r="H93" s="34">
        <f t="shared" ref="H93" si="56">D93-(E93*B93)-G93</f>
        <v>16000</v>
      </c>
      <c r="I93" s="34"/>
      <c r="J93" s="35">
        <f t="shared" ref="J93" si="57">(H93/D93)*100</f>
        <v>8.3333333333333321</v>
      </c>
      <c r="K93" s="35"/>
      <c r="L93" s="26"/>
    </row>
    <row r="94" spans="1:12" s="24" customFormat="1" ht="20.100000000000001" customHeight="1" x14ac:dyDescent="0.3">
      <c r="A94" s="53" t="s">
        <v>26</v>
      </c>
      <c r="B94" s="49"/>
      <c r="C94" s="49"/>
      <c r="D94" s="49"/>
      <c r="E94" s="33"/>
      <c r="F94" s="25"/>
      <c r="G94" s="25"/>
      <c r="H94" s="22"/>
      <c r="I94" s="22"/>
      <c r="J94" s="23"/>
      <c r="K94" s="23"/>
      <c r="L94" s="26"/>
    </row>
    <row r="95" spans="1:12" s="24" customFormat="1" ht="20.100000000000001" customHeight="1" x14ac:dyDescent="0.3">
      <c r="A95" s="52" t="s">
        <v>18</v>
      </c>
      <c r="B95" s="49"/>
      <c r="C95" s="49"/>
      <c r="D95" s="49"/>
      <c r="E95" s="33"/>
      <c r="F95" s="25"/>
      <c r="G95" s="25"/>
      <c r="H95" s="22"/>
      <c r="I95" s="22"/>
      <c r="J95" s="23"/>
      <c r="K95" s="23"/>
      <c r="L95" s="26"/>
    </row>
    <row r="96" spans="1:12" s="24" customFormat="1" ht="20.100000000000001" customHeight="1" x14ac:dyDescent="0.3">
      <c r="A96" s="50" t="s">
        <v>62</v>
      </c>
      <c r="B96" s="49"/>
      <c r="C96" s="49"/>
      <c r="D96" s="49"/>
      <c r="E96" s="33"/>
      <c r="F96" s="25"/>
      <c r="G96" s="25"/>
      <c r="H96" s="22"/>
      <c r="I96" s="22"/>
      <c r="J96" s="23"/>
      <c r="K96" s="23"/>
      <c r="L96" s="26"/>
    </row>
    <row r="97" spans="1:12" s="24" customFormat="1" ht="20.100000000000001" customHeight="1" x14ac:dyDescent="0.3">
      <c r="A97" s="51" t="s">
        <v>67</v>
      </c>
      <c r="B97" s="49">
        <v>2</v>
      </c>
      <c r="C97" s="49">
        <v>70000</v>
      </c>
      <c r="D97" s="49">
        <v>140000</v>
      </c>
      <c r="E97" s="33">
        <v>66400</v>
      </c>
      <c r="F97" s="25"/>
      <c r="G97" s="25"/>
      <c r="H97" s="34">
        <f t="shared" ref="H97:H99" si="58">D97-(E97*B97)-G97</f>
        <v>7200</v>
      </c>
      <c r="I97" s="34"/>
      <c r="J97" s="35">
        <f t="shared" ref="J97:J99" si="59">(H97/D97)*100</f>
        <v>5.1428571428571423</v>
      </c>
      <c r="K97" s="35"/>
      <c r="L97" s="26"/>
    </row>
    <row r="98" spans="1:12" s="24" customFormat="1" ht="20.100000000000001" customHeight="1" x14ac:dyDescent="0.3">
      <c r="A98" s="51" t="s">
        <v>54</v>
      </c>
      <c r="B98" s="49">
        <v>8</v>
      </c>
      <c r="C98" s="49">
        <v>66000</v>
      </c>
      <c r="D98" s="49">
        <v>528000</v>
      </c>
      <c r="E98" s="33">
        <v>55700</v>
      </c>
      <c r="F98" s="25"/>
      <c r="G98" s="25"/>
      <c r="H98" s="34">
        <f t="shared" si="58"/>
        <v>82400</v>
      </c>
      <c r="I98" s="34"/>
      <c r="J98" s="35">
        <f t="shared" si="59"/>
        <v>15.606060606060607</v>
      </c>
      <c r="K98" s="35"/>
      <c r="L98" s="26"/>
    </row>
    <row r="99" spans="1:12" s="24" customFormat="1" ht="20.100000000000001" customHeight="1" x14ac:dyDescent="0.3">
      <c r="A99" s="51" t="s">
        <v>198</v>
      </c>
      <c r="B99" s="49">
        <v>2</v>
      </c>
      <c r="C99" s="49">
        <v>678000</v>
      </c>
      <c r="D99" s="49">
        <v>1356000</v>
      </c>
      <c r="E99" s="33">
        <v>616000</v>
      </c>
      <c r="F99" s="25"/>
      <c r="G99" s="25"/>
      <c r="H99" s="34">
        <f t="shared" si="58"/>
        <v>124000</v>
      </c>
      <c r="I99" s="34"/>
      <c r="J99" s="35">
        <f t="shared" si="59"/>
        <v>9.1445427728613566</v>
      </c>
      <c r="K99" s="35"/>
      <c r="L99" s="26"/>
    </row>
    <row r="100" spans="1:12" s="24" customFormat="1" ht="20.100000000000001" customHeight="1" x14ac:dyDescent="0.3">
      <c r="A100" s="50" t="s">
        <v>310</v>
      </c>
      <c r="B100" s="49"/>
      <c r="C100" s="49"/>
      <c r="D100" s="49"/>
      <c r="E100" s="33"/>
      <c r="F100" s="25"/>
      <c r="G100" s="25"/>
      <c r="H100" s="22"/>
      <c r="I100" s="22"/>
      <c r="J100" s="23"/>
      <c r="K100" s="23"/>
      <c r="L100" s="26"/>
    </row>
    <row r="101" spans="1:12" s="24" customFormat="1" ht="20.100000000000001" customHeight="1" x14ac:dyDescent="0.3">
      <c r="A101" s="51" t="s">
        <v>68</v>
      </c>
      <c r="B101" s="49">
        <v>1</v>
      </c>
      <c r="C101" s="49">
        <v>70000</v>
      </c>
      <c r="D101" s="49">
        <v>70000</v>
      </c>
      <c r="E101" s="33">
        <v>54300</v>
      </c>
      <c r="F101" s="25"/>
      <c r="G101" s="25"/>
      <c r="H101" s="34">
        <f t="shared" ref="H101" si="60">D101-(E101*B101)-G101</f>
        <v>15700</v>
      </c>
      <c r="I101" s="34"/>
      <c r="J101" s="35">
        <f t="shared" ref="J101" si="61">(H101/D101)*100</f>
        <v>22.428571428571427</v>
      </c>
      <c r="K101" s="35"/>
      <c r="L101" s="26"/>
    </row>
    <row r="102" spans="1:12" s="24" customFormat="1" ht="20.100000000000001" customHeight="1" x14ac:dyDescent="0.3">
      <c r="A102" s="50" t="s">
        <v>311</v>
      </c>
      <c r="B102" s="49"/>
      <c r="C102" s="49"/>
      <c r="D102" s="49"/>
      <c r="E102" s="33"/>
      <c r="F102" s="25"/>
      <c r="G102" s="25"/>
      <c r="H102" s="22"/>
      <c r="I102" s="22"/>
      <c r="J102" s="23"/>
      <c r="K102" s="23"/>
      <c r="L102" s="26"/>
    </row>
    <row r="103" spans="1:12" s="24" customFormat="1" ht="20.100000000000001" customHeight="1" x14ac:dyDescent="0.3">
      <c r="A103" s="51" t="s">
        <v>301</v>
      </c>
      <c r="B103" s="49">
        <v>6</v>
      </c>
      <c r="C103" s="49">
        <v>67000</v>
      </c>
      <c r="D103" s="49">
        <v>402000</v>
      </c>
      <c r="E103" s="33">
        <v>59400</v>
      </c>
      <c r="F103" s="25"/>
      <c r="G103" s="25"/>
      <c r="H103" s="34">
        <f t="shared" ref="H103" si="62">D103-(E103*B103)-G103</f>
        <v>45600</v>
      </c>
      <c r="I103" s="34"/>
      <c r="J103" s="35">
        <f t="shared" ref="J103" si="63">(H103/D103)*100</f>
        <v>11.343283582089553</v>
      </c>
      <c r="K103" s="35"/>
      <c r="L103" s="26"/>
    </row>
    <row r="104" spans="1:12" s="24" customFormat="1" ht="20.100000000000001" customHeight="1" x14ac:dyDescent="0.3">
      <c r="A104" s="50" t="s">
        <v>196</v>
      </c>
      <c r="B104" s="49"/>
      <c r="C104" s="49"/>
      <c r="D104" s="49"/>
      <c r="E104" s="33"/>
      <c r="F104" s="25"/>
      <c r="G104" s="25"/>
      <c r="H104" s="22"/>
      <c r="I104" s="22"/>
      <c r="J104" s="23"/>
      <c r="K104" s="23"/>
      <c r="L104" s="26"/>
    </row>
    <row r="105" spans="1:12" s="24" customFormat="1" ht="20.100000000000001" customHeight="1" x14ac:dyDescent="0.3">
      <c r="A105" s="51" t="s">
        <v>576</v>
      </c>
      <c r="B105" s="49">
        <v>5</v>
      </c>
      <c r="C105" s="49">
        <v>409000</v>
      </c>
      <c r="D105" s="49">
        <v>2045000</v>
      </c>
      <c r="E105" s="33">
        <v>314000</v>
      </c>
      <c r="F105" s="25"/>
      <c r="G105" s="25"/>
      <c r="H105" s="34">
        <f t="shared" ref="H105:H106" si="64">D105-(E105*B105)-G105</f>
        <v>475000</v>
      </c>
      <c r="I105" s="34"/>
      <c r="J105" s="35">
        <f t="shared" ref="J105:J106" si="65">(H105/D105)*100</f>
        <v>23.227383863080682</v>
      </c>
      <c r="K105" s="35"/>
      <c r="L105" s="27"/>
    </row>
    <row r="106" spans="1:12" s="24" customFormat="1" ht="20.100000000000001" customHeight="1" x14ac:dyDescent="0.3">
      <c r="A106" s="51" t="s">
        <v>347</v>
      </c>
      <c r="B106" s="49">
        <v>2</v>
      </c>
      <c r="C106" s="49">
        <v>688000</v>
      </c>
      <c r="D106" s="49">
        <v>1376000</v>
      </c>
      <c r="E106" s="33">
        <v>595000</v>
      </c>
      <c r="F106" s="25"/>
      <c r="G106" s="25"/>
      <c r="H106" s="34">
        <f t="shared" si="64"/>
        <v>186000</v>
      </c>
      <c r="I106" s="34"/>
      <c r="J106" s="35">
        <f t="shared" si="65"/>
        <v>13.517441860465116</v>
      </c>
      <c r="K106" s="35"/>
      <c r="L106" s="26"/>
    </row>
    <row r="107" spans="1:12" s="24" customFormat="1" ht="20.100000000000001" customHeight="1" x14ac:dyDescent="0.3">
      <c r="A107" s="50" t="s">
        <v>121</v>
      </c>
      <c r="B107" s="49"/>
      <c r="C107" s="49"/>
      <c r="D107" s="49"/>
      <c r="E107" s="33"/>
      <c r="F107" s="25"/>
      <c r="G107" s="25"/>
      <c r="H107" s="22"/>
      <c r="I107" s="22"/>
      <c r="J107" s="23"/>
      <c r="K107" s="23"/>
      <c r="L107" s="26"/>
    </row>
    <row r="108" spans="1:12" s="24" customFormat="1" ht="20.100000000000001" customHeight="1" x14ac:dyDescent="0.3">
      <c r="A108" s="51" t="s">
        <v>23</v>
      </c>
      <c r="B108" s="49">
        <v>2</v>
      </c>
      <c r="C108" s="49">
        <v>95000</v>
      </c>
      <c r="D108" s="49">
        <v>190000</v>
      </c>
      <c r="E108" s="33">
        <v>63400</v>
      </c>
      <c r="F108" s="25"/>
      <c r="G108" s="25"/>
      <c r="H108" s="34">
        <f t="shared" ref="H108" si="66">D108-(E108*B108)-G108</f>
        <v>63200</v>
      </c>
      <c r="I108" s="34"/>
      <c r="J108" s="35">
        <f t="shared" ref="J108" si="67">(H108/D108)*100</f>
        <v>33.263157894736842</v>
      </c>
      <c r="K108" s="35"/>
      <c r="L108" s="26"/>
    </row>
    <row r="109" spans="1:12" s="24" customFormat="1" ht="20.100000000000001" customHeight="1" x14ac:dyDescent="0.3">
      <c r="A109" s="50" t="s">
        <v>73</v>
      </c>
      <c r="B109" s="49"/>
      <c r="C109" s="49"/>
      <c r="D109" s="49"/>
      <c r="E109" s="33"/>
      <c r="F109" s="25"/>
      <c r="G109" s="25"/>
      <c r="H109" s="22"/>
      <c r="I109" s="22"/>
      <c r="J109" s="23"/>
      <c r="K109" s="23"/>
      <c r="L109" s="26"/>
    </row>
    <row r="110" spans="1:12" s="24" customFormat="1" ht="20.100000000000001" customHeight="1" x14ac:dyDescent="0.3">
      <c r="A110" s="51" t="s">
        <v>223</v>
      </c>
      <c r="B110" s="49">
        <v>30</v>
      </c>
      <c r="C110" s="49">
        <v>46500</v>
      </c>
      <c r="D110" s="49">
        <v>1395000</v>
      </c>
      <c r="E110" s="33">
        <v>43000</v>
      </c>
      <c r="F110" s="25"/>
      <c r="G110" s="25"/>
      <c r="H110" s="34">
        <f t="shared" ref="H110" si="68">D110-(E110*B110)-G110</f>
        <v>105000</v>
      </c>
      <c r="I110" s="34"/>
      <c r="J110" s="35">
        <f t="shared" ref="J110" si="69">(H110/D110)*100</f>
        <v>7.5268817204301079</v>
      </c>
      <c r="K110" s="35"/>
      <c r="L110" s="26"/>
    </row>
    <row r="111" spans="1:12" s="24" customFormat="1" ht="20.100000000000001" customHeight="1" x14ac:dyDescent="0.3">
      <c r="A111" s="50" t="s">
        <v>565</v>
      </c>
      <c r="B111" s="49"/>
      <c r="C111" s="49"/>
      <c r="D111" s="49"/>
      <c r="E111" s="33"/>
      <c r="F111" s="25"/>
      <c r="G111" s="25"/>
      <c r="H111" s="22"/>
      <c r="I111" s="22"/>
      <c r="J111" s="23"/>
      <c r="K111" s="23"/>
      <c r="L111" s="26"/>
    </row>
    <row r="112" spans="1:12" s="24" customFormat="1" ht="20.100000000000001" customHeight="1" x14ac:dyDescent="0.3">
      <c r="A112" s="51" t="s">
        <v>577</v>
      </c>
      <c r="B112" s="49">
        <v>2</v>
      </c>
      <c r="C112" s="49">
        <v>732000</v>
      </c>
      <c r="D112" s="49">
        <v>1464000</v>
      </c>
      <c r="E112" s="33">
        <v>616000</v>
      </c>
      <c r="F112" s="25"/>
      <c r="G112" s="25"/>
      <c r="H112" s="34">
        <f t="shared" ref="H112:H113" si="70">D112-(E112*B112)-G112</f>
        <v>232000</v>
      </c>
      <c r="I112" s="34"/>
      <c r="J112" s="35">
        <f t="shared" ref="J112:J113" si="71">(H112/D112)*100</f>
        <v>15.846994535519126</v>
      </c>
      <c r="K112" s="35"/>
      <c r="L112" s="27" t="s">
        <v>578</v>
      </c>
    </row>
    <row r="113" spans="1:12" s="24" customFormat="1" ht="20.100000000000001" customHeight="1" x14ac:dyDescent="0.3">
      <c r="A113" s="51" t="s">
        <v>579</v>
      </c>
      <c r="B113" s="49">
        <v>4</v>
      </c>
      <c r="C113" s="49">
        <v>664200</v>
      </c>
      <c r="D113" s="49">
        <v>2656800</v>
      </c>
      <c r="E113" s="33">
        <v>564000</v>
      </c>
      <c r="F113" s="25"/>
      <c r="G113" s="25"/>
      <c r="H113" s="34">
        <f t="shared" si="70"/>
        <v>400800</v>
      </c>
      <c r="I113" s="34"/>
      <c r="J113" s="35">
        <f t="shared" si="71"/>
        <v>15.085817524841916</v>
      </c>
      <c r="K113" s="35"/>
      <c r="L113" s="26" t="s">
        <v>580</v>
      </c>
    </row>
    <row r="114" spans="1:12" s="24" customFormat="1" ht="20.100000000000001" customHeight="1" x14ac:dyDescent="0.3">
      <c r="A114" s="50" t="s">
        <v>412</v>
      </c>
      <c r="B114" s="49"/>
      <c r="C114" s="49"/>
      <c r="D114" s="49"/>
      <c r="E114" s="33"/>
      <c r="F114" s="25"/>
      <c r="G114" s="25"/>
      <c r="H114" s="22"/>
      <c r="I114" s="22"/>
      <c r="J114" s="23"/>
      <c r="K114" s="23"/>
      <c r="L114" s="27"/>
    </row>
    <row r="115" spans="1:12" s="24" customFormat="1" ht="20.100000000000001" customHeight="1" x14ac:dyDescent="0.3">
      <c r="A115" s="51" t="s">
        <v>463</v>
      </c>
      <c r="B115" s="49">
        <v>5</v>
      </c>
      <c r="C115" s="49">
        <v>34000</v>
      </c>
      <c r="D115" s="49">
        <v>170000</v>
      </c>
      <c r="E115" s="33">
        <v>31200</v>
      </c>
      <c r="F115" s="25"/>
      <c r="G115" s="25"/>
      <c r="H115" s="34">
        <f t="shared" ref="H115" si="72">D115-(E115*B115)-G115</f>
        <v>14000</v>
      </c>
      <c r="I115" s="34"/>
      <c r="J115" s="35">
        <f t="shared" ref="J115" si="73">(H115/D115)*100</f>
        <v>8.235294117647058</v>
      </c>
      <c r="K115" s="35"/>
      <c r="L115" s="26"/>
    </row>
    <row r="116" spans="1:12" s="24" customFormat="1" ht="20.100000000000001" customHeight="1" x14ac:dyDescent="0.3">
      <c r="A116" s="50" t="s">
        <v>87</v>
      </c>
      <c r="B116" s="49"/>
      <c r="C116" s="49"/>
      <c r="D116" s="49"/>
      <c r="E116" s="33"/>
      <c r="F116" s="25"/>
      <c r="G116" s="25"/>
      <c r="H116" s="22"/>
      <c r="I116" s="22"/>
      <c r="J116" s="23"/>
      <c r="K116" s="23"/>
      <c r="L116" s="26"/>
    </row>
    <row r="117" spans="1:12" s="24" customFormat="1" ht="20.100000000000001" customHeight="1" x14ac:dyDescent="0.3">
      <c r="A117" s="51" t="s">
        <v>236</v>
      </c>
      <c r="B117" s="49">
        <v>1</v>
      </c>
      <c r="C117" s="49">
        <v>92000</v>
      </c>
      <c r="D117" s="49">
        <v>92000</v>
      </c>
      <c r="E117" s="33">
        <v>83600</v>
      </c>
      <c r="F117" s="25"/>
      <c r="G117" s="25"/>
      <c r="H117" s="34">
        <f t="shared" ref="H117:H121" si="74">D117-(E117*B117)-G117</f>
        <v>8400</v>
      </c>
      <c r="I117" s="34"/>
      <c r="J117" s="35">
        <f t="shared" ref="J117:J121" si="75">(H117/D117)*100</f>
        <v>9.1304347826086953</v>
      </c>
      <c r="K117" s="35"/>
      <c r="L117" s="27"/>
    </row>
    <row r="118" spans="1:12" s="24" customFormat="1" ht="20.100000000000001" customHeight="1" x14ac:dyDescent="0.3">
      <c r="A118" s="51" t="s">
        <v>165</v>
      </c>
      <c r="B118" s="49">
        <v>2</v>
      </c>
      <c r="C118" s="49">
        <v>134000</v>
      </c>
      <c r="D118" s="49">
        <v>268000</v>
      </c>
      <c r="E118" s="33">
        <v>120000</v>
      </c>
      <c r="F118" s="25"/>
      <c r="G118" s="25"/>
      <c r="H118" s="34">
        <f t="shared" si="74"/>
        <v>28000</v>
      </c>
      <c r="I118" s="34"/>
      <c r="J118" s="35">
        <f t="shared" si="75"/>
        <v>10.44776119402985</v>
      </c>
      <c r="K118" s="35"/>
      <c r="L118" s="27"/>
    </row>
    <row r="119" spans="1:12" s="24" customFormat="1" ht="20.100000000000001" customHeight="1" x14ac:dyDescent="0.3">
      <c r="A119" s="51" t="s">
        <v>116</v>
      </c>
      <c r="B119" s="49">
        <v>2</v>
      </c>
      <c r="C119" s="49">
        <v>80500</v>
      </c>
      <c r="D119" s="49">
        <v>161000</v>
      </c>
      <c r="E119" s="33">
        <v>72300</v>
      </c>
      <c r="F119" s="25"/>
      <c r="G119" s="25"/>
      <c r="H119" s="34">
        <f t="shared" si="74"/>
        <v>16400</v>
      </c>
      <c r="I119" s="34"/>
      <c r="J119" s="35">
        <f t="shared" si="75"/>
        <v>10.186335403726709</v>
      </c>
      <c r="K119" s="35"/>
      <c r="L119" s="27"/>
    </row>
    <row r="120" spans="1:12" s="24" customFormat="1" ht="20.100000000000001" customHeight="1" x14ac:dyDescent="0.3">
      <c r="A120" s="51" t="s">
        <v>23</v>
      </c>
      <c r="B120" s="49">
        <v>1</v>
      </c>
      <c r="C120" s="49">
        <v>85000</v>
      </c>
      <c r="D120" s="49">
        <v>85000</v>
      </c>
      <c r="E120" s="33">
        <v>63400</v>
      </c>
      <c r="F120" s="25"/>
      <c r="G120" s="25"/>
      <c r="H120" s="34">
        <f t="shared" si="74"/>
        <v>21600</v>
      </c>
      <c r="I120" s="34"/>
      <c r="J120" s="35">
        <f t="shared" si="75"/>
        <v>25.411764705882351</v>
      </c>
      <c r="K120" s="35"/>
      <c r="L120" s="26"/>
    </row>
    <row r="121" spans="1:12" s="24" customFormat="1" ht="20.100000000000001" customHeight="1" x14ac:dyDescent="0.3">
      <c r="A121" s="51" t="s">
        <v>71</v>
      </c>
      <c r="B121" s="49">
        <v>6</v>
      </c>
      <c r="C121" s="49">
        <v>74000</v>
      </c>
      <c r="D121" s="49">
        <v>444000</v>
      </c>
      <c r="E121" s="33">
        <v>55400</v>
      </c>
      <c r="F121" s="25"/>
      <c r="G121" s="25"/>
      <c r="H121" s="34">
        <f t="shared" si="74"/>
        <v>111600</v>
      </c>
      <c r="I121" s="34"/>
      <c r="J121" s="35">
        <f t="shared" si="75"/>
        <v>25.135135135135133</v>
      </c>
      <c r="K121" s="35"/>
      <c r="L121" s="26"/>
    </row>
    <row r="122" spans="1:12" s="24" customFormat="1" ht="20.100000000000001" customHeight="1" x14ac:dyDescent="0.3">
      <c r="A122" s="50" t="s">
        <v>257</v>
      </c>
      <c r="B122" s="49"/>
      <c r="C122" s="49"/>
      <c r="D122" s="49"/>
      <c r="E122" s="33"/>
      <c r="F122" s="25"/>
      <c r="G122" s="25"/>
      <c r="H122" s="22"/>
      <c r="I122" s="22"/>
      <c r="J122" s="23"/>
      <c r="K122" s="23"/>
      <c r="L122" s="27"/>
    </row>
    <row r="123" spans="1:12" s="24" customFormat="1" ht="19.5" customHeight="1" x14ac:dyDescent="0.3">
      <c r="A123" s="51" t="s">
        <v>463</v>
      </c>
      <c r="B123" s="49">
        <v>5</v>
      </c>
      <c r="C123" s="49">
        <v>34300</v>
      </c>
      <c r="D123" s="49">
        <v>171500</v>
      </c>
      <c r="E123" s="33">
        <v>31200</v>
      </c>
      <c r="F123" s="25"/>
      <c r="G123" s="25"/>
      <c r="H123" s="34">
        <f t="shared" ref="H123" si="76">D123-(E123*B123)-G123</f>
        <v>15500</v>
      </c>
      <c r="I123" s="34"/>
      <c r="J123" s="35">
        <f t="shared" ref="J123" si="77">(H123/D123)*100</f>
        <v>9.037900874635568</v>
      </c>
      <c r="K123" s="35"/>
      <c r="L123" s="26"/>
    </row>
    <row r="124" spans="1:12" s="24" customFormat="1" ht="20.100000000000001" customHeight="1" x14ac:dyDescent="0.3">
      <c r="A124" s="50" t="s">
        <v>74</v>
      </c>
      <c r="B124" s="49"/>
      <c r="C124" s="49"/>
      <c r="D124" s="49"/>
      <c r="E124" s="33"/>
      <c r="F124" s="25"/>
      <c r="G124" s="25"/>
      <c r="H124" s="22"/>
      <c r="I124" s="22"/>
      <c r="J124" s="23"/>
      <c r="K124" s="23"/>
      <c r="L124" s="26"/>
    </row>
    <row r="125" spans="1:12" s="24" customFormat="1" ht="20.100000000000001" customHeight="1" x14ac:dyDescent="0.3">
      <c r="A125" s="51" t="s">
        <v>23</v>
      </c>
      <c r="B125" s="49">
        <v>1</v>
      </c>
      <c r="C125" s="49">
        <v>69700</v>
      </c>
      <c r="D125" s="49">
        <v>69700</v>
      </c>
      <c r="E125" s="33">
        <v>63400</v>
      </c>
      <c r="F125" s="25"/>
      <c r="G125" s="25"/>
      <c r="H125" s="34">
        <f t="shared" ref="H125" si="78">D125-(E125*B125)-G125</f>
        <v>6300</v>
      </c>
      <c r="I125" s="34"/>
      <c r="J125" s="35">
        <f t="shared" ref="J125" si="79">(H125/D125)*100</f>
        <v>9.0387374461979917</v>
      </c>
      <c r="K125" s="35"/>
      <c r="L125" s="27"/>
    </row>
    <row r="126" spans="1:12" s="24" customFormat="1" ht="20.100000000000001" customHeight="1" x14ac:dyDescent="0.3">
      <c r="A126" s="50" t="s">
        <v>566</v>
      </c>
      <c r="B126" s="49"/>
      <c r="C126" s="49"/>
      <c r="D126" s="49"/>
      <c r="E126" s="33"/>
      <c r="F126" s="25"/>
      <c r="G126" s="25"/>
      <c r="H126" s="22"/>
      <c r="I126" s="22"/>
      <c r="J126" s="23"/>
      <c r="K126" s="23"/>
      <c r="L126" s="26"/>
    </row>
    <row r="127" spans="1:12" s="24" customFormat="1" ht="20.100000000000001" customHeight="1" x14ac:dyDescent="0.3">
      <c r="A127" s="51" t="s">
        <v>68</v>
      </c>
      <c r="B127" s="49">
        <v>5</v>
      </c>
      <c r="C127" s="49">
        <v>63000</v>
      </c>
      <c r="D127" s="49">
        <v>315000</v>
      </c>
      <c r="E127" s="33">
        <v>54300</v>
      </c>
      <c r="F127" s="25"/>
      <c r="G127" s="25"/>
      <c r="H127" s="34">
        <f t="shared" ref="H127" si="80">D127-(E127*B127)-G127</f>
        <v>43500</v>
      </c>
      <c r="I127" s="34"/>
      <c r="J127" s="35">
        <f t="shared" ref="J127" si="81">(H127/D127)*100</f>
        <v>13.80952380952381</v>
      </c>
      <c r="K127" s="35"/>
      <c r="L127" s="27"/>
    </row>
    <row r="128" spans="1:12" s="24" customFormat="1" ht="20.100000000000001" customHeight="1" x14ac:dyDescent="0.3">
      <c r="A128" s="50" t="s">
        <v>93</v>
      </c>
      <c r="B128" s="49"/>
      <c r="C128" s="49"/>
      <c r="D128" s="49"/>
      <c r="E128" s="33"/>
      <c r="F128" s="25"/>
      <c r="G128" s="25"/>
      <c r="H128" s="22"/>
      <c r="I128" s="22"/>
      <c r="J128" s="23"/>
      <c r="K128" s="23"/>
      <c r="L128" s="27"/>
    </row>
    <row r="129" spans="1:12" s="24" customFormat="1" ht="20.100000000000001" customHeight="1" x14ac:dyDescent="0.3">
      <c r="A129" s="51" t="s">
        <v>567</v>
      </c>
      <c r="B129" s="49">
        <v>3</v>
      </c>
      <c r="C129" s="49">
        <v>677000</v>
      </c>
      <c r="D129" s="49">
        <v>2031000</v>
      </c>
      <c r="E129" s="33">
        <v>645000</v>
      </c>
      <c r="F129" s="25"/>
      <c r="G129" s="25"/>
      <c r="H129" s="34">
        <f t="shared" ref="H129" si="82">D129-(E129*B129)-G129</f>
        <v>96000</v>
      </c>
      <c r="I129" s="34"/>
      <c r="J129" s="35">
        <f t="shared" ref="J129" si="83">(H129/D129)*100</f>
        <v>4.7267355982274744</v>
      </c>
      <c r="K129" s="35"/>
      <c r="L129" s="26"/>
    </row>
    <row r="130" spans="1:12" s="24" customFormat="1" ht="20.100000000000001" customHeight="1" x14ac:dyDescent="0.3">
      <c r="A130" s="50" t="s">
        <v>210</v>
      </c>
      <c r="B130" s="49"/>
      <c r="C130" s="49"/>
      <c r="D130" s="49"/>
      <c r="E130" s="33"/>
      <c r="F130" s="25"/>
      <c r="G130" s="25"/>
      <c r="H130" s="22"/>
      <c r="I130" s="22"/>
      <c r="J130" s="23"/>
      <c r="K130" s="23"/>
      <c r="L130" s="26"/>
    </row>
    <row r="131" spans="1:12" s="24" customFormat="1" ht="20.100000000000001" customHeight="1" x14ac:dyDescent="0.3">
      <c r="A131" s="51" t="s">
        <v>37</v>
      </c>
      <c r="B131" s="49">
        <v>1</v>
      </c>
      <c r="C131" s="49">
        <v>595000</v>
      </c>
      <c r="D131" s="49">
        <v>595000</v>
      </c>
      <c r="E131" s="33">
        <v>508000</v>
      </c>
      <c r="F131" s="25"/>
      <c r="G131" s="25"/>
      <c r="H131" s="34">
        <f t="shared" ref="H131" si="84">D131-(E131*B131)-G131</f>
        <v>87000</v>
      </c>
      <c r="I131" s="34"/>
      <c r="J131" s="35">
        <f t="shared" ref="J131" si="85">(H131/D131)*100</f>
        <v>14.6218487394958</v>
      </c>
      <c r="K131" s="35"/>
      <c r="L131" s="27"/>
    </row>
    <row r="132" spans="1:12" s="24" customFormat="1" ht="20.100000000000001" customHeight="1" x14ac:dyDescent="0.3">
      <c r="A132" s="52" t="s">
        <v>19</v>
      </c>
      <c r="B132" s="49"/>
      <c r="C132" s="49"/>
      <c r="D132" s="49"/>
      <c r="E132" s="33"/>
      <c r="F132" s="25"/>
      <c r="G132" s="25"/>
      <c r="H132" s="22"/>
      <c r="I132" s="22"/>
      <c r="J132" s="23"/>
      <c r="K132" s="23"/>
      <c r="L132" s="26"/>
    </row>
    <row r="133" spans="1:12" s="24" customFormat="1" ht="20.100000000000001" customHeight="1" x14ac:dyDescent="0.3">
      <c r="A133" s="50" t="s">
        <v>282</v>
      </c>
      <c r="B133" s="49"/>
      <c r="C133" s="49"/>
      <c r="D133" s="49"/>
      <c r="E133" s="33"/>
      <c r="F133" s="25"/>
      <c r="G133" s="25"/>
      <c r="H133" s="22"/>
      <c r="I133" s="22"/>
      <c r="J133" s="23"/>
      <c r="K133" s="23"/>
      <c r="L133" s="27"/>
    </row>
    <row r="134" spans="1:12" s="24" customFormat="1" ht="20.100000000000001" customHeight="1" x14ac:dyDescent="0.3">
      <c r="A134" s="51" t="s">
        <v>568</v>
      </c>
      <c r="B134" s="49">
        <v>3</v>
      </c>
      <c r="C134" s="49">
        <v>545000</v>
      </c>
      <c r="D134" s="49">
        <v>1635000</v>
      </c>
      <c r="E134" s="33"/>
      <c r="F134" s="25">
        <v>492000</v>
      </c>
      <c r="G134" s="25"/>
      <c r="H134" s="22"/>
      <c r="I134" s="34">
        <f t="shared" ref="I134" si="86">D134-(F134*B134)-G134</f>
        <v>159000</v>
      </c>
      <c r="J134" s="35"/>
      <c r="K134" s="35">
        <f t="shared" ref="K134" si="87">(I134/D134)*100</f>
        <v>9.7247706422018361</v>
      </c>
      <c r="L134" s="27"/>
    </row>
    <row r="135" spans="1:12" s="24" customFormat="1" ht="20.100000000000001" customHeight="1" x14ac:dyDescent="0.3">
      <c r="A135" s="50" t="s">
        <v>105</v>
      </c>
      <c r="B135" s="49"/>
      <c r="C135" s="49"/>
      <c r="D135" s="49"/>
      <c r="E135" s="33"/>
      <c r="F135" s="25"/>
      <c r="G135" s="25"/>
      <c r="H135" s="22"/>
      <c r="I135" s="22"/>
      <c r="J135" s="23"/>
      <c r="K135" s="23"/>
      <c r="L135" s="26"/>
    </row>
    <row r="136" spans="1:12" s="24" customFormat="1" ht="20.100000000000001" customHeight="1" x14ac:dyDescent="0.3">
      <c r="A136" s="51" t="s">
        <v>52</v>
      </c>
      <c r="B136" s="49">
        <v>6</v>
      </c>
      <c r="C136" s="49">
        <v>424000</v>
      </c>
      <c r="D136" s="49">
        <v>2544000</v>
      </c>
      <c r="E136" s="33"/>
      <c r="F136" s="25">
        <v>397000</v>
      </c>
      <c r="G136" s="25"/>
      <c r="H136" s="22"/>
      <c r="I136" s="34">
        <f t="shared" ref="I136" si="88">D136-(F136*B136)-G136</f>
        <v>162000</v>
      </c>
      <c r="J136" s="35"/>
      <c r="K136" s="35">
        <f t="shared" ref="K136" si="89">(I136/D136)*100</f>
        <v>6.367924528301887</v>
      </c>
      <c r="L136" s="26"/>
    </row>
    <row r="137" spans="1:12" s="24" customFormat="1" ht="20.100000000000001" customHeight="1" x14ac:dyDescent="0.3">
      <c r="A137" s="52" t="s">
        <v>16</v>
      </c>
      <c r="B137" s="49"/>
      <c r="C137" s="49"/>
      <c r="D137" s="49"/>
      <c r="E137" s="33"/>
      <c r="F137" s="25"/>
      <c r="G137" s="25"/>
      <c r="H137" s="22"/>
      <c r="I137" s="22"/>
      <c r="J137" s="23"/>
      <c r="K137" s="23"/>
      <c r="L137" s="26"/>
    </row>
    <row r="138" spans="1:12" s="24" customFormat="1" ht="20.100000000000001" customHeight="1" x14ac:dyDescent="0.3">
      <c r="A138" s="50" t="s">
        <v>319</v>
      </c>
      <c r="B138" s="49"/>
      <c r="C138" s="49"/>
      <c r="D138" s="49"/>
      <c r="E138" s="33"/>
      <c r="F138" s="25"/>
      <c r="G138" s="25"/>
      <c r="H138" s="22"/>
      <c r="I138" s="22"/>
      <c r="J138" s="23"/>
      <c r="K138" s="23"/>
      <c r="L138" s="26"/>
    </row>
    <row r="139" spans="1:12" s="24" customFormat="1" ht="20.100000000000001" customHeight="1" x14ac:dyDescent="0.3">
      <c r="A139" s="51" t="s">
        <v>569</v>
      </c>
      <c r="B139" s="49">
        <v>5</v>
      </c>
      <c r="C139" s="49">
        <v>3536000</v>
      </c>
      <c r="D139" s="49">
        <v>17680000</v>
      </c>
      <c r="E139" s="33">
        <v>2763000</v>
      </c>
      <c r="F139" s="25"/>
      <c r="G139" s="25"/>
      <c r="H139" s="34">
        <f t="shared" ref="H139" si="90">D139-(E139*B139)-G139</f>
        <v>3865000</v>
      </c>
      <c r="I139" s="34"/>
      <c r="J139" s="35">
        <f t="shared" ref="J139" si="91">(H139/D139)*100</f>
        <v>21.860859728506789</v>
      </c>
      <c r="K139" s="35"/>
      <c r="L139" s="26"/>
    </row>
    <row r="140" spans="1:12" s="24" customFormat="1" ht="20.100000000000001" customHeight="1" x14ac:dyDescent="0.3">
      <c r="A140" s="50" t="s">
        <v>79</v>
      </c>
      <c r="B140" s="49"/>
      <c r="C140" s="49"/>
      <c r="D140" s="49"/>
      <c r="E140" s="33"/>
      <c r="F140" s="25"/>
      <c r="G140" s="25"/>
      <c r="H140" s="22"/>
      <c r="I140" s="22"/>
      <c r="J140" s="23"/>
      <c r="K140" s="23"/>
      <c r="L140" s="27"/>
    </row>
    <row r="141" spans="1:12" s="24" customFormat="1" ht="20.100000000000001" customHeight="1" x14ac:dyDescent="0.3">
      <c r="A141" s="51" t="s">
        <v>68</v>
      </c>
      <c r="B141" s="49">
        <v>3</v>
      </c>
      <c r="C141" s="49">
        <v>79300</v>
      </c>
      <c r="D141" s="49">
        <v>237900</v>
      </c>
      <c r="E141" s="33">
        <v>54300</v>
      </c>
      <c r="F141" s="25"/>
      <c r="G141" s="25"/>
      <c r="H141" s="34">
        <f t="shared" ref="H141" si="92">D141-(E141*B141)-G141</f>
        <v>75000</v>
      </c>
      <c r="I141" s="34"/>
      <c r="J141" s="35">
        <f t="shared" ref="J141" si="93">(H141/D141)*100</f>
        <v>31.525851197982348</v>
      </c>
      <c r="K141" s="35"/>
      <c r="L141" s="26"/>
    </row>
    <row r="142" spans="1:12" s="24" customFormat="1" ht="20.100000000000001" customHeight="1" x14ac:dyDescent="0.3">
      <c r="A142" s="52" t="s">
        <v>216</v>
      </c>
      <c r="B142" s="49"/>
      <c r="C142" s="49"/>
      <c r="D142" s="49"/>
      <c r="E142" s="33"/>
      <c r="F142" s="25"/>
      <c r="G142" s="25"/>
      <c r="H142" s="22"/>
      <c r="I142" s="22"/>
      <c r="J142" s="23"/>
      <c r="K142" s="23"/>
      <c r="L142" s="26"/>
    </row>
    <row r="143" spans="1:12" s="24" customFormat="1" ht="20.100000000000001" customHeight="1" x14ac:dyDescent="0.3">
      <c r="A143" s="50" t="s">
        <v>217</v>
      </c>
      <c r="B143" s="49"/>
      <c r="C143" s="49"/>
      <c r="D143" s="49"/>
      <c r="E143" s="33"/>
      <c r="F143" s="25"/>
      <c r="G143" s="25"/>
      <c r="H143" s="22"/>
      <c r="I143" s="22"/>
      <c r="J143" s="23"/>
      <c r="K143" s="23"/>
      <c r="L143" s="26"/>
    </row>
    <row r="144" spans="1:12" s="24" customFormat="1" ht="20.100000000000001" customHeight="1" x14ac:dyDescent="0.3">
      <c r="A144" s="51" t="s">
        <v>23</v>
      </c>
      <c r="B144" s="49">
        <v>2</v>
      </c>
      <c r="C144" s="49">
        <v>95000</v>
      </c>
      <c r="D144" s="49">
        <v>190000</v>
      </c>
      <c r="E144" s="33">
        <v>63400</v>
      </c>
      <c r="F144" s="25"/>
      <c r="G144" s="25"/>
      <c r="H144" s="34">
        <f t="shared" ref="H144" si="94">D144-(E144*B144)-G144</f>
        <v>63200</v>
      </c>
      <c r="I144" s="34"/>
      <c r="J144" s="35">
        <f t="shared" ref="J144" si="95">(H144/D144)*100</f>
        <v>33.263157894736842</v>
      </c>
      <c r="K144" s="35"/>
      <c r="L144" s="26"/>
    </row>
    <row r="145" spans="1:12" s="24" customFormat="1" ht="20.100000000000001" customHeight="1" x14ac:dyDescent="0.3">
      <c r="A145" s="53" t="s">
        <v>27</v>
      </c>
      <c r="B145" s="49"/>
      <c r="C145" s="49"/>
      <c r="D145" s="49"/>
      <c r="E145" s="33"/>
      <c r="F145" s="25"/>
      <c r="G145" s="25"/>
      <c r="H145" s="22"/>
      <c r="I145" s="22"/>
      <c r="J145" s="23"/>
      <c r="K145" s="23"/>
      <c r="L145" s="26"/>
    </row>
    <row r="146" spans="1:12" s="24" customFormat="1" ht="20.100000000000001" customHeight="1" x14ac:dyDescent="0.3">
      <c r="A146" s="52" t="s">
        <v>21</v>
      </c>
      <c r="B146" s="49"/>
      <c r="C146" s="49"/>
      <c r="D146" s="49"/>
      <c r="E146" s="33"/>
      <c r="F146" s="25"/>
      <c r="G146" s="25"/>
      <c r="H146" s="22"/>
      <c r="I146" s="22"/>
      <c r="J146" s="23"/>
      <c r="K146" s="23"/>
      <c r="L146" s="26"/>
    </row>
    <row r="147" spans="1:12" s="24" customFormat="1" ht="20.100000000000001" customHeight="1" x14ac:dyDescent="0.3">
      <c r="A147" s="50" t="s">
        <v>570</v>
      </c>
      <c r="B147" s="49"/>
      <c r="C147" s="49"/>
      <c r="D147" s="49"/>
      <c r="E147" s="33"/>
      <c r="F147" s="25"/>
      <c r="G147" s="25"/>
      <c r="H147" s="22"/>
      <c r="I147" s="22"/>
      <c r="J147" s="23"/>
      <c r="K147" s="23"/>
      <c r="L147" s="26"/>
    </row>
    <row r="148" spans="1:12" s="24" customFormat="1" ht="20.100000000000001" customHeight="1" x14ac:dyDescent="0.3">
      <c r="A148" s="51" t="s">
        <v>24</v>
      </c>
      <c r="B148" s="49">
        <v>1</v>
      </c>
      <c r="C148" s="49">
        <v>635000</v>
      </c>
      <c r="D148" s="49">
        <v>635000</v>
      </c>
      <c r="E148" s="33">
        <v>508000</v>
      </c>
      <c r="F148" s="25"/>
      <c r="G148" s="25"/>
      <c r="H148" s="34">
        <f t="shared" ref="H148" si="96">D148-(E148*B148)-G148</f>
        <v>127000</v>
      </c>
      <c r="I148" s="34"/>
      <c r="J148" s="35">
        <f t="shared" ref="J148" si="97">(H148/D148)*100</f>
        <v>20</v>
      </c>
      <c r="K148" s="35"/>
      <c r="L148" s="26"/>
    </row>
    <row r="149" spans="1:12" s="24" customFormat="1" ht="20.100000000000001" customHeight="1" x14ac:dyDescent="0.3">
      <c r="A149" s="50" t="s">
        <v>443</v>
      </c>
      <c r="B149" s="49"/>
      <c r="C149" s="49"/>
      <c r="D149" s="49"/>
      <c r="E149" s="33"/>
      <c r="F149" s="25"/>
      <c r="G149" s="25"/>
      <c r="H149" s="22"/>
      <c r="I149" s="22"/>
      <c r="J149" s="23"/>
      <c r="K149" s="23"/>
      <c r="L149" s="26"/>
    </row>
    <row r="150" spans="1:12" s="24" customFormat="1" ht="20.100000000000001" customHeight="1" thickBot="1" x14ac:dyDescent="0.35">
      <c r="A150" s="58" t="s">
        <v>444</v>
      </c>
      <c r="B150" s="59">
        <v>2</v>
      </c>
      <c r="C150" s="59">
        <v>350000</v>
      </c>
      <c r="D150" s="59">
        <v>700000</v>
      </c>
      <c r="E150" s="33">
        <v>274000</v>
      </c>
      <c r="F150" s="25"/>
      <c r="G150" s="25"/>
      <c r="H150" s="34">
        <f t="shared" ref="H150" si="98">D150-(E150*B150)-G150</f>
        <v>152000</v>
      </c>
      <c r="I150" s="34"/>
      <c r="J150" s="35">
        <f t="shared" ref="J150" si="99">(H150/D150)*100</f>
        <v>21.714285714285715</v>
      </c>
      <c r="K150" s="35"/>
      <c r="L150" s="26"/>
    </row>
    <row r="151" spans="1:12" s="10" customFormat="1" ht="27" customHeight="1" thickBot="1" x14ac:dyDescent="0.35">
      <c r="A151" s="32"/>
      <c r="B151" s="28"/>
      <c r="C151" s="28"/>
      <c r="D151" s="28">
        <f t="shared" ref="D151:I151" si="100">SUM(D6:D150)</f>
        <v>227545100</v>
      </c>
      <c r="E151" s="28">
        <f t="shared" si="100"/>
        <v>17560360</v>
      </c>
      <c r="F151" s="28">
        <f t="shared" si="100"/>
        <v>3959000</v>
      </c>
      <c r="G151" s="28">
        <f t="shared" si="100"/>
        <v>60000</v>
      </c>
      <c r="H151" s="28">
        <f t="shared" si="100"/>
        <v>48936640</v>
      </c>
      <c r="I151" s="28">
        <f t="shared" si="100"/>
        <v>8039800</v>
      </c>
      <c r="J151" s="29">
        <f>(H151/D151)*100</f>
        <v>21.506347532862716</v>
      </c>
      <c r="K151" s="30">
        <f>(I151/D151)*100</f>
        <v>3.5332775788184412</v>
      </c>
      <c r="L151" s="31"/>
    </row>
  </sheetData>
  <autoFilter ref="B5:K151" xr:uid="{00000000-0009-0000-0000-000001000000}"/>
  <mergeCells count="8">
    <mergeCell ref="A1:L1"/>
    <mergeCell ref="A2:L2"/>
    <mergeCell ref="A4:A5"/>
    <mergeCell ref="B4:D4"/>
    <mergeCell ref="E4:G4"/>
    <mergeCell ref="H4:I4"/>
    <mergeCell ref="J4:K4"/>
    <mergeCell ref="L4:L5"/>
  </mergeCells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8"/>
  <sheetViews>
    <sheetView topLeftCell="A2" zoomScale="85" zoomScaleNormal="85" zoomScaleSheetLayoutView="75" workbookViewId="0">
      <pane ySplit="4" topLeftCell="A6" activePane="bottomLeft" state="frozen"/>
      <selection activeCell="G23" sqref="G23"/>
      <selection pane="bottomLeft" activeCell="D25" sqref="D25"/>
    </sheetView>
  </sheetViews>
  <sheetFormatPr defaultColWidth="9" defaultRowHeight="19.5" customHeight="1" x14ac:dyDescent="0.3"/>
  <cols>
    <col min="1" max="1" width="58.5" style="9" bestFit="1" customWidth="1"/>
    <col min="2" max="2" width="14.25" style="7" customWidth="1"/>
    <col min="3" max="3" width="14.25" style="8" customWidth="1"/>
    <col min="4" max="4" width="15.375" style="7" customWidth="1"/>
    <col min="5" max="6" width="14.25" style="6" customWidth="1"/>
    <col min="7" max="7" width="14.25" style="5" customWidth="1"/>
    <col min="8" max="9" width="14.75" style="5" customWidth="1"/>
    <col min="10" max="10" width="14.75" style="4" customWidth="1"/>
    <col min="11" max="11" width="14.75" style="3" customWidth="1"/>
    <col min="12" max="12" width="47.125" style="2" customWidth="1"/>
    <col min="13" max="16384" width="9" style="1"/>
  </cols>
  <sheetData>
    <row r="1" spans="1:12" s="9" customFormat="1" ht="47.25" customHeight="1" thickBot="1" x14ac:dyDescent="0.35">
      <c r="A1" s="60" t="s">
        <v>15</v>
      </c>
      <c r="B1" s="60"/>
      <c r="C1" s="60"/>
      <c r="D1" s="60"/>
      <c r="E1" s="61"/>
      <c r="F1" s="62"/>
      <c r="G1" s="60"/>
      <c r="H1" s="60"/>
      <c r="I1" s="60"/>
      <c r="J1" s="60"/>
      <c r="K1" s="60"/>
      <c r="L1" s="60"/>
    </row>
    <row r="2" spans="1:12" s="9" customFormat="1" ht="60.75" customHeight="1" thickTop="1" thickBot="1" x14ac:dyDescent="0.35">
      <c r="A2" s="60" t="s">
        <v>342</v>
      </c>
      <c r="B2" s="60"/>
      <c r="C2" s="60"/>
      <c r="D2" s="60"/>
      <c r="E2" s="60"/>
      <c r="F2" s="63"/>
      <c r="G2" s="60"/>
      <c r="H2" s="60"/>
      <c r="I2" s="60"/>
      <c r="J2" s="60"/>
      <c r="K2" s="60"/>
      <c r="L2" s="60"/>
    </row>
    <row r="3" spans="1:12" s="9" customFormat="1" ht="12.75" customHeight="1" thickTop="1" x14ac:dyDescent="0.3">
      <c r="A3" s="21"/>
      <c r="B3" s="7"/>
      <c r="C3" s="8"/>
      <c r="D3" s="7"/>
      <c r="E3" s="20"/>
      <c r="F3" s="20"/>
      <c r="G3" s="5"/>
      <c r="H3" s="5"/>
      <c r="I3" s="5"/>
      <c r="J3" s="19"/>
      <c r="K3" s="18"/>
      <c r="L3" s="2"/>
    </row>
    <row r="4" spans="1:12" ht="31.5" customHeight="1" thickBot="1" x14ac:dyDescent="0.35">
      <c r="A4" s="64" t="s">
        <v>341</v>
      </c>
      <c r="B4" s="66" t="s">
        <v>14</v>
      </c>
      <c r="C4" s="67"/>
      <c r="D4" s="68"/>
      <c r="E4" s="69" t="s">
        <v>13</v>
      </c>
      <c r="F4" s="70"/>
      <c r="G4" s="71"/>
      <c r="H4" s="69" t="s">
        <v>12</v>
      </c>
      <c r="I4" s="71"/>
      <c r="J4" s="72" t="s">
        <v>11</v>
      </c>
      <c r="K4" s="73"/>
      <c r="L4" s="74" t="s">
        <v>10</v>
      </c>
    </row>
    <row r="5" spans="1:12" s="11" customFormat="1" ht="30" customHeight="1" x14ac:dyDescent="0.3">
      <c r="A5" s="65"/>
      <c r="B5" s="17" t="s">
        <v>9</v>
      </c>
      <c r="C5" s="17" t="s">
        <v>8</v>
      </c>
      <c r="D5" s="17" t="s">
        <v>7</v>
      </c>
      <c r="E5" s="16" t="s">
        <v>32</v>
      </c>
      <c r="F5" s="16" t="s">
        <v>6</v>
      </c>
      <c r="G5" s="15" t="s">
        <v>5</v>
      </c>
      <c r="H5" s="14" t="s">
        <v>4</v>
      </c>
      <c r="I5" s="14" t="s">
        <v>3</v>
      </c>
      <c r="J5" s="13" t="s">
        <v>2</v>
      </c>
      <c r="K5" s="12" t="s">
        <v>1</v>
      </c>
      <c r="L5" s="75"/>
    </row>
    <row r="6" spans="1:12" s="24" customFormat="1" ht="20.100000000000001" customHeight="1" x14ac:dyDescent="0.3">
      <c r="A6" s="48" t="s">
        <v>28</v>
      </c>
      <c r="B6" s="42"/>
      <c r="C6" s="42"/>
      <c r="D6" s="42"/>
      <c r="E6" s="33"/>
      <c r="F6" s="25"/>
      <c r="G6" s="25"/>
      <c r="H6" s="22"/>
      <c r="I6" s="22"/>
      <c r="J6" s="23"/>
      <c r="K6" s="23"/>
      <c r="L6" s="26"/>
    </row>
    <row r="7" spans="1:12" s="24" customFormat="1" ht="20.100000000000001" customHeight="1" x14ac:dyDescent="0.3">
      <c r="A7" s="47" t="s">
        <v>17</v>
      </c>
      <c r="B7" s="42"/>
      <c r="C7" s="42"/>
      <c r="D7" s="42"/>
      <c r="E7" s="33"/>
      <c r="F7" s="25"/>
      <c r="G7" s="25"/>
      <c r="H7" s="22"/>
      <c r="I7" s="22"/>
      <c r="J7" s="23"/>
      <c r="K7" s="23"/>
      <c r="L7" s="27"/>
    </row>
    <row r="8" spans="1:12" s="24" customFormat="1" ht="20.100000000000001" customHeight="1" x14ac:dyDescent="0.3">
      <c r="A8" s="43" t="s">
        <v>270</v>
      </c>
      <c r="B8" s="42"/>
      <c r="C8" s="42"/>
      <c r="D8" s="42"/>
      <c r="E8" s="33"/>
      <c r="F8" s="25"/>
      <c r="G8" s="25"/>
      <c r="H8" s="22"/>
      <c r="I8" s="22"/>
      <c r="J8" s="23"/>
      <c r="K8" s="23"/>
      <c r="L8" s="27"/>
    </row>
    <row r="9" spans="1:12" s="24" customFormat="1" ht="20.100000000000001" customHeight="1" x14ac:dyDescent="0.3">
      <c r="A9" s="56" t="s">
        <v>451</v>
      </c>
      <c r="B9" s="57">
        <v>3</v>
      </c>
      <c r="C9" s="57">
        <v>45500</v>
      </c>
      <c r="D9" s="57">
        <v>136500</v>
      </c>
      <c r="E9" s="36"/>
      <c r="F9" s="37">
        <v>46900</v>
      </c>
      <c r="G9" s="37"/>
      <c r="H9" s="38"/>
      <c r="I9" s="38">
        <f t="shared" ref="I9" si="0">D9-(F9*B9)-G9</f>
        <v>-4200</v>
      </c>
      <c r="J9" s="39"/>
      <c r="K9" s="39">
        <f t="shared" ref="K9" si="1">(I9/D9)*100</f>
        <v>-3.0769230769230771</v>
      </c>
      <c r="L9" s="40" t="s">
        <v>497</v>
      </c>
    </row>
    <row r="10" spans="1:12" s="24" customFormat="1" ht="20.100000000000001" customHeight="1" x14ac:dyDescent="0.3">
      <c r="A10" s="44" t="s">
        <v>343</v>
      </c>
      <c r="B10" s="42">
        <v>4</v>
      </c>
      <c r="C10" s="42">
        <v>455000</v>
      </c>
      <c r="D10" s="42">
        <v>1820000</v>
      </c>
      <c r="E10" s="33"/>
      <c r="F10" s="25">
        <v>430000</v>
      </c>
      <c r="G10" s="25"/>
      <c r="H10" s="22"/>
      <c r="I10" s="34">
        <f t="shared" ref="I10" si="2">D10-(F10*B10)-G10</f>
        <v>100000</v>
      </c>
      <c r="J10" s="35"/>
      <c r="K10" s="35">
        <f t="shared" ref="K10" si="3">(I10/D10)*100</f>
        <v>5.4945054945054945</v>
      </c>
      <c r="L10" s="26"/>
    </row>
    <row r="11" spans="1:12" s="24" customFormat="1" ht="20.100000000000001" customHeight="1" x14ac:dyDescent="0.3">
      <c r="A11" s="43" t="s">
        <v>224</v>
      </c>
      <c r="B11" s="42"/>
      <c r="C11" s="42"/>
      <c r="D11" s="42"/>
      <c r="E11" s="33"/>
      <c r="F11" s="25"/>
      <c r="G11" s="25"/>
      <c r="H11" s="22"/>
      <c r="I11" s="22"/>
      <c r="J11" s="23"/>
      <c r="K11" s="23"/>
      <c r="L11" s="26"/>
    </row>
    <row r="12" spans="1:12" s="24" customFormat="1" ht="20.100000000000001" customHeight="1" x14ac:dyDescent="0.3">
      <c r="A12" s="44" t="s">
        <v>450</v>
      </c>
      <c r="B12" s="42">
        <v>1</v>
      </c>
      <c r="C12" s="42">
        <v>545000</v>
      </c>
      <c r="D12" s="42">
        <v>545000</v>
      </c>
      <c r="E12" s="33">
        <v>470000</v>
      </c>
      <c r="F12" s="25"/>
      <c r="G12" s="25"/>
      <c r="H12" s="34">
        <f t="shared" ref="H12" si="4">D12-(E12*B12)-G12</f>
        <v>75000</v>
      </c>
      <c r="I12" s="34"/>
      <c r="J12" s="35">
        <f t="shared" ref="J12" si="5">(H12/D12)*100</f>
        <v>13.761467889908257</v>
      </c>
      <c r="K12" s="35"/>
      <c r="L12" s="27"/>
    </row>
    <row r="13" spans="1:12" s="24" customFormat="1" ht="19.5" customHeight="1" x14ac:dyDescent="0.3">
      <c r="A13" s="43" t="s">
        <v>41</v>
      </c>
      <c r="B13" s="42"/>
      <c r="C13" s="42"/>
      <c r="D13" s="42"/>
      <c r="E13" s="33"/>
      <c r="F13" s="25"/>
      <c r="G13" s="25"/>
      <c r="H13" s="22"/>
      <c r="I13" s="22"/>
      <c r="J13" s="23"/>
      <c r="K13" s="23"/>
      <c r="L13" s="26"/>
    </row>
    <row r="14" spans="1:12" s="24" customFormat="1" ht="20.100000000000001" customHeight="1" x14ac:dyDescent="0.3">
      <c r="A14" s="44" t="s">
        <v>452</v>
      </c>
      <c r="B14" s="42">
        <v>1</v>
      </c>
      <c r="C14" s="42">
        <v>190080</v>
      </c>
      <c r="D14" s="42">
        <v>190080</v>
      </c>
      <c r="E14" s="33"/>
      <c r="F14" s="25">
        <v>136000</v>
      </c>
      <c r="G14" s="25"/>
      <c r="H14" s="22"/>
      <c r="I14" s="34">
        <f t="shared" ref="I14:I18" si="6">D14-(F14*B14)-G14</f>
        <v>54080</v>
      </c>
      <c r="J14" s="35"/>
      <c r="K14" s="35">
        <f t="shared" ref="K14:K18" si="7">(I14/D14)*100</f>
        <v>28.45117845117845</v>
      </c>
      <c r="L14" s="26"/>
    </row>
    <row r="15" spans="1:12" s="24" customFormat="1" ht="20.100000000000001" customHeight="1" x14ac:dyDescent="0.3">
      <c r="A15" s="44" t="s">
        <v>453</v>
      </c>
      <c r="B15" s="42">
        <v>20</v>
      </c>
      <c r="C15" s="42">
        <v>176700</v>
      </c>
      <c r="D15" s="42">
        <v>3534000</v>
      </c>
      <c r="E15" s="33"/>
      <c r="F15" s="25">
        <v>124000</v>
      </c>
      <c r="G15" s="25"/>
      <c r="H15" s="22"/>
      <c r="I15" s="34">
        <f t="shared" si="6"/>
        <v>1054000</v>
      </c>
      <c r="J15" s="35"/>
      <c r="K15" s="35">
        <f t="shared" si="7"/>
        <v>29.82456140350877</v>
      </c>
      <c r="L15" s="26"/>
    </row>
    <row r="16" spans="1:12" s="24" customFormat="1" ht="20.100000000000001" customHeight="1" x14ac:dyDescent="0.3">
      <c r="A16" s="44" t="s">
        <v>454</v>
      </c>
      <c r="B16" s="42">
        <v>1</v>
      </c>
      <c r="C16" s="42">
        <v>176700</v>
      </c>
      <c r="D16" s="42">
        <v>176700</v>
      </c>
      <c r="E16" s="33"/>
      <c r="F16" s="25">
        <v>124000</v>
      </c>
      <c r="G16" s="25"/>
      <c r="H16" s="22"/>
      <c r="I16" s="34">
        <f t="shared" si="6"/>
        <v>52700</v>
      </c>
      <c r="J16" s="35"/>
      <c r="K16" s="35">
        <f t="shared" si="7"/>
        <v>29.82456140350877</v>
      </c>
      <c r="L16" s="27"/>
    </row>
    <row r="17" spans="1:12" s="24" customFormat="1" ht="20.100000000000001" customHeight="1" x14ac:dyDescent="0.3">
      <c r="A17" s="44" t="s">
        <v>90</v>
      </c>
      <c r="B17" s="42">
        <v>2</v>
      </c>
      <c r="C17" s="42">
        <v>2700000</v>
      </c>
      <c r="D17" s="42">
        <v>5400000</v>
      </c>
      <c r="E17" s="33"/>
      <c r="F17" s="25">
        <v>1960000</v>
      </c>
      <c r="G17" s="25"/>
      <c r="H17" s="22"/>
      <c r="I17" s="34">
        <f t="shared" si="6"/>
        <v>1480000</v>
      </c>
      <c r="J17" s="35"/>
      <c r="K17" s="35">
        <f t="shared" si="7"/>
        <v>27.407407407407408</v>
      </c>
      <c r="L17" s="27"/>
    </row>
    <row r="18" spans="1:12" s="24" customFormat="1" ht="19.5" customHeight="1" x14ac:dyDescent="0.3">
      <c r="A18" s="44" t="s">
        <v>455</v>
      </c>
      <c r="B18" s="42">
        <v>30</v>
      </c>
      <c r="C18" s="42">
        <v>176700</v>
      </c>
      <c r="D18" s="42">
        <v>5301000</v>
      </c>
      <c r="E18" s="33"/>
      <c r="F18" s="25">
        <v>124000</v>
      </c>
      <c r="G18" s="25"/>
      <c r="H18" s="22"/>
      <c r="I18" s="34">
        <f t="shared" si="6"/>
        <v>1581000</v>
      </c>
      <c r="J18" s="35"/>
      <c r="K18" s="35">
        <f t="shared" si="7"/>
        <v>29.82456140350877</v>
      </c>
      <c r="L18" s="26"/>
    </row>
    <row r="19" spans="1:12" s="24" customFormat="1" ht="20.100000000000001" customHeight="1" x14ac:dyDescent="0.3">
      <c r="A19" s="43" t="s">
        <v>43</v>
      </c>
      <c r="B19" s="42"/>
      <c r="C19" s="42"/>
      <c r="D19" s="42"/>
      <c r="E19" s="33"/>
      <c r="F19" s="25"/>
      <c r="G19" s="25"/>
      <c r="H19" s="22"/>
      <c r="I19" s="22"/>
      <c r="J19" s="23"/>
      <c r="K19" s="23"/>
      <c r="L19" s="26"/>
    </row>
    <row r="20" spans="1:12" s="24" customFormat="1" ht="20.100000000000001" customHeight="1" x14ac:dyDescent="0.3">
      <c r="A20" s="44" t="s">
        <v>456</v>
      </c>
      <c r="B20" s="42">
        <v>5</v>
      </c>
      <c r="C20" s="42">
        <v>986000</v>
      </c>
      <c r="D20" s="42">
        <v>4930000</v>
      </c>
      <c r="E20" s="33">
        <v>980460</v>
      </c>
      <c r="F20" s="25"/>
      <c r="G20" s="25"/>
      <c r="H20" s="34">
        <f t="shared" ref="H20:H25" si="8">D20-(E20*B20)-G20</f>
        <v>27700</v>
      </c>
      <c r="I20" s="34"/>
      <c r="J20" s="35">
        <f t="shared" ref="J20:J25" si="9">(H20/D20)*100</f>
        <v>0.56186612576064909</v>
      </c>
      <c r="K20" s="35"/>
      <c r="L20" s="26"/>
    </row>
    <row r="21" spans="1:12" s="24" customFormat="1" ht="20.100000000000001" customHeight="1" x14ac:dyDescent="0.3">
      <c r="A21" s="44" t="s">
        <v>457</v>
      </c>
      <c r="B21" s="42">
        <v>2</v>
      </c>
      <c r="C21" s="42">
        <v>173040</v>
      </c>
      <c r="D21" s="42">
        <v>346080</v>
      </c>
      <c r="E21" s="33">
        <v>124000</v>
      </c>
      <c r="F21" s="25"/>
      <c r="G21" s="25"/>
      <c r="H21" s="34">
        <f t="shared" si="8"/>
        <v>98080</v>
      </c>
      <c r="I21" s="34"/>
      <c r="J21" s="35">
        <f t="shared" si="9"/>
        <v>28.34026814609339</v>
      </c>
      <c r="K21" s="35"/>
      <c r="L21" s="27"/>
    </row>
    <row r="22" spans="1:12" s="24" customFormat="1" ht="20.100000000000001" customHeight="1" x14ac:dyDescent="0.3">
      <c r="A22" s="44" t="s">
        <v>235</v>
      </c>
      <c r="B22" s="42">
        <v>8</v>
      </c>
      <c r="C22" s="42">
        <v>85000</v>
      </c>
      <c r="D22" s="42">
        <v>680000</v>
      </c>
      <c r="E22" s="33">
        <v>71700</v>
      </c>
      <c r="F22" s="25"/>
      <c r="G22" s="25"/>
      <c r="H22" s="34">
        <f t="shared" si="8"/>
        <v>106400</v>
      </c>
      <c r="I22" s="34"/>
      <c r="J22" s="35">
        <f t="shared" si="9"/>
        <v>15.647058823529411</v>
      </c>
      <c r="K22" s="35"/>
      <c r="L22" s="26"/>
    </row>
    <row r="23" spans="1:12" s="24" customFormat="1" ht="20.100000000000001" customHeight="1" x14ac:dyDescent="0.3">
      <c r="A23" s="44" t="s">
        <v>66</v>
      </c>
      <c r="B23" s="42">
        <v>3</v>
      </c>
      <c r="C23" s="42">
        <v>85000</v>
      </c>
      <c r="D23" s="42">
        <v>255000</v>
      </c>
      <c r="E23" s="33">
        <v>71700</v>
      </c>
      <c r="F23" s="25"/>
      <c r="G23" s="25"/>
      <c r="H23" s="34">
        <f t="shared" si="8"/>
        <v>39900</v>
      </c>
      <c r="I23" s="34"/>
      <c r="J23" s="35">
        <f t="shared" si="9"/>
        <v>15.647058823529411</v>
      </c>
      <c r="K23" s="35"/>
      <c r="L23" s="27"/>
    </row>
    <row r="24" spans="1:12" s="24" customFormat="1" ht="20.100000000000001" customHeight="1" x14ac:dyDescent="0.3">
      <c r="A24" s="44" t="s">
        <v>230</v>
      </c>
      <c r="B24" s="42">
        <v>2</v>
      </c>
      <c r="C24" s="42">
        <v>85100</v>
      </c>
      <c r="D24" s="42">
        <v>170200</v>
      </c>
      <c r="E24" s="33">
        <v>71700</v>
      </c>
      <c r="F24" s="25"/>
      <c r="G24" s="25"/>
      <c r="H24" s="34">
        <f t="shared" si="8"/>
        <v>26800</v>
      </c>
      <c r="I24" s="34"/>
      <c r="J24" s="35">
        <f t="shared" si="9"/>
        <v>15.746180963572268</v>
      </c>
      <c r="K24" s="35"/>
      <c r="L24" s="27"/>
    </row>
    <row r="25" spans="1:12" s="24" customFormat="1" ht="20.100000000000001" customHeight="1" x14ac:dyDescent="0.3">
      <c r="A25" s="44" t="s">
        <v>181</v>
      </c>
      <c r="B25" s="42">
        <v>4</v>
      </c>
      <c r="C25" s="42">
        <v>570000</v>
      </c>
      <c r="D25" s="42">
        <v>2280000</v>
      </c>
      <c r="E25" s="33">
        <v>492000</v>
      </c>
      <c r="F25" s="25"/>
      <c r="G25" s="25"/>
      <c r="H25" s="34">
        <f t="shared" si="8"/>
        <v>312000</v>
      </c>
      <c r="I25" s="34"/>
      <c r="J25" s="35">
        <f t="shared" si="9"/>
        <v>13.684210526315791</v>
      </c>
      <c r="K25" s="35"/>
      <c r="L25" s="27"/>
    </row>
    <row r="26" spans="1:12" s="24" customFormat="1" ht="20.100000000000001" customHeight="1" x14ac:dyDescent="0.3">
      <c r="A26" s="44" t="s">
        <v>447</v>
      </c>
      <c r="B26" s="42">
        <v>5</v>
      </c>
      <c r="C26" s="42">
        <v>760656</v>
      </c>
      <c r="D26" s="42">
        <v>3803280</v>
      </c>
      <c r="E26" s="33"/>
      <c r="F26" s="25">
        <v>580000</v>
      </c>
      <c r="G26" s="25"/>
      <c r="H26" s="22"/>
      <c r="I26" s="34">
        <f t="shared" ref="I26" si="10">D26-(F26*B26)-G26</f>
        <v>903280</v>
      </c>
      <c r="J26" s="35"/>
      <c r="K26" s="35">
        <f t="shared" ref="K26" si="11">(I26/D26)*100</f>
        <v>23.750026293094383</v>
      </c>
      <c r="L26" s="26"/>
    </row>
    <row r="27" spans="1:12" s="24" customFormat="1" ht="20.100000000000001" customHeight="1" x14ac:dyDescent="0.3">
      <c r="A27" s="44" t="s">
        <v>104</v>
      </c>
      <c r="B27" s="42">
        <v>5</v>
      </c>
      <c r="C27" s="42">
        <v>89500</v>
      </c>
      <c r="D27" s="42">
        <v>447500</v>
      </c>
      <c r="E27" s="33">
        <v>70900</v>
      </c>
      <c r="F27" s="25"/>
      <c r="G27" s="25"/>
      <c r="H27" s="34">
        <f t="shared" ref="H27:H32" si="12">D27-(E27*B27)-G27</f>
        <v>93000</v>
      </c>
      <c r="I27" s="34"/>
      <c r="J27" s="35">
        <f t="shared" ref="J27:J32" si="13">(H27/D27)*100</f>
        <v>20.782122905027933</v>
      </c>
      <c r="K27" s="35"/>
      <c r="L27" s="26"/>
    </row>
    <row r="28" spans="1:12" s="24" customFormat="1" ht="20.100000000000001" customHeight="1" x14ac:dyDescent="0.3">
      <c r="A28" s="44" t="s">
        <v>345</v>
      </c>
      <c r="B28" s="42">
        <v>3</v>
      </c>
      <c r="C28" s="42">
        <v>216600</v>
      </c>
      <c r="D28" s="42">
        <v>649800</v>
      </c>
      <c r="E28" s="33">
        <v>188000</v>
      </c>
      <c r="F28" s="25"/>
      <c r="G28" s="25"/>
      <c r="H28" s="34">
        <f t="shared" si="12"/>
        <v>85800</v>
      </c>
      <c r="I28" s="34"/>
      <c r="J28" s="35">
        <f t="shared" si="13"/>
        <v>13.204062788550322</v>
      </c>
      <c r="K28" s="35"/>
      <c r="L28" s="26"/>
    </row>
    <row r="29" spans="1:12" s="24" customFormat="1" ht="20.100000000000001" customHeight="1" x14ac:dyDescent="0.3">
      <c r="A29" s="44" t="s">
        <v>107</v>
      </c>
      <c r="B29" s="42">
        <v>30</v>
      </c>
      <c r="C29" s="42">
        <v>376000</v>
      </c>
      <c r="D29" s="42">
        <v>11280000</v>
      </c>
      <c r="E29" s="33">
        <v>287000</v>
      </c>
      <c r="F29" s="25"/>
      <c r="G29" s="25"/>
      <c r="H29" s="34">
        <f t="shared" si="12"/>
        <v>2670000</v>
      </c>
      <c r="I29" s="34"/>
      <c r="J29" s="35">
        <f t="shared" si="13"/>
        <v>23.670212765957448</v>
      </c>
      <c r="K29" s="35"/>
      <c r="L29" s="26"/>
    </row>
    <row r="30" spans="1:12" s="24" customFormat="1" ht="20.100000000000001" customHeight="1" x14ac:dyDescent="0.3">
      <c r="A30" s="44" t="s">
        <v>141</v>
      </c>
      <c r="B30" s="42">
        <v>30</v>
      </c>
      <c r="C30" s="42">
        <v>339520</v>
      </c>
      <c r="D30" s="42">
        <v>10185600</v>
      </c>
      <c r="E30" s="33">
        <v>289000</v>
      </c>
      <c r="F30" s="25"/>
      <c r="G30" s="25"/>
      <c r="H30" s="34">
        <f t="shared" si="12"/>
        <v>1515600</v>
      </c>
      <c r="I30" s="34"/>
      <c r="J30" s="35">
        <f t="shared" si="13"/>
        <v>14.879830348727616</v>
      </c>
      <c r="K30" s="35"/>
      <c r="L30" s="26"/>
    </row>
    <row r="31" spans="1:12" s="24" customFormat="1" ht="20.100000000000001" customHeight="1" x14ac:dyDescent="0.3">
      <c r="A31" s="44" t="s">
        <v>65</v>
      </c>
      <c r="B31" s="42">
        <v>3</v>
      </c>
      <c r="C31" s="42">
        <v>71900</v>
      </c>
      <c r="D31" s="42">
        <v>215700</v>
      </c>
      <c r="E31" s="33">
        <v>60600</v>
      </c>
      <c r="F31" s="25"/>
      <c r="G31" s="25"/>
      <c r="H31" s="34">
        <f t="shared" si="12"/>
        <v>33900</v>
      </c>
      <c r="I31" s="34"/>
      <c r="J31" s="35">
        <f t="shared" si="13"/>
        <v>15.716272600834492</v>
      </c>
      <c r="K31" s="35"/>
      <c r="L31" s="27"/>
    </row>
    <row r="32" spans="1:12" s="24" customFormat="1" ht="20.100000000000001" customHeight="1" x14ac:dyDescent="0.3">
      <c r="A32" s="44" t="s">
        <v>54</v>
      </c>
      <c r="B32" s="42">
        <v>5</v>
      </c>
      <c r="C32" s="42">
        <v>71100</v>
      </c>
      <c r="D32" s="42">
        <v>355500</v>
      </c>
      <c r="E32" s="33">
        <v>55700</v>
      </c>
      <c r="F32" s="25"/>
      <c r="G32" s="25"/>
      <c r="H32" s="34">
        <f t="shared" si="12"/>
        <v>77000</v>
      </c>
      <c r="I32" s="34"/>
      <c r="J32" s="35">
        <f t="shared" si="13"/>
        <v>21.659634317862167</v>
      </c>
      <c r="K32" s="35"/>
      <c r="L32" s="26"/>
    </row>
    <row r="33" spans="1:12" s="24" customFormat="1" ht="19.5" customHeight="1" x14ac:dyDescent="0.3">
      <c r="A33" s="43" t="s">
        <v>226</v>
      </c>
      <c r="B33" s="42"/>
      <c r="C33" s="42"/>
      <c r="D33" s="42"/>
      <c r="E33" s="33"/>
      <c r="F33" s="25"/>
      <c r="G33" s="25"/>
      <c r="H33" s="22"/>
      <c r="I33" s="22"/>
      <c r="J33" s="23"/>
      <c r="K33" s="23"/>
      <c r="L33" s="26"/>
    </row>
    <row r="34" spans="1:12" s="24" customFormat="1" ht="20.100000000000001" customHeight="1" x14ac:dyDescent="0.3">
      <c r="A34" s="44" t="s">
        <v>445</v>
      </c>
      <c r="B34" s="42">
        <v>1</v>
      </c>
      <c r="C34" s="42">
        <v>420000</v>
      </c>
      <c r="D34" s="42">
        <v>420000</v>
      </c>
      <c r="E34" s="33">
        <v>352000</v>
      </c>
      <c r="F34" s="25"/>
      <c r="G34" s="25"/>
      <c r="H34" s="34">
        <f t="shared" ref="H34" si="14">D34-(E34*B34)-G34</f>
        <v>68000</v>
      </c>
      <c r="I34" s="34"/>
      <c r="J34" s="35">
        <f t="shared" ref="J34" si="15">(H34/D34)*100</f>
        <v>16.19047619047619</v>
      </c>
      <c r="K34" s="35"/>
      <c r="L34" s="26"/>
    </row>
    <row r="35" spans="1:12" s="24" customFormat="1" ht="20.100000000000001" customHeight="1" x14ac:dyDescent="0.3">
      <c r="A35" s="43" t="s">
        <v>47</v>
      </c>
      <c r="B35" s="42"/>
      <c r="C35" s="42"/>
      <c r="D35" s="42"/>
      <c r="E35" s="33"/>
      <c r="F35" s="25"/>
      <c r="G35" s="25"/>
      <c r="H35" s="22"/>
      <c r="I35" s="22"/>
      <c r="J35" s="23"/>
      <c r="K35" s="23"/>
      <c r="L35" s="27"/>
    </row>
    <row r="36" spans="1:12" s="24" customFormat="1" ht="20.100000000000001" customHeight="1" x14ac:dyDescent="0.3">
      <c r="A36" s="44" t="s">
        <v>38</v>
      </c>
      <c r="B36" s="42">
        <v>20</v>
      </c>
      <c r="C36" s="42">
        <v>163636</v>
      </c>
      <c r="D36" s="42">
        <v>3272727</v>
      </c>
      <c r="E36" s="33">
        <v>124000</v>
      </c>
      <c r="F36" s="25"/>
      <c r="G36" s="25"/>
      <c r="H36" s="34">
        <f t="shared" ref="H36" si="16">D36-(E36*B36)-G36</f>
        <v>792727</v>
      </c>
      <c r="I36" s="34"/>
      <c r="J36" s="35">
        <f t="shared" ref="J36" si="17">(H36/D36)*100</f>
        <v>24.222215907406881</v>
      </c>
      <c r="K36" s="35"/>
      <c r="L36" s="26"/>
    </row>
    <row r="37" spans="1:12" s="24" customFormat="1" ht="20.100000000000001" customHeight="1" x14ac:dyDescent="0.3">
      <c r="A37" s="43" t="s">
        <v>346</v>
      </c>
      <c r="B37" s="42"/>
      <c r="C37" s="42"/>
      <c r="D37" s="42"/>
      <c r="E37" s="33"/>
      <c r="F37" s="25"/>
      <c r="G37" s="25"/>
      <c r="H37" s="22"/>
      <c r="I37" s="22"/>
      <c r="J37" s="23"/>
      <c r="K37" s="23"/>
      <c r="L37" s="26"/>
    </row>
    <row r="38" spans="1:12" s="24" customFormat="1" ht="20.100000000000001" customHeight="1" x14ac:dyDescent="0.3">
      <c r="A38" s="44" t="s">
        <v>50</v>
      </c>
      <c r="B38" s="42">
        <v>1</v>
      </c>
      <c r="C38" s="42">
        <v>69100</v>
      </c>
      <c r="D38" s="42">
        <v>69100</v>
      </c>
      <c r="E38" s="33">
        <v>53900</v>
      </c>
      <c r="F38" s="25"/>
      <c r="G38" s="25"/>
      <c r="H38" s="34">
        <f t="shared" ref="H38" si="18">D38-(E38*B38)-G38</f>
        <v>15200</v>
      </c>
      <c r="I38" s="34"/>
      <c r="J38" s="35">
        <f t="shared" ref="J38" si="19">(H38/D38)*100</f>
        <v>21.99710564399421</v>
      </c>
      <c r="K38" s="35"/>
      <c r="L38" s="26"/>
    </row>
    <row r="39" spans="1:12" s="24" customFormat="1" ht="20.100000000000001" customHeight="1" x14ac:dyDescent="0.3">
      <c r="A39" s="43" t="s">
        <v>271</v>
      </c>
      <c r="B39" s="42"/>
      <c r="C39" s="42"/>
      <c r="D39" s="42"/>
      <c r="E39" s="33"/>
      <c r="F39" s="25"/>
      <c r="G39" s="25"/>
      <c r="H39" s="22"/>
      <c r="I39" s="22"/>
      <c r="J39" s="23"/>
      <c r="K39" s="23"/>
      <c r="L39" s="27"/>
    </row>
    <row r="40" spans="1:12" s="24" customFormat="1" ht="20.100000000000001" customHeight="1" x14ac:dyDescent="0.3">
      <c r="A40" s="44" t="s">
        <v>38</v>
      </c>
      <c r="B40" s="42">
        <v>150</v>
      </c>
      <c r="C40" s="42">
        <v>163636</v>
      </c>
      <c r="D40" s="42">
        <v>24545455</v>
      </c>
      <c r="E40" s="33">
        <v>124000</v>
      </c>
      <c r="F40" s="25"/>
      <c r="G40" s="25"/>
      <c r="H40" s="34">
        <f t="shared" ref="H40:H41" si="20">D40-(E40*B40)-G40</f>
        <v>5945455</v>
      </c>
      <c r="I40" s="34"/>
      <c r="J40" s="35">
        <f t="shared" ref="J40:J41" si="21">(H40/D40)*100</f>
        <v>24.222223625514378</v>
      </c>
      <c r="K40" s="35"/>
      <c r="L40" s="27"/>
    </row>
    <row r="41" spans="1:12" s="24" customFormat="1" ht="20.100000000000001" customHeight="1" x14ac:dyDescent="0.3">
      <c r="A41" s="44" t="s">
        <v>458</v>
      </c>
      <c r="B41" s="42">
        <v>30</v>
      </c>
      <c r="C41" s="42">
        <v>11500</v>
      </c>
      <c r="D41" s="42">
        <v>345000</v>
      </c>
      <c r="E41" s="33">
        <v>9600</v>
      </c>
      <c r="F41" s="25"/>
      <c r="G41" s="25"/>
      <c r="H41" s="34">
        <f t="shared" si="20"/>
        <v>57000</v>
      </c>
      <c r="I41" s="34"/>
      <c r="J41" s="35">
        <f t="shared" si="21"/>
        <v>16.521739130434781</v>
      </c>
      <c r="K41" s="35"/>
      <c r="L41" s="26"/>
    </row>
    <row r="42" spans="1:12" s="24" customFormat="1" ht="20.100000000000001" customHeight="1" x14ac:dyDescent="0.3">
      <c r="A42" s="43" t="s">
        <v>284</v>
      </c>
      <c r="B42" s="42"/>
      <c r="C42" s="42"/>
      <c r="D42" s="42"/>
      <c r="E42" s="33"/>
      <c r="F42" s="25"/>
      <c r="G42" s="25"/>
      <c r="H42" s="22"/>
      <c r="I42" s="22"/>
      <c r="J42" s="23"/>
      <c r="K42" s="23"/>
      <c r="L42" s="27"/>
    </row>
    <row r="43" spans="1:12" s="24" customFormat="1" ht="20.100000000000001" customHeight="1" x14ac:dyDescent="0.3">
      <c r="A43" s="44" t="s">
        <v>232</v>
      </c>
      <c r="B43" s="42">
        <v>20</v>
      </c>
      <c r="C43" s="42">
        <v>774000</v>
      </c>
      <c r="D43" s="42">
        <v>15480000</v>
      </c>
      <c r="E43" s="33">
        <v>641000</v>
      </c>
      <c r="F43" s="25"/>
      <c r="G43" s="25"/>
      <c r="H43" s="34">
        <f t="shared" ref="H43:H44" si="22">D43-(E43*B43)-G43</f>
        <v>2660000</v>
      </c>
      <c r="I43" s="34"/>
      <c r="J43" s="35">
        <f t="shared" ref="J43:J44" si="23">(H43/D43)*100</f>
        <v>17.183462532299743</v>
      </c>
      <c r="K43" s="35"/>
      <c r="L43" s="26"/>
    </row>
    <row r="44" spans="1:12" s="24" customFormat="1" ht="20.100000000000001" customHeight="1" x14ac:dyDescent="0.3">
      <c r="A44" s="44" t="s">
        <v>229</v>
      </c>
      <c r="B44" s="42">
        <v>1</v>
      </c>
      <c r="C44" s="42">
        <v>844000</v>
      </c>
      <c r="D44" s="42">
        <v>844000</v>
      </c>
      <c r="E44" s="33">
        <v>750000</v>
      </c>
      <c r="F44" s="25"/>
      <c r="G44" s="25"/>
      <c r="H44" s="34">
        <f t="shared" si="22"/>
        <v>94000</v>
      </c>
      <c r="I44" s="34"/>
      <c r="J44" s="35">
        <f t="shared" si="23"/>
        <v>11.137440758293838</v>
      </c>
      <c r="K44" s="35"/>
      <c r="L44" s="26"/>
    </row>
    <row r="45" spans="1:12" s="24" customFormat="1" ht="20.100000000000001" customHeight="1" x14ac:dyDescent="0.3">
      <c r="A45" s="43" t="s">
        <v>82</v>
      </c>
      <c r="B45" s="42"/>
      <c r="C45" s="42"/>
      <c r="D45" s="42"/>
      <c r="E45" s="33"/>
      <c r="F45" s="25"/>
      <c r="G45" s="25"/>
      <c r="H45" s="22"/>
      <c r="I45" s="22"/>
      <c r="J45" s="23"/>
      <c r="K45" s="23"/>
      <c r="L45" s="26"/>
    </row>
    <row r="46" spans="1:12" s="24" customFormat="1" ht="20.100000000000001" customHeight="1" x14ac:dyDescent="0.3">
      <c r="A46" s="44" t="s">
        <v>63</v>
      </c>
      <c r="B46" s="42">
        <v>11</v>
      </c>
      <c r="C46" s="42">
        <v>64000</v>
      </c>
      <c r="D46" s="42">
        <v>704000</v>
      </c>
      <c r="E46" s="33">
        <v>58400</v>
      </c>
      <c r="F46" s="25"/>
      <c r="G46" s="25"/>
      <c r="H46" s="34">
        <f t="shared" ref="H46:H50" si="24">D46-(E46*B46)-G46</f>
        <v>61600</v>
      </c>
      <c r="I46" s="34"/>
      <c r="J46" s="35">
        <f t="shared" ref="J46:J50" si="25">(H46/D46)*100</f>
        <v>8.75</v>
      </c>
      <c r="K46" s="35"/>
      <c r="L46" s="26"/>
    </row>
    <row r="47" spans="1:12" s="24" customFormat="1" ht="20.100000000000001" customHeight="1" x14ac:dyDescent="0.3">
      <c r="A47" s="44" t="s">
        <v>39</v>
      </c>
      <c r="B47" s="42">
        <v>10</v>
      </c>
      <c r="C47" s="42">
        <v>91000</v>
      </c>
      <c r="D47" s="42">
        <v>910000</v>
      </c>
      <c r="E47" s="33">
        <v>78100</v>
      </c>
      <c r="F47" s="25"/>
      <c r="G47" s="25"/>
      <c r="H47" s="34">
        <f t="shared" si="24"/>
        <v>129000</v>
      </c>
      <c r="I47" s="34"/>
      <c r="J47" s="35">
        <f t="shared" si="25"/>
        <v>14.175824175824175</v>
      </c>
      <c r="K47" s="35"/>
      <c r="L47" s="26"/>
    </row>
    <row r="48" spans="1:12" s="24" customFormat="1" ht="20.100000000000001" customHeight="1" x14ac:dyDescent="0.3">
      <c r="A48" s="44" t="s">
        <v>191</v>
      </c>
      <c r="B48" s="42">
        <v>8</v>
      </c>
      <c r="C48" s="42">
        <v>37000</v>
      </c>
      <c r="D48" s="42">
        <v>296000</v>
      </c>
      <c r="E48" s="33">
        <v>31200</v>
      </c>
      <c r="F48" s="25"/>
      <c r="G48" s="25"/>
      <c r="H48" s="34">
        <f t="shared" si="24"/>
        <v>46400</v>
      </c>
      <c r="I48" s="34"/>
      <c r="J48" s="35">
        <f t="shared" si="25"/>
        <v>15.675675675675677</v>
      </c>
      <c r="K48" s="35"/>
      <c r="L48" s="26"/>
    </row>
    <row r="49" spans="1:12" s="24" customFormat="1" ht="20.100000000000001" customHeight="1" x14ac:dyDescent="0.3">
      <c r="A49" s="44" t="s">
        <v>33</v>
      </c>
      <c r="B49" s="42">
        <v>1</v>
      </c>
      <c r="C49" s="42">
        <v>350000</v>
      </c>
      <c r="D49" s="42">
        <v>350000</v>
      </c>
      <c r="E49" s="33">
        <v>289000</v>
      </c>
      <c r="F49" s="25"/>
      <c r="G49" s="25"/>
      <c r="H49" s="34">
        <f t="shared" si="24"/>
        <v>61000</v>
      </c>
      <c r="I49" s="34"/>
      <c r="J49" s="35">
        <f t="shared" si="25"/>
        <v>17.428571428571431</v>
      </c>
      <c r="K49" s="35"/>
      <c r="L49" s="26"/>
    </row>
    <row r="50" spans="1:12" s="24" customFormat="1" ht="20.100000000000001" customHeight="1" x14ac:dyDescent="0.3">
      <c r="A50" s="56" t="s">
        <v>347</v>
      </c>
      <c r="B50" s="57">
        <v>1</v>
      </c>
      <c r="C50" s="57">
        <v>590000</v>
      </c>
      <c r="D50" s="57">
        <v>590000</v>
      </c>
      <c r="E50" s="36">
        <v>595000</v>
      </c>
      <c r="F50" s="37"/>
      <c r="G50" s="37"/>
      <c r="H50" s="38">
        <f t="shared" si="24"/>
        <v>-5000</v>
      </c>
      <c r="I50" s="38"/>
      <c r="J50" s="39">
        <f t="shared" si="25"/>
        <v>-0.84745762711864403</v>
      </c>
      <c r="K50" s="39"/>
      <c r="L50" s="40" t="s">
        <v>464</v>
      </c>
    </row>
    <row r="51" spans="1:12" s="24" customFormat="1" ht="20.100000000000001" customHeight="1" x14ac:dyDescent="0.3">
      <c r="A51" s="56" t="s">
        <v>30</v>
      </c>
      <c r="B51" s="57">
        <v>10</v>
      </c>
      <c r="C51" s="57">
        <v>59000</v>
      </c>
      <c r="D51" s="57">
        <v>590000</v>
      </c>
      <c r="E51" s="36"/>
      <c r="F51" s="37">
        <v>63200</v>
      </c>
      <c r="G51" s="37"/>
      <c r="H51" s="38"/>
      <c r="I51" s="38">
        <f t="shared" ref="I51" si="26">D51-(F51*B51)-G51</f>
        <v>-42000</v>
      </c>
      <c r="J51" s="39"/>
      <c r="K51" s="39">
        <f t="shared" ref="K51" si="27">(I51/D51)*100</f>
        <v>-7.1186440677966107</v>
      </c>
      <c r="L51" s="40" t="s">
        <v>464</v>
      </c>
    </row>
    <row r="52" spans="1:12" s="24" customFormat="1" ht="20.100000000000001" customHeight="1" x14ac:dyDescent="0.3">
      <c r="A52" s="44" t="s">
        <v>128</v>
      </c>
      <c r="B52" s="42">
        <v>20</v>
      </c>
      <c r="C52" s="42">
        <v>81000</v>
      </c>
      <c r="D52" s="42">
        <v>1620000</v>
      </c>
      <c r="E52" s="33">
        <v>81000</v>
      </c>
      <c r="F52" s="25"/>
      <c r="G52" s="25"/>
      <c r="H52" s="34">
        <f t="shared" ref="H52:H54" si="28">D52-(E52*B52)-G52</f>
        <v>0</v>
      </c>
      <c r="I52" s="34"/>
      <c r="J52" s="35">
        <f t="shared" ref="J52:J54" si="29">(H52/D52)*100</f>
        <v>0</v>
      </c>
      <c r="K52" s="35"/>
      <c r="L52" s="26"/>
    </row>
    <row r="53" spans="1:12" s="24" customFormat="1" ht="20.100000000000001" customHeight="1" x14ac:dyDescent="0.3">
      <c r="A53" s="44" t="s">
        <v>465</v>
      </c>
      <c r="B53" s="42">
        <v>20</v>
      </c>
      <c r="C53" s="42">
        <v>51000</v>
      </c>
      <c r="D53" s="42">
        <v>1020000</v>
      </c>
      <c r="E53" s="33">
        <v>35000</v>
      </c>
      <c r="F53" s="25"/>
      <c r="G53" s="25"/>
      <c r="H53" s="34">
        <f t="shared" si="28"/>
        <v>320000</v>
      </c>
      <c r="I53" s="34"/>
      <c r="J53" s="35">
        <f t="shared" si="29"/>
        <v>31.372549019607842</v>
      </c>
      <c r="K53" s="35"/>
      <c r="L53" s="26"/>
    </row>
    <row r="54" spans="1:12" s="24" customFormat="1" ht="20.100000000000001" customHeight="1" x14ac:dyDescent="0.3">
      <c r="A54" s="44" t="s">
        <v>143</v>
      </c>
      <c r="B54" s="42">
        <v>16</v>
      </c>
      <c r="C54" s="42">
        <v>3500</v>
      </c>
      <c r="D54" s="42">
        <v>56000</v>
      </c>
      <c r="E54" s="33">
        <v>3500</v>
      </c>
      <c r="F54" s="25"/>
      <c r="G54" s="25"/>
      <c r="H54" s="34">
        <f t="shared" si="28"/>
        <v>0</v>
      </c>
      <c r="I54" s="34"/>
      <c r="J54" s="35">
        <f t="shared" si="29"/>
        <v>0</v>
      </c>
      <c r="K54" s="35"/>
      <c r="L54" s="26"/>
    </row>
    <row r="55" spans="1:12" s="24" customFormat="1" ht="20.100000000000001" customHeight="1" x14ac:dyDescent="0.3">
      <c r="A55" s="43" t="s">
        <v>286</v>
      </c>
      <c r="B55" s="42"/>
      <c r="C55" s="42"/>
      <c r="D55" s="42"/>
      <c r="E55" s="33"/>
      <c r="F55" s="25"/>
      <c r="G55" s="25"/>
      <c r="H55" s="22"/>
      <c r="I55" s="22"/>
      <c r="J55" s="23"/>
      <c r="K55" s="23"/>
      <c r="L55" s="27"/>
    </row>
    <row r="56" spans="1:12" s="24" customFormat="1" ht="20.100000000000001" customHeight="1" x14ac:dyDescent="0.3">
      <c r="A56" s="44" t="s">
        <v>466</v>
      </c>
      <c r="B56" s="42">
        <v>3</v>
      </c>
      <c r="C56" s="42">
        <v>200000</v>
      </c>
      <c r="D56" s="42">
        <v>600000</v>
      </c>
      <c r="E56" s="33">
        <v>106427</v>
      </c>
      <c r="F56" s="25"/>
      <c r="G56" s="25"/>
      <c r="H56" s="34">
        <f t="shared" ref="H56" si="30">D56-(E56*B56)-G56</f>
        <v>280719</v>
      </c>
      <c r="I56" s="34"/>
      <c r="J56" s="35">
        <f t="shared" ref="J56" si="31">(H56/D56)*100</f>
        <v>46.786499999999997</v>
      </c>
      <c r="K56" s="35"/>
      <c r="L56" s="26"/>
    </row>
    <row r="57" spans="1:12" s="24" customFormat="1" ht="20.100000000000001" customHeight="1" x14ac:dyDescent="0.3">
      <c r="A57" s="43" t="s">
        <v>272</v>
      </c>
      <c r="B57" s="42"/>
      <c r="C57" s="42"/>
      <c r="D57" s="42"/>
      <c r="E57" s="33"/>
      <c r="F57" s="25"/>
      <c r="G57" s="25"/>
      <c r="H57" s="22"/>
      <c r="I57" s="22"/>
      <c r="J57" s="23"/>
      <c r="K57" s="23"/>
      <c r="L57" s="26"/>
    </row>
    <row r="58" spans="1:12" s="24" customFormat="1" ht="20.100000000000001" customHeight="1" x14ac:dyDescent="0.3">
      <c r="A58" s="44" t="s">
        <v>348</v>
      </c>
      <c r="B58" s="42">
        <v>5</v>
      </c>
      <c r="C58" s="42">
        <v>57000</v>
      </c>
      <c r="D58" s="42">
        <v>285000</v>
      </c>
      <c r="E58" s="33">
        <v>47600</v>
      </c>
      <c r="F58" s="25"/>
      <c r="G58" s="25"/>
      <c r="H58" s="34">
        <f t="shared" ref="H58:H59" si="32">D58-(E58*B58)-G58</f>
        <v>47000</v>
      </c>
      <c r="I58" s="34"/>
      <c r="J58" s="35">
        <f t="shared" ref="J58:J59" si="33">(H58/D58)*100</f>
        <v>16.491228070175438</v>
      </c>
      <c r="K58" s="35"/>
      <c r="L58" s="26"/>
    </row>
    <row r="59" spans="1:12" s="24" customFormat="1" ht="20.100000000000001" customHeight="1" x14ac:dyDescent="0.3">
      <c r="A59" s="44" t="s">
        <v>349</v>
      </c>
      <c r="B59" s="42">
        <v>3</v>
      </c>
      <c r="C59" s="42">
        <v>86000</v>
      </c>
      <c r="D59" s="42">
        <v>258000</v>
      </c>
      <c r="E59" s="33">
        <v>69000</v>
      </c>
      <c r="F59" s="25"/>
      <c r="G59" s="25"/>
      <c r="H59" s="34">
        <f t="shared" si="32"/>
        <v>51000</v>
      </c>
      <c r="I59" s="34"/>
      <c r="J59" s="35">
        <f t="shared" si="33"/>
        <v>19.767441860465116</v>
      </c>
      <c r="K59" s="35"/>
      <c r="L59" s="26"/>
    </row>
    <row r="60" spans="1:12" s="24" customFormat="1" ht="20.100000000000001" customHeight="1" x14ac:dyDescent="0.3">
      <c r="A60" s="43" t="s">
        <v>159</v>
      </c>
      <c r="B60" s="42"/>
      <c r="C60" s="42"/>
      <c r="D60" s="42"/>
      <c r="E60" s="33"/>
      <c r="F60" s="25"/>
      <c r="G60" s="25"/>
      <c r="H60" s="22"/>
      <c r="I60" s="22"/>
      <c r="J60" s="23"/>
      <c r="K60" s="23"/>
      <c r="L60" s="26"/>
    </row>
    <row r="61" spans="1:12" s="24" customFormat="1" ht="20.100000000000001" customHeight="1" x14ac:dyDescent="0.3">
      <c r="A61" s="44" t="s">
        <v>40</v>
      </c>
      <c r="B61" s="42">
        <v>10</v>
      </c>
      <c r="C61" s="42">
        <v>176700</v>
      </c>
      <c r="D61" s="42">
        <v>1767000</v>
      </c>
      <c r="E61" s="33"/>
      <c r="F61" s="25">
        <v>124000</v>
      </c>
      <c r="G61" s="25"/>
      <c r="H61" s="22"/>
      <c r="I61" s="34">
        <f t="shared" ref="I61:I63" si="34">D61-(F61*B61)-G61</f>
        <v>527000</v>
      </c>
      <c r="J61" s="35"/>
      <c r="K61" s="35">
        <f t="shared" ref="K61:K63" si="35">(I61/D61)*100</f>
        <v>29.82456140350877</v>
      </c>
      <c r="L61" s="26"/>
    </row>
    <row r="62" spans="1:12" s="24" customFormat="1" ht="20.100000000000001" customHeight="1" x14ac:dyDescent="0.3">
      <c r="A62" s="44" t="s">
        <v>42</v>
      </c>
      <c r="B62" s="42">
        <v>40</v>
      </c>
      <c r="C62" s="42">
        <v>176700</v>
      </c>
      <c r="D62" s="42">
        <v>7068000</v>
      </c>
      <c r="E62" s="33"/>
      <c r="F62" s="25">
        <v>124000</v>
      </c>
      <c r="G62" s="25"/>
      <c r="H62" s="22"/>
      <c r="I62" s="34">
        <f t="shared" si="34"/>
        <v>2108000</v>
      </c>
      <c r="J62" s="35"/>
      <c r="K62" s="35">
        <f t="shared" si="35"/>
        <v>29.82456140350877</v>
      </c>
      <c r="L62" s="27"/>
    </row>
    <row r="63" spans="1:12" s="24" customFormat="1" ht="20.100000000000001" customHeight="1" x14ac:dyDescent="0.3">
      <c r="A63" s="44" t="s">
        <v>89</v>
      </c>
      <c r="B63" s="42">
        <v>20</v>
      </c>
      <c r="C63" s="42">
        <v>176700</v>
      </c>
      <c r="D63" s="42">
        <v>3534000</v>
      </c>
      <c r="E63" s="33"/>
      <c r="F63" s="25">
        <v>124000</v>
      </c>
      <c r="G63" s="25"/>
      <c r="H63" s="22"/>
      <c r="I63" s="34">
        <f t="shared" si="34"/>
        <v>1054000</v>
      </c>
      <c r="J63" s="35"/>
      <c r="K63" s="35">
        <f t="shared" si="35"/>
        <v>29.82456140350877</v>
      </c>
      <c r="L63" s="26"/>
    </row>
    <row r="64" spans="1:12" s="24" customFormat="1" ht="20.100000000000001" customHeight="1" x14ac:dyDescent="0.3">
      <c r="A64" s="43" t="s">
        <v>48</v>
      </c>
      <c r="B64" s="42"/>
      <c r="C64" s="42"/>
      <c r="D64" s="42"/>
      <c r="E64" s="33"/>
      <c r="F64" s="25"/>
      <c r="G64" s="25"/>
      <c r="H64" s="22"/>
      <c r="I64" s="22"/>
      <c r="J64" s="23"/>
      <c r="K64" s="23"/>
      <c r="L64" s="26"/>
    </row>
    <row r="65" spans="1:12" s="24" customFormat="1" ht="20.100000000000001" customHeight="1" x14ac:dyDescent="0.3">
      <c r="A65" s="44" t="s">
        <v>468</v>
      </c>
      <c r="B65" s="42">
        <v>33</v>
      </c>
      <c r="C65" s="42">
        <v>176700</v>
      </c>
      <c r="D65" s="42">
        <v>5831100</v>
      </c>
      <c r="E65" s="33"/>
      <c r="F65" s="25">
        <v>118000</v>
      </c>
      <c r="G65" s="25"/>
      <c r="H65" s="22"/>
      <c r="I65" s="34">
        <f t="shared" ref="I65:I72" si="36">D65-(F65*B65)-G65</f>
        <v>1937100</v>
      </c>
      <c r="J65" s="35"/>
      <c r="K65" s="35">
        <f t="shared" ref="K65:K72" si="37">(I65/D65)*100</f>
        <v>33.220147142048674</v>
      </c>
      <c r="L65" s="27"/>
    </row>
    <row r="66" spans="1:12" s="24" customFormat="1" ht="20.100000000000001" customHeight="1" x14ac:dyDescent="0.3">
      <c r="A66" s="44" t="s">
        <v>344</v>
      </c>
      <c r="B66" s="42">
        <v>5</v>
      </c>
      <c r="C66" s="42">
        <v>190080</v>
      </c>
      <c r="D66" s="42">
        <v>950400</v>
      </c>
      <c r="E66" s="33"/>
      <c r="F66" s="25">
        <v>136000</v>
      </c>
      <c r="G66" s="25"/>
      <c r="H66" s="22"/>
      <c r="I66" s="34">
        <f t="shared" si="36"/>
        <v>270400</v>
      </c>
      <c r="J66" s="35"/>
      <c r="K66" s="35">
        <f t="shared" si="37"/>
        <v>28.45117845117845</v>
      </c>
      <c r="L66" s="27"/>
    </row>
    <row r="67" spans="1:12" s="24" customFormat="1" ht="19.5" customHeight="1" x14ac:dyDescent="0.3">
      <c r="A67" s="44" t="s">
        <v>40</v>
      </c>
      <c r="B67" s="42">
        <v>103</v>
      </c>
      <c r="C67" s="42">
        <v>176700</v>
      </c>
      <c r="D67" s="42">
        <v>18200100</v>
      </c>
      <c r="E67" s="33"/>
      <c r="F67" s="25">
        <v>124000</v>
      </c>
      <c r="G67" s="25"/>
      <c r="H67" s="22"/>
      <c r="I67" s="34">
        <f t="shared" si="36"/>
        <v>5428100</v>
      </c>
      <c r="J67" s="35"/>
      <c r="K67" s="35">
        <f t="shared" si="37"/>
        <v>29.82456140350877</v>
      </c>
      <c r="L67" s="26"/>
    </row>
    <row r="68" spans="1:12" s="24" customFormat="1" ht="20.100000000000001" customHeight="1" x14ac:dyDescent="0.3">
      <c r="A68" s="44" t="s">
        <v>467</v>
      </c>
      <c r="B68" s="42">
        <v>35</v>
      </c>
      <c r="C68" s="42">
        <v>176700</v>
      </c>
      <c r="D68" s="42">
        <v>6184500</v>
      </c>
      <c r="E68" s="33"/>
      <c r="F68" s="25">
        <v>124000</v>
      </c>
      <c r="G68" s="25"/>
      <c r="H68" s="22"/>
      <c r="I68" s="34">
        <f t="shared" si="36"/>
        <v>1844500</v>
      </c>
      <c r="J68" s="35"/>
      <c r="K68" s="35">
        <f t="shared" si="37"/>
        <v>29.82456140350877</v>
      </c>
      <c r="L68" s="26"/>
    </row>
    <row r="69" spans="1:12" s="24" customFormat="1" ht="20.100000000000001" customHeight="1" x14ac:dyDescent="0.3">
      <c r="A69" s="44" t="s">
        <v>42</v>
      </c>
      <c r="B69" s="42">
        <v>20</v>
      </c>
      <c r="C69" s="42">
        <v>176700</v>
      </c>
      <c r="D69" s="42">
        <v>3534000</v>
      </c>
      <c r="E69" s="33"/>
      <c r="F69" s="25">
        <v>124000</v>
      </c>
      <c r="G69" s="25"/>
      <c r="H69" s="22"/>
      <c r="I69" s="34">
        <f t="shared" si="36"/>
        <v>1054000</v>
      </c>
      <c r="J69" s="35"/>
      <c r="K69" s="35">
        <f t="shared" si="37"/>
        <v>29.82456140350877</v>
      </c>
      <c r="L69" s="26"/>
    </row>
    <row r="70" spans="1:12" s="24" customFormat="1" ht="20.100000000000001" customHeight="1" x14ac:dyDescent="0.3">
      <c r="A70" s="44" t="s">
        <v>90</v>
      </c>
      <c r="B70" s="42">
        <v>13</v>
      </c>
      <c r="C70" s="42">
        <v>2700000</v>
      </c>
      <c r="D70" s="42">
        <v>35100000</v>
      </c>
      <c r="E70" s="33"/>
      <c r="F70" s="25">
        <v>1960000</v>
      </c>
      <c r="G70" s="25"/>
      <c r="H70" s="22"/>
      <c r="I70" s="34">
        <f t="shared" si="36"/>
        <v>9620000</v>
      </c>
      <c r="J70" s="35"/>
      <c r="K70" s="35">
        <f t="shared" si="37"/>
        <v>27.407407407407408</v>
      </c>
      <c r="L70" s="27"/>
    </row>
    <row r="71" spans="1:12" s="24" customFormat="1" ht="20.100000000000001" customHeight="1" x14ac:dyDescent="0.3">
      <c r="A71" s="44" t="s">
        <v>161</v>
      </c>
      <c r="B71" s="42">
        <v>6</v>
      </c>
      <c r="C71" s="42">
        <v>2700000</v>
      </c>
      <c r="D71" s="42">
        <v>16200000</v>
      </c>
      <c r="E71" s="33"/>
      <c r="F71" s="25">
        <v>1960000</v>
      </c>
      <c r="G71" s="25"/>
      <c r="H71" s="22"/>
      <c r="I71" s="34">
        <f t="shared" si="36"/>
        <v>4440000</v>
      </c>
      <c r="J71" s="35"/>
      <c r="K71" s="35">
        <f t="shared" si="37"/>
        <v>27.407407407407408</v>
      </c>
      <c r="L71" s="26"/>
    </row>
    <row r="72" spans="1:12" s="24" customFormat="1" ht="20.100000000000001" customHeight="1" x14ac:dyDescent="0.3">
      <c r="A72" s="44" t="s">
        <v>89</v>
      </c>
      <c r="B72" s="42">
        <v>97</v>
      </c>
      <c r="C72" s="42">
        <v>176700</v>
      </c>
      <c r="D72" s="42">
        <v>17139900</v>
      </c>
      <c r="E72" s="33"/>
      <c r="F72" s="25">
        <v>124000</v>
      </c>
      <c r="G72" s="25"/>
      <c r="H72" s="22"/>
      <c r="I72" s="34">
        <f t="shared" si="36"/>
        <v>5111900</v>
      </c>
      <c r="J72" s="35"/>
      <c r="K72" s="35">
        <f t="shared" si="37"/>
        <v>29.82456140350877</v>
      </c>
      <c r="L72" s="26"/>
    </row>
    <row r="73" spans="1:12" s="24" customFormat="1" ht="20.100000000000001" customHeight="1" x14ac:dyDescent="0.3">
      <c r="A73" s="43" t="s">
        <v>162</v>
      </c>
      <c r="B73" s="42"/>
      <c r="C73" s="42"/>
      <c r="D73" s="42"/>
      <c r="E73" s="33"/>
      <c r="F73" s="25"/>
      <c r="G73" s="25"/>
      <c r="H73" s="22"/>
      <c r="I73" s="22"/>
      <c r="J73" s="23"/>
      <c r="K73" s="23"/>
      <c r="L73" s="27"/>
    </row>
    <row r="74" spans="1:12" s="24" customFormat="1" ht="20.100000000000001" customHeight="1" x14ac:dyDescent="0.3">
      <c r="A74" s="44" t="s">
        <v>160</v>
      </c>
      <c r="B74" s="42">
        <v>10</v>
      </c>
      <c r="C74" s="42">
        <v>176700</v>
      </c>
      <c r="D74" s="42">
        <v>1767000</v>
      </c>
      <c r="E74" s="33"/>
      <c r="F74" s="25">
        <v>118000</v>
      </c>
      <c r="G74" s="25"/>
      <c r="H74" s="22"/>
      <c r="I74" s="34">
        <f t="shared" ref="I74:I78" si="38">D74-(F74*B74)-G74</f>
        <v>587000</v>
      </c>
      <c r="J74" s="35"/>
      <c r="K74" s="35">
        <f t="shared" ref="K74:K78" si="39">(I74/D74)*100</f>
        <v>33.220147142048674</v>
      </c>
      <c r="L74" s="27"/>
    </row>
    <row r="75" spans="1:12" s="24" customFormat="1" ht="20.100000000000001" customHeight="1" x14ac:dyDescent="0.3">
      <c r="A75" s="44" t="s">
        <v>40</v>
      </c>
      <c r="B75" s="42">
        <v>25</v>
      </c>
      <c r="C75" s="42">
        <v>176700</v>
      </c>
      <c r="D75" s="42">
        <v>4417500</v>
      </c>
      <c r="E75" s="33"/>
      <c r="F75" s="25">
        <v>124000</v>
      </c>
      <c r="G75" s="25"/>
      <c r="H75" s="22"/>
      <c r="I75" s="34">
        <f t="shared" si="38"/>
        <v>1317500</v>
      </c>
      <c r="J75" s="35"/>
      <c r="K75" s="35">
        <f t="shared" si="39"/>
        <v>29.82456140350877</v>
      </c>
      <c r="L75" s="27"/>
    </row>
    <row r="76" spans="1:12" s="24" customFormat="1" ht="20.100000000000001" customHeight="1" x14ac:dyDescent="0.3">
      <c r="A76" s="44" t="s">
        <v>350</v>
      </c>
      <c r="B76" s="42">
        <v>5</v>
      </c>
      <c r="C76" s="42">
        <v>176700</v>
      </c>
      <c r="D76" s="42">
        <v>883500</v>
      </c>
      <c r="E76" s="33"/>
      <c r="F76" s="25">
        <v>124000</v>
      </c>
      <c r="G76" s="25"/>
      <c r="H76" s="22"/>
      <c r="I76" s="34">
        <f t="shared" si="38"/>
        <v>263500</v>
      </c>
      <c r="J76" s="35"/>
      <c r="K76" s="35">
        <f t="shared" si="39"/>
        <v>29.82456140350877</v>
      </c>
      <c r="L76" s="26"/>
    </row>
    <row r="77" spans="1:12" s="24" customFormat="1" ht="20.100000000000001" customHeight="1" x14ac:dyDescent="0.3">
      <c r="A77" s="44" t="s">
        <v>90</v>
      </c>
      <c r="B77" s="42">
        <v>4</v>
      </c>
      <c r="C77" s="42">
        <v>2700000</v>
      </c>
      <c r="D77" s="42">
        <v>10800000</v>
      </c>
      <c r="E77" s="33"/>
      <c r="F77" s="25">
        <v>1960000</v>
      </c>
      <c r="G77" s="25"/>
      <c r="H77" s="22"/>
      <c r="I77" s="34">
        <f t="shared" si="38"/>
        <v>2960000</v>
      </c>
      <c r="J77" s="35"/>
      <c r="K77" s="35">
        <f t="shared" si="39"/>
        <v>27.407407407407408</v>
      </c>
      <c r="L77" s="26"/>
    </row>
    <row r="78" spans="1:12" s="24" customFormat="1" ht="20.100000000000001" customHeight="1" x14ac:dyDescent="0.3">
      <c r="A78" s="44" t="s">
        <v>89</v>
      </c>
      <c r="B78" s="42">
        <v>35</v>
      </c>
      <c r="C78" s="42">
        <v>176700</v>
      </c>
      <c r="D78" s="42">
        <v>6184500</v>
      </c>
      <c r="E78" s="33"/>
      <c r="F78" s="25">
        <v>124000</v>
      </c>
      <c r="G78" s="25"/>
      <c r="H78" s="22"/>
      <c r="I78" s="34">
        <f t="shared" si="38"/>
        <v>1844500</v>
      </c>
      <c r="J78" s="35"/>
      <c r="K78" s="35">
        <f t="shared" si="39"/>
        <v>29.82456140350877</v>
      </c>
      <c r="L78" s="27"/>
    </row>
    <row r="79" spans="1:12" s="24" customFormat="1" ht="19.5" customHeight="1" x14ac:dyDescent="0.3">
      <c r="A79" s="43" t="s">
        <v>91</v>
      </c>
      <c r="B79" s="42"/>
      <c r="C79" s="42"/>
      <c r="D79" s="42"/>
      <c r="E79" s="33"/>
      <c r="F79" s="25"/>
      <c r="G79" s="25"/>
      <c r="H79" s="22"/>
      <c r="I79" s="22"/>
      <c r="J79" s="23"/>
      <c r="K79" s="23"/>
      <c r="L79" s="26"/>
    </row>
    <row r="80" spans="1:12" s="24" customFormat="1" ht="20.100000000000001" customHeight="1" x14ac:dyDescent="0.3">
      <c r="A80" s="44" t="s">
        <v>40</v>
      </c>
      <c r="B80" s="42">
        <v>15</v>
      </c>
      <c r="C80" s="42">
        <v>176700</v>
      </c>
      <c r="D80" s="42">
        <v>2650500</v>
      </c>
      <c r="E80" s="33"/>
      <c r="F80" s="25">
        <v>124000</v>
      </c>
      <c r="G80" s="25"/>
      <c r="H80" s="22"/>
      <c r="I80" s="34">
        <f t="shared" ref="I80:I82" si="40">D80-(F80*B80)-G80</f>
        <v>790500</v>
      </c>
      <c r="J80" s="35"/>
      <c r="K80" s="35">
        <f t="shared" ref="K80:K82" si="41">(I80/D80)*100</f>
        <v>29.82456140350877</v>
      </c>
      <c r="L80" s="26"/>
    </row>
    <row r="81" spans="1:12" s="24" customFormat="1" ht="20.100000000000001" customHeight="1" x14ac:dyDescent="0.3">
      <c r="A81" s="44" t="s">
        <v>42</v>
      </c>
      <c r="B81" s="42">
        <v>40</v>
      </c>
      <c r="C81" s="42">
        <v>176700</v>
      </c>
      <c r="D81" s="42">
        <v>7068000</v>
      </c>
      <c r="E81" s="33"/>
      <c r="F81" s="25">
        <v>124000</v>
      </c>
      <c r="G81" s="25"/>
      <c r="H81" s="22"/>
      <c r="I81" s="34">
        <f t="shared" si="40"/>
        <v>2108000</v>
      </c>
      <c r="J81" s="35"/>
      <c r="K81" s="35">
        <f t="shared" si="41"/>
        <v>29.82456140350877</v>
      </c>
      <c r="L81" s="26"/>
    </row>
    <row r="82" spans="1:12" s="24" customFormat="1" ht="20.100000000000001" customHeight="1" x14ac:dyDescent="0.3">
      <c r="A82" s="44" t="s">
        <v>89</v>
      </c>
      <c r="B82" s="42">
        <v>30</v>
      </c>
      <c r="C82" s="42">
        <v>176700</v>
      </c>
      <c r="D82" s="42">
        <v>5301000</v>
      </c>
      <c r="E82" s="33"/>
      <c r="F82" s="25">
        <v>124000</v>
      </c>
      <c r="G82" s="25"/>
      <c r="H82" s="22"/>
      <c r="I82" s="34">
        <f t="shared" si="40"/>
        <v>1581000</v>
      </c>
      <c r="J82" s="35"/>
      <c r="K82" s="35">
        <f t="shared" si="41"/>
        <v>29.82456140350877</v>
      </c>
      <c r="L82" s="27"/>
    </row>
    <row r="83" spans="1:12" s="24" customFormat="1" ht="20.100000000000001" customHeight="1" x14ac:dyDescent="0.3">
      <c r="A83" s="43" t="s">
        <v>287</v>
      </c>
      <c r="B83" s="42"/>
      <c r="C83" s="42"/>
      <c r="D83" s="42"/>
      <c r="E83" s="33"/>
      <c r="F83" s="25"/>
      <c r="G83" s="25"/>
      <c r="H83" s="22"/>
      <c r="I83" s="22"/>
      <c r="J83" s="23"/>
      <c r="K83" s="23"/>
      <c r="L83" s="27"/>
    </row>
    <row r="84" spans="1:12" s="24" customFormat="1" ht="20.100000000000001" customHeight="1" x14ac:dyDescent="0.3">
      <c r="A84" s="44" t="s">
        <v>51</v>
      </c>
      <c r="B84" s="42">
        <v>1</v>
      </c>
      <c r="C84" s="42">
        <v>76000</v>
      </c>
      <c r="D84" s="42">
        <v>76000</v>
      </c>
      <c r="E84" s="33">
        <v>54300</v>
      </c>
      <c r="F84" s="25"/>
      <c r="G84" s="25"/>
      <c r="H84" s="34">
        <f t="shared" ref="H84" si="42">D84-(E84*B84)-G84</f>
        <v>21700</v>
      </c>
      <c r="I84" s="34"/>
      <c r="J84" s="35">
        <f t="shared" ref="J84" si="43">(H84/D84)*100</f>
        <v>28.55263157894737</v>
      </c>
      <c r="K84" s="35"/>
      <c r="L84" s="26"/>
    </row>
    <row r="85" spans="1:12" s="24" customFormat="1" ht="20.100000000000001" customHeight="1" x14ac:dyDescent="0.3">
      <c r="A85" s="43" t="s">
        <v>351</v>
      </c>
      <c r="B85" s="42"/>
      <c r="C85" s="42"/>
      <c r="D85" s="42"/>
      <c r="E85" s="33"/>
      <c r="F85" s="25"/>
      <c r="G85" s="25"/>
      <c r="H85" s="22"/>
      <c r="I85" s="22"/>
      <c r="J85" s="23"/>
      <c r="K85" s="23"/>
      <c r="L85" s="26"/>
    </row>
    <row r="86" spans="1:12" s="24" customFormat="1" ht="20.100000000000001" customHeight="1" x14ac:dyDescent="0.3">
      <c r="A86" s="44" t="s">
        <v>38</v>
      </c>
      <c r="B86" s="42">
        <v>3</v>
      </c>
      <c r="C86" s="42">
        <v>186996</v>
      </c>
      <c r="D86" s="42">
        <v>560988</v>
      </c>
      <c r="E86" s="33">
        <v>124000</v>
      </c>
      <c r="F86" s="25"/>
      <c r="G86" s="25"/>
      <c r="H86" s="34">
        <f t="shared" ref="H86" si="44">D86-(E86*B86)-G86</f>
        <v>188988</v>
      </c>
      <c r="I86" s="34"/>
      <c r="J86" s="35">
        <f t="shared" ref="J86" si="45">(H86/D86)*100</f>
        <v>33.688421142698239</v>
      </c>
      <c r="K86" s="35"/>
      <c r="L86" s="27"/>
    </row>
    <row r="87" spans="1:12" s="24" customFormat="1" ht="20.100000000000001" customHeight="1" x14ac:dyDescent="0.3">
      <c r="A87" s="43" t="s">
        <v>227</v>
      </c>
      <c r="B87" s="42"/>
      <c r="C87" s="42"/>
      <c r="D87" s="42"/>
      <c r="E87" s="33"/>
      <c r="F87" s="25"/>
      <c r="G87" s="25"/>
      <c r="H87" s="22"/>
      <c r="I87" s="22"/>
      <c r="J87" s="23"/>
      <c r="K87" s="23"/>
      <c r="L87" s="27"/>
    </row>
    <row r="88" spans="1:12" s="24" customFormat="1" ht="20.100000000000001" customHeight="1" x14ac:dyDescent="0.3">
      <c r="A88" s="44" t="s">
        <v>38</v>
      </c>
      <c r="B88" s="42">
        <v>6</v>
      </c>
      <c r="C88" s="42">
        <v>186996</v>
      </c>
      <c r="D88" s="42">
        <v>1121976</v>
      </c>
      <c r="E88" s="33">
        <v>124000</v>
      </c>
      <c r="F88" s="25"/>
      <c r="G88" s="25"/>
      <c r="H88" s="34">
        <f t="shared" ref="H88" si="46">D88-(E88*B88)-G88</f>
        <v>377976</v>
      </c>
      <c r="I88" s="34"/>
      <c r="J88" s="35">
        <f t="shared" ref="J88" si="47">(H88/D88)*100</f>
        <v>33.688421142698239</v>
      </c>
      <c r="K88" s="35"/>
      <c r="L88" s="26"/>
    </row>
    <row r="89" spans="1:12" s="24" customFormat="1" ht="20.100000000000001" customHeight="1" x14ac:dyDescent="0.3">
      <c r="A89" s="47" t="s">
        <v>99</v>
      </c>
      <c r="B89" s="42"/>
      <c r="C89" s="42"/>
      <c r="D89" s="42"/>
      <c r="E89" s="33"/>
      <c r="F89" s="25"/>
      <c r="G89" s="25"/>
      <c r="H89" s="22"/>
      <c r="I89" s="22"/>
      <c r="J89" s="23"/>
      <c r="K89" s="23"/>
      <c r="L89" s="26"/>
    </row>
    <row r="90" spans="1:12" s="24" customFormat="1" ht="20.100000000000001" customHeight="1" x14ac:dyDescent="0.3">
      <c r="A90" s="43" t="s">
        <v>288</v>
      </c>
      <c r="B90" s="42"/>
      <c r="C90" s="42"/>
      <c r="D90" s="42"/>
      <c r="E90" s="33"/>
      <c r="F90" s="25"/>
      <c r="G90" s="25"/>
      <c r="H90" s="22"/>
      <c r="I90" s="22"/>
      <c r="J90" s="23"/>
      <c r="K90" s="23"/>
      <c r="L90" s="27"/>
    </row>
    <row r="91" spans="1:12" s="24" customFormat="1" ht="20.100000000000001" customHeight="1" x14ac:dyDescent="0.3">
      <c r="A91" s="44" t="s">
        <v>181</v>
      </c>
      <c r="B91" s="42">
        <v>3</v>
      </c>
      <c r="C91" s="42">
        <v>660000</v>
      </c>
      <c r="D91" s="42">
        <v>1980000</v>
      </c>
      <c r="E91" s="33">
        <v>492000</v>
      </c>
      <c r="F91" s="25"/>
      <c r="G91" s="25"/>
      <c r="H91" s="34">
        <f t="shared" ref="H91" si="48">D91-(E91*B91)-G91</f>
        <v>504000</v>
      </c>
      <c r="I91" s="34"/>
      <c r="J91" s="35">
        <f t="shared" ref="J91" si="49">(H91/D91)*100</f>
        <v>25.454545454545453</v>
      </c>
      <c r="K91" s="35"/>
      <c r="L91" s="27"/>
    </row>
    <row r="92" spans="1:12" s="24" customFormat="1" ht="20.100000000000001" customHeight="1" x14ac:dyDescent="0.3">
      <c r="A92" s="43" t="s">
        <v>289</v>
      </c>
      <c r="B92" s="42"/>
      <c r="C92" s="42"/>
      <c r="D92" s="42"/>
      <c r="E92" s="33"/>
      <c r="F92" s="25"/>
      <c r="G92" s="25"/>
      <c r="H92" s="22"/>
      <c r="I92" s="22"/>
      <c r="J92" s="23"/>
      <c r="K92" s="23"/>
      <c r="L92" s="26"/>
    </row>
    <row r="93" spans="1:12" s="24" customFormat="1" ht="20.100000000000001" customHeight="1" x14ac:dyDescent="0.3">
      <c r="A93" s="44" t="s">
        <v>100</v>
      </c>
      <c r="B93" s="42">
        <v>2</v>
      </c>
      <c r="C93" s="42">
        <v>870000</v>
      </c>
      <c r="D93" s="42">
        <v>1740000</v>
      </c>
      <c r="E93" s="33">
        <v>630000</v>
      </c>
      <c r="F93" s="25"/>
      <c r="G93" s="25"/>
      <c r="H93" s="34">
        <f t="shared" ref="H93" si="50">D93-(E93*B93)-G93</f>
        <v>480000</v>
      </c>
      <c r="I93" s="34"/>
      <c r="J93" s="35">
        <f t="shared" ref="J93" si="51">(H93/D93)*100</f>
        <v>27.586206896551722</v>
      </c>
      <c r="K93" s="35"/>
      <c r="L93" s="26"/>
    </row>
    <row r="94" spans="1:12" s="24" customFormat="1" ht="20.100000000000001" customHeight="1" x14ac:dyDescent="0.3">
      <c r="A94" s="43" t="s">
        <v>290</v>
      </c>
      <c r="B94" s="42"/>
      <c r="C94" s="42"/>
      <c r="D94" s="42"/>
      <c r="E94" s="33"/>
      <c r="F94" s="25"/>
      <c r="G94" s="25"/>
      <c r="H94" s="22"/>
      <c r="I94" s="22"/>
      <c r="J94" s="23"/>
      <c r="K94" s="23"/>
      <c r="L94" s="26"/>
    </row>
    <row r="95" spans="1:12" s="24" customFormat="1" ht="20.100000000000001" customHeight="1" x14ac:dyDescent="0.3">
      <c r="A95" s="44" t="s">
        <v>291</v>
      </c>
      <c r="B95" s="42">
        <v>1</v>
      </c>
      <c r="C95" s="42">
        <v>426000</v>
      </c>
      <c r="D95" s="42">
        <v>426000</v>
      </c>
      <c r="E95" s="33">
        <v>352000</v>
      </c>
      <c r="F95" s="25"/>
      <c r="G95" s="25"/>
      <c r="H95" s="34">
        <f t="shared" ref="H95" si="52">D95-(E95*B95)-G95</f>
        <v>74000</v>
      </c>
      <c r="I95" s="34"/>
      <c r="J95" s="35">
        <f t="shared" ref="J95" si="53">(H95/D95)*100</f>
        <v>17.370892018779344</v>
      </c>
      <c r="K95" s="35"/>
      <c r="L95" s="26"/>
    </row>
    <row r="96" spans="1:12" s="24" customFormat="1" ht="20.100000000000001" customHeight="1" x14ac:dyDescent="0.3">
      <c r="A96" s="43" t="s">
        <v>154</v>
      </c>
      <c r="B96" s="42"/>
      <c r="C96" s="42"/>
      <c r="D96" s="42"/>
      <c r="E96" s="33"/>
      <c r="F96" s="25"/>
      <c r="G96" s="25"/>
      <c r="H96" s="22"/>
      <c r="I96" s="22"/>
      <c r="J96" s="23"/>
      <c r="K96" s="23"/>
      <c r="L96" s="26"/>
    </row>
    <row r="97" spans="1:12" s="24" customFormat="1" ht="20.100000000000001" customHeight="1" x14ac:dyDescent="0.3">
      <c r="A97" s="56" t="s">
        <v>469</v>
      </c>
      <c r="B97" s="57">
        <v>6</v>
      </c>
      <c r="C97" s="57">
        <v>4150000</v>
      </c>
      <c r="D97" s="57">
        <v>24900000</v>
      </c>
      <c r="E97" s="36">
        <v>5049000</v>
      </c>
      <c r="F97" s="37"/>
      <c r="G97" s="37"/>
      <c r="H97" s="38">
        <f t="shared" ref="H97" si="54">D97-(E97*B97)-G97</f>
        <v>-5394000</v>
      </c>
      <c r="I97" s="38"/>
      <c r="J97" s="39">
        <f t="shared" ref="J97" si="55">(H97/D97)*100</f>
        <v>-21.662650602409638</v>
      </c>
      <c r="K97" s="39"/>
      <c r="L97" s="40" t="s">
        <v>470</v>
      </c>
    </row>
    <row r="98" spans="1:12" s="24" customFormat="1" ht="20.100000000000001" customHeight="1" x14ac:dyDescent="0.3">
      <c r="A98" s="43" t="s">
        <v>352</v>
      </c>
      <c r="B98" s="42"/>
      <c r="C98" s="42"/>
      <c r="D98" s="42"/>
      <c r="E98" s="33"/>
      <c r="F98" s="25"/>
      <c r="G98" s="25"/>
      <c r="H98" s="22"/>
      <c r="I98" s="22"/>
      <c r="J98" s="23"/>
      <c r="K98" s="23"/>
      <c r="L98" s="26"/>
    </row>
    <row r="99" spans="1:12" s="24" customFormat="1" ht="20.100000000000001" customHeight="1" x14ac:dyDescent="0.3">
      <c r="A99" s="44" t="s">
        <v>448</v>
      </c>
      <c r="B99" s="42">
        <v>20</v>
      </c>
      <c r="C99" s="42">
        <v>950000</v>
      </c>
      <c r="D99" s="42">
        <v>19000000</v>
      </c>
      <c r="E99" s="33">
        <v>645000</v>
      </c>
      <c r="F99" s="25"/>
      <c r="G99" s="25"/>
      <c r="H99" s="34">
        <f t="shared" ref="H99" si="56">D99-(E99*B99)-G99</f>
        <v>6100000</v>
      </c>
      <c r="I99" s="34"/>
      <c r="J99" s="35">
        <f t="shared" ref="J99" si="57">(H99/D99)*100</f>
        <v>32.10526315789474</v>
      </c>
      <c r="K99" s="35"/>
      <c r="L99" s="26"/>
    </row>
    <row r="100" spans="1:12" s="24" customFormat="1" ht="20.100000000000001" customHeight="1" x14ac:dyDescent="0.3">
      <c r="A100" s="44" t="s">
        <v>353</v>
      </c>
      <c r="B100" s="42">
        <v>1</v>
      </c>
      <c r="C100" s="42">
        <v>400000</v>
      </c>
      <c r="D100" s="42">
        <v>400000</v>
      </c>
      <c r="E100" s="33"/>
      <c r="F100" s="25"/>
      <c r="G100" s="25"/>
      <c r="H100" s="22"/>
      <c r="I100" s="22"/>
      <c r="J100" s="23"/>
      <c r="K100" s="23"/>
      <c r="L100" s="26"/>
    </row>
    <row r="101" spans="1:12" s="24" customFormat="1" ht="20.100000000000001" customHeight="1" x14ac:dyDescent="0.3">
      <c r="A101" s="43" t="s">
        <v>354</v>
      </c>
      <c r="B101" s="42"/>
      <c r="C101" s="42"/>
      <c r="D101" s="42"/>
      <c r="E101" s="33"/>
      <c r="F101" s="25"/>
      <c r="G101" s="25"/>
      <c r="H101" s="22"/>
      <c r="I101" s="22"/>
      <c r="J101" s="23"/>
      <c r="K101" s="23"/>
      <c r="L101" s="27"/>
    </row>
    <row r="102" spans="1:12" s="24" customFormat="1" ht="20.100000000000001" customHeight="1" x14ac:dyDescent="0.3">
      <c r="A102" s="44" t="s">
        <v>100</v>
      </c>
      <c r="B102" s="42">
        <v>5</v>
      </c>
      <c r="C102" s="42">
        <v>950000</v>
      </c>
      <c r="D102" s="42">
        <v>4750000</v>
      </c>
      <c r="E102" s="33">
        <v>630000</v>
      </c>
      <c r="F102" s="25"/>
      <c r="G102" s="25"/>
      <c r="H102" s="34">
        <f t="shared" ref="H102" si="58">D102-(E102*B102)-G102</f>
        <v>1600000</v>
      </c>
      <c r="I102" s="34"/>
      <c r="J102" s="35">
        <f t="shared" ref="J102" si="59">(H102/D102)*100</f>
        <v>33.684210526315788</v>
      </c>
      <c r="K102" s="35"/>
      <c r="L102" s="26"/>
    </row>
    <row r="103" spans="1:12" s="24" customFormat="1" ht="20.100000000000001" customHeight="1" x14ac:dyDescent="0.3">
      <c r="A103" s="43" t="s">
        <v>155</v>
      </c>
      <c r="B103" s="42"/>
      <c r="C103" s="42"/>
      <c r="D103" s="42"/>
      <c r="E103" s="33"/>
      <c r="F103" s="25"/>
      <c r="G103" s="25"/>
      <c r="H103" s="22"/>
      <c r="I103" s="22"/>
      <c r="J103" s="23"/>
      <c r="K103" s="23"/>
      <c r="L103" s="26"/>
    </row>
    <row r="104" spans="1:12" s="24" customFormat="1" ht="20.100000000000001" customHeight="1" x14ac:dyDescent="0.3">
      <c r="A104" s="44" t="s">
        <v>355</v>
      </c>
      <c r="B104" s="42">
        <v>4</v>
      </c>
      <c r="C104" s="42">
        <v>790000</v>
      </c>
      <c r="D104" s="42">
        <v>3160000</v>
      </c>
      <c r="E104" s="33">
        <v>575000</v>
      </c>
      <c r="F104" s="25"/>
      <c r="G104" s="25"/>
      <c r="H104" s="34">
        <f t="shared" ref="H104:H108" si="60">D104-(E104*B104)-G104</f>
        <v>860000</v>
      </c>
      <c r="I104" s="34"/>
      <c r="J104" s="35">
        <f t="shared" ref="J104:J108" si="61">(H104/D104)*100</f>
        <v>27.215189873417721</v>
      </c>
      <c r="K104" s="35"/>
      <c r="L104" s="26"/>
    </row>
    <row r="105" spans="1:12" s="24" customFormat="1" ht="20.100000000000001" customHeight="1" x14ac:dyDescent="0.3">
      <c r="A105" s="44" t="s">
        <v>95</v>
      </c>
      <c r="B105" s="42">
        <v>24</v>
      </c>
      <c r="C105" s="42">
        <v>820000</v>
      </c>
      <c r="D105" s="42">
        <v>19680000</v>
      </c>
      <c r="E105" s="33">
        <v>623000</v>
      </c>
      <c r="F105" s="25"/>
      <c r="G105" s="25"/>
      <c r="H105" s="34">
        <f t="shared" si="60"/>
        <v>4728000</v>
      </c>
      <c r="I105" s="34"/>
      <c r="J105" s="35">
        <f t="shared" si="61"/>
        <v>24.024390243902438</v>
      </c>
      <c r="K105" s="35"/>
      <c r="L105" s="26"/>
    </row>
    <row r="106" spans="1:12" s="24" customFormat="1" ht="20.100000000000001" customHeight="1" x14ac:dyDescent="0.3">
      <c r="A106" s="44" t="s">
        <v>229</v>
      </c>
      <c r="B106" s="42">
        <v>6</v>
      </c>
      <c r="C106" s="42">
        <v>870000</v>
      </c>
      <c r="D106" s="42">
        <v>5220000</v>
      </c>
      <c r="E106" s="33">
        <v>750000</v>
      </c>
      <c r="F106" s="25"/>
      <c r="G106" s="25"/>
      <c r="H106" s="34">
        <f t="shared" si="60"/>
        <v>720000</v>
      </c>
      <c r="I106" s="34"/>
      <c r="J106" s="35">
        <f t="shared" si="61"/>
        <v>13.793103448275861</v>
      </c>
      <c r="K106" s="35"/>
      <c r="L106" s="26"/>
    </row>
    <row r="107" spans="1:12" s="24" customFormat="1" ht="20.100000000000001" customHeight="1" x14ac:dyDescent="0.3">
      <c r="A107" s="44" t="s">
        <v>141</v>
      </c>
      <c r="B107" s="42">
        <v>3</v>
      </c>
      <c r="C107" s="42">
        <v>380000</v>
      </c>
      <c r="D107" s="42">
        <v>1140000</v>
      </c>
      <c r="E107" s="33">
        <v>289000</v>
      </c>
      <c r="F107" s="25"/>
      <c r="G107" s="25"/>
      <c r="H107" s="34">
        <f t="shared" si="60"/>
        <v>273000</v>
      </c>
      <c r="I107" s="34"/>
      <c r="J107" s="35">
        <f t="shared" si="61"/>
        <v>23.94736842105263</v>
      </c>
      <c r="K107" s="35"/>
      <c r="L107" s="27"/>
    </row>
    <row r="108" spans="1:12" s="24" customFormat="1" ht="20.100000000000001" customHeight="1" x14ac:dyDescent="0.3">
      <c r="A108" s="44" t="s">
        <v>356</v>
      </c>
      <c r="B108" s="42">
        <v>10</v>
      </c>
      <c r="C108" s="42">
        <v>370000</v>
      </c>
      <c r="D108" s="42">
        <v>3700000</v>
      </c>
      <c r="E108" s="33">
        <v>311000</v>
      </c>
      <c r="F108" s="25"/>
      <c r="G108" s="25"/>
      <c r="H108" s="34">
        <f t="shared" si="60"/>
        <v>590000</v>
      </c>
      <c r="I108" s="34"/>
      <c r="J108" s="35">
        <f t="shared" si="61"/>
        <v>15.945945945945947</v>
      </c>
      <c r="K108" s="35"/>
      <c r="L108" s="26"/>
    </row>
    <row r="109" spans="1:12" s="24" customFormat="1" ht="20.100000000000001" customHeight="1" x14ac:dyDescent="0.3">
      <c r="A109" s="47" t="s">
        <v>103</v>
      </c>
      <c r="B109" s="42"/>
      <c r="C109" s="42"/>
      <c r="D109" s="42"/>
      <c r="E109" s="33"/>
      <c r="F109" s="25"/>
      <c r="G109" s="25"/>
      <c r="H109" s="22"/>
      <c r="I109" s="22"/>
      <c r="J109" s="23"/>
      <c r="K109" s="23"/>
      <c r="L109" s="26"/>
    </row>
    <row r="110" spans="1:12" s="24" customFormat="1" ht="20.100000000000001" customHeight="1" x14ac:dyDescent="0.3">
      <c r="A110" s="43" t="s">
        <v>135</v>
      </c>
      <c r="B110" s="42"/>
      <c r="C110" s="42"/>
      <c r="D110" s="42"/>
      <c r="E110" s="33"/>
      <c r="F110" s="25"/>
      <c r="G110" s="25"/>
      <c r="H110" s="22"/>
      <c r="I110" s="22"/>
      <c r="J110" s="23"/>
      <c r="K110" s="23"/>
      <c r="L110" s="26"/>
    </row>
    <row r="111" spans="1:12" s="24" customFormat="1" ht="20.100000000000001" customHeight="1" x14ac:dyDescent="0.3">
      <c r="A111" s="56" t="s">
        <v>50</v>
      </c>
      <c r="B111" s="57">
        <v>2</v>
      </c>
      <c r="C111" s="57">
        <v>46400</v>
      </c>
      <c r="D111" s="57">
        <v>92800</v>
      </c>
      <c r="E111" s="36">
        <v>53900</v>
      </c>
      <c r="F111" s="37"/>
      <c r="G111" s="37"/>
      <c r="H111" s="38">
        <f t="shared" ref="H111" si="62">D111-(E111*B111)-G111</f>
        <v>-15000</v>
      </c>
      <c r="I111" s="38"/>
      <c r="J111" s="39">
        <f t="shared" ref="J111" si="63">(H111/D111)*100</f>
        <v>-16.163793103448278</v>
      </c>
      <c r="K111" s="39"/>
      <c r="L111" s="40" t="s">
        <v>528</v>
      </c>
    </row>
    <row r="112" spans="1:12" s="24" customFormat="1" ht="20.100000000000001" customHeight="1" x14ac:dyDescent="0.3">
      <c r="A112" s="43" t="s">
        <v>357</v>
      </c>
      <c r="B112" s="42"/>
      <c r="C112" s="42"/>
      <c r="D112" s="42"/>
      <c r="E112" s="33"/>
      <c r="F112" s="25"/>
      <c r="G112" s="25"/>
      <c r="H112" s="22"/>
      <c r="I112" s="22"/>
      <c r="J112" s="23"/>
      <c r="K112" s="23"/>
      <c r="L112" s="26"/>
    </row>
    <row r="113" spans="1:12" s="24" customFormat="1" ht="20.100000000000001" customHeight="1" x14ac:dyDescent="0.3">
      <c r="A113" s="44" t="s">
        <v>471</v>
      </c>
      <c r="B113" s="42">
        <v>6</v>
      </c>
      <c r="C113" s="42">
        <v>4580000</v>
      </c>
      <c r="D113" s="42">
        <v>27480000</v>
      </c>
      <c r="E113" s="33"/>
      <c r="F113" s="25">
        <v>3224000</v>
      </c>
      <c r="G113" s="25"/>
      <c r="H113" s="22"/>
      <c r="I113" s="34">
        <f t="shared" ref="I113" si="64">D113-(F113*B113)-G113</f>
        <v>8136000</v>
      </c>
      <c r="J113" s="35"/>
      <c r="K113" s="35">
        <f t="shared" ref="K113" si="65">(I113/D113)*100</f>
        <v>29.606986899563321</v>
      </c>
      <c r="L113" s="26"/>
    </row>
    <row r="114" spans="1:12" s="24" customFormat="1" ht="20.100000000000001" customHeight="1" x14ac:dyDescent="0.3">
      <c r="A114" s="43" t="s">
        <v>231</v>
      </c>
      <c r="B114" s="42"/>
      <c r="C114" s="42"/>
      <c r="D114" s="42"/>
      <c r="E114" s="33"/>
      <c r="F114" s="25"/>
      <c r="G114" s="25"/>
      <c r="H114" s="22"/>
      <c r="I114" s="22"/>
      <c r="J114" s="23"/>
      <c r="K114" s="23"/>
      <c r="L114" s="27"/>
    </row>
    <row r="115" spans="1:12" s="24" customFormat="1" ht="20.100000000000001" customHeight="1" x14ac:dyDescent="0.3">
      <c r="A115" s="44" t="s">
        <v>148</v>
      </c>
      <c r="B115" s="42">
        <v>10</v>
      </c>
      <c r="C115" s="42">
        <v>800000</v>
      </c>
      <c r="D115" s="42">
        <v>8000000</v>
      </c>
      <c r="E115" s="33">
        <v>685000</v>
      </c>
      <c r="F115" s="25"/>
      <c r="G115" s="25"/>
      <c r="H115" s="34">
        <f t="shared" ref="H115:H116" si="66">D115-(E115*B115)-G115</f>
        <v>1150000</v>
      </c>
      <c r="I115" s="34"/>
      <c r="J115" s="35">
        <f t="shared" ref="J115:J116" si="67">(H115/D115)*100</f>
        <v>14.374999999999998</v>
      </c>
      <c r="K115" s="35"/>
      <c r="L115" s="26"/>
    </row>
    <row r="116" spans="1:12" s="24" customFormat="1" ht="20.100000000000001" customHeight="1" x14ac:dyDescent="0.3">
      <c r="A116" s="44" t="s">
        <v>170</v>
      </c>
      <c r="B116" s="42">
        <v>5</v>
      </c>
      <c r="C116" s="42">
        <v>82000</v>
      </c>
      <c r="D116" s="42">
        <v>410000</v>
      </c>
      <c r="E116" s="33">
        <v>69100</v>
      </c>
      <c r="F116" s="25"/>
      <c r="G116" s="25"/>
      <c r="H116" s="34">
        <f t="shared" si="66"/>
        <v>64500</v>
      </c>
      <c r="I116" s="34"/>
      <c r="J116" s="35">
        <f t="shared" si="67"/>
        <v>15.731707317073171</v>
      </c>
      <c r="K116" s="35"/>
      <c r="L116" s="27"/>
    </row>
    <row r="117" spans="1:12" s="24" customFormat="1" ht="20.100000000000001" customHeight="1" x14ac:dyDescent="0.3">
      <c r="A117" s="43" t="s">
        <v>233</v>
      </c>
      <c r="B117" s="42"/>
      <c r="C117" s="42"/>
      <c r="D117" s="42"/>
      <c r="E117" s="33"/>
      <c r="F117" s="25"/>
      <c r="G117" s="25"/>
      <c r="H117" s="22"/>
      <c r="I117" s="22"/>
      <c r="J117" s="23"/>
      <c r="K117" s="23"/>
      <c r="L117" s="26"/>
    </row>
    <row r="118" spans="1:12" s="24" customFormat="1" ht="20.100000000000001" customHeight="1" x14ac:dyDescent="0.3">
      <c r="A118" s="44" t="s">
        <v>117</v>
      </c>
      <c r="B118" s="42">
        <v>5</v>
      </c>
      <c r="C118" s="42">
        <v>57000</v>
      </c>
      <c r="D118" s="42">
        <v>285000</v>
      </c>
      <c r="E118" s="33">
        <v>44000</v>
      </c>
      <c r="F118" s="25"/>
      <c r="G118" s="25"/>
      <c r="H118" s="34">
        <f t="shared" ref="H118:H119" si="68">D118-(E118*B118)-G118</f>
        <v>65000</v>
      </c>
      <c r="I118" s="34"/>
      <c r="J118" s="35">
        <f t="shared" ref="J118:J119" si="69">(H118/D118)*100</f>
        <v>22.807017543859647</v>
      </c>
      <c r="K118" s="35"/>
      <c r="L118" s="26"/>
    </row>
    <row r="119" spans="1:12" s="24" customFormat="1" ht="20.100000000000001" customHeight="1" x14ac:dyDescent="0.3">
      <c r="A119" s="44" t="s">
        <v>51</v>
      </c>
      <c r="B119" s="42">
        <v>7</v>
      </c>
      <c r="C119" s="42">
        <v>80000</v>
      </c>
      <c r="D119" s="42">
        <v>560000</v>
      </c>
      <c r="E119" s="33">
        <v>54300</v>
      </c>
      <c r="F119" s="25"/>
      <c r="G119" s="25"/>
      <c r="H119" s="34">
        <f t="shared" si="68"/>
        <v>179900</v>
      </c>
      <c r="I119" s="34"/>
      <c r="J119" s="35">
        <f t="shared" si="69"/>
        <v>32.125</v>
      </c>
      <c r="K119" s="35"/>
      <c r="L119" s="27"/>
    </row>
    <row r="120" spans="1:12" s="24" customFormat="1" ht="20.100000000000001" customHeight="1" x14ac:dyDescent="0.3">
      <c r="A120" s="43" t="s">
        <v>358</v>
      </c>
      <c r="B120" s="42"/>
      <c r="C120" s="42"/>
      <c r="D120" s="42"/>
      <c r="E120" s="33"/>
      <c r="F120" s="25"/>
      <c r="G120" s="25"/>
      <c r="H120" s="22"/>
      <c r="I120" s="22"/>
      <c r="J120" s="23"/>
      <c r="K120" s="23"/>
      <c r="L120" s="27"/>
    </row>
    <row r="121" spans="1:12" s="24" customFormat="1" ht="20.100000000000001" customHeight="1" x14ac:dyDescent="0.3">
      <c r="A121" s="44" t="s">
        <v>359</v>
      </c>
      <c r="B121" s="42">
        <v>7</v>
      </c>
      <c r="C121" s="42">
        <v>843000</v>
      </c>
      <c r="D121" s="42">
        <v>5901000</v>
      </c>
      <c r="E121" s="33">
        <v>781000</v>
      </c>
      <c r="F121" s="25"/>
      <c r="G121" s="25"/>
      <c r="H121" s="34">
        <f t="shared" ref="H121" si="70">D121-(E121*B121)-G121</f>
        <v>434000</v>
      </c>
      <c r="I121" s="34"/>
      <c r="J121" s="35">
        <f t="shared" ref="J121" si="71">(H121/D121)*100</f>
        <v>7.3546856465005934</v>
      </c>
      <c r="K121" s="35"/>
      <c r="L121" s="27"/>
    </row>
    <row r="122" spans="1:12" s="24" customFormat="1" ht="20.100000000000001" customHeight="1" x14ac:dyDescent="0.3">
      <c r="A122" s="43" t="s">
        <v>329</v>
      </c>
      <c r="B122" s="42"/>
      <c r="C122" s="42"/>
      <c r="D122" s="42"/>
      <c r="E122" s="33"/>
      <c r="F122" s="25"/>
      <c r="G122" s="25"/>
      <c r="H122" s="22"/>
      <c r="I122" s="22"/>
      <c r="J122" s="23"/>
      <c r="K122" s="23"/>
      <c r="L122" s="26"/>
    </row>
    <row r="123" spans="1:12" s="24" customFormat="1" ht="20.100000000000001" customHeight="1" x14ac:dyDescent="0.3">
      <c r="A123" s="44" t="s">
        <v>230</v>
      </c>
      <c r="B123" s="42">
        <v>10</v>
      </c>
      <c r="C123" s="42">
        <v>95000</v>
      </c>
      <c r="D123" s="42">
        <v>950000</v>
      </c>
      <c r="E123" s="33">
        <v>71700</v>
      </c>
      <c r="F123" s="25"/>
      <c r="G123" s="25"/>
      <c r="H123" s="34">
        <f t="shared" ref="H123:H124" si="72">D123-(E123*B123)-G123</f>
        <v>233000</v>
      </c>
      <c r="I123" s="34"/>
      <c r="J123" s="35">
        <f t="shared" ref="J123:J124" si="73">(H123/D123)*100</f>
        <v>24.526315789473685</v>
      </c>
      <c r="K123" s="35"/>
      <c r="L123" s="26"/>
    </row>
    <row r="124" spans="1:12" s="24" customFormat="1" ht="20.100000000000001" customHeight="1" x14ac:dyDescent="0.3">
      <c r="A124" s="44" t="s">
        <v>241</v>
      </c>
      <c r="B124" s="42">
        <v>1</v>
      </c>
      <c r="C124" s="42">
        <v>95000</v>
      </c>
      <c r="D124" s="42">
        <v>95000</v>
      </c>
      <c r="E124" s="33">
        <v>69800</v>
      </c>
      <c r="F124" s="25"/>
      <c r="G124" s="25"/>
      <c r="H124" s="34">
        <f t="shared" si="72"/>
        <v>25200</v>
      </c>
      <c r="I124" s="34"/>
      <c r="J124" s="35">
        <f t="shared" si="73"/>
        <v>26.526315789473685</v>
      </c>
      <c r="K124" s="35"/>
      <c r="L124" s="27"/>
    </row>
    <row r="125" spans="1:12" s="24" customFormat="1" ht="19.5" customHeight="1" x14ac:dyDescent="0.3">
      <c r="A125" s="43" t="s">
        <v>360</v>
      </c>
      <c r="B125" s="42"/>
      <c r="C125" s="42"/>
      <c r="D125" s="42"/>
      <c r="E125" s="33"/>
      <c r="F125" s="25"/>
      <c r="G125" s="25"/>
      <c r="H125" s="22"/>
      <c r="I125" s="22"/>
      <c r="J125" s="23"/>
      <c r="K125" s="23"/>
      <c r="L125" s="26"/>
    </row>
    <row r="126" spans="1:12" s="24" customFormat="1" ht="20.100000000000001" customHeight="1" x14ac:dyDescent="0.3">
      <c r="A126" s="44" t="s">
        <v>472</v>
      </c>
      <c r="B126" s="42">
        <v>80</v>
      </c>
      <c r="C126" s="42">
        <v>456000</v>
      </c>
      <c r="D126" s="42">
        <v>36480000</v>
      </c>
      <c r="E126" s="33">
        <v>380000</v>
      </c>
      <c r="F126" s="25"/>
      <c r="G126" s="25">
        <v>140000</v>
      </c>
      <c r="H126" s="34">
        <f t="shared" ref="H126" si="74">D126-(E126*B126)-G126</f>
        <v>5940000</v>
      </c>
      <c r="I126" s="34"/>
      <c r="J126" s="35">
        <f t="shared" ref="J126" si="75">(H126/D126)*100</f>
        <v>16.282894736842106</v>
      </c>
      <c r="K126" s="35"/>
      <c r="L126" s="26"/>
    </row>
    <row r="127" spans="1:12" s="24" customFormat="1" ht="20.100000000000001" customHeight="1" x14ac:dyDescent="0.3">
      <c r="A127" s="43" t="s">
        <v>361</v>
      </c>
      <c r="B127" s="42"/>
      <c r="C127" s="42"/>
      <c r="D127" s="42"/>
      <c r="E127" s="33"/>
      <c r="F127" s="25"/>
      <c r="G127" s="25"/>
      <c r="H127" s="22"/>
      <c r="I127" s="22"/>
      <c r="J127" s="23"/>
      <c r="K127" s="23"/>
      <c r="L127" s="27"/>
    </row>
    <row r="128" spans="1:12" s="24" customFormat="1" ht="20.100000000000001" customHeight="1" x14ac:dyDescent="0.3">
      <c r="A128" s="44" t="s">
        <v>362</v>
      </c>
      <c r="B128" s="42">
        <v>5</v>
      </c>
      <c r="C128" s="42">
        <v>450000</v>
      </c>
      <c r="D128" s="42">
        <v>2250000</v>
      </c>
      <c r="E128" s="33">
        <v>370000</v>
      </c>
      <c r="F128" s="25"/>
      <c r="G128" s="25"/>
      <c r="H128" s="34">
        <f t="shared" ref="H128" si="76">D128-(E128*B128)-G128</f>
        <v>400000</v>
      </c>
      <c r="I128" s="34"/>
      <c r="J128" s="35">
        <f t="shared" ref="J128" si="77">(H128/D128)*100</f>
        <v>17.777777777777779</v>
      </c>
      <c r="K128" s="35"/>
      <c r="L128" s="26"/>
    </row>
    <row r="129" spans="1:12" s="24" customFormat="1" ht="20.100000000000001" customHeight="1" x14ac:dyDescent="0.3">
      <c r="A129" s="43" t="s">
        <v>363</v>
      </c>
      <c r="B129" s="42"/>
      <c r="C129" s="42"/>
      <c r="D129" s="42"/>
      <c r="E129" s="33"/>
      <c r="F129" s="25"/>
      <c r="G129" s="25"/>
      <c r="H129" s="22"/>
      <c r="I129" s="22"/>
      <c r="J129" s="23"/>
      <c r="K129" s="23"/>
      <c r="L129" s="27"/>
    </row>
    <row r="130" spans="1:12" s="24" customFormat="1" ht="20.100000000000001" customHeight="1" x14ac:dyDescent="0.3">
      <c r="A130" s="44" t="s">
        <v>331</v>
      </c>
      <c r="B130" s="42">
        <v>6</v>
      </c>
      <c r="C130" s="42">
        <v>630000</v>
      </c>
      <c r="D130" s="42">
        <v>3780000</v>
      </c>
      <c r="E130" s="33">
        <v>524000</v>
      </c>
      <c r="F130" s="25"/>
      <c r="G130" s="25"/>
      <c r="H130" s="34">
        <f t="shared" ref="H130" si="78">D130-(E130*B130)-G130</f>
        <v>636000</v>
      </c>
      <c r="I130" s="34"/>
      <c r="J130" s="35">
        <f t="shared" ref="J130" si="79">(H130/D130)*100</f>
        <v>16.825396825396826</v>
      </c>
      <c r="K130" s="35"/>
      <c r="L130" s="27"/>
    </row>
    <row r="131" spans="1:12" s="24" customFormat="1" ht="20.100000000000001" customHeight="1" x14ac:dyDescent="0.3">
      <c r="A131" s="43" t="s">
        <v>330</v>
      </c>
      <c r="B131" s="42"/>
      <c r="C131" s="42"/>
      <c r="D131" s="42"/>
      <c r="E131" s="33"/>
      <c r="F131" s="25"/>
      <c r="G131" s="25"/>
      <c r="H131" s="22"/>
      <c r="I131" s="22"/>
      <c r="J131" s="23"/>
      <c r="K131" s="23"/>
      <c r="L131" s="26"/>
    </row>
    <row r="132" spans="1:12" s="24" customFormat="1" ht="20.100000000000001" customHeight="1" x14ac:dyDescent="0.3">
      <c r="A132" s="44" t="s">
        <v>55</v>
      </c>
      <c r="B132" s="42">
        <v>5</v>
      </c>
      <c r="C132" s="42">
        <v>88000</v>
      </c>
      <c r="D132" s="42">
        <v>440000</v>
      </c>
      <c r="E132" s="33">
        <v>66400</v>
      </c>
      <c r="F132" s="25"/>
      <c r="G132" s="25"/>
      <c r="H132" s="34">
        <f t="shared" ref="H132:H133" si="80">D132-(E132*B132)-G132</f>
        <v>108000</v>
      </c>
      <c r="I132" s="34"/>
      <c r="J132" s="35">
        <f t="shared" ref="J132:J133" si="81">(H132/D132)*100</f>
        <v>24.545454545454547</v>
      </c>
      <c r="K132" s="35"/>
      <c r="L132" s="26"/>
    </row>
    <row r="133" spans="1:12" s="24" customFormat="1" ht="20.100000000000001" customHeight="1" x14ac:dyDescent="0.3">
      <c r="A133" s="44" t="s">
        <v>460</v>
      </c>
      <c r="B133" s="42">
        <v>7</v>
      </c>
      <c r="C133" s="42">
        <v>105000</v>
      </c>
      <c r="D133" s="42">
        <v>735000</v>
      </c>
      <c r="E133" s="33">
        <v>63400</v>
      </c>
      <c r="F133" s="25"/>
      <c r="G133" s="25"/>
      <c r="H133" s="34">
        <f t="shared" si="80"/>
        <v>291200</v>
      </c>
      <c r="I133" s="34"/>
      <c r="J133" s="35">
        <f t="shared" si="81"/>
        <v>39.61904761904762</v>
      </c>
      <c r="K133" s="35"/>
      <c r="L133" s="27"/>
    </row>
    <row r="134" spans="1:12" s="24" customFormat="1" ht="20.100000000000001" customHeight="1" x14ac:dyDescent="0.3">
      <c r="A134" s="43" t="s">
        <v>332</v>
      </c>
      <c r="B134" s="42"/>
      <c r="C134" s="42"/>
      <c r="D134" s="42"/>
      <c r="E134" s="33"/>
      <c r="F134" s="25"/>
      <c r="G134" s="25"/>
      <c r="H134" s="22"/>
      <c r="I134" s="22"/>
      <c r="J134" s="23"/>
      <c r="K134" s="23"/>
      <c r="L134" s="26"/>
    </row>
    <row r="135" spans="1:12" s="24" customFormat="1" ht="20.100000000000001" customHeight="1" x14ac:dyDescent="0.3">
      <c r="A135" s="44" t="s">
        <v>107</v>
      </c>
      <c r="B135" s="42">
        <v>1</v>
      </c>
      <c r="C135" s="42">
        <v>353300</v>
      </c>
      <c r="D135" s="42">
        <v>353300</v>
      </c>
      <c r="E135" s="33">
        <v>287000</v>
      </c>
      <c r="F135" s="25"/>
      <c r="G135" s="25"/>
      <c r="H135" s="34">
        <f t="shared" ref="H135" si="82">D135-(E135*B135)-G135</f>
        <v>66300</v>
      </c>
      <c r="I135" s="34"/>
      <c r="J135" s="35">
        <f t="shared" ref="J135" si="83">(H135/D135)*100</f>
        <v>18.765921313331447</v>
      </c>
      <c r="K135" s="35"/>
      <c r="L135" s="27"/>
    </row>
    <row r="136" spans="1:12" s="24" customFormat="1" ht="20.100000000000001" customHeight="1" x14ac:dyDescent="0.3">
      <c r="A136" s="43" t="s">
        <v>295</v>
      </c>
      <c r="B136" s="42"/>
      <c r="C136" s="42"/>
      <c r="D136" s="42"/>
      <c r="E136" s="33"/>
      <c r="F136" s="25"/>
      <c r="G136" s="25"/>
      <c r="H136" s="22"/>
      <c r="I136" s="22"/>
      <c r="J136" s="23"/>
      <c r="K136" s="23"/>
      <c r="L136" s="27"/>
    </row>
    <row r="137" spans="1:12" s="24" customFormat="1" ht="20.100000000000001" customHeight="1" x14ac:dyDescent="0.3">
      <c r="A137" s="44" t="s">
        <v>364</v>
      </c>
      <c r="B137" s="42">
        <v>1</v>
      </c>
      <c r="C137" s="42">
        <v>380000</v>
      </c>
      <c r="D137" s="42">
        <v>380000</v>
      </c>
      <c r="E137" s="33">
        <v>282000</v>
      </c>
      <c r="F137" s="25"/>
      <c r="G137" s="25"/>
      <c r="H137" s="34">
        <f t="shared" ref="H137" si="84">D137-(E137*B137)-G137</f>
        <v>98000</v>
      </c>
      <c r="I137" s="34"/>
      <c r="J137" s="35">
        <f t="shared" ref="J137" si="85">(H137/D137)*100</f>
        <v>25.789473684210527</v>
      </c>
      <c r="K137" s="35"/>
      <c r="L137" s="26"/>
    </row>
    <row r="138" spans="1:12" s="24" customFormat="1" ht="20.100000000000001" customHeight="1" x14ac:dyDescent="0.3">
      <c r="A138" s="43" t="s">
        <v>105</v>
      </c>
      <c r="B138" s="42"/>
      <c r="C138" s="42"/>
      <c r="D138" s="42"/>
      <c r="E138" s="33"/>
      <c r="F138" s="25"/>
      <c r="G138" s="25"/>
      <c r="H138" s="22"/>
      <c r="I138" s="22"/>
      <c r="J138" s="23"/>
      <c r="K138" s="23"/>
      <c r="L138" s="26"/>
    </row>
    <row r="139" spans="1:12" s="24" customFormat="1" ht="20.100000000000001" customHeight="1" x14ac:dyDescent="0.3">
      <c r="A139" s="56" t="s">
        <v>529</v>
      </c>
      <c r="B139" s="57">
        <v>3</v>
      </c>
      <c r="C139" s="57">
        <v>499000</v>
      </c>
      <c r="D139" s="57">
        <v>1497000</v>
      </c>
      <c r="E139" s="36">
        <v>508000</v>
      </c>
      <c r="F139" s="37"/>
      <c r="G139" s="37"/>
      <c r="H139" s="38">
        <f t="shared" ref="H139:H140" si="86">D139-(E139*B139)-G139</f>
        <v>-27000</v>
      </c>
      <c r="I139" s="38"/>
      <c r="J139" s="39">
        <f t="shared" ref="J139:J140" si="87">(H139/D139)*100</f>
        <v>-1.8036072144288577</v>
      </c>
      <c r="K139" s="39"/>
      <c r="L139" s="40" t="s">
        <v>533</v>
      </c>
    </row>
    <row r="140" spans="1:12" s="24" customFormat="1" ht="20.100000000000001" customHeight="1" x14ac:dyDescent="0.3">
      <c r="A140" s="44" t="s">
        <v>477</v>
      </c>
      <c r="B140" s="42">
        <v>28</v>
      </c>
      <c r="C140" s="42">
        <v>60280</v>
      </c>
      <c r="D140" s="42">
        <v>1687840</v>
      </c>
      <c r="E140" s="33">
        <v>46600</v>
      </c>
      <c r="F140" s="25"/>
      <c r="G140" s="25"/>
      <c r="H140" s="34">
        <f t="shared" si="86"/>
        <v>383040</v>
      </c>
      <c r="I140" s="34"/>
      <c r="J140" s="35">
        <f t="shared" si="87"/>
        <v>22.69409422694094</v>
      </c>
      <c r="K140" s="35"/>
      <c r="L140" s="26"/>
    </row>
    <row r="141" spans="1:12" s="24" customFormat="1" ht="20.100000000000001" customHeight="1" x14ac:dyDescent="0.3">
      <c r="A141" s="44" t="s">
        <v>530</v>
      </c>
      <c r="B141" s="42">
        <v>2</v>
      </c>
      <c r="C141" s="42">
        <v>732000</v>
      </c>
      <c r="D141" s="42">
        <v>1464000</v>
      </c>
      <c r="E141" s="33"/>
      <c r="F141" s="25">
        <v>490000</v>
      </c>
      <c r="G141" s="25"/>
      <c r="H141" s="22"/>
      <c r="I141" s="34">
        <f t="shared" ref="I141" si="88">D141-(F141*B141)-G141</f>
        <v>484000</v>
      </c>
      <c r="J141" s="35"/>
      <c r="K141" s="35">
        <f t="shared" ref="K141" si="89">(I141/D141)*100</f>
        <v>33.060109289617486</v>
      </c>
      <c r="L141" s="26"/>
    </row>
    <row r="142" spans="1:12" s="24" customFormat="1" ht="20.100000000000001" customHeight="1" x14ac:dyDescent="0.3">
      <c r="A142" s="43" t="s">
        <v>164</v>
      </c>
      <c r="B142" s="42"/>
      <c r="C142" s="42"/>
      <c r="D142" s="42"/>
      <c r="E142" s="33"/>
      <c r="F142" s="25"/>
      <c r="G142" s="25"/>
      <c r="H142" s="22"/>
      <c r="I142" s="22"/>
      <c r="J142" s="23"/>
      <c r="K142" s="23"/>
      <c r="L142" s="27"/>
    </row>
    <row r="143" spans="1:12" s="24" customFormat="1" ht="20.100000000000001" customHeight="1" x14ac:dyDescent="0.3">
      <c r="A143" s="44" t="s">
        <v>473</v>
      </c>
      <c r="B143" s="42">
        <v>8000</v>
      </c>
      <c r="C143" s="42">
        <v>2539</v>
      </c>
      <c r="D143" s="42">
        <v>20312000</v>
      </c>
      <c r="E143" s="33">
        <v>2420</v>
      </c>
      <c r="F143" s="25"/>
      <c r="G143" s="25"/>
      <c r="H143" s="34">
        <f t="shared" ref="H143:H144" si="90">D143-(E143*B143)-G143</f>
        <v>952000</v>
      </c>
      <c r="I143" s="34"/>
      <c r="J143" s="35">
        <f t="shared" ref="J143:J144" si="91">(H143/D143)*100</f>
        <v>4.686884600236314</v>
      </c>
      <c r="K143" s="35"/>
      <c r="L143" s="26"/>
    </row>
    <row r="144" spans="1:12" s="24" customFormat="1" ht="20.100000000000001" customHeight="1" x14ac:dyDescent="0.3">
      <c r="A144" s="56" t="s">
        <v>531</v>
      </c>
      <c r="B144" s="57">
        <v>45</v>
      </c>
      <c r="C144" s="57">
        <v>68385</v>
      </c>
      <c r="D144" s="57">
        <v>3077325</v>
      </c>
      <c r="E144" s="36">
        <v>81000</v>
      </c>
      <c r="F144" s="37"/>
      <c r="G144" s="37"/>
      <c r="H144" s="38">
        <f t="shared" si="90"/>
        <v>-567675</v>
      </c>
      <c r="I144" s="38"/>
      <c r="J144" s="39">
        <f t="shared" si="91"/>
        <v>-18.447027856986182</v>
      </c>
      <c r="K144" s="39"/>
      <c r="L144" s="40" t="s">
        <v>532</v>
      </c>
    </row>
    <row r="145" spans="1:12" s="24" customFormat="1" ht="20.100000000000001" customHeight="1" x14ac:dyDescent="0.3">
      <c r="A145" s="43" t="s">
        <v>296</v>
      </c>
      <c r="B145" s="42"/>
      <c r="C145" s="42"/>
      <c r="D145" s="42"/>
      <c r="E145" s="33"/>
      <c r="F145" s="25"/>
      <c r="G145" s="25"/>
      <c r="H145" s="22"/>
      <c r="I145" s="22"/>
      <c r="J145" s="23"/>
      <c r="K145" s="23"/>
      <c r="L145" s="26"/>
    </row>
    <row r="146" spans="1:12" s="24" customFormat="1" ht="20.100000000000001" customHeight="1" x14ac:dyDescent="0.3">
      <c r="A146" s="44" t="s">
        <v>474</v>
      </c>
      <c r="B146" s="42">
        <v>1</v>
      </c>
      <c r="C146" s="42">
        <v>3102000</v>
      </c>
      <c r="D146" s="42">
        <v>3102000</v>
      </c>
      <c r="E146" s="33">
        <v>2212000</v>
      </c>
      <c r="F146" s="25"/>
      <c r="G146" s="25"/>
      <c r="H146" s="34">
        <f t="shared" ref="H146:H149" si="92">D146-(E146*B146)-G146</f>
        <v>890000</v>
      </c>
      <c r="I146" s="34"/>
      <c r="J146" s="35">
        <f t="shared" ref="J146:J149" si="93">(H146/D146)*100</f>
        <v>28.691166989039331</v>
      </c>
      <c r="K146" s="35"/>
      <c r="L146" s="26" t="s">
        <v>475</v>
      </c>
    </row>
    <row r="147" spans="1:12" s="24" customFormat="1" ht="20.100000000000001" customHeight="1" x14ac:dyDescent="0.3">
      <c r="A147" s="44" t="s">
        <v>50</v>
      </c>
      <c r="B147" s="42">
        <v>2</v>
      </c>
      <c r="C147" s="42">
        <v>54000</v>
      </c>
      <c r="D147" s="42">
        <v>108000</v>
      </c>
      <c r="E147" s="33">
        <v>53900</v>
      </c>
      <c r="F147" s="25"/>
      <c r="G147" s="25"/>
      <c r="H147" s="34">
        <f t="shared" si="92"/>
        <v>200</v>
      </c>
      <c r="I147" s="34"/>
      <c r="J147" s="35">
        <f t="shared" si="93"/>
        <v>0.1851851851851852</v>
      </c>
      <c r="K147" s="35"/>
      <c r="L147" s="26"/>
    </row>
    <row r="148" spans="1:12" s="24" customFormat="1" ht="20.100000000000001" customHeight="1" x14ac:dyDescent="0.3">
      <c r="A148" s="44" t="s">
        <v>55</v>
      </c>
      <c r="B148" s="42">
        <v>2</v>
      </c>
      <c r="C148" s="42">
        <v>77160</v>
      </c>
      <c r="D148" s="42">
        <v>154320</v>
      </c>
      <c r="E148" s="33">
        <v>66400</v>
      </c>
      <c r="F148" s="25"/>
      <c r="G148" s="25"/>
      <c r="H148" s="34">
        <f t="shared" si="92"/>
        <v>21520</v>
      </c>
      <c r="I148" s="34"/>
      <c r="J148" s="35">
        <f t="shared" si="93"/>
        <v>13.94504924831519</v>
      </c>
      <c r="K148" s="35"/>
      <c r="L148" s="26"/>
    </row>
    <row r="149" spans="1:12" s="24" customFormat="1" ht="20.100000000000001" customHeight="1" x14ac:dyDescent="0.3">
      <c r="A149" s="44" t="s">
        <v>234</v>
      </c>
      <c r="B149" s="42">
        <v>1</v>
      </c>
      <c r="C149" s="42">
        <v>771600</v>
      </c>
      <c r="D149" s="42">
        <v>771600</v>
      </c>
      <c r="E149" s="33">
        <v>670000</v>
      </c>
      <c r="F149" s="25"/>
      <c r="G149" s="25"/>
      <c r="H149" s="34">
        <f t="shared" si="92"/>
        <v>101600</v>
      </c>
      <c r="I149" s="34"/>
      <c r="J149" s="35">
        <f t="shared" si="93"/>
        <v>13.167444271643339</v>
      </c>
      <c r="K149" s="35"/>
      <c r="L149" s="26"/>
    </row>
    <row r="150" spans="1:12" s="24" customFormat="1" ht="20.100000000000001" customHeight="1" x14ac:dyDescent="0.3">
      <c r="A150" s="47" t="s">
        <v>0</v>
      </c>
      <c r="B150" s="42"/>
      <c r="C150" s="42"/>
      <c r="D150" s="42"/>
      <c r="E150" s="33"/>
      <c r="F150" s="25"/>
      <c r="G150" s="25"/>
      <c r="H150" s="22"/>
      <c r="I150" s="22"/>
      <c r="J150" s="23"/>
      <c r="K150" s="23"/>
      <c r="L150" s="26"/>
    </row>
    <row r="151" spans="1:12" s="24" customFormat="1" ht="20.100000000000001" customHeight="1" x14ac:dyDescent="0.3">
      <c r="A151" s="43" t="s">
        <v>166</v>
      </c>
      <c r="B151" s="42"/>
      <c r="C151" s="42"/>
      <c r="D151" s="42"/>
      <c r="E151" s="33"/>
      <c r="F151" s="25"/>
      <c r="G151" s="25"/>
      <c r="H151" s="22"/>
      <c r="I151" s="22"/>
      <c r="J151" s="23"/>
      <c r="K151" s="23"/>
      <c r="L151" s="26"/>
    </row>
    <row r="152" spans="1:12" s="24" customFormat="1" ht="20.100000000000001" customHeight="1" x14ac:dyDescent="0.3">
      <c r="A152" s="44" t="s">
        <v>225</v>
      </c>
      <c r="B152" s="42">
        <v>2</v>
      </c>
      <c r="C152" s="42">
        <v>63000</v>
      </c>
      <c r="D152" s="42">
        <v>126000</v>
      </c>
      <c r="E152" s="33">
        <v>56300</v>
      </c>
      <c r="F152" s="25"/>
      <c r="G152" s="25"/>
      <c r="H152" s="34">
        <f t="shared" ref="H152:H155" si="94">D152-(E152*B152)-G152</f>
        <v>13400</v>
      </c>
      <c r="I152" s="34"/>
      <c r="J152" s="35">
        <f t="shared" ref="J152:J155" si="95">(H152/D152)*100</f>
        <v>10.634920634920634</v>
      </c>
      <c r="K152" s="35"/>
      <c r="L152" s="27"/>
    </row>
    <row r="153" spans="1:12" s="24" customFormat="1" ht="20.100000000000001" customHeight="1" x14ac:dyDescent="0.3">
      <c r="A153" s="44" t="s">
        <v>50</v>
      </c>
      <c r="B153" s="42">
        <v>10</v>
      </c>
      <c r="C153" s="42">
        <v>61000</v>
      </c>
      <c r="D153" s="42">
        <v>610000</v>
      </c>
      <c r="E153" s="33">
        <v>53900</v>
      </c>
      <c r="F153" s="25"/>
      <c r="G153" s="25"/>
      <c r="H153" s="34">
        <f t="shared" si="94"/>
        <v>71000</v>
      </c>
      <c r="I153" s="34"/>
      <c r="J153" s="35">
        <f t="shared" si="95"/>
        <v>11.639344262295081</v>
      </c>
      <c r="K153" s="35"/>
      <c r="L153" s="26"/>
    </row>
    <row r="154" spans="1:12" s="24" customFormat="1" ht="20.100000000000001" customHeight="1" x14ac:dyDescent="0.3">
      <c r="A154" s="44" t="s">
        <v>20</v>
      </c>
      <c r="B154" s="42">
        <v>5</v>
      </c>
      <c r="C154" s="42">
        <v>56000</v>
      </c>
      <c r="D154" s="42">
        <v>280000</v>
      </c>
      <c r="E154" s="33">
        <v>46600</v>
      </c>
      <c r="F154" s="25"/>
      <c r="G154" s="25"/>
      <c r="H154" s="34">
        <f t="shared" si="94"/>
        <v>47000</v>
      </c>
      <c r="I154" s="34"/>
      <c r="J154" s="35">
        <f t="shared" si="95"/>
        <v>16.785714285714285</v>
      </c>
      <c r="K154" s="35"/>
      <c r="L154" s="26"/>
    </row>
    <row r="155" spans="1:12" s="24" customFormat="1" ht="20.100000000000001" customHeight="1" x14ac:dyDescent="0.3">
      <c r="A155" s="44" t="s">
        <v>46</v>
      </c>
      <c r="B155" s="42">
        <v>10</v>
      </c>
      <c r="C155" s="42">
        <v>98000</v>
      </c>
      <c r="D155" s="42">
        <v>980000</v>
      </c>
      <c r="E155" s="33">
        <v>63400</v>
      </c>
      <c r="F155" s="25"/>
      <c r="G155" s="25"/>
      <c r="H155" s="34">
        <f t="shared" si="94"/>
        <v>346000</v>
      </c>
      <c r="I155" s="34"/>
      <c r="J155" s="35">
        <f t="shared" si="95"/>
        <v>35.306122448979593</v>
      </c>
      <c r="K155" s="35"/>
      <c r="L155" s="26"/>
    </row>
    <row r="156" spans="1:12" s="24" customFormat="1" ht="20.100000000000001" customHeight="1" x14ac:dyDescent="0.3">
      <c r="A156" s="43" t="s">
        <v>168</v>
      </c>
      <c r="B156" s="42"/>
      <c r="C156" s="42"/>
      <c r="D156" s="42"/>
      <c r="E156" s="33"/>
      <c r="F156" s="25"/>
      <c r="G156" s="25"/>
      <c r="H156" s="22"/>
      <c r="I156" s="22"/>
      <c r="J156" s="23"/>
      <c r="K156" s="23"/>
      <c r="L156" s="27"/>
    </row>
    <row r="157" spans="1:12" s="24" customFormat="1" ht="20.100000000000001" customHeight="1" x14ac:dyDescent="0.3">
      <c r="A157" s="44" t="s">
        <v>225</v>
      </c>
      <c r="B157" s="42">
        <v>10</v>
      </c>
      <c r="C157" s="42">
        <v>57500</v>
      </c>
      <c r="D157" s="42">
        <v>575000</v>
      </c>
      <c r="E157" s="33">
        <v>56300</v>
      </c>
      <c r="F157" s="25"/>
      <c r="G157" s="25"/>
      <c r="H157" s="34">
        <f t="shared" ref="H157:H162" si="96">D157-(E157*B157)-G157</f>
        <v>12000</v>
      </c>
      <c r="I157" s="34"/>
      <c r="J157" s="35">
        <f t="shared" ref="J157:J162" si="97">(H157/D157)*100</f>
        <v>2.0869565217391308</v>
      </c>
      <c r="K157" s="35"/>
      <c r="L157" s="26"/>
    </row>
    <row r="158" spans="1:12" s="24" customFormat="1" ht="20.100000000000001" customHeight="1" x14ac:dyDescent="0.3">
      <c r="A158" s="44" t="s">
        <v>173</v>
      </c>
      <c r="B158" s="42">
        <v>2</v>
      </c>
      <c r="C158" s="42">
        <v>501900</v>
      </c>
      <c r="D158" s="42">
        <v>1003800</v>
      </c>
      <c r="E158" s="33">
        <v>492000</v>
      </c>
      <c r="F158" s="25"/>
      <c r="G158" s="25"/>
      <c r="H158" s="34">
        <f t="shared" si="96"/>
        <v>19800</v>
      </c>
      <c r="I158" s="34"/>
      <c r="J158" s="35">
        <f t="shared" si="97"/>
        <v>1.972504482964734</v>
      </c>
      <c r="K158" s="35"/>
      <c r="L158" s="26"/>
    </row>
    <row r="159" spans="1:12" s="24" customFormat="1" ht="20.100000000000001" customHeight="1" x14ac:dyDescent="0.3">
      <c r="A159" s="44" t="s">
        <v>181</v>
      </c>
      <c r="B159" s="42">
        <v>3</v>
      </c>
      <c r="C159" s="42">
        <v>501900</v>
      </c>
      <c r="D159" s="42">
        <v>1505700</v>
      </c>
      <c r="E159" s="33">
        <v>492000</v>
      </c>
      <c r="F159" s="25"/>
      <c r="G159" s="25"/>
      <c r="H159" s="34">
        <f t="shared" si="96"/>
        <v>29700</v>
      </c>
      <c r="I159" s="34"/>
      <c r="J159" s="35">
        <f t="shared" si="97"/>
        <v>1.972504482964734</v>
      </c>
      <c r="K159" s="35"/>
      <c r="L159" s="27"/>
    </row>
    <row r="160" spans="1:12" s="24" customFormat="1" ht="20.100000000000001" customHeight="1" x14ac:dyDescent="0.3">
      <c r="A160" s="44" t="s">
        <v>44</v>
      </c>
      <c r="B160" s="42">
        <v>25</v>
      </c>
      <c r="C160" s="42">
        <v>85300</v>
      </c>
      <c r="D160" s="42">
        <v>2132500</v>
      </c>
      <c r="E160" s="33">
        <v>83600</v>
      </c>
      <c r="F160" s="25"/>
      <c r="G160" s="25"/>
      <c r="H160" s="34">
        <f t="shared" si="96"/>
        <v>42500</v>
      </c>
      <c r="I160" s="34"/>
      <c r="J160" s="35">
        <f t="shared" si="97"/>
        <v>1.992966002344666</v>
      </c>
      <c r="K160" s="35"/>
      <c r="L160" s="27"/>
    </row>
    <row r="161" spans="1:12" s="24" customFormat="1" ht="19.5" customHeight="1" x14ac:dyDescent="0.3">
      <c r="A161" s="44" t="s">
        <v>534</v>
      </c>
      <c r="B161" s="42">
        <v>2</v>
      </c>
      <c r="C161" s="42">
        <v>707500</v>
      </c>
      <c r="D161" s="42">
        <v>1415000</v>
      </c>
      <c r="E161" s="33"/>
      <c r="F161" s="25">
        <v>631000</v>
      </c>
      <c r="G161" s="25"/>
      <c r="H161" s="22"/>
      <c r="I161" s="34">
        <f t="shared" ref="I161" si="98">D161-(F161*B161)-G161</f>
        <v>153000</v>
      </c>
      <c r="J161" s="35"/>
      <c r="K161" s="35">
        <f t="shared" ref="K161" si="99">(I161/D161)*100</f>
        <v>10.812720848056538</v>
      </c>
      <c r="L161" s="26"/>
    </row>
    <row r="162" spans="1:12" s="24" customFormat="1" ht="20.100000000000001" customHeight="1" x14ac:dyDescent="0.3">
      <c r="A162" s="44" t="s">
        <v>177</v>
      </c>
      <c r="B162" s="42">
        <v>1</v>
      </c>
      <c r="C162" s="42">
        <v>104200</v>
      </c>
      <c r="D162" s="42">
        <v>104200</v>
      </c>
      <c r="E162" s="33">
        <v>62700</v>
      </c>
      <c r="F162" s="25"/>
      <c r="G162" s="25"/>
      <c r="H162" s="34">
        <f t="shared" si="96"/>
        <v>41500</v>
      </c>
      <c r="I162" s="34"/>
      <c r="J162" s="35">
        <f t="shared" si="97"/>
        <v>39.827255278310943</v>
      </c>
      <c r="K162" s="35"/>
      <c r="L162" s="26"/>
    </row>
    <row r="163" spans="1:12" s="24" customFormat="1" ht="20.100000000000001" customHeight="1" x14ac:dyDescent="0.3">
      <c r="A163" s="43" t="s">
        <v>365</v>
      </c>
      <c r="B163" s="42"/>
      <c r="C163" s="42"/>
      <c r="D163" s="42"/>
      <c r="E163" s="33"/>
      <c r="F163" s="25"/>
      <c r="G163" s="25"/>
      <c r="H163" s="22"/>
      <c r="I163" s="22"/>
      <c r="J163" s="23"/>
      <c r="K163" s="23"/>
      <c r="L163" s="26"/>
    </row>
    <row r="164" spans="1:12" s="24" customFormat="1" ht="20.100000000000001" customHeight="1" x14ac:dyDescent="0.3">
      <c r="A164" s="44" t="s">
        <v>51</v>
      </c>
      <c r="B164" s="42">
        <v>20</v>
      </c>
      <c r="C164" s="42">
        <v>62700</v>
      </c>
      <c r="D164" s="42">
        <v>1254000</v>
      </c>
      <c r="E164" s="33">
        <v>54300</v>
      </c>
      <c r="F164" s="25"/>
      <c r="G164" s="25"/>
      <c r="H164" s="34">
        <f t="shared" ref="H164:H165" si="100">D164-(E164*B164)-G164</f>
        <v>168000</v>
      </c>
      <c r="I164" s="34"/>
      <c r="J164" s="35">
        <f t="shared" ref="J164:J165" si="101">(H164/D164)*100</f>
        <v>13.397129186602871</v>
      </c>
      <c r="K164" s="35"/>
      <c r="L164" s="27"/>
    </row>
    <row r="165" spans="1:12" s="24" customFormat="1" ht="20.100000000000001" customHeight="1" x14ac:dyDescent="0.3">
      <c r="A165" s="44" t="s">
        <v>24</v>
      </c>
      <c r="B165" s="42">
        <v>1</v>
      </c>
      <c r="C165" s="42">
        <v>586700</v>
      </c>
      <c r="D165" s="42">
        <v>586700</v>
      </c>
      <c r="E165" s="33">
        <v>508000</v>
      </c>
      <c r="F165" s="25"/>
      <c r="G165" s="25"/>
      <c r="H165" s="34">
        <f t="shared" si="100"/>
        <v>78700</v>
      </c>
      <c r="I165" s="34"/>
      <c r="J165" s="35">
        <f t="shared" si="101"/>
        <v>13.414010567581389</v>
      </c>
      <c r="K165" s="35"/>
      <c r="L165" s="26"/>
    </row>
    <row r="166" spans="1:12" s="24" customFormat="1" ht="20.100000000000001" customHeight="1" x14ac:dyDescent="0.3">
      <c r="A166" s="43" t="s">
        <v>298</v>
      </c>
      <c r="B166" s="42"/>
      <c r="C166" s="42"/>
      <c r="D166" s="42"/>
      <c r="E166" s="33"/>
      <c r="F166" s="25"/>
      <c r="G166" s="25"/>
      <c r="H166" s="22"/>
      <c r="I166" s="22"/>
      <c r="J166" s="23"/>
      <c r="K166" s="23"/>
      <c r="L166" s="26"/>
    </row>
    <row r="167" spans="1:12" s="24" customFormat="1" ht="20.100000000000001" customHeight="1" x14ac:dyDescent="0.3">
      <c r="A167" s="44" t="s">
        <v>50</v>
      </c>
      <c r="B167" s="42">
        <v>10</v>
      </c>
      <c r="C167" s="42">
        <v>59400</v>
      </c>
      <c r="D167" s="42">
        <v>594000</v>
      </c>
      <c r="E167" s="33">
        <v>53900</v>
      </c>
      <c r="F167" s="25"/>
      <c r="G167" s="25"/>
      <c r="H167" s="34">
        <f t="shared" ref="H167:H170" si="102">D167-(E167*B167)-G167</f>
        <v>55000</v>
      </c>
      <c r="I167" s="34"/>
      <c r="J167" s="35">
        <f t="shared" ref="J167:J170" si="103">(H167/D167)*100</f>
        <v>9.2592592592592595</v>
      </c>
      <c r="K167" s="35"/>
      <c r="L167" s="26"/>
    </row>
    <row r="168" spans="1:12" s="24" customFormat="1" ht="20.100000000000001" customHeight="1" x14ac:dyDescent="0.3">
      <c r="A168" s="44" t="s">
        <v>55</v>
      </c>
      <c r="B168" s="42">
        <v>5</v>
      </c>
      <c r="C168" s="42">
        <v>87900</v>
      </c>
      <c r="D168" s="42">
        <v>439500</v>
      </c>
      <c r="E168" s="33">
        <v>66400</v>
      </c>
      <c r="F168" s="25"/>
      <c r="G168" s="25"/>
      <c r="H168" s="34">
        <f t="shared" si="102"/>
        <v>107500</v>
      </c>
      <c r="I168" s="34"/>
      <c r="J168" s="35">
        <f t="shared" si="103"/>
        <v>24.459613196814562</v>
      </c>
      <c r="K168" s="35"/>
      <c r="L168" s="26"/>
    </row>
    <row r="169" spans="1:12" s="24" customFormat="1" ht="20.100000000000001" customHeight="1" x14ac:dyDescent="0.3">
      <c r="A169" s="44" t="s">
        <v>234</v>
      </c>
      <c r="B169" s="42">
        <v>2</v>
      </c>
      <c r="C169" s="42">
        <v>756500</v>
      </c>
      <c r="D169" s="42">
        <v>1513000</v>
      </c>
      <c r="E169" s="33">
        <v>670000</v>
      </c>
      <c r="F169" s="25"/>
      <c r="G169" s="25"/>
      <c r="H169" s="34">
        <f t="shared" si="102"/>
        <v>173000</v>
      </c>
      <c r="I169" s="34"/>
      <c r="J169" s="35">
        <f t="shared" si="103"/>
        <v>11.434236615994713</v>
      </c>
      <c r="K169" s="35"/>
      <c r="L169" s="26"/>
    </row>
    <row r="170" spans="1:12" s="24" customFormat="1" ht="20.100000000000001" customHeight="1" x14ac:dyDescent="0.3">
      <c r="A170" s="44" t="s">
        <v>46</v>
      </c>
      <c r="B170" s="42">
        <v>15</v>
      </c>
      <c r="C170" s="42">
        <v>94500</v>
      </c>
      <c r="D170" s="42">
        <v>1417500</v>
      </c>
      <c r="E170" s="33">
        <v>63400</v>
      </c>
      <c r="F170" s="25"/>
      <c r="G170" s="25"/>
      <c r="H170" s="34">
        <f t="shared" si="102"/>
        <v>466500</v>
      </c>
      <c r="I170" s="34"/>
      <c r="J170" s="35">
        <f t="shared" si="103"/>
        <v>32.910052910052912</v>
      </c>
      <c r="K170" s="35"/>
      <c r="L170" s="26"/>
    </row>
    <row r="171" spans="1:12" s="24" customFormat="1" ht="20.100000000000001" customHeight="1" x14ac:dyDescent="0.3">
      <c r="A171" s="43" t="s">
        <v>169</v>
      </c>
      <c r="B171" s="42"/>
      <c r="C171" s="42"/>
      <c r="D171" s="42"/>
      <c r="E171" s="33"/>
      <c r="F171" s="25"/>
      <c r="G171" s="25"/>
      <c r="H171" s="22"/>
      <c r="I171" s="22"/>
      <c r="J171" s="23"/>
      <c r="K171" s="23"/>
      <c r="L171" s="27"/>
    </row>
    <row r="172" spans="1:12" s="24" customFormat="1" ht="20.100000000000001" customHeight="1" x14ac:dyDescent="0.3">
      <c r="A172" s="44" t="s">
        <v>50</v>
      </c>
      <c r="B172" s="42">
        <v>34</v>
      </c>
      <c r="C172" s="42">
        <v>55000</v>
      </c>
      <c r="D172" s="42">
        <v>1870000</v>
      </c>
      <c r="E172" s="33">
        <v>53900</v>
      </c>
      <c r="F172" s="25"/>
      <c r="G172" s="25"/>
      <c r="H172" s="34">
        <f t="shared" ref="H172:H193" si="104">D172-(E172*B172)-G172</f>
        <v>37400</v>
      </c>
      <c r="I172" s="34"/>
      <c r="J172" s="35">
        <f t="shared" ref="J172:J193" si="105">(H172/D172)*100</f>
        <v>2</v>
      </c>
      <c r="K172" s="35"/>
      <c r="L172" s="27"/>
    </row>
    <row r="173" spans="1:12" s="24" customFormat="1" ht="20.100000000000001" customHeight="1" x14ac:dyDescent="0.3">
      <c r="A173" s="44" t="s">
        <v>173</v>
      </c>
      <c r="B173" s="42">
        <v>1</v>
      </c>
      <c r="C173" s="42">
        <v>501900</v>
      </c>
      <c r="D173" s="42">
        <v>501900</v>
      </c>
      <c r="E173" s="33">
        <v>492000</v>
      </c>
      <c r="F173" s="25"/>
      <c r="G173" s="25"/>
      <c r="H173" s="34">
        <f t="shared" si="104"/>
        <v>9900</v>
      </c>
      <c r="I173" s="34"/>
      <c r="J173" s="35">
        <f t="shared" si="105"/>
        <v>1.972504482964734</v>
      </c>
      <c r="K173" s="35"/>
      <c r="L173" s="26"/>
    </row>
    <row r="174" spans="1:12" s="24" customFormat="1" ht="20.100000000000001" customHeight="1" x14ac:dyDescent="0.3">
      <c r="A174" s="44" t="s">
        <v>25</v>
      </c>
      <c r="B174" s="42">
        <v>1</v>
      </c>
      <c r="C174" s="42">
        <v>501900</v>
      </c>
      <c r="D174" s="42">
        <v>501900</v>
      </c>
      <c r="E174" s="33">
        <v>492000</v>
      </c>
      <c r="F174" s="25"/>
      <c r="G174" s="25"/>
      <c r="H174" s="34">
        <f t="shared" si="104"/>
        <v>9900</v>
      </c>
      <c r="I174" s="34"/>
      <c r="J174" s="35">
        <f t="shared" si="105"/>
        <v>1.972504482964734</v>
      </c>
      <c r="K174" s="35"/>
      <c r="L174" s="27"/>
    </row>
    <row r="175" spans="1:12" s="24" customFormat="1" ht="20.100000000000001" customHeight="1" x14ac:dyDescent="0.3">
      <c r="A175" s="44" t="s">
        <v>366</v>
      </c>
      <c r="B175" s="42">
        <v>1</v>
      </c>
      <c r="C175" s="42">
        <v>734200</v>
      </c>
      <c r="D175" s="42">
        <v>734200</v>
      </c>
      <c r="E175" s="33">
        <v>691000</v>
      </c>
      <c r="F175" s="25"/>
      <c r="G175" s="25"/>
      <c r="H175" s="34">
        <f t="shared" si="104"/>
        <v>43200</v>
      </c>
      <c r="I175" s="34"/>
      <c r="J175" s="35">
        <f t="shared" si="105"/>
        <v>5.8839553255243802</v>
      </c>
      <c r="K175" s="35"/>
      <c r="L175" s="26"/>
    </row>
    <row r="176" spans="1:12" s="24" customFormat="1" ht="20.100000000000001" customHeight="1" x14ac:dyDescent="0.3">
      <c r="A176" s="44" t="s">
        <v>55</v>
      </c>
      <c r="B176" s="42">
        <v>42</v>
      </c>
      <c r="C176" s="42">
        <v>85300</v>
      </c>
      <c r="D176" s="42">
        <v>3582600</v>
      </c>
      <c r="E176" s="33">
        <v>66400</v>
      </c>
      <c r="F176" s="25"/>
      <c r="G176" s="25"/>
      <c r="H176" s="34">
        <f t="shared" si="104"/>
        <v>793800</v>
      </c>
      <c r="I176" s="34"/>
      <c r="J176" s="35">
        <f t="shared" si="105"/>
        <v>22.157092614302464</v>
      </c>
      <c r="K176" s="35"/>
      <c r="L176" s="26"/>
    </row>
    <row r="177" spans="1:12" s="24" customFormat="1" ht="20.100000000000001" customHeight="1" x14ac:dyDescent="0.3">
      <c r="A177" s="44" t="s">
        <v>275</v>
      </c>
      <c r="B177" s="42">
        <v>3</v>
      </c>
      <c r="C177" s="42">
        <v>721800</v>
      </c>
      <c r="D177" s="42">
        <v>2165400</v>
      </c>
      <c r="E177" s="33">
        <v>623000</v>
      </c>
      <c r="F177" s="25"/>
      <c r="G177" s="25"/>
      <c r="H177" s="34">
        <f t="shared" si="104"/>
        <v>296400</v>
      </c>
      <c r="I177" s="34"/>
      <c r="J177" s="35">
        <f t="shared" si="105"/>
        <v>13.68800221668052</v>
      </c>
      <c r="K177" s="35"/>
      <c r="L177" s="26"/>
    </row>
    <row r="178" spans="1:12" s="24" customFormat="1" ht="20.100000000000001" customHeight="1" x14ac:dyDescent="0.3">
      <c r="A178" s="44" t="s">
        <v>218</v>
      </c>
      <c r="B178" s="42">
        <v>1</v>
      </c>
      <c r="C178" s="42">
        <v>72500</v>
      </c>
      <c r="D178" s="42">
        <v>72500</v>
      </c>
      <c r="E178" s="33">
        <v>71000</v>
      </c>
      <c r="F178" s="25"/>
      <c r="G178" s="25"/>
      <c r="H178" s="34">
        <f t="shared" si="104"/>
        <v>1500</v>
      </c>
      <c r="I178" s="34"/>
      <c r="J178" s="35">
        <f t="shared" si="105"/>
        <v>2.0689655172413794</v>
      </c>
      <c r="K178" s="35"/>
      <c r="L178" s="26"/>
    </row>
    <row r="179" spans="1:12" s="24" customFormat="1" ht="20.100000000000001" customHeight="1" x14ac:dyDescent="0.3">
      <c r="A179" s="44" t="s">
        <v>174</v>
      </c>
      <c r="B179" s="42">
        <v>8</v>
      </c>
      <c r="C179" s="42">
        <v>324400</v>
      </c>
      <c r="D179" s="42">
        <v>2595200</v>
      </c>
      <c r="E179" s="33">
        <v>318000</v>
      </c>
      <c r="F179" s="25"/>
      <c r="G179" s="25"/>
      <c r="H179" s="34">
        <f t="shared" si="104"/>
        <v>51200</v>
      </c>
      <c r="I179" s="34"/>
      <c r="J179" s="35">
        <f t="shared" si="105"/>
        <v>1.9728729963008631</v>
      </c>
      <c r="K179" s="35"/>
      <c r="L179" s="26"/>
    </row>
    <row r="180" spans="1:12" s="24" customFormat="1" ht="20.100000000000001" customHeight="1" x14ac:dyDescent="0.3">
      <c r="A180" s="44" t="s">
        <v>463</v>
      </c>
      <c r="B180" s="42">
        <v>5</v>
      </c>
      <c r="C180" s="42">
        <v>31900</v>
      </c>
      <c r="D180" s="42">
        <v>159500</v>
      </c>
      <c r="E180" s="33">
        <v>31200</v>
      </c>
      <c r="F180" s="25"/>
      <c r="G180" s="25"/>
      <c r="H180" s="34">
        <f t="shared" si="104"/>
        <v>3500</v>
      </c>
      <c r="I180" s="34"/>
      <c r="J180" s="35">
        <f t="shared" si="105"/>
        <v>2.1943573667711598</v>
      </c>
      <c r="K180" s="35"/>
      <c r="L180" s="27"/>
    </row>
    <row r="181" spans="1:12" s="24" customFormat="1" ht="20.100000000000001" customHeight="1" x14ac:dyDescent="0.3">
      <c r="A181" s="44" t="s">
        <v>191</v>
      </c>
      <c r="B181" s="42">
        <v>1</v>
      </c>
      <c r="C181" s="42">
        <v>31900</v>
      </c>
      <c r="D181" s="42">
        <v>31900</v>
      </c>
      <c r="E181" s="33">
        <v>31200</v>
      </c>
      <c r="F181" s="25"/>
      <c r="G181" s="25"/>
      <c r="H181" s="34">
        <f t="shared" si="104"/>
        <v>700</v>
      </c>
      <c r="I181" s="34"/>
      <c r="J181" s="35">
        <f t="shared" si="105"/>
        <v>2.1943573667711598</v>
      </c>
      <c r="K181" s="35"/>
      <c r="L181" s="26"/>
    </row>
    <row r="182" spans="1:12" s="24" customFormat="1" ht="20.100000000000001" customHeight="1" x14ac:dyDescent="0.3">
      <c r="A182" s="44" t="s">
        <v>294</v>
      </c>
      <c r="B182" s="42">
        <v>3</v>
      </c>
      <c r="C182" s="42">
        <v>44900</v>
      </c>
      <c r="D182" s="42">
        <v>134700</v>
      </c>
      <c r="E182" s="33">
        <v>44000</v>
      </c>
      <c r="F182" s="25"/>
      <c r="G182" s="25"/>
      <c r="H182" s="34">
        <f t="shared" si="104"/>
        <v>2700</v>
      </c>
      <c r="I182" s="34"/>
      <c r="J182" s="35">
        <f t="shared" si="105"/>
        <v>2.0044543429844097</v>
      </c>
      <c r="K182" s="35"/>
      <c r="L182" s="27"/>
    </row>
    <row r="183" spans="1:12" s="24" customFormat="1" ht="20.100000000000001" customHeight="1" x14ac:dyDescent="0.3">
      <c r="A183" s="44" t="s">
        <v>51</v>
      </c>
      <c r="B183" s="42">
        <v>5</v>
      </c>
      <c r="C183" s="42">
        <v>55400</v>
      </c>
      <c r="D183" s="42">
        <v>277000</v>
      </c>
      <c r="E183" s="33">
        <v>54300</v>
      </c>
      <c r="F183" s="25"/>
      <c r="G183" s="25"/>
      <c r="H183" s="34">
        <f t="shared" si="104"/>
        <v>5500</v>
      </c>
      <c r="I183" s="34"/>
      <c r="J183" s="35">
        <f t="shared" si="105"/>
        <v>1.9855595667870036</v>
      </c>
      <c r="K183" s="35"/>
      <c r="L183" s="26"/>
    </row>
    <row r="184" spans="1:12" s="24" customFormat="1" ht="20.100000000000001" customHeight="1" x14ac:dyDescent="0.3">
      <c r="A184" s="44" t="s">
        <v>24</v>
      </c>
      <c r="B184" s="42">
        <v>1</v>
      </c>
      <c r="C184" s="42">
        <v>518200</v>
      </c>
      <c r="D184" s="42">
        <v>518200</v>
      </c>
      <c r="E184" s="33">
        <v>508000</v>
      </c>
      <c r="F184" s="25"/>
      <c r="G184" s="25"/>
      <c r="H184" s="34">
        <f t="shared" si="104"/>
        <v>10200</v>
      </c>
      <c r="I184" s="34"/>
      <c r="J184" s="35">
        <f t="shared" si="105"/>
        <v>1.9683519876495561</v>
      </c>
      <c r="K184" s="35"/>
      <c r="L184" s="26"/>
    </row>
    <row r="185" spans="1:12" s="24" customFormat="1" ht="20.100000000000001" customHeight="1" x14ac:dyDescent="0.3">
      <c r="A185" s="44" t="s">
        <v>56</v>
      </c>
      <c r="B185" s="42">
        <v>42</v>
      </c>
      <c r="C185" s="42">
        <v>68200</v>
      </c>
      <c r="D185" s="42">
        <v>2864400</v>
      </c>
      <c r="E185" s="33">
        <v>66800</v>
      </c>
      <c r="F185" s="25"/>
      <c r="G185" s="25"/>
      <c r="H185" s="34">
        <f t="shared" si="104"/>
        <v>58800</v>
      </c>
      <c r="I185" s="34"/>
      <c r="J185" s="35">
        <f t="shared" si="105"/>
        <v>2.0527859237536656</v>
      </c>
      <c r="K185" s="35"/>
      <c r="L185" s="26"/>
    </row>
    <row r="186" spans="1:12" s="24" customFormat="1" ht="20.100000000000001" customHeight="1" x14ac:dyDescent="0.3">
      <c r="A186" s="44" t="s">
        <v>20</v>
      </c>
      <c r="B186" s="42">
        <v>42</v>
      </c>
      <c r="C186" s="42">
        <v>47600</v>
      </c>
      <c r="D186" s="42">
        <v>1999200</v>
      </c>
      <c r="E186" s="33">
        <v>46600</v>
      </c>
      <c r="F186" s="25"/>
      <c r="G186" s="25"/>
      <c r="H186" s="34">
        <f t="shared" si="104"/>
        <v>42000</v>
      </c>
      <c r="I186" s="34"/>
      <c r="J186" s="35">
        <f t="shared" si="105"/>
        <v>2.1008403361344539</v>
      </c>
      <c r="K186" s="35"/>
      <c r="L186" s="27"/>
    </row>
    <row r="187" spans="1:12" s="24" customFormat="1" ht="19.5" customHeight="1" x14ac:dyDescent="0.3">
      <c r="A187" s="44" t="s">
        <v>367</v>
      </c>
      <c r="B187" s="42">
        <v>2</v>
      </c>
      <c r="C187" s="42">
        <v>796700</v>
      </c>
      <c r="D187" s="42">
        <v>1593400</v>
      </c>
      <c r="E187" s="33">
        <v>654000</v>
      </c>
      <c r="F187" s="25"/>
      <c r="G187" s="25"/>
      <c r="H187" s="34">
        <f t="shared" si="104"/>
        <v>285400</v>
      </c>
      <c r="I187" s="34"/>
      <c r="J187" s="35">
        <f t="shared" si="105"/>
        <v>17.911384460901218</v>
      </c>
      <c r="K187" s="35"/>
      <c r="L187" s="26"/>
    </row>
    <row r="188" spans="1:12" s="24" customFormat="1" ht="20.100000000000001" customHeight="1" x14ac:dyDescent="0.3">
      <c r="A188" s="44" t="s">
        <v>46</v>
      </c>
      <c r="B188" s="42">
        <v>47</v>
      </c>
      <c r="C188" s="42">
        <v>66000</v>
      </c>
      <c r="D188" s="42">
        <v>3102000</v>
      </c>
      <c r="E188" s="33">
        <v>63400</v>
      </c>
      <c r="F188" s="25"/>
      <c r="G188" s="25"/>
      <c r="H188" s="34">
        <f t="shared" si="104"/>
        <v>122200</v>
      </c>
      <c r="I188" s="34"/>
      <c r="J188" s="35">
        <f t="shared" si="105"/>
        <v>3.939393939393939</v>
      </c>
      <c r="K188" s="35"/>
      <c r="L188" s="26"/>
    </row>
    <row r="189" spans="1:12" s="24" customFormat="1" ht="20.100000000000001" customHeight="1" x14ac:dyDescent="0.3">
      <c r="A189" s="44" t="s">
        <v>182</v>
      </c>
      <c r="B189" s="42">
        <v>45</v>
      </c>
      <c r="C189" s="42">
        <v>66000</v>
      </c>
      <c r="D189" s="42">
        <v>2970000</v>
      </c>
      <c r="E189" s="33">
        <v>55400</v>
      </c>
      <c r="F189" s="25"/>
      <c r="G189" s="25"/>
      <c r="H189" s="34">
        <f t="shared" si="104"/>
        <v>477000</v>
      </c>
      <c r="I189" s="34"/>
      <c r="J189" s="35">
        <f t="shared" si="105"/>
        <v>16.060606060606062</v>
      </c>
      <c r="K189" s="35"/>
      <c r="L189" s="26"/>
    </row>
    <row r="190" spans="1:12" s="24" customFormat="1" ht="20.100000000000001" customHeight="1" x14ac:dyDescent="0.3">
      <c r="A190" s="44" t="s">
        <v>333</v>
      </c>
      <c r="B190" s="42">
        <v>1</v>
      </c>
      <c r="C190" s="42">
        <v>631100</v>
      </c>
      <c r="D190" s="42">
        <v>631100</v>
      </c>
      <c r="E190" s="33">
        <v>564000</v>
      </c>
      <c r="F190" s="25"/>
      <c r="G190" s="25"/>
      <c r="H190" s="34">
        <f t="shared" si="104"/>
        <v>67100</v>
      </c>
      <c r="I190" s="34"/>
      <c r="J190" s="35">
        <f t="shared" si="105"/>
        <v>10.632229440659167</v>
      </c>
      <c r="K190" s="35"/>
      <c r="L190" s="26"/>
    </row>
    <row r="191" spans="1:12" s="24" customFormat="1" ht="20.100000000000001" customHeight="1" x14ac:dyDescent="0.3">
      <c r="A191" s="44" t="s">
        <v>368</v>
      </c>
      <c r="B191" s="42">
        <v>1</v>
      </c>
      <c r="C191" s="42">
        <v>794600</v>
      </c>
      <c r="D191" s="42">
        <v>794600</v>
      </c>
      <c r="E191" s="33">
        <v>683000</v>
      </c>
      <c r="F191" s="25"/>
      <c r="G191" s="25"/>
      <c r="H191" s="34">
        <f t="shared" si="104"/>
        <v>111600</v>
      </c>
      <c r="I191" s="34"/>
      <c r="J191" s="35">
        <f t="shared" si="105"/>
        <v>14.044802416310093</v>
      </c>
      <c r="K191" s="35"/>
      <c r="L191" s="26"/>
    </row>
    <row r="192" spans="1:12" s="24" customFormat="1" ht="20.100000000000001" customHeight="1" x14ac:dyDescent="0.3">
      <c r="A192" s="44" t="s">
        <v>274</v>
      </c>
      <c r="B192" s="42">
        <v>2</v>
      </c>
      <c r="C192" s="42">
        <v>1555500</v>
      </c>
      <c r="D192" s="42">
        <v>3111000</v>
      </c>
      <c r="E192" s="33">
        <v>1525000</v>
      </c>
      <c r="F192" s="25"/>
      <c r="G192" s="25"/>
      <c r="H192" s="34">
        <f t="shared" si="104"/>
        <v>61000</v>
      </c>
      <c r="I192" s="34"/>
      <c r="J192" s="35">
        <f t="shared" si="105"/>
        <v>1.9607843137254901</v>
      </c>
      <c r="K192" s="35"/>
      <c r="L192" s="27"/>
    </row>
    <row r="193" spans="1:12" s="24" customFormat="1" ht="19.5" customHeight="1" x14ac:dyDescent="0.3">
      <c r="A193" s="44" t="s">
        <v>112</v>
      </c>
      <c r="B193" s="42">
        <v>10</v>
      </c>
      <c r="C193" s="42">
        <v>82700</v>
      </c>
      <c r="D193" s="42">
        <v>827000</v>
      </c>
      <c r="E193" s="33">
        <v>81000</v>
      </c>
      <c r="F193" s="25"/>
      <c r="G193" s="25"/>
      <c r="H193" s="34">
        <f t="shared" si="104"/>
        <v>17000</v>
      </c>
      <c r="I193" s="34"/>
      <c r="J193" s="35">
        <f t="shared" si="105"/>
        <v>2.0556227327690446</v>
      </c>
      <c r="K193" s="35"/>
      <c r="L193" s="26"/>
    </row>
    <row r="194" spans="1:12" s="24" customFormat="1" ht="20.100000000000001" customHeight="1" x14ac:dyDescent="0.3">
      <c r="A194" s="43" t="s">
        <v>369</v>
      </c>
      <c r="B194" s="42"/>
      <c r="C194" s="42"/>
      <c r="D194" s="42"/>
      <c r="E194" s="33"/>
      <c r="F194" s="25"/>
      <c r="G194" s="25"/>
      <c r="H194" s="22"/>
      <c r="I194" s="22"/>
      <c r="J194" s="23"/>
      <c r="K194" s="23"/>
      <c r="L194" s="26"/>
    </row>
    <row r="195" spans="1:12" s="24" customFormat="1" ht="20.100000000000001" customHeight="1" x14ac:dyDescent="0.3">
      <c r="A195" s="44" t="s">
        <v>141</v>
      </c>
      <c r="B195" s="42">
        <v>3</v>
      </c>
      <c r="C195" s="42">
        <v>370000</v>
      </c>
      <c r="D195" s="42">
        <v>1110000</v>
      </c>
      <c r="E195" s="33">
        <v>289000</v>
      </c>
      <c r="F195" s="25"/>
      <c r="G195" s="25"/>
      <c r="H195" s="34">
        <f t="shared" ref="H195" si="106">D195-(E195*B195)-G195</f>
        <v>243000</v>
      </c>
      <c r="I195" s="34"/>
      <c r="J195" s="35">
        <f t="shared" ref="J195" si="107">(H195/D195)*100</f>
        <v>21.891891891891895</v>
      </c>
      <c r="K195" s="35"/>
      <c r="L195" s="26"/>
    </row>
    <row r="196" spans="1:12" s="24" customFormat="1" ht="20.100000000000001" customHeight="1" x14ac:dyDescent="0.3">
      <c r="A196" s="43" t="s">
        <v>300</v>
      </c>
      <c r="B196" s="42"/>
      <c r="C196" s="42"/>
      <c r="D196" s="42"/>
      <c r="E196" s="33"/>
      <c r="F196" s="25"/>
      <c r="G196" s="25"/>
      <c r="H196" s="22"/>
      <c r="I196" s="22"/>
      <c r="J196" s="23"/>
      <c r="K196" s="23"/>
      <c r="L196" s="27"/>
    </row>
    <row r="197" spans="1:12" s="24" customFormat="1" ht="20.100000000000001" customHeight="1" x14ac:dyDescent="0.3">
      <c r="A197" s="44" t="s">
        <v>241</v>
      </c>
      <c r="B197" s="42">
        <v>1</v>
      </c>
      <c r="C197" s="42">
        <v>84500</v>
      </c>
      <c r="D197" s="42">
        <v>84500</v>
      </c>
      <c r="E197" s="33">
        <v>69800</v>
      </c>
      <c r="F197" s="25"/>
      <c r="G197" s="25"/>
      <c r="H197" s="34">
        <f t="shared" ref="H197:H198" si="108">D197-(E197*B197)-G197</f>
        <v>14700</v>
      </c>
      <c r="I197" s="34"/>
      <c r="J197" s="35">
        <f t="shared" ref="J197:J198" si="109">(H197/D197)*100</f>
        <v>17.396449704142011</v>
      </c>
      <c r="K197" s="35"/>
      <c r="L197" s="27"/>
    </row>
    <row r="198" spans="1:12" s="24" customFormat="1" ht="19.5" customHeight="1" x14ac:dyDescent="0.3">
      <c r="A198" s="44" t="s">
        <v>228</v>
      </c>
      <c r="B198" s="42">
        <v>1</v>
      </c>
      <c r="C198" s="42">
        <v>40000</v>
      </c>
      <c r="D198" s="42">
        <v>40000</v>
      </c>
      <c r="E198" s="33">
        <v>40000</v>
      </c>
      <c r="F198" s="25"/>
      <c r="G198" s="25"/>
      <c r="H198" s="34">
        <f t="shared" si="108"/>
        <v>0</v>
      </c>
      <c r="I198" s="34"/>
      <c r="J198" s="35">
        <f t="shared" si="109"/>
        <v>0</v>
      </c>
      <c r="K198" s="35"/>
      <c r="L198" s="26"/>
    </row>
    <row r="199" spans="1:12" s="24" customFormat="1" ht="20.100000000000001" customHeight="1" x14ac:dyDescent="0.3">
      <c r="A199" s="43" t="s">
        <v>370</v>
      </c>
      <c r="B199" s="42"/>
      <c r="C199" s="42"/>
      <c r="D199" s="42"/>
      <c r="E199" s="33"/>
      <c r="F199" s="25"/>
      <c r="G199" s="25"/>
      <c r="H199" s="22"/>
      <c r="I199" s="22"/>
      <c r="J199" s="23"/>
      <c r="K199" s="23"/>
      <c r="L199" s="26"/>
    </row>
    <row r="200" spans="1:12" s="24" customFormat="1" ht="20.100000000000001" customHeight="1" x14ac:dyDescent="0.3">
      <c r="A200" s="44" t="s">
        <v>314</v>
      </c>
      <c r="B200" s="42">
        <v>6</v>
      </c>
      <c r="C200" s="42">
        <v>105400</v>
      </c>
      <c r="D200" s="42">
        <v>632400</v>
      </c>
      <c r="E200" s="33">
        <v>87100</v>
      </c>
      <c r="F200" s="25"/>
      <c r="G200" s="25"/>
      <c r="H200" s="34">
        <f t="shared" ref="H200" si="110">D200-(E200*B200)-G200</f>
        <v>109800</v>
      </c>
      <c r="I200" s="34"/>
      <c r="J200" s="35">
        <f t="shared" ref="J200" si="111">(H200/D200)*100</f>
        <v>17.362428842504745</v>
      </c>
      <c r="K200" s="35"/>
      <c r="L200" s="26"/>
    </row>
    <row r="201" spans="1:12" s="24" customFormat="1" ht="20.100000000000001" customHeight="1" x14ac:dyDescent="0.3">
      <c r="A201" s="43" t="s">
        <v>238</v>
      </c>
      <c r="B201" s="42"/>
      <c r="C201" s="42"/>
      <c r="D201" s="42"/>
      <c r="E201" s="33"/>
      <c r="F201" s="25"/>
      <c r="G201" s="25"/>
      <c r="H201" s="22"/>
      <c r="I201" s="22"/>
      <c r="J201" s="23"/>
      <c r="K201" s="23"/>
      <c r="L201" s="27"/>
    </row>
    <row r="202" spans="1:12" s="24" customFormat="1" ht="20.100000000000001" customHeight="1" x14ac:dyDescent="0.3">
      <c r="A202" s="44" t="s">
        <v>55</v>
      </c>
      <c r="B202" s="42">
        <v>15</v>
      </c>
      <c r="C202" s="42">
        <v>85700</v>
      </c>
      <c r="D202" s="42">
        <v>1285500</v>
      </c>
      <c r="E202" s="33">
        <v>66400</v>
      </c>
      <c r="F202" s="25"/>
      <c r="G202" s="25"/>
      <c r="H202" s="34">
        <f t="shared" ref="H202:H206" si="112">D202-(E202*B202)-G202</f>
        <v>289500</v>
      </c>
      <c r="I202" s="34"/>
      <c r="J202" s="35">
        <f t="shared" ref="J202:J206" si="113">(H202/D202)*100</f>
        <v>22.520420070011667</v>
      </c>
      <c r="K202" s="35"/>
      <c r="L202" s="26"/>
    </row>
    <row r="203" spans="1:12" s="24" customFormat="1" ht="20.100000000000001" customHeight="1" x14ac:dyDescent="0.3">
      <c r="A203" s="44" t="s">
        <v>96</v>
      </c>
      <c r="B203" s="42">
        <v>5</v>
      </c>
      <c r="C203" s="42">
        <v>83000</v>
      </c>
      <c r="D203" s="42">
        <v>415000</v>
      </c>
      <c r="E203" s="33">
        <v>80900</v>
      </c>
      <c r="F203" s="25"/>
      <c r="G203" s="25"/>
      <c r="H203" s="34">
        <f t="shared" si="112"/>
        <v>10500</v>
      </c>
      <c r="I203" s="34"/>
      <c r="J203" s="35">
        <f t="shared" si="113"/>
        <v>2.5301204819277108</v>
      </c>
      <c r="K203" s="35"/>
      <c r="L203" s="27"/>
    </row>
    <row r="204" spans="1:12" s="24" customFormat="1" ht="20.100000000000001" customHeight="1" x14ac:dyDescent="0.3">
      <c r="A204" s="44" t="s">
        <v>33</v>
      </c>
      <c r="B204" s="42">
        <v>4</v>
      </c>
      <c r="C204" s="42">
        <v>306500</v>
      </c>
      <c r="D204" s="42">
        <v>1226000</v>
      </c>
      <c r="E204" s="33">
        <v>289000</v>
      </c>
      <c r="F204" s="25"/>
      <c r="G204" s="25"/>
      <c r="H204" s="34">
        <f t="shared" si="112"/>
        <v>70000</v>
      </c>
      <c r="I204" s="34"/>
      <c r="J204" s="35">
        <f t="shared" si="113"/>
        <v>5.709624796084829</v>
      </c>
      <c r="K204" s="35"/>
      <c r="L204" s="27"/>
    </row>
    <row r="205" spans="1:12" s="24" customFormat="1" ht="20.100000000000001" customHeight="1" x14ac:dyDescent="0.3">
      <c r="A205" s="44" t="s">
        <v>53</v>
      </c>
      <c r="B205" s="42">
        <v>5</v>
      </c>
      <c r="C205" s="42">
        <v>71800</v>
      </c>
      <c r="D205" s="42">
        <v>359000</v>
      </c>
      <c r="E205" s="33">
        <v>62800</v>
      </c>
      <c r="F205" s="25"/>
      <c r="G205" s="25"/>
      <c r="H205" s="34">
        <f t="shared" si="112"/>
        <v>45000</v>
      </c>
      <c r="I205" s="34"/>
      <c r="J205" s="35">
        <f t="shared" si="113"/>
        <v>12.534818941504177</v>
      </c>
      <c r="K205" s="35"/>
      <c r="L205" s="27"/>
    </row>
    <row r="206" spans="1:12" s="24" customFormat="1" ht="20.100000000000001" customHeight="1" x14ac:dyDescent="0.3">
      <c r="A206" s="44" t="s">
        <v>239</v>
      </c>
      <c r="B206" s="42">
        <v>17</v>
      </c>
      <c r="C206" s="42">
        <v>58200</v>
      </c>
      <c r="D206" s="42">
        <v>989400</v>
      </c>
      <c r="E206" s="33">
        <v>56700</v>
      </c>
      <c r="F206" s="25"/>
      <c r="G206" s="25"/>
      <c r="H206" s="34">
        <f t="shared" si="112"/>
        <v>25500</v>
      </c>
      <c r="I206" s="34"/>
      <c r="J206" s="35">
        <f t="shared" si="113"/>
        <v>2.5773195876288657</v>
      </c>
      <c r="K206" s="35"/>
      <c r="L206" s="26"/>
    </row>
    <row r="207" spans="1:12" s="24" customFormat="1" ht="20.100000000000001" customHeight="1" x14ac:dyDescent="0.3">
      <c r="A207" s="43" t="s">
        <v>171</v>
      </c>
      <c r="B207" s="42"/>
      <c r="C207" s="42"/>
      <c r="D207" s="42"/>
      <c r="E207" s="33"/>
      <c r="F207" s="25"/>
      <c r="G207" s="25"/>
      <c r="H207" s="22"/>
      <c r="I207" s="22"/>
      <c r="J207" s="23"/>
      <c r="K207" s="23"/>
      <c r="L207" s="26"/>
    </row>
    <row r="208" spans="1:12" s="24" customFormat="1" ht="20.100000000000001" customHeight="1" x14ac:dyDescent="0.3">
      <c r="A208" s="44" t="s">
        <v>111</v>
      </c>
      <c r="B208" s="42">
        <v>6</v>
      </c>
      <c r="C208" s="42">
        <v>607000</v>
      </c>
      <c r="D208" s="42">
        <v>3642000</v>
      </c>
      <c r="E208" s="33">
        <v>581000</v>
      </c>
      <c r="F208" s="25"/>
      <c r="G208" s="25"/>
      <c r="H208" s="34">
        <f t="shared" ref="H208:H211" si="114">D208-(E208*B208)-G208</f>
        <v>156000</v>
      </c>
      <c r="I208" s="34"/>
      <c r="J208" s="35">
        <f t="shared" ref="J208:J211" si="115">(H208/D208)*100</f>
        <v>4.2833607907743003</v>
      </c>
      <c r="K208" s="35"/>
      <c r="L208" s="26"/>
    </row>
    <row r="209" spans="1:12" s="24" customFormat="1" ht="20.100000000000001" customHeight="1" x14ac:dyDescent="0.3">
      <c r="A209" s="44" t="s">
        <v>297</v>
      </c>
      <c r="B209" s="42">
        <v>5</v>
      </c>
      <c r="C209" s="42">
        <v>67000</v>
      </c>
      <c r="D209" s="42">
        <v>335000</v>
      </c>
      <c r="E209" s="33">
        <v>59400</v>
      </c>
      <c r="F209" s="25"/>
      <c r="G209" s="25"/>
      <c r="H209" s="34">
        <f t="shared" si="114"/>
        <v>38000</v>
      </c>
      <c r="I209" s="34"/>
      <c r="J209" s="35">
        <f t="shared" si="115"/>
        <v>11.343283582089553</v>
      </c>
      <c r="K209" s="35"/>
      <c r="L209" s="26"/>
    </row>
    <row r="210" spans="1:12" s="24" customFormat="1" ht="20.100000000000001" customHeight="1" x14ac:dyDescent="0.3">
      <c r="A210" s="44" t="s">
        <v>172</v>
      </c>
      <c r="B210" s="42">
        <v>2</v>
      </c>
      <c r="C210" s="42">
        <v>584000</v>
      </c>
      <c r="D210" s="42">
        <v>1168000</v>
      </c>
      <c r="E210" s="33">
        <v>512000</v>
      </c>
      <c r="F210" s="25"/>
      <c r="G210" s="25"/>
      <c r="H210" s="34">
        <f t="shared" si="114"/>
        <v>144000</v>
      </c>
      <c r="I210" s="34"/>
      <c r="J210" s="35">
        <f t="shared" si="115"/>
        <v>12.328767123287671</v>
      </c>
      <c r="K210" s="35"/>
      <c r="L210" s="26"/>
    </row>
    <row r="211" spans="1:12" s="24" customFormat="1" ht="20.100000000000001" customHeight="1" x14ac:dyDescent="0.3">
      <c r="A211" s="44" t="s">
        <v>46</v>
      </c>
      <c r="B211" s="42">
        <v>1</v>
      </c>
      <c r="C211" s="42">
        <v>103400</v>
      </c>
      <c r="D211" s="42">
        <v>103400</v>
      </c>
      <c r="E211" s="33">
        <v>63400</v>
      </c>
      <c r="F211" s="25"/>
      <c r="G211" s="25"/>
      <c r="H211" s="34">
        <f t="shared" si="114"/>
        <v>40000</v>
      </c>
      <c r="I211" s="34"/>
      <c r="J211" s="35">
        <f t="shared" si="115"/>
        <v>38.684719535783366</v>
      </c>
      <c r="K211" s="35"/>
      <c r="L211" s="26"/>
    </row>
    <row r="212" spans="1:12" s="24" customFormat="1" ht="19.5" customHeight="1" x14ac:dyDescent="0.3">
      <c r="A212" s="43" t="s">
        <v>371</v>
      </c>
      <c r="B212" s="42"/>
      <c r="C212" s="42"/>
      <c r="D212" s="42"/>
      <c r="E212" s="33"/>
      <c r="F212" s="25"/>
      <c r="G212" s="25"/>
      <c r="H212" s="22"/>
      <c r="I212" s="22"/>
      <c r="J212" s="23"/>
      <c r="K212" s="23"/>
      <c r="L212" s="26"/>
    </row>
    <row r="213" spans="1:12" s="24" customFormat="1" ht="20.100000000000001" customHeight="1" x14ac:dyDescent="0.3">
      <c r="A213" s="44" t="s">
        <v>372</v>
      </c>
      <c r="B213" s="42">
        <v>5</v>
      </c>
      <c r="C213" s="42">
        <v>762000</v>
      </c>
      <c r="D213" s="42">
        <v>3810000</v>
      </c>
      <c r="E213" s="33">
        <v>636000</v>
      </c>
      <c r="F213" s="25"/>
      <c r="G213" s="25"/>
      <c r="H213" s="34">
        <f t="shared" ref="H213:H214" si="116">D213-(E213*B213)-G213</f>
        <v>630000</v>
      </c>
      <c r="I213" s="34"/>
      <c r="J213" s="35">
        <f t="shared" ref="J213:J214" si="117">(H213/D213)*100</f>
        <v>16.535433070866144</v>
      </c>
      <c r="K213" s="35"/>
      <c r="L213" s="26"/>
    </row>
    <row r="214" spans="1:12" s="24" customFormat="1" ht="20.100000000000001" customHeight="1" x14ac:dyDescent="0.3">
      <c r="A214" s="44" t="s">
        <v>373</v>
      </c>
      <c r="B214" s="42">
        <v>1</v>
      </c>
      <c r="C214" s="42">
        <v>94000</v>
      </c>
      <c r="D214" s="42">
        <v>94000</v>
      </c>
      <c r="E214" s="33">
        <v>80500</v>
      </c>
      <c r="F214" s="25"/>
      <c r="G214" s="25"/>
      <c r="H214" s="34">
        <f t="shared" si="116"/>
        <v>13500</v>
      </c>
      <c r="I214" s="34"/>
      <c r="J214" s="35">
        <f t="shared" si="117"/>
        <v>14.361702127659576</v>
      </c>
      <c r="K214" s="35"/>
      <c r="L214" s="26"/>
    </row>
    <row r="215" spans="1:12" s="24" customFormat="1" ht="20.100000000000001" customHeight="1" x14ac:dyDescent="0.3">
      <c r="A215" s="43" t="s">
        <v>240</v>
      </c>
      <c r="B215" s="42"/>
      <c r="C215" s="42"/>
      <c r="D215" s="42"/>
      <c r="E215" s="33"/>
      <c r="F215" s="25"/>
      <c r="G215" s="25"/>
      <c r="H215" s="22"/>
      <c r="I215" s="22"/>
      <c r="J215" s="23"/>
      <c r="K215" s="23"/>
      <c r="L215" s="27"/>
    </row>
    <row r="216" spans="1:12" s="24" customFormat="1" ht="20.100000000000001" customHeight="1" x14ac:dyDescent="0.3">
      <c r="A216" s="44" t="s">
        <v>334</v>
      </c>
      <c r="B216" s="42">
        <v>1</v>
      </c>
      <c r="C216" s="42">
        <v>430000</v>
      </c>
      <c r="D216" s="42">
        <v>430000</v>
      </c>
      <c r="E216" s="33">
        <v>346000</v>
      </c>
      <c r="F216" s="25"/>
      <c r="G216" s="25"/>
      <c r="H216" s="34">
        <f t="shared" ref="H216:H217" si="118">D216-(E216*B216)-G216</f>
        <v>84000</v>
      </c>
      <c r="I216" s="34"/>
      <c r="J216" s="35">
        <f t="shared" ref="J216:J217" si="119">(H216/D216)*100</f>
        <v>19.534883720930232</v>
      </c>
      <c r="K216" s="35"/>
      <c r="L216" s="26"/>
    </row>
    <row r="217" spans="1:12" s="24" customFormat="1" ht="20.100000000000001" customHeight="1" x14ac:dyDescent="0.3">
      <c r="A217" s="44" t="s">
        <v>46</v>
      </c>
      <c r="B217" s="42">
        <v>6</v>
      </c>
      <c r="C217" s="42">
        <v>98900</v>
      </c>
      <c r="D217" s="42">
        <v>593400</v>
      </c>
      <c r="E217" s="33">
        <v>63400</v>
      </c>
      <c r="F217" s="25"/>
      <c r="G217" s="25"/>
      <c r="H217" s="34">
        <f t="shared" si="118"/>
        <v>213000</v>
      </c>
      <c r="I217" s="34"/>
      <c r="J217" s="35">
        <f t="shared" si="119"/>
        <v>35.894843276036397</v>
      </c>
      <c r="K217" s="35"/>
      <c r="L217" s="26"/>
    </row>
    <row r="218" spans="1:12" s="24" customFormat="1" ht="20.100000000000001" customHeight="1" x14ac:dyDescent="0.3">
      <c r="A218" s="43" t="s">
        <v>374</v>
      </c>
      <c r="B218" s="42"/>
      <c r="C218" s="42"/>
      <c r="D218" s="42"/>
      <c r="E218" s="33"/>
      <c r="F218" s="25"/>
      <c r="G218" s="25"/>
      <c r="H218" s="22"/>
      <c r="I218" s="22"/>
      <c r="J218" s="23"/>
      <c r="K218" s="23"/>
      <c r="L218" s="26"/>
    </row>
    <row r="219" spans="1:12" s="24" customFormat="1" ht="20.100000000000001" customHeight="1" x14ac:dyDescent="0.3">
      <c r="A219" s="44" t="s">
        <v>107</v>
      </c>
      <c r="B219" s="42">
        <v>2</v>
      </c>
      <c r="C219" s="42">
        <v>386400</v>
      </c>
      <c r="D219" s="42">
        <v>772800</v>
      </c>
      <c r="E219" s="33">
        <v>287000</v>
      </c>
      <c r="F219" s="25"/>
      <c r="G219" s="25"/>
      <c r="H219" s="34">
        <f t="shared" ref="H219:H220" si="120">D219-(E219*B219)-G219</f>
        <v>198800</v>
      </c>
      <c r="I219" s="34"/>
      <c r="J219" s="35">
        <f t="shared" ref="J219:J220" si="121">(H219/D219)*100</f>
        <v>25.724637681159418</v>
      </c>
      <c r="K219" s="35"/>
      <c r="L219" s="27"/>
    </row>
    <row r="220" spans="1:12" s="24" customFormat="1" ht="20.100000000000001" customHeight="1" x14ac:dyDescent="0.3">
      <c r="A220" s="44" t="s">
        <v>49</v>
      </c>
      <c r="B220" s="42">
        <v>2</v>
      </c>
      <c r="C220" s="42">
        <v>12000</v>
      </c>
      <c r="D220" s="42">
        <v>24000</v>
      </c>
      <c r="E220" s="33">
        <v>12000</v>
      </c>
      <c r="F220" s="25"/>
      <c r="G220" s="25"/>
      <c r="H220" s="34">
        <f t="shared" si="120"/>
        <v>0</v>
      </c>
      <c r="I220" s="34"/>
      <c r="J220" s="35">
        <f t="shared" si="121"/>
        <v>0</v>
      </c>
      <c r="K220" s="35"/>
      <c r="L220" s="27"/>
    </row>
    <row r="221" spans="1:12" s="24" customFormat="1" ht="20.100000000000001" customHeight="1" x14ac:dyDescent="0.3">
      <c r="A221" s="43" t="s">
        <v>375</v>
      </c>
      <c r="B221" s="42"/>
      <c r="C221" s="42"/>
      <c r="D221" s="42"/>
      <c r="E221" s="33"/>
      <c r="F221" s="25"/>
      <c r="G221" s="25"/>
      <c r="H221" s="22"/>
      <c r="I221" s="22"/>
      <c r="J221" s="23"/>
      <c r="K221" s="23"/>
      <c r="L221" s="26"/>
    </row>
    <row r="222" spans="1:12" s="24" customFormat="1" ht="20.100000000000001" customHeight="1" x14ac:dyDescent="0.3">
      <c r="A222" s="44" t="s">
        <v>51</v>
      </c>
      <c r="B222" s="42">
        <v>15</v>
      </c>
      <c r="C222" s="42">
        <v>65700</v>
      </c>
      <c r="D222" s="42">
        <v>985500</v>
      </c>
      <c r="E222" s="33">
        <v>54300</v>
      </c>
      <c r="F222" s="25"/>
      <c r="G222" s="25"/>
      <c r="H222" s="34">
        <f t="shared" ref="H222" si="122">D222-(E222*B222)-G222</f>
        <v>171000</v>
      </c>
      <c r="I222" s="34"/>
      <c r="J222" s="35">
        <f t="shared" ref="J222" si="123">(H222/D222)*100</f>
        <v>17.351598173515981</v>
      </c>
      <c r="K222" s="35"/>
      <c r="L222" s="27"/>
    </row>
    <row r="223" spans="1:12" s="24" customFormat="1" ht="20.100000000000001" customHeight="1" x14ac:dyDescent="0.3">
      <c r="A223" s="43" t="s">
        <v>376</v>
      </c>
      <c r="B223" s="42"/>
      <c r="C223" s="42"/>
      <c r="D223" s="42"/>
      <c r="E223" s="33"/>
      <c r="F223" s="25"/>
      <c r="G223" s="25"/>
      <c r="H223" s="22"/>
      <c r="I223" s="22"/>
      <c r="J223" s="23"/>
      <c r="K223" s="23"/>
      <c r="L223" s="26"/>
    </row>
    <row r="224" spans="1:12" s="24" customFormat="1" ht="20.100000000000001" customHeight="1" x14ac:dyDescent="0.3">
      <c r="A224" s="44" t="s">
        <v>51</v>
      </c>
      <c r="B224" s="42">
        <v>5</v>
      </c>
      <c r="C224" s="42">
        <v>65700</v>
      </c>
      <c r="D224" s="42">
        <v>328500</v>
      </c>
      <c r="E224" s="33">
        <v>54300</v>
      </c>
      <c r="F224" s="25"/>
      <c r="G224" s="25"/>
      <c r="H224" s="34">
        <f t="shared" ref="H224:H225" si="124">D224-(E224*B224)-G224</f>
        <v>57000</v>
      </c>
      <c r="I224" s="34"/>
      <c r="J224" s="35">
        <f t="shared" ref="J224:J225" si="125">(H224/D224)*100</f>
        <v>17.351598173515981</v>
      </c>
      <c r="K224" s="35"/>
      <c r="L224" s="26"/>
    </row>
    <row r="225" spans="1:12" s="24" customFormat="1" ht="20.100000000000001" customHeight="1" x14ac:dyDescent="0.3">
      <c r="A225" s="44" t="s">
        <v>182</v>
      </c>
      <c r="B225" s="42">
        <v>2</v>
      </c>
      <c r="C225" s="42">
        <v>81400</v>
      </c>
      <c r="D225" s="42">
        <v>162800</v>
      </c>
      <c r="E225" s="33">
        <v>55400</v>
      </c>
      <c r="F225" s="25"/>
      <c r="G225" s="25"/>
      <c r="H225" s="34">
        <f t="shared" si="124"/>
        <v>52000</v>
      </c>
      <c r="I225" s="34"/>
      <c r="J225" s="35">
        <f t="shared" si="125"/>
        <v>31.941031941031937</v>
      </c>
      <c r="K225" s="35"/>
      <c r="L225" s="26"/>
    </row>
    <row r="226" spans="1:12" s="24" customFormat="1" ht="20.100000000000001" customHeight="1" x14ac:dyDescent="0.3">
      <c r="A226" s="43" t="s">
        <v>108</v>
      </c>
      <c r="B226" s="42"/>
      <c r="C226" s="42"/>
      <c r="D226" s="42"/>
      <c r="E226" s="33"/>
      <c r="F226" s="25"/>
      <c r="G226" s="25"/>
      <c r="H226" s="22"/>
      <c r="I226" s="22"/>
      <c r="J226" s="23"/>
      <c r="K226" s="23"/>
      <c r="L226" s="26"/>
    </row>
    <row r="227" spans="1:12" s="24" customFormat="1" ht="20.100000000000001" customHeight="1" x14ac:dyDescent="0.3">
      <c r="A227" s="44" t="s">
        <v>476</v>
      </c>
      <c r="B227" s="42">
        <v>2</v>
      </c>
      <c r="C227" s="42">
        <v>680000</v>
      </c>
      <c r="D227" s="42">
        <v>1360000</v>
      </c>
      <c r="E227" s="33">
        <v>630000</v>
      </c>
      <c r="F227" s="25"/>
      <c r="G227" s="25"/>
      <c r="H227" s="34">
        <f t="shared" ref="H227:H240" si="126">D227-(E227*B227)-G227</f>
        <v>100000</v>
      </c>
      <c r="I227" s="34"/>
      <c r="J227" s="35">
        <f t="shared" ref="J227:J240" si="127">(H227/D227)*100</f>
        <v>7.3529411764705888</v>
      </c>
      <c r="K227" s="35"/>
      <c r="L227" s="27"/>
    </row>
    <row r="228" spans="1:12" s="24" customFormat="1" ht="20.100000000000001" customHeight="1" x14ac:dyDescent="0.3">
      <c r="A228" s="44" t="s">
        <v>301</v>
      </c>
      <c r="B228" s="42">
        <v>30</v>
      </c>
      <c r="C228" s="42">
        <v>67000</v>
      </c>
      <c r="D228" s="42">
        <v>2010000</v>
      </c>
      <c r="E228" s="33">
        <v>59400</v>
      </c>
      <c r="F228" s="25"/>
      <c r="G228" s="25"/>
      <c r="H228" s="34">
        <f t="shared" si="126"/>
        <v>228000</v>
      </c>
      <c r="I228" s="34"/>
      <c r="J228" s="35">
        <f t="shared" si="127"/>
        <v>11.343283582089553</v>
      </c>
      <c r="K228" s="35"/>
      <c r="L228" s="26"/>
    </row>
    <row r="229" spans="1:12" s="24" customFormat="1" ht="20.100000000000001" customHeight="1" x14ac:dyDescent="0.3">
      <c r="A229" s="44" t="s">
        <v>225</v>
      </c>
      <c r="B229" s="42">
        <v>11</v>
      </c>
      <c r="C229" s="42">
        <v>57800</v>
      </c>
      <c r="D229" s="42">
        <v>635800</v>
      </c>
      <c r="E229" s="33">
        <v>56300</v>
      </c>
      <c r="F229" s="25"/>
      <c r="G229" s="25"/>
      <c r="H229" s="34">
        <f t="shared" si="126"/>
        <v>16500</v>
      </c>
      <c r="I229" s="34"/>
      <c r="J229" s="35">
        <f t="shared" si="127"/>
        <v>2.5951557093425603</v>
      </c>
      <c r="K229" s="35"/>
      <c r="L229" s="26"/>
    </row>
    <row r="230" spans="1:12" s="24" customFormat="1" ht="20.100000000000001" customHeight="1" x14ac:dyDescent="0.3">
      <c r="A230" s="44" t="s">
        <v>50</v>
      </c>
      <c r="B230" s="42">
        <v>40</v>
      </c>
      <c r="C230" s="42">
        <v>55300</v>
      </c>
      <c r="D230" s="42">
        <v>2212000</v>
      </c>
      <c r="E230" s="33">
        <v>53900</v>
      </c>
      <c r="F230" s="25"/>
      <c r="G230" s="25"/>
      <c r="H230" s="34">
        <f t="shared" si="126"/>
        <v>56000</v>
      </c>
      <c r="I230" s="34"/>
      <c r="J230" s="35">
        <f t="shared" si="127"/>
        <v>2.5316455696202533</v>
      </c>
      <c r="K230" s="35"/>
      <c r="L230" s="26"/>
    </row>
    <row r="231" spans="1:12" s="24" customFormat="1" ht="20.100000000000001" customHeight="1" x14ac:dyDescent="0.3">
      <c r="A231" s="44" t="s">
        <v>167</v>
      </c>
      <c r="B231" s="42">
        <v>10</v>
      </c>
      <c r="C231" s="42">
        <v>55300</v>
      </c>
      <c r="D231" s="42">
        <v>553000</v>
      </c>
      <c r="E231" s="33">
        <v>53900</v>
      </c>
      <c r="F231" s="25"/>
      <c r="G231" s="25"/>
      <c r="H231" s="34">
        <f t="shared" si="126"/>
        <v>14000</v>
      </c>
      <c r="I231" s="34"/>
      <c r="J231" s="35">
        <f t="shared" si="127"/>
        <v>2.5316455696202533</v>
      </c>
      <c r="K231" s="35"/>
      <c r="L231" s="26"/>
    </row>
    <row r="232" spans="1:12" s="24" customFormat="1" ht="20.100000000000001" customHeight="1" x14ac:dyDescent="0.3">
      <c r="A232" s="44" t="s">
        <v>218</v>
      </c>
      <c r="B232" s="42">
        <v>10</v>
      </c>
      <c r="C232" s="42">
        <v>72800</v>
      </c>
      <c r="D232" s="42">
        <v>728000</v>
      </c>
      <c r="E232" s="33">
        <v>71000</v>
      </c>
      <c r="F232" s="25"/>
      <c r="G232" s="25"/>
      <c r="H232" s="34">
        <f t="shared" si="126"/>
        <v>18000</v>
      </c>
      <c r="I232" s="34"/>
      <c r="J232" s="35">
        <f t="shared" si="127"/>
        <v>2.4725274725274726</v>
      </c>
      <c r="K232" s="35"/>
      <c r="L232" s="26"/>
    </row>
    <row r="233" spans="1:12" s="24" customFormat="1" ht="20.100000000000001" customHeight="1" x14ac:dyDescent="0.3">
      <c r="A233" s="44" t="s">
        <v>336</v>
      </c>
      <c r="B233" s="42">
        <v>5</v>
      </c>
      <c r="C233" s="42">
        <v>1478100</v>
      </c>
      <c r="D233" s="42">
        <v>7390500</v>
      </c>
      <c r="E233" s="33">
        <v>1303000</v>
      </c>
      <c r="F233" s="25"/>
      <c r="G233" s="25"/>
      <c r="H233" s="34">
        <f t="shared" si="126"/>
        <v>875500</v>
      </c>
      <c r="I233" s="34"/>
      <c r="J233" s="35">
        <f t="shared" si="127"/>
        <v>11.846289154996278</v>
      </c>
      <c r="K233" s="35"/>
      <c r="L233" s="26"/>
    </row>
    <row r="234" spans="1:12" s="24" customFormat="1" ht="20.100000000000001" customHeight="1" x14ac:dyDescent="0.3">
      <c r="A234" s="44" t="s">
        <v>22</v>
      </c>
      <c r="B234" s="42">
        <v>10</v>
      </c>
      <c r="C234" s="42">
        <v>35200</v>
      </c>
      <c r="D234" s="42">
        <v>352000</v>
      </c>
      <c r="E234" s="33">
        <v>31200</v>
      </c>
      <c r="F234" s="25"/>
      <c r="G234" s="25"/>
      <c r="H234" s="34">
        <f t="shared" si="126"/>
        <v>40000</v>
      </c>
      <c r="I234" s="34"/>
      <c r="J234" s="35">
        <f t="shared" si="127"/>
        <v>11.363636363636363</v>
      </c>
      <c r="K234" s="35"/>
      <c r="L234" s="26"/>
    </row>
    <row r="235" spans="1:12" s="24" customFormat="1" ht="20.100000000000001" customHeight="1" x14ac:dyDescent="0.3">
      <c r="A235" s="44" t="s">
        <v>175</v>
      </c>
      <c r="B235" s="42">
        <v>20</v>
      </c>
      <c r="C235" s="42">
        <v>58200</v>
      </c>
      <c r="D235" s="42">
        <v>1164000</v>
      </c>
      <c r="E235" s="33">
        <v>56700</v>
      </c>
      <c r="F235" s="25"/>
      <c r="G235" s="25"/>
      <c r="H235" s="34">
        <f t="shared" si="126"/>
        <v>30000</v>
      </c>
      <c r="I235" s="34"/>
      <c r="J235" s="35">
        <f t="shared" si="127"/>
        <v>2.5773195876288657</v>
      </c>
      <c r="K235" s="35"/>
      <c r="L235" s="26"/>
    </row>
    <row r="236" spans="1:12" s="24" customFormat="1" ht="20.100000000000001" customHeight="1" x14ac:dyDescent="0.3">
      <c r="A236" s="44" t="s">
        <v>65</v>
      </c>
      <c r="B236" s="42">
        <v>5</v>
      </c>
      <c r="C236" s="42">
        <v>62200</v>
      </c>
      <c r="D236" s="42">
        <v>311000</v>
      </c>
      <c r="E236" s="33">
        <v>56700</v>
      </c>
      <c r="F236" s="25"/>
      <c r="G236" s="25"/>
      <c r="H236" s="34">
        <f t="shared" si="126"/>
        <v>27500</v>
      </c>
      <c r="I236" s="34"/>
      <c r="J236" s="35">
        <f t="shared" si="127"/>
        <v>8.8424437299035379</v>
      </c>
      <c r="K236" s="35"/>
      <c r="L236" s="27"/>
    </row>
    <row r="237" spans="1:12" s="24" customFormat="1" ht="20.100000000000001" customHeight="1" x14ac:dyDescent="0.3">
      <c r="A237" s="44" t="s">
        <v>116</v>
      </c>
      <c r="B237" s="42">
        <v>5</v>
      </c>
      <c r="C237" s="42">
        <v>74200</v>
      </c>
      <c r="D237" s="42">
        <v>371000</v>
      </c>
      <c r="E237" s="33">
        <v>72300</v>
      </c>
      <c r="F237" s="25"/>
      <c r="G237" s="25"/>
      <c r="H237" s="34">
        <f t="shared" si="126"/>
        <v>9500</v>
      </c>
      <c r="I237" s="34"/>
      <c r="J237" s="35">
        <f t="shared" si="127"/>
        <v>2.5606469002695418</v>
      </c>
      <c r="K237" s="35"/>
      <c r="L237" s="26"/>
    </row>
    <row r="238" spans="1:12" s="24" customFormat="1" ht="20.100000000000001" customHeight="1" x14ac:dyDescent="0.3">
      <c r="A238" s="44" t="s">
        <v>51</v>
      </c>
      <c r="B238" s="42">
        <v>42</v>
      </c>
      <c r="C238" s="42">
        <v>55700</v>
      </c>
      <c r="D238" s="42">
        <v>2339400</v>
      </c>
      <c r="E238" s="33">
        <v>54300</v>
      </c>
      <c r="F238" s="25"/>
      <c r="G238" s="25"/>
      <c r="H238" s="34">
        <f t="shared" si="126"/>
        <v>58800</v>
      </c>
      <c r="I238" s="34"/>
      <c r="J238" s="35">
        <f t="shared" si="127"/>
        <v>2.5134649910233393</v>
      </c>
      <c r="K238" s="35"/>
      <c r="L238" s="26"/>
    </row>
    <row r="239" spans="1:12" s="24" customFormat="1" ht="20.100000000000001" customHeight="1" x14ac:dyDescent="0.3">
      <c r="A239" s="44" t="s">
        <v>46</v>
      </c>
      <c r="B239" s="42">
        <v>10</v>
      </c>
      <c r="C239" s="42">
        <v>84000</v>
      </c>
      <c r="D239" s="42">
        <v>840000</v>
      </c>
      <c r="E239" s="33">
        <v>63400</v>
      </c>
      <c r="F239" s="25"/>
      <c r="G239" s="25"/>
      <c r="H239" s="34">
        <f t="shared" si="126"/>
        <v>206000</v>
      </c>
      <c r="I239" s="34"/>
      <c r="J239" s="35">
        <f t="shared" si="127"/>
        <v>24.523809523809522</v>
      </c>
      <c r="K239" s="35"/>
      <c r="L239" s="26"/>
    </row>
    <row r="240" spans="1:12" s="24" customFormat="1" ht="20.100000000000001" customHeight="1" x14ac:dyDescent="0.3">
      <c r="A240" s="44" t="s">
        <v>182</v>
      </c>
      <c r="B240" s="42">
        <v>5</v>
      </c>
      <c r="C240" s="42">
        <v>69000</v>
      </c>
      <c r="D240" s="42">
        <v>345000</v>
      </c>
      <c r="E240" s="33">
        <v>55400</v>
      </c>
      <c r="F240" s="25"/>
      <c r="G240" s="25"/>
      <c r="H240" s="34">
        <f t="shared" si="126"/>
        <v>68000</v>
      </c>
      <c r="I240" s="34"/>
      <c r="J240" s="35">
        <f t="shared" si="127"/>
        <v>19.710144927536234</v>
      </c>
      <c r="K240" s="35"/>
      <c r="L240" s="26"/>
    </row>
    <row r="241" spans="1:12" s="24" customFormat="1" ht="20.100000000000001" customHeight="1" x14ac:dyDescent="0.3">
      <c r="A241" s="43" t="s">
        <v>109</v>
      </c>
      <c r="B241" s="42"/>
      <c r="C241" s="42"/>
      <c r="D241" s="42"/>
      <c r="E241" s="33"/>
      <c r="F241" s="25"/>
      <c r="G241" s="25"/>
      <c r="H241" s="22"/>
      <c r="I241" s="22"/>
      <c r="J241" s="23"/>
      <c r="K241" s="23"/>
      <c r="L241" s="26"/>
    </row>
    <row r="242" spans="1:12" s="24" customFormat="1" ht="20.100000000000001" customHeight="1" x14ac:dyDescent="0.3">
      <c r="A242" s="44" t="s">
        <v>22</v>
      </c>
      <c r="B242" s="42">
        <v>15</v>
      </c>
      <c r="C242" s="42">
        <v>32000</v>
      </c>
      <c r="D242" s="42">
        <v>480000</v>
      </c>
      <c r="E242" s="33">
        <v>31200</v>
      </c>
      <c r="F242" s="25"/>
      <c r="G242" s="25"/>
      <c r="H242" s="34">
        <f t="shared" ref="H242:H248" si="128">D242-(E242*B242)-G242</f>
        <v>12000</v>
      </c>
      <c r="I242" s="34"/>
      <c r="J242" s="35">
        <f t="shared" ref="J242:J248" si="129">(H242/D242)*100</f>
        <v>2.5</v>
      </c>
      <c r="K242" s="35"/>
      <c r="L242" s="26"/>
    </row>
    <row r="243" spans="1:12" s="24" customFormat="1" ht="20.100000000000001" customHeight="1" x14ac:dyDescent="0.3">
      <c r="A243" s="44" t="s">
        <v>191</v>
      </c>
      <c r="B243" s="42">
        <v>30</v>
      </c>
      <c r="C243" s="42">
        <v>32000</v>
      </c>
      <c r="D243" s="42">
        <v>960000</v>
      </c>
      <c r="E243" s="33">
        <v>31200</v>
      </c>
      <c r="F243" s="25"/>
      <c r="G243" s="25"/>
      <c r="H243" s="34">
        <f t="shared" si="128"/>
        <v>24000</v>
      </c>
      <c r="I243" s="34"/>
      <c r="J243" s="35">
        <f t="shared" si="129"/>
        <v>2.5</v>
      </c>
      <c r="K243" s="35"/>
      <c r="L243" s="27"/>
    </row>
    <row r="244" spans="1:12" s="24" customFormat="1" ht="20.100000000000001" customHeight="1" x14ac:dyDescent="0.3">
      <c r="A244" s="44" t="s">
        <v>33</v>
      </c>
      <c r="B244" s="42">
        <v>15</v>
      </c>
      <c r="C244" s="42">
        <v>311150</v>
      </c>
      <c r="D244" s="42">
        <v>4741500</v>
      </c>
      <c r="E244" s="33">
        <v>289000</v>
      </c>
      <c r="F244" s="25"/>
      <c r="G244" s="25"/>
      <c r="H244" s="34">
        <f t="shared" si="128"/>
        <v>406500</v>
      </c>
      <c r="I244" s="34"/>
      <c r="J244" s="35">
        <f t="shared" si="129"/>
        <v>8.5732363176210065</v>
      </c>
      <c r="K244" s="35"/>
      <c r="L244" s="26"/>
    </row>
    <row r="245" spans="1:12" s="24" customFormat="1" ht="20.100000000000001" customHeight="1" x14ac:dyDescent="0.3">
      <c r="A245" s="44" t="s">
        <v>175</v>
      </c>
      <c r="B245" s="42">
        <v>20</v>
      </c>
      <c r="C245" s="42">
        <v>58200</v>
      </c>
      <c r="D245" s="42">
        <v>1164000</v>
      </c>
      <c r="E245" s="33">
        <v>56700</v>
      </c>
      <c r="F245" s="25"/>
      <c r="G245" s="25"/>
      <c r="H245" s="34">
        <f t="shared" si="128"/>
        <v>30000</v>
      </c>
      <c r="I245" s="34"/>
      <c r="J245" s="35">
        <f t="shared" si="129"/>
        <v>2.5773195876288657</v>
      </c>
      <c r="K245" s="35"/>
      <c r="L245" s="26"/>
    </row>
    <row r="246" spans="1:12" s="24" customFormat="1" ht="20.100000000000001" customHeight="1" x14ac:dyDescent="0.3">
      <c r="A246" s="44" t="s">
        <v>20</v>
      </c>
      <c r="B246" s="42">
        <v>5</v>
      </c>
      <c r="C246" s="42">
        <v>47800</v>
      </c>
      <c r="D246" s="42">
        <v>239000</v>
      </c>
      <c r="E246" s="33">
        <v>46600</v>
      </c>
      <c r="F246" s="25"/>
      <c r="G246" s="25"/>
      <c r="H246" s="34">
        <f t="shared" si="128"/>
        <v>6000</v>
      </c>
      <c r="I246" s="34"/>
      <c r="J246" s="35">
        <f t="shared" si="129"/>
        <v>2.510460251046025</v>
      </c>
      <c r="K246" s="35"/>
      <c r="L246" s="27"/>
    </row>
    <row r="247" spans="1:12" s="24" customFormat="1" ht="20.100000000000001" customHeight="1" x14ac:dyDescent="0.3">
      <c r="A247" s="44" t="s">
        <v>291</v>
      </c>
      <c r="B247" s="42">
        <v>6</v>
      </c>
      <c r="C247" s="42">
        <v>360800</v>
      </c>
      <c r="D247" s="42">
        <v>2164800</v>
      </c>
      <c r="E247" s="33">
        <v>352000</v>
      </c>
      <c r="F247" s="25"/>
      <c r="G247" s="25"/>
      <c r="H247" s="34">
        <f t="shared" si="128"/>
        <v>52800</v>
      </c>
      <c r="I247" s="34"/>
      <c r="J247" s="35">
        <f t="shared" si="129"/>
        <v>2.4390243902439024</v>
      </c>
      <c r="K247" s="35"/>
      <c r="L247" s="27"/>
    </row>
    <row r="248" spans="1:12" s="24" customFormat="1" ht="19.5" customHeight="1" x14ac:dyDescent="0.3">
      <c r="A248" s="44" t="s">
        <v>256</v>
      </c>
      <c r="B248" s="42">
        <v>5</v>
      </c>
      <c r="C248" s="42">
        <v>83100</v>
      </c>
      <c r="D248" s="42">
        <v>415500</v>
      </c>
      <c r="E248" s="33">
        <v>81000</v>
      </c>
      <c r="F248" s="25"/>
      <c r="G248" s="25"/>
      <c r="H248" s="34">
        <f t="shared" si="128"/>
        <v>10500</v>
      </c>
      <c r="I248" s="34"/>
      <c r="J248" s="35">
        <f t="shared" si="129"/>
        <v>2.5270758122743682</v>
      </c>
      <c r="K248" s="35"/>
      <c r="L248" s="26"/>
    </row>
    <row r="249" spans="1:12" s="24" customFormat="1" ht="20.100000000000001" customHeight="1" x14ac:dyDescent="0.3">
      <c r="A249" s="43" t="s">
        <v>377</v>
      </c>
      <c r="B249" s="42"/>
      <c r="C249" s="42"/>
      <c r="D249" s="42"/>
      <c r="E249" s="33"/>
      <c r="F249" s="25"/>
      <c r="G249" s="25"/>
      <c r="H249" s="22"/>
      <c r="I249" s="22"/>
      <c r="J249" s="23"/>
      <c r="K249" s="23"/>
      <c r="L249" s="26"/>
    </row>
    <row r="250" spans="1:12" s="24" customFormat="1" ht="20.100000000000001" customHeight="1" x14ac:dyDescent="0.3">
      <c r="A250" s="56" t="s">
        <v>474</v>
      </c>
      <c r="B250" s="57">
        <v>4</v>
      </c>
      <c r="C250" s="57">
        <v>2100000</v>
      </c>
      <c r="D250" s="57">
        <v>8400000</v>
      </c>
      <c r="E250" s="36">
        <v>2212000</v>
      </c>
      <c r="F250" s="37"/>
      <c r="G250" s="37"/>
      <c r="H250" s="38">
        <f t="shared" ref="H250" si="130">D250-(E250*B250)-G250</f>
        <v>-448000</v>
      </c>
      <c r="I250" s="38"/>
      <c r="J250" s="39">
        <f t="shared" ref="J250" si="131">(H250/D250)*100</f>
        <v>-5.3333333333333339</v>
      </c>
      <c r="K250" s="39"/>
      <c r="L250" s="40" t="s">
        <v>475</v>
      </c>
    </row>
    <row r="251" spans="1:12" s="24" customFormat="1" ht="20.100000000000001" customHeight="1" x14ac:dyDescent="0.3">
      <c r="A251" s="43" t="s">
        <v>31</v>
      </c>
      <c r="B251" s="42"/>
      <c r="C251" s="42"/>
      <c r="D251" s="42"/>
      <c r="E251" s="33"/>
      <c r="F251" s="25"/>
      <c r="G251" s="25"/>
      <c r="H251" s="22"/>
      <c r="I251" s="22"/>
      <c r="J251" s="23"/>
      <c r="K251" s="23"/>
      <c r="L251" s="27"/>
    </row>
    <row r="252" spans="1:12" s="24" customFormat="1" ht="20.100000000000001" customHeight="1" x14ac:dyDescent="0.3">
      <c r="A252" s="44" t="s">
        <v>235</v>
      </c>
      <c r="B252" s="42">
        <v>2</v>
      </c>
      <c r="C252" s="42">
        <v>73500</v>
      </c>
      <c r="D252" s="42">
        <v>147000</v>
      </c>
      <c r="E252" s="33">
        <v>71700</v>
      </c>
      <c r="F252" s="25"/>
      <c r="G252" s="25"/>
      <c r="H252" s="34">
        <f t="shared" ref="H252:H263" si="132">D252-(E252*B252)-G252</f>
        <v>3600</v>
      </c>
      <c r="I252" s="34"/>
      <c r="J252" s="35">
        <f t="shared" ref="J252:J263" si="133">(H252/D252)*100</f>
        <v>2.4489795918367347</v>
      </c>
      <c r="K252" s="35"/>
      <c r="L252" s="26"/>
    </row>
    <row r="253" spans="1:12" s="24" customFormat="1" ht="20.100000000000001" customHeight="1" x14ac:dyDescent="0.3">
      <c r="A253" s="44" t="s">
        <v>50</v>
      </c>
      <c r="B253" s="42">
        <v>5</v>
      </c>
      <c r="C253" s="42">
        <v>55300</v>
      </c>
      <c r="D253" s="42">
        <v>276500</v>
      </c>
      <c r="E253" s="33">
        <v>53900</v>
      </c>
      <c r="F253" s="25"/>
      <c r="G253" s="25"/>
      <c r="H253" s="34">
        <f t="shared" si="132"/>
        <v>7000</v>
      </c>
      <c r="I253" s="34"/>
      <c r="J253" s="35">
        <f t="shared" si="133"/>
        <v>2.5316455696202533</v>
      </c>
      <c r="K253" s="35"/>
      <c r="L253" s="26"/>
    </row>
    <row r="254" spans="1:12" s="24" customFormat="1" ht="20.100000000000001" customHeight="1" x14ac:dyDescent="0.3">
      <c r="A254" s="44" t="s">
        <v>535</v>
      </c>
      <c r="B254" s="42">
        <v>25</v>
      </c>
      <c r="C254" s="42">
        <v>455000</v>
      </c>
      <c r="D254" s="42">
        <v>11375000</v>
      </c>
      <c r="E254" s="33"/>
      <c r="F254" s="25">
        <v>429000</v>
      </c>
      <c r="G254" s="25"/>
      <c r="H254" s="22"/>
      <c r="I254" s="34">
        <f t="shared" ref="I254" si="134">D254-(F254*B254)-G254</f>
        <v>650000</v>
      </c>
      <c r="J254" s="35"/>
      <c r="K254" s="35">
        <f t="shared" ref="K254" si="135">(I254/D254)*100</f>
        <v>5.7142857142857144</v>
      </c>
      <c r="L254" s="27"/>
    </row>
    <row r="255" spans="1:12" s="24" customFormat="1" ht="20.100000000000001" customHeight="1" x14ac:dyDescent="0.3">
      <c r="A255" s="44" t="s">
        <v>167</v>
      </c>
      <c r="B255" s="42">
        <v>5</v>
      </c>
      <c r="C255" s="42">
        <v>55300</v>
      </c>
      <c r="D255" s="42">
        <v>276500</v>
      </c>
      <c r="E255" s="33">
        <v>53900</v>
      </c>
      <c r="F255" s="25"/>
      <c r="G255" s="25"/>
      <c r="H255" s="34">
        <f t="shared" si="132"/>
        <v>7000</v>
      </c>
      <c r="I255" s="34"/>
      <c r="J255" s="35">
        <f t="shared" si="133"/>
        <v>2.5316455696202533</v>
      </c>
      <c r="K255" s="35"/>
      <c r="L255" s="27"/>
    </row>
    <row r="256" spans="1:12" s="24" customFormat="1" ht="20.100000000000001" customHeight="1" x14ac:dyDescent="0.3">
      <c r="A256" s="44" t="s">
        <v>55</v>
      </c>
      <c r="B256" s="42">
        <v>5</v>
      </c>
      <c r="C256" s="42">
        <v>85700</v>
      </c>
      <c r="D256" s="42">
        <v>428500</v>
      </c>
      <c r="E256" s="33">
        <v>66400</v>
      </c>
      <c r="F256" s="25"/>
      <c r="G256" s="25"/>
      <c r="H256" s="34">
        <f t="shared" si="132"/>
        <v>96500</v>
      </c>
      <c r="I256" s="34"/>
      <c r="J256" s="35">
        <f t="shared" si="133"/>
        <v>22.520420070011667</v>
      </c>
      <c r="K256" s="35"/>
      <c r="L256" s="27"/>
    </row>
    <row r="257" spans="1:12" s="24" customFormat="1" ht="20.100000000000001" customHeight="1" x14ac:dyDescent="0.3">
      <c r="A257" s="44" t="s">
        <v>104</v>
      </c>
      <c r="B257" s="42">
        <v>10</v>
      </c>
      <c r="C257" s="42">
        <v>77400</v>
      </c>
      <c r="D257" s="42">
        <v>774000</v>
      </c>
      <c r="E257" s="33">
        <v>70900</v>
      </c>
      <c r="F257" s="25"/>
      <c r="G257" s="25"/>
      <c r="H257" s="34">
        <f t="shared" si="132"/>
        <v>65000</v>
      </c>
      <c r="I257" s="34"/>
      <c r="J257" s="35">
        <f t="shared" si="133"/>
        <v>8.3979328165374678</v>
      </c>
      <c r="K257" s="35"/>
      <c r="L257" s="26"/>
    </row>
    <row r="258" spans="1:12" s="24" customFormat="1" ht="20.100000000000001" customHeight="1" x14ac:dyDescent="0.3">
      <c r="A258" s="44" t="s">
        <v>96</v>
      </c>
      <c r="B258" s="42">
        <v>10</v>
      </c>
      <c r="C258" s="42">
        <v>83000</v>
      </c>
      <c r="D258" s="42">
        <v>830000</v>
      </c>
      <c r="E258" s="33">
        <v>80900</v>
      </c>
      <c r="F258" s="25"/>
      <c r="G258" s="25"/>
      <c r="H258" s="34">
        <f t="shared" si="132"/>
        <v>21000</v>
      </c>
      <c r="I258" s="34"/>
      <c r="J258" s="35">
        <f t="shared" si="133"/>
        <v>2.5301204819277108</v>
      </c>
      <c r="K258" s="35"/>
      <c r="L258" s="26"/>
    </row>
    <row r="259" spans="1:12" s="24" customFormat="1" ht="19.5" customHeight="1" x14ac:dyDescent="0.3">
      <c r="A259" s="44" t="s">
        <v>176</v>
      </c>
      <c r="B259" s="42">
        <v>2</v>
      </c>
      <c r="C259" s="42">
        <v>552500</v>
      </c>
      <c r="D259" s="42">
        <v>1105000</v>
      </c>
      <c r="E259" s="33">
        <v>539000</v>
      </c>
      <c r="F259" s="25"/>
      <c r="G259" s="25"/>
      <c r="H259" s="34">
        <f t="shared" si="132"/>
        <v>27000</v>
      </c>
      <c r="I259" s="34"/>
      <c r="J259" s="35">
        <f t="shared" si="133"/>
        <v>2.4434389140271495</v>
      </c>
      <c r="K259" s="35"/>
      <c r="L259" s="26"/>
    </row>
    <row r="260" spans="1:12" s="24" customFormat="1" ht="20.100000000000001" customHeight="1" x14ac:dyDescent="0.3">
      <c r="A260" s="44" t="s">
        <v>328</v>
      </c>
      <c r="B260" s="42">
        <v>1</v>
      </c>
      <c r="C260" s="42">
        <v>673500</v>
      </c>
      <c r="D260" s="42">
        <v>673500</v>
      </c>
      <c r="E260" s="33">
        <v>593000</v>
      </c>
      <c r="F260" s="25"/>
      <c r="G260" s="25"/>
      <c r="H260" s="34">
        <f t="shared" si="132"/>
        <v>80500</v>
      </c>
      <c r="I260" s="34"/>
      <c r="J260" s="35">
        <f t="shared" si="133"/>
        <v>11.952487008166296</v>
      </c>
      <c r="K260" s="35"/>
      <c r="L260" s="26"/>
    </row>
    <row r="261" spans="1:12" s="24" customFormat="1" ht="20.100000000000001" customHeight="1" x14ac:dyDescent="0.3">
      <c r="A261" s="44" t="s">
        <v>54</v>
      </c>
      <c r="B261" s="42">
        <v>5</v>
      </c>
      <c r="C261" s="42">
        <v>57100</v>
      </c>
      <c r="D261" s="42">
        <v>285500</v>
      </c>
      <c r="E261" s="33">
        <v>55700</v>
      </c>
      <c r="F261" s="25"/>
      <c r="G261" s="25"/>
      <c r="H261" s="34">
        <f t="shared" si="132"/>
        <v>7000</v>
      </c>
      <c r="I261" s="34"/>
      <c r="J261" s="35">
        <f t="shared" si="133"/>
        <v>2.4518388791593697</v>
      </c>
      <c r="K261" s="35"/>
      <c r="L261" s="26"/>
    </row>
    <row r="262" spans="1:12" s="24" customFormat="1" ht="20.100000000000001" customHeight="1" x14ac:dyDescent="0.3">
      <c r="A262" s="44" t="s">
        <v>46</v>
      </c>
      <c r="B262" s="42">
        <v>18</v>
      </c>
      <c r="C262" s="42">
        <v>92200</v>
      </c>
      <c r="D262" s="42">
        <v>1659600</v>
      </c>
      <c r="E262" s="33">
        <v>63400</v>
      </c>
      <c r="F262" s="25"/>
      <c r="G262" s="25"/>
      <c r="H262" s="34">
        <f t="shared" si="132"/>
        <v>518400</v>
      </c>
      <c r="I262" s="34"/>
      <c r="J262" s="35">
        <f t="shared" si="133"/>
        <v>31.23644251626898</v>
      </c>
      <c r="K262" s="35"/>
      <c r="L262" s="27"/>
    </row>
    <row r="263" spans="1:12" s="24" customFormat="1" ht="20.100000000000001" customHeight="1" x14ac:dyDescent="0.3">
      <c r="A263" s="44" t="s">
        <v>182</v>
      </c>
      <c r="B263" s="42">
        <v>15</v>
      </c>
      <c r="C263" s="42">
        <v>69000</v>
      </c>
      <c r="D263" s="42">
        <v>1035000</v>
      </c>
      <c r="E263" s="33">
        <v>55400</v>
      </c>
      <c r="F263" s="25"/>
      <c r="G263" s="25"/>
      <c r="H263" s="34">
        <f t="shared" si="132"/>
        <v>204000</v>
      </c>
      <c r="I263" s="34"/>
      <c r="J263" s="35">
        <f t="shared" si="133"/>
        <v>19.710144927536234</v>
      </c>
      <c r="K263" s="35"/>
      <c r="L263" s="27"/>
    </row>
    <row r="264" spans="1:12" s="24" customFormat="1" ht="20.100000000000001" customHeight="1" x14ac:dyDescent="0.3">
      <c r="A264" s="43" t="s">
        <v>110</v>
      </c>
      <c r="B264" s="42"/>
      <c r="C264" s="42"/>
      <c r="D264" s="42"/>
      <c r="E264" s="33"/>
      <c r="F264" s="25"/>
      <c r="G264" s="25"/>
      <c r="H264" s="22"/>
      <c r="I264" s="22"/>
      <c r="J264" s="23"/>
      <c r="K264" s="23"/>
      <c r="L264" s="26"/>
    </row>
    <row r="265" spans="1:12" s="24" customFormat="1" ht="20.100000000000001" customHeight="1" x14ac:dyDescent="0.3">
      <c r="A265" s="44" t="s">
        <v>173</v>
      </c>
      <c r="B265" s="42">
        <v>1</v>
      </c>
      <c r="C265" s="42">
        <v>501900</v>
      </c>
      <c r="D265" s="42">
        <v>501900</v>
      </c>
      <c r="E265" s="33">
        <v>492000</v>
      </c>
      <c r="F265" s="25"/>
      <c r="G265" s="25"/>
      <c r="H265" s="34">
        <f t="shared" ref="H265:H271" si="136">D265-(E265*B265)-G265</f>
        <v>9900</v>
      </c>
      <c r="I265" s="34"/>
      <c r="J265" s="35">
        <f t="shared" ref="J265:J271" si="137">(H265/D265)*100</f>
        <v>1.972504482964734</v>
      </c>
      <c r="K265" s="35"/>
      <c r="L265" s="26"/>
    </row>
    <row r="266" spans="1:12" s="24" customFormat="1" ht="20.100000000000001" customHeight="1" x14ac:dyDescent="0.3">
      <c r="A266" s="44" t="s">
        <v>123</v>
      </c>
      <c r="B266" s="42">
        <v>1</v>
      </c>
      <c r="C266" s="42">
        <v>56900</v>
      </c>
      <c r="D266" s="42">
        <v>56900</v>
      </c>
      <c r="E266" s="33">
        <v>55700</v>
      </c>
      <c r="F266" s="25"/>
      <c r="G266" s="25"/>
      <c r="H266" s="34">
        <f t="shared" si="136"/>
        <v>1200</v>
      </c>
      <c r="I266" s="34"/>
      <c r="J266" s="35">
        <f t="shared" si="137"/>
        <v>2.1089630931458698</v>
      </c>
      <c r="K266" s="35"/>
      <c r="L266" s="27"/>
    </row>
    <row r="267" spans="1:12" s="24" customFormat="1" ht="20.100000000000001" customHeight="1" x14ac:dyDescent="0.3">
      <c r="A267" s="44" t="s">
        <v>51</v>
      </c>
      <c r="B267" s="42">
        <v>42</v>
      </c>
      <c r="C267" s="42">
        <v>55400</v>
      </c>
      <c r="D267" s="42">
        <v>2326800</v>
      </c>
      <c r="E267" s="33">
        <v>54300</v>
      </c>
      <c r="F267" s="25"/>
      <c r="G267" s="25"/>
      <c r="H267" s="34">
        <f t="shared" si="136"/>
        <v>46200</v>
      </c>
      <c r="I267" s="34"/>
      <c r="J267" s="35">
        <f t="shared" si="137"/>
        <v>1.9855595667870036</v>
      </c>
      <c r="K267" s="35"/>
      <c r="L267" s="27"/>
    </row>
    <row r="268" spans="1:12" s="24" customFormat="1" ht="20.100000000000001" customHeight="1" x14ac:dyDescent="0.3">
      <c r="A268" s="44" t="s">
        <v>24</v>
      </c>
      <c r="B268" s="42">
        <v>1</v>
      </c>
      <c r="C268" s="42">
        <v>518200</v>
      </c>
      <c r="D268" s="42">
        <v>518200</v>
      </c>
      <c r="E268" s="33">
        <v>508000</v>
      </c>
      <c r="F268" s="25"/>
      <c r="G268" s="25"/>
      <c r="H268" s="34">
        <f t="shared" si="136"/>
        <v>10200</v>
      </c>
      <c r="I268" s="34"/>
      <c r="J268" s="35">
        <f t="shared" si="137"/>
        <v>1.9683519876495561</v>
      </c>
      <c r="K268" s="35"/>
      <c r="L268" s="26"/>
    </row>
    <row r="269" spans="1:12" s="24" customFormat="1" ht="20.100000000000001" customHeight="1" x14ac:dyDescent="0.3">
      <c r="A269" s="44" t="s">
        <v>54</v>
      </c>
      <c r="B269" s="42">
        <v>6</v>
      </c>
      <c r="C269" s="42">
        <v>56900</v>
      </c>
      <c r="D269" s="42">
        <v>341400</v>
      </c>
      <c r="E269" s="33">
        <v>55700</v>
      </c>
      <c r="F269" s="25"/>
      <c r="G269" s="25"/>
      <c r="H269" s="34">
        <f t="shared" si="136"/>
        <v>7200</v>
      </c>
      <c r="I269" s="34"/>
      <c r="J269" s="35">
        <f t="shared" si="137"/>
        <v>2.1089630931458698</v>
      </c>
      <c r="K269" s="35"/>
      <c r="L269" s="26"/>
    </row>
    <row r="270" spans="1:12" s="24" customFormat="1" ht="20.100000000000001" customHeight="1" x14ac:dyDescent="0.3">
      <c r="A270" s="44" t="s">
        <v>56</v>
      </c>
      <c r="B270" s="42">
        <v>10</v>
      </c>
      <c r="C270" s="42">
        <v>68200</v>
      </c>
      <c r="D270" s="42">
        <v>682000</v>
      </c>
      <c r="E270" s="33">
        <v>66800</v>
      </c>
      <c r="F270" s="25"/>
      <c r="G270" s="25"/>
      <c r="H270" s="34">
        <f t="shared" si="136"/>
        <v>14000</v>
      </c>
      <c r="I270" s="34"/>
      <c r="J270" s="35">
        <f t="shared" si="137"/>
        <v>2.0527859237536656</v>
      </c>
      <c r="K270" s="35"/>
      <c r="L270" s="27"/>
    </row>
    <row r="271" spans="1:12" s="24" customFormat="1" ht="20.100000000000001" customHeight="1" x14ac:dyDescent="0.3">
      <c r="A271" s="44" t="s">
        <v>23</v>
      </c>
      <c r="B271" s="42">
        <v>9</v>
      </c>
      <c r="C271" s="42">
        <v>91700</v>
      </c>
      <c r="D271" s="42">
        <v>825300</v>
      </c>
      <c r="E271" s="33">
        <v>63400</v>
      </c>
      <c r="F271" s="25"/>
      <c r="G271" s="25"/>
      <c r="H271" s="34">
        <f t="shared" si="136"/>
        <v>254700</v>
      </c>
      <c r="I271" s="34"/>
      <c r="J271" s="35">
        <f t="shared" si="137"/>
        <v>30.861504907306436</v>
      </c>
      <c r="K271" s="35"/>
      <c r="L271" s="27"/>
    </row>
    <row r="272" spans="1:12" s="24" customFormat="1" ht="20.100000000000001" customHeight="1" x14ac:dyDescent="0.3">
      <c r="A272" s="43" t="s">
        <v>180</v>
      </c>
      <c r="B272" s="42"/>
      <c r="C272" s="42"/>
      <c r="D272" s="42"/>
      <c r="E272" s="33"/>
      <c r="F272" s="25"/>
      <c r="G272" s="25"/>
      <c r="H272" s="22"/>
      <c r="I272" s="22"/>
      <c r="J272" s="23"/>
      <c r="K272" s="23"/>
      <c r="L272" s="26"/>
    </row>
    <row r="273" spans="1:12" s="24" customFormat="1" ht="20.100000000000001" customHeight="1" x14ac:dyDescent="0.3">
      <c r="A273" s="44" t="s">
        <v>167</v>
      </c>
      <c r="B273" s="42">
        <v>3</v>
      </c>
      <c r="C273" s="42">
        <v>65200</v>
      </c>
      <c r="D273" s="42">
        <v>195600</v>
      </c>
      <c r="E273" s="33">
        <v>53900</v>
      </c>
      <c r="F273" s="25"/>
      <c r="G273" s="25"/>
      <c r="H273" s="34">
        <f t="shared" ref="H273:H275" si="138">D273-(E273*B273)-G273</f>
        <v>33900</v>
      </c>
      <c r="I273" s="34"/>
      <c r="J273" s="35">
        <f t="shared" ref="J273:J275" si="139">(H273/D273)*100</f>
        <v>17.331288343558281</v>
      </c>
      <c r="K273" s="35"/>
      <c r="L273" s="26"/>
    </row>
    <row r="274" spans="1:12" s="24" customFormat="1" ht="20.100000000000001" customHeight="1" x14ac:dyDescent="0.3">
      <c r="A274" s="44" t="s">
        <v>97</v>
      </c>
      <c r="B274" s="42">
        <v>1</v>
      </c>
      <c r="C274" s="42">
        <v>361300</v>
      </c>
      <c r="D274" s="42">
        <v>361300</v>
      </c>
      <c r="E274" s="33">
        <v>287000</v>
      </c>
      <c r="F274" s="25"/>
      <c r="G274" s="25"/>
      <c r="H274" s="34">
        <f t="shared" si="138"/>
        <v>74300</v>
      </c>
      <c r="I274" s="34"/>
      <c r="J274" s="35">
        <f t="shared" si="139"/>
        <v>20.564627733185716</v>
      </c>
      <c r="K274" s="35"/>
      <c r="L274" s="26"/>
    </row>
    <row r="275" spans="1:12" s="24" customFormat="1" ht="20.100000000000001" customHeight="1" x14ac:dyDescent="0.3">
      <c r="A275" s="44" t="s">
        <v>51</v>
      </c>
      <c r="B275" s="42">
        <v>20</v>
      </c>
      <c r="C275" s="42">
        <v>61500</v>
      </c>
      <c r="D275" s="42">
        <v>1230000</v>
      </c>
      <c r="E275" s="33">
        <v>54300</v>
      </c>
      <c r="F275" s="25"/>
      <c r="G275" s="25"/>
      <c r="H275" s="34">
        <f t="shared" si="138"/>
        <v>144000</v>
      </c>
      <c r="I275" s="34"/>
      <c r="J275" s="35">
        <f t="shared" si="139"/>
        <v>11.707317073170733</v>
      </c>
      <c r="K275" s="35"/>
      <c r="L275" s="26"/>
    </row>
    <row r="276" spans="1:12" s="24" customFormat="1" ht="20.100000000000001" customHeight="1" x14ac:dyDescent="0.3">
      <c r="A276" s="43" t="s">
        <v>378</v>
      </c>
      <c r="B276" s="42"/>
      <c r="C276" s="42"/>
      <c r="D276" s="42"/>
      <c r="E276" s="33"/>
      <c r="F276" s="25"/>
      <c r="G276" s="25"/>
      <c r="H276" s="22"/>
      <c r="I276" s="22"/>
      <c r="J276" s="23"/>
      <c r="K276" s="23"/>
      <c r="L276" s="26"/>
    </row>
    <row r="277" spans="1:12" s="24" customFormat="1" ht="20.100000000000001" customHeight="1" x14ac:dyDescent="0.3">
      <c r="A277" s="44" t="s">
        <v>379</v>
      </c>
      <c r="B277" s="42">
        <v>1</v>
      </c>
      <c r="C277" s="42">
        <v>920000</v>
      </c>
      <c r="D277" s="42">
        <v>920000</v>
      </c>
      <c r="E277" s="33">
        <v>662000</v>
      </c>
      <c r="F277" s="25"/>
      <c r="G277" s="25"/>
      <c r="H277" s="34">
        <f t="shared" ref="H277" si="140">D277-(E277*B277)-G277</f>
        <v>258000</v>
      </c>
      <c r="I277" s="34"/>
      <c r="J277" s="35">
        <f t="shared" ref="J277" si="141">(H277/D277)*100</f>
        <v>28.043478260869563</v>
      </c>
      <c r="K277" s="35"/>
      <c r="L277" s="26"/>
    </row>
    <row r="278" spans="1:12" s="24" customFormat="1" ht="20.100000000000001" customHeight="1" x14ac:dyDescent="0.3">
      <c r="A278" s="43" t="s">
        <v>57</v>
      </c>
      <c r="B278" s="42"/>
      <c r="C278" s="42"/>
      <c r="D278" s="42"/>
      <c r="E278" s="33"/>
      <c r="F278" s="25"/>
      <c r="G278" s="25"/>
      <c r="H278" s="22"/>
      <c r="I278" s="22"/>
      <c r="J278" s="23"/>
      <c r="K278" s="23"/>
      <c r="L278" s="26"/>
    </row>
    <row r="279" spans="1:12" s="24" customFormat="1" ht="20.100000000000001" customHeight="1" x14ac:dyDescent="0.3">
      <c r="A279" s="44" t="s">
        <v>111</v>
      </c>
      <c r="B279" s="42">
        <v>5</v>
      </c>
      <c r="C279" s="42">
        <v>751600</v>
      </c>
      <c r="D279" s="42">
        <v>3758000</v>
      </c>
      <c r="E279" s="33">
        <v>581000</v>
      </c>
      <c r="F279" s="25"/>
      <c r="G279" s="25"/>
      <c r="H279" s="34">
        <f t="shared" ref="H279:H298" si="142">D279-(E279*B279)-G279</f>
        <v>853000</v>
      </c>
      <c r="I279" s="34"/>
      <c r="J279" s="35">
        <f t="shared" ref="J279:J298" si="143">(H279/D279)*100</f>
        <v>22.698243746673764</v>
      </c>
      <c r="K279" s="35"/>
      <c r="L279" s="26"/>
    </row>
    <row r="280" spans="1:12" s="24" customFormat="1" ht="20.100000000000001" customHeight="1" x14ac:dyDescent="0.3">
      <c r="A280" s="44" t="s">
        <v>173</v>
      </c>
      <c r="B280" s="42">
        <v>1</v>
      </c>
      <c r="C280" s="42">
        <v>511700</v>
      </c>
      <c r="D280" s="42">
        <v>511700</v>
      </c>
      <c r="E280" s="33">
        <v>492000</v>
      </c>
      <c r="F280" s="25"/>
      <c r="G280" s="25"/>
      <c r="H280" s="34">
        <f t="shared" si="142"/>
        <v>19700</v>
      </c>
      <c r="I280" s="34"/>
      <c r="J280" s="35">
        <f t="shared" si="143"/>
        <v>3.8499120578463941</v>
      </c>
      <c r="K280" s="35"/>
      <c r="L280" s="26"/>
    </row>
    <row r="281" spans="1:12" s="24" customFormat="1" ht="20.100000000000001" customHeight="1" x14ac:dyDescent="0.3">
      <c r="A281" s="44" t="s">
        <v>101</v>
      </c>
      <c r="B281" s="42">
        <v>4</v>
      </c>
      <c r="C281" s="42">
        <v>56100</v>
      </c>
      <c r="D281" s="42">
        <v>224400</v>
      </c>
      <c r="E281" s="33">
        <v>53900</v>
      </c>
      <c r="F281" s="25"/>
      <c r="G281" s="25"/>
      <c r="H281" s="34">
        <f t="shared" si="142"/>
        <v>8800</v>
      </c>
      <c r="I281" s="34"/>
      <c r="J281" s="35">
        <f t="shared" si="143"/>
        <v>3.9215686274509802</v>
      </c>
      <c r="K281" s="35"/>
      <c r="L281" s="26"/>
    </row>
    <row r="282" spans="1:12" s="24" customFormat="1" ht="20.100000000000001" customHeight="1" x14ac:dyDescent="0.3">
      <c r="A282" s="44" t="s">
        <v>25</v>
      </c>
      <c r="B282" s="42">
        <v>1</v>
      </c>
      <c r="C282" s="42">
        <v>511700</v>
      </c>
      <c r="D282" s="42">
        <v>511700</v>
      </c>
      <c r="E282" s="33">
        <v>492000</v>
      </c>
      <c r="F282" s="25"/>
      <c r="G282" s="25"/>
      <c r="H282" s="34">
        <f t="shared" si="142"/>
        <v>19700</v>
      </c>
      <c r="I282" s="34"/>
      <c r="J282" s="35">
        <f t="shared" si="143"/>
        <v>3.8499120578463941</v>
      </c>
      <c r="K282" s="35"/>
      <c r="L282" s="26"/>
    </row>
    <row r="283" spans="1:12" s="24" customFormat="1" ht="20.100000000000001" customHeight="1" x14ac:dyDescent="0.3">
      <c r="A283" s="44" t="s">
        <v>449</v>
      </c>
      <c r="B283" s="42">
        <v>4</v>
      </c>
      <c r="C283" s="42">
        <v>800000</v>
      </c>
      <c r="D283" s="42">
        <v>3200000</v>
      </c>
      <c r="E283" s="33">
        <v>575000</v>
      </c>
      <c r="F283" s="25"/>
      <c r="G283" s="25"/>
      <c r="H283" s="34">
        <f t="shared" si="142"/>
        <v>900000</v>
      </c>
      <c r="I283" s="34"/>
      <c r="J283" s="35">
        <f t="shared" si="143"/>
        <v>28.125</v>
      </c>
      <c r="K283" s="35"/>
      <c r="L283" s="26"/>
    </row>
    <row r="284" spans="1:12" s="24" customFormat="1" ht="20.100000000000001" customHeight="1" x14ac:dyDescent="0.3">
      <c r="A284" s="44" t="s">
        <v>98</v>
      </c>
      <c r="B284" s="42">
        <v>2</v>
      </c>
      <c r="C284" s="42">
        <v>930200</v>
      </c>
      <c r="D284" s="42">
        <v>1860400</v>
      </c>
      <c r="E284" s="33">
        <v>755000</v>
      </c>
      <c r="F284" s="25"/>
      <c r="G284" s="25"/>
      <c r="H284" s="34">
        <f t="shared" si="142"/>
        <v>350400</v>
      </c>
      <c r="I284" s="34"/>
      <c r="J284" s="35">
        <f t="shared" si="143"/>
        <v>18.834659213072456</v>
      </c>
      <c r="K284" s="35"/>
      <c r="L284" s="27"/>
    </row>
    <row r="285" spans="1:12" s="24" customFormat="1" ht="20.100000000000001" customHeight="1" x14ac:dyDescent="0.3">
      <c r="A285" s="44" t="s">
        <v>314</v>
      </c>
      <c r="B285" s="42">
        <v>2</v>
      </c>
      <c r="C285" s="42">
        <v>90600</v>
      </c>
      <c r="D285" s="42">
        <v>181200</v>
      </c>
      <c r="E285" s="33">
        <v>87100</v>
      </c>
      <c r="F285" s="25"/>
      <c r="G285" s="25"/>
      <c r="H285" s="34">
        <f t="shared" si="142"/>
        <v>7000</v>
      </c>
      <c r="I285" s="34"/>
      <c r="J285" s="35">
        <f t="shared" si="143"/>
        <v>3.8631346578366448</v>
      </c>
      <c r="K285" s="35"/>
      <c r="L285" s="26"/>
    </row>
    <row r="286" spans="1:12" s="24" customFormat="1" ht="20.100000000000001" customHeight="1" x14ac:dyDescent="0.3">
      <c r="A286" s="44" t="s">
        <v>380</v>
      </c>
      <c r="B286" s="42">
        <v>1</v>
      </c>
      <c r="C286" s="42">
        <v>990100</v>
      </c>
      <c r="D286" s="42">
        <v>990100</v>
      </c>
      <c r="E286" s="33">
        <v>952000</v>
      </c>
      <c r="F286" s="25"/>
      <c r="G286" s="25"/>
      <c r="H286" s="34">
        <f t="shared" si="142"/>
        <v>38100</v>
      </c>
      <c r="I286" s="34"/>
      <c r="J286" s="35">
        <f t="shared" si="143"/>
        <v>3.8480961519038481</v>
      </c>
      <c r="K286" s="35"/>
      <c r="L286" s="26"/>
    </row>
    <row r="287" spans="1:12" s="24" customFormat="1" ht="20.100000000000001" customHeight="1" x14ac:dyDescent="0.3">
      <c r="A287" s="44" t="s">
        <v>381</v>
      </c>
      <c r="B287" s="42">
        <v>9</v>
      </c>
      <c r="C287" s="42">
        <v>990100</v>
      </c>
      <c r="D287" s="42">
        <v>8910900</v>
      </c>
      <c r="E287" s="33">
        <v>952000</v>
      </c>
      <c r="F287" s="25"/>
      <c r="G287" s="25"/>
      <c r="H287" s="34">
        <f t="shared" si="142"/>
        <v>342900</v>
      </c>
      <c r="I287" s="34"/>
      <c r="J287" s="35">
        <f t="shared" si="143"/>
        <v>3.8480961519038481</v>
      </c>
      <c r="K287" s="35"/>
      <c r="L287" s="26"/>
    </row>
    <row r="288" spans="1:12" s="24" customFormat="1" ht="20.100000000000001" customHeight="1" x14ac:dyDescent="0.3">
      <c r="A288" s="44" t="s">
        <v>479</v>
      </c>
      <c r="B288" s="42">
        <v>2</v>
      </c>
      <c r="C288" s="42">
        <v>124800</v>
      </c>
      <c r="D288" s="42">
        <v>249600</v>
      </c>
      <c r="E288" s="33">
        <v>120000</v>
      </c>
      <c r="F288" s="25"/>
      <c r="G288" s="25"/>
      <c r="H288" s="34">
        <f t="shared" si="142"/>
        <v>9600</v>
      </c>
      <c r="I288" s="34"/>
      <c r="J288" s="35">
        <f t="shared" si="143"/>
        <v>3.8461538461538463</v>
      </c>
      <c r="K288" s="35"/>
      <c r="L288" s="26"/>
    </row>
    <row r="289" spans="1:12" s="24" customFormat="1" ht="20.100000000000001" customHeight="1" x14ac:dyDescent="0.3">
      <c r="A289" s="44" t="s">
        <v>462</v>
      </c>
      <c r="B289" s="42">
        <v>20</v>
      </c>
      <c r="C289" s="42">
        <v>36800</v>
      </c>
      <c r="D289" s="42">
        <v>736000</v>
      </c>
      <c r="E289" s="33">
        <v>33900</v>
      </c>
      <c r="F289" s="25"/>
      <c r="G289" s="25"/>
      <c r="H289" s="34">
        <f t="shared" si="142"/>
        <v>58000</v>
      </c>
      <c r="I289" s="34"/>
      <c r="J289" s="35">
        <f t="shared" si="143"/>
        <v>7.8804347826086962</v>
      </c>
      <c r="K289" s="35"/>
      <c r="L289" s="27"/>
    </row>
    <row r="290" spans="1:12" s="24" customFormat="1" ht="19.5" customHeight="1" x14ac:dyDescent="0.3">
      <c r="A290" s="44" t="s">
        <v>102</v>
      </c>
      <c r="B290" s="42">
        <v>4</v>
      </c>
      <c r="C290" s="42">
        <v>82400</v>
      </c>
      <c r="D290" s="42">
        <v>329600</v>
      </c>
      <c r="E290" s="33">
        <v>79200</v>
      </c>
      <c r="F290" s="25"/>
      <c r="G290" s="25"/>
      <c r="H290" s="34">
        <f t="shared" si="142"/>
        <v>12800</v>
      </c>
      <c r="I290" s="34"/>
      <c r="J290" s="35">
        <f t="shared" si="143"/>
        <v>3.8834951456310676</v>
      </c>
      <c r="K290" s="35"/>
      <c r="L290" s="26"/>
    </row>
    <row r="291" spans="1:12" s="24" customFormat="1" ht="20.100000000000001" customHeight="1" x14ac:dyDescent="0.3">
      <c r="A291" s="44" t="s">
        <v>364</v>
      </c>
      <c r="B291" s="42">
        <v>7</v>
      </c>
      <c r="C291" s="42">
        <v>314300</v>
      </c>
      <c r="D291" s="42">
        <v>2200100</v>
      </c>
      <c r="E291" s="33">
        <v>282000</v>
      </c>
      <c r="F291" s="25"/>
      <c r="G291" s="25"/>
      <c r="H291" s="34">
        <f t="shared" si="142"/>
        <v>226100</v>
      </c>
      <c r="I291" s="34"/>
      <c r="J291" s="35">
        <f t="shared" si="143"/>
        <v>10.276805599745465</v>
      </c>
      <c r="K291" s="35"/>
      <c r="L291" s="26"/>
    </row>
    <row r="292" spans="1:12" s="24" customFormat="1" ht="20.100000000000001" customHeight="1" x14ac:dyDescent="0.3">
      <c r="A292" s="44" t="s">
        <v>141</v>
      </c>
      <c r="B292" s="42">
        <v>3</v>
      </c>
      <c r="C292" s="42">
        <v>338400</v>
      </c>
      <c r="D292" s="42">
        <v>1015200</v>
      </c>
      <c r="E292" s="33">
        <v>289000</v>
      </c>
      <c r="F292" s="25"/>
      <c r="G292" s="25"/>
      <c r="H292" s="34">
        <f t="shared" si="142"/>
        <v>148200</v>
      </c>
      <c r="I292" s="34"/>
      <c r="J292" s="35">
        <f t="shared" si="143"/>
        <v>14.598108747044916</v>
      </c>
      <c r="K292" s="35"/>
      <c r="L292" s="26"/>
    </row>
    <row r="293" spans="1:12" s="24" customFormat="1" ht="20.100000000000001" customHeight="1" x14ac:dyDescent="0.3">
      <c r="A293" s="44" t="s">
        <v>151</v>
      </c>
      <c r="B293" s="42">
        <v>5</v>
      </c>
      <c r="C293" s="42">
        <v>657000</v>
      </c>
      <c r="D293" s="42">
        <v>3285000</v>
      </c>
      <c r="E293" s="33">
        <v>628000</v>
      </c>
      <c r="F293" s="25"/>
      <c r="G293" s="25"/>
      <c r="H293" s="34">
        <f t="shared" si="142"/>
        <v>145000</v>
      </c>
      <c r="I293" s="34"/>
      <c r="J293" s="35">
        <f t="shared" si="143"/>
        <v>4.4140030441400304</v>
      </c>
      <c r="K293" s="35"/>
      <c r="L293" s="27"/>
    </row>
    <row r="294" spans="1:12" s="24" customFormat="1" ht="20.100000000000001" customHeight="1" x14ac:dyDescent="0.3">
      <c r="A294" s="44" t="s">
        <v>51</v>
      </c>
      <c r="B294" s="42">
        <v>10</v>
      </c>
      <c r="C294" s="42">
        <v>56500</v>
      </c>
      <c r="D294" s="42">
        <v>565000</v>
      </c>
      <c r="E294" s="33">
        <v>54300</v>
      </c>
      <c r="F294" s="25"/>
      <c r="G294" s="25"/>
      <c r="H294" s="34">
        <f t="shared" si="142"/>
        <v>22000</v>
      </c>
      <c r="I294" s="34"/>
      <c r="J294" s="35">
        <f t="shared" si="143"/>
        <v>3.8938053097345131</v>
      </c>
      <c r="K294" s="35"/>
      <c r="L294" s="27"/>
    </row>
    <row r="295" spans="1:12" s="24" customFormat="1" ht="19.5" customHeight="1" x14ac:dyDescent="0.3">
      <c r="A295" s="44" t="s">
        <v>24</v>
      </c>
      <c r="B295" s="42">
        <v>12</v>
      </c>
      <c r="C295" s="42">
        <v>528400</v>
      </c>
      <c r="D295" s="42">
        <v>6340800</v>
      </c>
      <c r="E295" s="33">
        <v>508000</v>
      </c>
      <c r="F295" s="25"/>
      <c r="G295" s="25"/>
      <c r="H295" s="34">
        <f t="shared" si="142"/>
        <v>244800</v>
      </c>
      <c r="I295" s="34"/>
      <c r="J295" s="35">
        <f t="shared" si="143"/>
        <v>3.8607115821347469</v>
      </c>
      <c r="K295" s="35"/>
      <c r="L295" s="26"/>
    </row>
    <row r="296" spans="1:12" s="24" customFormat="1" ht="20.100000000000001" customHeight="1" x14ac:dyDescent="0.3">
      <c r="A296" s="44" t="s">
        <v>177</v>
      </c>
      <c r="B296" s="42">
        <v>4</v>
      </c>
      <c r="C296" s="42">
        <v>65500</v>
      </c>
      <c r="D296" s="42">
        <v>262000</v>
      </c>
      <c r="E296" s="33">
        <v>62700</v>
      </c>
      <c r="F296" s="25"/>
      <c r="G296" s="25"/>
      <c r="H296" s="34">
        <f t="shared" si="142"/>
        <v>11200</v>
      </c>
      <c r="I296" s="34"/>
      <c r="J296" s="35">
        <f t="shared" si="143"/>
        <v>4.2748091603053435</v>
      </c>
      <c r="K296" s="35"/>
      <c r="L296" s="26"/>
    </row>
    <row r="297" spans="1:12" s="24" customFormat="1" ht="20.100000000000001" customHeight="1" x14ac:dyDescent="0.3">
      <c r="A297" s="44" t="s">
        <v>182</v>
      </c>
      <c r="B297" s="42">
        <v>20</v>
      </c>
      <c r="C297" s="42">
        <v>70000</v>
      </c>
      <c r="D297" s="42">
        <v>1400000</v>
      </c>
      <c r="E297" s="33">
        <v>55400</v>
      </c>
      <c r="F297" s="25"/>
      <c r="G297" s="25"/>
      <c r="H297" s="34">
        <f t="shared" si="142"/>
        <v>292000</v>
      </c>
      <c r="I297" s="34"/>
      <c r="J297" s="35">
        <f t="shared" si="143"/>
        <v>20.857142857142858</v>
      </c>
      <c r="K297" s="35"/>
      <c r="L297" s="26"/>
    </row>
    <row r="298" spans="1:12" s="24" customFormat="1" ht="20.100000000000001" customHeight="1" x14ac:dyDescent="0.3">
      <c r="A298" s="44" t="s">
        <v>112</v>
      </c>
      <c r="B298" s="42">
        <v>5</v>
      </c>
      <c r="C298" s="42">
        <v>84300</v>
      </c>
      <c r="D298" s="42">
        <v>421500</v>
      </c>
      <c r="E298" s="33">
        <v>81000</v>
      </c>
      <c r="F298" s="25"/>
      <c r="G298" s="25"/>
      <c r="H298" s="34">
        <f t="shared" si="142"/>
        <v>16500</v>
      </c>
      <c r="I298" s="34"/>
      <c r="J298" s="35">
        <f t="shared" si="143"/>
        <v>3.9145907473309607</v>
      </c>
      <c r="K298" s="35"/>
      <c r="L298" s="27"/>
    </row>
    <row r="299" spans="1:12" s="24" customFormat="1" ht="20.100000000000001" customHeight="1" x14ac:dyDescent="0.3">
      <c r="A299" s="43" t="s">
        <v>382</v>
      </c>
      <c r="B299" s="42"/>
      <c r="C299" s="42"/>
      <c r="D299" s="42"/>
      <c r="E299" s="33"/>
      <c r="F299" s="25"/>
      <c r="G299" s="25"/>
      <c r="H299" s="22"/>
      <c r="I299" s="22"/>
      <c r="J299" s="23"/>
      <c r="K299" s="23"/>
      <c r="L299" s="26"/>
    </row>
    <row r="300" spans="1:12" s="24" customFormat="1" ht="20.100000000000001" customHeight="1" x14ac:dyDescent="0.3">
      <c r="A300" s="44" t="s">
        <v>230</v>
      </c>
      <c r="B300" s="42">
        <v>10</v>
      </c>
      <c r="C300" s="42">
        <v>85000</v>
      </c>
      <c r="D300" s="42">
        <v>850000</v>
      </c>
      <c r="E300" s="33">
        <v>71700</v>
      </c>
      <c r="F300" s="25"/>
      <c r="G300" s="25"/>
      <c r="H300" s="34">
        <f t="shared" ref="H300" si="144">D300-(E300*B300)-G300</f>
        <v>133000</v>
      </c>
      <c r="I300" s="34"/>
      <c r="J300" s="35">
        <f t="shared" ref="J300" si="145">(H300/D300)*100</f>
        <v>15.647058823529411</v>
      </c>
      <c r="K300" s="35"/>
      <c r="L300" s="27"/>
    </row>
    <row r="301" spans="1:12" s="24" customFormat="1" ht="20.100000000000001" customHeight="1" x14ac:dyDescent="0.3">
      <c r="A301" s="43" t="s">
        <v>383</v>
      </c>
      <c r="B301" s="42"/>
      <c r="C301" s="42"/>
      <c r="D301" s="42"/>
      <c r="E301" s="33"/>
      <c r="F301" s="25"/>
      <c r="G301" s="25"/>
      <c r="H301" s="22"/>
      <c r="I301" s="22"/>
      <c r="J301" s="23"/>
      <c r="K301" s="23"/>
      <c r="L301" s="27"/>
    </row>
    <row r="302" spans="1:12" s="24" customFormat="1" ht="20.100000000000001" customHeight="1" x14ac:dyDescent="0.3">
      <c r="A302" s="44" t="s">
        <v>165</v>
      </c>
      <c r="B302" s="42">
        <v>2</v>
      </c>
      <c r="C302" s="42">
        <v>153700</v>
      </c>
      <c r="D302" s="42">
        <v>307400</v>
      </c>
      <c r="E302" s="33">
        <v>120000</v>
      </c>
      <c r="F302" s="25"/>
      <c r="G302" s="25"/>
      <c r="H302" s="34">
        <f t="shared" ref="H302:H305" si="146">D302-(E302*B302)-G302</f>
        <v>67400</v>
      </c>
      <c r="I302" s="34"/>
      <c r="J302" s="35">
        <f t="shared" ref="J302:J305" si="147">(H302/D302)*100</f>
        <v>21.925829538061159</v>
      </c>
      <c r="K302" s="35"/>
      <c r="L302" s="27"/>
    </row>
    <row r="303" spans="1:12" s="24" customFormat="1" ht="20.100000000000001" customHeight="1" x14ac:dyDescent="0.3">
      <c r="A303" s="44" t="s">
        <v>45</v>
      </c>
      <c r="B303" s="42">
        <v>2</v>
      </c>
      <c r="C303" s="42">
        <v>270000</v>
      </c>
      <c r="D303" s="42">
        <v>540000</v>
      </c>
      <c r="E303" s="33">
        <v>233000</v>
      </c>
      <c r="F303" s="25"/>
      <c r="G303" s="25"/>
      <c r="H303" s="34">
        <f t="shared" si="146"/>
        <v>74000</v>
      </c>
      <c r="I303" s="34"/>
      <c r="J303" s="35">
        <f t="shared" si="147"/>
        <v>13.703703703703704</v>
      </c>
      <c r="K303" s="35"/>
      <c r="L303" s="26"/>
    </row>
    <row r="304" spans="1:12" s="24" customFormat="1" ht="20.100000000000001" customHeight="1" x14ac:dyDescent="0.3">
      <c r="A304" s="44" t="s">
        <v>158</v>
      </c>
      <c r="B304" s="42">
        <v>2</v>
      </c>
      <c r="C304" s="42">
        <v>98000</v>
      </c>
      <c r="D304" s="42">
        <v>196000</v>
      </c>
      <c r="E304" s="33">
        <v>81000</v>
      </c>
      <c r="F304" s="25"/>
      <c r="G304" s="25"/>
      <c r="H304" s="34">
        <f t="shared" si="146"/>
        <v>34000</v>
      </c>
      <c r="I304" s="34"/>
      <c r="J304" s="35">
        <f t="shared" si="147"/>
        <v>17.346938775510203</v>
      </c>
      <c r="K304" s="35"/>
      <c r="L304" s="26"/>
    </row>
    <row r="305" spans="1:12" s="24" customFormat="1" ht="20.100000000000001" customHeight="1" x14ac:dyDescent="0.3">
      <c r="A305" s="44" t="s">
        <v>49</v>
      </c>
      <c r="B305" s="42">
        <v>6</v>
      </c>
      <c r="C305" s="42">
        <v>6000</v>
      </c>
      <c r="D305" s="42">
        <v>36000</v>
      </c>
      <c r="E305" s="33">
        <v>6000</v>
      </c>
      <c r="F305" s="25"/>
      <c r="G305" s="25"/>
      <c r="H305" s="34">
        <f t="shared" si="146"/>
        <v>0</v>
      </c>
      <c r="I305" s="34"/>
      <c r="J305" s="35">
        <f t="shared" si="147"/>
        <v>0</v>
      </c>
      <c r="K305" s="35"/>
      <c r="L305" s="26"/>
    </row>
    <row r="306" spans="1:12" s="24" customFormat="1" ht="20.100000000000001" customHeight="1" x14ac:dyDescent="0.3">
      <c r="A306" s="43" t="s">
        <v>276</v>
      </c>
      <c r="B306" s="42"/>
      <c r="C306" s="42"/>
      <c r="D306" s="42"/>
      <c r="E306" s="33"/>
      <c r="F306" s="25"/>
      <c r="G306" s="25"/>
      <c r="H306" s="22"/>
      <c r="I306" s="22"/>
      <c r="J306" s="23"/>
      <c r="K306" s="23"/>
      <c r="L306" s="26"/>
    </row>
    <row r="307" spans="1:12" s="24" customFormat="1" ht="20.100000000000001" customHeight="1" x14ac:dyDescent="0.3">
      <c r="A307" s="44" t="s">
        <v>364</v>
      </c>
      <c r="B307" s="42">
        <v>1</v>
      </c>
      <c r="C307" s="42">
        <v>365600</v>
      </c>
      <c r="D307" s="42">
        <v>365600</v>
      </c>
      <c r="E307" s="33">
        <v>282000</v>
      </c>
      <c r="F307" s="25"/>
      <c r="G307" s="25"/>
      <c r="H307" s="34">
        <f t="shared" ref="H307:H313" si="148">D307-(E307*B307)-G307</f>
        <v>83600</v>
      </c>
      <c r="I307" s="34"/>
      <c r="J307" s="35">
        <f t="shared" ref="J307:J313" si="149">(H307/D307)*100</f>
        <v>22.866520787746168</v>
      </c>
      <c r="K307" s="35"/>
      <c r="L307" s="26"/>
    </row>
    <row r="308" spans="1:12" s="24" customFormat="1" ht="20.100000000000001" customHeight="1" x14ac:dyDescent="0.3">
      <c r="A308" s="44" t="s">
        <v>123</v>
      </c>
      <c r="B308" s="42">
        <v>1</v>
      </c>
      <c r="C308" s="42">
        <v>64400</v>
      </c>
      <c r="D308" s="42">
        <v>64400</v>
      </c>
      <c r="E308" s="33">
        <v>55700</v>
      </c>
      <c r="F308" s="25"/>
      <c r="G308" s="25"/>
      <c r="H308" s="34">
        <f t="shared" si="148"/>
        <v>8700</v>
      </c>
      <c r="I308" s="34"/>
      <c r="J308" s="35">
        <f t="shared" si="149"/>
        <v>13.509316770186336</v>
      </c>
      <c r="K308" s="35"/>
      <c r="L308" s="26"/>
    </row>
    <row r="309" spans="1:12" s="24" customFormat="1" ht="20.100000000000001" customHeight="1" x14ac:dyDescent="0.3">
      <c r="A309" s="44" t="s">
        <v>51</v>
      </c>
      <c r="B309" s="42">
        <v>7</v>
      </c>
      <c r="C309" s="42">
        <v>62700</v>
      </c>
      <c r="D309" s="42">
        <v>438900</v>
      </c>
      <c r="E309" s="33">
        <v>54300</v>
      </c>
      <c r="F309" s="25"/>
      <c r="G309" s="25"/>
      <c r="H309" s="34">
        <f t="shared" si="148"/>
        <v>58800</v>
      </c>
      <c r="I309" s="34"/>
      <c r="J309" s="35">
        <f t="shared" si="149"/>
        <v>13.397129186602871</v>
      </c>
      <c r="K309" s="35"/>
      <c r="L309" s="26"/>
    </row>
    <row r="310" spans="1:12" s="24" customFormat="1" ht="20.100000000000001" customHeight="1" x14ac:dyDescent="0.3">
      <c r="A310" s="44" t="s">
        <v>54</v>
      </c>
      <c r="B310" s="42">
        <v>1</v>
      </c>
      <c r="C310" s="42">
        <v>64400</v>
      </c>
      <c r="D310" s="42">
        <v>64400</v>
      </c>
      <c r="E310" s="33">
        <v>55700</v>
      </c>
      <c r="F310" s="25"/>
      <c r="G310" s="25"/>
      <c r="H310" s="34">
        <f t="shared" si="148"/>
        <v>8700</v>
      </c>
      <c r="I310" s="34"/>
      <c r="J310" s="35">
        <f t="shared" si="149"/>
        <v>13.509316770186336</v>
      </c>
      <c r="K310" s="35"/>
      <c r="L310" s="27"/>
    </row>
    <row r="311" spans="1:12" s="24" customFormat="1" ht="20.100000000000001" customHeight="1" x14ac:dyDescent="0.3">
      <c r="A311" s="44" t="s">
        <v>46</v>
      </c>
      <c r="B311" s="42">
        <v>2</v>
      </c>
      <c r="C311" s="42">
        <v>108800</v>
      </c>
      <c r="D311" s="42">
        <v>217600</v>
      </c>
      <c r="E311" s="33">
        <v>63400</v>
      </c>
      <c r="F311" s="25"/>
      <c r="G311" s="25"/>
      <c r="H311" s="34">
        <f t="shared" si="148"/>
        <v>90800</v>
      </c>
      <c r="I311" s="34"/>
      <c r="J311" s="35">
        <f t="shared" si="149"/>
        <v>41.727941176470587</v>
      </c>
      <c r="K311" s="35"/>
      <c r="L311" s="26"/>
    </row>
    <row r="312" spans="1:12" s="24" customFormat="1" ht="19.5" customHeight="1" x14ac:dyDescent="0.3">
      <c r="A312" s="44" t="s">
        <v>182</v>
      </c>
      <c r="B312" s="42">
        <v>3</v>
      </c>
      <c r="C312" s="42">
        <v>81400</v>
      </c>
      <c r="D312" s="42">
        <v>244200</v>
      </c>
      <c r="E312" s="33">
        <v>55400</v>
      </c>
      <c r="F312" s="25"/>
      <c r="G312" s="25"/>
      <c r="H312" s="34">
        <f t="shared" si="148"/>
        <v>78000</v>
      </c>
      <c r="I312" s="34"/>
      <c r="J312" s="35">
        <f t="shared" si="149"/>
        <v>31.941031941031937</v>
      </c>
      <c r="K312" s="35"/>
      <c r="L312" s="26"/>
    </row>
    <row r="313" spans="1:12" s="24" customFormat="1" ht="20.100000000000001" customHeight="1" x14ac:dyDescent="0.3">
      <c r="A313" s="44" t="s">
        <v>446</v>
      </c>
      <c r="B313" s="42">
        <v>4</v>
      </c>
      <c r="C313" s="42">
        <v>429600</v>
      </c>
      <c r="D313" s="42">
        <v>1718400</v>
      </c>
      <c r="E313" s="33">
        <v>355000</v>
      </c>
      <c r="F313" s="25"/>
      <c r="G313" s="25"/>
      <c r="H313" s="34">
        <f t="shared" si="148"/>
        <v>298400</v>
      </c>
      <c r="I313" s="34"/>
      <c r="J313" s="35">
        <f t="shared" si="149"/>
        <v>17.364990689013034</v>
      </c>
      <c r="K313" s="35"/>
      <c r="L313" s="26"/>
    </row>
    <row r="314" spans="1:12" s="24" customFormat="1" ht="20.100000000000001" customHeight="1" x14ac:dyDescent="0.3">
      <c r="A314" s="43" t="s">
        <v>384</v>
      </c>
      <c r="B314" s="42"/>
      <c r="C314" s="42"/>
      <c r="D314" s="42"/>
      <c r="E314" s="33"/>
      <c r="F314" s="25"/>
      <c r="G314" s="25"/>
      <c r="H314" s="22"/>
      <c r="I314" s="22"/>
      <c r="J314" s="23"/>
      <c r="K314" s="23"/>
      <c r="L314" s="26"/>
    </row>
    <row r="315" spans="1:12" s="24" customFormat="1" ht="20.100000000000001" customHeight="1" x14ac:dyDescent="0.3">
      <c r="A315" s="44" t="s">
        <v>53</v>
      </c>
      <c r="B315" s="42">
        <v>5</v>
      </c>
      <c r="C315" s="42">
        <v>84800</v>
      </c>
      <c r="D315" s="42">
        <v>424000</v>
      </c>
      <c r="E315" s="33">
        <v>62800</v>
      </c>
      <c r="F315" s="25"/>
      <c r="G315" s="25"/>
      <c r="H315" s="34">
        <f t="shared" ref="H315:H316" si="150">D315-(E315*B315)-G315</f>
        <v>110000</v>
      </c>
      <c r="I315" s="34"/>
      <c r="J315" s="35">
        <f t="shared" ref="J315:J316" si="151">(H315/D315)*100</f>
        <v>25.943396226415093</v>
      </c>
      <c r="K315" s="35"/>
      <c r="L315" s="27"/>
    </row>
    <row r="316" spans="1:12" s="24" customFormat="1" ht="20.100000000000001" customHeight="1" x14ac:dyDescent="0.3">
      <c r="A316" s="44" t="s">
        <v>51</v>
      </c>
      <c r="B316" s="42">
        <v>5</v>
      </c>
      <c r="C316" s="42">
        <v>65700</v>
      </c>
      <c r="D316" s="42">
        <v>328500</v>
      </c>
      <c r="E316" s="33">
        <v>54300</v>
      </c>
      <c r="F316" s="25"/>
      <c r="G316" s="25"/>
      <c r="H316" s="34">
        <f t="shared" si="150"/>
        <v>57000</v>
      </c>
      <c r="I316" s="34"/>
      <c r="J316" s="35">
        <f t="shared" si="151"/>
        <v>17.351598173515981</v>
      </c>
      <c r="K316" s="35"/>
      <c r="L316" s="26"/>
    </row>
    <row r="317" spans="1:12" s="24" customFormat="1" ht="20.100000000000001" customHeight="1" x14ac:dyDescent="0.3">
      <c r="A317" s="43" t="s">
        <v>385</v>
      </c>
      <c r="B317" s="42"/>
      <c r="C317" s="42"/>
      <c r="D317" s="42"/>
      <c r="E317" s="33"/>
      <c r="F317" s="25"/>
      <c r="G317" s="25"/>
      <c r="H317" s="22"/>
      <c r="I317" s="22"/>
      <c r="J317" s="23"/>
      <c r="K317" s="23"/>
      <c r="L317" s="26"/>
    </row>
    <row r="318" spans="1:12" s="24" customFormat="1" ht="20.100000000000001" customHeight="1" x14ac:dyDescent="0.3">
      <c r="A318" s="44" t="s">
        <v>51</v>
      </c>
      <c r="B318" s="42">
        <v>20</v>
      </c>
      <c r="C318" s="42">
        <v>61800</v>
      </c>
      <c r="D318" s="42">
        <v>1236000</v>
      </c>
      <c r="E318" s="33">
        <v>54300</v>
      </c>
      <c r="F318" s="25"/>
      <c r="G318" s="25"/>
      <c r="H318" s="34">
        <f t="shared" ref="H318" si="152">D318-(E318*B318)-G318</f>
        <v>150000</v>
      </c>
      <c r="I318" s="34"/>
      <c r="J318" s="35">
        <f t="shared" ref="J318" si="153">(H318/D318)*100</f>
        <v>12.135922330097088</v>
      </c>
      <c r="K318" s="35"/>
      <c r="L318" s="26"/>
    </row>
    <row r="319" spans="1:12" s="24" customFormat="1" ht="20.100000000000001" customHeight="1" x14ac:dyDescent="0.3">
      <c r="A319" s="43" t="s">
        <v>386</v>
      </c>
      <c r="B319" s="42"/>
      <c r="C319" s="42"/>
      <c r="D319" s="42"/>
      <c r="E319" s="33"/>
      <c r="F319" s="25"/>
      <c r="G319" s="25"/>
      <c r="H319" s="22"/>
      <c r="I319" s="22"/>
      <c r="J319" s="23"/>
      <c r="K319" s="23"/>
      <c r="L319" s="27"/>
    </row>
    <row r="320" spans="1:12" s="24" customFormat="1" ht="20.100000000000001" customHeight="1" x14ac:dyDescent="0.3">
      <c r="A320" s="44" t="s">
        <v>97</v>
      </c>
      <c r="B320" s="42">
        <v>1</v>
      </c>
      <c r="C320" s="42">
        <v>385000</v>
      </c>
      <c r="D320" s="42">
        <v>385000</v>
      </c>
      <c r="E320" s="33">
        <v>287000</v>
      </c>
      <c r="F320" s="25"/>
      <c r="G320" s="25"/>
      <c r="H320" s="34">
        <f t="shared" ref="H320" si="154">D320-(E320*B320)-G320</f>
        <v>98000</v>
      </c>
      <c r="I320" s="34"/>
      <c r="J320" s="35">
        <f t="shared" ref="J320" si="155">(H320/D320)*100</f>
        <v>25.454545454545453</v>
      </c>
      <c r="K320" s="35"/>
      <c r="L320" s="27"/>
    </row>
    <row r="321" spans="1:12" s="24" customFormat="1" ht="20.100000000000001" customHeight="1" x14ac:dyDescent="0.3">
      <c r="A321" s="43" t="s">
        <v>245</v>
      </c>
      <c r="B321" s="42"/>
      <c r="C321" s="42"/>
      <c r="D321" s="42"/>
      <c r="E321" s="33"/>
      <c r="F321" s="25"/>
      <c r="G321" s="25"/>
      <c r="H321" s="22"/>
      <c r="I321" s="22"/>
      <c r="J321" s="23"/>
      <c r="K321" s="23"/>
      <c r="L321" s="26"/>
    </row>
    <row r="322" spans="1:12" s="24" customFormat="1" ht="20.100000000000001" customHeight="1" x14ac:dyDescent="0.3">
      <c r="A322" s="44" t="s">
        <v>51</v>
      </c>
      <c r="B322" s="42">
        <v>10</v>
      </c>
      <c r="C322" s="42">
        <v>73400</v>
      </c>
      <c r="D322" s="42">
        <v>734000</v>
      </c>
      <c r="E322" s="33">
        <v>54300</v>
      </c>
      <c r="F322" s="25"/>
      <c r="G322" s="25"/>
      <c r="H322" s="34">
        <f t="shared" ref="H322" si="156">D322-(E322*B322)-G322</f>
        <v>191000</v>
      </c>
      <c r="I322" s="34"/>
      <c r="J322" s="35">
        <f t="shared" ref="J322" si="157">(H322/D322)*100</f>
        <v>26.021798365122617</v>
      </c>
      <c r="K322" s="35"/>
      <c r="L322" s="26"/>
    </row>
    <row r="323" spans="1:12" s="24" customFormat="1" ht="20.100000000000001" customHeight="1" x14ac:dyDescent="0.3">
      <c r="A323" s="43" t="s">
        <v>183</v>
      </c>
      <c r="B323" s="42"/>
      <c r="C323" s="42"/>
      <c r="D323" s="42"/>
      <c r="E323" s="33"/>
      <c r="F323" s="25"/>
      <c r="G323" s="25"/>
      <c r="H323" s="22"/>
      <c r="I323" s="22"/>
      <c r="J323" s="23"/>
      <c r="K323" s="23"/>
      <c r="L323" s="26"/>
    </row>
    <row r="324" spans="1:12" s="24" customFormat="1" ht="20.100000000000001" customHeight="1" x14ac:dyDescent="0.3">
      <c r="A324" s="44" t="s">
        <v>107</v>
      </c>
      <c r="B324" s="42">
        <v>5</v>
      </c>
      <c r="C324" s="42">
        <v>338700</v>
      </c>
      <c r="D324" s="42">
        <v>1693500</v>
      </c>
      <c r="E324" s="33">
        <v>287000</v>
      </c>
      <c r="F324" s="25"/>
      <c r="G324" s="25"/>
      <c r="H324" s="34">
        <f t="shared" ref="H324:H325" si="158">D324-(E324*B324)-G324</f>
        <v>258500</v>
      </c>
      <c r="I324" s="34"/>
      <c r="J324" s="35">
        <f t="shared" ref="J324:J325" si="159">(H324/D324)*100</f>
        <v>15.26424564511367</v>
      </c>
      <c r="K324" s="35"/>
      <c r="L324" s="26"/>
    </row>
    <row r="325" spans="1:12" s="24" customFormat="1" ht="20.100000000000001" customHeight="1" x14ac:dyDescent="0.3">
      <c r="A325" s="44" t="s">
        <v>49</v>
      </c>
      <c r="B325" s="42">
        <v>5</v>
      </c>
      <c r="C325" s="42">
        <v>6000</v>
      </c>
      <c r="D325" s="42">
        <v>30000</v>
      </c>
      <c r="E325" s="33">
        <v>6000</v>
      </c>
      <c r="F325" s="25"/>
      <c r="G325" s="25"/>
      <c r="H325" s="34">
        <f t="shared" si="158"/>
        <v>0</v>
      </c>
      <c r="I325" s="34"/>
      <c r="J325" s="35">
        <f t="shared" si="159"/>
        <v>0</v>
      </c>
      <c r="K325" s="35"/>
      <c r="L325" s="26"/>
    </row>
    <row r="326" spans="1:12" s="24" customFormat="1" ht="20.100000000000001" customHeight="1" x14ac:dyDescent="0.3">
      <c r="A326" s="43" t="s">
        <v>324</v>
      </c>
      <c r="B326" s="42"/>
      <c r="C326" s="42"/>
      <c r="D326" s="42"/>
      <c r="E326" s="33"/>
      <c r="F326" s="25"/>
      <c r="G326" s="25"/>
      <c r="H326" s="22"/>
      <c r="I326" s="22"/>
      <c r="J326" s="23"/>
      <c r="K326" s="23"/>
      <c r="L326" s="26"/>
    </row>
    <row r="327" spans="1:12" s="24" customFormat="1" ht="20.100000000000001" customHeight="1" x14ac:dyDescent="0.3">
      <c r="A327" s="44" t="s">
        <v>335</v>
      </c>
      <c r="B327" s="42">
        <v>1</v>
      </c>
      <c r="C327" s="42">
        <v>609000</v>
      </c>
      <c r="D327" s="42">
        <v>609000</v>
      </c>
      <c r="E327" s="33">
        <v>580000</v>
      </c>
      <c r="F327" s="25"/>
      <c r="G327" s="25"/>
      <c r="H327" s="34">
        <f t="shared" ref="H327" si="160">D327-(E327*B327)-G327</f>
        <v>29000</v>
      </c>
      <c r="I327" s="34"/>
      <c r="J327" s="35">
        <f t="shared" ref="J327" si="161">(H327/D327)*100</f>
        <v>4.7619047619047619</v>
      </c>
      <c r="K327" s="35"/>
      <c r="L327" s="26"/>
    </row>
    <row r="328" spans="1:12" s="24" customFormat="1" ht="20.100000000000001" customHeight="1" x14ac:dyDescent="0.3">
      <c r="A328" s="43" t="s">
        <v>114</v>
      </c>
      <c r="B328" s="42"/>
      <c r="C328" s="42"/>
      <c r="D328" s="42"/>
      <c r="E328" s="33"/>
      <c r="F328" s="25"/>
      <c r="G328" s="25"/>
      <c r="H328" s="22"/>
      <c r="I328" s="22"/>
      <c r="J328" s="23"/>
      <c r="K328" s="23"/>
      <c r="L328" s="26"/>
    </row>
    <row r="329" spans="1:12" s="24" customFormat="1" ht="20.100000000000001" customHeight="1" x14ac:dyDescent="0.3">
      <c r="A329" s="44" t="s">
        <v>225</v>
      </c>
      <c r="B329" s="42">
        <v>5</v>
      </c>
      <c r="C329" s="42">
        <v>59200</v>
      </c>
      <c r="D329" s="42">
        <v>296000</v>
      </c>
      <c r="E329" s="33">
        <v>56300</v>
      </c>
      <c r="F329" s="25"/>
      <c r="G329" s="25"/>
      <c r="H329" s="34">
        <f t="shared" ref="H329:H343" si="162">D329-(E329*B329)-G329</f>
        <v>14500</v>
      </c>
      <c r="I329" s="34"/>
      <c r="J329" s="35">
        <f t="shared" ref="J329:J343" si="163">(H329/D329)*100</f>
        <v>4.8986486486486482</v>
      </c>
      <c r="K329" s="35"/>
      <c r="L329" s="26"/>
    </row>
    <row r="330" spans="1:12" s="24" customFormat="1" ht="20.100000000000001" customHeight="1" x14ac:dyDescent="0.3">
      <c r="A330" s="44" t="s">
        <v>50</v>
      </c>
      <c r="B330" s="42">
        <v>27</v>
      </c>
      <c r="C330" s="42">
        <v>56600</v>
      </c>
      <c r="D330" s="42">
        <v>1528200</v>
      </c>
      <c r="E330" s="33">
        <v>53900</v>
      </c>
      <c r="F330" s="25"/>
      <c r="G330" s="25"/>
      <c r="H330" s="34">
        <f t="shared" si="162"/>
        <v>72900</v>
      </c>
      <c r="I330" s="34"/>
      <c r="J330" s="35">
        <f t="shared" si="163"/>
        <v>4.7703180212014136</v>
      </c>
      <c r="K330" s="35"/>
      <c r="L330" s="26"/>
    </row>
    <row r="331" spans="1:12" s="24" customFormat="1" ht="20.100000000000001" customHeight="1" x14ac:dyDescent="0.3">
      <c r="A331" s="44" t="s">
        <v>167</v>
      </c>
      <c r="B331" s="42">
        <v>5</v>
      </c>
      <c r="C331" s="42">
        <v>56600</v>
      </c>
      <c r="D331" s="42">
        <v>283000</v>
      </c>
      <c r="E331" s="33">
        <v>53900</v>
      </c>
      <c r="F331" s="25"/>
      <c r="G331" s="25"/>
      <c r="H331" s="34">
        <f t="shared" si="162"/>
        <v>13500</v>
      </c>
      <c r="I331" s="34"/>
      <c r="J331" s="35">
        <f t="shared" si="163"/>
        <v>4.7703180212014136</v>
      </c>
      <c r="K331" s="35"/>
      <c r="L331" s="26"/>
    </row>
    <row r="332" spans="1:12" s="24" customFormat="1" ht="20.100000000000001" customHeight="1" x14ac:dyDescent="0.3">
      <c r="A332" s="44" t="s">
        <v>53</v>
      </c>
      <c r="B332" s="42">
        <v>2</v>
      </c>
      <c r="C332" s="42">
        <v>73500</v>
      </c>
      <c r="D332" s="42">
        <v>147000</v>
      </c>
      <c r="E332" s="33">
        <v>62800</v>
      </c>
      <c r="F332" s="25"/>
      <c r="G332" s="25"/>
      <c r="H332" s="34">
        <f t="shared" si="162"/>
        <v>21400</v>
      </c>
      <c r="I332" s="34"/>
      <c r="J332" s="35">
        <f t="shared" si="163"/>
        <v>14.557823129251702</v>
      </c>
      <c r="K332" s="35"/>
      <c r="L332" s="26"/>
    </row>
    <row r="333" spans="1:12" s="24" customFormat="1" ht="20.100000000000001" customHeight="1" x14ac:dyDescent="0.3">
      <c r="A333" s="44" t="s">
        <v>364</v>
      </c>
      <c r="B333" s="42">
        <v>1</v>
      </c>
      <c r="C333" s="42">
        <v>317400</v>
      </c>
      <c r="D333" s="42">
        <v>317400</v>
      </c>
      <c r="E333" s="33">
        <v>282000</v>
      </c>
      <c r="F333" s="25"/>
      <c r="G333" s="25"/>
      <c r="H333" s="34">
        <f t="shared" si="162"/>
        <v>35400</v>
      </c>
      <c r="I333" s="34"/>
      <c r="J333" s="35">
        <f t="shared" si="163"/>
        <v>11.153119092627598</v>
      </c>
      <c r="K333" s="35"/>
      <c r="L333" s="27"/>
    </row>
    <row r="334" spans="1:12" s="24" customFormat="1" ht="20.100000000000001" customHeight="1" x14ac:dyDescent="0.3">
      <c r="A334" s="44" t="s">
        <v>97</v>
      </c>
      <c r="B334" s="42">
        <v>2</v>
      </c>
      <c r="C334" s="42">
        <v>328500</v>
      </c>
      <c r="D334" s="42">
        <v>657000</v>
      </c>
      <c r="E334" s="33">
        <v>287000</v>
      </c>
      <c r="F334" s="25"/>
      <c r="G334" s="25"/>
      <c r="H334" s="34">
        <f t="shared" si="162"/>
        <v>83000</v>
      </c>
      <c r="I334" s="34"/>
      <c r="J334" s="35">
        <f t="shared" si="163"/>
        <v>12.633181126331811</v>
      </c>
      <c r="K334" s="35"/>
      <c r="L334" s="26"/>
    </row>
    <row r="335" spans="1:12" s="24" customFormat="1" ht="20.100000000000001" customHeight="1" x14ac:dyDescent="0.3">
      <c r="A335" s="44" t="s">
        <v>141</v>
      </c>
      <c r="B335" s="42">
        <v>2</v>
      </c>
      <c r="C335" s="42">
        <v>341600</v>
      </c>
      <c r="D335" s="42">
        <v>683200</v>
      </c>
      <c r="E335" s="33">
        <v>289000</v>
      </c>
      <c r="F335" s="25"/>
      <c r="G335" s="25"/>
      <c r="H335" s="34">
        <f t="shared" si="162"/>
        <v>105200</v>
      </c>
      <c r="I335" s="34"/>
      <c r="J335" s="35">
        <f t="shared" si="163"/>
        <v>15.398126463700235</v>
      </c>
      <c r="K335" s="35"/>
      <c r="L335" s="26"/>
    </row>
    <row r="336" spans="1:12" s="24" customFormat="1" ht="20.100000000000001" customHeight="1" x14ac:dyDescent="0.3">
      <c r="A336" s="44" t="s">
        <v>123</v>
      </c>
      <c r="B336" s="42">
        <v>5</v>
      </c>
      <c r="C336" s="42">
        <v>58500</v>
      </c>
      <c r="D336" s="42">
        <v>292500</v>
      </c>
      <c r="E336" s="33">
        <v>55700</v>
      </c>
      <c r="F336" s="25"/>
      <c r="G336" s="25"/>
      <c r="H336" s="34">
        <f t="shared" si="162"/>
        <v>14000</v>
      </c>
      <c r="I336" s="34"/>
      <c r="J336" s="35">
        <f t="shared" si="163"/>
        <v>4.7863247863247871</v>
      </c>
      <c r="K336" s="35"/>
      <c r="L336" s="26"/>
    </row>
    <row r="337" spans="1:12" s="24" customFormat="1" ht="20.100000000000001" customHeight="1" x14ac:dyDescent="0.3">
      <c r="A337" s="44" t="s">
        <v>51</v>
      </c>
      <c r="B337" s="42">
        <v>42</v>
      </c>
      <c r="C337" s="42">
        <v>57100</v>
      </c>
      <c r="D337" s="42">
        <v>2398200</v>
      </c>
      <c r="E337" s="33">
        <v>54300</v>
      </c>
      <c r="F337" s="25"/>
      <c r="G337" s="25"/>
      <c r="H337" s="34">
        <f t="shared" si="162"/>
        <v>117600</v>
      </c>
      <c r="I337" s="34"/>
      <c r="J337" s="35">
        <f t="shared" si="163"/>
        <v>4.9036777583187394</v>
      </c>
      <c r="K337" s="35"/>
      <c r="L337" s="26"/>
    </row>
    <row r="338" spans="1:12" s="24" customFormat="1" ht="20.100000000000001" customHeight="1" x14ac:dyDescent="0.3">
      <c r="A338" s="44" t="s">
        <v>24</v>
      </c>
      <c r="B338" s="42">
        <v>6</v>
      </c>
      <c r="C338" s="42">
        <v>533400</v>
      </c>
      <c r="D338" s="42">
        <v>3200400</v>
      </c>
      <c r="E338" s="33">
        <v>508000</v>
      </c>
      <c r="F338" s="25"/>
      <c r="G338" s="25"/>
      <c r="H338" s="34">
        <f t="shared" si="162"/>
        <v>152400</v>
      </c>
      <c r="I338" s="34"/>
      <c r="J338" s="35">
        <f t="shared" si="163"/>
        <v>4.7619047619047619</v>
      </c>
      <c r="K338" s="35"/>
      <c r="L338" s="26"/>
    </row>
    <row r="339" spans="1:12" s="24" customFormat="1" ht="20.100000000000001" customHeight="1" x14ac:dyDescent="0.3">
      <c r="A339" s="44" t="s">
        <v>106</v>
      </c>
      <c r="B339" s="42">
        <v>1</v>
      </c>
      <c r="C339" s="42">
        <v>546000</v>
      </c>
      <c r="D339" s="42">
        <v>546000</v>
      </c>
      <c r="E339" s="33">
        <v>520000</v>
      </c>
      <c r="F339" s="25"/>
      <c r="G339" s="25"/>
      <c r="H339" s="34">
        <f t="shared" si="162"/>
        <v>26000</v>
      </c>
      <c r="I339" s="34"/>
      <c r="J339" s="35">
        <f t="shared" si="163"/>
        <v>4.7619047619047619</v>
      </c>
      <c r="K339" s="35"/>
      <c r="L339" s="26"/>
    </row>
    <row r="340" spans="1:12" s="24" customFormat="1" ht="20.100000000000001" customHeight="1" x14ac:dyDescent="0.3">
      <c r="A340" s="44" t="s">
        <v>178</v>
      </c>
      <c r="B340" s="42">
        <v>1</v>
      </c>
      <c r="C340" s="42">
        <v>533400</v>
      </c>
      <c r="D340" s="42">
        <v>533400</v>
      </c>
      <c r="E340" s="33">
        <v>508000</v>
      </c>
      <c r="F340" s="25"/>
      <c r="G340" s="25"/>
      <c r="H340" s="34">
        <f t="shared" si="162"/>
        <v>25400</v>
      </c>
      <c r="I340" s="34"/>
      <c r="J340" s="35">
        <f t="shared" si="163"/>
        <v>4.7619047619047619</v>
      </c>
      <c r="K340" s="35"/>
      <c r="L340" s="27"/>
    </row>
    <row r="341" spans="1:12" s="24" customFormat="1" ht="20.100000000000001" customHeight="1" x14ac:dyDescent="0.3">
      <c r="A341" s="44" t="s">
        <v>157</v>
      </c>
      <c r="B341" s="42">
        <v>5</v>
      </c>
      <c r="C341" s="42">
        <v>65000</v>
      </c>
      <c r="D341" s="42">
        <v>325000</v>
      </c>
      <c r="E341" s="33">
        <v>54200</v>
      </c>
      <c r="F341" s="25"/>
      <c r="G341" s="25"/>
      <c r="H341" s="34">
        <f t="shared" si="162"/>
        <v>54000</v>
      </c>
      <c r="I341" s="34"/>
      <c r="J341" s="35">
        <f t="shared" si="163"/>
        <v>16.615384615384617</v>
      </c>
      <c r="K341" s="35"/>
      <c r="L341" s="26"/>
    </row>
    <row r="342" spans="1:12" s="24" customFormat="1" ht="20.100000000000001" customHeight="1" x14ac:dyDescent="0.3">
      <c r="A342" s="44" t="s">
        <v>46</v>
      </c>
      <c r="B342" s="42">
        <v>8</v>
      </c>
      <c r="C342" s="42">
        <v>84000</v>
      </c>
      <c r="D342" s="42">
        <v>672000</v>
      </c>
      <c r="E342" s="33">
        <v>63400</v>
      </c>
      <c r="F342" s="25"/>
      <c r="G342" s="25"/>
      <c r="H342" s="34">
        <f t="shared" si="162"/>
        <v>164800</v>
      </c>
      <c r="I342" s="34"/>
      <c r="J342" s="35">
        <f t="shared" si="163"/>
        <v>24.523809523809522</v>
      </c>
      <c r="K342" s="35"/>
      <c r="L342" s="26"/>
    </row>
    <row r="343" spans="1:12" s="24" customFormat="1" ht="20.100000000000001" customHeight="1" x14ac:dyDescent="0.3">
      <c r="A343" s="44" t="s">
        <v>182</v>
      </c>
      <c r="B343" s="42">
        <v>20</v>
      </c>
      <c r="C343" s="42">
        <v>65000</v>
      </c>
      <c r="D343" s="42">
        <v>1300000</v>
      </c>
      <c r="E343" s="33">
        <v>55400</v>
      </c>
      <c r="F343" s="25"/>
      <c r="G343" s="25"/>
      <c r="H343" s="34">
        <f t="shared" si="162"/>
        <v>192000</v>
      </c>
      <c r="I343" s="34"/>
      <c r="J343" s="35">
        <f t="shared" si="163"/>
        <v>14.76923076923077</v>
      </c>
      <c r="K343" s="35"/>
      <c r="L343" s="27"/>
    </row>
    <row r="344" spans="1:12" s="24" customFormat="1" ht="20.100000000000001" customHeight="1" x14ac:dyDescent="0.3">
      <c r="A344" s="43" t="s">
        <v>387</v>
      </c>
      <c r="B344" s="42"/>
      <c r="C344" s="42"/>
      <c r="D344" s="42"/>
      <c r="E344" s="33"/>
      <c r="F344" s="25"/>
      <c r="G344" s="25"/>
      <c r="H344" s="22"/>
      <c r="I344" s="22"/>
      <c r="J344" s="23"/>
      <c r="K344" s="23"/>
      <c r="L344" s="27"/>
    </row>
    <row r="345" spans="1:12" s="24" customFormat="1" ht="19.5" customHeight="1" x14ac:dyDescent="0.3">
      <c r="A345" s="44" t="s">
        <v>51</v>
      </c>
      <c r="B345" s="42">
        <v>10</v>
      </c>
      <c r="C345" s="42">
        <v>70000</v>
      </c>
      <c r="D345" s="42">
        <v>700000</v>
      </c>
      <c r="E345" s="33">
        <v>54300</v>
      </c>
      <c r="F345" s="25"/>
      <c r="G345" s="25"/>
      <c r="H345" s="34">
        <f t="shared" ref="H345" si="164">D345-(E345*B345)-G345</f>
        <v>157000</v>
      </c>
      <c r="I345" s="34"/>
      <c r="J345" s="35">
        <f t="shared" ref="J345" si="165">(H345/D345)*100</f>
        <v>22.428571428571427</v>
      </c>
      <c r="K345" s="35"/>
      <c r="L345" s="26"/>
    </row>
    <row r="346" spans="1:12" s="24" customFormat="1" ht="20.100000000000001" customHeight="1" x14ac:dyDescent="0.3">
      <c r="A346" s="43" t="s">
        <v>388</v>
      </c>
      <c r="B346" s="42"/>
      <c r="C346" s="42"/>
      <c r="D346" s="42"/>
      <c r="E346" s="33"/>
      <c r="F346" s="25"/>
      <c r="G346" s="25"/>
      <c r="H346" s="22"/>
      <c r="I346" s="22"/>
      <c r="J346" s="23"/>
      <c r="K346" s="23"/>
      <c r="L346" s="26"/>
    </row>
    <row r="347" spans="1:12" s="24" customFormat="1" ht="20.100000000000001" customHeight="1" x14ac:dyDescent="0.3">
      <c r="A347" s="44" t="s">
        <v>299</v>
      </c>
      <c r="B347" s="42">
        <v>14</v>
      </c>
      <c r="C347" s="42">
        <v>430700</v>
      </c>
      <c r="D347" s="42">
        <v>6029800</v>
      </c>
      <c r="E347" s="33">
        <v>352000</v>
      </c>
      <c r="F347" s="25"/>
      <c r="G347" s="25"/>
      <c r="H347" s="34">
        <f t="shared" ref="H347" si="166">D347-(E347*B347)-G347</f>
        <v>1101800</v>
      </c>
      <c r="I347" s="34"/>
      <c r="J347" s="35">
        <f t="shared" ref="J347" si="167">(H347/D347)*100</f>
        <v>18.272579521708845</v>
      </c>
      <c r="K347" s="35"/>
      <c r="L347" s="26"/>
    </row>
    <row r="348" spans="1:12" s="24" customFormat="1" ht="20.100000000000001" customHeight="1" x14ac:dyDescent="0.3">
      <c r="A348" s="43" t="s">
        <v>80</v>
      </c>
      <c r="B348" s="42"/>
      <c r="C348" s="42"/>
      <c r="D348" s="42"/>
      <c r="E348" s="33"/>
      <c r="F348" s="25"/>
      <c r="G348" s="25"/>
      <c r="H348" s="22"/>
      <c r="I348" s="22"/>
      <c r="J348" s="23"/>
      <c r="K348" s="23"/>
      <c r="L348" s="27"/>
    </row>
    <row r="349" spans="1:12" s="24" customFormat="1" ht="20.100000000000001" customHeight="1" x14ac:dyDescent="0.3">
      <c r="A349" s="44" t="s">
        <v>113</v>
      </c>
      <c r="B349" s="42">
        <v>1</v>
      </c>
      <c r="C349" s="42">
        <v>146000</v>
      </c>
      <c r="D349" s="42">
        <v>146000</v>
      </c>
      <c r="E349" s="33">
        <v>118000</v>
      </c>
      <c r="F349" s="25"/>
      <c r="G349" s="25"/>
      <c r="H349" s="34">
        <f t="shared" ref="H349:H354" si="168">D349-(E349*B349)-G349</f>
        <v>28000</v>
      </c>
      <c r="I349" s="34"/>
      <c r="J349" s="35">
        <f t="shared" ref="J349:J354" si="169">(H349/D349)*100</f>
        <v>19.17808219178082</v>
      </c>
      <c r="K349" s="35"/>
      <c r="L349" s="26"/>
    </row>
    <row r="350" spans="1:12" s="24" customFormat="1" ht="20.100000000000001" customHeight="1" x14ac:dyDescent="0.3">
      <c r="A350" s="44" t="s">
        <v>307</v>
      </c>
      <c r="B350" s="42">
        <v>2</v>
      </c>
      <c r="C350" s="42">
        <v>66000</v>
      </c>
      <c r="D350" s="42">
        <v>132000</v>
      </c>
      <c r="E350" s="33">
        <v>55500</v>
      </c>
      <c r="F350" s="25"/>
      <c r="G350" s="25"/>
      <c r="H350" s="34">
        <f t="shared" si="168"/>
        <v>21000</v>
      </c>
      <c r="I350" s="34"/>
      <c r="J350" s="35">
        <f t="shared" si="169"/>
        <v>15.909090909090908</v>
      </c>
      <c r="K350" s="35"/>
      <c r="L350" s="26"/>
    </row>
    <row r="351" spans="1:12" s="24" customFormat="1" ht="20.100000000000001" customHeight="1" x14ac:dyDescent="0.3">
      <c r="A351" s="44" t="s">
        <v>115</v>
      </c>
      <c r="B351" s="42">
        <v>2</v>
      </c>
      <c r="C351" s="42">
        <v>58000</v>
      </c>
      <c r="D351" s="42">
        <v>116000</v>
      </c>
      <c r="E351" s="33">
        <v>49200</v>
      </c>
      <c r="F351" s="25"/>
      <c r="G351" s="25"/>
      <c r="H351" s="34">
        <f t="shared" si="168"/>
        <v>17600</v>
      </c>
      <c r="I351" s="34"/>
      <c r="J351" s="35">
        <f t="shared" si="169"/>
        <v>15.172413793103448</v>
      </c>
      <c r="K351" s="35"/>
      <c r="L351" s="27"/>
    </row>
    <row r="352" spans="1:12" s="24" customFormat="1" ht="20.100000000000001" customHeight="1" x14ac:dyDescent="0.3">
      <c r="A352" s="44" t="s">
        <v>63</v>
      </c>
      <c r="B352" s="42">
        <v>5</v>
      </c>
      <c r="C352" s="42">
        <v>69000</v>
      </c>
      <c r="D352" s="42">
        <v>345000</v>
      </c>
      <c r="E352" s="33">
        <v>58400</v>
      </c>
      <c r="F352" s="25"/>
      <c r="G352" s="25"/>
      <c r="H352" s="34">
        <f t="shared" si="168"/>
        <v>53000</v>
      </c>
      <c r="I352" s="34"/>
      <c r="J352" s="35">
        <f t="shared" si="169"/>
        <v>15.362318840579711</v>
      </c>
      <c r="K352" s="35"/>
      <c r="L352" s="27"/>
    </row>
    <row r="353" spans="1:12" s="24" customFormat="1" ht="20.100000000000001" customHeight="1" x14ac:dyDescent="0.3">
      <c r="A353" s="44" t="s">
        <v>39</v>
      </c>
      <c r="B353" s="42">
        <v>20</v>
      </c>
      <c r="C353" s="42">
        <v>88000</v>
      </c>
      <c r="D353" s="42">
        <v>1760000</v>
      </c>
      <c r="E353" s="33">
        <v>78100</v>
      </c>
      <c r="F353" s="25"/>
      <c r="G353" s="25"/>
      <c r="H353" s="34">
        <f t="shared" si="168"/>
        <v>198000</v>
      </c>
      <c r="I353" s="34"/>
      <c r="J353" s="35">
        <f t="shared" si="169"/>
        <v>11.25</v>
      </c>
      <c r="K353" s="35"/>
      <c r="L353" s="27"/>
    </row>
    <row r="354" spans="1:12" s="24" customFormat="1" ht="20.100000000000001" customHeight="1" x14ac:dyDescent="0.3">
      <c r="A354" s="44" t="s">
        <v>53</v>
      </c>
      <c r="B354" s="42">
        <v>2</v>
      </c>
      <c r="C354" s="42">
        <v>80000</v>
      </c>
      <c r="D354" s="42">
        <v>160000</v>
      </c>
      <c r="E354" s="33">
        <v>62800</v>
      </c>
      <c r="F354" s="25"/>
      <c r="G354" s="25"/>
      <c r="H354" s="34">
        <f t="shared" si="168"/>
        <v>34400</v>
      </c>
      <c r="I354" s="34"/>
      <c r="J354" s="35">
        <f t="shared" si="169"/>
        <v>21.5</v>
      </c>
      <c r="K354" s="35"/>
      <c r="L354" s="26"/>
    </row>
    <row r="355" spans="1:12" s="24" customFormat="1" ht="20.100000000000001" customHeight="1" x14ac:dyDescent="0.3">
      <c r="A355" s="43" t="s">
        <v>325</v>
      </c>
      <c r="B355" s="42"/>
      <c r="C355" s="42"/>
      <c r="D355" s="42"/>
      <c r="E355" s="33"/>
      <c r="F355" s="25"/>
      <c r="G355" s="25"/>
      <c r="H355" s="22"/>
      <c r="I355" s="22"/>
      <c r="J355" s="23"/>
      <c r="K355" s="23"/>
      <c r="L355" s="26"/>
    </row>
    <row r="356" spans="1:12" s="24" customFormat="1" ht="20.100000000000001" customHeight="1" x14ac:dyDescent="0.3">
      <c r="A356" s="44" t="s">
        <v>364</v>
      </c>
      <c r="B356" s="42">
        <v>7</v>
      </c>
      <c r="C356" s="42">
        <v>375000</v>
      </c>
      <c r="D356" s="42">
        <v>2625000</v>
      </c>
      <c r="E356" s="33">
        <v>282000</v>
      </c>
      <c r="F356" s="25"/>
      <c r="G356" s="25"/>
      <c r="H356" s="34">
        <f t="shared" ref="H356" si="170">D356-(E356*B356)-G356</f>
        <v>651000</v>
      </c>
      <c r="I356" s="34"/>
      <c r="J356" s="35">
        <f t="shared" ref="J356" si="171">(H356/D356)*100</f>
        <v>24.8</v>
      </c>
      <c r="K356" s="35"/>
      <c r="L356" s="27"/>
    </row>
    <row r="357" spans="1:12" s="24" customFormat="1" ht="19.5" customHeight="1" x14ac:dyDescent="0.3">
      <c r="A357" s="47" t="s">
        <v>58</v>
      </c>
      <c r="B357" s="42"/>
      <c r="C357" s="42"/>
      <c r="D357" s="42"/>
      <c r="E357" s="33"/>
      <c r="F357" s="25"/>
      <c r="G357" s="25"/>
      <c r="H357" s="22"/>
      <c r="I357" s="22"/>
      <c r="J357" s="23"/>
      <c r="K357" s="23"/>
      <c r="L357" s="26"/>
    </row>
    <row r="358" spans="1:12" s="24" customFormat="1" ht="20.100000000000001" customHeight="1" x14ac:dyDescent="0.3">
      <c r="A358" s="43" t="s">
        <v>184</v>
      </c>
      <c r="B358" s="42"/>
      <c r="C358" s="42"/>
      <c r="D358" s="42"/>
      <c r="E358" s="33"/>
      <c r="F358" s="25"/>
      <c r="G358" s="25"/>
      <c r="H358" s="22"/>
      <c r="I358" s="22"/>
      <c r="J358" s="23"/>
      <c r="K358" s="23"/>
      <c r="L358" s="26"/>
    </row>
    <row r="359" spans="1:12" s="24" customFormat="1" ht="20.100000000000001" customHeight="1" x14ac:dyDescent="0.3">
      <c r="A359" s="56" t="s">
        <v>128</v>
      </c>
      <c r="B359" s="57">
        <v>10</v>
      </c>
      <c r="C359" s="57">
        <v>76320</v>
      </c>
      <c r="D359" s="57">
        <v>763200</v>
      </c>
      <c r="E359" s="36">
        <v>81000</v>
      </c>
      <c r="F359" s="37"/>
      <c r="G359" s="37"/>
      <c r="H359" s="38">
        <f t="shared" ref="H359" si="172">D359-(E359*B359)-G359</f>
        <v>-46800</v>
      </c>
      <c r="I359" s="38"/>
      <c r="J359" s="39">
        <f t="shared" ref="J359" si="173">(H359/D359)*100</f>
        <v>-6.132075471698113</v>
      </c>
      <c r="K359" s="39"/>
      <c r="L359" s="40" t="s">
        <v>532</v>
      </c>
    </row>
    <row r="360" spans="1:12" s="24" customFormat="1" ht="20.100000000000001" customHeight="1" x14ac:dyDescent="0.3">
      <c r="A360" s="43" t="s">
        <v>389</v>
      </c>
      <c r="B360" s="42"/>
      <c r="C360" s="42"/>
      <c r="D360" s="42"/>
      <c r="E360" s="33"/>
      <c r="F360" s="25"/>
      <c r="G360" s="25"/>
      <c r="H360" s="22"/>
      <c r="I360" s="22"/>
      <c r="J360" s="23"/>
      <c r="K360" s="23"/>
      <c r="L360" s="27"/>
    </row>
    <row r="361" spans="1:12" s="24" customFormat="1" ht="20.100000000000001" customHeight="1" x14ac:dyDescent="0.3">
      <c r="A361" s="44" t="s">
        <v>480</v>
      </c>
      <c r="B361" s="42">
        <v>1</v>
      </c>
      <c r="C361" s="42">
        <v>1200000</v>
      </c>
      <c r="D361" s="42">
        <v>1200000</v>
      </c>
      <c r="E361" s="33">
        <v>850000</v>
      </c>
      <c r="F361" s="25"/>
      <c r="G361" s="25"/>
      <c r="H361" s="34">
        <f t="shared" ref="H361" si="174">D361-(E361*B361)-G361</f>
        <v>350000</v>
      </c>
      <c r="I361" s="34"/>
      <c r="J361" s="35">
        <f t="shared" ref="J361" si="175">(H361/D361)*100</f>
        <v>29.166666666666668</v>
      </c>
      <c r="K361" s="35"/>
      <c r="L361" s="27"/>
    </row>
    <row r="362" spans="1:12" s="24" customFormat="1" ht="20.100000000000001" customHeight="1" x14ac:dyDescent="0.3">
      <c r="A362" s="43" t="s">
        <v>391</v>
      </c>
      <c r="B362" s="42"/>
      <c r="C362" s="42"/>
      <c r="D362" s="42"/>
      <c r="E362" s="33"/>
      <c r="F362" s="25"/>
      <c r="G362" s="25"/>
      <c r="H362" s="22"/>
      <c r="I362" s="22"/>
      <c r="J362" s="23"/>
      <c r="K362" s="23"/>
      <c r="L362" s="26"/>
    </row>
    <row r="363" spans="1:12" s="24" customFormat="1" ht="20.100000000000001" customHeight="1" x14ac:dyDescent="0.3">
      <c r="A363" s="44" t="s">
        <v>390</v>
      </c>
      <c r="B363" s="42">
        <v>4</v>
      </c>
      <c r="C363" s="42">
        <v>1200000</v>
      </c>
      <c r="D363" s="42">
        <v>4800000</v>
      </c>
      <c r="E363" s="33">
        <v>850000</v>
      </c>
      <c r="F363" s="25"/>
      <c r="G363" s="25"/>
      <c r="H363" s="34">
        <f t="shared" ref="H363:H364" si="176">D363-(E363*B363)-G363</f>
        <v>1400000</v>
      </c>
      <c r="I363" s="34"/>
      <c r="J363" s="35">
        <f t="shared" ref="J363:J364" si="177">(H363/D363)*100</f>
        <v>29.166666666666668</v>
      </c>
      <c r="K363" s="35"/>
      <c r="L363" s="26"/>
    </row>
    <row r="364" spans="1:12" s="24" customFormat="1" ht="20.100000000000001" customHeight="1" x14ac:dyDescent="0.3">
      <c r="A364" s="44" t="s">
        <v>95</v>
      </c>
      <c r="B364" s="42">
        <v>4</v>
      </c>
      <c r="C364" s="42">
        <v>820000</v>
      </c>
      <c r="D364" s="42">
        <v>3280000</v>
      </c>
      <c r="E364" s="33">
        <v>623000</v>
      </c>
      <c r="F364" s="25"/>
      <c r="G364" s="25"/>
      <c r="H364" s="34">
        <f t="shared" si="176"/>
        <v>788000</v>
      </c>
      <c r="I364" s="34"/>
      <c r="J364" s="35">
        <f t="shared" si="177"/>
        <v>24.024390243902438</v>
      </c>
      <c r="K364" s="35"/>
      <c r="L364" s="27"/>
    </row>
    <row r="365" spans="1:12" s="24" customFormat="1" ht="20.100000000000001" customHeight="1" x14ac:dyDescent="0.3">
      <c r="A365" s="43" t="s">
        <v>392</v>
      </c>
      <c r="B365" s="42"/>
      <c r="C365" s="42"/>
      <c r="D365" s="42"/>
      <c r="E365" s="33"/>
      <c r="F365" s="25"/>
      <c r="G365" s="25"/>
      <c r="H365" s="22"/>
      <c r="I365" s="22"/>
      <c r="J365" s="23"/>
      <c r="K365" s="23"/>
      <c r="L365" s="27"/>
    </row>
    <row r="366" spans="1:12" s="24" customFormat="1" ht="20.100000000000001" customHeight="1" x14ac:dyDescent="0.3">
      <c r="A366" s="56" t="s">
        <v>536</v>
      </c>
      <c r="B366" s="57">
        <v>10</v>
      </c>
      <c r="C366" s="57">
        <v>52600</v>
      </c>
      <c r="D366" s="57">
        <v>526000</v>
      </c>
      <c r="E366" s="36">
        <v>53900</v>
      </c>
      <c r="F366" s="37"/>
      <c r="G366" s="37"/>
      <c r="H366" s="38">
        <f t="shared" ref="H366" si="178">D366-(E366*B366)-G366</f>
        <v>-13000</v>
      </c>
      <c r="I366" s="38"/>
      <c r="J366" s="39">
        <f t="shared" ref="J366" si="179">(H366/D366)*100</f>
        <v>-2.4714828897338403</v>
      </c>
      <c r="K366" s="39"/>
      <c r="L366" s="40" t="s">
        <v>497</v>
      </c>
    </row>
    <row r="367" spans="1:12" s="24" customFormat="1" ht="20.100000000000001" customHeight="1" x14ac:dyDescent="0.3">
      <c r="A367" s="47" t="s">
        <v>59</v>
      </c>
      <c r="B367" s="42"/>
      <c r="C367" s="42"/>
      <c r="D367" s="42"/>
      <c r="E367" s="33"/>
      <c r="F367" s="25"/>
      <c r="G367" s="25"/>
      <c r="H367" s="22"/>
      <c r="I367" s="22"/>
      <c r="J367" s="23"/>
      <c r="K367" s="23"/>
      <c r="L367" s="26"/>
    </row>
    <row r="368" spans="1:12" s="24" customFormat="1" ht="20.100000000000001" customHeight="1" x14ac:dyDescent="0.3">
      <c r="A368" s="43" t="s">
        <v>185</v>
      </c>
      <c r="B368" s="42"/>
      <c r="C368" s="42"/>
      <c r="D368" s="42"/>
      <c r="E368" s="33"/>
      <c r="F368" s="25"/>
      <c r="G368" s="25"/>
      <c r="H368" s="22"/>
      <c r="I368" s="22"/>
      <c r="J368" s="23"/>
      <c r="K368" s="23"/>
      <c r="L368" s="27"/>
    </row>
    <row r="369" spans="1:12" s="24" customFormat="1" ht="20.100000000000001" customHeight="1" x14ac:dyDescent="0.3">
      <c r="A369" s="56" t="s">
        <v>285</v>
      </c>
      <c r="B369" s="57">
        <v>2</v>
      </c>
      <c r="C369" s="57">
        <v>2649920</v>
      </c>
      <c r="D369" s="57">
        <v>5299840</v>
      </c>
      <c r="E369" s="36">
        <v>3480000</v>
      </c>
      <c r="F369" s="37"/>
      <c r="G369" s="37"/>
      <c r="H369" s="38">
        <f t="shared" ref="H369:H370" si="180">D369-(E369*B369)-G369</f>
        <v>-1660160</v>
      </c>
      <c r="I369" s="38"/>
      <c r="J369" s="39">
        <f t="shared" ref="J369:J370" si="181">(H369/D369)*100</f>
        <v>-31.324719236807148</v>
      </c>
      <c r="K369" s="39"/>
      <c r="L369" s="40" t="s">
        <v>481</v>
      </c>
    </row>
    <row r="370" spans="1:12" s="24" customFormat="1" ht="20.100000000000001" customHeight="1" x14ac:dyDescent="0.3">
      <c r="A370" s="56" t="s">
        <v>393</v>
      </c>
      <c r="B370" s="57">
        <v>1</v>
      </c>
      <c r="C370" s="57">
        <v>2649920</v>
      </c>
      <c r="D370" s="57">
        <v>2649920</v>
      </c>
      <c r="E370" s="36">
        <v>3480000</v>
      </c>
      <c r="F370" s="37"/>
      <c r="G370" s="37"/>
      <c r="H370" s="38">
        <f t="shared" si="180"/>
        <v>-830080</v>
      </c>
      <c r="I370" s="38"/>
      <c r="J370" s="39">
        <f t="shared" si="181"/>
        <v>-31.324719236807148</v>
      </c>
      <c r="K370" s="39"/>
      <c r="L370" s="40" t="s">
        <v>481</v>
      </c>
    </row>
    <row r="371" spans="1:12" s="24" customFormat="1" ht="20.100000000000001" customHeight="1" x14ac:dyDescent="0.3">
      <c r="A371" s="43" t="s">
        <v>246</v>
      </c>
      <c r="B371" s="42"/>
      <c r="C371" s="42"/>
      <c r="D371" s="42"/>
      <c r="E371" s="33"/>
      <c r="F371" s="25"/>
      <c r="G371" s="25"/>
      <c r="H371" s="22"/>
      <c r="I371" s="22"/>
      <c r="J371" s="23"/>
      <c r="K371" s="23"/>
      <c r="L371" s="27"/>
    </row>
    <row r="372" spans="1:12" s="24" customFormat="1" ht="20.100000000000001" customHeight="1" x14ac:dyDescent="0.3">
      <c r="A372" s="44" t="s">
        <v>107</v>
      </c>
      <c r="B372" s="42">
        <v>84</v>
      </c>
      <c r="C372" s="42">
        <v>352000</v>
      </c>
      <c r="D372" s="42">
        <v>29568000</v>
      </c>
      <c r="E372" s="33">
        <v>287000</v>
      </c>
      <c r="F372" s="25"/>
      <c r="G372" s="25"/>
      <c r="H372" s="34">
        <f t="shared" ref="H372:H373" si="182">D372-(E372*B372)-G372</f>
        <v>5460000</v>
      </c>
      <c r="I372" s="34"/>
      <c r="J372" s="35">
        <f t="shared" ref="J372:J373" si="183">(H372/D372)*100</f>
        <v>18.46590909090909</v>
      </c>
      <c r="K372" s="35"/>
      <c r="L372" s="26"/>
    </row>
    <row r="373" spans="1:12" s="24" customFormat="1" ht="20.100000000000001" customHeight="1" x14ac:dyDescent="0.3">
      <c r="A373" s="44" t="s">
        <v>141</v>
      </c>
      <c r="B373" s="42">
        <v>35</v>
      </c>
      <c r="C373" s="42">
        <v>365000</v>
      </c>
      <c r="D373" s="42">
        <v>12775000</v>
      </c>
      <c r="E373" s="33">
        <v>289000</v>
      </c>
      <c r="F373" s="25"/>
      <c r="G373" s="25"/>
      <c r="H373" s="34">
        <f t="shared" si="182"/>
        <v>2660000</v>
      </c>
      <c r="I373" s="34"/>
      <c r="J373" s="35">
        <f t="shared" si="183"/>
        <v>20.82191780821918</v>
      </c>
      <c r="K373" s="35"/>
      <c r="L373" s="27"/>
    </row>
    <row r="374" spans="1:12" s="24" customFormat="1" ht="20.100000000000001" customHeight="1" x14ac:dyDescent="0.3">
      <c r="A374" s="43" t="s">
        <v>186</v>
      </c>
      <c r="B374" s="42"/>
      <c r="C374" s="42"/>
      <c r="D374" s="42"/>
      <c r="E374" s="33"/>
      <c r="F374" s="25"/>
      <c r="G374" s="25"/>
      <c r="H374" s="22"/>
      <c r="I374" s="22"/>
      <c r="J374" s="23"/>
      <c r="K374" s="23"/>
      <c r="L374" s="26"/>
    </row>
    <row r="375" spans="1:12" s="24" customFormat="1" ht="20.100000000000001" customHeight="1" x14ac:dyDescent="0.3">
      <c r="A375" s="44" t="s">
        <v>487</v>
      </c>
      <c r="B375" s="42">
        <v>6</v>
      </c>
      <c r="C375" s="42">
        <v>512000</v>
      </c>
      <c r="D375" s="42">
        <v>3072000</v>
      </c>
      <c r="E375" s="33">
        <v>441480</v>
      </c>
      <c r="F375" s="25"/>
      <c r="G375" s="25"/>
      <c r="H375" s="34">
        <f t="shared" ref="H375" si="184">D375-(E375*B375)-G375</f>
        <v>423120</v>
      </c>
      <c r="I375" s="34"/>
      <c r="J375" s="35">
        <f t="shared" ref="J375" si="185">(H375/D375)*100</f>
        <v>13.7734375</v>
      </c>
      <c r="K375" s="35"/>
      <c r="L375" s="26"/>
    </row>
    <row r="376" spans="1:12" s="24" customFormat="1" ht="20.100000000000001" customHeight="1" x14ac:dyDescent="0.3">
      <c r="A376" s="43" t="s">
        <v>292</v>
      </c>
      <c r="B376" s="42"/>
      <c r="C376" s="42"/>
      <c r="D376" s="42"/>
      <c r="E376" s="33"/>
      <c r="F376" s="25"/>
      <c r="G376" s="25"/>
      <c r="H376" s="22"/>
      <c r="I376" s="22"/>
      <c r="J376" s="23"/>
      <c r="K376" s="23"/>
      <c r="L376" s="27"/>
    </row>
    <row r="377" spans="1:12" s="24" customFormat="1" ht="20.100000000000001" customHeight="1" x14ac:dyDescent="0.3">
      <c r="A377" s="44" t="s">
        <v>33</v>
      </c>
      <c r="B377" s="42">
        <v>10</v>
      </c>
      <c r="C377" s="42">
        <v>370000</v>
      </c>
      <c r="D377" s="42">
        <v>3700000</v>
      </c>
      <c r="E377" s="33">
        <v>289000</v>
      </c>
      <c r="F377" s="25"/>
      <c r="G377" s="25"/>
      <c r="H377" s="34">
        <f t="shared" ref="H377:H378" si="186">D377-(E377*B377)-G377</f>
        <v>810000</v>
      </c>
      <c r="I377" s="34"/>
      <c r="J377" s="35">
        <f t="shared" ref="J377:J378" si="187">(H377/D377)*100</f>
        <v>21.891891891891895</v>
      </c>
      <c r="K377" s="35"/>
      <c r="L377" s="27"/>
    </row>
    <row r="378" spans="1:12" s="24" customFormat="1" ht="20.100000000000001" customHeight="1" x14ac:dyDescent="0.3">
      <c r="A378" s="44" t="s">
        <v>293</v>
      </c>
      <c r="B378" s="42">
        <v>10</v>
      </c>
      <c r="C378" s="42">
        <v>50000</v>
      </c>
      <c r="D378" s="42">
        <v>500000</v>
      </c>
      <c r="E378" s="33">
        <v>50000</v>
      </c>
      <c r="F378" s="25"/>
      <c r="G378" s="25"/>
      <c r="H378" s="34">
        <f t="shared" si="186"/>
        <v>0</v>
      </c>
      <c r="I378" s="34"/>
      <c r="J378" s="35">
        <f t="shared" si="187"/>
        <v>0</v>
      </c>
      <c r="K378" s="35"/>
      <c r="L378" s="27"/>
    </row>
    <row r="379" spans="1:12" s="24" customFormat="1" ht="20.100000000000001" customHeight="1" x14ac:dyDescent="0.3">
      <c r="A379" s="43" t="s">
        <v>394</v>
      </c>
      <c r="B379" s="42"/>
      <c r="C379" s="42"/>
      <c r="D379" s="42"/>
      <c r="E379" s="33"/>
      <c r="F379" s="25"/>
      <c r="G379" s="25"/>
      <c r="H379" s="22"/>
      <c r="I379" s="22"/>
      <c r="J379" s="23"/>
      <c r="K379" s="23"/>
      <c r="L379" s="26"/>
    </row>
    <row r="380" spans="1:12" s="24" customFormat="1" ht="20.100000000000001" customHeight="1" x14ac:dyDescent="0.3">
      <c r="A380" s="44" t="s">
        <v>61</v>
      </c>
      <c r="B380" s="42">
        <v>8</v>
      </c>
      <c r="C380" s="42">
        <v>16000</v>
      </c>
      <c r="D380" s="42">
        <v>128000</v>
      </c>
      <c r="E380" s="33">
        <v>9825</v>
      </c>
      <c r="F380" s="25"/>
      <c r="G380" s="25"/>
      <c r="H380" s="34">
        <f t="shared" ref="H380:H381" si="188">D380-(E380*B380)-G380</f>
        <v>49400</v>
      </c>
      <c r="I380" s="34"/>
      <c r="J380" s="35">
        <f t="shared" ref="J380:J381" si="189">(H380/D380)*100</f>
        <v>38.59375</v>
      </c>
      <c r="K380" s="35"/>
      <c r="L380" s="26"/>
    </row>
    <row r="381" spans="1:12" s="24" customFormat="1" ht="20.100000000000001" customHeight="1" x14ac:dyDescent="0.3">
      <c r="A381" s="44" t="s">
        <v>143</v>
      </c>
      <c r="B381" s="42">
        <v>2</v>
      </c>
      <c r="C381" s="42">
        <v>3000</v>
      </c>
      <c r="D381" s="42">
        <v>6000</v>
      </c>
      <c r="E381" s="33">
        <v>3000</v>
      </c>
      <c r="F381" s="25"/>
      <c r="G381" s="25"/>
      <c r="H381" s="34">
        <f t="shared" si="188"/>
        <v>0</v>
      </c>
      <c r="I381" s="34"/>
      <c r="J381" s="35">
        <f t="shared" si="189"/>
        <v>0</v>
      </c>
      <c r="K381" s="35"/>
      <c r="L381" s="27"/>
    </row>
    <row r="382" spans="1:12" s="24" customFormat="1" ht="19.5" customHeight="1" x14ac:dyDescent="0.3">
      <c r="A382" s="43" t="s">
        <v>247</v>
      </c>
      <c r="B382" s="42"/>
      <c r="C382" s="42"/>
      <c r="D382" s="42"/>
      <c r="E382" s="33"/>
      <c r="F382" s="25"/>
      <c r="G382" s="25"/>
      <c r="H382" s="22"/>
      <c r="I382" s="22"/>
      <c r="J382" s="23"/>
      <c r="K382" s="23"/>
      <c r="L382" s="26"/>
    </row>
    <row r="383" spans="1:12" s="24" customFormat="1" ht="20.100000000000001" customHeight="1" x14ac:dyDescent="0.3">
      <c r="A383" s="44" t="s">
        <v>187</v>
      </c>
      <c r="B383" s="42">
        <v>3</v>
      </c>
      <c r="C383" s="42">
        <v>95000</v>
      </c>
      <c r="D383" s="42">
        <v>285000</v>
      </c>
      <c r="E383" s="33">
        <v>64600</v>
      </c>
      <c r="F383" s="25"/>
      <c r="G383" s="25"/>
      <c r="H383" s="34">
        <f t="shared" ref="H383" si="190">D383-(E383*B383)-G383</f>
        <v>91200</v>
      </c>
      <c r="I383" s="34"/>
      <c r="J383" s="35">
        <f t="shared" ref="J383" si="191">(H383/D383)*100</f>
        <v>32</v>
      </c>
      <c r="K383" s="35"/>
      <c r="L383" s="26"/>
    </row>
    <row r="384" spans="1:12" s="24" customFormat="1" ht="20.100000000000001" customHeight="1" x14ac:dyDescent="0.3">
      <c r="A384" s="43" t="s">
        <v>302</v>
      </c>
      <c r="B384" s="42"/>
      <c r="C384" s="42"/>
      <c r="D384" s="42"/>
      <c r="E384" s="33"/>
      <c r="F384" s="25"/>
      <c r="G384" s="25"/>
      <c r="H384" s="22"/>
      <c r="I384" s="22"/>
      <c r="J384" s="23"/>
      <c r="K384" s="23"/>
      <c r="L384" s="27"/>
    </row>
    <row r="385" spans="1:12" s="24" customFormat="1" ht="20.100000000000001" customHeight="1" x14ac:dyDescent="0.3">
      <c r="A385" s="44" t="s">
        <v>174</v>
      </c>
      <c r="B385" s="42">
        <v>1</v>
      </c>
      <c r="C385" s="42">
        <v>440000</v>
      </c>
      <c r="D385" s="42">
        <v>440000</v>
      </c>
      <c r="E385" s="33">
        <v>318000</v>
      </c>
      <c r="F385" s="25"/>
      <c r="G385" s="25"/>
      <c r="H385" s="34">
        <f t="shared" ref="H385:H387" si="192">D385-(E385*B385)-G385</f>
        <v>122000</v>
      </c>
      <c r="I385" s="34"/>
      <c r="J385" s="35">
        <f t="shared" ref="J385:J387" si="193">(H385/D385)*100</f>
        <v>27.727272727272727</v>
      </c>
      <c r="K385" s="35"/>
      <c r="L385" s="26"/>
    </row>
    <row r="386" spans="1:12" s="24" customFormat="1" ht="20.100000000000001" customHeight="1" x14ac:dyDescent="0.3">
      <c r="A386" s="44" t="s">
        <v>395</v>
      </c>
      <c r="B386" s="42">
        <v>3</v>
      </c>
      <c r="C386" s="42">
        <v>68000</v>
      </c>
      <c r="D386" s="42">
        <v>204000</v>
      </c>
      <c r="E386" s="33">
        <v>47600</v>
      </c>
      <c r="F386" s="25"/>
      <c r="G386" s="25"/>
      <c r="H386" s="34">
        <f t="shared" si="192"/>
        <v>61200</v>
      </c>
      <c r="I386" s="34"/>
      <c r="J386" s="35">
        <f t="shared" si="193"/>
        <v>30</v>
      </c>
      <c r="K386" s="35"/>
      <c r="L386" s="27"/>
    </row>
    <row r="387" spans="1:12" s="24" customFormat="1" ht="20.100000000000001" customHeight="1" x14ac:dyDescent="0.3">
      <c r="A387" s="44" t="s">
        <v>65</v>
      </c>
      <c r="B387" s="42">
        <v>4</v>
      </c>
      <c r="C387" s="42">
        <v>94000</v>
      </c>
      <c r="D387" s="42">
        <v>376000</v>
      </c>
      <c r="E387" s="33">
        <v>60600</v>
      </c>
      <c r="F387" s="25"/>
      <c r="G387" s="25"/>
      <c r="H387" s="34">
        <f t="shared" si="192"/>
        <v>133600</v>
      </c>
      <c r="I387" s="34"/>
      <c r="J387" s="35">
        <f t="shared" si="193"/>
        <v>35.531914893617021</v>
      </c>
      <c r="K387" s="35"/>
      <c r="L387" s="27"/>
    </row>
    <row r="388" spans="1:12" s="24" customFormat="1" ht="20.100000000000001" customHeight="1" x14ac:dyDescent="0.3">
      <c r="A388" s="43" t="s">
        <v>278</v>
      </c>
      <c r="B388" s="42"/>
      <c r="C388" s="42"/>
      <c r="D388" s="42"/>
      <c r="E388" s="33"/>
      <c r="F388" s="25"/>
      <c r="G388" s="25"/>
      <c r="H388" s="22"/>
      <c r="I388" s="22"/>
      <c r="J388" s="23"/>
      <c r="K388" s="23"/>
      <c r="L388" s="26"/>
    </row>
    <row r="389" spans="1:12" s="24" customFormat="1" ht="20.100000000000001" customHeight="1" x14ac:dyDescent="0.3">
      <c r="A389" s="44" t="s">
        <v>61</v>
      </c>
      <c r="B389" s="42">
        <v>10</v>
      </c>
      <c r="C389" s="42">
        <v>13000</v>
      </c>
      <c r="D389" s="42">
        <v>130000</v>
      </c>
      <c r="E389" s="33">
        <v>9825</v>
      </c>
      <c r="F389" s="25"/>
      <c r="G389" s="25"/>
      <c r="H389" s="34">
        <f t="shared" ref="H389" si="194">D389-(E389*B389)-G389</f>
        <v>31750</v>
      </c>
      <c r="I389" s="34"/>
      <c r="J389" s="35">
        <f t="shared" ref="J389" si="195">(H389/D389)*100</f>
        <v>24.423076923076923</v>
      </c>
      <c r="K389" s="35"/>
      <c r="L389" s="26"/>
    </row>
    <row r="390" spans="1:12" s="24" customFormat="1" ht="20.100000000000001" customHeight="1" x14ac:dyDescent="0.3">
      <c r="A390" s="43" t="s">
        <v>248</v>
      </c>
      <c r="B390" s="42"/>
      <c r="C390" s="42"/>
      <c r="D390" s="42"/>
      <c r="E390" s="33"/>
      <c r="F390" s="25"/>
      <c r="G390" s="25"/>
      <c r="H390" s="22"/>
      <c r="I390" s="22"/>
      <c r="J390" s="23"/>
      <c r="K390" s="23"/>
      <c r="L390" s="27"/>
    </row>
    <row r="391" spans="1:12" s="24" customFormat="1" ht="20.100000000000001" customHeight="1" x14ac:dyDescent="0.3">
      <c r="A391" s="44" t="s">
        <v>488</v>
      </c>
      <c r="B391" s="42">
        <v>70</v>
      </c>
      <c r="C391" s="42">
        <v>142800</v>
      </c>
      <c r="D391" s="42">
        <v>9996000</v>
      </c>
      <c r="E391" s="33"/>
      <c r="F391" s="25">
        <v>118000</v>
      </c>
      <c r="G391" s="25">
        <v>120000</v>
      </c>
      <c r="H391" s="22"/>
      <c r="I391" s="34">
        <f t="shared" ref="I391:I393" si="196">D391-(F391*B391)-G391</f>
        <v>1616000</v>
      </c>
      <c r="J391" s="35"/>
      <c r="K391" s="35">
        <f t="shared" ref="K391:K393" si="197">(I391/D391)*100</f>
        <v>16.166466586634655</v>
      </c>
      <c r="L391" s="26"/>
    </row>
    <row r="392" spans="1:12" s="24" customFormat="1" ht="20.100000000000001" customHeight="1" x14ac:dyDescent="0.3">
      <c r="A392" s="44" t="s">
        <v>489</v>
      </c>
      <c r="B392" s="42">
        <v>140</v>
      </c>
      <c r="C392" s="42">
        <v>129960</v>
      </c>
      <c r="D392" s="42">
        <v>18194400</v>
      </c>
      <c r="E392" s="33"/>
      <c r="F392" s="25">
        <v>118000</v>
      </c>
      <c r="G392" s="25"/>
      <c r="H392" s="22"/>
      <c r="I392" s="34">
        <f t="shared" si="196"/>
        <v>1674400</v>
      </c>
      <c r="J392" s="35"/>
      <c r="K392" s="35">
        <f t="shared" si="197"/>
        <v>9.2028316405047708</v>
      </c>
      <c r="L392" s="27"/>
    </row>
    <row r="393" spans="1:12" s="24" customFormat="1" ht="20.100000000000001" customHeight="1" x14ac:dyDescent="0.3">
      <c r="A393" s="44" t="s">
        <v>490</v>
      </c>
      <c r="B393" s="42">
        <v>140</v>
      </c>
      <c r="C393" s="42">
        <v>129960</v>
      </c>
      <c r="D393" s="42">
        <v>18194400</v>
      </c>
      <c r="E393" s="33"/>
      <c r="F393" s="25">
        <v>118000</v>
      </c>
      <c r="G393" s="25"/>
      <c r="H393" s="22"/>
      <c r="I393" s="34">
        <f t="shared" si="196"/>
        <v>1674400</v>
      </c>
      <c r="J393" s="35"/>
      <c r="K393" s="35">
        <f t="shared" si="197"/>
        <v>9.2028316405047708</v>
      </c>
      <c r="L393" s="27"/>
    </row>
    <row r="394" spans="1:12" s="24" customFormat="1" ht="20.100000000000001" customHeight="1" x14ac:dyDescent="0.3">
      <c r="A394" s="43" t="s">
        <v>62</v>
      </c>
      <c r="B394" s="42"/>
      <c r="C394" s="42"/>
      <c r="D394" s="42"/>
      <c r="E394" s="33"/>
      <c r="F394" s="25"/>
      <c r="G394" s="25"/>
      <c r="H394" s="22"/>
      <c r="I394" s="22"/>
      <c r="J394" s="23"/>
      <c r="K394" s="23"/>
      <c r="L394" s="26"/>
    </row>
    <row r="395" spans="1:12" s="24" customFormat="1" ht="20.100000000000001" customHeight="1" x14ac:dyDescent="0.3">
      <c r="A395" s="44" t="s">
        <v>191</v>
      </c>
      <c r="B395" s="42">
        <v>20</v>
      </c>
      <c r="C395" s="42">
        <v>53800</v>
      </c>
      <c r="D395" s="42">
        <v>1076000</v>
      </c>
      <c r="E395" s="33">
        <v>31200</v>
      </c>
      <c r="F395" s="25"/>
      <c r="G395" s="25"/>
      <c r="H395" s="34">
        <f t="shared" ref="H395:H396" si="198">D395-(E395*B395)-G395</f>
        <v>452000</v>
      </c>
      <c r="I395" s="34"/>
      <c r="J395" s="35">
        <f t="shared" ref="J395:J396" si="199">(H395/D395)*100</f>
        <v>42.007434944237922</v>
      </c>
      <c r="K395" s="35"/>
      <c r="L395" s="26"/>
    </row>
    <row r="396" spans="1:12" s="24" customFormat="1" ht="20.100000000000001" customHeight="1" x14ac:dyDescent="0.3">
      <c r="A396" s="44" t="s">
        <v>244</v>
      </c>
      <c r="B396" s="42">
        <v>5</v>
      </c>
      <c r="C396" s="42">
        <v>420000</v>
      </c>
      <c r="D396" s="42">
        <v>2100000</v>
      </c>
      <c r="E396" s="33">
        <v>355000</v>
      </c>
      <c r="F396" s="25"/>
      <c r="G396" s="25"/>
      <c r="H396" s="34">
        <f t="shared" si="198"/>
        <v>325000</v>
      </c>
      <c r="I396" s="34"/>
      <c r="J396" s="35">
        <f t="shared" si="199"/>
        <v>15.476190476190476</v>
      </c>
      <c r="K396" s="35"/>
      <c r="L396" s="26"/>
    </row>
    <row r="397" spans="1:12" s="24" customFormat="1" ht="20.100000000000001" customHeight="1" x14ac:dyDescent="0.3">
      <c r="A397" s="43" t="s">
        <v>396</v>
      </c>
      <c r="B397" s="42"/>
      <c r="C397" s="42"/>
      <c r="D397" s="42"/>
      <c r="E397" s="33"/>
      <c r="F397" s="25"/>
      <c r="G397" s="25"/>
      <c r="H397" s="22"/>
      <c r="I397" s="22"/>
      <c r="J397" s="23"/>
      <c r="K397" s="23"/>
      <c r="L397" s="26"/>
    </row>
    <row r="398" spans="1:12" s="24" customFormat="1" ht="20.100000000000001" customHeight="1" x14ac:dyDescent="0.3">
      <c r="A398" s="44" t="s">
        <v>397</v>
      </c>
      <c r="B398" s="42">
        <v>2</v>
      </c>
      <c r="C398" s="42">
        <v>679000</v>
      </c>
      <c r="D398" s="42">
        <v>1358000</v>
      </c>
      <c r="E398" s="33">
        <v>607000</v>
      </c>
      <c r="F398" s="25"/>
      <c r="G398" s="25"/>
      <c r="H398" s="34">
        <f t="shared" ref="H398:H399" si="200">D398-(E398*B398)-G398</f>
        <v>144000</v>
      </c>
      <c r="I398" s="34"/>
      <c r="J398" s="35">
        <f t="shared" ref="J398:J399" si="201">(H398/D398)*100</f>
        <v>10.603829160530191</v>
      </c>
      <c r="K398" s="35"/>
      <c r="L398" s="26"/>
    </row>
    <row r="399" spans="1:12" s="24" customFormat="1" ht="20.100000000000001" customHeight="1" x14ac:dyDescent="0.3">
      <c r="A399" s="44" t="s">
        <v>95</v>
      </c>
      <c r="B399" s="42">
        <v>2</v>
      </c>
      <c r="C399" s="42">
        <v>754000</v>
      </c>
      <c r="D399" s="42">
        <v>1508000</v>
      </c>
      <c r="E399" s="33">
        <v>623000</v>
      </c>
      <c r="F399" s="25"/>
      <c r="G399" s="25"/>
      <c r="H399" s="34">
        <f t="shared" si="200"/>
        <v>262000</v>
      </c>
      <c r="I399" s="34"/>
      <c r="J399" s="35">
        <f t="shared" si="201"/>
        <v>17.374005305039788</v>
      </c>
      <c r="K399" s="35"/>
      <c r="L399" s="27"/>
    </row>
    <row r="400" spans="1:12" s="24" customFormat="1" ht="20.100000000000001" customHeight="1" x14ac:dyDescent="0.3">
      <c r="A400" s="43" t="s">
        <v>64</v>
      </c>
      <c r="B400" s="42"/>
      <c r="C400" s="42"/>
      <c r="D400" s="42"/>
      <c r="E400" s="33"/>
      <c r="F400" s="25"/>
      <c r="G400" s="25"/>
      <c r="H400" s="22"/>
      <c r="I400" s="22"/>
      <c r="J400" s="23"/>
      <c r="K400" s="23"/>
      <c r="L400" s="26"/>
    </row>
    <row r="401" spans="1:12" s="24" customFormat="1" ht="20.100000000000001" customHeight="1" x14ac:dyDescent="0.3">
      <c r="A401" s="44" t="s">
        <v>491</v>
      </c>
      <c r="B401" s="42">
        <v>1</v>
      </c>
      <c r="C401" s="42">
        <v>130130</v>
      </c>
      <c r="D401" s="42">
        <v>130130</v>
      </c>
      <c r="E401" s="33">
        <v>98580</v>
      </c>
      <c r="F401" s="25"/>
      <c r="G401" s="25"/>
      <c r="H401" s="34">
        <f t="shared" ref="H401:H407" si="202">D401-(E401*B401)-G401</f>
        <v>31550</v>
      </c>
      <c r="I401" s="34"/>
      <c r="J401" s="35">
        <f t="shared" ref="J401:J407" si="203">(H401/D401)*100</f>
        <v>24.244985783447323</v>
      </c>
      <c r="K401" s="35"/>
      <c r="L401" s="26"/>
    </row>
    <row r="402" spans="1:12" s="24" customFormat="1" ht="20.100000000000001" customHeight="1" x14ac:dyDescent="0.3">
      <c r="A402" s="44" t="s">
        <v>242</v>
      </c>
      <c r="B402" s="42">
        <v>1</v>
      </c>
      <c r="C402" s="42">
        <v>102800</v>
      </c>
      <c r="D402" s="42">
        <v>102800</v>
      </c>
      <c r="E402" s="33">
        <v>80900</v>
      </c>
      <c r="F402" s="25"/>
      <c r="G402" s="25"/>
      <c r="H402" s="34">
        <f t="shared" si="202"/>
        <v>21900</v>
      </c>
      <c r="I402" s="34"/>
      <c r="J402" s="35">
        <f t="shared" si="203"/>
        <v>21.303501945525291</v>
      </c>
      <c r="K402" s="35"/>
      <c r="L402" s="26"/>
    </row>
    <row r="403" spans="1:12" s="24" customFormat="1" ht="20.100000000000001" customHeight="1" x14ac:dyDescent="0.3">
      <c r="A403" s="44" t="s">
        <v>60</v>
      </c>
      <c r="B403" s="42">
        <v>13</v>
      </c>
      <c r="C403" s="42">
        <v>153400</v>
      </c>
      <c r="D403" s="42">
        <v>1994200</v>
      </c>
      <c r="E403" s="33">
        <v>87260</v>
      </c>
      <c r="F403" s="25"/>
      <c r="G403" s="25"/>
      <c r="H403" s="34">
        <f t="shared" si="202"/>
        <v>859820</v>
      </c>
      <c r="I403" s="34"/>
      <c r="J403" s="35">
        <f t="shared" si="203"/>
        <v>43.116036505867015</v>
      </c>
      <c r="K403" s="35"/>
      <c r="L403" s="26"/>
    </row>
    <row r="404" spans="1:12" s="24" customFormat="1" ht="20.100000000000001" customHeight="1" x14ac:dyDescent="0.3">
      <c r="A404" s="44" t="s">
        <v>83</v>
      </c>
      <c r="B404" s="42">
        <v>15</v>
      </c>
      <c r="C404" s="42">
        <v>13000</v>
      </c>
      <c r="D404" s="42">
        <v>195000</v>
      </c>
      <c r="E404" s="33">
        <v>10760</v>
      </c>
      <c r="F404" s="25"/>
      <c r="G404" s="25"/>
      <c r="H404" s="34">
        <f t="shared" si="202"/>
        <v>33600</v>
      </c>
      <c r="I404" s="34"/>
      <c r="J404" s="35">
        <f t="shared" si="203"/>
        <v>17.23076923076923</v>
      </c>
      <c r="K404" s="35"/>
      <c r="L404" s="26"/>
    </row>
    <row r="405" spans="1:12" s="24" customFormat="1" ht="20.100000000000001" customHeight="1" x14ac:dyDescent="0.3">
      <c r="A405" s="44" t="s">
        <v>61</v>
      </c>
      <c r="B405" s="42">
        <v>1085</v>
      </c>
      <c r="C405" s="42">
        <v>11000</v>
      </c>
      <c r="D405" s="42">
        <v>11935000</v>
      </c>
      <c r="E405" s="33">
        <v>9825</v>
      </c>
      <c r="F405" s="25"/>
      <c r="G405" s="25"/>
      <c r="H405" s="34">
        <f t="shared" si="202"/>
        <v>1274875</v>
      </c>
      <c r="I405" s="34"/>
      <c r="J405" s="35">
        <f t="shared" si="203"/>
        <v>10.681818181818182</v>
      </c>
      <c r="K405" s="35"/>
      <c r="L405" s="26"/>
    </row>
    <row r="406" spans="1:12" s="24" customFormat="1" ht="20.100000000000001" customHeight="1" x14ac:dyDescent="0.3">
      <c r="A406" s="44" t="s">
        <v>65</v>
      </c>
      <c r="B406" s="42">
        <v>4</v>
      </c>
      <c r="C406" s="42">
        <v>82400</v>
      </c>
      <c r="D406" s="42">
        <v>329600</v>
      </c>
      <c r="E406" s="33">
        <v>60600</v>
      </c>
      <c r="F406" s="25"/>
      <c r="G406" s="25"/>
      <c r="H406" s="34">
        <f t="shared" si="202"/>
        <v>87200</v>
      </c>
      <c r="I406" s="34"/>
      <c r="J406" s="35">
        <f t="shared" si="203"/>
        <v>26.456310679611651</v>
      </c>
      <c r="K406" s="35"/>
      <c r="L406" s="26"/>
    </row>
    <row r="407" spans="1:12" s="24" customFormat="1" ht="20.100000000000001" customHeight="1" x14ac:dyDescent="0.3">
      <c r="A407" s="44" t="s">
        <v>188</v>
      </c>
      <c r="B407" s="42">
        <v>6</v>
      </c>
      <c r="C407" s="42">
        <v>86600</v>
      </c>
      <c r="D407" s="42">
        <v>519600</v>
      </c>
      <c r="E407" s="33">
        <v>69500</v>
      </c>
      <c r="F407" s="25"/>
      <c r="G407" s="25"/>
      <c r="H407" s="34">
        <f t="shared" si="202"/>
        <v>102600</v>
      </c>
      <c r="I407" s="34"/>
      <c r="J407" s="35">
        <f t="shared" si="203"/>
        <v>19.745958429561199</v>
      </c>
      <c r="K407" s="35"/>
      <c r="L407" s="26"/>
    </row>
    <row r="408" spans="1:12" s="24" customFormat="1" ht="20.100000000000001" customHeight="1" x14ac:dyDescent="0.3">
      <c r="A408" s="43" t="s">
        <v>303</v>
      </c>
      <c r="B408" s="42"/>
      <c r="C408" s="42"/>
      <c r="D408" s="42"/>
      <c r="E408" s="33"/>
      <c r="F408" s="25"/>
      <c r="G408" s="25"/>
      <c r="H408" s="22"/>
      <c r="I408" s="22"/>
      <c r="J408" s="23"/>
      <c r="K408" s="23"/>
      <c r="L408" s="27"/>
    </row>
    <row r="409" spans="1:12" s="24" customFormat="1" ht="20.100000000000001" customHeight="1" x14ac:dyDescent="0.3">
      <c r="A409" s="44" t="s">
        <v>489</v>
      </c>
      <c r="B409" s="42">
        <v>140</v>
      </c>
      <c r="C409" s="42">
        <v>129960</v>
      </c>
      <c r="D409" s="42">
        <v>18194400</v>
      </c>
      <c r="E409" s="33"/>
      <c r="F409" s="25">
        <v>118000</v>
      </c>
      <c r="G409" s="25"/>
      <c r="H409" s="22"/>
      <c r="I409" s="34">
        <f t="shared" ref="I409" si="204">D409-(F409*B409)-G409</f>
        <v>1674400</v>
      </c>
      <c r="J409" s="35"/>
      <c r="K409" s="35">
        <f t="shared" ref="K409" si="205">(I409/D409)*100</f>
        <v>9.2028316405047708</v>
      </c>
      <c r="L409" s="26"/>
    </row>
    <row r="410" spans="1:12" s="24" customFormat="1" ht="20.100000000000001" customHeight="1" x14ac:dyDescent="0.3">
      <c r="A410" s="44" t="s">
        <v>492</v>
      </c>
      <c r="B410" s="42">
        <v>280</v>
      </c>
      <c r="C410" s="42">
        <v>66000</v>
      </c>
      <c r="D410" s="42">
        <v>18480000</v>
      </c>
      <c r="E410" s="33">
        <v>64300</v>
      </c>
      <c r="F410" s="25"/>
      <c r="G410" s="25"/>
      <c r="H410" s="34">
        <f t="shared" ref="H410" si="206">D410-(E410*B410)-G410</f>
        <v>476000</v>
      </c>
      <c r="I410" s="34"/>
      <c r="J410" s="35">
        <f t="shared" ref="J410" si="207">(H410/D410)*100</f>
        <v>2.5757575757575757</v>
      </c>
      <c r="K410" s="35"/>
      <c r="L410" s="26"/>
    </row>
    <row r="411" spans="1:12" s="24" customFormat="1" ht="20.100000000000001" customHeight="1" x14ac:dyDescent="0.3">
      <c r="A411" s="47" t="s">
        <v>29</v>
      </c>
      <c r="B411" s="42"/>
      <c r="C411" s="42"/>
      <c r="D411" s="42"/>
      <c r="E411" s="33"/>
      <c r="F411" s="25"/>
      <c r="G411" s="25"/>
      <c r="H411" s="22"/>
      <c r="I411" s="22"/>
      <c r="J411" s="23"/>
      <c r="K411" s="23"/>
      <c r="L411" s="26"/>
    </row>
    <row r="412" spans="1:12" s="24" customFormat="1" ht="20.100000000000001" customHeight="1" x14ac:dyDescent="0.3">
      <c r="A412" s="43" t="s">
        <v>85</v>
      </c>
      <c r="B412" s="42"/>
      <c r="C412" s="42"/>
      <c r="D412" s="42"/>
      <c r="E412" s="33"/>
      <c r="F412" s="25"/>
      <c r="G412" s="25"/>
      <c r="H412" s="22"/>
      <c r="I412" s="22"/>
      <c r="J412" s="23"/>
      <c r="K412" s="23"/>
      <c r="L412" s="27"/>
    </row>
    <row r="413" spans="1:12" s="24" customFormat="1" ht="20.100000000000001" customHeight="1" x14ac:dyDescent="0.3">
      <c r="A413" s="44" t="s">
        <v>191</v>
      </c>
      <c r="B413" s="42">
        <v>8</v>
      </c>
      <c r="C413" s="42">
        <v>45000</v>
      </c>
      <c r="D413" s="42">
        <v>360000</v>
      </c>
      <c r="E413" s="33">
        <v>31200</v>
      </c>
      <c r="F413" s="25"/>
      <c r="G413" s="25"/>
      <c r="H413" s="34">
        <f t="shared" ref="H413:H414" si="208">D413-(E413*B413)-G413</f>
        <v>110400</v>
      </c>
      <c r="I413" s="34"/>
      <c r="J413" s="35">
        <f t="shared" ref="J413:J414" si="209">(H413/D413)*100</f>
        <v>30.666666666666664</v>
      </c>
      <c r="K413" s="35"/>
      <c r="L413" s="26"/>
    </row>
    <row r="414" spans="1:12" s="24" customFormat="1" ht="20.100000000000001" customHeight="1" x14ac:dyDescent="0.3">
      <c r="A414" s="44" t="s">
        <v>398</v>
      </c>
      <c r="B414" s="42">
        <v>1</v>
      </c>
      <c r="C414" s="42">
        <v>72000</v>
      </c>
      <c r="D414" s="42">
        <v>72000</v>
      </c>
      <c r="E414" s="33">
        <v>54000</v>
      </c>
      <c r="F414" s="25"/>
      <c r="G414" s="25"/>
      <c r="H414" s="34">
        <f t="shared" si="208"/>
        <v>18000</v>
      </c>
      <c r="I414" s="34"/>
      <c r="J414" s="35">
        <f t="shared" si="209"/>
        <v>25</v>
      </c>
      <c r="K414" s="35"/>
      <c r="L414" s="26"/>
    </row>
    <row r="415" spans="1:12" s="24" customFormat="1" ht="20.100000000000001" customHeight="1" x14ac:dyDescent="0.3">
      <c r="A415" s="43" t="s">
        <v>326</v>
      </c>
      <c r="B415" s="42"/>
      <c r="C415" s="42"/>
      <c r="D415" s="42"/>
      <c r="E415" s="33"/>
      <c r="F415" s="25"/>
      <c r="G415" s="25"/>
      <c r="H415" s="22"/>
      <c r="I415" s="22"/>
      <c r="J415" s="23"/>
      <c r="K415" s="23"/>
      <c r="L415" s="27"/>
    </row>
    <row r="416" spans="1:12" s="24" customFormat="1" ht="20.100000000000001" customHeight="1" x14ac:dyDescent="0.3">
      <c r="A416" s="44" t="s">
        <v>493</v>
      </c>
      <c r="B416" s="42">
        <v>2</v>
      </c>
      <c r="C416" s="42">
        <v>100000</v>
      </c>
      <c r="D416" s="42">
        <v>200000</v>
      </c>
      <c r="E416" s="33">
        <v>70000</v>
      </c>
      <c r="F416" s="25"/>
      <c r="G416" s="25"/>
      <c r="H416" s="34">
        <f t="shared" ref="H416" si="210">D416-(E416*B416)-G416</f>
        <v>60000</v>
      </c>
      <c r="I416" s="34"/>
      <c r="J416" s="35">
        <f t="shared" ref="J416" si="211">(H416/D416)*100</f>
        <v>30</v>
      </c>
      <c r="K416" s="35"/>
      <c r="L416" s="27"/>
    </row>
    <row r="417" spans="1:12" s="24" customFormat="1" ht="19.5" customHeight="1" x14ac:dyDescent="0.3">
      <c r="A417" s="43" t="s">
        <v>399</v>
      </c>
      <c r="B417" s="42"/>
      <c r="C417" s="42"/>
      <c r="D417" s="42"/>
      <c r="E417" s="33"/>
      <c r="F417" s="25"/>
      <c r="G417" s="25"/>
      <c r="H417" s="22"/>
      <c r="I417" s="22"/>
      <c r="J417" s="23"/>
      <c r="K417" s="23"/>
      <c r="L417" s="26"/>
    </row>
    <row r="418" spans="1:12" s="24" customFormat="1" ht="20.100000000000001" customHeight="1" x14ac:dyDescent="0.3">
      <c r="A418" s="44" t="s">
        <v>494</v>
      </c>
      <c r="B418" s="42">
        <v>1</v>
      </c>
      <c r="C418" s="42">
        <v>580000</v>
      </c>
      <c r="D418" s="42">
        <v>580000</v>
      </c>
      <c r="E418" s="33">
        <v>550000</v>
      </c>
      <c r="F418" s="25"/>
      <c r="G418" s="25"/>
      <c r="H418" s="34">
        <f t="shared" ref="H418" si="212">D418-(E418*B418)-G418</f>
        <v>30000</v>
      </c>
      <c r="I418" s="34"/>
      <c r="J418" s="35">
        <f t="shared" ref="J418" si="213">(H418/D418)*100</f>
        <v>5.1724137931034484</v>
      </c>
      <c r="K418" s="35"/>
      <c r="L418" s="26"/>
    </row>
    <row r="419" spans="1:12" s="24" customFormat="1" ht="20.100000000000001" customHeight="1" x14ac:dyDescent="0.3">
      <c r="A419" s="43" t="s">
        <v>304</v>
      </c>
      <c r="B419" s="42"/>
      <c r="C419" s="42"/>
      <c r="D419" s="42"/>
      <c r="E419" s="33"/>
      <c r="F419" s="25"/>
      <c r="G419" s="25"/>
      <c r="H419" s="22"/>
      <c r="I419" s="22"/>
      <c r="J419" s="23"/>
      <c r="K419" s="23"/>
      <c r="L419" s="26"/>
    </row>
    <row r="420" spans="1:12" s="24" customFormat="1" ht="20.100000000000001" customHeight="1" x14ac:dyDescent="0.3">
      <c r="A420" s="44" t="s">
        <v>459</v>
      </c>
      <c r="B420" s="42">
        <v>4</v>
      </c>
      <c r="C420" s="42">
        <v>68000</v>
      </c>
      <c r="D420" s="42">
        <v>272000</v>
      </c>
      <c r="E420" s="33">
        <v>52727</v>
      </c>
      <c r="F420" s="25"/>
      <c r="G420" s="25"/>
      <c r="H420" s="34">
        <f t="shared" ref="H420" si="214">D420-(E420*B420)-G420</f>
        <v>61092</v>
      </c>
      <c r="I420" s="34"/>
      <c r="J420" s="35">
        <f t="shared" ref="J420" si="215">(H420/D420)*100</f>
        <v>22.460294117647059</v>
      </c>
      <c r="K420" s="35"/>
      <c r="L420" s="27"/>
    </row>
    <row r="421" spans="1:12" s="24" customFormat="1" ht="20.100000000000001" customHeight="1" x14ac:dyDescent="0.3">
      <c r="A421" s="43" t="s">
        <v>400</v>
      </c>
      <c r="B421" s="42"/>
      <c r="C421" s="42"/>
      <c r="D421" s="42"/>
      <c r="E421" s="33"/>
      <c r="F421" s="25"/>
      <c r="G421" s="25"/>
      <c r="H421" s="22"/>
      <c r="I421" s="22"/>
      <c r="J421" s="23"/>
      <c r="K421" s="23"/>
      <c r="L421" s="26"/>
    </row>
    <row r="422" spans="1:12" s="24" customFormat="1" ht="20.100000000000001" customHeight="1" x14ac:dyDescent="0.3">
      <c r="A422" s="44" t="s">
        <v>147</v>
      </c>
      <c r="B422" s="42">
        <v>1</v>
      </c>
      <c r="C422" s="42">
        <v>942000</v>
      </c>
      <c r="D422" s="42">
        <v>942000</v>
      </c>
      <c r="E422" s="33">
        <v>605000</v>
      </c>
      <c r="F422" s="25"/>
      <c r="G422" s="25"/>
      <c r="H422" s="34">
        <f t="shared" ref="H422" si="216">D422-(E422*B422)-G422</f>
        <v>337000</v>
      </c>
      <c r="I422" s="34"/>
      <c r="J422" s="35">
        <f t="shared" ref="J422" si="217">(H422/D422)*100</f>
        <v>35.774946921443735</v>
      </c>
      <c r="K422" s="35"/>
      <c r="L422" s="26"/>
    </row>
    <row r="423" spans="1:12" s="24" customFormat="1" ht="20.100000000000001" customHeight="1" x14ac:dyDescent="0.3">
      <c r="A423" s="43" t="s">
        <v>279</v>
      </c>
      <c r="B423" s="42"/>
      <c r="C423" s="42"/>
      <c r="D423" s="42"/>
      <c r="E423" s="33"/>
      <c r="F423" s="25"/>
      <c r="G423" s="25"/>
      <c r="H423" s="22"/>
      <c r="I423" s="22"/>
      <c r="J423" s="23"/>
      <c r="K423" s="23"/>
      <c r="L423" s="26"/>
    </row>
    <row r="424" spans="1:12" s="24" customFormat="1" ht="20.100000000000001" customHeight="1" x14ac:dyDescent="0.3">
      <c r="A424" s="44" t="s">
        <v>107</v>
      </c>
      <c r="B424" s="42">
        <v>4</v>
      </c>
      <c r="C424" s="42">
        <v>358000</v>
      </c>
      <c r="D424" s="42">
        <v>1432000</v>
      </c>
      <c r="E424" s="33">
        <v>287000</v>
      </c>
      <c r="F424" s="25"/>
      <c r="G424" s="25"/>
      <c r="H424" s="34">
        <f t="shared" ref="H424:H426" si="218">D424-(E424*B424)-G424</f>
        <v>284000</v>
      </c>
      <c r="I424" s="34"/>
      <c r="J424" s="35">
        <f t="shared" ref="J424:J426" si="219">(H424/D424)*100</f>
        <v>19.832402234636874</v>
      </c>
      <c r="K424" s="35"/>
      <c r="L424" s="26"/>
    </row>
    <row r="425" spans="1:12" s="24" customFormat="1" ht="20.100000000000001" customHeight="1" x14ac:dyDescent="0.3">
      <c r="A425" s="44" t="s">
        <v>141</v>
      </c>
      <c r="B425" s="42">
        <v>6</v>
      </c>
      <c r="C425" s="42">
        <v>358000</v>
      </c>
      <c r="D425" s="42">
        <v>2148000</v>
      </c>
      <c r="E425" s="33">
        <v>289000</v>
      </c>
      <c r="F425" s="25"/>
      <c r="G425" s="25"/>
      <c r="H425" s="34">
        <f t="shared" si="218"/>
        <v>414000</v>
      </c>
      <c r="I425" s="34"/>
      <c r="J425" s="35">
        <f t="shared" si="219"/>
        <v>19.273743016759777</v>
      </c>
      <c r="K425" s="35"/>
      <c r="L425" s="26"/>
    </row>
    <row r="426" spans="1:12" s="24" customFormat="1" ht="20.100000000000001" customHeight="1" x14ac:dyDescent="0.3">
      <c r="A426" s="44" t="s">
        <v>291</v>
      </c>
      <c r="B426" s="42">
        <v>1</v>
      </c>
      <c r="C426" s="42">
        <v>370000</v>
      </c>
      <c r="D426" s="42">
        <v>370000</v>
      </c>
      <c r="E426" s="33">
        <v>352000</v>
      </c>
      <c r="F426" s="25"/>
      <c r="G426" s="25"/>
      <c r="H426" s="34">
        <f t="shared" si="218"/>
        <v>18000</v>
      </c>
      <c r="I426" s="34"/>
      <c r="J426" s="35">
        <f t="shared" si="219"/>
        <v>4.8648648648648649</v>
      </c>
      <c r="K426" s="35"/>
      <c r="L426" s="26"/>
    </row>
    <row r="427" spans="1:12" s="24" customFormat="1" ht="20.100000000000001" customHeight="1" x14ac:dyDescent="0.3">
      <c r="A427" s="43" t="s">
        <v>189</v>
      </c>
      <c r="B427" s="42"/>
      <c r="C427" s="42"/>
      <c r="D427" s="42"/>
      <c r="E427" s="33"/>
      <c r="F427" s="25"/>
      <c r="G427" s="25"/>
      <c r="H427" s="22"/>
      <c r="I427" s="22"/>
      <c r="J427" s="23"/>
      <c r="K427" s="23"/>
      <c r="L427" s="27"/>
    </row>
    <row r="428" spans="1:12" s="24" customFormat="1" ht="20.100000000000001" customHeight="1" x14ac:dyDescent="0.3">
      <c r="A428" s="44" t="s">
        <v>502</v>
      </c>
      <c r="B428" s="42">
        <v>3</v>
      </c>
      <c r="C428" s="42">
        <v>300000</v>
      </c>
      <c r="D428" s="42">
        <v>900000</v>
      </c>
      <c r="E428" s="33">
        <v>171375</v>
      </c>
      <c r="F428" s="25"/>
      <c r="G428" s="25"/>
      <c r="H428" s="34">
        <f t="shared" ref="H428:H435" si="220">D428-(E428*B428)-G428</f>
        <v>385875</v>
      </c>
      <c r="I428" s="34"/>
      <c r="J428" s="35">
        <f t="shared" ref="J428:J435" si="221">(H428/D428)*100</f>
        <v>42.875</v>
      </c>
      <c r="K428" s="35"/>
      <c r="L428" s="26"/>
    </row>
    <row r="429" spans="1:12" s="24" customFormat="1" ht="20.100000000000001" customHeight="1" x14ac:dyDescent="0.3">
      <c r="A429" s="44" t="s">
        <v>146</v>
      </c>
      <c r="B429" s="42">
        <v>7</v>
      </c>
      <c r="C429" s="42">
        <v>87000</v>
      </c>
      <c r="D429" s="42">
        <v>609000</v>
      </c>
      <c r="E429" s="33">
        <v>69100</v>
      </c>
      <c r="F429" s="25"/>
      <c r="G429" s="25"/>
      <c r="H429" s="34">
        <f t="shared" si="220"/>
        <v>125300</v>
      </c>
      <c r="I429" s="34"/>
      <c r="J429" s="35">
        <f t="shared" si="221"/>
        <v>20.574712643678161</v>
      </c>
      <c r="K429" s="35"/>
      <c r="L429" s="27"/>
    </row>
    <row r="430" spans="1:12" s="24" customFormat="1" ht="20.100000000000001" customHeight="1" x14ac:dyDescent="0.3">
      <c r="A430" s="44" t="s">
        <v>170</v>
      </c>
      <c r="B430" s="42">
        <v>6</v>
      </c>
      <c r="C430" s="42">
        <v>82000</v>
      </c>
      <c r="D430" s="42">
        <v>492000</v>
      </c>
      <c r="E430" s="33">
        <v>69100</v>
      </c>
      <c r="F430" s="25"/>
      <c r="G430" s="25"/>
      <c r="H430" s="34">
        <f t="shared" si="220"/>
        <v>77400</v>
      </c>
      <c r="I430" s="34"/>
      <c r="J430" s="35">
        <f t="shared" si="221"/>
        <v>15.731707317073171</v>
      </c>
      <c r="K430" s="35"/>
      <c r="L430" s="26"/>
    </row>
    <row r="431" spans="1:12" s="24" customFormat="1" ht="20.100000000000001" customHeight="1" x14ac:dyDescent="0.3">
      <c r="A431" s="44" t="s">
        <v>104</v>
      </c>
      <c r="B431" s="42">
        <v>6</v>
      </c>
      <c r="C431" s="42">
        <v>90000</v>
      </c>
      <c r="D431" s="42">
        <v>540000</v>
      </c>
      <c r="E431" s="33">
        <v>70900</v>
      </c>
      <c r="F431" s="25"/>
      <c r="G431" s="25"/>
      <c r="H431" s="34">
        <f t="shared" si="220"/>
        <v>114600</v>
      </c>
      <c r="I431" s="34"/>
      <c r="J431" s="35">
        <f t="shared" si="221"/>
        <v>21.222222222222221</v>
      </c>
      <c r="K431" s="35"/>
      <c r="L431" s="26"/>
    </row>
    <row r="432" spans="1:12" s="24" customFormat="1" ht="20.100000000000001" customHeight="1" x14ac:dyDescent="0.3">
      <c r="A432" s="44" t="s">
        <v>96</v>
      </c>
      <c r="B432" s="42">
        <v>3</v>
      </c>
      <c r="C432" s="42">
        <v>98000</v>
      </c>
      <c r="D432" s="42">
        <v>294000</v>
      </c>
      <c r="E432" s="33">
        <v>80900</v>
      </c>
      <c r="F432" s="25"/>
      <c r="G432" s="25"/>
      <c r="H432" s="34">
        <f t="shared" si="220"/>
        <v>51300</v>
      </c>
      <c r="I432" s="34"/>
      <c r="J432" s="35">
        <f t="shared" si="221"/>
        <v>17.448979591836736</v>
      </c>
      <c r="K432" s="35"/>
      <c r="L432" s="26"/>
    </row>
    <row r="433" spans="1:12" s="24" customFormat="1" ht="20.100000000000001" customHeight="1" x14ac:dyDescent="0.3">
      <c r="A433" s="44" t="s">
        <v>107</v>
      </c>
      <c r="B433" s="42">
        <v>13</v>
      </c>
      <c r="C433" s="42">
        <v>360000</v>
      </c>
      <c r="D433" s="42">
        <v>4680000</v>
      </c>
      <c r="E433" s="33">
        <v>287000</v>
      </c>
      <c r="F433" s="25"/>
      <c r="G433" s="25"/>
      <c r="H433" s="34">
        <f t="shared" si="220"/>
        <v>949000</v>
      </c>
      <c r="I433" s="34"/>
      <c r="J433" s="35">
        <f t="shared" si="221"/>
        <v>20.277777777777779</v>
      </c>
      <c r="K433" s="35"/>
      <c r="L433" s="26"/>
    </row>
    <row r="434" spans="1:12" s="24" customFormat="1" ht="20.100000000000001" customHeight="1" x14ac:dyDescent="0.3">
      <c r="A434" s="44" t="s">
        <v>157</v>
      </c>
      <c r="B434" s="42">
        <v>2</v>
      </c>
      <c r="C434" s="42">
        <v>84000</v>
      </c>
      <c r="D434" s="42">
        <v>168000</v>
      </c>
      <c r="E434" s="33">
        <v>54200</v>
      </c>
      <c r="F434" s="25"/>
      <c r="G434" s="25"/>
      <c r="H434" s="34">
        <f t="shared" si="220"/>
        <v>59600</v>
      </c>
      <c r="I434" s="34"/>
      <c r="J434" s="35">
        <f t="shared" si="221"/>
        <v>35.476190476190474</v>
      </c>
      <c r="K434" s="35"/>
      <c r="L434" s="26"/>
    </row>
    <row r="435" spans="1:12" s="24" customFormat="1" ht="20.100000000000001" customHeight="1" x14ac:dyDescent="0.3">
      <c r="A435" s="44" t="s">
        <v>228</v>
      </c>
      <c r="B435" s="42">
        <v>1</v>
      </c>
      <c r="C435" s="42">
        <v>70000</v>
      </c>
      <c r="D435" s="42">
        <v>70000</v>
      </c>
      <c r="E435" s="33">
        <v>70000</v>
      </c>
      <c r="F435" s="25"/>
      <c r="G435" s="25"/>
      <c r="H435" s="34">
        <f t="shared" si="220"/>
        <v>0</v>
      </c>
      <c r="I435" s="34"/>
      <c r="J435" s="35">
        <f t="shared" si="221"/>
        <v>0</v>
      </c>
      <c r="K435" s="35"/>
      <c r="L435" s="27"/>
    </row>
    <row r="436" spans="1:12" s="24" customFormat="1" ht="20.100000000000001" customHeight="1" x14ac:dyDescent="0.3">
      <c r="A436" s="43" t="s">
        <v>305</v>
      </c>
      <c r="B436" s="42"/>
      <c r="C436" s="42"/>
      <c r="D436" s="42"/>
      <c r="E436" s="33"/>
      <c r="F436" s="25"/>
      <c r="G436" s="25"/>
      <c r="H436" s="22"/>
      <c r="I436" s="22"/>
      <c r="J436" s="23"/>
      <c r="K436" s="23"/>
      <c r="L436" s="26"/>
    </row>
    <row r="437" spans="1:12" s="24" customFormat="1" ht="20.100000000000001" customHeight="1" x14ac:dyDescent="0.3">
      <c r="A437" s="44" t="s">
        <v>102</v>
      </c>
      <c r="B437" s="42">
        <v>3</v>
      </c>
      <c r="C437" s="42">
        <v>96000</v>
      </c>
      <c r="D437" s="42">
        <v>288000</v>
      </c>
      <c r="E437" s="33">
        <v>79200</v>
      </c>
      <c r="F437" s="25"/>
      <c r="G437" s="25"/>
      <c r="H437" s="34">
        <f t="shared" ref="H437" si="222">D437-(E437*B437)-G437</f>
        <v>50400</v>
      </c>
      <c r="I437" s="34"/>
      <c r="J437" s="35">
        <f t="shared" ref="J437" si="223">(H437/D437)*100</f>
        <v>17.5</v>
      </c>
      <c r="K437" s="35"/>
      <c r="L437" s="27"/>
    </row>
    <row r="438" spans="1:12" s="24" customFormat="1" ht="20.100000000000001" customHeight="1" x14ac:dyDescent="0.3">
      <c r="A438" s="43" t="s">
        <v>337</v>
      </c>
      <c r="B438" s="42"/>
      <c r="C438" s="42"/>
      <c r="D438" s="42"/>
      <c r="E438" s="33"/>
      <c r="F438" s="25"/>
      <c r="G438" s="25"/>
      <c r="H438" s="22"/>
      <c r="I438" s="22"/>
      <c r="J438" s="23"/>
      <c r="K438" s="23"/>
      <c r="L438" s="26"/>
    </row>
    <row r="439" spans="1:12" s="24" customFormat="1" ht="20.100000000000001" customHeight="1" x14ac:dyDescent="0.3">
      <c r="A439" s="44" t="s">
        <v>25</v>
      </c>
      <c r="B439" s="42">
        <v>2</v>
      </c>
      <c r="C439" s="42">
        <v>700000</v>
      </c>
      <c r="D439" s="42">
        <v>1400000</v>
      </c>
      <c r="E439" s="33">
        <v>492000</v>
      </c>
      <c r="F439" s="25"/>
      <c r="G439" s="25"/>
      <c r="H439" s="34">
        <f t="shared" ref="H439" si="224">D439-(E439*B439)-G439</f>
        <v>416000</v>
      </c>
      <c r="I439" s="34"/>
      <c r="J439" s="35">
        <f t="shared" ref="J439" si="225">(H439/D439)*100</f>
        <v>29.714285714285715</v>
      </c>
      <c r="K439" s="35"/>
      <c r="L439" s="26"/>
    </row>
    <row r="440" spans="1:12" s="24" customFormat="1" ht="20.100000000000001" customHeight="1" x14ac:dyDescent="0.3">
      <c r="A440" s="47" t="s">
        <v>34</v>
      </c>
      <c r="B440" s="42"/>
      <c r="C440" s="42"/>
      <c r="D440" s="42"/>
      <c r="E440" s="33"/>
      <c r="F440" s="25"/>
      <c r="G440" s="25"/>
      <c r="H440" s="22"/>
      <c r="I440" s="22"/>
      <c r="J440" s="23"/>
      <c r="K440" s="23"/>
      <c r="L440" s="26"/>
    </row>
    <row r="441" spans="1:12" s="24" customFormat="1" ht="20.100000000000001" customHeight="1" x14ac:dyDescent="0.3">
      <c r="A441" s="43" t="s">
        <v>327</v>
      </c>
      <c r="B441" s="42"/>
      <c r="C441" s="42"/>
      <c r="D441" s="42"/>
      <c r="E441" s="33"/>
      <c r="F441" s="25"/>
      <c r="G441" s="25"/>
      <c r="H441" s="22"/>
      <c r="I441" s="22"/>
      <c r="J441" s="23"/>
      <c r="K441" s="23"/>
      <c r="L441" s="27"/>
    </row>
    <row r="442" spans="1:12" s="24" customFormat="1" ht="19.5" customHeight="1" x14ac:dyDescent="0.3">
      <c r="A442" s="44" t="s">
        <v>495</v>
      </c>
      <c r="B442" s="42">
        <v>1</v>
      </c>
      <c r="C442" s="42">
        <v>110000</v>
      </c>
      <c r="D442" s="42">
        <v>110000</v>
      </c>
      <c r="E442" s="33">
        <v>82700</v>
      </c>
      <c r="F442" s="25"/>
      <c r="G442" s="25"/>
      <c r="H442" s="34">
        <f t="shared" ref="H442:H445" si="226">D442-(E442*B442)-G442</f>
        <v>27300</v>
      </c>
      <c r="I442" s="34"/>
      <c r="J442" s="35">
        <f t="shared" ref="J442:J445" si="227">(H442/D442)*100</f>
        <v>24.818181818181817</v>
      </c>
      <c r="K442" s="35"/>
      <c r="L442" s="26"/>
    </row>
    <row r="443" spans="1:12" s="24" customFormat="1" ht="20.100000000000001" customHeight="1" x14ac:dyDescent="0.3">
      <c r="A443" s="44" t="s">
        <v>401</v>
      </c>
      <c r="B443" s="42">
        <v>6</v>
      </c>
      <c r="C443" s="42">
        <v>141000</v>
      </c>
      <c r="D443" s="42">
        <v>846000</v>
      </c>
      <c r="E443" s="33">
        <v>100200</v>
      </c>
      <c r="F443" s="25"/>
      <c r="G443" s="25"/>
      <c r="H443" s="34">
        <f t="shared" si="226"/>
        <v>244800</v>
      </c>
      <c r="I443" s="34"/>
      <c r="J443" s="35">
        <f t="shared" si="227"/>
        <v>28.936170212765955</v>
      </c>
      <c r="K443" s="35"/>
      <c r="L443" s="26"/>
    </row>
    <row r="444" spans="1:12" s="24" customFormat="1" ht="20.100000000000001" customHeight="1" x14ac:dyDescent="0.3">
      <c r="A444" s="44" t="s">
        <v>402</v>
      </c>
      <c r="B444" s="42">
        <v>1</v>
      </c>
      <c r="C444" s="42">
        <v>77273</v>
      </c>
      <c r="D444" s="42">
        <v>77273</v>
      </c>
      <c r="E444" s="33">
        <v>46500</v>
      </c>
      <c r="F444" s="25"/>
      <c r="G444" s="25"/>
      <c r="H444" s="34">
        <f t="shared" si="226"/>
        <v>30773</v>
      </c>
      <c r="I444" s="34"/>
      <c r="J444" s="35">
        <f t="shared" si="227"/>
        <v>39.823741798558359</v>
      </c>
      <c r="K444" s="35"/>
      <c r="L444" s="26"/>
    </row>
    <row r="445" spans="1:12" s="24" customFormat="1" ht="20.100000000000001" customHeight="1" x14ac:dyDescent="0.3">
      <c r="A445" s="44" t="s">
        <v>403</v>
      </c>
      <c r="B445" s="42">
        <v>1</v>
      </c>
      <c r="C445" s="42">
        <v>792000</v>
      </c>
      <c r="D445" s="42">
        <v>792000</v>
      </c>
      <c r="E445" s="33">
        <v>520000</v>
      </c>
      <c r="F445" s="25"/>
      <c r="G445" s="25"/>
      <c r="H445" s="34">
        <f t="shared" si="226"/>
        <v>272000</v>
      </c>
      <c r="I445" s="34"/>
      <c r="J445" s="35">
        <f t="shared" si="227"/>
        <v>34.343434343434339</v>
      </c>
      <c r="K445" s="35"/>
      <c r="L445" s="26"/>
    </row>
    <row r="446" spans="1:12" s="24" customFormat="1" ht="20.100000000000001" customHeight="1" x14ac:dyDescent="0.3">
      <c r="A446" s="43" t="s">
        <v>118</v>
      </c>
      <c r="B446" s="42"/>
      <c r="C446" s="42"/>
      <c r="D446" s="42"/>
      <c r="E446" s="33"/>
      <c r="F446" s="25"/>
      <c r="G446" s="25"/>
      <c r="H446" s="22"/>
      <c r="I446" s="22"/>
      <c r="J446" s="23"/>
      <c r="K446" s="23"/>
      <c r="L446" s="26"/>
    </row>
    <row r="447" spans="1:12" s="24" customFormat="1" ht="20.100000000000001" customHeight="1" x14ac:dyDescent="0.3">
      <c r="A447" s="56" t="s">
        <v>496</v>
      </c>
      <c r="B447" s="57">
        <v>1</v>
      </c>
      <c r="C447" s="57">
        <v>112000</v>
      </c>
      <c r="D447" s="57">
        <v>112000</v>
      </c>
      <c r="E447" s="36">
        <v>112800</v>
      </c>
      <c r="F447" s="37"/>
      <c r="G447" s="37"/>
      <c r="H447" s="38">
        <f t="shared" ref="H447:H451" si="228">D447-(E447*B447)-G447</f>
        <v>-800</v>
      </c>
      <c r="I447" s="38"/>
      <c r="J447" s="39">
        <f t="shared" ref="J447:J451" si="229">(H447/D447)*100</f>
        <v>-0.7142857142857143</v>
      </c>
      <c r="K447" s="39"/>
      <c r="L447" s="41" t="s">
        <v>497</v>
      </c>
    </row>
    <row r="448" spans="1:12" s="24" customFormat="1" ht="19.5" customHeight="1" x14ac:dyDescent="0.3">
      <c r="A448" s="44" t="s">
        <v>498</v>
      </c>
      <c r="B448" s="42">
        <v>1</v>
      </c>
      <c r="C448" s="42">
        <v>84000</v>
      </c>
      <c r="D448" s="42">
        <v>84000</v>
      </c>
      <c r="E448" s="33">
        <v>73000</v>
      </c>
      <c r="F448" s="25"/>
      <c r="G448" s="25"/>
      <c r="H448" s="34">
        <f t="shared" si="228"/>
        <v>11000</v>
      </c>
      <c r="I448" s="34"/>
      <c r="J448" s="35">
        <f t="shared" si="229"/>
        <v>13.095238095238097</v>
      </c>
      <c r="K448" s="35"/>
      <c r="L448" s="26"/>
    </row>
    <row r="449" spans="1:12" s="24" customFormat="1" ht="20.100000000000001" customHeight="1" x14ac:dyDescent="0.3">
      <c r="A449" s="44" t="s">
        <v>117</v>
      </c>
      <c r="B449" s="42">
        <v>5</v>
      </c>
      <c r="C449" s="42">
        <v>48000</v>
      </c>
      <c r="D449" s="42">
        <v>240000</v>
      </c>
      <c r="E449" s="33">
        <v>44000</v>
      </c>
      <c r="F449" s="25"/>
      <c r="G449" s="25"/>
      <c r="H449" s="34">
        <f t="shared" si="228"/>
        <v>20000</v>
      </c>
      <c r="I449" s="34"/>
      <c r="J449" s="35">
        <f t="shared" si="229"/>
        <v>8.3333333333333321</v>
      </c>
      <c r="K449" s="35"/>
      <c r="L449" s="26"/>
    </row>
    <row r="450" spans="1:12" s="24" customFormat="1" ht="20.100000000000001" customHeight="1" x14ac:dyDescent="0.3">
      <c r="A450" s="44" t="s">
        <v>51</v>
      </c>
      <c r="B450" s="42">
        <v>8</v>
      </c>
      <c r="C450" s="42">
        <v>75000</v>
      </c>
      <c r="D450" s="42">
        <v>600000</v>
      </c>
      <c r="E450" s="33">
        <v>54300</v>
      </c>
      <c r="F450" s="25"/>
      <c r="G450" s="25"/>
      <c r="H450" s="34">
        <f t="shared" si="228"/>
        <v>165600</v>
      </c>
      <c r="I450" s="34"/>
      <c r="J450" s="35">
        <f t="shared" si="229"/>
        <v>27.6</v>
      </c>
      <c r="K450" s="35"/>
      <c r="L450" s="26"/>
    </row>
    <row r="451" spans="1:12" s="24" customFormat="1" ht="20.100000000000001" customHeight="1" x14ac:dyDescent="0.3">
      <c r="A451" s="44" t="s">
        <v>499</v>
      </c>
      <c r="B451" s="42">
        <v>1</v>
      </c>
      <c r="C451" s="42">
        <v>105000</v>
      </c>
      <c r="D451" s="42">
        <v>105000</v>
      </c>
      <c r="E451" s="33">
        <v>90000</v>
      </c>
      <c r="F451" s="25"/>
      <c r="G451" s="25"/>
      <c r="H451" s="34">
        <f t="shared" si="228"/>
        <v>15000</v>
      </c>
      <c r="I451" s="34"/>
      <c r="J451" s="35">
        <f t="shared" si="229"/>
        <v>14.285714285714285</v>
      </c>
      <c r="K451" s="35"/>
      <c r="L451" s="27"/>
    </row>
    <row r="452" spans="1:12" s="24" customFormat="1" ht="20.100000000000001" customHeight="1" x14ac:dyDescent="0.3">
      <c r="A452" s="43" t="s">
        <v>190</v>
      </c>
      <c r="B452" s="42"/>
      <c r="C452" s="42"/>
      <c r="D452" s="42"/>
      <c r="E452" s="33"/>
      <c r="F452" s="25"/>
      <c r="G452" s="25"/>
      <c r="H452" s="22"/>
      <c r="I452" s="22"/>
      <c r="J452" s="23"/>
      <c r="K452" s="23"/>
      <c r="L452" s="27"/>
    </row>
    <row r="453" spans="1:12" s="24" customFormat="1" ht="19.5" customHeight="1" x14ac:dyDescent="0.3">
      <c r="A453" s="44" t="s">
        <v>500</v>
      </c>
      <c r="B453" s="42">
        <v>1</v>
      </c>
      <c r="C453" s="42">
        <v>1200000</v>
      </c>
      <c r="D453" s="42">
        <v>1200000</v>
      </c>
      <c r="E453" s="33">
        <v>1000000</v>
      </c>
      <c r="F453" s="25"/>
      <c r="G453" s="25"/>
      <c r="H453" s="34">
        <f t="shared" ref="H453:H456" si="230">D453-(E453*B453)-G453</f>
        <v>200000</v>
      </c>
      <c r="I453" s="34"/>
      <c r="J453" s="35">
        <f t="shared" ref="J453:J456" si="231">(H453/D453)*100</f>
        <v>16.666666666666664</v>
      </c>
      <c r="K453" s="35"/>
      <c r="L453" s="26"/>
    </row>
    <row r="454" spans="1:12" s="24" customFormat="1" ht="20.100000000000001" customHeight="1" x14ac:dyDescent="0.3">
      <c r="A454" s="44" t="s">
        <v>501</v>
      </c>
      <c r="B454" s="42">
        <v>1</v>
      </c>
      <c r="C454" s="42">
        <v>92000</v>
      </c>
      <c r="D454" s="42">
        <v>92000</v>
      </c>
      <c r="E454" s="33">
        <v>80000</v>
      </c>
      <c r="F454" s="25"/>
      <c r="G454" s="25"/>
      <c r="H454" s="34">
        <f t="shared" si="230"/>
        <v>12000</v>
      </c>
      <c r="I454" s="34"/>
      <c r="J454" s="35">
        <f t="shared" si="231"/>
        <v>13.043478260869565</v>
      </c>
      <c r="K454" s="35"/>
      <c r="L454" s="26"/>
    </row>
    <row r="455" spans="1:12" s="24" customFormat="1" ht="20.100000000000001" customHeight="1" x14ac:dyDescent="0.3">
      <c r="A455" s="44" t="s">
        <v>404</v>
      </c>
      <c r="B455" s="42">
        <v>1</v>
      </c>
      <c r="C455" s="42">
        <v>574000</v>
      </c>
      <c r="D455" s="42">
        <v>574000</v>
      </c>
      <c r="E455" s="33">
        <v>475000</v>
      </c>
      <c r="F455" s="25"/>
      <c r="G455" s="25"/>
      <c r="H455" s="34">
        <f t="shared" si="230"/>
        <v>99000</v>
      </c>
      <c r="I455" s="34"/>
      <c r="J455" s="35">
        <f t="shared" si="231"/>
        <v>17.247386759581882</v>
      </c>
      <c r="K455" s="35"/>
      <c r="L455" s="26"/>
    </row>
    <row r="456" spans="1:12" s="24" customFormat="1" ht="20.100000000000001" customHeight="1" x14ac:dyDescent="0.3">
      <c r="A456" s="44" t="s">
        <v>405</v>
      </c>
      <c r="B456" s="42">
        <v>1</v>
      </c>
      <c r="C456" s="42">
        <v>620000</v>
      </c>
      <c r="D456" s="42">
        <v>620000</v>
      </c>
      <c r="E456" s="33">
        <v>539000</v>
      </c>
      <c r="F456" s="25"/>
      <c r="G456" s="25"/>
      <c r="H456" s="34">
        <f t="shared" si="230"/>
        <v>81000</v>
      </c>
      <c r="I456" s="34"/>
      <c r="J456" s="35">
        <f t="shared" si="231"/>
        <v>13.064516129032258</v>
      </c>
      <c r="K456" s="35"/>
      <c r="L456" s="27"/>
    </row>
    <row r="457" spans="1:12" s="24" customFormat="1" ht="20.100000000000001" customHeight="1" x14ac:dyDescent="0.3">
      <c r="A457" s="43" t="s">
        <v>406</v>
      </c>
      <c r="B457" s="42"/>
      <c r="C457" s="42"/>
      <c r="D457" s="42"/>
      <c r="E457" s="33"/>
      <c r="F457" s="25"/>
      <c r="G457" s="25"/>
      <c r="H457" s="22"/>
      <c r="I457" s="22"/>
      <c r="J457" s="23"/>
      <c r="K457" s="23"/>
      <c r="L457" s="26"/>
    </row>
    <row r="458" spans="1:12" s="24" customFormat="1" ht="20.100000000000001" customHeight="1" x14ac:dyDescent="0.3">
      <c r="A458" s="44" t="s">
        <v>301</v>
      </c>
      <c r="B458" s="42">
        <v>10</v>
      </c>
      <c r="C458" s="42">
        <v>76000</v>
      </c>
      <c r="D458" s="42">
        <v>760000</v>
      </c>
      <c r="E458" s="33">
        <v>59400</v>
      </c>
      <c r="F458" s="25"/>
      <c r="G458" s="25"/>
      <c r="H458" s="34">
        <f t="shared" ref="H458" si="232">D458-(E458*B458)-G458</f>
        <v>166000</v>
      </c>
      <c r="I458" s="34"/>
      <c r="J458" s="35">
        <f t="shared" ref="J458" si="233">(H458/D458)*100</f>
        <v>21.842105263157897</v>
      </c>
      <c r="K458" s="35"/>
      <c r="L458" s="27"/>
    </row>
    <row r="459" spans="1:12" s="24" customFormat="1" ht="20.100000000000001" customHeight="1" x14ac:dyDescent="0.3">
      <c r="A459" s="43" t="s">
        <v>306</v>
      </c>
      <c r="B459" s="42"/>
      <c r="C459" s="42"/>
      <c r="D459" s="42"/>
      <c r="E459" s="33"/>
      <c r="F459" s="25"/>
      <c r="G459" s="25"/>
      <c r="H459" s="22"/>
      <c r="I459" s="22"/>
      <c r="J459" s="23"/>
      <c r="K459" s="23"/>
      <c r="L459" s="27"/>
    </row>
    <row r="460" spans="1:12" s="24" customFormat="1" ht="20.100000000000001" customHeight="1" x14ac:dyDescent="0.3">
      <c r="A460" s="44" t="s">
        <v>307</v>
      </c>
      <c r="B460" s="42">
        <v>3</v>
      </c>
      <c r="C460" s="42">
        <v>74545</v>
      </c>
      <c r="D460" s="42">
        <v>223636</v>
      </c>
      <c r="E460" s="33">
        <v>55500</v>
      </c>
      <c r="F460" s="25"/>
      <c r="G460" s="25"/>
      <c r="H460" s="34">
        <f t="shared" ref="H460:H461" si="234">D460-(E460*B460)-G460</f>
        <v>57136</v>
      </c>
      <c r="I460" s="34"/>
      <c r="J460" s="35">
        <f t="shared" ref="J460:J461" si="235">(H460/D460)*100</f>
        <v>25.548659428714522</v>
      </c>
      <c r="K460" s="35"/>
      <c r="L460" s="27"/>
    </row>
    <row r="461" spans="1:12" s="24" customFormat="1" ht="20.100000000000001" customHeight="1" x14ac:dyDescent="0.3">
      <c r="A461" s="44" t="s">
        <v>33</v>
      </c>
      <c r="B461" s="42">
        <v>2</v>
      </c>
      <c r="C461" s="42">
        <v>380000</v>
      </c>
      <c r="D461" s="42">
        <v>760000</v>
      </c>
      <c r="E461" s="33">
        <v>289000</v>
      </c>
      <c r="F461" s="25"/>
      <c r="G461" s="25"/>
      <c r="H461" s="34">
        <f t="shared" si="234"/>
        <v>182000</v>
      </c>
      <c r="I461" s="34"/>
      <c r="J461" s="35">
        <f t="shared" si="235"/>
        <v>23.94736842105263</v>
      </c>
      <c r="K461" s="35"/>
      <c r="L461" s="26"/>
    </row>
    <row r="462" spans="1:12" s="24" customFormat="1" ht="20.100000000000001" customHeight="1" x14ac:dyDescent="0.3">
      <c r="A462" s="43" t="s">
        <v>119</v>
      </c>
      <c r="B462" s="42"/>
      <c r="C462" s="42"/>
      <c r="D462" s="42"/>
      <c r="E462" s="33"/>
      <c r="F462" s="25"/>
      <c r="G462" s="25"/>
      <c r="H462" s="22"/>
      <c r="I462" s="22"/>
      <c r="J462" s="23"/>
      <c r="K462" s="23"/>
      <c r="L462" s="26"/>
    </row>
    <row r="463" spans="1:12" s="24" customFormat="1" ht="20.100000000000001" customHeight="1" x14ac:dyDescent="0.3">
      <c r="A463" s="44" t="s">
        <v>503</v>
      </c>
      <c r="B463" s="42">
        <v>1</v>
      </c>
      <c r="C463" s="42">
        <v>850000</v>
      </c>
      <c r="D463" s="42">
        <v>850000</v>
      </c>
      <c r="E463" s="33">
        <v>800000</v>
      </c>
      <c r="F463" s="25"/>
      <c r="G463" s="25"/>
      <c r="H463" s="34">
        <f t="shared" ref="H463:H465" si="236">D463-(E463*B463)-G463</f>
        <v>50000</v>
      </c>
      <c r="I463" s="34"/>
      <c r="J463" s="35">
        <f t="shared" ref="J463:J465" si="237">(H463/D463)*100</f>
        <v>5.8823529411764701</v>
      </c>
      <c r="K463" s="35"/>
      <c r="L463" s="26"/>
    </row>
    <row r="464" spans="1:12" s="24" customFormat="1" ht="20.100000000000001" customHeight="1" x14ac:dyDescent="0.3">
      <c r="A464" s="44" t="s">
        <v>117</v>
      </c>
      <c r="B464" s="42">
        <v>6</v>
      </c>
      <c r="C464" s="42">
        <v>53000</v>
      </c>
      <c r="D464" s="42">
        <v>318000</v>
      </c>
      <c r="E464" s="33">
        <v>44000</v>
      </c>
      <c r="F464" s="25"/>
      <c r="G464" s="25"/>
      <c r="H464" s="34">
        <f t="shared" si="236"/>
        <v>54000</v>
      </c>
      <c r="I464" s="34"/>
      <c r="J464" s="35">
        <f t="shared" si="237"/>
        <v>16.981132075471699</v>
      </c>
      <c r="K464" s="35"/>
      <c r="L464" s="26"/>
    </row>
    <row r="465" spans="1:12" s="24" customFormat="1" ht="20.100000000000001" customHeight="1" x14ac:dyDescent="0.3">
      <c r="A465" s="44" t="s">
        <v>24</v>
      </c>
      <c r="B465" s="42">
        <v>1</v>
      </c>
      <c r="C465" s="42">
        <v>650000</v>
      </c>
      <c r="D465" s="42">
        <v>650000</v>
      </c>
      <c r="E465" s="33">
        <v>508000</v>
      </c>
      <c r="F465" s="25"/>
      <c r="G465" s="25"/>
      <c r="H465" s="34">
        <f t="shared" si="236"/>
        <v>142000</v>
      </c>
      <c r="I465" s="34"/>
      <c r="J465" s="35">
        <f t="shared" si="237"/>
        <v>21.846153846153847</v>
      </c>
      <c r="K465" s="35"/>
      <c r="L465" s="26"/>
    </row>
    <row r="466" spans="1:12" s="24" customFormat="1" ht="20.100000000000001" customHeight="1" x14ac:dyDescent="0.3">
      <c r="A466" s="43" t="s">
        <v>407</v>
      </c>
      <c r="B466" s="42"/>
      <c r="C466" s="42"/>
      <c r="D466" s="42"/>
      <c r="E466" s="33"/>
      <c r="F466" s="25"/>
      <c r="G466" s="25"/>
      <c r="H466" s="22"/>
      <c r="I466" s="22"/>
      <c r="J466" s="23"/>
      <c r="K466" s="23"/>
      <c r="L466" s="26"/>
    </row>
    <row r="467" spans="1:12" s="24" customFormat="1" ht="20.100000000000001" customHeight="1" x14ac:dyDescent="0.3">
      <c r="A467" s="44" t="s">
        <v>102</v>
      </c>
      <c r="B467" s="42">
        <v>2</v>
      </c>
      <c r="C467" s="42">
        <v>103000</v>
      </c>
      <c r="D467" s="42">
        <v>206000</v>
      </c>
      <c r="E467" s="33">
        <v>79200</v>
      </c>
      <c r="F467" s="25"/>
      <c r="G467" s="25"/>
      <c r="H467" s="34">
        <f t="shared" ref="H467" si="238">D467-(E467*B467)-G467</f>
        <v>47600</v>
      </c>
      <c r="I467" s="34"/>
      <c r="J467" s="35">
        <f t="shared" ref="J467" si="239">(H467/D467)*100</f>
        <v>23.106796116504853</v>
      </c>
      <c r="K467" s="35"/>
      <c r="L467" s="26"/>
    </row>
    <row r="468" spans="1:12" s="24" customFormat="1" ht="20.100000000000001" customHeight="1" x14ac:dyDescent="0.3">
      <c r="A468" s="48" t="s">
        <v>26</v>
      </c>
      <c r="B468" s="42"/>
      <c r="C468" s="42"/>
      <c r="D468" s="42"/>
      <c r="E468" s="33"/>
      <c r="F468" s="25"/>
      <c r="G468" s="25"/>
      <c r="H468" s="22"/>
      <c r="I468" s="22"/>
      <c r="J468" s="23"/>
      <c r="K468" s="23"/>
      <c r="L468" s="27"/>
    </row>
    <row r="469" spans="1:12" s="24" customFormat="1" ht="20.100000000000001" customHeight="1" x14ac:dyDescent="0.3">
      <c r="A469" s="47" t="s">
        <v>18</v>
      </c>
      <c r="B469" s="42"/>
      <c r="C469" s="42"/>
      <c r="D469" s="42"/>
      <c r="E469" s="33"/>
      <c r="F469" s="25"/>
      <c r="G469" s="25"/>
      <c r="H469" s="22"/>
      <c r="I469" s="22"/>
      <c r="J469" s="23"/>
      <c r="K469" s="23"/>
      <c r="L469" s="27"/>
    </row>
    <row r="470" spans="1:12" s="24" customFormat="1" ht="20.100000000000001" customHeight="1" x14ac:dyDescent="0.3">
      <c r="A470" s="43" t="s">
        <v>62</v>
      </c>
      <c r="B470" s="42"/>
      <c r="C470" s="42"/>
      <c r="D470" s="42"/>
      <c r="E470" s="33"/>
      <c r="F470" s="25"/>
      <c r="G470" s="25"/>
      <c r="H470" s="22"/>
      <c r="I470" s="22"/>
      <c r="J470" s="23"/>
      <c r="K470" s="23"/>
      <c r="L470" s="26"/>
    </row>
    <row r="471" spans="1:12" s="24" customFormat="1" ht="19.5" customHeight="1" x14ac:dyDescent="0.3">
      <c r="A471" s="44" t="s">
        <v>52</v>
      </c>
      <c r="B471" s="42">
        <v>1</v>
      </c>
      <c r="C471" s="42">
        <v>560000</v>
      </c>
      <c r="D471" s="42">
        <v>560000</v>
      </c>
      <c r="E471" s="33">
        <v>492000</v>
      </c>
      <c r="F471" s="25"/>
      <c r="G471" s="25"/>
      <c r="H471" s="34">
        <f t="shared" ref="H471:H476" si="240">D471-(E471*B471)-G471</f>
        <v>68000</v>
      </c>
      <c r="I471" s="34"/>
      <c r="J471" s="35">
        <f t="shared" ref="J471:J476" si="241">(H471/D471)*100</f>
        <v>12.142857142857142</v>
      </c>
      <c r="K471" s="35"/>
      <c r="L471" s="26"/>
    </row>
    <row r="472" spans="1:12" s="24" customFormat="1" ht="20.100000000000001" customHeight="1" x14ac:dyDescent="0.3">
      <c r="A472" s="44" t="s">
        <v>236</v>
      </c>
      <c r="B472" s="42">
        <v>9</v>
      </c>
      <c r="C472" s="42">
        <v>76000</v>
      </c>
      <c r="D472" s="42">
        <v>684000</v>
      </c>
      <c r="E472" s="33"/>
      <c r="F472" s="25">
        <v>59600</v>
      </c>
      <c r="G472" s="25"/>
      <c r="H472" s="22"/>
      <c r="I472" s="34">
        <f t="shared" ref="I472" si="242">D472-(F472*B472)-G472</f>
        <v>147600</v>
      </c>
      <c r="J472" s="35"/>
      <c r="K472" s="35">
        <f t="shared" ref="K472" si="243">(I472/D472)*100</f>
        <v>21.578947368421055</v>
      </c>
      <c r="L472" s="26"/>
    </row>
    <row r="473" spans="1:12" s="24" customFormat="1" ht="20.100000000000001" customHeight="1" x14ac:dyDescent="0.3">
      <c r="A473" s="44" t="s">
        <v>45</v>
      </c>
      <c r="B473" s="42">
        <v>10</v>
      </c>
      <c r="C473" s="42">
        <v>260000</v>
      </c>
      <c r="D473" s="42">
        <v>2600000</v>
      </c>
      <c r="E473" s="33">
        <v>233000</v>
      </c>
      <c r="F473" s="25"/>
      <c r="G473" s="25"/>
      <c r="H473" s="34">
        <f t="shared" si="240"/>
        <v>270000</v>
      </c>
      <c r="I473" s="34"/>
      <c r="J473" s="35">
        <f t="shared" si="241"/>
        <v>10.384615384615385</v>
      </c>
      <c r="K473" s="35"/>
      <c r="L473" s="26"/>
    </row>
    <row r="474" spans="1:12" s="24" customFormat="1" ht="20.100000000000001" customHeight="1" x14ac:dyDescent="0.3">
      <c r="A474" s="44" t="s">
        <v>54</v>
      </c>
      <c r="B474" s="42">
        <v>5</v>
      </c>
      <c r="C474" s="42">
        <v>66000</v>
      </c>
      <c r="D474" s="42">
        <v>330000</v>
      </c>
      <c r="E474" s="33">
        <v>55700</v>
      </c>
      <c r="F474" s="25"/>
      <c r="G474" s="25"/>
      <c r="H474" s="34">
        <f t="shared" si="240"/>
        <v>51500</v>
      </c>
      <c r="I474" s="34"/>
      <c r="J474" s="35">
        <f t="shared" si="241"/>
        <v>15.606060606060607</v>
      </c>
      <c r="K474" s="35"/>
      <c r="L474" s="27"/>
    </row>
    <row r="475" spans="1:12" s="24" customFormat="1" ht="20.100000000000001" customHeight="1" x14ac:dyDescent="0.3">
      <c r="A475" s="44" t="s">
        <v>308</v>
      </c>
      <c r="B475" s="42">
        <v>2</v>
      </c>
      <c r="C475" s="42">
        <v>678000</v>
      </c>
      <c r="D475" s="42">
        <v>1356000</v>
      </c>
      <c r="E475" s="33">
        <v>616000</v>
      </c>
      <c r="F475" s="25"/>
      <c r="G475" s="25"/>
      <c r="H475" s="34">
        <f t="shared" si="240"/>
        <v>124000</v>
      </c>
      <c r="I475" s="34"/>
      <c r="J475" s="35">
        <f t="shared" si="241"/>
        <v>9.1445427728613566</v>
      </c>
      <c r="K475" s="35"/>
      <c r="L475" s="26"/>
    </row>
    <row r="476" spans="1:12" s="24" customFormat="1" ht="20.100000000000001" customHeight="1" x14ac:dyDescent="0.3">
      <c r="A476" s="44" t="s">
        <v>145</v>
      </c>
      <c r="B476" s="42">
        <v>2</v>
      </c>
      <c r="C476" s="42">
        <v>95000</v>
      </c>
      <c r="D476" s="42">
        <v>190000</v>
      </c>
      <c r="E476" s="33">
        <v>81000</v>
      </c>
      <c r="F476" s="25"/>
      <c r="G476" s="25"/>
      <c r="H476" s="34">
        <f t="shared" si="240"/>
        <v>28000</v>
      </c>
      <c r="I476" s="34"/>
      <c r="J476" s="35">
        <f t="shared" si="241"/>
        <v>14.736842105263156</v>
      </c>
      <c r="K476" s="35"/>
      <c r="L476" s="26"/>
    </row>
    <row r="477" spans="1:12" s="24" customFormat="1" ht="20.100000000000001" customHeight="1" x14ac:dyDescent="0.3">
      <c r="A477" s="43" t="s">
        <v>149</v>
      </c>
      <c r="B477" s="42"/>
      <c r="C477" s="42"/>
      <c r="D477" s="42"/>
      <c r="E477" s="33"/>
      <c r="F477" s="25"/>
      <c r="G477" s="25"/>
      <c r="H477" s="22"/>
      <c r="I477" s="22"/>
      <c r="J477" s="23"/>
      <c r="K477" s="23"/>
      <c r="L477" s="26"/>
    </row>
    <row r="478" spans="1:12" s="24" customFormat="1" ht="20.100000000000001" customHeight="1" x14ac:dyDescent="0.3">
      <c r="A478" s="44" t="s">
        <v>36</v>
      </c>
      <c r="B478" s="42">
        <v>60</v>
      </c>
      <c r="C478" s="42">
        <v>40000</v>
      </c>
      <c r="D478" s="42">
        <v>2400000</v>
      </c>
      <c r="E478" s="33">
        <v>33900</v>
      </c>
      <c r="F478" s="25"/>
      <c r="G478" s="25"/>
      <c r="H478" s="34">
        <f t="shared" ref="H478" si="244">D478-(E478*B478)-G478</f>
        <v>366000</v>
      </c>
      <c r="I478" s="34"/>
      <c r="J478" s="35">
        <f t="shared" ref="J478" si="245">(H478/D478)*100</f>
        <v>15.25</v>
      </c>
      <c r="K478" s="35"/>
      <c r="L478" s="26"/>
    </row>
    <row r="479" spans="1:12" s="24" customFormat="1" ht="20.100000000000001" customHeight="1" x14ac:dyDescent="0.3">
      <c r="A479" s="43" t="s">
        <v>192</v>
      </c>
      <c r="B479" s="42"/>
      <c r="C479" s="42"/>
      <c r="D479" s="42"/>
      <c r="E479" s="33"/>
      <c r="F479" s="25"/>
      <c r="G479" s="25"/>
      <c r="H479" s="22"/>
      <c r="I479" s="22"/>
      <c r="J479" s="23"/>
      <c r="K479" s="23"/>
      <c r="L479" s="26"/>
    </row>
    <row r="480" spans="1:12" s="24" customFormat="1" ht="20.100000000000001" customHeight="1" x14ac:dyDescent="0.3">
      <c r="A480" s="44" t="s">
        <v>504</v>
      </c>
      <c r="B480" s="42">
        <v>1</v>
      </c>
      <c r="C480" s="42">
        <v>860000</v>
      </c>
      <c r="D480" s="42">
        <v>860000</v>
      </c>
      <c r="E480" s="33">
        <v>740000</v>
      </c>
      <c r="F480" s="25"/>
      <c r="G480" s="25"/>
      <c r="H480" s="34">
        <f t="shared" ref="H480:H481" si="246">D480-(E480*B480)-G480</f>
        <v>120000</v>
      </c>
      <c r="I480" s="34"/>
      <c r="J480" s="35">
        <f t="shared" ref="J480:J481" si="247">(H480/D480)*100</f>
        <v>13.953488372093023</v>
      </c>
      <c r="K480" s="35"/>
      <c r="L480" s="26"/>
    </row>
    <row r="481" spans="1:12" s="24" customFormat="1" ht="20.100000000000001" customHeight="1" x14ac:dyDescent="0.3">
      <c r="A481" s="44" t="s">
        <v>68</v>
      </c>
      <c r="B481" s="42">
        <v>8</v>
      </c>
      <c r="C481" s="42">
        <v>65000</v>
      </c>
      <c r="D481" s="42">
        <v>520000</v>
      </c>
      <c r="E481" s="33">
        <v>54300</v>
      </c>
      <c r="F481" s="25"/>
      <c r="G481" s="25"/>
      <c r="H481" s="34">
        <f t="shared" si="246"/>
        <v>85600</v>
      </c>
      <c r="I481" s="34"/>
      <c r="J481" s="35">
        <f t="shared" si="247"/>
        <v>16.46153846153846</v>
      </c>
      <c r="K481" s="35"/>
      <c r="L481" s="27"/>
    </row>
    <row r="482" spans="1:12" s="24" customFormat="1" ht="20.100000000000001" customHeight="1" x14ac:dyDescent="0.3">
      <c r="A482" s="43" t="s">
        <v>193</v>
      </c>
      <c r="B482" s="42"/>
      <c r="C482" s="42"/>
      <c r="D482" s="42"/>
      <c r="E482" s="33"/>
      <c r="F482" s="25"/>
      <c r="G482" s="25"/>
      <c r="H482" s="22"/>
      <c r="I482" s="22"/>
      <c r="J482" s="23"/>
      <c r="K482" s="23"/>
      <c r="L482" s="26"/>
    </row>
    <row r="483" spans="1:12" s="24" customFormat="1" ht="20.100000000000001" customHeight="1" x14ac:dyDescent="0.3">
      <c r="A483" s="44" t="s">
        <v>22</v>
      </c>
      <c r="B483" s="42">
        <v>1</v>
      </c>
      <c r="C483" s="42">
        <v>35400</v>
      </c>
      <c r="D483" s="42">
        <v>35400</v>
      </c>
      <c r="E483" s="33">
        <v>31200</v>
      </c>
      <c r="F483" s="25"/>
      <c r="G483" s="25"/>
      <c r="H483" s="34">
        <f t="shared" ref="H483:H486" si="248">D483-(E483*B483)-G483</f>
        <v>4200</v>
      </c>
      <c r="I483" s="34"/>
      <c r="J483" s="35">
        <f t="shared" ref="J483:J486" si="249">(H483/D483)*100</f>
        <v>11.864406779661017</v>
      </c>
      <c r="K483" s="35"/>
      <c r="L483" s="26"/>
    </row>
    <row r="484" spans="1:12" s="24" customFormat="1" ht="20.100000000000001" customHeight="1" x14ac:dyDescent="0.3">
      <c r="A484" s="44" t="s">
        <v>33</v>
      </c>
      <c r="B484" s="42">
        <v>4</v>
      </c>
      <c r="C484" s="42">
        <v>338000</v>
      </c>
      <c r="D484" s="42">
        <v>1352000</v>
      </c>
      <c r="E484" s="33">
        <v>289000</v>
      </c>
      <c r="F484" s="25"/>
      <c r="G484" s="25"/>
      <c r="H484" s="34">
        <f t="shared" si="248"/>
        <v>196000</v>
      </c>
      <c r="I484" s="34"/>
      <c r="J484" s="35">
        <f t="shared" si="249"/>
        <v>14.497041420118343</v>
      </c>
      <c r="K484" s="35"/>
      <c r="L484" s="26"/>
    </row>
    <row r="485" spans="1:12" s="24" customFormat="1" ht="20.100000000000001" customHeight="1" x14ac:dyDescent="0.3">
      <c r="A485" s="44" t="s">
        <v>36</v>
      </c>
      <c r="B485" s="42">
        <v>4</v>
      </c>
      <c r="C485" s="42">
        <v>37300</v>
      </c>
      <c r="D485" s="42">
        <v>149200</v>
      </c>
      <c r="E485" s="33">
        <v>33900</v>
      </c>
      <c r="F485" s="25"/>
      <c r="G485" s="25"/>
      <c r="H485" s="34">
        <f t="shared" si="248"/>
        <v>13600</v>
      </c>
      <c r="I485" s="34"/>
      <c r="J485" s="35">
        <f t="shared" si="249"/>
        <v>9.1152815013404833</v>
      </c>
      <c r="K485" s="35"/>
      <c r="L485" s="26"/>
    </row>
    <row r="486" spans="1:12" s="24" customFormat="1" ht="20.100000000000001" customHeight="1" x14ac:dyDescent="0.3">
      <c r="A486" s="44" t="s">
        <v>194</v>
      </c>
      <c r="B486" s="42">
        <v>3</v>
      </c>
      <c r="C486" s="42">
        <v>363500</v>
      </c>
      <c r="D486" s="42">
        <v>1090500</v>
      </c>
      <c r="E486" s="33">
        <v>314000</v>
      </c>
      <c r="F486" s="25"/>
      <c r="G486" s="25"/>
      <c r="H486" s="34">
        <f t="shared" si="248"/>
        <v>148500</v>
      </c>
      <c r="I486" s="34"/>
      <c r="J486" s="35">
        <f t="shared" si="249"/>
        <v>13.617606602475929</v>
      </c>
      <c r="K486" s="35"/>
      <c r="L486" s="26"/>
    </row>
    <row r="487" spans="1:12" s="24" customFormat="1" ht="20.100000000000001" customHeight="1" x14ac:dyDescent="0.3">
      <c r="A487" s="43" t="s">
        <v>310</v>
      </c>
      <c r="B487" s="42"/>
      <c r="C487" s="42"/>
      <c r="D487" s="42"/>
      <c r="E487" s="33"/>
      <c r="F487" s="25"/>
      <c r="G487" s="25"/>
      <c r="H487" s="22"/>
      <c r="I487" s="22"/>
      <c r="J487" s="23"/>
      <c r="K487" s="23"/>
      <c r="L487" s="26"/>
    </row>
    <row r="488" spans="1:12" s="24" customFormat="1" ht="20.100000000000001" customHeight="1" x14ac:dyDescent="0.3">
      <c r="A488" s="44" t="s">
        <v>68</v>
      </c>
      <c r="B488" s="42">
        <v>5</v>
      </c>
      <c r="C488" s="42">
        <v>70000</v>
      </c>
      <c r="D488" s="42">
        <v>350000</v>
      </c>
      <c r="E488" s="33">
        <v>54300</v>
      </c>
      <c r="F488" s="25"/>
      <c r="G488" s="25"/>
      <c r="H488" s="34">
        <f t="shared" ref="H488" si="250">D488-(E488*B488)-G488</f>
        <v>78500</v>
      </c>
      <c r="I488" s="34"/>
      <c r="J488" s="35">
        <f t="shared" ref="J488" si="251">(H488/D488)*100</f>
        <v>22.428571428571427</v>
      </c>
      <c r="K488" s="35"/>
      <c r="L488" s="27"/>
    </row>
    <row r="489" spans="1:12" s="24" customFormat="1" ht="20.100000000000001" customHeight="1" x14ac:dyDescent="0.3">
      <c r="A489" s="43" t="s">
        <v>120</v>
      </c>
      <c r="B489" s="42"/>
      <c r="C489" s="42"/>
      <c r="D489" s="42"/>
      <c r="E489" s="33"/>
      <c r="F489" s="25"/>
      <c r="G489" s="25"/>
      <c r="H489" s="22"/>
      <c r="I489" s="22"/>
      <c r="J489" s="23"/>
      <c r="K489" s="23"/>
      <c r="L489" s="26"/>
    </row>
    <row r="490" spans="1:12" s="24" customFormat="1" ht="20.100000000000001" customHeight="1" x14ac:dyDescent="0.3">
      <c r="A490" s="44" t="s">
        <v>33</v>
      </c>
      <c r="B490" s="42">
        <v>6</v>
      </c>
      <c r="C490" s="42">
        <v>340000</v>
      </c>
      <c r="D490" s="42">
        <v>2040000</v>
      </c>
      <c r="E490" s="33">
        <v>289000</v>
      </c>
      <c r="F490" s="25"/>
      <c r="G490" s="25"/>
      <c r="H490" s="34">
        <f t="shared" ref="H490" si="252">D490-(E490*B490)-G490</f>
        <v>306000</v>
      </c>
      <c r="I490" s="34"/>
      <c r="J490" s="35">
        <f t="shared" ref="J490" si="253">(H490/D490)*100</f>
        <v>15</v>
      </c>
      <c r="K490" s="35"/>
      <c r="L490" s="26"/>
    </row>
    <row r="491" spans="1:12" s="24" customFormat="1" ht="20.100000000000001" customHeight="1" x14ac:dyDescent="0.3">
      <c r="A491" s="43" t="s">
        <v>408</v>
      </c>
      <c r="B491" s="42"/>
      <c r="C491" s="42"/>
      <c r="D491" s="42"/>
      <c r="E491" s="33"/>
      <c r="F491" s="25"/>
      <c r="G491" s="25"/>
      <c r="H491" s="22"/>
      <c r="I491" s="22"/>
      <c r="J491" s="23"/>
      <c r="K491" s="23"/>
      <c r="L491" s="27"/>
    </row>
    <row r="492" spans="1:12" s="24" customFormat="1" ht="20.100000000000001" customHeight="1" x14ac:dyDescent="0.3">
      <c r="A492" s="44" t="s">
        <v>37</v>
      </c>
      <c r="B492" s="42">
        <v>2</v>
      </c>
      <c r="C492" s="42">
        <v>635000</v>
      </c>
      <c r="D492" s="42">
        <v>1270000</v>
      </c>
      <c r="E492" s="33">
        <v>508000</v>
      </c>
      <c r="F492" s="25"/>
      <c r="G492" s="25"/>
      <c r="H492" s="34">
        <f t="shared" ref="H492" si="254">D492-(E492*B492)-G492</f>
        <v>254000</v>
      </c>
      <c r="I492" s="34"/>
      <c r="J492" s="35">
        <f t="shared" ref="J492" si="255">(H492/D492)*100</f>
        <v>20</v>
      </c>
      <c r="K492" s="35"/>
      <c r="L492" s="27"/>
    </row>
    <row r="493" spans="1:12" s="24" customFormat="1" ht="19.5" customHeight="1" x14ac:dyDescent="0.3">
      <c r="A493" s="43" t="s">
        <v>311</v>
      </c>
      <c r="B493" s="42"/>
      <c r="C493" s="42"/>
      <c r="D493" s="42"/>
      <c r="E493" s="33"/>
      <c r="F493" s="25"/>
      <c r="G493" s="25"/>
      <c r="H493" s="22"/>
      <c r="I493" s="22"/>
      <c r="J493" s="23"/>
      <c r="K493" s="23"/>
      <c r="L493" s="26"/>
    </row>
    <row r="494" spans="1:12" s="24" customFormat="1" ht="20.100000000000001" customHeight="1" x14ac:dyDescent="0.3">
      <c r="A494" s="44" t="s">
        <v>301</v>
      </c>
      <c r="B494" s="42">
        <v>6</v>
      </c>
      <c r="C494" s="42">
        <v>67000</v>
      </c>
      <c r="D494" s="42">
        <v>402000</v>
      </c>
      <c r="E494" s="33">
        <v>59400</v>
      </c>
      <c r="F494" s="25"/>
      <c r="G494" s="25"/>
      <c r="H494" s="34">
        <f t="shared" ref="H494" si="256">D494-(E494*B494)-G494</f>
        <v>45600</v>
      </c>
      <c r="I494" s="34"/>
      <c r="J494" s="35">
        <f t="shared" ref="J494" si="257">(H494/D494)*100</f>
        <v>11.343283582089553</v>
      </c>
      <c r="K494" s="35"/>
      <c r="L494" s="26"/>
    </row>
    <row r="495" spans="1:12" s="24" customFormat="1" ht="20.100000000000001" customHeight="1" x14ac:dyDescent="0.3">
      <c r="A495" s="43" t="s">
        <v>195</v>
      </c>
      <c r="B495" s="42"/>
      <c r="C495" s="42"/>
      <c r="D495" s="42"/>
      <c r="E495" s="33"/>
      <c r="F495" s="25"/>
      <c r="G495" s="25"/>
      <c r="H495" s="22"/>
      <c r="I495" s="22"/>
      <c r="J495" s="23"/>
      <c r="K495" s="23"/>
      <c r="L495" s="26"/>
    </row>
    <row r="496" spans="1:12" s="24" customFormat="1" ht="20.100000000000001" customHeight="1" x14ac:dyDescent="0.3">
      <c r="A496" s="44" t="s">
        <v>67</v>
      </c>
      <c r="B496" s="42">
        <v>3</v>
      </c>
      <c r="C496" s="42">
        <v>98000</v>
      </c>
      <c r="D496" s="42">
        <v>294000</v>
      </c>
      <c r="E496" s="33">
        <v>66400</v>
      </c>
      <c r="F496" s="25"/>
      <c r="G496" s="25"/>
      <c r="H496" s="34">
        <f t="shared" ref="H496:H497" si="258">D496-(E496*B496)-G496</f>
        <v>94800</v>
      </c>
      <c r="I496" s="34"/>
      <c r="J496" s="35">
        <f t="shared" ref="J496:J497" si="259">(H496/D496)*100</f>
        <v>32.244897959183675</v>
      </c>
      <c r="K496" s="35"/>
      <c r="L496" s="27"/>
    </row>
    <row r="497" spans="1:12" s="24" customFormat="1" ht="20.100000000000001" customHeight="1" x14ac:dyDescent="0.3">
      <c r="A497" s="44" t="s">
        <v>71</v>
      </c>
      <c r="B497" s="42">
        <v>4</v>
      </c>
      <c r="C497" s="42">
        <v>85400</v>
      </c>
      <c r="D497" s="42">
        <v>341600</v>
      </c>
      <c r="E497" s="33">
        <v>55400</v>
      </c>
      <c r="F497" s="25"/>
      <c r="G497" s="25"/>
      <c r="H497" s="34">
        <f t="shared" si="258"/>
        <v>120000</v>
      </c>
      <c r="I497" s="34"/>
      <c r="J497" s="35">
        <f t="shared" si="259"/>
        <v>35.128805620608901</v>
      </c>
      <c r="K497" s="35"/>
      <c r="L497" s="26"/>
    </row>
    <row r="498" spans="1:12" s="24" customFormat="1" ht="20.100000000000001" customHeight="1" x14ac:dyDescent="0.3">
      <c r="A498" s="43" t="s">
        <v>196</v>
      </c>
      <c r="B498" s="42"/>
      <c r="C498" s="42"/>
      <c r="D498" s="42"/>
      <c r="E498" s="33"/>
      <c r="F498" s="25"/>
      <c r="G498" s="25"/>
      <c r="H498" s="22"/>
      <c r="I498" s="22"/>
      <c r="J498" s="23"/>
      <c r="K498" s="23"/>
      <c r="L498" s="26"/>
    </row>
    <row r="499" spans="1:12" s="24" customFormat="1" ht="20.100000000000001" customHeight="1" x14ac:dyDescent="0.3">
      <c r="A499" s="44" t="s">
        <v>194</v>
      </c>
      <c r="B499" s="42">
        <v>5</v>
      </c>
      <c r="C499" s="42">
        <v>409000</v>
      </c>
      <c r="D499" s="42">
        <v>2045000</v>
      </c>
      <c r="E499" s="33">
        <v>314000</v>
      </c>
      <c r="F499" s="25"/>
      <c r="G499" s="25"/>
      <c r="H499" s="34">
        <f t="shared" ref="H499" si="260">D499-(E499*B499)-G499</f>
        <v>475000</v>
      </c>
      <c r="I499" s="34"/>
      <c r="J499" s="35">
        <f t="shared" ref="J499" si="261">(H499/D499)*100</f>
        <v>23.227383863080682</v>
      </c>
      <c r="K499" s="35"/>
      <c r="L499" s="27"/>
    </row>
    <row r="500" spans="1:12" s="24" customFormat="1" ht="20.100000000000001" customHeight="1" x14ac:dyDescent="0.3">
      <c r="A500" s="43" t="s">
        <v>250</v>
      </c>
      <c r="B500" s="42"/>
      <c r="C500" s="42"/>
      <c r="D500" s="42"/>
      <c r="E500" s="33"/>
      <c r="F500" s="25"/>
      <c r="G500" s="25"/>
      <c r="H500" s="22"/>
      <c r="I500" s="22"/>
      <c r="J500" s="23"/>
      <c r="K500" s="23"/>
      <c r="L500" s="27"/>
    </row>
    <row r="501" spans="1:12" s="24" customFormat="1" ht="20.100000000000001" customHeight="1" x14ac:dyDescent="0.3">
      <c r="A501" s="44" t="s">
        <v>409</v>
      </c>
      <c r="B501" s="42">
        <v>1</v>
      </c>
      <c r="C501" s="42">
        <v>2215000</v>
      </c>
      <c r="D501" s="42">
        <v>2215000</v>
      </c>
      <c r="E501" s="33">
        <v>1918000</v>
      </c>
      <c r="F501" s="25"/>
      <c r="G501" s="25"/>
      <c r="H501" s="34">
        <f t="shared" ref="H501:H502" si="262">D501-(E501*B501)-G501</f>
        <v>297000</v>
      </c>
      <c r="I501" s="34"/>
      <c r="J501" s="35">
        <f t="shared" ref="J501:J502" si="263">(H501/D501)*100</f>
        <v>13.408577878103836</v>
      </c>
      <c r="K501" s="35"/>
      <c r="L501" s="27"/>
    </row>
    <row r="502" spans="1:12" s="24" customFormat="1" ht="20.100000000000001" customHeight="1" x14ac:dyDescent="0.3">
      <c r="A502" s="44" t="s">
        <v>37</v>
      </c>
      <c r="B502" s="42">
        <v>2</v>
      </c>
      <c r="C502" s="42">
        <v>635000</v>
      </c>
      <c r="D502" s="42">
        <v>1270000</v>
      </c>
      <c r="E502" s="33">
        <v>508000</v>
      </c>
      <c r="F502" s="25"/>
      <c r="G502" s="25"/>
      <c r="H502" s="34">
        <f t="shared" si="262"/>
        <v>254000</v>
      </c>
      <c r="I502" s="34"/>
      <c r="J502" s="35">
        <f t="shared" si="263"/>
        <v>20</v>
      </c>
      <c r="K502" s="35"/>
      <c r="L502" s="26"/>
    </row>
    <row r="503" spans="1:12" s="24" customFormat="1" ht="20.100000000000001" customHeight="1" x14ac:dyDescent="0.3">
      <c r="A503" s="43" t="s">
        <v>312</v>
      </c>
      <c r="B503" s="42"/>
      <c r="C503" s="42"/>
      <c r="D503" s="42"/>
      <c r="E503" s="33"/>
      <c r="F503" s="25"/>
      <c r="G503" s="25"/>
      <c r="H503" s="22"/>
      <c r="I503" s="22"/>
      <c r="J503" s="23"/>
      <c r="K503" s="23"/>
      <c r="L503" s="26"/>
    </row>
    <row r="504" spans="1:12" s="24" customFormat="1" ht="20.100000000000001" customHeight="1" x14ac:dyDescent="0.3">
      <c r="A504" s="44" t="s">
        <v>71</v>
      </c>
      <c r="B504" s="42">
        <v>3</v>
      </c>
      <c r="C504" s="42">
        <v>85400</v>
      </c>
      <c r="D504" s="42">
        <v>256200</v>
      </c>
      <c r="E504" s="33">
        <v>55400</v>
      </c>
      <c r="F504" s="25"/>
      <c r="G504" s="25"/>
      <c r="H504" s="34">
        <f t="shared" ref="H504" si="264">D504-(E504*B504)-G504</f>
        <v>90000</v>
      </c>
      <c r="I504" s="34"/>
      <c r="J504" s="35">
        <f t="shared" ref="J504" si="265">(H504/D504)*100</f>
        <v>35.128805620608901</v>
      </c>
      <c r="K504" s="35"/>
      <c r="L504" s="27"/>
    </row>
    <row r="505" spans="1:12" s="24" customFormat="1" ht="19.5" customHeight="1" x14ac:dyDescent="0.3">
      <c r="A505" s="43" t="s">
        <v>251</v>
      </c>
      <c r="B505" s="42"/>
      <c r="C505" s="42"/>
      <c r="D505" s="42"/>
      <c r="E505" s="33"/>
      <c r="F505" s="25"/>
      <c r="G505" s="25"/>
      <c r="H505" s="22"/>
      <c r="I505" s="22"/>
      <c r="J505" s="23"/>
      <c r="K505" s="23"/>
      <c r="L505" s="26"/>
    </row>
    <row r="506" spans="1:12" s="24" customFormat="1" ht="20.100000000000001" customHeight="1" x14ac:dyDescent="0.3">
      <c r="A506" s="44" t="s">
        <v>127</v>
      </c>
      <c r="B506" s="42">
        <v>1</v>
      </c>
      <c r="C506" s="42">
        <v>84700</v>
      </c>
      <c r="D506" s="42">
        <v>84700</v>
      </c>
      <c r="E506" s="33">
        <v>62800</v>
      </c>
      <c r="F506" s="25"/>
      <c r="G506" s="25"/>
      <c r="H506" s="34">
        <f t="shared" ref="H506:H507" si="266">D506-(E506*B506)-G506</f>
        <v>21900</v>
      </c>
      <c r="I506" s="34"/>
      <c r="J506" s="35">
        <f t="shared" ref="J506:J507" si="267">(H506/D506)*100</f>
        <v>25.855962219598581</v>
      </c>
      <c r="K506" s="35"/>
      <c r="L506" s="26"/>
    </row>
    <row r="507" spans="1:12" s="24" customFormat="1" ht="20.100000000000001" customHeight="1" x14ac:dyDescent="0.3">
      <c r="A507" s="44" t="s">
        <v>68</v>
      </c>
      <c r="B507" s="42">
        <v>3</v>
      </c>
      <c r="C507" s="42">
        <v>68000</v>
      </c>
      <c r="D507" s="42">
        <v>204000</v>
      </c>
      <c r="E507" s="33">
        <v>54300</v>
      </c>
      <c r="F507" s="25"/>
      <c r="G507" s="25"/>
      <c r="H507" s="34">
        <f t="shared" si="266"/>
        <v>41100</v>
      </c>
      <c r="I507" s="34"/>
      <c r="J507" s="35">
        <f t="shared" si="267"/>
        <v>20.147058823529413</v>
      </c>
      <c r="K507" s="35"/>
      <c r="L507" s="26"/>
    </row>
    <row r="508" spans="1:12" s="24" customFormat="1" ht="20.100000000000001" customHeight="1" x14ac:dyDescent="0.3">
      <c r="A508" s="43" t="s">
        <v>138</v>
      </c>
      <c r="B508" s="42"/>
      <c r="C508" s="42"/>
      <c r="D508" s="42"/>
      <c r="E508" s="33"/>
      <c r="F508" s="25"/>
      <c r="G508" s="25"/>
      <c r="H508" s="22"/>
      <c r="I508" s="22"/>
      <c r="J508" s="23"/>
      <c r="K508" s="23"/>
      <c r="L508" s="27"/>
    </row>
    <row r="509" spans="1:12" s="24" customFormat="1" ht="20.100000000000001" customHeight="1" x14ac:dyDescent="0.3">
      <c r="A509" s="44" t="s">
        <v>68</v>
      </c>
      <c r="B509" s="42">
        <v>2</v>
      </c>
      <c r="C509" s="42">
        <v>68000</v>
      </c>
      <c r="D509" s="42">
        <v>136000</v>
      </c>
      <c r="E509" s="33">
        <v>54300</v>
      </c>
      <c r="F509" s="25"/>
      <c r="G509" s="25"/>
      <c r="H509" s="34">
        <f t="shared" ref="H509" si="268">D509-(E509*B509)-G509</f>
        <v>27400</v>
      </c>
      <c r="I509" s="34"/>
      <c r="J509" s="35">
        <f t="shared" ref="J509" si="269">(H509/D509)*100</f>
        <v>20.147058823529413</v>
      </c>
      <c r="K509" s="35"/>
      <c r="L509" s="27"/>
    </row>
    <row r="510" spans="1:12" s="24" customFormat="1" ht="20.100000000000001" customHeight="1" x14ac:dyDescent="0.3">
      <c r="A510" s="43" t="s">
        <v>92</v>
      </c>
      <c r="B510" s="42"/>
      <c r="C510" s="42"/>
      <c r="D510" s="42"/>
      <c r="E510" s="33"/>
      <c r="F510" s="25"/>
      <c r="G510" s="25"/>
      <c r="H510" s="22"/>
      <c r="I510" s="22"/>
      <c r="J510" s="23"/>
      <c r="K510" s="23"/>
      <c r="L510" s="26"/>
    </row>
    <row r="511" spans="1:12" s="24" customFormat="1" ht="20.100000000000001" customHeight="1" x14ac:dyDescent="0.3">
      <c r="A511" s="44" t="s">
        <v>280</v>
      </c>
      <c r="B511" s="42">
        <v>2</v>
      </c>
      <c r="C511" s="42">
        <v>86800</v>
      </c>
      <c r="D511" s="42">
        <v>173600</v>
      </c>
      <c r="E511" s="33">
        <v>70900</v>
      </c>
      <c r="F511" s="25"/>
      <c r="G511" s="25"/>
      <c r="H511" s="34">
        <f t="shared" ref="H511:H515" si="270">D511-(E511*B511)-G511</f>
        <v>31800</v>
      </c>
      <c r="I511" s="34"/>
      <c r="J511" s="35">
        <f t="shared" ref="J511:J515" si="271">(H511/D511)*100</f>
        <v>18.317972350230416</v>
      </c>
      <c r="K511" s="35"/>
      <c r="L511" s="26"/>
    </row>
    <row r="512" spans="1:12" s="24" customFormat="1" ht="20.100000000000001" customHeight="1" x14ac:dyDescent="0.3">
      <c r="A512" s="44" t="s">
        <v>505</v>
      </c>
      <c r="B512" s="42">
        <v>2</v>
      </c>
      <c r="C512" s="42">
        <v>480000</v>
      </c>
      <c r="D512" s="42">
        <v>960000</v>
      </c>
      <c r="E512" s="33">
        <v>416100</v>
      </c>
      <c r="F512" s="25"/>
      <c r="G512" s="25"/>
      <c r="H512" s="34">
        <f t="shared" si="270"/>
        <v>127800</v>
      </c>
      <c r="I512" s="34"/>
      <c r="J512" s="35">
        <f t="shared" si="271"/>
        <v>13.3125</v>
      </c>
      <c r="K512" s="35"/>
      <c r="L512" s="27"/>
    </row>
    <row r="513" spans="1:12" s="24" customFormat="1" ht="20.100000000000001" customHeight="1" x14ac:dyDescent="0.3">
      <c r="A513" s="44" t="s">
        <v>68</v>
      </c>
      <c r="B513" s="42">
        <v>7</v>
      </c>
      <c r="C513" s="42">
        <v>66600</v>
      </c>
      <c r="D513" s="42">
        <v>466200</v>
      </c>
      <c r="E513" s="33">
        <v>54300</v>
      </c>
      <c r="F513" s="25"/>
      <c r="G513" s="25"/>
      <c r="H513" s="34">
        <f t="shared" si="270"/>
        <v>86100</v>
      </c>
      <c r="I513" s="34"/>
      <c r="J513" s="35">
        <f t="shared" si="271"/>
        <v>18.468468468468469</v>
      </c>
      <c r="K513" s="35"/>
      <c r="L513" s="27"/>
    </row>
    <row r="514" spans="1:12" s="24" customFormat="1" ht="20.100000000000001" customHeight="1" x14ac:dyDescent="0.3">
      <c r="A514" s="44" t="s">
        <v>20</v>
      </c>
      <c r="B514" s="42">
        <v>4</v>
      </c>
      <c r="C514" s="42">
        <v>62800</v>
      </c>
      <c r="D514" s="42">
        <v>251200</v>
      </c>
      <c r="E514" s="33">
        <v>46600</v>
      </c>
      <c r="F514" s="25"/>
      <c r="G514" s="25"/>
      <c r="H514" s="34">
        <f t="shared" si="270"/>
        <v>64800</v>
      </c>
      <c r="I514" s="34"/>
      <c r="J514" s="35">
        <f t="shared" si="271"/>
        <v>25.796178343949045</v>
      </c>
      <c r="K514" s="35"/>
      <c r="L514" s="26"/>
    </row>
    <row r="515" spans="1:12" s="24" customFormat="1" ht="20.100000000000001" customHeight="1" x14ac:dyDescent="0.3">
      <c r="A515" s="44" t="s">
        <v>461</v>
      </c>
      <c r="B515" s="42">
        <v>3</v>
      </c>
      <c r="C515" s="42">
        <v>90000</v>
      </c>
      <c r="D515" s="42">
        <v>270000</v>
      </c>
      <c r="E515" s="33">
        <v>63400</v>
      </c>
      <c r="F515" s="25"/>
      <c r="G515" s="25"/>
      <c r="H515" s="34">
        <f t="shared" si="270"/>
        <v>79800</v>
      </c>
      <c r="I515" s="34"/>
      <c r="J515" s="35">
        <f t="shared" si="271"/>
        <v>29.555555555555557</v>
      </c>
      <c r="K515" s="35"/>
      <c r="L515" s="26"/>
    </row>
    <row r="516" spans="1:12" s="24" customFormat="1" ht="20.100000000000001" customHeight="1" x14ac:dyDescent="0.3">
      <c r="A516" s="43" t="s">
        <v>313</v>
      </c>
      <c r="B516" s="42"/>
      <c r="C516" s="42"/>
      <c r="D516" s="42"/>
      <c r="E516" s="33"/>
      <c r="F516" s="25"/>
      <c r="G516" s="25"/>
      <c r="H516" s="22"/>
      <c r="I516" s="22"/>
      <c r="J516" s="23"/>
      <c r="K516" s="23"/>
      <c r="L516" s="27"/>
    </row>
    <row r="517" spans="1:12" s="24" customFormat="1" ht="20.100000000000001" customHeight="1" x14ac:dyDescent="0.3">
      <c r="A517" s="44" t="s">
        <v>25</v>
      </c>
      <c r="B517" s="42">
        <v>1</v>
      </c>
      <c r="C517" s="42">
        <v>575000</v>
      </c>
      <c r="D517" s="42">
        <v>575000</v>
      </c>
      <c r="E517" s="33">
        <v>492000</v>
      </c>
      <c r="F517" s="25"/>
      <c r="G517" s="25"/>
      <c r="H517" s="34">
        <f t="shared" ref="H517:H519" si="272">D517-(E517*B517)-G517</f>
        <v>83000</v>
      </c>
      <c r="I517" s="34"/>
      <c r="J517" s="35">
        <f t="shared" ref="J517:J519" si="273">(H517/D517)*100</f>
        <v>14.434782608695651</v>
      </c>
      <c r="K517" s="35"/>
      <c r="L517" s="27"/>
    </row>
    <row r="518" spans="1:12" s="24" customFormat="1" ht="20.100000000000001" customHeight="1" x14ac:dyDescent="0.3">
      <c r="A518" s="44" t="s">
        <v>68</v>
      </c>
      <c r="B518" s="42">
        <v>1</v>
      </c>
      <c r="C518" s="42">
        <v>68000</v>
      </c>
      <c r="D518" s="42">
        <v>68000</v>
      </c>
      <c r="E518" s="33">
        <v>54300</v>
      </c>
      <c r="F518" s="25"/>
      <c r="G518" s="25"/>
      <c r="H518" s="34">
        <f t="shared" si="272"/>
        <v>13700</v>
      </c>
      <c r="I518" s="34"/>
      <c r="J518" s="35">
        <f t="shared" si="273"/>
        <v>20.147058823529413</v>
      </c>
      <c r="K518" s="35"/>
      <c r="L518" s="26"/>
    </row>
    <row r="519" spans="1:12" s="24" customFormat="1" ht="20.100000000000001" customHeight="1" x14ac:dyDescent="0.3">
      <c r="A519" s="44" t="s">
        <v>23</v>
      </c>
      <c r="B519" s="42">
        <v>1</v>
      </c>
      <c r="C519" s="42">
        <v>95000</v>
      </c>
      <c r="D519" s="42">
        <v>95000</v>
      </c>
      <c r="E519" s="33">
        <v>63400</v>
      </c>
      <c r="F519" s="25"/>
      <c r="G519" s="25"/>
      <c r="H519" s="34">
        <f t="shared" si="272"/>
        <v>31600</v>
      </c>
      <c r="I519" s="34"/>
      <c r="J519" s="35">
        <f t="shared" si="273"/>
        <v>33.263157894736842</v>
      </c>
      <c r="K519" s="35"/>
      <c r="L519" s="26"/>
    </row>
    <row r="520" spans="1:12" s="24" customFormat="1" ht="20.100000000000001" customHeight="1" x14ac:dyDescent="0.3">
      <c r="A520" s="43" t="s">
        <v>69</v>
      </c>
      <c r="B520" s="42"/>
      <c r="C520" s="42"/>
      <c r="D520" s="42"/>
      <c r="E520" s="33"/>
      <c r="F520" s="25"/>
      <c r="G520" s="25"/>
      <c r="H520" s="22"/>
      <c r="I520" s="22"/>
      <c r="J520" s="23"/>
      <c r="K520" s="23"/>
      <c r="L520" s="26"/>
    </row>
    <row r="521" spans="1:12" s="24" customFormat="1" ht="20.100000000000001" customHeight="1" x14ac:dyDescent="0.3">
      <c r="A521" s="44" t="s">
        <v>197</v>
      </c>
      <c r="B521" s="42">
        <v>10</v>
      </c>
      <c r="C521" s="42">
        <v>410000</v>
      </c>
      <c r="D521" s="42">
        <v>4100000</v>
      </c>
      <c r="E521" s="33">
        <v>289000</v>
      </c>
      <c r="F521" s="25"/>
      <c r="G521" s="25"/>
      <c r="H521" s="34">
        <f t="shared" ref="H521:H522" si="274">D521-(E521*B521)-G521</f>
        <v>1210000</v>
      </c>
      <c r="I521" s="34"/>
      <c r="J521" s="35">
        <f t="shared" ref="J521:J522" si="275">(H521/D521)*100</f>
        <v>29.512195121951219</v>
      </c>
      <c r="K521" s="35"/>
      <c r="L521" s="26"/>
    </row>
    <row r="522" spans="1:12" s="24" customFormat="1" ht="20.100000000000001" customHeight="1" x14ac:dyDescent="0.3">
      <c r="A522" s="44" t="s">
        <v>56</v>
      </c>
      <c r="B522" s="42">
        <v>3</v>
      </c>
      <c r="C522" s="42">
        <v>81000</v>
      </c>
      <c r="D522" s="42">
        <v>243000</v>
      </c>
      <c r="E522" s="33">
        <v>66800</v>
      </c>
      <c r="F522" s="25"/>
      <c r="G522" s="25"/>
      <c r="H522" s="34">
        <f t="shared" si="274"/>
        <v>42600</v>
      </c>
      <c r="I522" s="34"/>
      <c r="J522" s="35">
        <f t="shared" si="275"/>
        <v>17.530864197530864</v>
      </c>
      <c r="K522" s="35"/>
      <c r="L522" s="26"/>
    </row>
    <row r="523" spans="1:12" s="24" customFormat="1" ht="20.100000000000001" customHeight="1" x14ac:dyDescent="0.3">
      <c r="A523" s="43" t="s">
        <v>121</v>
      </c>
      <c r="B523" s="42"/>
      <c r="C523" s="42"/>
      <c r="D523" s="42"/>
      <c r="E523" s="33"/>
      <c r="F523" s="25"/>
      <c r="G523" s="25"/>
      <c r="H523" s="22"/>
      <c r="I523" s="22"/>
      <c r="J523" s="23"/>
      <c r="K523" s="23"/>
      <c r="L523" s="26"/>
    </row>
    <row r="524" spans="1:12" s="24" customFormat="1" ht="20.100000000000001" customHeight="1" x14ac:dyDescent="0.3">
      <c r="A524" s="44" t="s">
        <v>54</v>
      </c>
      <c r="B524" s="42">
        <v>3</v>
      </c>
      <c r="C524" s="42">
        <v>69000</v>
      </c>
      <c r="D524" s="42">
        <v>207000</v>
      </c>
      <c r="E524" s="33">
        <v>55700</v>
      </c>
      <c r="F524" s="25"/>
      <c r="G524" s="25"/>
      <c r="H524" s="34">
        <f t="shared" ref="H524" si="276">D524-(E524*B524)-G524</f>
        <v>39900</v>
      </c>
      <c r="I524" s="34"/>
      <c r="J524" s="35">
        <f t="shared" ref="J524" si="277">(H524/D524)*100</f>
        <v>19.275362318840582</v>
      </c>
      <c r="K524" s="35"/>
      <c r="L524" s="26"/>
    </row>
    <row r="525" spans="1:12" s="24" customFormat="1" ht="20.100000000000001" customHeight="1" x14ac:dyDescent="0.3">
      <c r="A525" s="43" t="s">
        <v>70</v>
      </c>
      <c r="B525" s="42"/>
      <c r="C525" s="42"/>
      <c r="D525" s="42"/>
      <c r="E525" s="33"/>
      <c r="F525" s="25"/>
      <c r="G525" s="25"/>
      <c r="H525" s="22"/>
      <c r="I525" s="22"/>
      <c r="J525" s="23"/>
      <c r="K525" s="23"/>
      <c r="L525" s="26"/>
    </row>
    <row r="526" spans="1:12" s="24" customFormat="1" ht="20.100000000000001" customHeight="1" x14ac:dyDescent="0.3">
      <c r="A526" s="56" t="s">
        <v>537</v>
      </c>
      <c r="B526" s="57">
        <v>4</v>
      </c>
      <c r="C526" s="57">
        <v>424000</v>
      </c>
      <c r="D526" s="57">
        <v>1696000</v>
      </c>
      <c r="E526" s="36">
        <v>492000</v>
      </c>
      <c r="F526" s="37"/>
      <c r="G526" s="37"/>
      <c r="H526" s="38">
        <f t="shared" ref="H526:H527" si="278">D526-(E526*B526)-G526</f>
        <v>-272000</v>
      </c>
      <c r="I526" s="38"/>
      <c r="J526" s="39">
        <f t="shared" ref="J526:J527" si="279">(H526/D526)*100</f>
        <v>-16.037735849056602</v>
      </c>
      <c r="K526" s="39"/>
      <c r="L526" s="40" t="s">
        <v>528</v>
      </c>
    </row>
    <row r="527" spans="1:12" s="24" customFormat="1" ht="20.100000000000001" customHeight="1" x14ac:dyDescent="0.3">
      <c r="A527" s="56" t="s">
        <v>538</v>
      </c>
      <c r="B527" s="57">
        <v>1</v>
      </c>
      <c r="C527" s="57">
        <v>499000</v>
      </c>
      <c r="D527" s="57">
        <v>499000</v>
      </c>
      <c r="E527" s="36">
        <v>508000</v>
      </c>
      <c r="F527" s="37"/>
      <c r="G527" s="37"/>
      <c r="H527" s="38">
        <f t="shared" si="278"/>
        <v>-9000</v>
      </c>
      <c r="I527" s="38"/>
      <c r="J527" s="39">
        <f t="shared" si="279"/>
        <v>-1.8036072144288577</v>
      </c>
      <c r="K527" s="39"/>
      <c r="L527" s="40" t="s">
        <v>539</v>
      </c>
    </row>
    <row r="528" spans="1:12" s="24" customFormat="1" ht="20.100000000000001" customHeight="1" x14ac:dyDescent="0.3">
      <c r="A528" s="43" t="s">
        <v>122</v>
      </c>
      <c r="B528" s="42"/>
      <c r="C528" s="42"/>
      <c r="D528" s="42"/>
      <c r="E528" s="33"/>
      <c r="F528" s="25"/>
      <c r="G528" s="25"/>
      <c r="H528" s="22"/>
      <c r="I528" s="22"/>
      <c r="J528" s="23"/>
      <c r="K528" s="23"/>
      <c r="L528" s="26"/>
    </row>
    <row r="529" spans="1:12" s="24" customFormat="1" ht="20.100000000000001" customHeight="1" x14ac:dyDescent="0.3">
      <c r="A529" s="44" t="s">
        <v>20</v>
      </c>
      <c r="B529" s="42">
        <v>20</v>
      </c>
      <c r="C529" s="42">
        <v>51700</v>
      </c>
      <c r="D529" s="42">
        <v>1034000</v>
      </c>
      <c r="E529" s="33">
        <v>46600</v>
      </c>
      <c r="F529" s="25"/>
      <c r="G529" s="25"/>
      <c r="H529" s="34">
        <f t="shared" ref="H529:H531" si="280">D529-(E529*B529)-G529</f>
        <v>102000</v>
      </c>
      <c r="I529" s="34"/>
      <c r="J529" s="35">
        <f t="shared" ref="J529:J531" si="281">(H529/D529)*100</f>
        <v>9.8646034816247585</v>
      </c>
      <c r="K529" s="35"/>
      <c r="L529" s="26"/>
    </row>
    <row r="530" spans="1:12" s="24" customFormat="1" ht="20.100000000000001" customHeight="1" x14ac:dyDescent="0.3">
      <c r="A530" s="44" t="s">
        <v>23</v>
      </c>
      <c r="B530" s="42">
        <v>2</v>
      </c>
      <c r="C530" s="42">
        <v>80000</v>
      </c>
      <c r="D530" s="42">
        <v>160000</v>
      </c>
      <c r="E530" s="33">
        <v>63400</v>
      </c>
      <c r="F530" s="25"/>
      <c r="G530" s="25"/>
      <c r="H530" s="34">
        <f t="shared" si="280"/>
        <v>33200</v>
      </c>
      <c r="I530" s="34"/>
      <c r="J530" s="35">
        <f t="shared" si="281"/>
        <v>20.75</v>
      </c>
      <c r="K530" s="35"/>
      <c r="L530" s="27"/>
    </row>
    <row r="531" spans="1:12" s="24" customFormat="1" ht="20.100000000000001" customHeight="1" x14ac:dyDescent="0.3">
      <c r="A531" s="44" t="s">
        <v>71</v>
      </c>
      <c r="B531" s="42">
        <v>2</v>
      </c>
      <c r="C531" s="42">
        <v>74700</v>
      </c>
      <c r="D531" s="42">
        <v>149400</v>
      </c>
      <c r="E531" s="33">
        <v>55400</v>
      </c>
      <c r="F531" s="25"/>
      <c r="G531" s="25"/>
      <c r="H531" s="34">
        <f t="shared" si="280"/>
        <v>38600</v>
      </c>
      <c r="I531" s="34"/>
      <c r="J531" s="35">
        <f t="shared" si="281"/>
        <v>25.836680053547521</v>
      </c>
      <c r="K531" s="35"/>
      <c r="L531" s="26"/>
    </row>
    <row r="532" spans="1:12" s="24" customFormat="1" ht="20.100000000000001" customHeight="1" x14ac:dyDescent="0.3">
      <c r="A532" s="43" t="s">
        <v>72</v>
      </c>
      <c r="B532" s="42"/>
      <c r="C532" s="42"/>
      <c r="D532" s="42"/>
      <c r="E532" s="33"/>
      <c r="F532" s="25"/>
      <c r="G532" s="25"/>
      <c r="H532" s="22"/>
      <c r="I532" s="22"/>
      <c r="J532" s="23"/>
      <c r="K532" s="23"/>
      <c r="L532" s="26"/>
    </row>
    <row r="533" spans="1:12" s="24" customFormat="1" ht="20.100000000000001" customHeight="1" x14ac:dyDescent="0.3">
      <c r="A533" s="44" t="s">
        <v>410</v>
      </c>
      <c r="B533" s="42">
        <v>3</v>
      </c>
      <c r="C533" s="42">
        <v>163000</v>
      </c>
      <c r="D533" s="42">
        <v>489000</v>
      </c>
      <c r="E533" s="33">
        <v>107800</v>
      </c>
      <c r="F533" s="25"/>
      <c r="G533" s="25"/>
      <c r="H533" s="34">
        <f t="shared" ref="H533:H537" si="282">D533-(E533*B533)-G533</f>
        <v>165600</v>
      </c>
      <c r="I533" s="34"/>
      <c r="J533" s="35">
        <f t="shared" ref="J533:J537" si="283">(H533/D533)*100</f>
        <v>33.865030674846622</v>
      </c>
      <c r="K533" s="35"/>
      <c r="L533" s="26"/>
    </row>
    <row r="534" spans="1:12" s="24" customFormat="1" ht="20.100000000000001" customHeight="1" x14ac:dyDescent="0.3">
      <c r="A534" s="44" t="s">
        <v>253</v>
      </c>
      <c r="B534" s="42">
        <v>1</v>
      </c>
      <c r="C534" s="42">
        <v>2023500</v>
      </c>
      <c r="D534" s="42">
        <v>2023500</v>
      </c>
      <c r="E534" s="33">
        <v>1300000</v>
      </c>
      <c r="F534" s="25"/>
      <c r="G534" s="25"/>
      <c r="H534" s="34">
        <f t="shared" si="282"/>
        <v>723500</v>
      </c>
      <c r="I534" s="34"/>
      <c r="J534" s="35">
        <f t="shared" si="283"/>
        <v>35.75488015814183</v>
      </c>
      <c r="K534" s="35"/>
      <c r="L534" s="26"/>
    </row>
    <row r="535" spans="1:12" s="24" customFormat="1" ht="20.100000000000001" customHeight="1" x14ac:dyDescent="0.3">
      <c r="A535" s="44" t="s">
        <v>67</v>
      </c>
      <c r="B535" s="42">
        <v>2</v>
      </c>
      <c r="C535" s="42">
        <v>82500</v>
      </c>
      <c r="D535" s="42">
        <v>165000</v>
      </c>
      <c r="E535" s="33">
        <v>66400</v>
      </c>
      <c r="F535" s="25"/>
      <c r="G535" s="25"/>
      <c r="H535" s="34">
        <f t="shared" si="282"/>
        <v>32200</v>
      </c>
      <c r="I535" s="34"/>
      <c r="J535" s="35">
        <f t="shared" si="283"/>
        <v>19.515151515151516</v>
      </c>
      <c r="K535" s="35"/>
      <c r="L535" s="27"/>
    </row>
    <row r="536" spans="1:12" s="24" customFormat="1" ht="19.5" customHeight="1" x14ac:dyDescent="0.3">
      <c r="A536" s="44" t="s">
        <v>134</v>
      </c>
      <c r="B536" s="42">
        <v>1</v>
      </c>
      <c r="C536" s="42">
        <v>826200</v>
      </c>
      <c r="D536" s="42">
        <v>826200</v>
      </c>
      <c r="E536" s="33">
        <v>623000</v>
      </c>
      <c r="F536" s="25"/>
      <c r="G536" s="25"/>
      <c r="H536" s="34">
        <f t="shared" si="282"/>
        <v>203200</v>
      </c>
      <c r="I536" s="34"/>
      <c r="J536" s="35">
        <f t="shared" si="283"/>
        <v>24.594529169692571</v>
      </c>
      <c r="K536" s="35"/>
      <c r="L536" s="26"/>
    </row>
    <row r="537" spans="1:12" s="24" customFormat="1" ht="20.100000000000001" customHeight="1" x14ac:dyDescent="0.3">
      <c r="A537" s="44" t="s">
        <v>68</v>
      </c>
      <c r="B537" s="42">
        <v>3</v>
      </c>
      <c r="C537" s="42">
        <v>68000</v>
      </c>
      <c r="D537" s="42">
        <v>204000</v>
      </c>
      <c r="E537" s="33">
        <v>54300</v>
      </c>
      <c r="F537" s="25"/>
      <c r="G537" s="25"/>
      <c r="H537" s="34">
        <f t="shared" si="282"/>
        <v>41100</v>
      </c>
      <c r="I537" s="34"/>
      <c r="J537" s="35">
        <f t="shared" si="283"/>
        <v>20.147058823529413</v>
      </c>
      <c r="K537" s="35"/>
      <c r="L537" s="26"/>
    </row>
    <row r="538" spans="1:12" s="24" customFormat="1" ht="20.100000000000001" customHeight="1" x14ac:dyDescent="0.3">
      <c r="A538" s="43" t="s">
        <v>254</v>
      </c>
      <c r="B538" s="42"/>
      <c r="C538" s="42"/>
      <c r="D538" s="42"/>
      <c r="E538" s="33"/>
      <c r="F538" s="25"/>
      <c r="G538" s="25"/>
      <c r="H538" s="22"/>
      <c r="I538" s="22"/>
      <c r="J538" s="23"/>
      <c r="K538" s="23"/>
      <c r="L538" s="26"/>
    </row>
    <row r="539" spans="1:12" s="24" customFormat="1" ht="20.100000000000001" customHeight="1" x14ac:dyDescent="0.3">
      <c r="A539" s="44" t="s">
        <v>68</v>
      </c>
      <c r="B539" s="42">
        <v>7</v>
      </c>
      <c r="C539" s="42">
        <v>62500</v>
      </c>
      <c r="D539" s="42">
        <v>437500</v>
      </c>
      <c r="E539" s="33">
        <v>54300</v>
      </c>
      <c r="F539" s="25"/>
      <c r="G539" s="25"/>
      <c r="H539" s="34">
        <f t="shared" ref="H539" si="284">D539-(E539*B539)-G539</f>
        <v>57400</v>
      </c>
      <c r="I539" s="34"/>
      <c r="J539" s="35">
        <f t="shared" ref="J539" si="285">(H539/D539)*100</f>
        <v>13.120000000000001</v>
      </c>
      <c r="K539" s="35"/>
      <c r="L539" s="27"/>
    </row>
    <row r="540" spans="1:12" s="24" customFormat="1" ht="20.100000000000001" customHeight="1" x14ac:dyDescent="0.3">
      <c r="A540" s="43" t="s">
        <v>152</v>
      </c>
      <c r="B540" s="42"/>
      <c r="C540" s="42"/>
      <c r="D540" s="42"/>
      <c r="E540" s="33"/>
      <c r="F540" s="25"/>
      <c r="G540" s="25"/>
      <c r="H540" s="22"/>
      <c r="I540" s="22"/>
      <c r="J540" s="23"/>
      <c r="K540" s="23"/>
      <c r="L540" s="27"/>
    </row>
    <row r="541" spans="1:12" s="24" customFormat="1" ht="19.5" customHeight="1" x14ac:dyDescent="0.3">
      <c r="A541" s="44" t="s">
        <v>23</v>
      </c>
      <c r="B541" s="42">
        <v>1</v>
      </c>
      <c r="C541" s="42">
        <v>95000</v>
      </c>
      <c r="D541" s="42">
        <v>95000</v>
      </c>
      <c r="E541" s="33">
        <v>63400</v>
      </c>
      <c r="F541" s="25"/>
      <c r="G541" s="25"/>
      <c r="H541" s="34">
        <f t="shared" ref="H541" si="286">D541-(E541*B541)-G541</f>
        <v>31600</v>
      </c>
      <c r="I541" s="34"/>
      <c r="J541" s="35">
        <f t="shared" ref="J541" si="287">(H541/D541)*100</f>
        <v>33.263157894736842</v>
      </c>
      <c r="K541" s="35"/>
      <c r="L541" s="26"/>
    </row>
    <row r="542" spans="1:12" s="24" customFormat="1" ht="20.100000000000001" customHeight="1" x14ac:dyDescent="0.3">
      <c r="A542" s="43" t="s">
        <v>126</v>
      </c>
      <c r="B542" s="42"/>
      <c r="C542" s="42"/>
      <c r="D542" s="42"/>
      <c r="E542" s="33"/>
      <c r="F542" s="25"/>
      <c r="G542" s="25"/>
      <c r="H542" s="22"/>
      <c r="I542" s="22"/>
      <c r="J542" s="23"/>
      <c r="K542" s="23"/>
      <c r="L542" s="26"/>
    </row>
    <row r="543" spans="1:12" s="24" customFormat="1" ht="20.100000000000001" customHeight="1" x14ac:dyDescent="0.3">
      <c r="A543" s="44" t="s">
        <v>22</v>
      </c>
      <c r="B543" s="42">
        <v>8</v>
      </c>
      <c r="C543" s="42">
        <v>36000</v>
      </c>
      <c r="D543" s="42">
        <v>288000</v>
      </c>
      <c r="E543" s="33">
        <v>31200</v>
      </c>
      <c r="F543" s="25"/>
      <c r="G543" s="25"/>
      <c r="H543" s="34">
        <f t="shared" ref="H543:H548" si="288">D543-(E543*B543)-G543</f>
        <v>38400</v>
      </c>
      <c r="I543" s="34"/>
      <c r="J543" s="35">
        <f t="shared" ref="J543:J548" si="289">(H543/D543)*100</f>
        <v>13.333333333333334</v>
      </c>
      <c r="K543" s="35"/>
      <c r="L543" s="26"/>
    </row>
    <row r="544" spans="1:12" s="24" customFormat="1" ht="20.100000000000001" customHeight="1" x14ac:dyDescent="0.3">
      <c r="A544" s="44" t="s">
        <v>197</v>
      </c>
      <c r="B544" s="42">
        <v>1</v>
      </c>
      <c r="C544" s="42">
        <v>330000</v>
      </c>
      <c r="D544" s="42">
        <v>330000</v>
      </c>
      <c r="E544" s="33">
        <v>289000</v>
      </c>
      <c r="F544" s="25"/>
      <c r="G544" s="25"/>
      <c r="H544" s="34">
        <f t="shared" si="288"/>
        <v>41000</v>
      </c>
      <c r="I544" s="34"/>
      <c r="J544" s="35">
        <f t="shared" si="289"/>
        <v>12.424242424242424</v>
      </c>
      <c r="K544" s="35"/>
      <c r="L544" s="27"/>
    </row>
    <row r="545" spans="1:12" s="24" customFormat="1" ht="20.100000000000001" customHeight="1" x14ac:dyDescent="0.3">
      <c r="A545" s="44" t="s">
        <v>68</v>
      </c>
      <c r="B545" s="42">
        <v>24</v>
      </c>
      <c r="C545" s="42">
        <v>63000</v>
      </c>
      <c r="D545" s="42">
        <v>1512000</v>
      </c>
      <c r="E545" s="33">
        <v>54300</v>
      </c>
      <c r="F545" s="25"/>
      <c r="G545" s="25"/>
      <c r="H545" s="34">
        <f t="shared" si="288"/>
        <v>208800</v>
      </c>
      <c r="I545" s="34"/>
      <c r="J545" s="35">
        <f t="shared" si="289"/>
        <v>13.80952380952381</v>
      </c>
      <c r="K545" s="35"/>
      <c r="L545" s="26"/>
    </row>
    <row r="546" spans="1:12" s="24" customFormat="1" ht="20.100000000000001" customHeight="1" x14ac:dyDescent="0.3">
      <c r="A546" s="44" t="s">
        <v>411</v>
      </c>
      <c r="B546" s="42">
        <v>10</v>
      </c>
      <c r="C546" s="42">
        <v>63000</v>
      </c>
      <c r="D546" s="42">
        <v>630000</v>
      </c>
      <c r="E546" s="33">
        <v>54300</v>
      </c>
      <c r="F546" s="25"/>
      <c r="G546" s="25"/>
      <c r="H546" s="34">
        <f t="shared" si="288"/>
        <v>87000</v>
      </c>
      <c r="I546" s="34"/>
      <c r="J546" s="35">
        <f t="shared" si="289"/>
        <v>13.80952380952381</v>
      </c>
      <c r="K546" s="35"/>
      <c r="L546" s="27"/>
    </row>
    <row r="547" spans="1:12" s="24" customFormat="1" ht="20.100000000000001" customHeight="1" x14ac:dyDescent="0.3">
      <c r="A547" s="44" t="s">
        <v>204</v>
      </c>
      <c r="B547" s="42">
        <v>1</v>
      </c>
      <c r="C547" s="42">
        <v>595000</v>
      </c>
      <c r="D547" s="42">
        <v>595000</v>
      </c>
      <c r="E547" s="33">
        <v>508000</v>
      </c>
      <c r="F547" s="25"/>
      <c r="G547" s="25"/>
      <c r="H547" s="34">
        <f t="shared" si="288"/>
        <v>87000</v>
      </c>
      <c r="I547" s="34"/>
      <c r="J547" s="35">
        <f t="shared" si="289"/>
        <v>14.6218487394958</v>
      </c>
      <c r="K547" s="35"/>
      <c r="L547" s="27"/>
    </row>
    <row r="548" spans="1:12" s="24" customFormat="1" ht="20.100000000000001" customHeight="1" x14ac:dyDescent="0.3">
      <c r="A548" s="44" t="s">
        <v>71</v>
      </c>
      <c r="B548" s="42">
        <v>3</v>
      </c>
      <c r="C548" s="42">
        <v>85400</v>
      </c>
      <c r="D548" s="42">
        <v>256200</v>
      </c>
      <c r="E548" s="33">
        <v>55400</v>
      </c>
      <c r="F548" s="25"/>
      <c r="G548" s="25"/>
      <c r="H548" s="34">
        <f t="shared" si="288"/>
        <v>90000</v>
      </c>
      <c r="I548" s="34"/>
      <c r="J548" s="35">
        <f t="shared" si="289"/>
        <v>35.128805620608901</v>
      </c>
      <c r="K548" s="35"/>
      <c r="L548" s="27"/>
    </row>
    <row r="549" spans="1:12" s="24" customFormat="1" ht="20.100000000000001" customHeight="1" x14ac:dyDescent="0.3">
      <c r="A549" s="43" t="s">
        <v>88</v>
      </c>
      <c r="B549" s="42"/>
      <c r="C549" s="42"/>
      <c r="D549" s="42"/>
      <c r="E549" s="33"/>
      <c r="F549" s="25"/>
      <c r="G549" s="25"/>
      <c r="H549" s="22"/>
      <c r="I549" s="22"/>
      <c r="J549" s="23"/>
      <c r="K549" s="23"/>
      <c r="L549" s="26"/>
    </row>
    <row r="550" spans="1:12" s="24" customFormat="1" ht="20.100000000000001" customHeight="1" x14ac:dyDescent="0.3">
      <c r="A550" s="44" t="s">
        <v>235</v>
      </c>
      <c r="B550" s="42">
        <v>1</v>
      </c>
      <c r="C550" s="42">
        <v>86800</v>
      </c>
      <c r="D550" s="42">
        <v>86800</v>
      </c>
      <c r="E550" s="33">
        <v>71700</v>
      </c>
      <c r="F550" s="25"/>
      <c r="G550" s="25"/>
      <c r="H550" s="34">
        <f t="shared" ref="H550:H553" si="290">D550-(E550*B550)-G550</f>
        <v>15100</v>
      </c>
      <c r="I550" s="34"/>
      <c r="J550" s="35">
        <f t="shared" ref="J550:J553" si="291">(H550/D550)*100</f>
        <v>17.396313364055299</v>
      </c>
      <c r="K550" s="35"/>
      <c r="L550" s="26"/>
    </row>
    <row r="551" spans="1:12" s="24" customFormat="1" ht="20.100000000000001" customHeight="1" x14ac:dyDescent="0.3">
      <c r="A551" s="44" t="s">
        <v>194</v>
      </c>
      <c r="B551" s="42">
        <v>1</v>
      </c>
      <c r="C551" s="42">
        <v>350000</v>
      </c>
      <c r="D551" s="42">
        <v>350000</v>
      </c>
      <c r="E551" s="33">
        <v>314000</v>
      </c>
      <c r="F551" s="25"/>
      <c r="G551" s="25"/>
      <c r="H551" s="34">
        <f t="shared" si="290"/>
        <v>36000</v>
      </c>
      <c r="I551" s="34"/>
      <c r="J551" s="35">
        <f t="shared" si="291"/>
        <v>10.285714285714285</v>
      </c>
      <c r="K551" s="35"/>
      <c r="L551" s="26"/>
    </row>
    <row r="552" spans="1:12" s="24" customFormat="1" ht="20.100000000000001" customHeight="1" x14ac:dyDescent="0.3">
      <c r="A552" s="44" t="s">
        <v>68</v>
      </c>
      <c r="B552" s="42">
        <v>5</v>
      </c>
      <c r="C552" s="42">
        <v>68000</v>
      </c>
      <c r="D552" s="42">
        <v>340000</v>
      </c>
      <c r="E552" s="33">
        <v>54300</v>
      </c>
      <c r="F552" s="25"/>
      <c r="G552" s="25"/>
      <c r="H552" s="34">
        <f t="shared" si="290"/>
        <v>68500</v>
      </c>
      <c r="I552" s="34"/>
      <c r="J552" s="35">
        <f t="shared" si="291"/>
        <v>20.147058823529413</v>
      </c>
      <c r="K552" s="35"/>
      <c r="L552" s="26"/>
    </row>
    <row r="553" spans="1:12" s="24" customFormat="1" ht="20.100000000000001" customHeight="1" x14ac:dyDescent="0.3">
      <c r="A553" s="44" t="s">
        <v>23</v>
      </c>
      <c r="B553" s="42">
        <v>1</v>
      </c>
      <c r="C553" s="42">
        <v>95000</v>
      </c>
      <c r="D553" s="42">
        <v>95000</v>
      </c>
      <c r="E553" s="33">
        <v>63400</v>
      </c>
      <c r="F553" s="25"/>
      <c r="G553" s="25"/>
      <c r="H553" s="34">
        <f t="shared" si="290"/>
        <v>31600</v>
      </c>
      <c r="I553" s="34"/>
      <c r="J553" s="35">
        <f t="shared" si="291"/>
        <v>33.263157894736842</v>
      </c>
      <c r="K553" s="35"/>
      <c r="L553" s="26"/>
    </row>
    <row r="554" spans="1:12" s="24" customFormat="1" ht="20.100000000000001" customHeight="1" x14ac:dyDescent="0.3">
      <c r="A554" s="43" t="s">
        <v>73</v>
      </c>
      <c r="B554" s="42"/>
      <c r="C554" s="42"/>
      <c r="D554" s="42"/>
      <c r="E554" s="33"/>
      <c r="F554" s="25"/>
      <c r="G554" s="25"/>
      <c r="H554" s="22"/>
      <c r="I554" s="22"/>
      <c r="J554" s="23"/>
      <c r="K554" s="23"/>
      <c r="L554" s="26"/>
    </row>
    <row r="555" spans="1:12" s="24" customFormat="1" ht="20.100000000000001" customHeight="1" x14ac:dyDescent="0.3">
      <c r="A555" s="44" t="s">
        <v>506</v>
      </c>
      <c r="B555" s="42">
        <v>4</v>
      </c>
      <c r="C555" s="42">
        <v>1258700</v>
      </c>
      <c r="D555" s="42">
        <v>5034800</v>
      </c>
      <c r="E555" s="33">
        <v>1135000</v>
      </c>
      <c r="F555" s="25"/>
      <c r="G555" s="25"/>
      <c r="H555" s="34">
        <f t="shared" ref="H555:H558" si="292">D555-(E555*B555)-G555</f>
        <v>494800</v>
      </c>
      <c r="I555" s="34"/>
      <c r="J555" s="35">
        <f t="shared" ref="J555:J558" si="293">(H555/D555)*100</f>
        <v>9.8275999046635416</v>
      </c>
      <c r="K555" s="35"/>
      <c r="L555" s="26"/>
    </row>
    <row r="556" spans="1:12" s="24" customFormat="1" ht="20.100000000000001" customHeight="1" x14ac:dyDescent="0.3">
      <c r="A556" s="44" t="s">
        <v>507</v>
      </c>
      <c r="B556" s="42">
        <v>12</v>
      </c>
      <c r="C556" s="42">
        <v>465000</v>
      </c>
      <c r="D556" s="42">
        <v>5580000</v>
      </c>
      <c r="E556" s="33">
        <v>375000</v>
      </c>
      <c r="F556" s="25"/>
      <c r="G556" s="25"/>
      <c r="H556" s="34">
        <f t="shared" si="292"/>
        <v>1080000</v>
      </c>
      <c r="I556" s="34"/>
      <c r="J556" s="35">
        <f t="shared" si="293"/>
        <v>19.35483870967742</v>
      </c>
      <c r="K556" s="35"/>
      <c r="L556" s="27"/>
    </row>
    <row r="557" spans="1:12" s="24" customFormat="1" ht="20.100000000000001" customHeight="1" x14ac:dyDescent="0.3">
      <c r="A557" s="44" t="s">
        <v>23</v>
      </c>
      <c r="B557" s="42">
        <v>2</v>
      </c>
      <c r="C557" s="42">
        <v>101700</v>
      </c>
      <c r="D557" s="42">
        <v>203400</v>
      </c>
      <c r="E557" s="33">
        <v>63400</v>
      </c>
      <c r="F557" s="25"/>
      <c r="G557" s="25"/>
      <c r="H557" s="34">
        <f t="shared" si="292"/>
        <v>76600</v>
      </c>
      <c r="I557" s="34"/>
      <c r="J557" s="35">
        <f t="shared" si="293"/>
        <v>37.659783677482793</v>
      </c>
      <c r="K557" s="35"/>
      <c r="L557" s="26"/>
    </row>
    <row r="558" spans="1:12" s="24" customFormat="1" ht="19.5" customHeight="1" x14ac:dyDescent="0.3">
      <c r="A558" s="44" t="s">
        <v>508</v>
      </c>
      <c r="B558" s="42">
        <v>1</v>
      </c>
      <c r="C558" s="42">
        <v>490000</v>
      </c>
      <c r="D558" s="42">
        <v>490000</v>
      </c>
      <c r="E558" s="33">
        <v>400000</v>
      </c>
      <c r="F558" s="25"/>
      <c r="G558" s="25"/>
      <c r="H558" s="34">
        <f t="shared" si="292"/>
        <v>90000</v>
      </c>
      <c r="I558" s="34"/>
      <c r="J558" s="35">
        <f t="shared" si="293"/>
        <v>18.367346938775512</v>
      </c>
      <c r="K558" s="35"/>
      <c r="L558" s="26"/>
    </row>
    <row r="559" spans="1:12" s="24" customFormat="1" ht="20.100000000000001" customHeight="1" x14ac:dyDescent="0.3">
      <c r="A559" s="43" t="s">
        <v>199</v>
      </c>
      <c r="B559" s="42"/>
      <c r="C559" s="42"/>
      <c r="D559" s="42"/>
      <c r="E559" s="33"/>
      <c r="F559" s="25"/>
      <c r="G559" s="25"/>
      <c r="H559" s="22"/>
      <c r="I559" s="22"/>
      <c r="J559" s="23"/>
      <c r="K559" s="23"/>
      <c r="L559" s="26"/>
    </row>
    <row r="560" spans="1:12" s="24" customFormat="1" ht="20.100000000000001" customHeight="1" x14ac:dyDescent="0.3">
      <c r="A560" s="44" t="s">
        <v>97</v>
      </c>
      <c r="B560" s="42">
        <v>1</v>
      </c>
      <c r="C560" s="42">
        <v>397000</v>
      </c>
      <c r="D560" s="42">
        <v>397000</v>
      </c>
      <c r="E560" s="33">
        <v>287000</v>
      </c>
      <c r="F560" s="25"/>
      <c r="G560" s="25"/>
      <c r="H560" s="34">
        <f t="shared" ref="H560:H562" si="294">D560-(E560*B560)-G560</f>
        <v>110000</v>
      </c>
      <c r="I560" s="34"/>
      <c r="J560" s="35">
        <f t="shared" ref="J560:J562" si="295">(H560/D560)*100</f>
        <v>27.70780856423174</v>
      </c>
      <c r="K560" s="35"/>
      <c r="L560" s="26"/>
    </row>
    <row r="561" spans="1:12" s="24" customFormat="1" ht="20.100000000000001" customHeight="1" x14ac:dyDescent="0.3">
      <c r="A561" s="44" t="s">
        <v>68</v>
      </c>
      <c r="B561" s="42">
        <v>1</v>
      </c>
      <c r="C561" s="42">
        <v>71000</v>
      </c>
      <c r="D561" s="42">
        <v>71000</v>
      </c>
      <c r="E561" s="33">
        <v>54300</v>
      </c>
      <c r="F561" s="25"/>
      <c r="G561" s="25"/>
      <c r="H561" s="34">
        <f t="shared" si="294"/>
        <v>16700</v>
      </c>
      <c r="I561" s="34"/>
      <c r="J561" s="35">
        <f t="shared" si="295"/>
        <v>23.52112676056338</v>
      </c>
      <c r="K561" s="35"/>
      <c r="L561" s="27"/>
    </row>
    <row r="562" spans="1:12" s="24" customFormat="1" ht="20.100000000000001" customHeight="1" x14ac:dyDescent="0.3">
      <c r="A562" s="44" t="s">
        <v>23</v>
      </c>
      <c r="B562" s="42">
        <v>1</v>
      </c>
      <c r="C562" s="42">
        <v>100000</v>
      </c>
      <c r="D562" s="42">
        <v>100000</v>
      </c>
      <c r="E562" s="33">
        <v>63400</v>
      </c>
      <c r="F562" s="25"/>
      <c r="G562" s="25"/>
      <c r="H562" s="34">
        <f t="shared" si="294"/>
        <v>36600</v>
      </c>
      <c r="I562" s="34"/>
      <c r="J562" s="35">
        <f t="shared" si="295"/>
        <v>36.6</v>
      </c>
      <c r="K562" s="35"/>
      <c r="L562" s="26"/>
    </row>
    <row r="563" spans="1:12" s="24" customFormat="1" ht="20.100000000000001" customHeight="1" x14ac:dyDescent="0.3">
      <c r="A563" s="43" t="s">
        <v>200</v>
      </c>
      <c r="B563" s="42"/>
      <c r="C563" s="42"/>
      <c r="D563" s="42"/>
      <c r="E563" s="33"/>
      <c r="F563" s="25"/>
      <c r="G563" s="25"/>
      <c r="H563" s="22"/>
      <c r="I563" s="22"/>
      <c r="J563" s="23"/>
      <c r="K563" s="23"/>
      <c r="L563" s="26"/>
    </row>
    <row r="564" spans="1:12" s="24" customFormat="1" ht="20.100000000000001" customHeight="1" x14ac:dyDescent="0.3">
      <c r="A564" s="44" t="s">
        <v>37</v>
      </c>
      <c r="B564" s="42">
        <v>3</v>
      </c>
      <c r="C564" s="42">
        <v>650000</v>
      </c>
      <c r="D564" s="42">
        <v>1950000</v>
      </c>
      <c r="E564" s="33">
        <v>508000</v>
      </c>
      <c r="F564" s="25"/>
      <c r="G564" s="25"/>
      <c r="H564" s="34">
        <f t="shared" ref="H564" si="296">D564-(E564*B564)-G564</f>
        <v>426000</v>
      </c>
      <c r="I564" s="34"/>
      <c r="J564" s="35">
        <f t="shared" ref="J564" si="297">(H564/D564)*100</f>
        <v>21.846153846153847</v>
      </c>
      <c r="K564" s="35"/>
      <c r="L564" s="26"/>
    </row>
    <row r="565" spans="1:12" s="24" customFormat="1" ht="20.100000000000001" customHeight="1" x14ac:dyDescent="0.3">
      <c r="A565" s="43" t="s">
        <v>412</v>
      </c>
      <c r="B565" s="42"/>
      <c r="C565" s="42"/>
      <c r="D565" s="42"/>
      <c r="E565" s="33"/>
      <c r="F565" s="25"/>
      <c r="G565" s="25"/>
      <c r="H565" s="22"/>
      <c r="I565" s="22"/>
      <c r="J565" s="23"/>
      <c r="K565" s="23"/>
      <c r="L565" s="27"/>
    </row>
    <row r="566" spans="1:12" s="24" customFormat="1" ht="20.100000000000001" customHeight="1" x14ac:dyDescent="0.3">
      <c r="A566" s="44" t="s">
        <v>167</v>
      </c>
      <c r="B566" s="42">
        <v>1</v>
      </c>
      <c r="C566" s="42">
        <v>60000</v>
      </c>
      <c r="D566" s="42">
        <v>60000</v>
      </c>
      <c r="E566" s="33">
        <v>53900</v>
      </c>
      <c r="F566" s="25"/>
      <c r="G566" s="25"/>
      <c r="H566" s="34">
        <f t="shared" ref="H566:H569" si="298">D566-(E566*B566)-G566</f>
        <v>6100</v>
      </c>
      <c r="I566" s="34"/>
      <c r="J566" s="35">
        <f t="shared" ref="J566:J569" si="299">(H566/D566)*100</f>
        <v>10.166666666666666</v>
      </c>
      <c r="K566" s="35"/>
      <c r="L566" s="27"/>
    </row>
    <row r="567" spans="1:12" s="24" customFormat="1" ht="20.100000000000001" customHeight="1" x14ac:dyDescent="0.3">
      <c r="A567" s="44" t="s">
        <v>191</v>
      </c>
      <c r="B567" s="42">
        <v>40</v>
      </c>
      <c r="C567" s="42">
        <v>34000</v>
      </c>
      <c r="D567" s="42">
        <v>1360000</v>
      </c>
      <c r="E567" s="33">
        <v>31200</v>
      </c>
      <c r="F567" s="25"/>
      <c r="G567" s="25"/>
      <c r="H567" s="34">
        <f t="shared" si="298"/>
        <v>112000</v>
      </c>
      <c r="I567" s="34"/>
      <c r="J567" s="35">
        <f t="shared" si="299"/>
        <v>8.235294117647058</v>
      </c>
      <c r="K567" s="35"/>
      <c r="L567" s="26"/>
    </row>
    <row r="568" spans="1:12" s="24" customFormat="1" ht="20.100000000000001" customHeight="1" x14ac:dyDescent="0.3">
      <c r="A568" s="44" t="s">
        <v>33</v>
      </c>
      <c r="B568" s="42">
        <v>1</v>
      </c>
      <c r="C568" s="42">
        <v>310000</v>
      </c>
      <c r="D568" s="42">
        <v>310000</v>
      </c>
      <c r="E568" s="33">
        <v>289000</v>
      </c>
      <c r="F568" s="25"/>
      <c r="G568" s="25"/>
      <c r="H568" s="34">
        <f t="shared" si="298"/>
        <v>21000</v>
      </c>
      <c r="I568" s="34"/>
      <c r="J568" s="35">
        <f t="shared" si="299"/>
        <v>6.7741935483870979</v>
      </c>
      <c r="K568" s="35"/>
      <c r="L568" s="27"/>
    </row>
    <row r="569" spans="1:12" s="24" customFormat="1" ht="20.100000000000001" customHeight="1" x14ac:dyDescent="0.3">
      <c r="A569" s="44" t="s">
        <v>97</v>
      </c>
      <c r="B569" s="42">
        <v>2</v>
      </c>
      <c r="C569" s="42">
        <v>321500</v>
      </c>
      <c r="D569" s="42">
        <v>643000</v>
      </c>
      <c r="E569" s="33">
        <v>287000</v>
      </c>
      <c r="F569" s="25"/>
      <c r="G569" s="25"/>
      <c r="H569" s="34">
        <f t="shared" si="298"/>
        <v>69000</v>
      </c>
      <c r="I569" s="34"/>
      <c r="J569" s="35">
        <f t="shared" si="299"/>
        <v>10.730948678071538</v>
      </c>
      <c r="K569" s="35"/>
      <c r="L569" s="26"/>
    </row>
    <row r="570" spans="1:12" s="24" customFormat="1" ht="20.100000000000001" customHeight="1" x14ac:dyDescent="0.3">
      <c r="A570" s="43" t="s">
        <v>87</v>
      </c>
      <c r="B570" s="42"/>
      <c r="C570" s="42"/>
      <c r="D570" s="42"/>
      <c r="E570" s="33"/>
      <c r="F570" s="25"/>
      <c r="G570" s="25"/>
      <c r="H570" s="22"/>
      <c r="I570" s="22"/>
      <c r="J570" s="23"/>
      <c r="K570" s="23"/>
      <c r="L570" s="26"/>
    </row>
    <row r="571" spans="1:12" s="24" customFormat="1" ht="20.100000000000001" customHeight="1" x14ac:dyDescent="0.3">
      <c r="A571" s="44" t="s">
        <v>94</v>
      </c>
      <c r="B571" s="42">
        <v>6</v>
      </c>
      <c r="C571" s="42">
        <v>72000</v>
      </c>
      <c r="D571" s="42">
        <v>432000</v>
      </c>
      <c r="E571" s="33">
        <v>64000</v>
      </c>
      <c r="F571" s="25"/>
      <c r="G571" s="25"/>
      <c r="H571" s="34">
        <f t="shared" ref="H571:H586" si="300">D571-(E571*B571)-G571</f>
        <v>48000</v>
      </c>
      <c r="I571" s="34"/>
      <c r="J571" s="35">
        <f t="shared" ref="J571:J586" si="301">(H571/D571)*100</f>
        <v>11.111111111111111</v>
      </c>
      <c r="K571" s="35"/>
      <c r="L571" s="26"/>
    </row>
    <row r="572" spans="1:12" s="24" customFormat="1" ht="20.100000000000001" customHeight="1" x14ac:dyDescent="0.3">
      <c r="A572" s="44" t="s">
        <v>50</v>
      </c>
      <c r="B572" s="42">
        <v>3</v>
      </c>
      <c r="C572" s="42">
        <v>60000</v>
      </c>
      <c r="D572" s="42">
        <v>180000</v>
      </c>
      <c r="E572" s="33">
        <v>53900</v>
      </c>
      <c r="F572" s="25"/>
      <c r="G572" s="25"/>
      <c r="H572" s="34">
        <f t="shared" si="300"/>
        <v>18300</v>
      </c>
      <c r="I572" s="34"/>
      <c r="J572" s="35">
        <f t="shared" si="301"/>
        <v>10.166666666666666</v>
      </c>
      <c r="K572" s="35"/>
      <c r="L572" s="26"/>
    </row>
    <row r="573" spans="1:12" s="24" customFormat="1" ht="20.100000000000001" customHeight="1" x14ac:dyDescent="0.3">
      <c r="A573" s="44" t="s">
        <v>39</v>
      </c>
      <c r="B573" s="42">
        <v>5</v>
      </c>
      <c r="C573" s="42">
        <v>86000</v>
      </c>
      <c r="D573" s="42">
        <v>430000</v>
      </c>
      <c r="E573" s="33">
        <v>78100</v>
      </c>
      <c r="F573" s="25"/>
      <c r="G573" s="25"/>
      <c r="H573" s="34">
        <f t="shared" si="300"/>
        <v>39500</v>
      </c>
      <c r="I573" s="34"/>
      <c r="J573" s="35">
        <f t="shared" si="301"/>
        <v>9.1860465116279073</v>
      </c>
      <c r="K573" s="35"/>
      <c r="L573" s="26"/>
    </row>
    <row r="574" spans="1:12" s="24" customFormat="1" ht="20.100000000000001" customHeight="1" x14ac:dyDescent="0.3">
      <c r="A574" s="44" t="s">
        <v>280</v>
      </c>
      <c r="B574" s="42">
        <v>1</v>
      </c>
      <c r="C574" s="42">
        <v>83000</v>
      </c>
      <c r="D574" s="42">
        <v>83000</v>
      </c>
      <c r="E574" s="33">
        <v>70900</v>
      </c>
      <c r="F574" s="25"/>
      <c r="G574" s="25"/>
      <c r="H574" s="34">
        <f t="shared" si="300"/>
        <v>12100</v>
      </c>
      <c r="I574" s="34"/>
      <c r="J574" s="35">
        <f t="shared" si="301"/>
        <v>14.578313253012048</v>
      </c>
      <c r="K574" s="35"/>
      <c r="L574" s="26"/>
    </row>
    <row r="575" spans="1:12" s="24" customFormat="1" ht="20.100000000000001" customHeight="1" x14ac:dyDescent="0.3">
      <c r="A575" s="44" t="s">
        <v>218</v>
      </c>
      <c r="B575" s="42">
        <v>5</v>
      </c>
      <c r="C575" s="42">
        <v>78800</v>
      </c>
      <c r="D575" s="42">
        <v>394000</v>
      </c>
      <c r="E575" s="33">
        <v>71000</v>
      </c>
      <c r="F575" s="25"/>
      <c r="G575" s="25"/>
      <c r="H575" s="34">
        <f t="shared" si="300"/>
        <v>39000</v>
      </c>
      <c r="I575" s="34"/>
      <c r="J575" s="35">
        <f t="shared" si="301"/>
        <v>9.8984771573604071</v>
      </c>
      <c r="K575" s="35"/>
      <c r="L575" s="26"/>
    </row>
    <row r="576" spans="1:12" s="24" customFormat="1" ht="20.100000000000001" customHeight="1" x14ac:dyDescent="0.3">
      <c r="A576" s="44" t="s">
        <v>165</v>
      </c>
      <c r="B576" s="42">
        <v>4</v>
      </c>
      <c r="C576" s="42">
        <v>134000</v>
      </c>
      <c r="D576" s="42">
        <v>536000</v>
      </c>
      <c r="E576" s="33">
        <v>120000</v>
      </c>
      <c r="F576" s="25"/>
      <c r="G576" s="25"/>
      <c r="H576" s="34">
        <f t="shared" si="300"/>
        <v>56000</v>
      </c>
      <c r="I576" s="34"/>
      <c r="J576" s="35">
        <f t="shared" si="301"/>
        <v>10.44776119402985</v>
      </c>
      <c r="K576" s="35"/>
      <c r="L576" s="26"/>
    </row>
    <row r="577" spans="1:12" s="24" customFormat="1" ht="20.100000000000001" customHeight="1" x14ac:dyDescent="0.3">
      <c r="A577" s="44" t="s">
        <v>191</v>
      </c>
      <c r="B577" s="42">
        <v>15</v>
      </c>
      <c r="C577" s="42">
        <v>34000</v>
      </c>
      <c r="D577" s="42">
        <v>510000</v>
      </c>
      <c r="E577" s="33">
        <v>31200</v>
      </c>
      <c r="F577" s="25"/>
      <c r="G577" s="25"/>
      <c r="H577" s="34">
        <f t="shared" si="300"/>
        <v>42000</v>
      </c>
      <c r="I577" s="34"/>
      <c r="J577" s="35">
        <f t="shared" si="301"/>
        <v>8.235294117647058</v>
      </c>
      <c r="K577" s="35"/>
      <c r="L577" s="26"/>
    </row>
    <row r="578" spans="1:12" s="24" customFormat="1" ht="20.100000000000001" customHeight="1" x14ac:dyDescent="0.3">
      <c r="A578" s="44" t="s">
        <v>33</v>
      </c>
      <c r="B578" s="42">
        <v>5</v>
      </c>
      <c r="C578" s="42">
        <v>310000</v>
      </c>
      <c r="D578" s="42">
        <v>1550000</v>
      </c>
      <c r="E578" s="33">
        <v>289000</v>
      </c>
      <c r="F578" s="25"/>
      <c r="G578" s="25"/>
      <c r="H578" s="34">
        <f t="shared" si="300"/>
        <v>105000</v>
      </c>
      <c r="I578" s="34"/>
      <c r="J578" s="35">
        <f t="shared" si="301"/>
        <v>6.7741935483870979</v>
      </c>
      <c r="K578" s="35"/>
      <c r="L578" s="26"/>
    </row>
    <row r="579" spans="1:12" s="24" customFormat="1" ht="20.100000000000001" customHeight="1" x14ac:dyDescent="0.3">
      <c r="A579" s="44" t="s">
        <v>45</v>
      </c>
      <c r="B579" s="42">
        <v>5</v>
      </c>
      <c r="C579" s="42">
        <v>267000</v>
      </c>
      <c r="D579" s="42">
        <v>1319000</v>
      </c>
      <c r="E579" s="33">
        <v>233000</v>
      </c>
      <c r="F579" s="25"/>
      <c r="G579" s="25"/>
      <c r="H579" s="34">
        <f t="shared" si="300"/>
        <v>154000</v>
      </c>
      <c r="I579" s="34"/>
      <c r="J579" s="35">
        <f t="shared" si="301"/>
        <v>11.675511751326763</v>
      </c>
      <c r="K579" s="35"/>
      <c r="L579" s="26"/>
    </row>
    <row r="580" spans="1:12" s="24" customFormat="1" ht="20.100000000000001" customHeight="1" x14ac:dyDescent="0.3">
      <c r="A580" s="44" t="s">
        <v>127</v>
      </c>
      <c r="B580" s="42">
        <v>5</v>
      </c>
      <c r="C580" s="42">
        <v>77700</v>
      </c>
      <c r="D580" s="42">
        <v>388500</v>
      </c>
      <c r="E580" s="33">
        <v>62800</v>
      </c>
      <c r="F580" s="25"/>
      <c r="G580" s="25"/>
      <c r="H580" s="34">
        <f t="shared" si="300"/>
        <v>74500</v>
      </c>
      <c r="I580" s="34"/>
      <c r="J580" s="35">
        <f t="shared" si="301"/>
        <v>19.176319176319176</v>
      </c>
      <c r="K580" s="35"/>
      <c r="L580" s="26"/>
    </row>
    <row r="581" spans="1:12" s="24" customFormat="1" ht="20.100000000000001" customHeight="1" x14ac:dyDescent="0.3">
      <c r="A581" s="44" t="s">
        <v>125</v>
      </c>
      <c r="B581" s="42">
        <v>4</v>
      </c>
      <c r="C581" s="42">
        <v>77700</v>
      </c>
      <c r="D581" s="42">
        <v>310800</v>
      </c>
      <c r="E581" s="33">
        <v>66900</v>
      </c>
      <c r="F581" s="25"/>
      <c r="G581" s="25"/>
      <c r="H581" s="34">
        <f t="shared" si="300"/>
        <v>43200</v>
      </c>
      <c r="I581" s="34"/>
      <c r="J581" s="35">
        <f t="shared" si="301"/>
        <v>13.8996138996139</v>
      </c>
      <c r="K581" s="35"/>
      <c r="L581" s="27"/>
    </row>
    <row r="582" spans="1:12" s="24" customFormat="1" ht="20.100000000000001" customHeight="1" x14ac:dyDescent="0.3">
      <c r="A582" s="44" t="s">
        <v>68</v>
      </c>
      <c r="B582" s="42">
        <v>1</v>
      </c>
      <c r="C582" s="42">
        <v>62000</v>
      </c>
      <c r="D582" s="42">
        <v>62000</v>
      </c>
      <c r="E582" s="33">
        <v>54300</v>
      </c>
      <c r="F582" s="25"/>
      <c r="G582" s="25"/>
      <c r="H582" s="34">
        <f t="shared" si="300"/>
        <v>7700</v>
      </c>
      <c r="I582" s="34"/>
      <c r="J582" s="35">
        <f t="shared" si="301"/>
        <v>12.419354838709678</v>
      </c>
      <c r="K582" s="35"/>
      <c r="L582" s="26"/>
    </row>
    <row r="583" spans="1:12" s="24" customFormat="1" ht="20.100000000000001" customHeight="1" x14ac:dyDescent="0.3">
      <c r="A583" s="44" t="s">
        <v>243</v>
      </c>
      <c r="B583" s="42">
        <v>1</v>
      </c>
      <c r="C583" s="42">
        <v>74000</v>
      </c>
      <c r="D583" s="42">
        <v>74000</v>
      </c>
      <c r="E583" s="33">
        <v>54200</v>
      </c>
      <c r="F583" s="25"/>
      <c r="G583" s="25"/>
      <c r="H583" s="34">
        <f t="shared" si="300"/>
        <v>19800</v>
      </c>
      <c r="I583" s="34"/>
      <c r="J583" s="35">
        <f t="shared" si="301"/>
        <v>26.756756756756754</v>
      </c>
      <c r="K583" s="35"/>
      <c r="L583" s="26"/>
    </row>
    <row r="584" spans="1:12" s="24" customFormat="1" ht="20.100000000000001" customHeight="1" x14ac:dyDescent="0.3">
      <c r="A584" s="44" t="s">
        <v>23</v>
      </c>
      <c r="B584" s="42">
        <v>8</v>
      </c>
      <c r="C584" s="42">
        <v>85000</v>
      </c>
      <c r="D584" s="42">
        <v>680000</v>
      </c>
      <c r="E584" s="33">
        <v>63400</v>
      </c>
      <c r="F584" s="25"/>
      <c r="G584" s="25"/>
      <c r="H584" s="34">
        <f t="shared" si="300"/>
        <v>172800</v>
      </c>
      <c r="I584" s="34"/>
      <c r="J584" s="35">
        <f t="shared" si="301"/>
        <v>25.411764705882351</v>
      </c>
      <c r="K584" s="35"/>
      <c r="L584" s="26"/>
    </row>
    <row r="585" spans="1:12" s="24" customFormat="1" ht="20.100000000000001" customHeight="1" x14ac:dyDescent="0.3">
      <c r="A585" s="44" t="s">
        <v>150</v>
      </c>
      <c r="B585" s="42">
        <v>1</v>
      </c>
      <c r="C585" s="42">
        <v>89900</v>
      </c>
      <c r="D585" s="42">
        <v>89900</v>
      </c>
      <c r="E585" s="33">
        <v>81000</v>
      </c>
      <c r="F585" s="25"/>
      <c r="G585" s="25"/>
      <c r="H585" s="34">
        <f t="shared" si="300"/>
        <v>8900</v>
      </c>
      <c r="I585" s="34"/>
      <c r="J585" s="35">
        <f t="shared" si="301"/>
        <v>9.8998887652947722</v>
      </c>
      <c r="K585" s="35"/>
      <c r="L585" s="26"/>
    </row>
    <row r="586" spans="1:12" s="24" customFormat="1" ht="20.100000000000001" customHeight="1" x14ac:dyDescent="0.3">
      <c r="A586" s="44" t="s">
        <v>129</v>
      </c>
      <c r="B586" s="42">
        <v>2</v>
      </c>
      <c r="C586" s="42">
        <v>89900</v>
      </c>
      <c r="D586" s="42">
        <v>179800</v>
      </c>
      <c r="E586" s="33">
        <v>81000</v>
      </c>
      <c r="F586" s="25"/>
      <c r="G586" s="25"/>
      <c r="H586" s="34">
        <f t="shared" si="300"/>
        <v>17800</v>
      </c>
      <c r="I586" s="34"/>
      <c r="J586" s="35">
        <f t="shared" si="301"/>
        <v>9.8998887652947722</v>
      </c>
      <c r="K586" s="35"/>
      <c r="L586" s="26"/>
    </row>
    <row r="587" spans="1:12" s="24" customFormat="1" ht="20.100000000000001" customHeight="1" x14ac:dyDescent="0.3">
      <c r="A587" s="43" t="s">
        <v>257</v>
      </c>
      <c r="B587" s="42"/>
      <c r="C587" s="42"/>
      <c r="D587" s="42"/>
      <c r="E587" s="33"/>
      <c r="F587" s="25"/>
      <c r="G587" s="25"/>
      <c r="H587" s="22"/>
      <c r="I587" s="22"/>
      <c r="J587" s="23"/>
      <c r="K587" s="23"/>
      <c r="L587" s="26"/>
    </row>
    <row r="588" spans="1:12" s="24" customFormat="1" ht="20.100000000000001" customHeight="1" x14ac:dyDescent="0.3">
      <c r="A588" s="44" t="s">
        <v>179</v>
      </c>
      <c r="B588" s="42">
        <v>2</v>
      </c>
      <c r="C588" s="42">
        <v>656000</v>
      </c>
      <c r="D588" s="42">
        <v>1312000</v>
      </c>
      <c r="E588" s="33">
        <v>641000</v>
      </c>
      <c r="F588" s="25"/>
      <c r="G588" s="25"/>
      <c r="H588" s="34">
        <f t="shared" ref="H588:H590" si="302">D588-(E588*B588)-G588</f>
        <v>30000</v>
      </c>
      <c r="I588" s="34"/>
      <c r="J588" s="35">
        <f t="shared" ref="J588:J590" si="303">(H588/D588)*100</f>
        <v>2.2865853658536586</v>
      </c>
      <c r="K588" s="35"/>
      <c r="L588" s="27"/>
    </row>
    <row r="589" spans="1:12" s="24" customFormat="1" ht="20.100000000000001" customHeight="1" x14ac:dyDescent="0.3">
      <c r="A589" s="44" t="s">
        <v>68</v>
      </c>
      <c r="B589" s="42">
        <v>4</v>
      </c>
      <c r="C589" s="42">
        <v>67000</v>
      </c>
      <c r="D589" s="42">
        <v>268000</v>
      </c>
      <c r="E589" s="33">
        <v>54300</v>
      </c>
      <c r="F589" s="25"/>
      <c r="G589" s="25"/>
      <c r="H589" s="34">
        <f t="shared" si="302"/>
        <v>50800</v>
      </c>
      <c r="I589" s="34"/>
      <c r="J589" s="35">
        <f t="shared" si="303"/>
        <v>18.955223880597014</v>
      </c>
      <c r="K589" s="35"/>
      <c r="L589" s="26"/>
    </row>
    <row r="590" spans="1:12" s="24" customFormat="1" ht="20.100000000000001" customHeight="1" x14ac:dyDescent="0.3">
      <c r="A590" s="44" t="s">
        <v>23</v>
      </c>
      <c r="B590" s="42">
        <v>2</v>
      </c>
      <c r="C590" s="42">
        <v>95000</v>
      </c>
      <c r="D590" s="42">
        <v>190000</v>
      </c>
      <c r="E590" s="33">
        <v>63400</v>
      </c>
      <c r="F590" s="25"/>
      <c r="G590" s="25"/>
      <c r="H590" s="34">
        <f t="shared" si="302"/>
        <v>63200</v>
      </c>
      <c r="I590" s="34"/>
      <c r="J590" s="35">
        <f t="shared" si="303"/>
        <v>33.263157894736842</v>
      </c>
      <c r="K590" s="35"/>
      <c r="L590" s="26"/>
    </row>
    <row r="591" spans="1:12" s="24" customFormat="1" ht="20.100000000000001" customHeight="1" x14ac:dyDescent="0.3">
      <c r="A591" s="43" t="s">
        <v>413</v>
      </c>
      <c r="B591" s="42"/>
      <c r="C591" s="42"/>
      <c r="D591" s="42"/>
      <c r="E591" s="33"/>
      <c r="F591" s="25"/>
      <c r="G591" s="25"/>
      <c r="H591" s="22"/>
      <c r="I591" s="22"/>
      <c r="J591" s="23"/>
      <c r="K591" s="23"/>
      <c r="L591" s="27"/>
    </row>
    <row r="592" spans="1:12" s="24" customFormat="1" ht="20.100000000000001" customHeight="1" x14ac:dyDescent="0.3">
      <c r="A592" s="44" t="s">
        <v>33</v>
      </c>
      <c r="B592" s="42">
        <v>2</v>
      </c>
      <c r="C592" s="42">
        <v>390000</v>
      </c>
      <c r="D592" s="42">
        <v>780000</v>
      </c>
      <c r="E592" s="33">
        <v>289000</v>
      </c>
      <c r="F592" s="25"/>
      <c r="G592" s="25"/>
      <c r="H592" s="34">
        <f t="shared" ref="H592" si="304">D592-(E592*B592)-G592</f>
        <v>202000</v>
      </c>
      <c r="I592" s="34"/>
      <c r="J592" s="35">
        <f t="shared" ref="J592" si="305">(H592/D592)*100</f>
        <v>25.897435897435901</v>
      </c>
      <c r="K592" s="35"/>
      <c r="L592" s="27"/>
    </row>
    <row r="593" spans="1:12" s="24" customFormat="1" ht="19.5" customHeight="1" x14ac:dyDescent="0.3">
      <c r="A593" s="43" t="s">
        <v>74</v>
      </c>
      <c r="B593" s="42"/>
      <c r="C593" s="42"/>
      <c r="D593" s="42"/>
      <c r="E593" s="33"/>
      <c r="F593" s="25"/>
      <c r="G593" s="25"/>
      <c r="H593" s="22"/>
      <c r="I593" s="22"/>
      <c r="J593" s="23"/>
      <c r="K593" s="23"/>
      <c r="L593" s="26"/>
    </row>
    <row r="594" spans="1:12" s="24" customFormat="1" ht="20.100000000000001" customHeight="1" x14ac:dyDescent="0.3">
      <c r="A594" s="44" t="s">
        <v>509</v>
      </c>
      <c r="B594" s="42">
        <v>1</v>
      </c>
      <c r="C594" s="42">
        <v>3150000</v>
      </c>
      <c r="D594" s="42">
        <v>3150000</v>
      </c>
      <c r="E594" s="33">
        <v>2950000</v>
      </c>
      <c r="F594" s="25"/>
      <c r="G594" s="25"/>
      <c r="H594" s="34">
        <f t="shared" ref="H594:H606" si="306">D594-(E594*B594)-G594</f>
        <v>200000</v>
      </c>
      <c r="I594" s="34"/>
      <c r="J594" s="35">
        <f t="shared" ref="J594:J606" si="307">(H594/D594)*100</f>
        <v>6.3492063492063489</v>
      </c>
      <c r="K594" s="35"/>
      <c r="L594" s="26"/>
    </row>
    <row r="595" spans="1:12" s="24" customFormat="1" ht="20.100000000000001" customHeight="1" x14ac:dyDescent="0.3">
      <c r="A595" s="44" t="s">
        <v>510</v>
      </c>
      <c r="B595" s="42">
        <v>5</v>
      </c>
      <c r="C595" s="42">
        <v>69000</v>
      </c>
      <c r="D595" s="42">
        <v>345000</v>
      </c>
      <c r="E595" s="33">
        <v>65000</v>
      </c>
      <c r="F595" s="25"/>
      <c r="G595" s="25"/>
      <c r="H595" s="34">
        <f t="shared" si="306"/>
        <v>20000</v>
      </c>
      <c r="I595" s="34"/>
      <c r="J595" s="35">
        <f t="shared" si="307"/>
        <v>5.7971014492753623</v>
      </c>
      <c r="K595" s="35"/>
      <c r="L595" s="26"/>
    </row>
    <row r="596" spans="1:12" s="24" customFormat="1" ht="20.100000000000001" customHeight="1" x14ac:dyDescent="0.3">
      <c r="A596" s="44" t="s">
        <v>511</v>
      </c>
      <c r="B596" s="42">
        <v>20</v>
      </c>
      <c r="C596" s="42">
        <v>114000</v>
      </c>
      <c r="D596" s="42">
        <v>2280000</v>
      </c>
      <c r="E596" s="33">
        <v>107000</v>
      </c>
      <c r="F596" s="25"/>
      <c r="G596" s="25"/>
      <c r="H596" s="34">
        <f t="shared" si="306"/>
        <v>140000</v>
      </c>
      <c r="I596" s="34"/>
      <c r="J596" s="35">
        <f t="shared" si="307"/>
        <v>6.140350877192982</v>
      </c>
      <c r="K596" s="35"/>
      <c r="L596" s="27"/>
    </row>
    <row r="597" spans="1:12" s="24" customFormat="1" ht="20.100000000000001" customHeight="1" x14ac:dyDescent="0.3">
      <c r="A597" s="44" t="s">
        <v>414</v>
      </c>
      <c r="B597" s="42">
        <v>1</v>
      </c>
      <c r="C597" s="42">
        <v>1140000</v>
      </c>
      <c r="D597" s="42">
        <v>1140000</v>
      </c>
      <c r="E597" s="33">
        <v>1070000</v>
      </c>
      <c r="F597" s="25"/>
      <c r="G597" s="25"/>
      <c r="H597" s="34">
        <f t="shared" si="306"/>
        <v>70000</v>
      </c>
      <c r="I597" s="34"/>
      <c r="J597" s="35">
        <f t="shared" si="307"/>
        <v>6.140350877192982</v>
      </c>
      <c r="K597" s="35"/>
      <c r="L597" s="26"/>
    </row>
    <row r="598" spans="1:12" s="24" customFormat="1" ht="20.100000000000001" customHeight="1" x14ac:dyDescent="0.3">
      <c r="A598" s="44" t="s">
        <v>512</v>
      </c>
      <c r="B598" s="42">
        <v>5</v>
      </c>
      <c r="C598" s="42">
        <v>79000</v>
      </c>
      <c r="D598" s="42">
        <v>395000</v>
      </c>
      <c r="E598" s="33">
        <v>74000</v>
      </c>
      <c r="F598" s="25"/>
      <c r="G598" s="25"/>
      <c r="H598" s="34">
        <f t="shared" si="306"/>
        <v>25000</v>
      </c>
      <c r="I598" s="34"/>
      <c r="J598" s="35">
        <f t="shared" si="307"/>
        <v>6.3291139240506329</v>
      </c>
      <c r="K598" s="35"/>
      <c r="L598" s="26"/>
    </row>
    <row r="599" spans="1:12" s="24" customFormat="1" ht="20.100000000000001" customHeight="1" x14ac:dyDescent="0.3">
      <c r="A599" s="44" t="s">
        <v>513</v>
      </c>
      <c r="B599" s="42">
        <v>10</v>
      </c>
      <c r="C599" s="42">
        <v>107000</v>
      </c>
      <c r="D599" s="42">
        <v>1070000</v>
      </c>
      <c r="E599" s="33">
        <v>100000</v>
      </c>
      <c r="F599" s="25"/>
      <c r="G599" s="25"/>
      <c r="H599" s="34">
        <f t="shared" si="306"/>
        <v>70000</v>
      </c>
      <c r="I599" s="34"/>
      <c r="J599" s="35">
        <f t="shared" si="307"/>
        <v>6.5420560747663545</v>
      </c>
      <c r="K599" s="35"/>
      <c r="L599" s="27"/>
    </row>
    <row r="600" spans="1:12" s="24" customFormat="1" ht="20.100000000000001" customHeight="1" x14ac:dyDescent="0.3">
      <c r="A600" s="44" t="s">
        <v>201</v>
      </c>
      <c r="B600" s="42">
        <v>1</v>
      </c>
      <c r="C600" s="42">
        <v>1070000</v>
      </c>
      <c r="D600" s="42">
        <v>1070000</v>
      </c>
      <c r="E600" s="33">
        <v>1000000</v>
      </c>
      <c r="F600" s="25"/>
      <c r="G600" s="25"/>
      <c r="H600" s="34">
        <f t="shared" si="306"/>
        <v>70000</v>
      </c>
      <c r="I600" s="34"/>
      <c r="J600" s="35">
        <f t="shared" si="307"/>
        <v>6.5420560747663545</v>
      </c>
      <c r="K600" s="35"/>
      <c r="L600" s="27"/>
    </row>
    <row r="601" spans="1:12" s="24" customFormat="1" ht="20.100000000000001" customHeight="1" x14ac:dyDescent="0.3">
      <c r="A601" s="44" t="s">
        <v>204</v>
      </c>
      <c r="B601" s="42">
        <v>1</v>
      </c>
      <c r="C601" s="42">
        <v>558000</v>
      </c>
      <c r="D601" s="42">
        <v>558000</v>
      </c>
      <c r="E601" s="33">
        <v>508000</v>
      </c>
      <c r="F601" s="25"/>
      <c r="G601" s="25"/>
      <c r="H601" s="34">
        <f t="shared" si="306"/>
        <v>50000</v>
      </c>
      <c r="I601" s="34"/>
      <c r="J601" s="35">
        <f t="shared" si="307"/>
        <v>8.9605734767025087</v>
      </c>
      <c r="K601" s="35"/>
      <c r="L601" s="27"/>
    </row>
    <row r="602" spans="1:12" s="24" customFormat="1" ht="20.100000000000001" customHeight="1" x14ac:dyDescent="0.3">
      <c r="A602" s="44" t="s">
        <v>54</v>
      </c>
      <c r="B602" s="42">
        <v>4</v>
      </c>
      <c r="C602" s="42">
        <v>61200</v>
      </c>
      <c r="D602" s="42">
        <v>244800</v>
      </c>
      <c r="E602" s="33">
        <v>55700</v>
      </c>
      <c r="F602" s="25"/>
      <c r="G602" s="25"/>
      <c r="H602" s="34">
        <f t="shared" si="306"/>
        <v>22000</v>
      </c>
      <c r="I602" s="34"/>
      <c r="J602" s="35">
        <f t="shared" si="307"/>
        <v>8.9869281045751634</v>
      </c>
      <c r="K602" s="35"/>
      <c r="L602" s="26"/>
    </row>
    <row r="603" spans="1:12" s="24" customFormat="1" ht="20.100000000000001" customHeight="1" x14ac:dyDescent="0.3">
      <c r="A603" s="44" t="s">
        <v>20</v>
      </c>
      <c r="B603" s="42">
        <v>21</v>
      </c>
      <c r="C603" s="42">
        <v>52000</v>
      </c>
      <c r="D603" s="42">
        <v>1092000</v>
      </c>
      <c r="E603" s="33">
        <v>46600</v>
      </c>
      <c r="F603" s="25"/>
      <c r="G603" s="25"/>
      <c r="H603" s="34">
        <f t="shared" si="306"/>
        <v>113400</v>
      </c>
      <c r="I603" s="34"/>
      <c r="J603" s="35">
        <f t="shared" si="307"/>
        <v>10.384615384615385</v>
      </c>
      <c r="K603" s="35"/>
      <c r="L603" s="26"/>
    </row>
    <row r="604" spans="1:12" s="24" customFormat="1" ht="20.100000000000001" customHeight="1" x14ac:dyDescent="0.3">
      <c r="A604" s="44" t="s">
        <v>23</v>
      </c>
      <c r="B604" s="42">
        <v>1</v>
      </c>
      <c r="C604" s="42">
        <v>69700</v>
      </c>
      <c r="D604" s="42">
        <v>69700</v>
      </c>
      <c r="E604" s="33">
        <v>63400</v>
      </c>
      <c r="F604" s="25"/>
      <c r="G604" s="25"/>
      <c r="H604" s="34">
        <f t="shared" si="306"/>
        <v>6300</v>
      </c>
      <c r="I604" s="34"/>
      <c r="J604" s="35">
        <f t="shared" si="307"/>
        <v>9.0387374461979917</v>
      </c>
      <c r="K604" s="35"/>
      <c r="L604" s="27"/>
    </row>
    <row r="605" spans="1:12" s="24" customFormat="1" ht="19.5" customHeight="1" x14ac:dyDescent="0.3">
      <c r="A605" s="44" t="s">
        <v>514</v>
      </c>
      <c r="B605" s="42">
        <v>20</v>
      </c>
      <c r="C605" s="42">
        <v>52500</v>
      </c>
      <c r="D605" s="42">
        <v>1050000</v>
      </c>
      <c r="E605" s="33">
        <v>49000</v>
      </c>
      <c r="F605" s="25"/>
      <c r="G605" s="25"/>
      <c r="H605" s="34">
        <f t="shared" si="306"/>
        <v>70000</v>
      </c>
      <c r="I605" s="34"/>
      <c r="J605" s="35">
        <f t="shared" si="307"/>
        <v>6.666666666666667</v>
      </c>
      <c r="K605" s="35"/>
      <c r="L605" s="26"/>
    </row>
    <row r="606" spans="1:12" s="24" customFormat="1" ht="20.100000000000001" customHeight="1" x14ac:dyDescent="0.3">
      <c r="A606" s="44" t="s">
        <v>202</v>
      </c>
      <c r="B606" s="42">
        <v>1</v>
      </c>
      <c r="C606" s="42">
        <v>525000</v>
      </c>
      <c r="D606" s="42">
        <v>525000</v>
      </c>
      <c r="E606" s="33">
        <v>490000</v>
      </c>
      <c r="F606" s="25"/>
      <c r="G606" s="25"/>
      <c r="H606" s="34">
        <f t="shared" si="306"/>
        <v>35000</v>
      </c>
      <c r="I606" s="34"/>
      <c r="J606" s="35">
        <f t="shared" si="307"/>
        <v>6.666666666666667</v>
      </c>
      <c r="K606" s="35"/>
      <c r="L606" s="26"/>
    </row>
    <row r="607" spans="1:12" s="24" customFormat="1" ht="20.100000000000001" customHeight="1" x14ac:dyDescent="0.3">
      <c r="A607" s="43" t="s">
        <v>203</v>
      </c>
      <c r="B607" s="42"/>
      <c r="C607" s="42"/>
      <c r="D607" s="42"/>
      <c r="E607" s="33"/>
      <c r="F607" s="25"/>
      <c r="G607" s="25"/>
      <c r="H607" s="22"/>
      <c r="I607" s="22"/>
      <c r="J607" s="23"/>
      <c r="K607" s="23"/>
      <c r="L607" s="26"/>
    </row>
    <row r="608" spans="1:12" s="24" customFormat="1" ht="20.100000000000001" customHeight="1" x14ac:dyDescent="0.3">
      <c r="A608" s="44" t="s">
        <v>225</v>
      </c>
      <c r="B608" s="42">
        <v>3</v>
      </c>
      <c r="C608" s="42">
        <v>62000</v>
      </c>
      <c r="D608" s="42">
        <v>186000</v>
      </c>
      <c r="E608" s="33">
        <v>56300</v>
      </c>
      <c r="F608" s="25"/>
      <c r="G608" s="25"/>
      <c r="H608" s="34">
        <f t="shared" ref="H608:H610" si="308">D608-(E608*B608)-G608</f>
        <v>17100</v>
      </c>
      <c r="I608" s="34"/>
      <c r="J608" s="35">
        <f t="shared" ref="J608:J610" si="309">(H608/D608)*100</f>
        <v>9.193548387096774</v>
      </c>
      <c r="K608" s="35"/>
      <c r="L608" s="27"/>
    </row>
    <row r="609" spans="1:12" s="24" customFormat="1" ht="20.100000000000001" customHeight="1" x14ac:dyDescent="0.3">
      <c r="A609" s="56" t="s">
        <v>52</v>
      </c>
      <c r="B609" s="57">
        <v>8</v>
      </c>
      <c r="C609" s="57">
        <v>424000</v>
      </c>
      <c r="D609" s="57">
        <v>3392000</v>
      </c>
      <c r="E609" s="36">
        <v>492000</v>
      </c>
      <c r="F609" s="37"/>
      <c r="G609" s="37"/>
      <c r="H609" s="38">
        <f t="shared" si="308"/>
        <v>-544000</v>
      </c>
      <c r="I609" s="38"/>
      <c r="J609" s="39">
        <f t="shared" si="309"/>
        <v>-16.037735849056602</v>
      </c>
      <c r="K609" s="39"/>
      <c r="L609" s="41" t="s">
        <v>528</v>
      </c>
    </row>
    <row r="610" spans="1:12" s="24" customFormat="1" ht="20.100000000000001" customHeight="1" x14ac:dyDescent="0.3">
      <c r="A610" s="56" t="s">
        <v>204</v>
      </c>
      <c r="B610" s="57">
        <v>2</v>
      </c>
      <c r="C610" s="57">
        <v>499000</v>
      </c>
      <c r="D610" s="57">
        <v>998000</v>
      </c>
      <c r="E610" s="36">
        <v>508000</v>
      </c>
      <c r="F610" s="37"/>
      <c r="G610" s="37"/>
      <c r="H610" s="38">
        <f t="shared" si="308"/>
        <v>-18000</v>
      </c>
      <c r="I610" s="38"/>
      <c r="J610" s="39">
        <f t="shared" si="309"/>
        <v>-1.8036072144288577</v>
      </c>
      <c r="K610" s="39"/>
      <c r="L610" s="40" t="s">
        <v>539</v>
      </c>
    </row>
    <row r="611" spans="1:12" s="24" customFormat="1" ht="20.100000000000001" customHeight="1" x14ac:dyDescent="0.3">
      <c r="A611" s="43" t="s">
        <v>205</v>
      </c>
      <c r="B611" s="42"/>
      <c r="C611" s="42"/>
      <c r="D611" s="42"/>
      <c r="E611" s="33"/>
      <c r="F611" s="25"/>
      <c r="G611" s="25"/>
      <c r="H611" s="22"/>
      <c r="I611" s="22"/>
      <c r="J611" s="23"/>
      <c r="K611" s="23"/>
      <c r="L611" s="26"/>
    </row>
    <row r="612" spans="1:12" s="24" customFormat="1" ht="20.100000000000001" customHeight="1" x14ac:dyDescent="0.3">
      <c r="A612" s="56" t="s">
        <v>204</v>
      </c>
      <c r="B612" s="57">
        <v>2</v>
      </c>
      <c r="C612" s="57">
        <v>499000</v>
      </c>
      <c r="D612" s="57">
        <v>998000</v>
      </c>
      <c r="E612" s="36">
        <v>508000</v>
      </c>
      <c r="F612" s="37"/>
      <c r="G612" s="37"/>
      <c r="H612" s="38">
        <f t="shared" ref="H612" si="310">D612-(E612*B612)-G612</f>
        <v>-18000</v>
      </c>
      <c r="I612" s="38"/>
      <c r="J612" s="39">
        <f t="shared" ref="J612" si="311">(H612/D612)*100</f>
        <v>-1.8036072144288577</v>
      </c>
      <c r="K612" s="39"/>
      <c r="L612" s="41" t="s">
        <v>539</v>
      </c>
    </row>
    <row r="613" spans="1:12" s="24" customFormat="1" ht="20.100000000000001" customHeight="1" x14ac:dyDescent="0.3">
      <c r="A613" s="43" t="s">
        <v>130</v>
      </c>
      <c r="B613" s="42"/>
      <c r="C613" s="42"/>
      <c r="D613" s="42"/>
      <c r="E613" s="33"/>
      <c r="F613" s="25"/>
      <c r="G613" s="25"/>
      <c r="H613" s="22"/>
      <c r="I613" s="22"/>
      <c r="J613" s="23"/>
      <c r="K613" s="23"/>
      <c r="L613" s="27"/>
    </row>
    <row r="614" spans="1:12" s="24" customFormat="1" ht="20.100000000000001" customHeight="1" x14ac:dyDescent="0.3">
      <c r="A614" s="44" t="s">
        <v>50</v>
      </c>
      <c r="B614" s="42">
        <v>4</v>
      </c>
      <c r="C614" s="42">
        <v>62000</v>
      </c>
      <c r="D614" s="42">
        <v>248000</v>
      </c>
      <c r="E614" s="33">
        <v>53900</v>
      </c>
      <c r="F614" s="25"/>
      <c r="G614" s="25"/>
      <c r="H614" s="34">
        <f t="shared" ref="H614:H619" si="312">D614-(E614*B614)-G614</f>
        <v>32400</v>
      </c>
      <c r="I614" s="34"/>
      <c r="J614" s="35">
        <f t="shared" ref="J614:J619" si="313">(H614/D614)*100</f>
        <v>13.064516129032258</v>
      </c>
      <c r="K614" s="35"/>
      <c r="L614" s="26"/>
    </row>
    <row r="615" spans="1:12" s="24" customFormat="1" ht="20.100000000000001" customHeight="1" x14ac:dyDescent="0.3">
      <c r="A615" s="44" t="s">
        <v>515</v>
      </c>
      <c r="B615" s="42">
        <v>3</v>
      </c>
      <c r="C615" s="42">
        <v>900000</v>
      </c>
      <c r="D615" s="42">
        <v>2700000</v>
      </c>
      <c r="E615" s="33">
        <v>778800</v>
      </c>
      <c r="F615" s="25"/>
      <c r="G615" s="25"/>
      <c r="H615" s="34">
        <f t="shared" si="312"/>
        <v>363600</v>
      </c>
      <c r="I615" s="34"/>
      <c r="J615" s="35">
        <f t="shared" si="313"/>
        <v>13.466666666666665</v>
      </c>
      <c r="K615" s="35"/>
      <c r="L615" s="26"/>
    </row>
    <row r="616" spans="1:12" s="24" customFormat="1" ht="20.100000000000001" customHeight="1" x14ac:dyDescent="0.3">
      <c r="A616" s="44" t="s">
        <v>51</v>
      </c>
      <c r="B616" s="42">
        <v>2</v>
      </c>
      <c r="C616" s="42">
        <v>65000</v>
      </c>
      <c r="D616" s="42">
        <v>130000</v>
      </c>
      <c r="E616" s="33">
        <v>54300</v>
      </c>
      <c r="F616" s="25"/>
      <c r="G616" s="25"/>
      <c r="H616" s="34">
        <f t="shared" si="312"/>
        <v>21400</v>
      </c>
      <c r="I616" s="34"/>
      <c r="J616" s="35">
        <f t="shared" si="313"/>
        <v>16.46153846153846</v>
      </c>
      <c r="K616" s="35"/>
      <c r="L616" s="27"/>
    </row>
    <row r="617" spans="1:12" s="24" customFormat="1" ht="20.100000000000001" customHeight="1" x14ac:dyDescent="0.3">
      <c r="A617" s="44" t="s">
        <v>68</v>
      </c>
      <c r="B617" s="42">
        <v>5</v>
      </c>
      <c r="C617" s="42">
        <v>65000</v>
      </c>
      <c r="D617" s="42">
        <v>325000</v>
      </c>
      <c r="E617" s="33">
        <v>54300</v>
      </c>
      <c r="F617" s="25"/>
      <c r="G617" s="25"/>
      <c r="H617" s="34">
        <f t="shared" si="312"/>
        <v>53500</v>
      </c>
      <c r="I617" s="34"/>
      <c r="J617" s="35">
        <f t="shared" si="313"/>
        <v>16.46153846153846</v>
      </c>
      <c r="K617" s="35"/>
      <c r="L617" s="27"/>
    </row>
    <row r="618" spans="1:12" s="24" customFormat="1" ht="20.100000000000001" customHeight="1" x14ac:dyDescent="0.3">
      <c r="A618" s="44" t="s">
        <v>56</v>
      </c>
      <c r="B618" s="42">
        <v>1</v>
      </c>
      <c r="C618" s="42">
        <v>78500</v>
      </c>
      <c r="D618" s="42">
        <v>78500</v>
      </c>
      <c r="E618" s="33">
        <v>66800</v>
      </c>
      <c r="F618" s="25"/>
      <c r="G618" s="25"/>
      <c r="H618" s="34">
        <f t="shared" si="312"/>
        <v>11700</v>
      </c>
      <c r="I618" s="34"/>
      <c r="J618" s="35">
        <f t="shared" si="313"/>
        <v>14.904458598726114</v>
      </c>
      <c r="K618" s="35"/>
      <c r="L618" s="26"/>
    </row>
    <row r="619" spans="1:12" s="24" customFormat="1" ht="20.100000000000001" customHeight="1" x14ac:dyDescent="0.3">
      <c r="A619" s="44" t="s">
        <v>71</v>
      </c>
      <c r="B619" s="42">
        <v>1</v>
      </c>
      <c r="C619" s="42">
        <v>85400</v>
      </c>
      <c r="D619" s="42">
        <v>85400</v>
      </c>
      <c r="E619" s="33">
        <v>55400</v>
      </c>
      <c r="F619" s="25"/>
      <c r="G619" s="25"/>
      <c r="H619" s="34">
        <f t="shared" si="312"/>
        <v>30000</v>
      </c>
      <c r="I619" s="34"/>
      <c r="J619" s="35">
        <f t="shared" si="313"/>
        <v>35.128805620608901</v>
      </c>
      <c r="K619" s="35"/>
      <c r="L619" s="26"/>
    </row>
    <row r="620" spans="1:12" s="24" customFormat="1" ht="20.100000000000001" customHeight="1" x14ac:dyDescent="0.3">
      <c r="A620" s="43" t="s">
        <v>315</v>
      </c>
      <c r="B620" s="42"/>
      <c r="C620" s="42"/>
      <c r="D620" s="42"/>
      <c r="E620" s="33"/>
      <c r="F620" s="25"/>
      <c r="G620" s="25"/>
      <c r="H620" s="22"/>
      <c r="I620" s="22"/>
      <c r="J620" s="23"/>
      <c r="K620" s="23"/>
      <c r="L620" s="26"/>
    </row>
    <row r="621" spans="1:12" s="24" customFormat="1" ht="20.100000000000001" customHeight="1" x14ac:dyDescent="0.3">
      <c r="A621" s="44" t="s">
        <v>191</v>
      </c>
      <c r="B621" s="42">
        <v>10</v>
      </c>
      <c r="C621" s="42">
        <v>36400</v>
      </c>
      <c r="D621" s="42">
        <v>364000</v>
      </c>
      <c r="E621" s="33">
        <v>31200</v>
      </c>
      <c r="F621" s="25"/>
      <c r="G621" s="25"/>
      <c r="H621" s="34">
        <f t="shared" ref="H621:H625" si="314">D621-(E621*B621)-G621</f>
        <v>52000</v>
      </c>
      <c r="I621" s="34"/>
      <c r="J621" s="35">
        <f t="shared" ref="J621:J625" si="315">(H621/D621)*100</f>
        <v>14.285714285714285</v>
      </c>
      <c r="K621" s="35"/>
      <c r="L621" s="26"/>
    </row>
    <row r="622" spans="1:12" s="24" customFormat="1" ht="20.100000000000001" customHeight="1" x14ac:dyDescent="0.3">
      <c r="A622" s="44" t="s">
        <v>33</v>
      </c>
      <c r="B622" s="42">
        <v>11</v>
      </c>
      <c r="C622" s="42">
        <v>325000</v>
      </c>
      <c r="D622" s="42">
        <v>3575000</v>
      </c>
      <c r="E622" s="33">
        <v>289000</v>
      </c>
      <c r="F622" s="25"/>
      <c r="G622" s="25"/>
      <c r="H622" s="34">
        <f t="shared" si="314"/>
        <v>396000</v>
      </c>
      <c r="I622" s="34"/>
      <c r="J622" s="35">
        <f t="shared" si="315"/>
        <v>11.076923076923077</v>
      </c>
      <c r="K622" s="35"/>
      <c r="L622" s="26"/>
    </row>
    <row r="623" spans="1:12" s="24" customFormat="1" ht="20.100000000000001" customHeight="1" x14ac:dyDescent="0.3">
      <c r="A623" s="44" t="s">
        <v>266</v>
      </c>
      <c r="B623" s="42">
        <v>3</v>
      </c>
      <c r="C623" s="42">
        <v>800000</v>
      </c>
      <c r="D623" s="42">
        <v>2400000</v>
      </c>
      <c r="E623" s="33">
        <v>630000</v>
      </c>
      <c r="F623" s="25"/>
      <c r="G623" s="25"/>
      <c r="H623" s="34">
        <f t="shared" si="314"/>
        <v>510000</v>
      </c>
      <c r="I623" s="34"/>
      <c r="J623" s="35">
        <f t="shared" si="315"/>
        <v>21.25</v>
      </c>
      <c r="K623" s="35"/>
      <c r="L623" s="26"/>
    </row>
    <row r="624" spans="1:12" s="24" customFormat="1" ht="20.100000000000001" customHeight="1" x14ac:dyDescent="0.3">
      <c r="A624" s="44" t="s">
        <v>23</v>
      </c>
      <c r="B624" s="42">
        <v>10</v>
      </c>
      <c r="C624" s="42">
        <v>90000</v>
      </c>
      <c r="D624" s="42">
        <v>900000</v>
      </c>
      <c r="E624" s="33">
        <v>63400</v>
      </c>
      <c r="F624" s="25"/>
      <c r="G624" s="25"/>
      <c r="H624" s="34">
        <f t="shared" si="314"/>
        <v>266000</v>
      </c>
      <c r="I624" s="34"/>
      <c r="J624" s="35">
        <f t="shared" si="315"/>
        <v>29.555555555555557</v>
      </c>
      <c r="K624" s="35"/>
      <c r="L624" s="26"/>
    </row>
    <row r="625" spans="1:12" s="24" customFormat="1" ht="20.100000000000001" customHeight="1" x14ac:dyDescent="0.3">
      <c r="A625" s="44" t="s">
        <v>308</v>
      </c>
      <c r="B625" s="42">
        <v>1</v>
      </c>
      <c r="C625" s="42">
        <v>850000</v>
      </c>
      <c r="D625" s="42">
        <v>850000</v>
      </c>
      <c r="E625" s="33">
        <v>616000</v>
      </c>
      <c r="F625" s="25"/>
      <c r="G625" s="25"/>
      <c r="H625" s="34">
        <f t="shared" si="314"/>
        <v>234000</v>
      </c>
      <c r="I625" s="34"/>
      <c r="J625" s="35">
        <f t="shared" si="315"/>
        <v>27.52941176470588</v>
      </c>
      <c r="K625" s="35"/>
      <c r="L625" s="26"/>
    </row>
    <row r="626" spans="1:12" s="24" customFormat="1" ht="20.100000000000001" customHeight="1" x14ac:dyDescent="0.3">
      <c r="A626" s="43" t="s">
        <v>75</v>
      </c>
      <c r="B626" s="42"/>
      <c r="C626" s="42"/>
      <c r="D626" s="42"/>
      <c r="E626" s="33"/>
      <c r="F626" s="25"/>
      <c r="G626" s="25"/>
      <c r="H626" s="22"/>
      <c r="I626" s="22"/>
      <c r="J626" s="23"/>
      <c r="K626" s="23"/>
      <c r="L626" s="26"/>
    </row>
    <row r="627" spans="1:12" s="24" customFormat="1" ht="20.100000000000001" customHeight="1" x14ac:dyDescent="0.3">
      <c r="A627" s="44" t="s">
        <v>516</v>
      </c>
      <c r="B627" s="42">
        <v>1</v>
      </c>
      <c r="C627" s="42">
        <v>74300</v>
      </c>
      <c r="D627" s="42">
        <v>74300</v>
      </c>
      <c r="E627" s="33">
        <v>49000</v>
      </c>
      <c r="F627" s="25"/>
      <c r="G627" s="25"/>
      <c r="H627" s="34">
        <f t="shared" ref="H627:H630" si="316">D627-(E627*B627)-G627</f>
        <v>25300</v>
      </c>
      <c r="I627" s="34"/>
      <c r="J627" s="35">
        <f t="shared" ref="J627:J630" si="317">(H627/D627)*100</f>
        <v>34.05114401076716</v>
      </c>
      <c r="K627" s="35"/>
      <c r="L627" s="26"/>
    </row>
    <row r="628" spans="1:12" s="24" customFormat="1" ht="20.100000000000001" customHeight="1" x14ac:dyDescent="0.3">
      <c r="A628" s="44" t="s">
        <v>39</v>
      </c>
      <c r="B628" s="42">
        <v>4</v>
      </c>
      <c r="C628" s="42">
        <v>92000</v>
      </c>
      <c r="D628" s="42">
        <v>368000</v>
      </c>
      <c r="E628" s="33">
        <v>78100</v>
      </c>
      <c r="F628" s="25"/>
      <c r="G628" s="25"/>
      <c r="H628" s="34">
        <f t="shared" si="316"/>
        <v>55600</v>
      </c>
      <c r="I628" s="34"/>
      <c r="J628" s="35">
        <f t="shared" si="317"/>
        <v>15.108695652173912</v>
      </c>
      <c r="K628" s="35"/>
      <c r="L628" s="26"/>
    </row>
    <row r="629" spans="1:12" s="24" customFormat="1" ht="20.100000000000001" customHeight="1" x14ac:dyDescent="0.3">
      <c r="A629" s="44" t="s">
        <v>71</v>
      </c>
      <c r="B629" s="42">
        <v>6</v>
      </c>
      <c r="C629" s="42">
        <v>85770</v>
      </c>
      <c r="D629" s="42">
        <v>514620</v>
      </c>
      <c r="E629" s="33">
        <v>55400</v>
      </c>
      <c r="F629" s="25"/>
      <c r="G629" s="25"/>
      <c r="H629" s="34">
        <f t="shared" si="316"/>
        <v>182220</v>
      </c>
      <c r="I629" s="34"/>
      <c r="J629" s="35">
        <f t="shared" si="317"/>
        <v>35.408651043488398</v>
      </c>
      <c r="K629" s="35"/>
      <c r="L629" s="26"/>
    </row>
    <row r="630" spans="1:12" s="24" customFormat="1" ht="20.100000000000001" customHeight="1" x14ac:dyDescent="0.3">
      <c r="A630" s="44" t="s">
        <v>415</v>
      </c>
      <c r="B630" s="42">
        <v>4</v>
      </c>
      <c r="C630" s="42">
        <v>84500</v>
      </c>
      <c r="D630" s="42">
        <v>338000</v>
      </c>
      <c r="E630" s="33">
        <v>70200</v>
      </c>
      <c r="F630" s="25"/>
      <c r="G630" s="25"/>
      <c r="H630" s="34">
        <f t="shared" si="316"/>
        <v>57200</v>
      </c>
      <c r="I630" s="34"/>
      <c r="J630" s="35">
        <f t="shared" si="317"/>
        <v>16.923076923076923</v>
      </c>
      <c r="K630" s="35"/>
      <c r="L630" s="27"/>
    </row>
    <row r="631" spans="1:12" s="24" customFormat="1" ht="20.100000000000001" customHeight="1" x14ac:dyDescent="0.3">
      <c r="A631" s="43" t="s">
        <v>131</v>
      </c>
      <c r="B631" s="42"/>
      <c r="C631" s="42"/>
      <c r="D631" s="42"/>
      <c r="E631" s="33"/>
      <c r="F631" s="25"/>
      <c r="G631" s="25"/>
      <c r="H631" s="22"/>
      <c r="I631" s="22"/>
      <c r="J631" s="23"/>
      <c r="K631" s="23"/>
      <c r="L631" s="26"/>
    </row>
    <row r="632" spans="1:12" s="24" customFormat="1" ht="20.100000000000001" customHeight="1" x14ac:dyDescent="0.3">
      <c r="A632" s="44" t="s">
        <v>22</v>
      </c>
      <c r="B632" s="42">
        <v>2</v>
      </c>
      <c r="C632" s="42">
        <v>35500</v>
      </c>
      <c r="D632" s="42">
        <v>71000</v>
      </c>
      <c r="E632" s="33">
        <v>31200</v>
      </c>
      <c r="F632" s="25"/>
      <c r="G632" s="25"/>
      <c r="H632" s="34">
        <f t="shared" ref="H632:H636" si="318">D632-(E632*B632)-G632</f>
        <v>8600</v>
      </c>
      <c r="I632" s="34"/>
      <c r="J632" s="35">
        <f t="shared" ref="J632:J636" si="319">(H632/D632)*100</f>
        <v>12.112676056338028</v>
      </c>
      <c r="K632" s="35"/>
      <c r="L632" s="26"/>
    </row>
    <row r="633" spans="1:12" s="24" customFormat="1" ht="20.100000000000001" customHeight="1" x14ac:dyDescent="0.3">
      <c r="A633" s="44" t="s">
        <v>33</v>
      </c>
      <c r="B633" s="42">
        <v>10</v>
      </c>
      <c r="C633" s="42">
        <v>320000</v>
      </c>
      <c r="D633" s="42">
        <v>3200000</v>
      </c>
      <c r="E633" s="33">
        <v>289000</v>
      </c>
      <c r="F633" s="25"/>
      <c r="G633" s="25"/>
      <c r="H633" s="34">
        <f t="shared" si="318"/>
        <v>310000</v>
      </c>
      <c r="I633" s="34"/>
      <c r="J633" s="35">
        <f t="shared" si="319"/>
        <v>9.6875</v>
      </c>
      <c r="K633" s="35"/>
      <c r="L633" s="26"/>
    </row>
    <row r="634" spans="1:12" s="24" customFormat="1" ht="20.100000000000001" customHeight="1" x14ac:dyDescent="0.3">
      <c r="A634" s="44" t="s">
        <v>51</v>
      </c>
      <c r="B634" s="42">
        <v>5</v>
      </c>
      <c r="C634" s="42">
        <v>59800</v>
      </c>
      <c r="D634" s="42">
        <v>299000</v>
      </c>
      <c r="E634" s="33">
        <v>54300</v>
      </c>
      <c r="F634" s="25"/>
      <c r="G634" s="25"/>
      <c r="H634" s="34">
        <f t="shared" si="318"/>
        <v>27500</v>
      </c>
      <c r="I634" s="34"/>
      <c r="J634" s="35">
        <f t="shared" si="319"/>
        <v>9.1973244147157178</v>
      </c>
      <c r="K634" s="35"/>
      <c r="L634" s="26"/>
    </row>
    <row r="635" spans="1:12" s="24" customFormat="1" ht="20.100000000000001" customHeight="1" x14ac:dyDescent="0.3">
      <c r="A635" s="44" t="s">
        <v>68</v>
      </c>
      <c r="B635" s="42">
        <v>2</v>
      </c>
      <c r="C635" s="42">
        <v>59800</v>
      </c>
      <c r="D635" s="42">
        <v>119600</v>
      </c>
      <c r="E635" s="33">
        <v>54300</v>
      </c>
      <c r="F635" s="25"/>
      <c r="G635" s="25"/>
      <c r="H635" s="34">
        <f t="shared" si="318"/>
        <v>11000</v>
      </c>
      <c r="I635" s="34"/>
      <c r="J635" s="35">
        <f t="shared" si="319"/>
        <v>9.1973244147157178</v>
      </c>
      <c r="K635" s="35"/>
      <c r="L635" s="26"/>
    </row>
    <row r="636" spans="1:12" s="24" customFormat="1" ht="20.100000000000001" customHeight="1" x14ac:dyDescent="0.3">
      <c r="A636" s="44" t="s">
        <v>71</v>
      </c>
      <c r="B636" s="42">
        <v>1</v>
      </c>
      <c r="C636" s="42">
        <v>73000</v>
      </c>
      <c r="D636" s="42">
        <v>73000</v>
      </c>
      <c r="E636" s="33">
        <v>55400</v>
      </c>
      <c r="F636" s="25"/>
      <c r="G636" s="25"/>
      <c r="H636" s="34">
        <f t="shared" si="318"/>
        <v>17600</v>
      </c>
      <c r="I636" s="34"/>
      <c r="J636" s="35">
        <f t="shared" si="319"/>
        <v>24.109589041095891</v>
      </c>
      <c r="K636" s="35"/>
      <c r="L636" s="27"/>
    </row>
    <row r="637" spans="1:12" s="24" customFormat="1" ht="20.100000000000001" customHeight="1" x14ac:dyDescent="0.3">
      <c r="A637" s="43" t="s">
        <v>416</v>
      </c>
      <c r="B637" s="42"/>
      <c r="C637" s="42"/>
      <c r="D637" s="42"/>
      <c r="E637" s="33"/>
      <c r="F637" s="25"/>
      <c r="G637" s="25"/>
      <c r="H637" s="22"/>
      <c r="I637" s="22"/>
      <c r="J637" s="23"/>
      <c r="K637" s="23"/>
      <c r="L637" s="26"/>
    </row>
    <row r="638" spans="1:12" s="24" customFormat="1" ht="20.100000000000001" customHeight="1" x14ac:dyDescent="0.3">
      <c r="A638" s="44" t="s">
        <v>50</v>
      </c>
      <c r="B638" s="42">
        <v>5</v>
      </c>
      <c r="C638" s="42">
        <v>62000</v>
      </c>
      <c r="D638" s="42">
        <v>310000</v>
      </c>
      <c r="E638" s="33">
        <v>53900</v>
      </c>
      <c r="F638" s="25"/>
      <c r="G638" s="25"/>
      <c r="H638" s="34">
        <f t="shared" ref="H638:H642" si="320">D638-(E638*B638)-G638</f>
        <v>40500</v>
      </c>
      <c r="I638" s="34"/>
      <c r="J638" s="35">
        <f t="shared" ref="J638:J642" si="321">(H638/D638)*100</f>
        <v>13.064516129032258</v>
      </c>
      <c r="K638" s="35"/>
      <c r="L638" s="27"/>
    </row>
    <row r="639" spans="1:12" s="24" customFormat="1" ht="20.100000000000001" customHeight="1" x14ac:dyDescent="0.3">
      <c r="A639" s="44" t="s">
        <v>22</v>
      </c>
      <c r="B639" s="42">
        <v>5</v>
      </c>
      <c r="C639" s="42">
        <v>37000</v>
      </c>
      <c r="D639" s="42">
        <v>185000</v>
      </c>
      <c r="E639" s="33">
        <v>31200</v>
      </c>
      <c r="F639" s="25"/>
      <c r="G639" s="25"/>
      <c r="H639" s="34">
        <f t="shared" si="320"/>
        <v>29000</v>
      </c>
      <c r="I639" s="34"/>
      <c r="J639" s="35">
        <f t="shared" si="321"/>
        <v>15.675675675675677</v>
      </c>
      <c r="K639" s="35"/>
      <c r="L639" s="26"/>
    </row>
    <row r="640" spans="1:12" s="24" customFormat="1" ht="20.100000000000001" customHeight="1" x14ac:dyDescent="0.3">
      <c r="A640" s="44" t="s">
        <v>51</v>
      </c>
      <c r="B640" s="42">
        <v>20</v>
      </c>
      <c r="C640" s="42">
        <v>63000</v>
      </c>
      <c r="D640" s="42">
        <v>1260000</v>
      </c>
      <c r="E640" s="33">
        <v>54300</v>
      </c>
      <c r="F640" s="25"/>
      <c r="G640" s="25"/>
      <c r="H640" s="34">
        <f t="shared" si="320"/>
        <v>174000</v>
      </c>
      <c r="I640" s="34"/>
      <c r="J640" s="35">
        <f t="shared" si="321"/>
        <v>13.80952380952381</v>
      </c>
      <c r="K640" s="35"/>
      <c r="L640" s="26"/>
    </row>
    <row r="641" spans="1:12" s="24" customFormat="1" ht="20.100000000000001" customHeight="1" x14ac:dyDescent="0.3">
      <c r="A641" s="44" t="s">
        <v>54</v>
      </c>
      <c r="B641" s="42">
        <v>2</v>
      </c>
      <c r="C641" s="42">
        <v>64000</v>
      </c>
      <c r="D641" s="42">
        <v>128000</v>
      </c>
      <c r="E641" s="33">
        <v>55700</v>
      </c>
      <c r="F641" s="25"/>
      <c r="G641" s="25"/>
      <c r="H641" s="34">
        <f t="shared" si="320"/>
        <v>16600</v>
      </c>
      <c r="I641" s="34"/>
      <c r="J641" s="35">
        <f t="shared" si="321"/>
        <v>12.968750000000002</v>
      </c>
      <c r="K641" s="35"/>
      <c r="L641" s="27"/>
    </row>
    <row r="642" spans="1:12" s="24" customFormat="1" ht="20.100000000000001" customHeight="1" x14ac:dyDescent="0.3">
      <c r="A642" s="44" t="s">
        <v>23</v>
      </c>
      <c r="B642" s="42">
        <v>15</v>
      </c>
      <c r="C642" s="42">
        <v>90000</v>
      </c>
      <c r="D642" s="42">
        <v>1350000</v>
      </c>
      <c r="E642" s="33">
        <v>63400</v>
      </c>
      <c r="F642" s="25"/>
      <c r="G642" s="25"/>
      <c r="H642" s="34">
        <f t="shared" si="320"/>
        <v>399000</v>
      </c>
      <c r="I642" s="34"/>
      <c r="J642" s="35">
        <f t="shared" si="321"/>
        <v>29.555555555555557</v>
      </c>
      <c r="K642" s="35"/>
      <c r="L642" s="26"/>
    </row>
    <row r="643" spans="1:12" s="24" customFormat="1" ht="20.100000000000001" customHeight="1" x14ac:dyDescent="0.3">
      <c r="A643" s="43" t="s">
        <v>206</v>
      </c>
      <c r="B643" s="42"/>
      <c r="C643" s="42"/>
      <c r="D643" s="42"/>
      <c r="E643" s="33"/>
      <c r="F643" s="25"/>
      <c r="G643" s="25"/>
      <c r="H643" s="22"/>
      <c r="I643" s="22"/>
      <c r="J643" s="23"/>
      <c r="K643" s="23"/>
      <c r="L643" s="27"/>
    </row>
    <row r="644" spans="1:12" s="24" customFormat="1" ht="20.100000000000001" customHeight="1" x14ac:dyDescent="0.3">
      <c r="A644" s="44" t="s">
        <v>37</v>
      </c>
      <c r="B644" s="42">
        <v>1</v>
      </c>
      <c r="C644" s="42">
        <v>635000</v>
      </c>
      <c r="D644" s="42">
        <v>635000</v>
      </c>
      <c r="E644" s="33">
        <v>508000</v>
      </c>
      <c r="F644" s="25"/>
      <c r="G644" s="25"/>
      <c r="H644" s="34">
        <f t="shared" ref="H644" si="322">D644-(E644*B644)-G644</f>
        <v>127000</v>
      </c>
      <c r="I644" s="34"/>
      <c r="J644" s="35">
        <f t="shared" ref="J644" si="323">(H644/D644)*100</f>
        <v>20</v>
      </c>
      <c r="K644" s="35"/>
      <c r="L644" s="26"/>
    </row>
    <row r="645" spans="1:12" s="24" customFormat="1" ht="20.100000000000001" customHeight="1" x14ac:dyDescent="0.3">
      <c r="A645" s="43" t="s">
        <v>207</v>
      </c>
      <c r="B645" s="42"/>
      <c r="C645" s="42"/>
      <c r="D645" s="42"/>
      <c r="E645" s="33"/>
      <c r="F645" s="25"/>
      <c r="G645" s="25"/>
      <c r="H645" s="22"/>
      <c r="I645" s="22"/>
      <c r="J645" s="23"/>
      <c r="K645" s="23"/>
      <c r="L645" s="26"/>
    </row>
    <row r="646" spans="1:12" s="24" customFormat="1" ht="20.100000000000001" customHeight="1" x14ac:dyDescent="0.3">
      <c r="A646" s="44" t="s">
        <v>30</v>
      </c>
      <c r="B646" s="42">
        <v>10</v>
      </c>
      <c r="C646" s="42">
        <v>72700</v>
      </c>
      <c r="D646" s="42">
        <v>727000</v>
      </c>
      <c r="E646" s="33">
        <v>63200</v>
      </c>
      <c r="F646" s="25"/>
      <c r="G646" s="25"/>
      <c r="H646" s="34">
        <f t="shared" ref="H646:H647" si="324">D646-(E646*B646)-G646</f>
        <v>95000</v>
      </c>
      <c r="I646" s="34"/>
      <c r="J646" s="35">
        <f t="shared" ref="J646:J647" si="325">(H646/D646)*100</f>
        <v>13.067400275103164</v>
      </c>
      <c r="K646" s="35"/>
      <c r="L646" s="27"/>
    </row>
    <row r="647" spans="1:12" s="24" customFormat="1" ht="20.100000000000001" customHeight="1" x14ac:dyDescent="0.3">
      <c r="A647" s="44" t="s">
        <v>208</v>
      </c>
      <c r="B647" s="42">
        <v>5</v>
      </c>
      <c r="C647" s="42">
        <v>110000</v>
      </c>
      <c r="D647" s="42">
        <v>550000</v>
      </c>
      <c r="E647" s="33">
        <v>91100</v>
      </c>
      <c r="F647" s="25"/>
      <c r="G647" s="25"/>
      <c r="H647" s="34">
        <f t="shared" si="324"/>
        <v>94500</v>
      </c>
      <c r="I647" s="34"/>
      <c r="J647" s="35">
        <f t="shared" si="325"/>
        <v>17.18181818181818</v>
      </c>
      <c r="K647" s="35"/>
      <c r="L647" s="27"/>
    </row>
    <row r="648" spans="1:12" s="24" customFormat="1" ht="20.100000000000001" customHeight="1" x14ac:dyDescent="0.3">
      <c r="A648" s="43" t="s">
        <v>316</v>
      </c>
      <c r="B648" s="42"/>
      <c r="C648" s="42"/>
      <c r="D648" s="42"/>
      <c r="E648" s="33"/>
      <c r="F648" s="25"/>
      <c r="G648" s="25"/>
      <c r="H648" s="22"/>
      <c r="I648" s="22"/>
      <c r="J648" s="23"/>
      <c r="K648" s="23"/>
      <c r="L648" s="27"/>
    </row>
    <row r="649" spans="1:12" s="24" customFormat="1" ht="20.100000000000001" customHeight="1" x14ac:dyDescent="0.3">
      <c r="A649" s="44" t="s">
        <v>517</v>
      </c>
      <c r="B649" s="42">
        <v>2</v>
      </c>
      <c r="C649" s="42">
        <v>870000</v>
      </c>
      <c r="D649" s="42">
        <v>1740000</v>
      </c>
      <c r="E649" s="33">
        <v>728000</v>
      </c>
      <c r="F649" s="25"/>
      <c r="G649" s="25"/>
      <c r="H649" s="34">
        <f t="shared" ref="H649:H650" si="326">D649-(E649*B649)-G649</f>
        <v>284000</v>
      </c>
      <c r="I649" s="34"/>
      <c r="J649" s="35">
        <f t="shared" ref="J649:J650" si="327">(H649/D649)*100</f>
        <v>16.321839080459771</v>
      </c>
      <c r="K649" s="35"/>
      <c r="L649" s="26"/>
    </row>
    <row r="650" spans="1:12" s="24" customFormat="1" ht="20.100000000000001" customHeight="1" x14ac:dyDescent="0.3">
      <c r="A650" s="44" t="s">
        <v>56</v>
      </c>
      <c r="B650" s="42">
        <v>2</v>
      </c>
      <c r="C650" s="42">
        <v>78500</v>
      </c>
      <c r="D650" s="42">
        <v>157000</v>
      </c>
      <c r="E650" s="33">
        <v>66800</v>
      </c>
      <c r="F650" s="25"/>
      <c r="G650" s="25"/>
      <c r="H650" s="34">
        <f t="shared" si="326"/>
        <v>23400</v>
      </c>
      <c r="I650" s="34"/>
      <c r="J650" s="35">
        <f t="shared" si="327"/>
        <v>14.904458598726114</v>
      </c>
      <c r="K650" s="35"/>
      <c r="L650" s="26"/>
    </row>
    <row r="651" spans="1:12" s="24" customFormat="1" ht="20.100000000000001" customHeight="1" x14ac:dyDescent="0.3">
      <c r="A651" s="43" t="s">
        <v>76</v>
      </c>
      <c r="B651" s="42"/>
      <c r="C651" s="42"/>
      <c r="D651" s="42"/>
      <c r="E651" s="33"/>
      <c r="F651" s="25"/>
      <c r="G651" s="25"/>
      <c r="H651" s="22"/>
      <c r="I651" s="22"/>
      <c r="J651" s="23"/>
      <c r="K651" s="23"/>
      <c r="L651" s="27"/>
    </row>
    <row r="652" spans="1:12" s="24" customFormat="1" ht="19.5" customHeight="1" x14ac:dyDescent="0.3">
      <c r="A652" s="44" t="s">
        <v>101</v>
      </c>
      <c r="B652" s="42">
        <v>5</v>
      </c>
      <c r="C652" s="42">
        <v>58000</v>
      </c>
      <c r="D652" s="42">
        <v>290000</v>
      </c>
      <c r="E652" s="33">
        <v>53900</v>
      </c>
      <c r="F652" s="25"/>
      <c r="G652" s="25"/>
      <c r="H652" s="34">
        <f t="shared" ref="H652:H659" si="328">D652-(E652*B652)-G652</f>
        <v>20500</v>
      </c>
      <c r="I652" s="34"/>
      <c r="J652" s="35">
        <f t="shared" ref="J652:J659" si="329">(H652/D652)*100</f>
        <v>7.0689655172413799</v>
      </c>
      <c r="K652" s="35"/>
      <c r="L652" s="26"/>
    </row>
    <row r="653" spans="1:12" s="24" customFormat="1" ht="20.100000000000001" customHeight="1" x14ac:dyDescent="0.3">
      <c r="A653" s="44" t="s">
        <v>25</v>
      </c>
      <c r="B653" s="42">
        <v>1</v>
      </c>
      <c r="C653" s="42">
        <v>550000</v>
      </c>
      <c r="D653" s="42">
        <v>550000</v>
      </c>
      <c r="E653" s="33">
        <v>492000</v>
      </c>
      <c r="F653" s="25"/>
      <c r="G653" s="25"/>
      <c r="H653" s="34">
        <f t="shared" si="328"/>
        <v>58000</v>
      </c>
      <c r="I653" s="34"/>
      <c r="J653" s="35">
        <f t="shared" si="329"/>
        <v>10.545454545454545</v>
      </c>
      <c r="K653" s="35"/>
      <c r="L653" s="26"/>
    </row>
    <row r="654" spans="1:12" s="24" customFormat="1" ht="20.100000000000001" customHeight="1" x14ac:dyDescent="0.3">
      <c r="A654" s="44" t="s">
        <v>67</v>
      </c>
      <c r="B654" s="42">
        <v>1</v>
      </c>
      <c r="C654" s="42">
        <v>70000</v>
      </c>
      <c r="D654" s="42">
        <v>70000</v>
      </c>
      <c r="E654" s="33">
        <v>66400</v>
      </c>
      <c r="F654" s="25"/>
      <c r="G654" s="25"/>
      <c r="H654" s="34">
        <f t="shared" si="328"/>
        <v>3600</v>
      </c>
      <c r="I654" s="34"/>
      <c r="J654" s="35">
        <f t="shared" si="329"/>
        <v>5.1428571428571423</v>
      </c>
      <c r="K654" s="35"/>
      <c r="L654" s="27"/>
    </row>
    <row r="655" spans="1:12" s="24" customFormat="1" ht="20.100000000000001" customHeight="1" x14ac:dyDescent="0.3">
      <c r="A655" s="44" t="s">
        <v>68</v>
      </c>
      <c r="B655" s="42">
        <v>25</v>
      </c>
      <c r="C655" s="42">
        <v>67000</v>
      </c>
      <c r="D655" s="42">
        <v>1675000</v>
      </c>
      <c r="E655" s="33">
        <v>54300</v>
      </c>
      <c r="F655" s="25"/>
      <c r="G655" s="25"/>
      <c r="H655" s="34">
        <f t="shared" si="328"/>
        <v>317500</v>
      </c>
      <c r="I655" s="34"/>
      <c r="J655" s="35">
        <f t="shared" si="329"/>
        <v>18.955223880597014</v>
      </c>
      <c r="K655" s="35"/>
      <c r="L655" s="26"/>
    </row>
    <row r="656" spans="1:12" s="24" customFormat="1" ht="20.100000000000001" customHeight="1" x14ac:dyDescent="0.3">
      <c r="A656" s="44" t="s">
        <v>37</v>
      </c>
      <c r="B656" s="42">
        <v>1</v>
      </c>
      <c r="C656" s="42">
        <v>614600</v>
      </c>
      <c r="D656" s="42">
        <v>614600</v>
      </c>
      <c r="E656" s="33">
        <v>508000</v>
      </c>
      <c r="F656" s="25"/>
      <c r="G656" s="25"/>
      <c r="H656" s="34">
        <f t="shared" si="328"/>
        <v>106600</v>
      </c>
      <c r="I656" s="34"/>
      <c r="J656" s="35">
        <f t="shared" si="329"/>
        <v>17.344614383338758</v>
      </c>
      <c r="K656" s="35"/>
      <c r="L656" s="27"/>
    </row>
    <row r="657" spans="1:12" s="24" customFormat="1" ht="20.100000000000001" customHeight="1" x14ac:dyDescent="0.3">
      <c r="A657" s="44" t="s">
        <v>54</v>
      </c>
      <c r="B657" s="42">
        <v>1</v>
      </c>
      <c r="C657" s="42">
        <v>63700</v>
      </c>
      <c r="D657" s="42">
        <v>63700</v>
      </c>
      <c r="E657" s="33">
        <v>55700</v>
      </c>
      <c r="F657" s="25"/>
      <c r="G657" s="25"/>
      <c r="H657" s="34">
        <f t="shared" si="328"/>
        <v>8000</v>
      </c>
      <c r="I657" s="34"/>
      <c r="J657" s="35">
        <f t="shared" si="329"/>
        <v>12.558869701726843</v>
      </c>
      <c r="K657" s="35"/>
      <c r="L657" s="27"/>
    </row>
    <row r="658" spans="1:12" s="24" customFormat="1" ht="20.100000000000001" customHeight="1" x14ac:dyDescent="0.3">
      <c r="A658" s="44" t="s">
        <v>106</v>
      </c>
      <c r="B658" s="42">
        <v>2</v>
      </c>
      <c r="C658" s="42">
        <v>635000</v>
      </c>
      <c r="D658" s="42">
        <v>1270000</v>
      </c>
      <c r="E658" s="33">
        <v>520000</v>
      </c>
      <c r="F658" s="25"/>
      <c r="G658" s="25"/>
      <c r="H658" s="34">
        <f t="shared" si="328"/>
        <v>230000</v>
      </c>
      <c r="I658" s="34"/>
      <c r="J658" s="35">
        <f t="shared" si="329"/>
        <v>18.110236220472441</v>
      </c>
      <c r="K658" s="35"/>
      <c r="L658" s="26"/>
    </row>
    <row r="659" spans="1:12" s="24" customFormat="1" ht="20.100000000000001" customHeight="1" x14ac:dyDescent="0.3">
      <c r="A659" s="44" t="s">
        <v>56</v>
      </c>
      <c r="B659" s="42">
        <v>7</v>
      </c>
      <c r="C659" s="42">
        <v>78500</v>
      </c>
      <c r="D659" s="42">
        <v>549500</v>
      </c>
      <c r="E659" s="33">
        <v>66800</v>
      </c>
      <c r="F659" s="25"/>
      <c r="G659" s="25"/>
      <c r="H659" s="34">
        <f t="shared" si="328"/>
        <v>81900</v>
      </c>
      <c r="I659" s="34"/>
      <c r="J659" s="35">
        <f t="shared" si="329"/>
        <v>14.904458598726114</v>
      </c>
      <c r="K659" s="35"/>
      <c r="L659" s="26"/>
    </row>
    <row r="660" spans="1:12" s="24" customFormat="1" ht="20.100000000000001" customHeight="1" x14ac:dyDescent="0.3">
      <c r="A660" s="43" t="s">
        <v>93</v>
      </c>
      <c r="B660" s="42"/>
      <c r="C660" s="42"/>
      <c r="D660" s="42"/>
      <c r="E660" s="33"/>
      <c r="F660" s="25"/>
      <c r="G660" s="25"/>
      <c r="H660" s="22"/>
      <c r="I660" s="22"/>
      <c r="J660" s="23"/>
      <c r="K660" s="23"/>
      <c r="L660" s="27"/>
    </row>
    <row r="661" spans="1:12" s="24" customFormat="1" ht="20.100000000000001" customHeight="1" x14ac:dyDescent="0.3">
      <c r="A661" s="56" t="s">
        <v>482</v>
      </c>
      <c r="B661" s="57">
        <v>6</v>
      </c>
      <c r="C661" s="57">
        <v>277000</v>
      </c>
      <c r="D661" s="57">
        <v>1662000</v>
      </c>
      <c r="E661" s="36">
        <v>465000</v>
      </c>
      <c r="F661" s="37"/>
      <c r="G661" s="37"/>
      <c r="H661" s="38">
        <f t="shared" ref="H661" si="330">D661-(E661*B661)-G661</f>
        <v>-1128000</v>
      </c>
      <c r="I661" s="38"/>
      <c r="J661" s="39">
        <f t="shared" ref="J661" si="331">(H661/D661)*100</f>
        <v>-67.870036101083031</v>
      </c>
      <c r="K661" s="39"/>
      <c r="L661" s="40" t="s">
        <v>540</v>
      </c>
    </row>
    <row r="662" spans="1:12" s="24" customFormat="1" ht="20.100000000000001" customHeight="1" x14ac:dyDescent="0.3">
      <c r="A662" s="43" t="s">
        <v>209</v>
      </c>
      <c r="B662" s="42"/>
      <c r="C662" s="42"/>
      <c r="D662" s="42"/>
      <c r="E662" s="33"/>
      <c r="F662" s="25"/>
      <c r="G662" s="25"/>
      <c r="H662" s="22"/>
      <c r="I662" s="22"/>
      <c r="J662" s="23"/>
      <c r="K662" s="23"/>
      <c r="L662" s="27"/>
    </row>
    <row r="663" spans="1:12" s="24" customFormat="1" ht="20.100000000000001" customHeight="1" x14ac:dyDescent="0.3">
      <c r="A663" s="44" t="s">
        <v>50</v>
      </c>
      <c r="B663" s="42">
        <v>5</v>
      </c>
      <c r="C663" s="42">
        <v>63000</v>
      </c>
      <c r="D663" s="42">
        <v>315000</v>
      </c>
      <c r="E663" s="33">
        <v>53900</v>
      </c>
      <c r="F663" s="25"/>
      <c r="G663" s="25"/>
      <c r="H663" s="34">
        <f t="shared" ref="H663:H667" si="332">D663-(E663*B663)-G663</f>
        <v>45500</v>
      </c>
      <c r="I663" s="34"/>
      <c r="J663" s="35">
        <f t="shared" ref="J663:J667" si="333">(H663/D663)*100</f>
        <v>14.444444444444443</v>
      </c>
      <c r="K663" s="35"/>
      <c r="L663" s="27"/>
    </row>
    <row r="664" spans="1:12" s="24" customFormat="1" ht="20.100000000000001" customHeight="1" x14ac:dyDescent="0.3">
      <c r="A664" s="44" t="s">
        <v>181</v>
      </c>
      <c r="B664" s="42">
        <v>1</v>
      </c>
      <c r="C664" s="42">
        <v>575000</v>
      </c>
      <c r="D664" s="42">
        <v>575000</v>
      </c>
      <c r="E664" s="33">
        <v>492000</v>
      </c>
      <c r="F664" s="25"/>
      <c r="G664" s="25"/>
      <c r="H664" s="34">
        <f t="shared" si="332"/>
        <v>83000</v>
      </c>
      <c r="I664" s="34"/>
      <c r="J664" s="35">
        <f t="shared" si="333"/>
        <v>14.434782608695651</v>
      </c>
      <c r="K664" s="35"/>
      <c r="L664" s="26"/>
    </row>
    <row r="665" spans="1:12" s="24" customFormat="1" ht="20.100000000000001" customHeight="1" x14ac:dyDescent="0.3">
      <c r="A665" s="44" t="s">
        <v>417</v>
      </c>
      <c r="B665" s="42">
        <v>1</v>
      </c>
      <c r="C665" s="42">
        <v>731500</v>
      </c>
      <c r="D665" s="42">
        <v>731500</v>
      </c>
      <c r="E665" s="33">
        <v>637000</v>
      </c>
      <c r="F665" s="25"/>
      <c r="G665" s="25"/>
      <c r="H665" s="34">
        <f t="shared" si="332"/>
        <v>94500</v>
      </c>
      <c r="I665" s="34"/>
      <c r="J665" s="35">
        <f t="shared" si="333"/>
        <v>12.918660287081341</v>
      </c>
      <c r="K665" s="35"/>
      <c r="L665" s="26"/>
    </row>
    <row r="666" spans="1:12" s="24" customFormat="1" ht="20.100000000000001" customHeight="1" x14ac:dyDescent="0.3">
      <c r="A666" s="44" t="s">
        <v>23</v>
      </c>
      <c r="B666" s="42">
        <v>2</v>
      </c>
      <c r="C666" s="42">
        <v>95000</v>
      </c>
      <c r="D666" s="42">
        <v>190000</v>
      </c>
      <c r="E666" s="33">
        <v>63400</v>
      </c>
      <c r="F666" s="25"/>
      <c r="G666" s="25"/>
      <c r="H666" s="34">
        <f t="shared" si="332"/>
        <v>63200</v>
      </c>
      <c r="I666" s="34"/>
      <c r="J666" s="35">
        <f t="shared" si="333"/>
        <v>33.263157894736842</v>
      </c>
      <c r="K666" s="35"/>
      <c r="L666" s="26"/>
    </row>
    <row r="667" spans="1:12" s="24" customFormat="1" ht="20.100000000000001" customHeight="1" x14ac:dyDescent="0.3">
      <c r="A667" s="44" t="s">
        <v>71</v>
      </c>
      <c r="B667" s="42">
        <v>4</v>
      </c>
      <c r="C667" s="42">
        <v>85400</v>
      </c>
      <c r="D667" s="42">
        <v>341600</v>
      </c>
      <c r="E667" s="33">
        <v>55400</v>
      </c>
      <c r="F667" s="25"/>
      <c r="G667" s="25"/>
      <c r="H667" s="34">
        <f t="shared" si="332"/>
        <v>120000</v>
      </c>
      <c r="I667" s="34"/>
      <c r="J667" s="35">
        <f t="shared" si="333"/>
        <v>35.128805620608901</v>
      </c>
      <c r="K667" s="35"/>
      <c r="L667" s="26"/>
    </row>
    <row r="668" spans="1:12" s="24" customFormat="1" ht="20.100000000000001" customHeight="1" x14ac:dyDescent="0.3">
      <c r="A668" s="43" t="s">
        <v>259</v>
      </c>
      <c r="B668" s="42"/>
      <c r="C668" s="42"/>
      <c r="D668" s="42"/>
      <c r="E668" s="33"/>
      <c r="F668" s="25"/>
      <c r="G668" s="25"/>
      <c r="H668" s="22"/>
      <c r="I668" s="22"/>
      <c r="J668" s="23"/>
      <c r="K668" s="23"/>
      <c r="L668" s="26"/>
    </row>
    <row r="669" spans="1:12" s="24" customFormat="1" ht="20.100000000000001" customHeight="1" x14ac:dyDescent="0.3">
      <c r="A669" s="44" t="s">
        <v>68</v>
      </c>
      <c r="B669" s="42">
        <v>10</v>
      </c>
      <c r="C669" s="42">
        <v>63300</v>
      </c>
      <c r="D669" s="42">
        <v>633000</v>
      </c>
      <c r="E669" s="33">
        <v>54300</v>
      </c>
      <c r="F669" s="25"/>
      <c r="G669" s="25"/>
      <c r="H669" s="34">
        <f t="shared" ref="H669:H670" si="334">D669-(E669*B669)-G669</f>
        <v>90000</v>
      </c>
      <c r="I669" s="34"/>
      <c r="J669" s="35">
        <f t="shared" ref="J669:J670" si="335">(H669/D669)*100</f>
        <v>14.218009478672986</v>
      </c>
      <c r="K669" s="35"/>
      <c r="L669" s="27"/>
    </row>
    <row r="670" spans="1:12" s="24" customFormat="1" ht="20.100000000000001" customHeight="1" x14ac:dyDescent="0.3">
      <c r="A670" s="44" t="s">
        <v>37</v>
      </c>
      <c r="B670" s="42">
        <v>2</v>
      </c>
      <c r="C670" s="42">
        <v>594000</v>
      </c>
      <c r="D670" s="42">
        <v>1188000</v>
      </c>
      <c r="E670" s="33">
        <v>508000</v>
      </c>
      <c r="F670" s="25"/>
      <c r="G670" s="25"/>
      <c r="H670" s="34">
        <f t="shared" si="334"/>
        <v>172000</v>
      </c>
      <c r="I670" s="34"/>
      <c r="J670" s="35">
        <f t="shared" si="335"/>
        <v>14.478114478114479</v>
      </c>
      <c r="K670" s="35"/>
      <c r="L670" s="26"/>
    </row>
    <row r="671" spans="1:12" s="24" customFormat="1" ht="20.100000000000001" customHeight="1" x14ac:dyDescent="0.3">
      <c r="A671" s="43" t="s">
        <v>281</v>
      </c>
      <c r="B671" s="42"/>
      <c r="C671" s="42"/>
      <c r="D671" s="42"/>
      <c r="E671" s="33"/>
      <c r="F671" s="25"/>
      <c r="G671" s="25"/>
      <c r="H671" s="22"/>
      <c r="I671" s="22"/>
      <c r="J671" s="23"/>
      <c r="K671" s="23"/>
      <c r="L671" s="26"/>
    </row>
    <row r="672" spans="1:12" s="24" customFormat="1" ht="20.100000000000001" customHeight="1" x14ac:dyDescent="0.3">
      <c r="A672" s="44" t="s">
        <v>68</v>
      </c>
      <c r="B672" s="42">
        <v>1</v>
      </c>
      <c r="C672" s="42">
        <v>68000</v>
      </c>
      <c r="D672" s="42">
        <v>68000</v>
      </c>
      <c r="E672" s="33">
        <v>54300</v>
      </c>
      <c r="F672" s="25"/>
      <c r="G672" s="25"/>
      <c r="H672" s="34">
        <f t="shared" ref="H672" si="336">D672-(E672*B672)-G672</f>
        <v>13700</v>
      </c>
      <c r="I672" s="34"/>
      <c r="J672" s="35">
        <f t="shared" ref="J672" si="337">(H672/D672)*100</f>
        <v>20.147058823529413</v>
      </c>
      <c r="K672" s="35"/>
      <c r="L672" s="26"/>
    </row>
    <row r="673" spans="1:12" s="24" customFormat="1" ht="20.100000000000001" customHeight="1" x14ac:dyDescent="0.3">
      <c r="A673" s="43" t="s">
        <v>317</v>
      </c>
      <c r="B673" s="42"/>
      <c r="C673" s="42"/>
      <c r="D673" s="42"/>
      <c r="E673" s="33"/>
      <c r="F673" s="25"/>
      <c r="G673" s="25"/>
      <c r="H673" s="22"/>
      <c r="I673" s="22"/>
      <c r="J673" s="23"/>
      <c r="K673" s="23"/>
      <c r="L673" s="26"/>
    </row>
    <row r="674" spans="1:12" s="24" customFormat="1" ht="20.100000000000001" customHeight="1" x14ac:dyDescent="0.3">
      <c r="A674" s="56" t="s">
        <v>52</v>
      </c>
      <c r="B674" s="57">
        <v>1</v>
      </c>
      <c r="C674" s="57">
        <v>424000</v>
      </c>
      <c r="D674" s="57">
        <v>424000</v>
      </c>
      <c r="E674" s="36">
        <v>492000</v>
      </c>
      <c r="F674" s="37"/>
      <c r="G674" s="37"/>
      <c r="H674" s="38">
        <f t="shared" ref="H674" si="338">D674-(E674*B674)-G674</f>
        <v>-68000</v>
      </c>
      <c r="I674" s="38"/>
      <c r="J674" s="39">
        <f t="shared" ref="J674" si="339">(H674/D674)*100</f>
        <v>-16.037735849056602</v>
      </c>
      <c r="K674" s="39"/>
      <c r="L674" s="40" t="s">
        <v>528</v>
      </c>
    </row>
    <row r="675" spans="1:12" s="24" customFormat="1" ht="20.100000000000001" customHeight="1" x14ac:dyDescent="0.3">
      <c r="A675" s="43" t="s">
        <v>418</v>
      </c>
      <c r="B675" s="42"/>
      <c r="C675" s="42"/>
      <c r="D675" s="42"/>
      <c r="E675" s="33"/>
      <c r="F675" s="25"/>
      <c r="G675" s="25"/>
      <c r="H675" s="22"/>
      <c r="I675" s="22"/>
      <c r="J675" s="23"/>
      <c r="K675" s="23"/>
      <c r="L675" s="26"/>
    </row>
    <row r="676" spans="1:12" s="24" customFormat="1" ht="20.100000000000001" customHeight="1" x14ac:dyDescent="0.3">
      <c r="A676" s="44" t="s">
        <v>39</v>
      </c>
      <c r="B676" s="42">
        <v>2</v>
      </c>
      <c r="C676" s="42">
        <v>92000</v>
      </c>
      <c r="D676" s="42">
        <v>184000</v>
      </c>
      <c r="E676" s="33">
        <v>78100</v>
      </c>
      <c r="F676" s="25"/>
      <c r="G676" s="25"/>
      <c r="H676" s="34">
        <f t="shared" ref="H676" si="340">D676-(E676*B676)-G676</f>
        <v>27800</v>
      </c>
      <c r="I676" s="34"/>
      <c r="J676" s="35">
        <f t="shared" ref="J676" si="341">(H676/D676)*100</f>
        <v>15.108695652173912</v>
      </c>
      <c r="K676" s="35"/>
      <c r="L676" s="26"/>
    </row>
    <row r="677" spans="1:12" s="24" customFormat="1" ht="20.100000000000001" customHeight="1" x14ac:dyDescent="0.3">
      <c r="A677" s="43" t="s">
        <v>419</v>
      </c>
      <c r="B677" s="42"/>
      <c r="C677" s="42"/>
      <c r="D677" s="42"/>
      <c r="E677" s="33"/>
      <c r="F677" s="25"/>
      <c r="G677" s="25"/>
      <c r="H677" s="22"/>
      <c r="I677" s="22"/>
      <c r="J677" s="23"/>
      <c r="K677" s="23"/>
      <c r="L677" s="26"/>
    </row>
    <row r="678" spans="1:12" s="24" customFormat="1" ht="20.100000000000001" customHeight="1" x14ac:dyDescent="0.3">
      <c r="A678" s="44" t="s">
        <v>255</v>
      </c>
      <c r="B678" s="42">
        <v>42</v>
      </c>
      <c r="C678" s="42">
        <v>89000</v>
      </c>
      <c r="D678" s="42">
        <v>3738000</v>
      </c>
      <c r="E678" s="33">
        <v>78100</v>
      </c>
      <c r="F678" s="25"/>
      <c r="G678" s="25"/>
      <c r="H678" s="34">
        <f t="shared" ref="H678:H680" si="342">D678-(E678*B678)-G678</f>
        <v>457800</v>
      </c>
      <c r="I678" s="34"/>
      <c r="J678" s="35">
        <f t="shared" ref="J678:J680" si="343">(H678/D678)*100</f>
        <v>12.247191011235955</v>
      </c>
      <c r="K678" s="35"/>
      <c r="L678" s="26"/>
    </row>
    <row r="679" spans="1:12" s="24" customFormat="1" ht="20.100000000000001" customHeight="1" x14ac:dyDescent="0.3">
      <c r="A679" s="44" t="s">
        <v>33</v>
      </c>
      <c r="B679" s="42">
        <v>12</v>
      </c>
      <c r="C679" s="42">
        <v>338000</v>
      </c>
      <c r="D679" s="42">
        <v>4056000</v>
      </c>
      <c r="E679" s="33">
        <v>289000</v>
      </c>
      <c r="F679" s="25"/>
      <c r="G679" s="25"/>
      <c r="H679" s="34">
        <f t="shared" si="342"/>
        <v>588000</v>
      </c>
      <c r="I679" s="34"/>
      <c r="J679" s="35">
        <f t="shared" si="343"/>
        <v>14.497041420118343</v>
      </c>
      <c r="K679" s="35"/>
      <c r="L679" s="27"/>
    </row>
    <row r="680" spans="1:12" s="24" customFormat="1" ht="20.100000000000001" customHeight="1" x14ac:dyDescent="0.3">
      <c r="A680" s="44" t="s">
        <v>23</v>
      </c>
      <c r="B680" s="42">
        <v>5</v>
      </c>
      <c r="C680" s="42">
        <v>95000</v>
      </c>
      <c r="D680" s="42">
        <v>475000</v>
      </c>
      <c r="E680" s="33">
        <v>63400</v>
      </c>
      <c r="F680" s="25"/>
      <c r="G680" s="25"/>
      <c r="H680" s="34">
        <f t="shared" si="342"/>
        <v>158000</v>
      </c>
      <c r="I680" s="34"/>
      <c r="J680" s="35">
        <f t="shared" si="343"/>
        <v>33.263157894736842</v>
      </c>
      <c r="K680" s="35"/>
      <c r="L680" s="26"/>
    </row>
    <row r="681" spans="1:12" s="24" customFormat="1" ht="20.100000000000001" customHeight="1" x14ac:dyDescent="0.3">
      <c r="A681" s="43" t="s">
        <v>318</v>
      </c>
      <c r="B681" s="42"/>
      <c r="C681" s="42"/>
      <c r="D681" s="42"/>
      <c r="E681" s="33"/>
      <c r="F681" s="25"/>
      <c r="G681" s="25"/>
      <c r="H681" s="22"/>
      <c r="I681" s="22"/>
      <c r="J681" s="23"/>
      <c r="K681" s="23"/>
      <c r="L681" s="26"/>
    </row>
    <row r="682" spans="1:12" s="24" customFormat="1" ht="20.100000000000001" customHeight="1" x14ac:dyDescent="0.3">
      <c r="A682" s="44" t="s">
        <v>123</v>
      </c>
      <c r="B682" s="42">
        <v>5</v>
      </c>
      <c r="C682" s="42">
        <v>64500</v>
      </c>
      <c r="D682" s="42">
        <v>322500</v>
      </c>
      <c r="E682" s="33">
        <v>55700</v>
      </c>
      <c r="F682" s="25"/>
      <c r="G682" s="25"/>
      <c r="H682" s="34">
        <f t="shared" ref="H682" si="344">D682-(E682*B682)-G682</f>
        <v>44000</v>
      </c>
      <c r="I682" s="34"/>
      <c r="J682" s="35">
        <f t="shared" ref="J682" si="345">(H682/D682)*100</f>
        <v>13.643410852713178</v>
      </c>
      <c r="K682" s="35"/>
      <c r="L682" s="26"/>
    </row>
    <row r="683" spans="1:12" s="24" customFormat="1" ht="20.100000000000001" customHeight="1" x14ac:dyDescent="0.3">
      <c r="A683" s="43" t="s">
        <v>260</v>
      </c>
      <c r="B683" s="42"/>
      <c r="C683" s="42"/>
      <c r="D683" s="42"/>
      <c r="E683" s="33"/>
      <c r="F683" s="25"/>
      <c r="G683" s="25"/>
      <c r="H683" s="22"/>
      <c r="I683" s="22"/>
      <c r="J683" s="23"/>
      <c r="K683" s="23"/>
      <c r="L683" s="27"/>
    </row>
    <row r="684" spans="1:12" s="24" customFormat="1" ht="20.100000000000001" customHeight="1" x14ac:dyDescent="0.3">
      <c r="A684" s="44" t="s">
        <v>68</v>
      </c>
      <c r="B684" s="42">
        <v>10</v>
      </c>
      <c r="C684" s="42">
        <v>63000</v>
      </c>
      <c r="D684" s="42">
        <v>630000</v>
      </c>
      <c r="E684" s="33">
        <v>54300</v>
      </c>
      <c r="F684" s="25"/>
      <c r="G684" s="25"/>
      <c r="H684" s="34">
        <f t="shared" ref="H684:H686" si="346">D684-(E684*B684)-G684</f>
        <v>87000</v>
      </c>
      <c r="I684" s="34"/>
      <c r="J684" s="35">
        <f t="shared" ref="J684:J686" si="347">(H684/D684)*100</f>
        <v>13.80952380952381</v>
      </c>
      <c r="K684" s="35"/>
      <c r="L684" s="26"/>
    </row>
    <row r="685" spans="1:12" s="24" customFormat="1" ht="20.100000000000001" customHeight="1" x14ac:dyDescent="0.3">
      <c r="A685" s="44" t="s">
        <v>20</v>
      </c>
      <c r="B685" s="42">
        <v>2</v>
      </c>
      <c r="C685" s="42">
        <v>62800</v>
      </c>
      <c r="D685" s="42">
        <v>125600</v>
      </c>
      <c r="E685" s="33">
        <v>46600</v>
      </c>
      <c r="F685" s="25"/>
      <c r="G685" s="25"/>
      <c r="H685" s="34">
        <f t="shared" si="346"/>
        <v>32400</v>
      </c>
      <c r="I685" s="34"/>
      <c r="J685" s="35">
        <f t="shared" si="347"/>
        <v>25.796178343949045</v>
      </c>
      <c r="K685" s="35"/>
      <c r="L685" s="26"/>
    </row>
    <row r="686" spans="1:12" s="24" customFormat="1" ht="20.100000000000001" customHeight="1" x14ac:dyDescent="0.3">
      <c r="A686" s="44" t="s">
        <v>23</v>
      </c>
      <c r="B686" s="42">
        <v>12</v>
      </c>
      <c r="C686" s="42">
        <v>78000</v>
      </c>
      <c r="D686" s="42">
        <v>936000</v>
      </c>
      <c r="E686" s="33">
        <v>63400</v>
      </c>
      <c r="F686" s="25"/>
      <c r="G686" s="25"/>
      <c r="H686" s="34">
        <f t="shared" si="346"/>
        <v>175200</v>
      </c>
      <c r="I686" s="34"/>
      <c r="J686" s="35">
        <f t="shared" si="347"/>
        <v>18.717948717948719</v>
      </c>
      <c r="K686" s="35"/>
      <c r="L686" s="27"/>
    </row>
    <row r="687" spans="1:12" s="24" customFormat="1" ht="20.100000000000001" customHeight="1" x14ac:dyDescent="0.3">
      <c r="A687" s="43" t="s">
        <v>210</v>
      </c>
      <c r="B687" s="42"/>
      <c r="C687" s="42"/>
      <c r="D687" s="42"/>
      <c r="E687" s="33"/>
      <c r="F687" s="25"/>
      <c r="G687" s="25"/>
      <c r="H687" s="22"/>
      <c r="I687" s="22"/>
      <c r="J687" s="23"/>
      <c r="K687" s="23"/>
      <c r="L687" s="27"/>
    </row>
    <row r="688" spans="1:12" s="24" customFormat="1" ht="19.5" customHeight="1" x14ac:dyDescent="0.3">
      <c r="A688" s="44" t="s">
        <v>68</v>
      </c>
      <c r="B688" s="42">
        <v>4</v>
      </c>
      <c r="C688" s="42">
        <v>63000</v>
      </c>
      <c r="D688" s="42">
        <v>252000</v>
      </c>
      <c r="E688" s="33">
        <v>54300</v>
      </c>
      <c r="F688" s="25"/>
      <c r="G688" s="25"/>
      <c r="H688" s="34">
        <f t="shared" ref="H688" si="348">D688-(E688*B688)-G688</f>
        <v>34800</v>
      </c>
      <c r="I688" s="34"/>
      <c r="J688" s="35">
        <f t="shared" ref="J688" si="349">(H688/D688)*100</f>
        <v>13.80952380952381</v>
      </c>
      <c r="K688" s="35"/>
      <c r="L688" s="26"/>
    </row>
    <row r="689" spans="1:12" s="24" customFormat="1" ht="20.100000000000001" customHeight="1" x14ac:dyDescent="0.3">
      <c r="A689" s="43" t="s">
        <v>132</v>
      </c>
      <c r="B689" s="42"/>
      <c r="C689" s="42"/>
      <c r="D689" s="42"/>
      <c r="E689" s="33"/>
      <c r="F689" s="25"/>
      <c r="G689" s="25"/>
      <c r="H689" s="22"/>
      <c r="I689" s="22"/>
      <c r="J689" s="23"/>
      <c r="K689" s="23"/>
      <c r="L689" s="26"/>
    </row>
    <row r="690" spans="1:12" s="24" customFormat="1" ht="20.100000000000001" customHeight="1" x14ac:dyDescent="0.3">
      <c r="A690" s="44" t="s">
        <v>51</v>
      </c>
      <c r="B690" s="42">
        <v>10</v>
      </c>
      <c r="C690" s="42">
        <v>68000</v>
      </c>
      <c r="D690" s="42">
        <v>680000</v>
      </c>
      <c r="E690" s="33">
        <v>54300</v>
      </c>
      <c r="F690" s="25"/>
      <c r="G690" s="25"/>
      <c r="H690" s="34">
        <f t="shared" ref="H690:H693" si="350">D690-(E690*B690)-G690</f>
        <v>137000</v>
      </c>
      <c r="I690" s="34"/>
      <c r="J690" s="35">
        <f t="shared" ref="J690:J693" si="351">(H690/D690)*100</f>
        <v>20.147058823529413</v>
      </c>
      <c r="K690" s="35"/>
      <c r="L690" s="26"/>
    </row>
    <row r="691" spans="1:12" s="24" customFormat="1" ht="20.100000000000001" customHeight="1" x14ac:dyDescent="0.3">
      <c r="A691" s="44" t="s">
        <v>20</v>
      </c>
      <c r="B691" s="42">
        <v>3</v>
      </c>
      <c r="C691" s="42">
        <v>62700</v>
      </c>
      <c r="D691" s="42">
        <v>188100</v>
      </c>
      <c r="E691" s="33">
        <v>46600</v>
      </c>
      <c r="F691" s="25"/>
      <c r="G691" s="25"/>
      <c r="H691" s="34">
        <f t="shared" si="350"/>
        <v>48300</v>
      </c>
      <c r="I691" s="34"/>
      <c r="J691" s="35">
        <f t="shared" si="351"/>
        <v>25.677830940988837</v>
      </c>
      <c r="K691" s="35"/>
      <c r="L691" s="27"/>
    </row>
    <row r="692" spans="1:12" s="24" customFormat="1" ht="20.100000000000001" customHeight="1" x14ac:dyDescent="0.3">
      <c r="A692" s="44" t="s">
        <v>23</v>
      </c>
      <c r="B692" s="42">
        <v>20</v>
      </c>
      <c r="C692" s="42">
        <v>95000</v>
      </c>
      <c r="D692" s="42">
        <v>1900000</v>
      </c>
      <c r="E692" s="33">
        <v>63400</v>
      </c>
      <c r="F692" s="25"/>
      <c r="G692" s="25"/>
      <c r="H692" s="34">
        <f t="shared" si="350"/>
        <v>632000</v>
      </c>
      <c r="I692" s="34"/>
      <c r="J692" s="35">
        <f t="shared" si="351"/>
        <v>33.263157894736842</v>
      </c>
      <c r="K692" s="35"/>
      <c r="L692" s="26"/>
    </row>
    <row r="693" spans="1:12" s="24" customFormat="1" ht="20.100000000000001" customHeight="1" x14ac:dyDescent="0.3">
      <c r="A693" s="44" t="s">
        <v>71</v>
      </c>
      <c r="B693" s="42">
        <v>3</v>
      </c>
      <c r="C693" s="42">
        <v>85770</v>
      </c>
      <c r="D693" s="42">
        <v>257310</v>
      </c>
      <c r="E693" s="33">
        <v>55400</v>
      </c>
      <c r="F693" s="25"/>
      <c r="G693" s="25"/>
      <c r="H693" s="34">
        <f t="shared" si="350"/>
        <v>91110</v>
      </c>
      <c r="I693" s="34"/>
      <c r="J693" s="35">
        <f t="shared" si="351"/>
        <v>35.408651043488398</v>
      </c>
      <c r="K693" s="35"/>
      <c r="L693" s="26"/>
    </row>
    <row r="694" spans="1:12" s="24" customFormat="1" ht="20.100000000000001" customHeight="1" x14ac:dyDescent="0.3">
      <c r="A694" s="43" t="s">
        <v>77</v>
      </c>
      <c r="B694" s="42"/>
      <c r="C694" s="42"/>
      <c r="D694" s="42"/>
      <c r="E694" s="33"/>
      <c r="F694" s="25"/>
      <c r="G694" s="25"/>
      <c r="H694" s="22"/>
      <c r="I694" s="22"/>
      <c r="J694" s="23"/>
      <c r="K694" s="23"/>
      <c r="L694" s="26"/>
    </row>
    <row r="695" spans="1:12" s="24" customFormat="1" ht="20.100000000000001" customHeight="1" x14ac:dyDescent="0.3">
      <c r="A695" s="44" t="s">
        <v>518</v>
      </c>
      <c r="B695" s="42">
        <v>2</v>
      </c>
      <c r="C695" s="42">
        <v>800000</v>
      </c>
      <c r="D695" s="42">
        <v>1600000</v>
      </c>
      <c r="E695" s="33">
        <v>720000</v>
      </c>
      <c r="F695" s="25"/>
      <c r="G695" s="25"/>
      <c r="H695" s="34">
        <f t="shared" ref="H695:H700" si="352">D695-(E695*B695)-G695</f>
        <v>160000</v>
      </c>
      <c r="I695" s="34"/>
      <c r="J695" s="35">
        <f t="shared" ref="J695:J700" si="353">(H695/D695)*100</f>
        <v>10</v>
      </c>
      <c r="K695" s="35"/>
      <c r="L695" s="26"/>
    </row>
    <row r="696" spans="1:12" s="24" customFormat="1" ht="20.100000000000001" customHeight="1" x14ac:dyDescent="0.3">
      <c r="A696" s="44" t="s">
        <v>67</v>
      </c>
      <c r="B696" s="42">
        <v>5</v>
      </c>
      <c r="C696" s="42">
        <v>93000</v>
      </c>
      <c r="D696" s="42">
        <v>465000</v>
      </c>
      <c r="E696" s="33">
        <v>66400</v>
      </c>
      <c r="F696" s="25"/>
      <c r="G696" s="25"/>
      <c r="H696" s="34">
        <f t="shared" si="352"/>
        <v>133000</v>
      </c>
      <c r="I696" s="34"/>
      <c r="J696" s="35">
        <f t="shared" si="353"/>
        <v>28.602150537634408</v>
      </c>
      <c r="K696" s="35"/>
      <c r="L696" s="26"/>
    </row>
    <row r="697" spans="1:12" s="24" customFormat="1" ht="20.100000000000001" customHeight="1" x14ac:dyDescent="0.3">
      <c r="A697" s="44" t="s">
        <v>258</v>
      </c>
      <c r="B697" s="42">
        <v>1</v>
      </c>
      <c r="C697" s="42">
        <v>800000</v>
      </c>
      <c r="D697" s="42">
        <v>800000</v>
      </c>
      <c r="E697" s="33">
        <v>670000</v>
      </c>
      <c r="F697" s="25"/>
      <c r="G697" s="25"/>
      <c r="H697" s="34">
        <f t="shared" si="352"/>
        <v>130000</v>
      </c>
      <c r="I697" s="34"/>
      <c r="J697" s="35">
        <f t="shared" si="353"/>
        <v>16.25</v>
      </c>
      <c r="K697" s="35"/>
      <c r="L697" s="26"/>
    </row>
    <row r="698" spans="1:12" s="24" customFormat="1" ht="20.100000000000001" customHeight="1" x14ac:dyDescent="0.3">
      <c r="A698" s="44" t="s">
        <v>68</v>
      </c>
      <c r="B698" s="42">
        <v>10</v>
      </c>
      <c r="C698" s="42">
        <v>62200</v>
      </c>
      <c r="D698" s="42">
        <v>622000</v>
      </c>
      <c r="E698" s="33">
        <v>54300</v>
      </c>
      <c r="F698" s="25"/>
      <c r="G698" s="25"/>
      <c r="H698" s="34">
        <f t="shared" si="352"/>
        <v>79000</v>
      </c>
      <c r="I698" s="34"/>
      <c r="J698" s="35">
        <f t="shared" si="353"/>
        <v>12.700964630225082</v>
      </c>
      <c r="K698" s="35"/>
      <c r="L698" s="27"/>
    </row>
    <row r="699" spans="1:12" s="24" customFormat="1" ht="20.100000000000001" customHeight="1" x14ac:dyDescent="0.3">
      <c r="A699" s="44" t="s">
        <v>23</v>
      </c>
      <c r="B699" s="42">
        <v>5</v>
      </c>
      <c r="C699" s="42">
        <v>90000</v>
      </c>
      <c r="D699" s="42">
        <v>450000</v>
      </c>
      <c r="E699" s="33">
        <v>63400</v>
      </c>
      <c r="F699" s="25"/>
      <c r="G699" s="25"/>
      <c r="H699" s="34">
        <f t="shared" si="352"/>
        <v>133000</v>
      </c>
      <c r="I699" s="34"/>
      <c r="J699" s="35">
        <f t="shared" si="353"/>
        <v>29.555555555555557</v>
      </c>
      <c r="K699" s="35"/>
      <c r="L699" s="27"/>
    </row>
    <row r="700" spans="1:12" s="24" customFormat="1" ht="20.100000000000001" customHeight="1" x14ac:dyDescent="0.3">
      <c r="A700" s="44" t="s">
        <v>420</v>
      </c>
      <c r="B700" s="42">
        <v>1</v>
      </c>
      <c r="C700" s="42">
        <v>740000</v>
      </c>
      <c r="D700" s="42">
        <v>740000</v>
      </c>
      <c r="E700" s="33">
        <v>564000</v>
      </c>
      <c r="F700" s="25"/>
      <c r="G700" s="25"/>
      <c r="H700" s="34">
        <f t="shared" si="352"/>
        <v>176000</v>
      </c>
      <c r="I700" s="34"/>
      <c r="J700" s="35">
        <f t="shared" si="353"/>
        <v>23.783783783783786</v>
      </c>
      <c r="K700" s="35"/>
      <c r="L700" s="26"/>
    </row>
    <row r="701" spans="1:12" s="24" customFormat="1" ht="20.100000000000001" customHeight="1" x14ac:dyDescent="0.3">
      <c r="A701" s="43" t="s">
        <v>421</v>
      </c>
      <c r="B701" s="42"/>
      <c r="C701" s="42"/>
      <c r="D701" s="42"/>
      <c r="E701" s="33"/>
      <c r="F701" s="25"/>
      <c r="G701" s="25"/>
      <c r="H701" s="22"/>
      <c r="I701" s="22"/>
      <c r="J701" s="23"/>
      <c r="K701" s="23"/>
      <c r="L701" s="27"/>
    </row>
    <row r="702" spans="1:12" s="24" customFormat="1" ht="20.100000000000001" customHeight="1" x14ac:dyDescent="0.3">
      <c r="A702" s="44" t="s">
        <v>173</v>
      </c>
      <c r="B702" s="42">
        <v>3</v>
      </c>
      <c r="C702" s="42">
        <v>575300</v>
      </c>
      <c r="D702" s="42">
        <v>1725900</v>
      </c>
      <c r="E702" s="33">
        <v>492000</v>
      </c>
      <c r="F702" s="25"/>
      <c r="G702" s="25"/>
      <c r="H702" s="34">
        <f t="shared" ref="H702:H704" si="354">D702-(E702*B702)-G702</f>
        <v>249900</v>
      </c>
      <c r="I702" s="34"/>
      <c r="J702" s="35">
        <f t="shared" ref="J702:J704" si="355">(H702/D702)*100</f>
        <v>14.47940205110377</v>
      </c>
      <c r="K702" s="35"/>
      <c r="L702" s="26"/>
    </row>
    <row r="703" spans="1:12" s="24" customFormat="1" ht="20.100000000000001" customHeight="1" x14ac:dyDescent="0.3">
      <c r="A703" s="44" t="s">
        <v>24</v>
      </c>
      <c r="B703" s="42">
        <v>4</v>
      </c>
      <c r="C703" s="42">
        <v>564000</v>
      </c>
      <c r="D703" s="42">
        <v>2256000</v>
      </c>
      <c r="E703" s="33">
        <v>508000</v>
      </c>
      <c r="F703" s="25"/>
      <c r="G703" s="25"/>
      <c r="H703" s="34">
        <f t="shared" si="354"/>
        <v>224000</v>
      </c>
      <c r="I703" s="34"/>
      <c r="J703" s="35">
        <f t="shared" si="355"/>
        <v>9.9290780141843982</v>
      </c>
      <c r="K703" s="35"/>
      <c r="L703" s="26"/>
    </row>
    <row r="704" spans="1:12" s="24" customFormat="1" ht="20.100000000000001" customHeight="1" x14ac:dyDescent="0.3">
      <c r="A704" s="44" t="s">
        <v>178</v>
      </c>
      <c r="B704" s="42">
        <v>1</v>
      </c>
      <c r="C704" s="42">
        <v>644700</v>
      </c>
      <c r="D704" s="42">
        <v>644700</v>
      </c>
      <c r="E704" s="33">
        <v>508000</v>
      </c>
      <c r="F704" s="25"/>
      <c r="G704" s="25"/>
      <c r="H704" s="34">
        <f t="shared" si="354"/>
        <v>136700</v>
      </c>
      <c r="I704" s="34"/>
      <c r="J704" s="35">
        <f t="shared" si="355"/>
        <v>21.203660617341399</v>
      </c>
      <c r="K704" s="35"/>
      <c r="L704" s="26"/>
    </row>
    <row r="705" spans="1:12" s="24" customFormat="1" ht="20.100000000000001" customHeight="1" x14ac:dyDescent="0.3">
      <c r="A705" s="43" t="s">
        <v>261</v>
      </c>
      <c r="B705" s="42"/>
      <c r="C705" s="42"/>
      <c r="D705" s="42"/>
      <c r="E705" s="33"/>
      <c r="F705" s="25"/>
      <c r="G705" s="25"/>
      <c r="H705" s="22"/>
      <c r="I705" s="22"/>
      <c r="J705" s="23"/>
      <c r="K705" s="23"/>
      <c r="L705" s="26"/>
    </row>
    <row r="706" spans="1:12" s="24" customFormat="1" ht="20.100000000000001" customHeight="1" x14ac:dyDescent="0.3">
      <c r="A706" s="44" t="s">
        <v>39</v>
      </c>
      <c r="B706" s="42">
        <v>42</v>
      </c>
      <c r="C706" s="42">
        <v>85000</v>
      </c>
      <c r="D706" s="42">
        <v>3570000</v>
      </c>
      <c r="E706" s="33">
        <v>78100</v>
      </c>
      <c r="F706" s="25"/>
      <c r="G706" s="25"/>
      <c r="H706" s="34">
        <f t="shared" ref="H706" si="356">D706-(E706*B706)-G706</f>
        <v>289800</v>
      </c>
      <c r="I706" s="34"/>
      <c r="J706" s="35">
        <f t="shared" ref="J706" si="357">(H706/D706)*100</f>
        <v>8.117647058823529</v>
      </c>
      <c r="K706" s="35"/>
      <c r="L706" s="26"/>
    </row>
    <row r="707" spans="1:12" s="24" customFormat="1" ht="20.100000000000001" customHeight="1" x14ac:dyDescent="0.3">
      <c r="A707" s="47" t="s">
        <v>78</v>
      </c>
      <c r="B707" s="42"/>
      <c r="C707" s="42"/>
      <c r="D707" s="42"/>
      <c r="E707" s="33"/>
      <c r="F707" s="25"/>
      <c r="G707" s="25"/>
      <c r="H707" s="22"/>
      <c r="I707" s="22"/>
      <c r="J707" s="23"/>
      <c r="K707" s="23"/>
      <c r="L707" s="27"/>
    </row>
    <row r="708" spans="1:12" s="24" customFormat="1" ht="20.100000000000001" customHeight="1" x14ac:dyDescent="0.3">
      <c r="A708" s="43" t="s">
        <v>211</v>
      </c>
      <c r="B708" s="42"/>
      <c r="C708" s="42"/>
      <c r="D708" s="42"/>
      <c r="E708" s="33"/>
      <c r="F708" s="25"/>
      <c r="G708" s="25"/>
      <c r="H708" s="22"/>
      <c r="I708" s="22"/>
      <c r="J708" s="23"/>
      <c r="K708" s="23"/>
      <c r="L708" s="26"/>
    </row>
    <row r="709" spans="1:12" s="24" customFormat="1" ht="20.100000000000001" customHeight="1" x14ac:dyDescent="0.3">
      <c r="A709" s="44" t="s">
        <v>519</v>
      </c>
      <c r="B709" s="42">
        <v>4</v>
      </c>
      <c r="C709" s="42">
        <v>1725000</v>
      </c>
      <c r="D709" s="42">
        <v>6900000</v>
      </c>
      <c r="E709" s="33">
        <v>1525000</v>
      </c>
      <c r="F709" s="25"/>
      <c r="G709" s="25"/>
      <c r="H709" s="34">
        <f t="shared" ref="H709:H710" si="358">D709-(E709*B709)-G709</f>
        <v>800000</v>
      </c>
      <c r="I709" s="34"/>
      <c r="J709" s="35">
        <f t="shared" ref="J709:J710" si="359">(H709/D709)*100</f>
        <v>11.594202898550725</v>
      </c>
      <c r="K709" s="35"/>
      <c r="L709" s="27"/>
    </row>
    <row r="710" spans="1:12" s="24" customFormat="1" ht="20.100000000000001" customHeight="1" x14ac:dyDescent="0.3">
      <c r="A710" s="44" t="s">
        <v>508</v>
      </c>
      <c r="B710" s="42">
        <v>2</v>
      </c>
      <c r="C710" s="42">
        <v>725000</v>
      </c>
      <c r="D710" s="42">
        <v>1450000</v>
      </c>
      <c r="E710" s="33">
        <v>400000</v>
      </c>
      <c r="F710" s="25"/>
      <c r="G710" s="25"/>
      <c r="H710" s="34">
        <f t="shared" si="358"/>
        <v>650000</v>
      </c>
      <c r="I710" s="34"/>
      <c r="J710" s="35">
        <f t="shared" si="359"/>
        <v>44.827586206896555</v>
      </c>
      <c r="K710" s="35"/>
      <c r="L710" s="26"/>
    </row>
    <row r="711" spans="1:12" s="24" customFormat="1" ht="20.100000000000001" customHeight="1" x14ac:dyDescent="0.3">
      <c r="A711" s="43" t="s">
        <v>212</v>
      </c>
      <c r="B711" s="42"/>
      <c r="C711" s="42"/>
      <c r="D711" s="42"/>
      <c r="E711" s="33"/>
      <c r="F711" s="25"/>
      <c r="G711" s="25"/>
      <c r="H711" s="22"/>
      <c r="I711" s="22"/>
      <c r="J711" s="23"/>
      <c r="K711" s="23"/>
      <c r="L711" s="26"/>
    </row>
    <row r="712" spans="1:12" s="24" customFormat="1" ht="20.100000000000001" customHeight="1" x14ac:dyDescent="0.3">
      <c r="A712" s="44" t="s">
        <v>68</v>
      </c>
      <c r="B712" s="42">
        <v>5</v>
      </c>
      <c r="C712" s="42">
        <v>68000</v>
      </c>
      <c r="D712" s="42">
        <v>340000</v>
      </c>
      <c r="E712" s="33">
        <v>54300</v>
      </c>
      <c r="F712" s="25"/>
      <c r="G712" s="25"/>
      <c r="H712" s="34">
        <f t="shared" ref="H712:H713" si="360">D712-(E712*B712)-G712</f>
        <v>68500</v>
      </c>
      <c r="I712" s="34"/>
      <c r="J712" s="35">
        <f t="shared" ref="J712:J713" si="361">(H712/D712)*100</f>
        <v>20.147058823529413</v>
      </c>
      <c r="K712" s="35"/>
      <c r="L712" s="26"/>
    </row>
    <row r="713" spans="1:12" s="24" customFormat="1" ht="20.100000000000001" customHeight="1" x14ac:dyDescent="0.3">
      <c r="A713" s="44" t="s">
        <v>20</v>
      </c>
      <c r="B713" s="42">
        <v>1</v>
      </c>
      <c r="C713" s="42">
        <v>69600</v>
      </c>
      <c r="D713" s="42">
        <v>69600</v>
      </c>
      <c r="E713" s="33">
        <v>46600</v>
      </c>
      <c r="F713" s="25"/>
      <c r="G713" s="25"/>
      <c r="H713" s="34">
        <f t="shared" si="360"/>
        <v>23000</v>
      </c>
      <c r="I713" s="34"/>
      <c r="J713" s="35">
        <f t="shared" si="361"/>
        <v>33.045977011494251</v>
      </c>
      <c r="K713" s="35"/>
      <c r="L713" s="27"/>
    </row>
    <row r="714" spans="1:12" s="24" customFormat="1" ht="19.5" customHeight="1" x14ac:dyDescent="0.3">
      <c r="A714" s="43" t="s">
        <v>422</v>
      </c>
      <c r="B714" s="42"/>
      <c r="C714" s="42"/>
      <c r="D714" s="42"/>
      <c r="E714" s="33"/>
      <c r="F714" s="25"/>
      <c r="G714" s="25"/>
      <c r="H714" s="22"/>
      <c r="I714" s="22"/>
      <c r="J714" s="23"/>
      <c r="K714" s="23"/>
      <c r="L714" s="26"/>
    </row>
    <row r="715" spans="1:12" s="24" customFormat="1" ht="20.100000000000001" customHeight="1" x14ac:dyDescent="0.3">
      <c r="A715" s="44" t="s">
        <v>153</v>
      </c>
      <c r="B715" s="42">
        <v>2</v>
      </c>
      <c r="C715" s="42">
        <v>216600</v>
      </c>
      <c r="D715" s="42">
        <v>433200</v>
      </c>
      <c r="E715" s="33">
        <v>179000</v>
      </c>
      <c r="F715" s="25"/>
      <c r="G715" s="25"/>
      <c r="H715" s="34">
        <f t="shared" ref="H715:H716" si="362">D715-(E715*B715)-G715</f>
        <v>75200</v>
      </c>
      <c r="I715" s="34"/>
      <c r="J715" s="35">
        <f t="shared" ref="J715:J716" si="363">(H715/D715)*100</f>
        <v>17.359187442289937</v>
      </c>
      <c r="K715" s="35"/>
      <c r="L715" s="26"/>
    </row>
    <row r="716" spans="1:12" s="24" customFormat="1" ht="20.100000000000001" customHeight="1" x14ac:dyDescent="0.3">
      <c r="A716" s="44" t="s">
        <v>237</v>
      </c>
      <c r="B716" s="42">
        <v>1</v>
      </c>
      <c r="C716" s="42">
        <v>98000</v>
      </c>
      <c r="D716" s="42">
        <v>98000</v>
      </c>
      <c r="E716" s="33">
        <v>81000</v>
      </c>
      <c r="F716" s="25"/>
      <c r="G716" s="25"/>
      <c r="H716" s="34">
        <f t="shared" si="362"/>
        <v>17000</v>
      </c>
      <c r="I716" s="34"/>
      <c r="J716" s="35">
        <f t="shared" si="363"/>
        <v>17.346938775510203</v>
      </c>
      <c r="K716" s="35"/>
      <c r="L716" s="26"/>
    </row>
    <row r="717" spans="1:12" s="24" customFormat="1" ht="20.100000000000001" customHeight="1" x14ac:dyDescent="0.3">
      <c r="A717" s="43" t="s">
        <v>81</v>
      </c>
      <c r="B717" s="42"/>
      <c r="C717" s="42"/>
      <c r="D717" s="42"/>
      <c r="E717" s="33"/>
      <c r="F717" s="25"/>
      <c r="G717" s="25"/>
      <c r="H717" s="22"/>
      <c r="I717" s="22"/>
      <c r="J717" s="23"/>
      <c r="K717" s="23"/>
      <c r="L717" s="26"/>
    </row>
    <row r="718" spans="1:12" s="24" customFormat="1" ht="20.100000000000001" customHeight="1" x14ac:dyDescent="0.3">
      <c r="A718" s="44" t="s">
        <v>520</v>
      </c>
      <c r="B718" s="42">
        <v>12</v>
      </c>
      <c r="C718" s="42">
        <v>520000</v>
      </c>
      <c r="D718" s="42">
        <v>6240000</v>
      </c>
      <c r="E718" s="33">
        <v>465000</v>
      </c>
      <c r="F718" s="25"/>
      <c r="G718" s="25"/>
      <c r="H718" s="34">
        <f t="shared" ref="H718:H719" si="364">D718-(E718*B718)-G718</f>
        <v>660000</v>
      </c>
      <c r="I718" s="34"/>
      <c r="J718" s="35">
        <f t="shared" ref="J718:J719" si="365">(H718/D718)*100</f>
        <v>10.576923076923077</v>
      </c>
      <c r="K718" s="35"/>
      <c r="L718" s="26"/>
    </row>
    <row r="719" spans="1:12" s="24" customFormat="1" ht="20.100000000000001" customHeight="1" x14ac:dyDescent="0.3">
      <c r="A719" s="44" t="s">
        <v>508</v>
      </c>
      <c r="B719" s="42">
        <v>3</v>
      </c>
      <c r="C719" s="42">
        <v>490000</v>
      </c>
      <c r="D719" s="42">
        <v>1470000</v>
      </c>
      <c r="E719" s="33">
        <v>400000</v>
      </c>
      <c r="F719" s="25"/>
      <c r="G719" s="25"/>
      <c r="H719" s="34">
        <f t="shared" si="364"/>
        <v>270000</v>
      </c>
      <c r="I719" s="34"/>
      <c r="J719" s="35">
        <f t="shared" si="365"/>
        <v>18.367346938775512</v>
      </c>
      <c r="K719" s="35"/>
      <c r="L719" s="27"/>
    </row>
    <row r="720" spans="1:12" s="24" customFormat="1" ht="20.100000000000001" customHeight="1" x14ac:dyDescent="0.3">
      <c r="A720" s="47" t="s">
        <v>19</v>
      </c>
      <c r="B720" s="42"/>
      <c r="C720" s="42"/>
      <c r="D720" s="42"/>
      <c r="E720" s="33"/>
      <c r="F720" s="25"/>
      <c r="G720" s="25"/>
      <c r="H720" s="22"/>
      <c r="I720" s="22"/>
      <c r="J720" s="23"/>
      <c r="K720" s="23"/>
      <c r="L720" s="26"/>
    </row>
    <row r="721" spans="1:12" s="24" customFormat="1" ht="20.100000000000001" customHeight="1" x14ac:dyDescent="0.3">
      <c r="A721" s="43" t="s">
        <v>309</v>
      </c>
      <c r="B721" s="42"/>
      <c r="C721" s="42"/>
      <c r="D721" s="42"/>
      <c r="E721" s="33"/>
      <c r="F721" s="25"/>
      <c r="G721" s="25"/>
      <c r="H721" s="22"/>
      <c r="I721" s="22"/>
      <c r="J721" s="23"/>
      <c r="K721" s="23"/>
      <c r="L721" s="27"/>
    </row>
    <row r="722" spans="1:12" s="24" customFormat="1" ht="20.100000000000001" customHeight="1" x14ac:dyDescent="0.3">
      <c r="A722" s="44" t="s">
        <v>173</v>
      </c>
      <c r="B722" s="42">
        <v>6</v>
      </c>
      <c r="C722" s="42">
        <v>545000</v>
      </c>
      <c r="D722" s="42">
        <v>3270000</v>
      </c>
      <c r="E722" s="33">
        <v>492000</v>
      </c>
      <c r="F722" s="25"/>
      <c r="G722" s="25"/>
      <c r="H722" s="34">
        <f t="shared" ref="H722" si="366">D722-(E722*B722)-G722</f>
        <v>318000</v>
      </c>
      <c r="I722" s="34"/>
      <c r="J722" s="35">
        <f t="shared" ref="J722" si="367">(H722/D722)*100</f>
        <v>9.7247706422018361</v>
      </c>
      <c r="K722" s="35"/>
      <c r="L722" s="27"/>
    </row>
    <row r="723" spans="1:12" s="24" customFormat="1" ht="20.100000000000001" customHeight="1" x14ac:dyDescent="0.3">
      <c r="A723" s="44" t="s">
        <v>521</v>
      </c>
      <c r="B723" s="42">
        <v>5</v>
      </c>
      <c r="C723" s="42">
        <v>684000</v>
      </c>
      <c r="D723" s="42">
        <v>3420000</v>
      </c>
      <c r="E723" s="33"/>
      <c r="F723" s="25">
        <v>567000</v>
      </c>
      <c r="G723" s="25"/>
      <c r="H723" s="22"/>
      <c r="I723" s="34">
        <f t="shared" ref="I723" si="368">D723-(F723*B723)-G723</f>
        <v>585000</v>
      </c>
      <c r="J723" s="35"/>
      <c r="K723" s="35">
        <f t="shared" ref="K723" si="369">(I723/D723)*100</f>
        <v>17.105263157894736</v>
      </c>
      <c r="L723" s="26"/>
    </row>
    <row r="724" spans="1:12" s="24" customFormat="1" ht="20.100000000000001" customHeight="1" x14ac:dyDescent="0.3">
      <c r="A724" s="43" t="s">
        <v>423</v>
      </c>
      <c r="B724" s="42"/>
      <c r="C724" s="42"/>
      <c r="D724" s="42"/>
      <c r="E724" s="33"/>
      <c r="F724" s="25"/>
      <c r="G724" s="25"/>
      <c r="H724" s="22"/>
      <c r="I724" s="22"/>
      <c r="J724" s="23"/>
      <c r="K724" s="23"/>
      <c r="L724" s="26"/>
    </row>
    <row r="725" spans="1:12" s="24" customFormat="1" ht="20.100000000000001" customHeight="1" x14ac:dyDescent="0.3">
      <c r="A725" s="44" t="s">
        <v>424</v>
      </c>
      <c r="B725" s="42">
        <v>2</v>
      </c>
      <c r="C725" s="42">
        <v>888000</v>
      </c>
      <c r="D725" s="42">
        <v>1776000</v>
      </c>
      <c r="E725" s="33">
        <v>649000</v>
      </c>
      <c r="F725" s="25"/>
      <c r="G725" s="25"/>
      <c r="H725" s="34">
        <f t="shared" ref="H725" si="370">D725-(E725*B725)-G725</f>
        <v>478000</v>
      </c>
      <c r="I725" s="34"/>
      <c r="J725" s="35">
        <f t="shared" ref="J725" si="371">(H725/D725)*100</f>
        <v>26.914414414414416</v>
      </c>
      <c r="K725" s="35"/>
      <c r="L725" s="26"/>
    </row>
    <row r="726" spans="1:12" s="24" customFormat="1" ht="20.100000000000001" customHeight="1" x14ac:dyDescent="0.3">
      <c r="A726" s="43" t="s">
        <v>282</v>
      </c>
      <c r="B726" s="42"/>
      <c r="C726" s="42"/>
      <c r="D726" s="42"/>
      <c r="E726" s="33"/>
      <c r="F726" s="25"/>
      <c r="G726" s="25"/>
      <c r="H726" s="22"/>
      <c r="I726" s="22"/>
      <c r="J726" s="23"/>
      <c r="K726" s="23"/>
      <c r="L726" s="27"/>
    </row>
    <row r="727" spans="1:12" s="24" customFormat="1" ht="20.100000000000001" customHeight="1" x14ac:dyDescent="0.3">
      <c r="A727" s="44" t="s">
        <v>478</v>
      </c>
      <c r="B727" s="42">
        <v>8</v>
      </c>
      <c r="C727" s="42">
        <v>545000</v>
      </c>
      <c r="D727" s="42">
        <v>4360000</v>
      </c>
      <c r="E727" s="33"/>
      <c r="F727" s="25">
        <v>492000</v>
      </c>
      <c r="G727" s="25"/>
      <c r="H727" s="22"/>
      <c r="I727" s="34">
        <f t="shared" ref="I727" si="372">D727-(F727*B727)-G727</f>
        <v>424000</v>
      </c>
      <c r="J727" s="35"/>
      <c r="K727" s="35">
        <f t="shared" ref="K727" si="373">(I727/D727)*100</f>
        <v>9.7247706422018361</v>
      </c>
      <c r="L727" s="27"/>
    </row>
    <row r="728" spans="1:12" s="24" customFormat="1" ht="19.5" customHeight="1" x14ac:dyDescent="0.3">
      <c r="A728" s="43" t="s">
        <v>425</v>
      </c>
      <c r="B728" s="42"/>
      <c r="C728" s="42"/>
      <c r="D728" s="42"/>
      <c r="E728" s="33"/>
      <c r="F728" s="25"/>
      <c r="G728" s="25"/>
      <c r="H728" s="22"/>
      <c r="I728" s="22"/>
      <c r="J728" s="23"/>
      <c r="K728" s="23"/>
      <c r="L728" s="26"/>
    </row>
    <row r="729" spans="1:12" s="24" customFormat="1" ht="20.100000000000001" customHeight="1" x14ac:dyDescent="0.3">
      <c r="A729" s="44" t="s">
        <v>25</v>
      </c>
      <c r="B729" s="42">
        <v>2</v>
      </c>
      <c r="C729" s="42">
        <v>570000</v>
      </c>
      <c r="D729" s="42">
        <v>1140000</v>
      </c>
      <c r="E729" s="33">
        <v>492000</v>
      </c>
      <c r="F729" s="25"/>
      <c r="G729" s="25"/>
      <c r="H729" s="34">
        <f t="shared" ref="H729:H731" si="374">D729-(E729*B729)-G729</f>
        <v>156000</v>
      </c>
      <c r="I729" s="34"/>
      <c r="J729" s="35">
        <f t="shared" ref="J729:J731" si="375">(H729/D729)*100</f>
        <v>13.684210526315791</v>
      </c>
      <c r="K729" s="35"/>
      <c r="L729" s="26"/>
    </row>
    <row r="730" spans="1:12" s="24" customFormat="1" ht="20.100000000000001" customHeight="1" x14ac:dyDescent="0.3">
      <c r="A730" s="44" t="s">
        <v>37</v>
      </c>
      <c r="B730" s="42">
        <v>2</v>
      </c>
      <c r="C730" s="42">
        <v>660000</v>
      </c>
      <c r="D730" s="42">
        <v>1320000</v>
      </c>
      <c r="E730" s="33">
        <v>508000</v>
      </c>
      <c r="F730" s="25"/>
      <c r="G730" s="25"/>
      <c r="H730" s="34">
        <f t="shared" si="374"/>
        <v>304000</v>
      </c>
      <c r="I730" s="34"/>
      <c r="J730" s="35">
        <f t="shared" si="375"/>
        <v>23.030303030303031</v>
      </c>
      <c r="K730" s="35"/>
      <c r="L730" s="26"/>
    </row>
    <row r="731" spans="1:12" s="24" customFormat="1" ht="20.100000000000001" customHeight="1" x14ac:dyDescent="0.3">
      <c r="A731" s="44" t="s">
        <v>106</v>
      </c>
      <c r="B731" s="42">
        <v>2</v>
      </c>
      <c r="C731" s="42">
        <v>660000</v>
      </c>
      <c r="D731" s="42">
        <v>1320000</v>
      </c>
      <c r="E731" s="33">
        <v>520000</v>
      </c>
      <c r="F731" s="25"/>
      <c r="G731" s="25"/>
      <c r="H731" s="34">
        <f t="shared" si="374"/>
        <v>280000</v>
      </c>
      <c r="I731" s="34"/>
      <c r="J731" s="35">
        <f t="shared" si="375"/>
        <v>21.212121212121211</v>
      </c>
      <c r="K731" s="35"/>
      <c r="L731" s="27"/>
    </row>
    <row r="732" spans="1:12" s="24" customFormat="1" ht="20.100000000000001" customHeight="1" x14ac:dyDescent="0.3">
      <c r="A732" s="43" t="s">
        <v>262</v>
      </c>
      <c r="B732" s="42"/>
      <c r="C732" s="42"/>
      <c r="D732" s="42"/>
      <c r="E732" s="33"/>
      <c r="F732" s="25"/>
      <c r="G732" s="25"/>
      <c r="H732" s="22"/>
      <c r="I732" s="22"/>
      <c r="J732" s="23"/>
      <c r="K732" s="23"/>
      <c r="L732" s="26"/>
    </row>
    <row r="733" spans="1:12" s="24" customFormat="1" ht="20.100000000000001" customHeight="1" x14ac:dyDescent="0.3">
      <c r="A733" s="44" t="s">
        <v>167</v>
      </c>
      <c r="B733" s="42">
        <v>10</v>
      </c>
      <c r="C733" s="42">
        <v>66000</v>
      </c>
      <c r="D733" s="42">
        <v>660000</v>
      </c>
      <c r="E733" s="33">
        <v>53900</v>
      </c>
      <c r="F733" s="25"/>
      <c r="G733" s="25"/>
      <c r="H733" s="34">
        <f t="shared" ref="H733:H734" si="376">D733-(E733*B733)-G733</f>
        <v>121000</v>
      </c>
      <c r="I733" s="34"/>
      <c r="J733" s="35">
        <f t="shared" ref="J733:J734" si="377">(H733/D733)*100</f>
        <v>18.333333333333332</v>
      </c>
      <c r="K733" s="35"/>
      <c r="L733" s="27"/>
    </row>
    <row r="734" spans="1:12" s="24" customFormat="1" ht="20.100000000000001" customHeight="1" x14ac:dyDescent="0.3">
      <c r="A734" s="56" t="s">
        <v>483</v>
      </c>
      <c r="B734" s="57">
        <v>2</v>
      </c>
      <c r="C734" s="57">
        <v>444000</v>
      </c>
      <c r="D734" s="57">
        <v>888000</v>
      </c>
      <c r="E734" s="36">
        <v>475000</v>
      </c>
      <c r="F734" s="37"/>
      <c r="G734" s="37"/>
      <c r="H734" s="38">
        <f t="shared" si="376"/>
        <v>-62000</v>
      </c>
      <c r="I734" s="38"/>
      <c r="J734" s="39">
        <f t="shared" si="377"/>
        <v>-6.9819819819819813</v>
      </c>
      <c r="K734" s="39"/>
      <c r="L734" s="41" t="s">
        <v>541</v>
      </c>
    </row>
    <row r="735" spans="1:12" s="24" customFormat="1" ht="20.100000000000001" customHeight="1" x14ac:dyDescent="0.3">
      <c r="A735" s="43" t="s">
        <v>133</v>
      </c>
      <c r="B735" s="42"/>
      <c r="C735" s="42"/>
      <c r="D735" s="42"/>
      <c r="E735" s="33"/>
      <c r="F735" s="25"/>
      <c r="G735" s="25"/>
      <c r="H735" s="22"/>
      <c r="I735" s="22"/>
      <c r="J735" s="23"/>
      <c r="K735" s="23"/>
      <c r="L735" s="27"/>
    </row>
    <row r="736" spans="1:12" s="24" customFormat="1" ht="20.100000000000001" customHeight="1" x14ac:dyDescent="0.3">
      <c r="A736" s="44" t="s">
        <v>134</v>
      </c>
      <c r="B736" s="42">
        <v>2</v>
      </c>
      <c r="C736" s="42">
        <v>840000</v>
      </c>
      <c r="D736" s="42">
        <v>1680000</v>
      </c>
      <c r="E736" s="33">
        <v>623000</v>
      </c>
      <c r="F736" s="25"/>
      <c r="G736" s="25"/>
      <c r="H736" s="34">
        <f t="shared" ref="H736" si="378">D736-(E736*B736)-G736</f>
        <v>434000</v>
      </c>
      <c r="I736" s="34"/>
      <c r="J736" s="35">
        <f t="shared" ref="J736" si="379">(H736/D736)*100</f>
        <v>25.833333333333336</v>
      </c>
      <c r="K736" s="35"/>
      <c r="L736" s="26"/>
    </row>
    <row r="737" spans="1:12" s="24" customFormat="1" ht="20.100000000000001" customHeight="1" x14ac:dyDescent="0.3">
      <c r="A737" s="43" t="s">
        <v>263</v>
      </c>
      <c r="B737" s="42"/>
      <c r="C737" s="42"/>
      <c r="D737" s="42"/>
      <c r="E737" s="33"/>
      <c r="F737" s="25"/>
      <c r="G737" s="25"/>
      <c r="H737" s="22"/>
      <c r="I737" s="22"/>
      <c r="J737" s="23"/>
      <c r="K737" s="23"/>
      <c r="L737" s="26"/>
    </row>
    <row r="738" spans="1:12" s="24" customFormat="1" ht="20.100000000000001" customHeight="1" x14ac:dyDescent="0.3">
      <c r="A738" s="44" t="s">
        <v>37</v>
      </c>
      <c r="B738" s="42">
        <v>4</v>
      </c>
      <c r="C738" s="42">
        <v>636000</v>
      </c>
      <c r="D738" s="42">
        <v>2544000</v>
      </c>
      <c r="E738" s="33">
        <v>508000</v>
      </c>
      <c r="F738" s="25"/>
      <c r="G738" s="25"/>
      <c r="H738" s="34">
        <f t="shared" ref="H738" si="380">D738-(E738*B738)-G738</f>
        <v>512000</v>
      </c>
      <c r="I738" s="34"/>
      <c r="J738" s="35">
        <f t="shared" ref="J738" si="381">(H738/D738)*100</f>
        <v>20.125786163522015</v>
      </c>
      <c r="K738" s="35"/>
      <c r="L738" s="26"/>
    </row>
    <row r="739" spans="1:12" s="24" customFormat="1" ht="20.100000000000001" customHeight="1" x14ac:dyDescent="0.3">
      <c r="A739" s="43" t="s">
        <v>283</v>
      </c>
      <c r="B739" s="42"/>
      <c r="C739" s="42"/>
      <c r="D739" s="42"/>
      <c r="E739" s="33"/>
      <c r="F739" s="25"/>
      <c r="G739" s="25"/>
      <c r="H739" s="22"/>
      <c r="I739" s="22"/>
      <c r="J739" s="23"/>
      <c r="K739" s="23"/>
      <c r="L739" s="26"/>
    </row>
    <row r="740" spans="1:12" s="24" customFormat="1" ht="20.100000000000001" customHeight="1" x14ac:dyDescent="0.3">
      <c r="A740" s="44" t="s">
        <v>37</v>
      </c>
      <c r="B740" s="42">
        <v>4</v>
      </c>
      <c r="C740" s="42">
        <v>650000</v>
      </c>
      <c r="D740" s="42">
        <v>2600000</v>
      </c>
      <c r="E740" s="33">
        <v>508000</v>
      </c>
      <c r="F740" s="25"/>
      <c r="G740" s="25"/>
      <c r="H740" s="34">
        <f t="shared" ref="H740" si="382">D740-(E740*B740)-G740</f>
        <v>568000</v>
      </c>
      <c r="I740" s="34"/>
      <c r="J740" s="35">
        <f t="shared" ref="J740" si="383">(H740/D740)*100</f>
        <v>21.846153846153847</v>
      </c>
      <c r="K740" s="35"/>
      <c r="L740" s="26"/>
    </row>
    <row r="741" spans="1:12" s="24" customFormat="1" ht="20.100000000000001" customHeight="1" x14ac:dyDescent="0.3">
      <c r="A741" s="43" t="s">
        <v>135</v>
      </c>
      <c r="B741" s="42"/>
      <c r="C741" s="42"/>
      <c r="D741" s="42"/>
      <c r="E741" s="33"/>
      <c r="F741" s="25"/>
      <c r="G741" s="25"/>
      <c r="H741" s="22"/>
      <c r="I741" s="22"/>
      <c r="J741" s="23"/>
      <c r="K741" s="23"/>
      <c r="L741" s="26"/>
    </row>
    <row r="742" spans="1:12" s="24" customFormat="1" ht="20.100000000000001" customHeight="1" x14ac:dyDescent="0.3">
      <c r="A742" s="56" t="s">
        <v>101</v>
      </c>
      <c r="B742" s="57">
        <v>15</v>
      </c>
      <c r="C742" s="57">
        <v>47780</v>
      </c>
      <c r="D742" s="57">
        <v>716700</v>
      </c>
      <c r="E742" s="36">
        <v>53900</v>
      </c>
      <c r="F742" s="37"/>
      <c r="G742" s="37"/>
      <c r="H742" s="38">
        <f t="shared" ref="H742:H743" si="384">D742-(E742*B742)-G742</f>
        <v>-91800</v>
      </c>
      <c r="I742" s="38"/>
      <c r="J742" s="39">
        <f t="shared" ref="J742:J743" si="385">(H742/D742)*100</f>
        <v>-12.80870657178736</v>
      </c>
      <c r="K742" s="39"/>
      <c r="L742" s="40" t="s">
        <v>542</v>
      </c>
    </row>
    <row r="743" spans="1:12" s="24" customFormat="1" ht="20.100000000000001" customHeight="1" x14ac:dyDescent="0.3">
      <c r="A743" s="44" t="s">
        <v>136</v>
      </c>
      <c r="B743" s="42">
        <v>4</v>
      </c>
      <c r="C743" s="42">
        <v>1414400</v>
      </c>
      <c r="D743" s="42">
        <v>5657600</v>
      </c>
      <c r="E743" s="33">
        <v>1193000</v>
      </c>
      <c r="F743" s="25"/>
      <c r="G743" s="25"/>
      <c r="H743" s="34">
        <f t="shared" si="384"/>
        <v>885600</v>
      </c>
      <c r="I743" s="34"/>
      <c r="J743" s="35">
        <f t="shared" si="385"/>
        <v>15.653280542986426</v>
      </c>
      <c r="K743" s="35"/>
      <c r="L743" s="27"/>
    </row>
    <row r="744" spans="1:12" s="24" customFormat="1" ht="20.100000000000001" customHeight="1" x14ac:dyDescent="0.3">
      <c r="A744" s="43" t="s">
        <v>426</v>
      </c>
      <c r="B744" s="42"/>
      <c r="C744" s="42"/>
      <c r="D744" s="42"/>
      <c r="E744" s="33"/>
      <c r="F744" s="25"/>
      <c r="G744" s="25"/>
      <c r="H744" s="22"/>
      <c r="I744" s="22"/>
      <c r="J744" s="23"/>
      <c r="K744" s="23"/>
      <c r="L744" s="26"/>
    </row>
    <row r="745" spans="1:12" s="24" customFormat="1" ht="19.5" customHeight="1" x14ac:dyDescent="0.3">
      <c r="A745" s="56" t="s">
        <v>482</v>
      </c>
      <c r="B745" s="57">
        <v>30</v>
      </c>
      <c r="C745" s="57">
        <v>363000</v>
      </c>
      <c r="D745" s="57">
        <v>10890000</v>
      </c>
      <c r="E745" s="36">
        <v>465000</v>
      </c>
      <c r="F745" s="37"/>
      <c r="G745" s="37"/>
      <c r="H745" s="38">
        <f t="shared" ref="H745:H746" si="386">D745-(E745*B745)-G745</f>
        <v>-3060000</v>
      </c>
      <c r="I745" s="38"/>
      <c r="J745" s="39">
        <f t="shared" ref="J745:J746" si="387">(H745/D745)*100</f>
        <v>-28.099173553719009</v>
      </c>
      <c r="K745" s="39"/>
      <c r="L745" s="40" t="s">
        <v>543</v>
      </c>
    </row>
    <row r="746" spans="1:12" s="24" customFormat="1" ht="20.100000000000001" customHeight="1" x14ac:dyDescent="0.3">
      <c r="A746" s="56" t="s">
        <v>484</v>
      </c>
      <c r="B746" s="57">
        <v>10</v>
      </c>
      <c r="C746" s="57">
        <v>3450000</v>
      </c>
      <c r="D746" s="57">
        <v>34500000</v>
      </c>
      <c r="E746" s="36">
        <v>4607000</v>
      </c>
      <c r="F746" s="37"/>
      <c r="G746" s="37"/>
      <c r="H746" s="38">
        <f t="shared" si="386"/>
        <v>-11570000</v>
      </c>
      <c r="I746" s="38"/>
      <c r="J746" s="39">
        <f t="shared" si="387"/>
        <v>-33.536231884057969</v>
      </c>
      <c r="K746" s="39"/>
      <c r="L746" s="40" t="s">
        <v>485</v>
      </c>
    </row>
    <row r="747" spans="1:12" s="24" customFormat="1" ht="20.100000000000001" customHeight="1" x14ac:dyDescent="0.3">
      <c r="A747" s="43" t="s">
        <v>264</v>
      </c>
      <c r="B747" s="42"/>
      <c r="C747" s="42"/>
      <c r="D747" s="42"/>
      <c r="E747" s="33"/>
      <c r="F747" s="25"/>
      <c r="G747" s="25"/>
      <c r="H747" s="22"/>
      <c r="I747" s="22"/>
      <c r="J747" s="23"/>
      <c r="K747" s="23"/>
      <c r="L747" s="26"/>
    </row>
    <row r="748" spans="1:12" s="24" customFormat="1" ht="20.100000000000001" customHeight="1" x14ac:dyDescent="0.3">
      <c r="A748" s="56" t="s">
        <v>535</v>
      </c>
      <c r="B748" s="57">
        <v>2</v>
      </c>
      <c r="C748" s="57">
        <v>477800</v>
      </c>
      <c r="D748" s="57">
        <v>955600</v>
      </c>
      <c r="E748" s="36">
        <v>492000</v>
      </c>
      <c r="F748" s="37"/>
      <c r="G748" s="37"/>
      <c r="H748" s="38">
        <f t="shared" ref="H748:H749" si="388">D748-(E748*B748)-G748</f>
        <v>-28400</v>
      </c>
      <c r="I748" s="38"/>
      <c r="J748" s="39">
        <f t="shared" ref="J748:J749" si="389">(H748/D748)*100</f>
        <v>-2.9719547928003349</v>
      </c>
      <c r="K748" s="39"/>
      <c r="L748" s="41" t="s">
        <v>544</v>
      </c>
    </row>
    <row r="749" spans="1:12" s="24" customFormat="1" ht="20.100000000000001" customHeight="1" x14ac:dyDescent="0.3">
      <c r="A749" s="44" t="s">
        <v>37</v>
      </c>
      <c r="B749" s="42">
        <v>4</v>
      </c>
      <c r="C749" s="42">
        <v>556000</v>
      </c>
      <c r="D749" s="42">
        <v>2224000</v>
      </c>
      <c r="E749" s="33">
        <v>508000</v>
      </c>
      <c r="F749" s="25"/>
      <c r="G749" s="25"/>
      <c r="H749" s="34">
        <f t="shared" si="388"/>
        <v>192000</v>
      </c>
      <c r="I749" s="34"/>
      <c r="J749" s="35">
        <f t="shared" si="389"/>
        <v>8.6330935251798557</v>
      </c>
      <c r="K749" s="35"/>
      <c r="L749" s="26"/>
    </row>
    <row r="750" spans="1:12" s="24" customFormat="1" ht="20.100000000000001" customHeight="1" x14ac:dyDescent="0.3">
      <c r="A750" s="43" t="s">
        <v>105</v>
      </c>
      <c r="B750" s="42"/>
      <c r="C750" s="42"/>
      <c r="D750" s="42"/>
      <c r="E750" s="33"/>
      <c r="F750" s="25"/>
      <c r="G750" s="25"/>
      <c r="H750" s="22"/>
      <c r="I750" s="22"/>
      <c r="J750" s="23"/>
      <c r="K750" s="23"/>
      <c r="L750" s="26"/>
    </row>
    <row r="751" spans="1:12" s="24" customFormat="1" ht="20.100000000000001" customHeight="1" x14ac:dyDescent="0.3">
      <c r="A751" s="44" t="s">
        <v>522</v>
      </c>
      <c r="B751" s="42">
        <v>15</v>
      </c>
      <c r="C751" s="42">
        <v>779000</v>
      </c>
      <c r="D751" s="42">
        <v>11685000</v>
      </c>
      <c r="E751" s="33">
        <v>600000</v>
      </c>
      <c r="F751" s="25"/>
      <c r="G751" s="25"/>
      <c r="H751" s="34">
        <f t="shared" ref="H751:H756" si="390">D751-(E751*B751)-G751</f>
        <v>2685000</v>
      </c>
      <c r="I751" s="34"/>
      <c r="J751" s="35">
        <f t="shared" ref="J751:J756" si="391">(H751/D751)*100</f>
        <v>22.978177150192554</v>
      </c>
      <c r="K751" s="35"/>
      <c r="L751" s="26"/>
    </row>
    <row r="752" spans="1:12" s="24" customFormat="1" ht="20.100000000000001" customHeight="1" x14ac:dyDescent="0.3">
      <c r="A752" s="44" t="s">
        <v>273</v>
      </c>
      <c r="B752" s="42">
        <v>1</v>
      </c>
      <c r="C752" s="42">
        <v>569000</v>
      </c>
      <c r="D752" s="42">
        <v>569000</v>
      </c>
      <c r="E752" s="33">
        <v>520000</v>
      </c>
      <c r="F752" s="25"/>
      <c r="G752" s="25"/>
      <c r="H752" s="34">
        <f t="shared" si="390"/>
        <v>49000</v>
      </c>
      <c r="I752" s="34"/>
      <c r="J752" s="35">
        <f t="shared" si="391"/>
        <v>8.6115992970123028</v>
      </c>
      <c r="K752" s="35"/>
      <c r="L752" s="27"/>
    </row>
    <row r="753" spans="1:12" s="24" customFormat="1" ht="20.100000000000001" customHeight="1" x14ac:dyDescent="0.3">
      <c r="A753" s="44" t="s">
        <v>213</v>
      </c>
      <c r="B753" s="42">
        <v>1</v>
      </c>
      <c r="C753" s="42">
        <v>477800</v>
      </c>
      <c r="D753" s="42">
        <v>477800</v>
      </c>
      <c r="E753" s="33"/>
      <c r="F753" s="25">
        <v>397000</v>
      </c>
      <c r="G753" s="25"/>
      <c r="H753" s="22"/>
      <c r="I753" s="34">
        <f t="shared" ref="I753:I755" si="392">D753-(F753*B753)-G753</f>
        <v>80800</v>
      </c>
      <c r="J753" s="35"/>
      <c r="K753" s="35">
        <f t="shared" ref="K753:K755" si="393">(I753/D753)*100</f>
        <v>16.91084135621599</v>
      </c>
      <c r="L753" s="27"/>
    </row>
    <row r="754" spans="1:12" s="24" customFormat="1" ht="20.100000000000001" customHeight="1" x14ac:dyDescent="0.3">
      <c r="A754" s="44" t="s">
        <v>545</v>
      </c>
      <c r="B754" s="42">
        <v>1</v>
      </c>
      <c r="C754" s="42">
        <v>618600</v>
      </c>
      <c r="D754" s="42">
        <v>618600</v>
      </c>
      <c r="E754" s="33"/>
      <c r="F754" s="25">
        <v>469000</v>
      </c>
      <c r="G754" s="25"/>
      <c r="H754" s="22"/>
      <c r="I754" s="34">
        <f t="shared" si="392"/>
        <v>149600</v>
      </c>
      <c r="J754" s="35"/>
      <c r="K754" s="35">
        <f t="shared" si="393"/>
        <v>24.183640478499839</v>
      </c>
      <c r="L754" s="26"/>
    </row>
    <row r="755" spans="1:12" s="24" customFormat="1" ht="20.100000000000001" customHeight="1" x14ac:dyDescent="0.3">
      <c r="A755" s="44" t="s">
        <v>538</v>
      </c>
      <c r="B755" s="42">
        <v>7</v>
      </c>
      <c r="C755" s="42">
        <v>499000</v>
      </c>
      <c r="D755" s="42">
        <v>3493000</v>
      </c>
      <c r="E755" s="33"/>
      <c r="F755" s="25">
        <v>463000</v>
      </c>
      <c r="G755" s="25"/>
      <c r="H755" s="22"/>
      <c r="I755" s="34">
        <f t="shared" si="392"/>
        <v>252000</v>
      </c>
      <c r="J755" s="35"/>
      <c r="K755" s="35">
        <f t="shared" si="393"/>
        <v>7.214428857715431</v>
      </c>
      <c r="L755" s="27"/>
    </row>
    <row r="756" spans="1:12" s="24" customFormat="1" ht="20.100000000000001" customHeight="1" x14ac:dyDescent="0.3">
      <c r="A756" s="44" t="s">
        <v>106</v>
      </c>
      <c r="B756" s="42">
        <v>2</v>
      </c>
      <c r="C756" s="42">
        <v>658000</v>
      </c>
      <c r="D756" s="42">
        <v>1316000</v>
      </c>
      <c r="E756" s="33">
        <v>520000</v>
      </c>
      <c r="F756" s="25"/>
      <c r="G756" s="25"/>
      <c r="H756" s="34">
        <f t="shared" si="390"/>
        <v>276000</v>
      </c>
      <c r="I756" s="34"/>
      <c r="J756" s="35">
        <f t="shared" si="391"/>
        <v>20.972644376899694</v>
      </c>
      <c r="K756" s="35"/>
      <c r="L756" s="26"/>
    </row>
    <row r="757" spans="1:12" s="24" customFormat="1" ht="20.100000000000001" customHeight="1" x14ac:dyDescent="0.3">
      <c r="A757" s="44" t="s">
        <v>530</v>
      </c>
      <c r="B757" s="42">
        <v>1</v>
      </c>
      <c r="C757" s="42">
        <v>732000</v>
      </c>
      <c r="D757" s="42">
        <v>732000</v>
      </c>
      <c r="E757" s="33"/>
      <c r="F757" s="25">
        <v>490000</v>
      </c>
      <c r="G757" s="25"/>
      <c r="H757" s="34"/>
      <c r="I757" s="34"/>
      <c r="J757" s="35"/>
      <c r="K757" s="35"/>
      <c r="L757" s="26"/>
    </row>
    <row r="758" spans="1:12" s="24" customFormat="1" ht="20.100000000000001" customHeight="1" x14ac:dyDescent="0.3">
      <c r="A758" s="47" t="s">
        <v>16</v>
      </c>
      <c r="B758" s="42"/>
      <c r="C758" s="42"/>
      <c r="D758" s="42"/>
      <c r="E758" s="33"/>
      <c r="F758" s="25"/>
      <c r="G758" s="25"/>
      <c r="H758" s="22"/>
      <c r="I758" s="22"/>
      <c r="J758" s="23"/>
      <c r="K758" s="23"/>
      <c r="L758" s="26"/>
    </row>
    <row r="759" spans="1:12" s="24" customFormat="1" ht="20.100000000000001" customHeight="1" x14ac:dyDescent="0.3">
      <c r="A759" s="43" t="s">
        <v>265</v>
      </c>
      <c r="B759" s="42"/>
      <c r="C759" s="42"/>
      <c r="D759" s="42"/>
      <c r="E759" s="33"/>
      <c r="F759" s="25"/>
      <c r="G759" s="25"/>
      <c r="H759" s="22"/>
      <c r="I759" s="22"/>
      <c r="J759" s="23"/>
      <c r="K759" s="23"/>
      <c r="L759" s="26"/>
    </row>
    <row r="760" spans="1:12" s="24" customFormat="1" ht="20.100000000000001" customHeight="1" x14ac:dyDescent="0.3">
      <c r="A760" s="44" t="s">
        <v>427</v>
      </c>
      <c r="B760" s="42">
        <v>3</v>
      </c>
      <c r="C760" s="42">
        <v>3531000</v>
      </c>
      <c r="D760" s="42">
        <v>10593000</v>
      </c>
      <c r="E760" s="33">
        <v>2602000</v>
      </c>
      <c r="F760" s="25"/>
      <c r="G760" s="25"/>
      <c r="H760" s="34">
        <f t="shared" ref="H760" si="394">D760-(E760*B760)-G760</f>
        <v>2787000</v>
      </c>
      <c r="I760" s="34"/>
      <c r="J760" s="35">
        <f t="shared" ref="J760" si="395">(H760/D760)*100</f>
        <v>26.309827244406687</v>
      </c>
      <c r="K760" s="35"/>
      <c r="L760" s="27"/>
    </row>
    <row r="761" spans="1:12" s="24" customFormat="1" ht="20.100000000000001" customHeight="1" x14ac:dyDescent="0.3">
      <c r="A761" s="43" t="s">
        <v>84</v>
      </c>
      <c r="B761" s="42"/>
      <c r="C761" s="42"/>
      <c r="D761" s="42"/>
      <c r="E761" s="33"/>
      <c r="F761" s="25"/>
      <c r="G761" s="25"/>
      <c r="H761" s="22"/>
      <c r="I761" s="22"/>
      <c r="J761" s="23"/>
      <c r="K761" s="23"/>
      <c r="L761" s="26"/>
    </row>
    <row r="762" spans="1:12" s="24" customFormat="1" ht="20.100000000000001" customHeight="1" x14ac:dyDescent="0.3">
      <c r="A762" s="44" t="s">
        <v>277</v>
      </c>
      <c r="B762" s="42">
        <v>3</v>
      </c>
      <c r="C762" s="42">
        <v>91600</v>
      </c>
      <c r="D762" s="42">
        <v>274800</v>
      </c>
      <c r="E762" s="33">
        <v>74600</v>
      </c>
      <c r="F762" s="25"/>
      <c r="G762" s="25"/>
      <c r="H762" s="34">
        <f t="shared" ref="H762:H767" si="396">D762-(E762*B762)-G762</f>
        <v>51000</v>
      </c>
      <c r="I762" s="34"/>
      <c r="J762" s="35">
        <f t="shared" ref="J762:J767" si="397">(H762/D762)*100</f>
        <v>18.5589519650655</v>
      </c>
      <c r="K762" s="35"/>
      <c r="L762" s="26"/>
    </row>
    <row r="763" spans="1:12" s="24" customFormat="1" ht="20.100000000000001" customHeight="1" x14ac:dyDescent="0.3">
      <c r="A763" s="44" t="s">
        <v>125</v>
      </c>
      <c r="B763" s="42">
        <v>4</v>
      </c>
      <c r="C763" s="42">
        <v>97500</v>
      </c>
      <c r="D763" s="42">
        <v>390000</v>
      </c>
      <c r="E763" s="33">
        <v>66900</v>
      </c>
      <c r="F763" s="25"/>
      <c r="G763" s="25"/>
      <c r="H763" s="34">
        <f t="shared" si="396"/>
        <v>122400</v>
      </c>
      <c r="I763" s="34"/>
      <c r="J763" s="35">
        <f t="shared" si="397"/>
        <v>31.384615384615383</v>
      </c>
      <c r="K763" s="35"/>
      <c r="L763" s="26"/>
    </row>
    <row r="764" spans="1:12" s="24" customFormat="1" ht="20.100000000000001" customHeight="1" x14ac:dyDescent="0.3">
      <c r="A764" s="44" t="s">
        <v>116</v>
      </c>
      <c r="B764" s="42">
        <v>5</v>
      </c>
      <c r="C764" s="42">
        <v>82500</v>
      </c>
      <c r="D764" s="42">
        <v>412500</v>
      </c>
      <c r="E764" s="33">
        <v>72300</v>
      </c>
      <c r="F764" s="25"/>
      <c r="G764" s="25"/>
      <c r="H764" s="34">
        <f t="shared" si="396"/>
        <v>51000</v>
      </c>
      <c r="I764" s="34"/>
      <c r="J764" s="35">
        <f t="shared" si="397"/>
        <v>12.363636363636363</v>
      </c>
      <c r="K764" s="35"/>
      <c r="L764" s="26"/>
    </row>
    <row r="765" spans="1:12" s="24" customFormat="1" ht="20.100000000000001" customHeight="1" x14ac:dyDescent="0.3">
      <c r="A765" s="44" t="s">
        <v>37</v>
      </c>
      <c r="B765" s="42">
        <v>3</v>
      </c>
      <c r="C765" s="42">
        <v>643600</v>
      </c>
      <c r="D765" s="42">
        <v>1930800</v>
      </c>
      <c r="E765" s="33">
        <v>508000</v>
      </c>
      <c r="F765" s="25"/>
      <c r="G765" s="25"/>
      <c r="H765" s="34">
        <f t="shared" si="396"/>
        <v>406800</v>
      </c>
      <c r="I765" s="34"/>
      <c r="J765" s="35">
        <f t="shared" si="397"/>
        <v>21.068986948415162</v>
      </c>
      <c r="K765" s="35"/>
      <c r="L765" s="26"/>
    </row>
    <row r="766" spans="1:12" s="24" customFormat="1" ht="20.100000000000001" customHeight="1" x14ac:dyDescent="0.3">
      <c r="A766" s="44" t="s">
        <v>106</v>
      </c>
      <c r="B766" s="42">
        <v>1</v>
      </c>
      <c r="C766" s="42">
        <v>728900</v>
      </c>
      <c r="D766" s="42">
        <v>728900</v>
      </c>
      <c r="E766" s="33">
        <v>520000</v>
      </c>
      <c r="F766" s="25"/>
      <c r="G766" s="25"/>
      <c r="H766" s="34">
        <f t="shared" si="396"/>
        <v>208900</v>
      </c>
      <c r="I766" s="34"/>
      <c r="J766" s="35">
        <f t="shared" si="397"/>
        <v>28.65962409109617</v>
      </c>
      <c r="K766" s="35"/>
      <c r="L766" s="26"/>
    </row>
    <row r="767" spans="1:12" s="24" customFormat="1" ht="20.100000000000001" customHeight="1" x14ac:dyDescent="0.3">
      <c r="A767" s="44" t="s">
        <v>523</v>
      </c>
      <c r="B767" s="42">
        <v>13</v>
      </c>
      <c r="C767" s="42">
        <v>920000</v>
      </c>
      <c r="D767" s="42">
        <v>11960000</v>
      </c>
      <c r="E767" s="33">
        <v>840000</v>
      </c>
      <c r="F767" s="25"/>
      <c r="G767" s="25"/>
      <c r="H767" s="34">
        <f t="shared" si="396"/>
        <v>1040000</v>
      </c>
      <c r="I767" s="34"/>
      <c r="J767" s="35">
        <f t="shared" si="397"/>
        <v>8.695652173913043</v>
      </c>
      <c r="K767" s="35"/>
      <c r="L767" s="26"/>
    </row>
    <row r="768" spans="1:12" s="24" customFormat="1" ht="20.100000000000001" customHeight="1" x14ac:dyDescent="0.3">
      <c r="A768" s="43" t="s">
        <v>319</v>
      </c>
      <c r="B768" s="42"/>
      <c r="C768" s="42"/>
      <c r="D768" s="42"/>
      <c r="E768" s="33"/>
      <c r="F768" s="25"/>
      <c r="G768" s="25"/>
      <c r="H768" s="22"/>
      <c r="I768" s="22"/>
      <c r="J768" s="23"/>
      <c r="K768" s="23"/>
      <c r="L768" s="26"/>
    </row>
    <row r="769" spans="1:12" s="24" customFormat="1" ht="20.100000000000001" customHeight="1" x14ac:dyDescent="0.3">
      <c r="A769" s="44" t="s">
        <v>546</v>
      </c>
      <c r="B769" s="42">
        <v>10</v>
      </c>
      <c r="C769" s="42">
        <v>654800</v>
      </c>
      <c r="D769" s="42">
        <v>6548000</v>
      </c>
      <c r="E769" s="33"/>
      <c r="F769" s="25">
        <v>583000</v>
      </c>
      <c r="G769" s="25"/>
      <c r="H769" s="22"/>
      <c r="I769" s="34">
        <f t="shared" ref="I769:I770" si="398">D769-(F769*B769)-G769</f>
        <v>718000</v>
      </c>
      <c r="J769" s="35"/>
      <c r="K769" s="35">
        <f t="shared" ref="K769:K770" si="399">(I769/D769)*100</f>
        <v>10.965180207697006</v>
      </c>
      <c r="L769" s="27"/>
    </row>
    <row r="770" spans="1:12" s="24" customFormat="1" ht="20.100000000000001" customHeight="1" x14ac:dyDescent="0.3">
      <c r="A770" s="44" t="s">
        <v>547</v>
      </c>
      <c r="B770" s="42">
        <v>8</v>
      </c>
      <c r="C770" s="42">
        <v>654800</v>
      </c>
      <c r="D770" s="42">
        <v>5238400</v>
      </c>
      <c r="E770" s="33"/>
      <c r="F770" s="25">
        <v>594000</v>
      </c>
      <c r="G770" s="25"/>
      <c r="H770" s="22"/>
      <c r="I770" s="34">
        <f t="shared" si="398"/>
        <v>486400</v>
      </c>
      <c r="J770" s="35"/>
      <c r="K770" s="35">
        <f t="shared" si="399"/>
        <v>9.2852779474648752</v>
      </c>
      <c r="L770" s="26"/>
    </row>
    <row r="771" spans="1:12" s="24" customFormat="1" ht="20.100000000000001" customHeight="1" x14ac:dyDescent="0.3">
      <c r="A771" s="43" t="s">
        <v>86</v>
      </c>
      <c r="B771" s="42"/>
      <c r="C771" s="42"/>
      <c r="D771" s="42"/>
      <c r="E771" s="33"/>
      <c r="F771" s="25"/>
      <c r="G771" s="25"/>
      <c r="H771" s="22"/>
      <c r="I771" s="22"/>
      <c r="J771" s="23"/>
      <c r="K771" s="23"/>
      <c r="L771" s="26"/>
    </row>
    <row r="772" spans="1:12" s="24" customFormat="1" ht="20.100000000000001" customHeight="1" x14ac:dyDescent="0.3">
      <c r="A772" s="44" t="s">
        <v>63</v>
      </c>
      <c r="B772" s="42">
        <v>2</v>
      </c>
      <c r="C772" s="42">
        <v>77000</v>
      </c>
      <c r="D772" s="42">
        <v>154000</v>
      </c>
      <c r="E772" s="33">
        <v>58400</v>
      </c>
      <c r="F772" s="25"/>
      <c r="G772" s="25"/>
      <c r="H772" s="34">
        <f t="shared" ref="H772:H786" si="400">D772-(E772*B772)-G772</f>
        <v>37200</v>
      </c>
      <c r="I772" s="34"/>
      <c r="J772" s="35">
        <f t="shared" ref="J772:J786" si="401">(H772/D772)*100</f>
        <v>24.155844155844157</v>
      </c>
      <c r="K772" s="35"/>
      <c r="L772" s="26"/>
    </row>
    <row r="773" spans="1:12" s="24" customFormat="1" ht="20.100000000000001" customHeight="1" x14ac:dyDescent="0.3">
      <c r="A773" s="44" t="s">
        <v>101</v>
      </c>
      <c r="B773" s="42">
        <v>3</v>
      </c>
      <c r="C773" s="42">
        <v>63000</v>
      </c>
      <c r="D773" s="42">
        <v>189000</v>
      </c>
      <c r="E773" s="33">
        <v>53900</v>
      </c>
      <c r="F773" s="25"/>
      <c r="G773" s="25"/>
      <c r="H773" s="34">
        <f t="shared" si="400"/>
        <v>27300</v>
      </c>
      <c r="I773" s="34"/>
      <c r="J773" s="35">
        <f t="shared" si="401"/>
        <v>14.444444444444443</v>
      </c>
      <c r="K773" s="35"/>
      <c r="L773" s="26"/>
    </row>
    <row r="774" spans="1:12" s="24" customFormat="1" ht="20.100000000000001" customHeight="1" x14ac:dyDescent="0.3">
      <c r="A774" s="44" t="s">
        <v>428</v>
      </c>
      <c r="B774" s="42">
        <v>2</v>
      </c>
      <c r="C774" s="42">
        <v>912000</v>
      </c>
      <c r="D774" s="42">
        <v>1824000</v>
      </c>
      <c r="E774" s="33">
        <v>645000</v>
      </c>
      <c r="F774" s="25"/>
      <c r="G774" s="25"/>
      <c r="H774" s="34">
        <f t="shared" si="400"/>
        <v>534000</v>
      </c>
      <c r="I774" s="34"/>
      <c r="J774" s="35">
        <f t="shared" si="401"/>
        <v>29.276315789473685</v>
      </c>
      <c r="K774" s="35"/>
      <c r="L774" s="26"/>
    </row>
    <row r="775" spans="1:12" s="24" customFormat="1" ht="20.100000000000001" customHeight="1" x14ac:dyDescent="0.3">
      <c r="A775" s="44" t="s">
        <v>44</v>
      </c>
      <c r="B775" s="42">
        <v>2</v>
      </c>
      <c r="C775" s="42">
        <v>93000</v>
      </c>
      <c r="D775" s="42">
        <v>186000</v>
      </c>
      <c r="E775" s="33">
        <v>83600</v>
      </c>
      <c r="F775" s="25"/>
      <c r="G775" s="25"/>
      <c r="H775" s="34">
        <f t="shared" si="400"/>
        <v>18800</v>
      </c>
      <c r="I775" s="34"/>
      <c r="J775" s="35">
        <f t="shared" si="401"/>
        <v>10.10752688172043</v>
      </c>
      <c r="K775" s="35"/>
      <c r="L775" s="26"/>
    </row>
    <row r="776" spans="1:12" s="24" customFormat="1" ht="20.100000000000001" customHeight="1" x14ac:dyDescent="0.3">
      <c r="A776" s="44" t="s">
        <v>146</v>
      </c>
      <c r="B776" s="42">
        <v>2</v>
      </c>
      <c r="C776" s="42">
        <v>93000</v>
      </c>
      <c r="D776" s="42">
        <v>186000</v>
      </c>
      <c r="E776" s="33">
        <v>69100</v>
      </c>
      <c r="F776" s="25"/>
      <c r="G776" s="25"/>
      <c r="H776" s="34">
        <f t="shared" si="400"/>
        <v>47800</v>
      </c>
      <c r="I776" s="34"/>
      <c r="J776" s="35">
        <f t="shared" si="401"/>
        <v>25.6989247311828</v>
      </c>
      <c r="K776" s="35"/>
      <c r="L776" s="27"/>
    </row>
    <row r="777" spans="1:12" s="24" customFormat="1" ht="20.100000000000001" customHeight="1" x14ac:dyDescent="0.3">
      <c r="A777" s="44" t="s">
        <v>280</v>
      </c>
      <c r="B777" s="42">
        <v>2</v>
      </c>
      <c r="C777" s="42">
        <v>96000</v>
      </c>
      <c r="D777" s="42">
        <v>192000</v>
      </c>
      <c r="E777" s="33">
        <v>70900</v>
      </c>
      <c r="F777" s="25"/>
      <c r="G777" s="25"/>
      <c r="H777" s="34">
        <f t="shared" si="400"/>
        <v>50200</v>
      </c>
      <c r="I777" s="34"/>
      <c r="J777" s="35">
        <f t="shared" si="401"/>
        <v>26.145833333333336</v>
      </c>
      <c r="K777" s="35"/>
      <c r="L777" s="26"/>
    </row>
    <row r="778" spans="1:12" s="24" customFormat="1" ht="20.100000000000001" customHeight="1" x14ac:dyDescent="0.3">
      <c r="A778" s="44" t="s">
        <v>165</v>
      </c>
      <c r="B778" s="42">
        <v>14</v>
      </c>
      <c r="C778" s="42">
        <v>137600</v>
      </c>
      <c r="D778" s="42">
        <v>1926400</v>
      </c>
      <c r="E778" s="33">
        <v>120000</v>
      </c>
      <c r="F778" s="25"/>
      <c r="G778" s="25"/>
      <c r="H778" s="34">
        <f t="shared" si="400"/>
        <v>246400</v>
      </c>
      <c r="I778" s="34"/>
      <c r="J778" s="35">
        <f t="shared" si="401"/>
        <v>12.790697674418606</v>
      </c>
      <c r="K778" s="35"/>
      <c r="L778" s="26"/>
    </row>
    <row r="779" spans="1:12" s="24" customFormat="1" ht="20.100000000000001" customHeight="1" x14ac:dyDescent="0.3">
      <c r="A779" s="44" t="s">
        <v>97</v>
      </c>
      <c r="B779" s="42">
        <v>5</v>
      </c>
      <c r="C779" s="42">
        <v>369930</v>
      </c>
      <c r="D779" s="42">
        <v>1849650</v>
      </c>
      <c r="E779" s="33">
        <v>287000</v>
      </c>
      <c r="F779" s="25"/>
      <c r="G779" s="25"/>
      <c r="H779" s="34">
        <f t="shared" si="400"/>
        <v>414650</v>
      </c>
      <c r="I779" s="34"/>
      <c r="J779" s="35">
        <f t="shared" si="401"/>
        <v>22.417754710350607</v>
      </c>
      <c r="K779" s="35"/>
      <c r="L779" s="27"/>
    </row>
    <row r="780" spans="1:12" s="24" customFormat="1" ht="20.100000000000001" customHeight="1" x14ac:dyDescent="0.3">
      <c r="A780" s="44" t="s">
        <v>429</v>
      </c>
      <c r="B780" s="42">
        <v>2</v>
      </c>
      <c r="C780" s="42">
        <v>380160</v>
      </c>
      <c r="D780" s="42">
        <v>760320</v>
      </c>
      <c r="E780" s="33">
        <v>318000</v>
      </c>
      <c r="F780" s="25"/>
      <c r="G780" s="25"/>
      <c r="H780" s="34">
        <f t="shared" si="400"/>
        <v>124320</v>
      </c>
      <c r="I780" s="34"/>
      <c r="J780" s="35">
        <f t="shared" si="401"/>
        <v>16.351010101010104</v>
      </c>
      <c r="K780" s="35"/>
      <c r="L780" s="27"/>
    </row>
    <row r="781" spans="1:12" s="24" customFormat="1" ht="19.5" customHeight="1" x14ac:dyDescent="0.3">
      <c r="A781" s="44" t="s">
        <v>338</v>
      </c>
      <c r="B781" s="42">
        <v>2</v>
      </c>
      <c r="C781" s="42">
        <v>457600</v>
      </c>
      <c r="D781" s="42">
        <v>915200</v>
      </c>
      <c r="E781" s="33">
        <v>352000</v>
      </c>
      <c r="F781" s="25"/>
      <c r="G781" s="25"/>
      <c r="H781" s="34">
        <f t="shared" si="400"/>
        <v>211200</v>
      </c>
      <c r="I781" s="34"/>
      <c r="J781" s="35">
        <f t="shared" si="401"/>
        <v>23.076923076923077</v>
      </c>
      <c r="K781" s="35"/>
      <c r="L781" s="26"/>
    </row>
    <row r="782" spans="1:12" s="24" customFormat="1" ht="20.100000000000001" customHeight="1" x14ac:dyDescent="0.3">
      <c r="A782" s="44" t="s">
        <v>430</v>
      </c>
      <c r="B782" s="42">
        <v>5</v>
      </c>
      <c r="C782" s="42">
        <v>385000</v>
      </c>
      <c r="D782" s="42">
        <v>1925000</v>
      </c>
      <c r="E782" s="33">
        <v>361000</v>
      </c>
      <c r="F782" s="25"/>
      <c r="G782" s="25"/>
      <c r="H782" s="34">
        <f t="shared" si="400"/>
        <v>120000</v>
      </c>
      <c r="I782" s="34"/>
      <c r="J782" s="35">
        <f t="shared" si="401"/>
        <v>6.2337662337662341</v>
      </c>
      <c r="K782" s="35"/>
      <c r="L782" s="26"/>
    </row>
    <row r="783" spans="1:12" s="24" customFormat="1" ht="20.100000000000001" customHeight="1" x14ac:dyDescent="0.3">
      <c r="A783" s="44" t="s">
        <v>244</v>
      </c>
      <c r="B783" s="42">
        <v>2</v>
      </c>
      <c r="C783" s="42">
        <v>373200</v>
      </c>
      <c r="D783" s="42">
        <v>746400</v>
      </c>
      <c r="E783" s="33">
        <v>355000</v>
      </c>
      <c r="F783" s="25"/>
      <c r="G783" s="25"/>
      <c r="H783" s="34">
        <f t="shared" si="400"/>
        <v>36400</v>
      </c>
      <c r="I783" s="34"/>
      <c r="J783" s="35">
        <f t="shared" si="401"/>
        <v>4.876741693461951</v>
      </c>
      <c r="K783" s="35"/>
      <c r="L783" s="26"/>
    </row>
    <row r="784" spans="1:12" s="24" customFormat="1" ht="20.100000000000001" customHeight="1" x14ac:dyDescent="0.3">
      <c r="A784" s="44" t="s">
        <v>129</v>
      </c>
      <c r="B784" s="42">
        <v>2</v>
      </c>
      <c r="C784" s="42">
        <v>106000</v>
      </c>
      <c r="D784" s="42">
        <v>212000</v>
      </c>
      <c r="E784" s="33">
        <v>81000</v>
      </c>
      <c r="F784" s="25"/>
      <c r="G784" s="25"/>
      <c r="H784" s="34">
        <f t="shared" si="400"/>
        <v>50000</v>
      </c>
      <c r="I784" s="34"/>
      <c r="J784" s="35">
        <f t="shared" si="401"/>
        <v>23.584905660377359</v>
      </c>
      <c r="K784" s="35"/>
      <c r="L784" s="27"/>
    </row>
    <row r="785" spans="1:12" s="24" customFormat="1" ht="20.100000000000001" customHeight="1" x14ac:dyDescent="0.3">
      <c r="A785" s="44" t="s">
        <v>112</v>
      </c>
      <c r="B785" s="42">
        <v>2</v>
      </c>
      <c r="C785" s="42">
        <v>106000</v>
      </c>
      <c r="D785" s="42">
        <v>212000</v>
      </c>
      <c r="E785" s="33">
        <v>81000</v>
      </c>
      <c r="F785" s="25"/>
      <c r="G785" s="25"/>
      <c r="H785" s="34">
        <f t="shared" si="400"/>
        <v>50000</v>
      </c>
      <c r="I785" s="34"/>
      <c r="J785" s="35">
        <f t="shared" si="401"/>
        <v>23.584905660377359</v>
      </c>
      <c r="K785" s="35"/>
      <c r="L785" s="26"/>
    </row>
    <row r="786" spans="1:12" s="24" customFormat="1" ht="20.100000000000001" customHeight="1" x14ac:dyDescent="0.3">
      <c r="A786" s="44" t="s">
        <v>524</v>
      </c>
      <c r="B786" s="42">
        <v>2</v>
      </c>
      <c r="C786" s="42">
        <v>84000</v>
      </c>
      <c r="D786" s="42">
        <v>168000</v>
      </c>
      <c r="E786" s="33">
        <v>53000</v>
      </c>
      <c r="F786" s="25"/>
      <c r="G786" s="25"/>
      <c r="H786" s="34">
        <f t="shared" si="400"/>
        <v>62000</v>
      </c>
      <c r="I786" s="34"/>
      <c r="J786" s="35">
        <f t="shared" si="401"/>
        <v>36.904761904761905</v>
      </c>
      <c r="K786" s="35"/>
      <c r="L786" s="26"/>
    </row>
    <row r="787" spans="1:12" s="24" customFormat="1" ht="20.100000000000001" customHeight="1" x14ac:dyDescent="0.3">
      <c r="A787" s="43" t="s">
        <v>431</v>
      </c>
      <c r="B787" s="42"/>
      <c r="C787" s="42"/>
      <c r="D787" s="42"/>
      <c r="E787" s="33"/>
      <c r="F787" s="25"/>
      <c r="G787" s="25"/>
      <c r="H787" s="22"/>
      <c r="I787" s="22"/>
      <c r="J787" s="23"/>
      <c r="K787" s="23"/>
      <c r="L787" s="27"/>
    </row>
    <row r="788" spans="1:12" s="24" customFormat="1" ht="20.100000000000001" customHeight="1" x14ac:dyDescent="0.3">
      <c r="A788" s="44" t="s">
        <v>230</v>
      </c>
      <c r="B788" s="42">
        <v>6</v>
      </c>
      <c r="C788" s="42">
        <v>98000</v>
      </c>
      <c r="D788" s="42">
        <v>588000</v>
      </c>
      <c r="E788" s="33">
        <v>71700</v>
      </c>
      <c r="F788" s="25"/>
      <c r="G788" s="25"/>
      <c r="H788" s="34">
        <f t="shared" ref="H788" si="402">D788-(E788*B788)-G788</f>
        <v>157800</v>
      </c>
      <c r="I788" s="34"/>
      <c r="J788" s="35">
        <f t="shared" ref="J788" si="403">(H788/D788)*100</f>
        <v>26.836734693877553</v>
      </c>
      <c r="K788" s="35"/>
      <c r="L788" s="27"/>
    </row>
    <row r="789" spans="1:12" s="24" customFormat="1" ht="20.100000000000001" customHeight="1" x14ac:dyDescent="0.3">
      <c r="A789" s="43" t="s">
        <v>79</v>
      </c>
      <c r="B789" s="42"/>
      <c r="C789" s="42"/>
      <c r="D789" s="42"/>
      <c r="E789" s="33"/>
      <c r="F789" s="25"/>
      <c r="G789" s="25"/>
      <c r="H789" s="22"/>
      <c r="I789" s="22"/>
      <c r="J789" s="23"/>
      <c r="K789" s="23"/>
      <c r="L789" s="27"/>
    </row>
    <row r="790" spans="1:12" s="24" customFormat="1" ht="20.100000000000001" customHeight="1" x14ac:dyDescent="0.3">
      <c r="A790" s="44" t="s">
        <v>173</v>
      </c>
      <c r="B790" s="42">
        <v>1</v>
      </c>
      <c r="C790" s="42">
        <v>560400</v>
      </c>
      <c r="D790" s="42">
        <v>560400</v>
      </c>
      <c r="E790" s="33">
        <v>492000</v>
      </c>
      <c r="F790" s="25"/>
      <c r="G790" s="25"/>
      <c r="H790" s="34">
        <f t="shared" ref="H790:H792" si="404">D790-(E790*B790)-G790</f>
        <v>68400</v>
      </c>
      <c r="I790" s="34"/>
      <c r="J790" s="35">
        <f t="shared" ref="J790:J792" si="405">(H790/D790)*100</f>
        <v>12.205567451820128</v>
      </c>
      <c r="K790" s="35"/>
      <c r="L790" s="26"/>
    </row>
    <row r="791" spans="1:12" s="24" customFormat="1" ht="20.100000000000001" customHeight="1" x14ac:dyDescent="0.3">
      <c r="A791" s="44" t="s">
        <v>517</v>
      </c>
      <c r="B791" s="42">
        <v>3</v>
      </c>
      <c r="C791" s="42">
        <v>808800</v>
      </c>
      <c r="D791" s="42">
        <v>2426400</v>
      </c>
      <c r="E791" s="33">
        <v>728000</v>
      </c>
      <c r="F791" s="25"/>
      <c r="G791" s="25"/>
      <c r="H791" s="34">
        <f t="shared" si="404"/>
        <v>242400</v>
      </c>
      <c r="I791" s="34"/>
      <c r="J791" s="35">
        <f t="shared" si="405"/>
        <v>9.9901088031651835</v>
      </c>
      <c r="K791" s="35"/>
      <c r="L791" s="26"/>
    </row>
    <row r="792" spans="1:12" s="24" customFormat="1" ht="20.100000000000001" customHeight="1" x14ac:dyDescent="0.3">
      <c r="A792" s="44" t="s">
        <v>54</v>
      </c>
      <c r="B792" s="42">
        <v>2</v>
      </c>
      <c r="C792" s="42">
        <v>79300</v>
      </c>
      <c r="D792" s="42">
        <v>158600</v>
      </c>
      <c r="E792" s="33">
        <v>55700</v>
      </c>
      <c r="F792" s="25"/>
      <c r="G792" s="25"/>
      <c r="H792" s="34">
        <f t="shared" si="404"/>
        <v>47200</v>
      </c>
      <c r="I792" s="34"/>
      <c r="J792" s="35">
        <f t="shared" si="405"/>
        <v>29.760403530895335</v>
      </c>
      <c r="K792" s="35"/>
      <c r="L792" s="27"/>
    </row>
    <row r="793" spans="1:12" s="24" customFormat="1" ht="19.5" customHeight="1" x14ac:dyDescent="0.3">
      <c r="A793" s="43" t="s">
        <v>432</v>
      </c>
      <c r="B793" s="42"/>
      <c r="C793" s="42"/>
      <c r="D793" s="42"/>
      <c r="E793" s="33"/>
      <c r="F793" s="25"/>
      <c r="G793" s="25"/>
      <c r="H793" s="22"/>
      <c r="I793" s="22"/>
      <c r="J793" s="23"/>
      <c r="K793" s="23"/>
      <c r="L793" s="26"/>
    </row>
    <row r="794" spans="1:12" s="24" customFormat="1" ht="20.100000000000001" customHeight="1" x14ac:dyDescent="0.3">
      <c r="A794" s="56" t="s">
        <v>482</v>
      </c>
      <c r="B794" s="57">
        <v>140</v>
      </c>
      <c r="C794" s="57">
        <v>371520</v>
      </c>
      <c r="D794" s="57">
        <v>52012800</v>
      </c>
      <c r="E794" s="36">
        <v>465000</v>
      </c>
      <c r="F794" s="37"/>
      <c r="G794" s="37"/>
      <c r="H794" s="38">
        <f t="shared" ref="H794" si="406">D794-(E794*B794)-G794</f>
        <v>-13087200</v>
      </c>
      <c r="I794" s="38"/>
      <c r="J794" s="39">
        <f t="shared" ref="J794" si="407">(H794/D794)*100</f>
        <v>-25.161498708010338</v>
      </c>
      <c r="K794" s="39"/>
      <c r="L794" s="40" t="s">
        <v>486</v>
      </c>
    </row>
    <row r="795" spans="1:12" s="24" customFormat="1" ht="20.100000000000001" customHeight="1" x14ac:dyDescent="0.3">
      <c r="A795" s="43" t="s">
        <v>137</v>
      </c>
      <c r="B795" s="42"/>
      <c r="C795" s="42"/>
      <c r="D795" s="42"/>
      <c r="E795" s="33"/>
      <c r="F795" s="25"/>
      <c r="G795" s="25"/>
      <c r="H795" s="22"/>
      <c r="I795" s="22"/>
      <c r="J795" s="23"/>
      <c r="K795" s="23"/>
      <c r="L795" s="26"/>
    </row>
    <row r="796" spans="1:12" s="24" customFormat="1" ht="20.100000000000001" customHeight="1" x14ac:dyDescent="0.3">
      <c r="A796" s="44" t="s">
        <v>134</v>
      </c>
      <c r="B796" s="42">
        <v>4</v>
      </c>
      <c r="C796" s="42">
        <v>754000</v>
      </c>
      <c r="D796" s="42">
        <v>3016000</v>
      </c>
      <c r="E796" s="33">
        <v>623000</v>
      </c>
      <c r="F796" s="25"/>
      <c r="G796" s="25"/>
      <c r="H796" s="34">
        <f t="shared" ref="H796:H798" si="408">D796-(E796*B796)-G796</f>
        <v>524000</v>
      </c>
      <c r="I796" s="34"/>
      <c r="J796" s="35">
        <f t="shared" ref="J796:J798" si="409">(H796/D796)*100</f>
        <v>17.374005305039788</v>
      </c>
      <c r="K796" s="35"/>
      <c r="L796" s="27"/>
    </row>
    <row r="797" spans="1:12" s="24" customFormat="1" ht="20.100000000000001" customHeight="1" x14ac:dyDescent="0.3">
      <c r="A797" s="44" t="s">
        <v>214</v>
      </c>
      <c r="B797" s="42">
        <v>1</v>
      </c>
      <c r="C797" s="42">
        <v>754000</v>
      </c>
      <c r="D797" s="42">
        <v>754000</v>
      </c>
      <c r="E797" s="33">
        <v>623000</v>
      </c>
      <c r="F797" s="25"/>
      <c r="G797" s="25"/>
      <c r="H797" s="34">
        <f t="shared" si="408"/>
        <v>131000</v>
      </c>
      <c r="I797" s="34"/>
      <c r="J797" s="35">
        <f t="shared" si="409"/>
        <v>17.374005305039788</v>
      </c>
      <c r="K797" s="35"/>
      <c r="L797" s="27"/>
    </row>
    <row r="798" spans="1:12" s="24" customFormat="1" ht="20.100000000000001" customHeight="1" x14ac:dyDescent="0.3">
      <c r="A798" s="44" t="s">
        <v>215</v>
      </c>
      <c r="B798" s="42">
        <v>1</v>
      </c>
      <c r="C798" s="42">
        <v>725000</v>
      </c>
      <c r="D798" s="42">
        <v>725000</v>
      </c>
      <c r="E798" s="33">
        <v>654000</v>
      </c>
      <c r="F798" s="25"/>
      <c r="G798" s="25"/>
      <c r="H798" s="34">
        <f t="shared" si="408"/>
        <v>71000</v>
      </c>
      <c r="I798" s="34"/>
      <c r="J798" s="35">
        <f t="shared" si="409"/>
        <v>9.793103448275863</v>
      </c>
      <c r="K798" s="35"/>
      <c r="L798" s="26"/>
    </row>
    <row r="799" spans="1:12" s="24" customFormat="1" ht="20.100000000000001" customHeight="1" x14ac:dyDescent="0.3">
      <c r="A799" s="47" t="s">
        <v>216</v>
      </c>
      <c r="B799" s="42"/>
      <c r="C799" s="42"/>
      <c r="D799" s="42"/>
      <c r="E799" s="33"/>
      <c r="F799" s="25"/>
      <c r="G799" s="25"/>
      <c r="H799" s="22"/>
      <c r="I799" s="22"/>
      <c r="J799" s="23"/>
      <c r="K799" s="23"/>
      <c r="L799" s="26"/>
    </row>
    <row r="800" spans="1:12" s="24" customFormat="1" ht="20.100000000000001" customHeight="1" x14ac:dyDescent="0.3">
      <c r="A800" s="43" t="s">
        <v>217</v>
      </c>
      <c r="B800" s="42"/>
      <c r="C800" s="42"/>
      <c r="D800" s="42"/>
      <c r="E800" s="33"/>
      <c r="F800" s="25"/>
      <c r="G800" s="25"/>
      <c r="H800" s="22"/>
      <c r="I800" s="22"/>
      <c r="J800" s="23"/>
      <c r="K800" s="23"/>
      <c r="L800" s="27"/>
    </row>
    <row r="801" spans="1:12" s="24" customFormat="1" ht="20.100000000000001" customHeight="1" x14ac:dyDescent="0.3">
      <c r="A801" s="44" t="s">
        <v>23</v>
      </c>
      <c r="B801" s="42">
        <v>3</v>
      </c>
      <c r="C801" s="42">
        <v>95000</v>
      </c>
      <c r="D801" s="42">
        <v>285000</v>
      </c>
      <c r="E801" s="33">
        <v>63400</v>
      </c>
      <c r="F801" s="25"/>
      <c r="G801" s="25"/>
      <c r="H801" s="34">
        <f t="shared" ref="H801" si="410">D801-(E801*B801)-G801</f>
        <v>94800</v>
      </c>
      <c r="I801" s="34"/>
      <c r="J801" s="35">
        <f t="shared" ref="J801" si="411">(H801/D801)*100</f>
        <v>33.263157894736842</v>
      </c>
      <c r="K801" s="35"/>
      <c r="L801" s="27"/>
    </row>
    <row r="802" spans="1:12" s="24" customFormat="1" ht="20.100000000000001" customHeight="1" x14ac:dyDescent="0.3">
      <c r="A802" s="48" t="s">
        <v>27</v>
      </c>
      <c r="B802" s="42"/>
      <c r="C802" s="42"/>
      <c r="D802" s="42"/>
      <c r="E802" s="33"/>
      <c r="F802" s="25"/>
      <c r="G802" s="25"/>
      <c r="H802" s="22"/>
      <c r="I802" s="22"/>
      <c r="J802" s="23"/>
      <c r="K802" s="23"/>
      <c r="L802" s="26"/>
    </row>
    <row r="803" spans="1:12" s="24" customFormat="1" ht="20.100000000000001" customHeight="1" x14ac:dyDescent="0.3">
      <c r="A803" s="47" t="s">
        <v>21</v>
      </c>
      <c r="B803" s="42"/>
      <c r="C803" s="42"/>
      <c r="D803" s="42"/>
      <c r="E803" s="33"/>
      <c r="F803" s="25"/>
      <c r="G803" s="25"/>
      <c r="H803" s="22"/>
      <c r="I803" s="22"/>
      <c r="J803" s="23"/>
      <c r="K803" s="23"/>
      <c r="L803" s="26"/>
    </row>
    <row r="804" spans="1:12" s="24" customFormat="1" ht="20.100000000000001" customHeight="1" x14ac:dyDescent="0.3">
      <c r="A804" s="43" t="s">
        <v>249</v>
      </c>
      <c r="B804" s="42"/>
      <c r="C804" s="42"/>
      <c r="D804" s="42"/>
      <c r="E804" s="33"/>
      <c r="F804" s="25"/>
      <c r="G804" s="25"/>
      <c r="H804" s="22"/>
      <c r="I804" s="22"/>
      <c r="J804" s="23"/>
      <c r="K804" s="23"/>
      <c r="L804" s="27"/>
    </row>
    <row r="805" spans="1:12" s="24" customFormat="1" ht="20.100000000000001" customHeight="1" x14ac:dyDescent="0.3">
      <c r="A805" s="44" t="s">
        <v>107</v>
      </c>
      <c r="B805" s="42">
        <v>1</v>
      </c>
      <c r="C805" s="42">
        <v>390000</v>
      </c>
      <c r="D805" s="42">
        <v>390000</v>
      </c>
      <c r="E805" s="33">
        <v>287000</v>
      </c>
      <c r="F805" s="25"/>
      <c r="G805" s="25"/>
      <c r="H805" s="34">
        <f t="shared" ref="H805:H807" si="412">D805-(E805*B805)-G805</f>
        <v>103000</v>
      </c>
      <c r="I805" s="34"/>
      <c r="J805" s="35">
        <f t="shared" ref="J805:J807" si="413">(H805/D805)*100</f>
        <v>26.410256410256412</v>
      </c>
      <c r="K805" s="35"/>
      <c r="L805" s="26"/>
    </row>
    <row r="806" spans="1:12" s="24" customFormat="1" ht="20.100000000000001" customHeight="1" x14ac:dyDescent="0.3">
      <c r="A806" s="44" t="s">
        <v>71</v>
      </c>
      <c r="B806" s="42">
        <v>2</v>
      </c>
      <c r="C806" s="42">
        <v>87000</v>
      </c>
      <c r="D806" s="42">
        <v>174000</v>
      </c>
      <c r="E806" s="33">
        <v>55400</v>
      </c>
      <c r="F806" s="25"/>
      <c r="G806" s="25"/>
      <c r="H806" s="34">
        <f t="shared" si="412"/>
        <v>63200</v>
      </c>
      <c r="I806" s="34"/>
      <c r="J806" s="35">
        <f t="shared" si="413"/>
        <v>36.321839080459775</v>
      </c>
      <c r="K806" s="35"/>
      <c r="L806" s="26"/>
    </row>
    <row r="807" spans="1:12" s="24" customFormat="1" ht="20.100000000000001" customHeight="1" x14ac:dyDescent="0.3">
      <c r="A807" s="44" t="s">
        <v>129</v>
      </c>
      <c r="B807" s="42">
        <v>3</v>
      </c>
      <c r="C807" s="42">
        <v>98000</v>
      </c>
      <c r="D807" s="42">
        <v>294000</v>
      </c>
      <c r="E807" s="33">
        <v>81000</v>
      </c>
      <c r="F807" s="25"/>
      <c r="G807" s="25"/>
      <c r="H807" s="34">
        <f t="shared" si="412"/>
        <v>51000</v>
      </c>
      <c r="I807" s="34"/>
      <c r="J807" s="35">
        <f t="shared" si="413"/>
        <v>17.346938775510203</v>
      </c>
      <c r="K807" s="35"/>
      <c r="L807" s="26"/>
    </row>
    <row r="808" spans="1:12" s="24" customFormat="1" ht="20.100000000000001" customHeight="1" x14ac:dyDescent="0.3">
      <c r="A808" s="43" t="s">
        <v>144</v>
      </c>
      <c r="B808" s="42"/>
      <c r="C808" s="42"/>
      <c r="D808" s="42"/>
      <c r="E808" s="33"/>
      <c r="F808" s="25"/>
      <c r="G808" s="25"/>
      <c r="H808" s="22"/>
      <c r="I808" s="22"/>
      <c r="J808" s="23"/>
      <c r="K808" s="23"/>
      <c r="L808" s="27"/>
    </row>
    <row r="809" spans="1:12" s="24" customFormat="1" ht="20.100000000000001" customHeight="1" x14ac:dyDescent="0.3">
      <c r="A809" s="44" t="s">
        <v>51</v>
      </c>
      <c r="B809" s="42">
        <v>8</v>
      </c>
      <c r="C809" s="42">
        <v>61700</v>
      </c>
      <c r="D809" s="42">
        <v>493600</v>
      </c>
      <c r="E809" s="33">
        <v>54300</v>
      </c>
      <c r="F809" s="25"/>
      <c r="G809" s="25"/>
      <c r="H809" s="34">
        <f t="shared" ref="H809:H811" si="414">D809-(E809*B809)-G809</f>
        <v>59200</v>
      </c>
      <c r="I809" s="34"/>
      <c r="J809" s="35">
        <f t="shared" ref="J809:J811" si="415">(H809/D809)*100</f>
        <v>11.9935170178282</v>
      </c>
      <c r="K809" s="35"/>
      <c r="L809" s="27"/>
    </row>
    <row r="810" spans="1:12" s="24" customFormat="1" ht="20.100000000000001" customHeight="1" x14ac:dyDescent="0.3">
      <c r="A810" s="44" t="s">
        <v>54</v>
      </c>
      <c r="B810" s="42">
        <v>13</v>
      </c>
      <c r="C810" s="42">
        <v>64500</v>
      </c>
      <c r="D810" s="42">
        <v>838500</v>
      </c>
      <c r="E810" s="33">
        <v>55700</v>
      </c>
      <c r="F810" s="25"/>
      <c r="G810" s="25"/>
      <c r="H810" s="34">
        <f t="shared" si="414"/>
        <v>114400</v>
      </c>
      <c r="I810" s="34"/>
      <c r="J810" s="35">
        <f t="shared" si="415"/>
        <v>13.643410852713178</v>
      </c>
      <c r="K810" s="35"/>
      <c r="L810" s="26"/>
    </row>
    <row r="811" spans="1:12" s="24" customFormat="1" ht="20.100000000000001" customHeight="1" x14ac:dyDescent="0.3">
      <c r="A811" s="44" t="s">
        <v>23</v>
      </c>
      <c r="B811" s="42">
        <v>4</v>
      </c>
      <c r="C811" s="42">
        <v>100700</v>
      </c>
      <c r="D811" s="42">
        <v>402800</v>
      </c>
      <c r="E811" s="33">
        <v>63400</v>
      </c>
      <c r="F811" s="25"/>
      <c r="G811" s="25"/>
      <c r="H811" s="34">
        <f t="shared" si="414"/>
        <v>149200</v>
      </c>
      <c r="I811" s="34"/>
      <c r="J811" s="35">
        <f t="shared" si="415"/>
        <v>37.040714995034755</v>
      </c>
      <c r="K811" s="35"/>
      <c r="L811" s="26"/>
    </row>
    <row r="812" spans="1:12" s="24" customFormat="1" ht="20.100000000000001" customHeight="1" x14ac:dyDescent="0.3">
      <c r="A812" s="43" t="s">
        <v>433</v>
      </c>
      <c r="B812" s="42"/>
      <c r="C812" s="42"/>
      <c r="D812" s="42"/>
      <c r="E812" s="33"/>
      <c r="F812" s="25"/>
      <c r="G812" s="25"/>
      <c r="H812" s="22"/>
      <c r="I812" s="22"/>
      <c r="J812" s="23"/>
      <c r="K812" s="23"/>
      <c r="L812" s="26"/>
    </row>
    <row r="813" spans="1:12" s="24" customFormat="1" ht="20.100000000000001" customHeight="1" x14ac:dyDescent="0.3">
      <c r="A813" s="44" t="s">
        <v>165</v>
      </c>
      <c r="B813" s="42">
        <v>1</v>
      </c>
      <c r="C813" s="42">
        <v>145000</v>
      </c>
      <c r="D813" s="42">
        <v>145000</v>
      </c>
      <c r="E813" s="33">
        <v>120000</v>
      </c>
      <c r="F813" s="25"/>
      <c r="G813" s="25"/>
      <c r="H813" s="34">
        <f t="shared" ref="H813:H815" si="416">D813-(E813*B813)-G813</f>
        <v>25000</v>
      </c>
      <c r="I813" s="34"/>
      <c r="J813" s="35">
        <f t="shared" ref="J813:J815" si="417">(H813/D813)*100</f>
        <v>17.241379310344829</v>
      </c>
      <c r="K813" s="35"/>
      <c r="L813" s="26"/>
    </row>
    <row r="814" spans="1:12" s="24" customFormat="1" ht="20.100000000000001" customHeight="1" x14ac:dyDescent="0.3">
      <c r="A814" s="44" t="s">
        <v>45</v>
      </c>
      <c r="B814" s="42">
        <v>1</v>
      </c>
      <c r="C814" s="42">
        <v>282000</v>
      </c>
      <c r="D814" s="42">
        <v>282000</v>
      </c>
      <c r="E814" s="33">
        <v>233000</v>
      </c>
      <c r="F814" s="25"/>
      <c r="G814" s="25"/>
      <c r="H814" s="34">
        <f t="shared" si="416"/>
        <v>49000</v>
      </c>
      <c r="I814" s="34"/>
      <c r="J814" s="35">
        <f t="shared" si="417"/>
        <v>17.375886524822697</v>
      </c>
      <c r="K814" s="35"/>
      <c r="L814" s="26"/>
    </row>
    <row r="815" spans="1:12" s="24" customFormat="1" ht="20.100000000000001" customHeight="1" x14ac:dyDescent="0.3">
      <c r="A815" s="44" t="s">
        <v>124</v>
      </c>
      <c r="B815" s="42">
        <v>2</v>
      </c>
      <c r="C815" s="42">
        <v>7000</v>
      </c>
      <c r="D815" s="42">
        <v>14000</v>
      </c>
      <c r="E815" s="33">
        <v>7000</v>
      </c>
      <c r="F815" s="25"/>
      <c r="G815" s="25"/>
      <c r="H815" s="34">
        <f t="shared" si="416"/>
        <v>0</v>
      </c>
      <c r="I815" s="34"/>
      <c r="J815" s="35">
        <f t="shared" si="417"/>
        <v>0</v>
      </c>
      <c r="K815" s="35"/>
      <c r="L815" s="26"/>
    </row>
    <row r="816" spans="1:12" s="24" customFormat="1" ht="20.100000000000001" customHeight="1" x14ac:dyDescent="0.3">
      <c r="A816" s="43" t="s">
        <v>219</v>
      </c>
      <c r="B816" s="42"/>
      <c r="C816" s="42"/>
      <c r="D816" s="42"/>
      <c r="E816" s="33"/>
      <c r="F816" s="25"/>
      <c r="G816" s="25"/>
      <c r="H816" s="22"/>
      <c r="I816" s="22"/>
      <c r="J816" s="23"/>
      <c r="K816" s="23"/>
      <c r="L816" s="26"/>
    </row>
    <row r="817" spans="1:12" s="24" customFormat="1" ht="20.100000000000001" customHeight="1" x14ac:dyDescent="0.3">
      <c r="A817" s="44" t="s">
        <v>165</v>
      </c>
      <c r="B817" s="42">
        <v>4</v>
      </c>
      <c r="C817" s="42">
        <v>145000</v>
      </c>
      <c r="D817" s="42">
        <v>580000</v>
      </c>
      <c r="E817" s="33">
        <v>120000</v>
      </c>
      <c r="F817" s="25"/>
      <c r="G817" s="25"/>
      <c r="H817" s="34">
        <f t="shared" ref="H817" si="418">D817-(E817*B817)-G817</f>
        <v>100000</v>
      </c>
      <c r="I817" s="34"/>
      <c r="J817" s="35">
        <f t="shared" ref="J817" si="419">(H817/D817)*100</f>
        <v>17.241379310344829</v>
      </c>
      <c r="K817" s="35"/>
      <c r="L817" s="26"/>
    </row>
    <row r="818" spans="1:12" s="24" customFormat="1" ht="20.100000000000001" customHeight="1" x14ac:dyDescent="0.3">
      <c r="A818" s="43" t="s">
        <v>35</v>
      </c>
      <c r="B818" s="42"/>
      <c r="C818" s="42"/>
      <c r="D818" s="42"/>
      <c r="E818" s="33"/>
      <c r="F818" s="25"/>
      <c r="G818" s="25"/>
      <c r="H818" s="22"/>
      <c r="I818" s="22"/>
      <c r="J818" s="23"/>
      <c r="K818" s="23"/>
      <c r="L818" s="27"/>
    </row>
    <row r="819" spans="1:12" s="24" customFormat="1" ht="20.100000000000001" customHeight="1" x14ac:dyDescent="0.3">
      <c r="A819" s="44" t="s">
        <v>94</v>
      </c>
      <c r="B819" s="42">
        <v>3</v>
      </c>
      <c r="C819" s="42">
        <v>69200</v>
      </c>
      <c r="D819" s="42">
        <v>207600</v>
      </c>
      <c r="E819" s="33">
        <v>64000</v>
      </c>
      <c r="F819" s="25"/>
      <c r="G819" s="25"/>
      <c r="H819" s="34">
        <f t="shared" ref="H819:H829" si="420">D819-(E819*B819)-G819</f>
        <v>15600</v>
      </c>
      <c r="I819" s="34"/>
      <c r="J819" s="35">
        <f t="shared" ref="J819:J829" si="421">(H819/D819)*100</f>
        <v>7.5144508670520231</v>
      </c>
      <c r="K819" s="35"/>
      <c r="L819" s="26"/>
    </row>
    <row r="820" spans="1:12" s="24" customFormat="1" ht="20.100000000000001" customHeight="1" x14ac:dyDescent="0.3">
      <c r="A820" s="44" t="s">
        <v>50</v>
      </c>
      <c r="B820" s="42">
        <v>9</v>
      </c>
      <c r="C820" s="42">
        <v>58200</v>
      </c>
      <c r="D820" s="42">
        <v>523800</v>
      </c>
      <c r="E820" s="33">
        <v>53900</v>
      </c>
      <c r="F820" s="25"/>
      <c r="G820" s="25"/>
      <c r="H820" s="34">
        <f t="shared" si="420"/>
        <v>38700</v>
      </c>
      <c r="I820" s="34"/>
      <c r="J820" s="35">
        <f t="shared" si="421"/>
        <v>7.3883161512027495</v>
      </c>
      <c r="K820" s="35"/>
      <c r="L820" s="27"/>
    </row>
    <row r="821" spans="1:12" s="24" customFormat="1" ht="20.100000000000001" customHeight="1" x14ac:dyDescent="0.3">
      <c r="A821" s="44" t="s">
        <v>165</v>
      </c>
      <c r="B821" s="42">
        <v>4</v>
      </c>
      <c r="C821" s="42">
        <v>129600</v>
      </c>
      <c r="D821" s="42">
        <v>518400</v>
      </c>
      <c r="E821" s="33">
        <v>120000</v>
      </c>
      <c r="F821" s="25"/>
      <c r="G821" s="25"/>
      <c r="H821" s="34">
        <f t="shared" si="420"/>
        <v>38400</v>
      </c>
      <c r="I821" s="34"/>
      <c r="J821" s="35">
        <f t="shared" si="421"/>
        <v>7.4074074074074066</v>
      </c>
      <c r="K821" s="35"/>
      <c r="L821" s="27"/>
    </row>
    <row r="822" spans="1:12" s="24" customFormat="1" ht="20.100000000000001" customHeight="1" x14ac:dyDescent="0.3">
      <c r="A822" s="44" t="s">
        <v>22</v>
      </c>
      <c r="B822" s="42">
        <v>50</v>
      </c>
      <c r="C822" s="42">
        <v>33700</v>
      </c>
      <c r="D822" s="42">
        <v>1685000</v>
      </c>
      <c r="E822" s="33">
        <v>31200</v>
      </c>
      <c r="F822" s="25"/>
      <c r="G822" s="25"/>
      <c r="H822" s="34">
        <f t="shared" si="420"/>
        <v>125000</v>
      </c>
      <c r="I822" s="34"/>
      <c r="J822" s="35">
        <f t="shared" si="421"/>
        <v>7.4183976261127587</v>
      </c>
      <c r="K822" s="35"/>
      <c r="L822" s="27"/>
    </row>
    <row r="823" spans="1:12" s="24" customFormat="1" ht="20.100000000000001" customHeight="1" x14ac:dyDescent="0.3">
      <c r="A823" s="44" t="s">
        <v>191</v>
      </c>
      <c r="B823" s="42">
        <v>50</v>
      </c>
      <c r="C823" s="42">
        <v>33700</v>
      </c>
      <c r="D823" s="42">
        <v>1685000</v>
      </c>
      <c r="E823" s="33">
        <v>31200</v>
      </c>
      <c r="F823" s="25"/>
      <c r="G823" s="25"/>
      <c r="H823" s="34">
        <f t="shared" si="420"/>
        <v>125000</v>
      </c>
      <c r="I823" s="34"/>
      <c r="J823" s="35">
        <f t="shared" si="421"/>
        <v>7.4183976261127587</v>
      </c>
      <c r="K823" s="35"/>
      <c r="L823" s="26"/>
    </row>
    <row r="824" spans="1:12" s="24" customFormat="1" ht="20.100000000000001" customHeight="1" x14ac:dyDescent="0.3">
      <c r="A824" s="44" t="s">
        <v>33</v>
      </c>
      <c r="B824" s="42">
        <v>30</v>
      </c>
      <c r="C824" s="42">
        <v>312100</v>
      </c>
      <c r="D824" s="42">
        <v>9363000</v>
      </c>
      <c r="E824" s="33">
        <v>289000</v>
      </c>
      <c r="F824" s="25"/>
      <c r="G824" s="25"/>
      <c r="H824" s="34">
        <f t="shared" si="420"/>
        <v>693000</v>
      </c>
      <c r="I824" s="34"/>
      <c r="J824" s="35">
        <f t="shared" si="421"/>
        <v>7.4014738865748164</v>
      </c>
      <c r="K824" s="35"/>
      <c r="L824" s="26"/>
    </row>
    <row r="825" spans="1:12" s="24" customFormat="1" ht="20.100000000000001" customHeight="1" x14ac:dyDescent="0.3">
      <c r="A825" s="44" t="s">
        <v>252</v>
      </c>
      <c r="B825" s="42">
        <v>5</v>
      </c>
      <c r="C825" s="42">
        <v>85500</v>
      </c>
      <c r="D825" s="42">
        <v>427500</v>
      </c>
      <c r="E825" s="33">
        <v>79200</v>
      </c>
      <c r="F825" s="25"/>
      <c r="G825" s="25"/>
      <c r="H825" s="34">
        <f t="shared" si="420"/>
        <v>31500</v>
      </c>
      <c r="I825" s="34"/>
      <c r="J825" s="35">
        <f t="shared" si="421"/>
        <v>7.3684210526315779</v>
      </c>
      <c r="K825" s="35"/>
      <c r="L825" s="26"/>
    </row>
    <row r="826" spans="1:12" s="24" customFormat="1" ht="20.100000000000001" customHeight="1" x14ac:dyDescent="0.3">
      <c r="A826" s="44" t="s">
        <v>142</v>
      </c>
      <c r="B826" s="42">
        <v>1</v>
      </c>
      <c r="C826" s="42">
        <v>393100</v>
      </c>
      <c r="D826" s="42">
        <v>393100</v>
      </c>
      <c r="E826" s="33">
        <v>364000</v>
      </c>
      <c r="F826" s="25"/>
      <c r="G826" s="25"/>
      <c r="H826" s="34">
        <f t="shared" si="420"/>
        <v>29100</v>
      </c>
      <c r="I826" s="34"/>
      <c r="J826" s="35">
        <f t="shared" si="421"/>
        <v>7.4026965148817094</v>
      </c>
      <c r="K826" s="35"/>
      <c r="L826" s="26"/>
    </row>
    <row r="827" spans="1:12" s="24" customFormat="1" ht="20.100000000000001" customHeight="1" x14ac:dyDescent="0.3">
      <c r="A827" s="44" t="s">
        <v>51</v>
      </c>
      <c r="B827" s="42">
        <v>3</v>
      </c>
      <c r="C827" s="42">
        <v>58700</v>
      </c>
      <c r="D827" s="42">
        <v>176100</v>
      </c>
      <c r="E827" s="33">
        <v>54300</v>
      </c>
      <c r="F827" s="25"/>
      <c r="G827" s="25"/>
      <c r="H827" s="34">
        <f t="shared" si="420"/>
        <v>13200</v>
      </c>
      <c r="I827" s="34"/>
      <c r="J827" s="35">
        <f t="shared" si="421"/>
        <v>7.4957410562180584</v>
      </c>
      <c r="K827" s="35"/>
      <c r="L827" s="26"/>
    </row>
    <row r="828" spans="1:12" s="24" customFormat="1" ht="20.100000000000001" customHeight="1" x14ac:dyDescent="0.3">
      <c r="A828" s="44" t="s">
        <v>20</v>
      </c>
      <c r="B828" s="42">
        <v>5</v>
      </c>
      <c r="C828" s="42">
        <v>50300</v>
      </c>
      <c r="D828" s="42">
        <v>251500</v>
      </c>
      <c r="E828" s="33">
        <v>46600</v>
      </c>
      <c r="F828" s="25"/>
      <c r="G828" s="25"/>
      <c r="H828" s="34">
        <f t="shared" si="420"/>
        <v>18500</v>
      </c>
      <c r="I828" s="34"/>
      <c r="J828" s="35">
        <f t="shared" si="421"/>
        <v>7.3558648111332001</v>
      </c>
      <c r="K828" s="35"/>
      <c r="L828" s="26"/>
    </row>
    <row r="829" spans="1:12" s="24" customFormat="1" ht="20.100000000000001" customHeight="1" x14ac:dyDescent="0.3">
      <c r="A829" s="44" t="s">
        <v>23</v>
      </c>
      <c r="B829" s="42">
        <v>5</v>
      </c>
      <c r="C829" s="42">
        <v>97100</v>
      </c>
      <c r="D829" s="42">
        <v>485500</v>
      </c>
      <c r="E829" s="33">
        <v>63400</v>
      </c>
      <c r="F829" s="25"/>
      <c r="G829" s="25"/>
      <c r="H829" s="34">
        <f t="shared" si="420"/>
        <v>168500</v>
      </c>
      <c r="I829" s="34"/>
      <c r="J829" s="35">
        <f t="shared" si="421"/>
        <v>34.706488156539649</v>
      </c>
      <c r="K829" s="35"/>
      <c r="L829" s="26"/>
    </row>
    <row r="830" spans="1:12" s="24" customFormat="1" ht="20.100000000000001" customHeight="1" x14ac:dyDescent="0.3">
      <c r="A830" s="43" t="s">
        <v>434</v>
      </c>
      <c r="B830" s="42"/>
      <c r="C830" s="42"/>
      <c r="D830" s="42"/>
      <c r="E830" s="33"/>
      <c r="F830" s="25"/>
      <c r="G830" s="25"/>
      <c r="H830" s="22"/>
      <c r="I830" s="22"/>
      <c r="J830" s="23"/>
      <c r="K830" s="23"/>
      <c r="L830" s="27"/>
    </row>
    <row r="831" spans="1:12" s="24" customFormat="1" ht="20.100000000000001" customHeight="1" x14ac:dyDescent="0.3">
      <c r="A831" s="44" t="s">
        <v>435</v>
      </c>
      <c r="B831" s="42">
        <v>4</v>
      </c>
      <c r="C831" s="42">
        <v>100000</v>
      </c>
      <c r="D831" s="42">
        <v>400000</v>
      </c>
      <c r="E831" s="33">
        <v>82400</v>
      </c>
      <c r="F831" s="25"/>
      <c r="G831" s="25"/>
      <c r="H831" s="34">
        <f t="shared" ref="H831" si="422">D831-(E831*B831)-G831</f>
        <v>70400</v>
      </c>
      <c r="I831" s="34"/>
      <c r="J831" s="35">
        <f t="shared" ref="J831" si="423">(H831/D831)*100</f>
        <v>17.599999999999998</v>
      </c>
      <c r="K831" s="35"/>
      <c r="L831" s="26"/>
    </row>
    <row r="832" spans="1:12" s="24" customFormat="1" ht="19.5" customHeight="1" x14ac:dyDescent="0.3">
      <c r="A832" s="43" t="s">
        <v>138</v>
      </c>
      <c r="B832" s="42"/>
      <c r="C832" s="42"/>
      <c r="D832" s="42"/>
      <c r="E832" s="33"/>
      <c r="F832" s="25"/>
      <c r="G832" s="25"/>
      <c r="H832" s="22"/>
      <c r="I832" s="22"/>
      <c r="J832" s="23"/>
      <c r="K832" s="23"/>
      <c r="L832" s="26"/>
    </row>
    <row r="833" spans="1:12" s="24" customFormat="1" ht="20.100000000000001" customHeight="1" x14ac:dyDescent="0.3">
      <c r="A833" s="44" t="s">
        <v>63</v>
      </c>
      <c r="B833" s="42">
        <v>1</v>
      </c>
      <c r="C833" s="42">
        <v>62500</v>
      </c>
      <c r="D833" s="42">
        <v>62500</v>
      </c>
      <c r="E833" s="33">
        <v>58400</v>
      </c>
      <c r="F833" s="25"/>
      <c r="G833" s="25"/>
      <c r="H833" s="34">
        <f t="shared" ref="H833:H834" si="424">D833-(E833*B833)-G833</f>
        <v>4100</v>
      </c>
      <c r="I833" s="34"/>
      <c r="J833" s="35">
        <f t="shared" ref="J833:J834" si="425">(H833/D833)*100</f>
        <v>6.5600000000000005</v>
      </c>
      <c r="K833" s="35"/>
      <c r="L833" s="26"/>
    </row>
    <row r="834" spans="1:12" s="24" customFormat="1" ht="20.100000000000001" customHeight="1" x14ac:dyDescent="0.3">
      <c r="A834" s="44" t="s">
        <v>107</v>
      </c>
      <c r="B834" s="42">
        <v>2</v>
      </c>
      <c r="C834" s="42">
        <v>307100</v>
      </c>
      <c r="D834" s="42">
        <v>614200</v>
      </c>
      <c r="E834" s="33">
        <v>287000</v>
      </c>
      <c r="F834" s="25"/>
      <c r="G834" s="25"/>
      <c r="H834" s="34">
        <f t="shared" si="424"/>
        <v>40200</v>
      </c>
      <c r="I834" s="34"/>
      <c r="J834" s="35">
        <f t="shared" si="425"/>
        <v>6.545099316183653</v>
      </c>
      <c r="K834" s="35"/>
      <c r="L834" s="26"/>
    </row>
    <row r="835" spans="1:12" s="24" customFormat="1" ht="20.100000000000001" customHeight="1" x14ac:dyDescent="0.3">
      <c r="A835" s="43" t="s">
        <v>436</v>
      </c>
      <c r="B835" s="42"/>
      <c r="C835" s="42"/>
      <c r="D835" s="42"/>
      <c r="E835" s="33"/>
      <c r="F835" s="25"/>
      <c r="G835" s="25"/>
      <c r="H835" s="22"/>
      <c r="I835" s="22"/>
      <c r="J835" s="23"/>
      <c r="K835" s="23"/>
      <c r="L835" s="27"/>
    </row>
    <row r="836" spans="1:12" s="24" customFormat="1" ht="20.100000000000001" customHeight="1" x14ac:dyDescent="0.3">
      <c r="A836" s="44" t="s">
        <v>437</v>
      </c>
      <c r="B836" s="42">
        <v>5</v>
      </c>
      <c r="C836" s="42">
        <v>470000</v>
      </c>
      <c r="D836" s="42">
        <v>2350000</v>
      </c>
      <c r="E836" s="33">
        <v>423000</v>
      </c>
      <c r="F836" s="25"/>
      <c r="G836" s="25"/>
      <c r="H836" s="34">
        <f t="shared" ref="H836" si="426">D836-(E836*B836)-G836</f>
        <v>235000</v>
      </c>
      <c r="I836" s="34"/>
      <c r="J836" s="35">
        <f t="shared" ref="J836" si="427">(H836/D836)*100</f>
        <v>10</v>
      </c>
      <c r="K836" s="35"/>
      <c r="L836" s="26"/>
    </row>
    <row r="837" spans="1:12" s="24" customFormat="1" ht="20.100000000000001" customHeight="1" x14ac:dyDescent="0.3">
      <c r="A837" s="43" t="s">
        <v>320</v>
      </c>
      <c r="B837" s="42"/>
      <c r="C837" s="42"/>
      <c r="D837" s="42"/>
      <c r="E837" s="33"/>
      <c r="F837" s="25"/>
      <c r="G837" s="25"/>
      <c r="H837" s="22"/>
      <c r="I837" s="22"/>
      <c r="J837" s="23"/>
      <c r="K837" s="23"/>
      <c r="L837" s="26"/>
    </row>
    <row r="838" spans="1:12" s="24" customFormat="1" ht="20.100000000000001" customHeight="1" x14ac:dyDescent="0.3">
      <c r="A838" s="44" t="s">
        <v>20</v>
      </c>
      <c r="B838" s="42">
        <v>10</v>
      </c>
      <c r="C838" s="42">
        <v>69600</v>
      </c>
      <c r="D838" s="42">
        <v>696000</v>
      </c>
      <c r="E838" s="33">
        <v>46600</v>
      </c>
      <c r="F838" s="25"/>
      <c r="G838" s="25"/>
      <c r="H838" s="34">
        <f t="shared" ref="H838" si="428">D838-(E838*B838)-G838</f>
        <v>230000</v>
      </c>
      <c r="I838" s="34"/>
      <c r="J838" s="35">
        <f t="shared" ref="J838" si="429">(H838/D838)*100</f>
        <v>33.045977011494251</v>
      </c>
      <c r="K838" s="35"/>
      <c r="L838" s="26"/>
    </row>
    <row r="839" spans="1:12" s="24" customFormat="1" ht="20.100000000000001" customHeight="1" x14ac:dyDescent="0.3">
      <c r="A839" s="43" t="s">
        <v>267</v>
      </c>
      <c r="B839" s="42"/>
      <c r="C839" s="42"/>
      <c r="D839" s="42"/>
      <c r="E839" s="33"/>
      <c r="F839" s="25"/>
      <c r="G839" s="25"/>
      <c r="H839" s="22"/>
      <c r="I839" s="22"/>
      <c r="J839" s="23"/>
      <c r="K839" s="23"/>
      <c r="L839" s="27"/>
    </row>
    <row r="840" spans="1:12" s="24" customFormat="1" ht="20.100000000000001" customHeight="1" x14ac:dyDescent="0.3">
      <c r="A840" s="44" t="s">
        <v>525</v>
      </c>
      <c r="B840" s="42">
        <v>2</v>
      </c>
      <c r="C840" s="42">
        <v>48500</v>
      </c>
      <c r="D840" s="42">
        <v>97000</v>
      </c>
      <c r="E840" s="33">
        <v>40000</v>
      </c>
      <c r="F840" s="25"/>
      <c r="G840" s="25"/>
      <c r="H840" s="34">
        <f t="shared" ref="H840" si="430">D840-(E840*B840)-G840</f>
        <v>17000</v>
      </c>
      <c r="I840" s="34"/>
      <c r="J840" s="35">
        <f t="shared" ref="J840" si="431">(H840/D840)*100</f>
        <v>17.525773195876287</v>
      </c>
      <c r="K840" s="35"/>
      <c r="L840" s="27"/>
    </row>
    <row r="841" spans="1:12" s="24" customFormat="1" ht="20.100000000000001" customHeight="1" x14ac:dyDescent="0.3">
      <c r="A841" s="43" t="s">
        <v>220</v>
      </c>
      <c r="B841" s="42"/>
      <c r="C841" s="42"/>
      <c r="D841" s="42"/>
      <c r="E841" s="33"/>
      <c r="F841" s="25"/>
      <c r="G841" s="25"/>
      <c r="H841" s="22"/>
      <c r="I841" s="22"/>
      <c r="J841" s="23"/>
      <c r="K841" s="23"/>
      <c r="L841" s="26"/>
    </row>
    <row r="842" spans="1:12" s="24" customFormat="1" ht="20.100000000000001" customHeight="1" x14ac:dyDescent="0.3">
      <c r="A842" s="44" t="s">
        <v>51</v>
      </c>
      <c r="B842" s="42">
        <v>5</v>
      </c>
      <c r="C842" s="42">
        <v>68000</v>
      </c>
      <c r="D842" s="42">
        <v>340000</v>
      </c>
      <c r="E842" s="33">
        <v>54300</v>
      </c>
      <c r="F842" s="25"/>
      <c r="G842" s="25"/>
      <c r="H842" s="34">
        <f t="shared" ref="H842:H844" si="432">D842-(E842*B842)-G842</f>
        <v>68500</v>
      </c>
      <c r="I842" s="34"/>
      <c r="J842" s="35">
        <f t="shared" ref="J842:J844" si="433">(H842/D842)*100</f>
        <v>20.147058823529413</v>
      </c>
      <c r="K842" s="35"/>
      <c r="L842" s="27"/>
    </row>
    <row r="843" spans="1:12" s="24" customFormat="1" ht="20.100000000000001" customHeight="1" x14ac:dyDescent="0.3">
      <c r="A843" s="44" t="s">
        <v>23</v>
      </c>
      <c r="B843" s="42">
        <v>20</v>
      </c>
      <c r="C843" s="42">
        <v>95000</v>
      </c>
      <c r="D843" s="42">
        <v>1900000</v>
      </c>
      <c r="E843" s="33">
        <v>63400</v>
      </c>
      <c r="F843" s="25"/>
      <c r="G843" s="25"/>
      <c r="H843" s="34">
        <f t="shared" si="432"/>
        <v>632000</v>
      </c>
      <c r="I843" s="34"/>
      <c r="J843" s="35">
        <f t="shared" si="433"/>
        <v>33.263157894736842</v>
      </c>
      <c r="K843" s="35"/>
      <c r="L843" s="26"/>
    </row>
    <row r="844" spans="1:12" s="24" customFormat="1" ht="20.100000000000001" customHeight="1" x14ac:dyDescent="0.3">
      <c r="A844" s="44" t="s">
        <v>438</v>
      </c>
      <c r="B844" s="42">
        <v>2</v>
      </c>
      <c r="C844" s="42">
        <v>850000</v>
      </c>
      <c r="D844" s="42">
        <v>1700000</v>
      </c>
      <c r="E844" s="33">
        <v>728000</v>
      </c>
      <c r="F844" s="25"/>
      <c r="G844" s="25"/>
      <c r="H844" s="34">
        <f t="shared" si="432"/>
        <v>244000</v>
      </c>
      <c r="I844" s="34"/>
      <c r="J844" s="35">
        <f t="shared" si="433"/>
        <v>14.352941176470587</v>
      </c>
      <c r="K844" s="35"/>
      <c r="L844" s="26"/>
    </row>
    <row r="845" spans="1:12" s="24" customFormat="1" ht="20.100000000000001" customHeight="1" x14ac:dyDescent="0.3">
      <c r="A845" s="43" t="s">
        <v>139</v>
      </c>
      <c r="B845" s="42"/>
      <c r="C845" s="42"/>
      <c r="D845" s="42"/>
      <c r="E845" s="33"/>
      <c r="F845" s="25"/>
      <c r="G845" s="25"/>
      <c r="H845" s="22"/>
      <c r="I845" s="22"/>
      <c r="J845" s="23"/>
      <c r="K845" s="23"/>
      <c r="L845" s="26"/>
    </row>
    <row r="846" spans="1:12" s="24" customFormat="1" ht="20.100000000000001" customHeight="1" x14ac:dyDescent="0.3">
      <c r="A846" s="44" t="s">
        <v>25</v>
      </c>
      <c r="B846" s="42">
        <v>2</v>
      </c>
      <c r="C846" s="42">
        <v>575000</v>
      </c>
      <c r="D846" s="42">
        <v>1150000</v>
      </c>
      <c r="E846" s="33">
        <v>492000</v>
      </c>
      <c r="F846" s="25"/>
      <c r="G846" s="25"/>
      <c r="H846" s="34">
        <f t="shared" ref="H846:H848" si="434">D846-(E846*B846)-G846</f>
        <v>166000</v>
      </c>
      <c r="I846" s="34"/>
      <c r="J846" s="35">
        <f t="shared" ref="J846:J848" si="435">(H846/D846)*100</f>
        <v>14.434782608695651</v>
      </c>
      <c r="K846" s="35"/>
      <c r="L846" s="26"/>
    </row>
    <row r="847" spans="1:12" s="24" customFormat="1" ht="20.100000000000001" customHeight="1" x14ac:dyDescent="0.3">
      <c r="A847" s="44" t="s">
        <v>45</v>
      </c>
      <c r="B847" s="42">
        <v>6</v>
      </c>
      <c r="C847" s="42">
        <v>282000</v>
      </c>
      <c r="D847" s="42">
        <v>1692000</v>
      </c>
      <c r="E847" s="33">
        <v>233000</v>
      </c>
      <c r="F847" s="25"/>
      <c r="G847" s="25"/>
      <c r="H847" s="34">
        <f t="shared" si="434"/>
        <v>294000</v>
      </c>
      <c r="I847" s="34"/>
      <c r="J847" s="35">
        <f t="shared" si="435"/>
        <v>17.375886524822697</v>
      </c>
      <c r="K847" s="35"/>
      <c r="L847" s="27"/>
    </row>
    <row r="848" spans="1:12" s="24" customFormat="1" ht="20.100000000000001" customHeight="1" x14ac:dyDescent="0.3">
      <c r="A848" s="44" t="s">
        <v>124</v>
      </c>
      <c r="B848" s="42">
        <v>6</v>
      </c>
      <c r="C848" s="42">
        <v>7000</v>
      </c>
      <c r="D848" s="42">
        <v>42000</v>
      </c>
      <c r="E848" s="33">
        <v>7000</v>
      </c>
      <c r="F848" s="25"/>
      <c r="G848" s="25"/>
      <c r="H848" s="34">
        <f t="shared" si="434"/>
        <v>0</v>
      </c>
      <c r="I848" s="34"/>
      <c r="J848" s="35">
        <f t="shared" si="435"/>
        <v>0</v>
      </c>
      <c r="K848" s="35"/>
      <c r="L848" s="26"/>
    </row>
    <row r="849" spans="1:12" s="24" customFormat="1" ht="20.100000000000001" customHeight="1" x14ac:dyDescent="0.3">
      <c r="A849" s="43" t="s">
        <v>268</v>
      </c>
      <c r="B849" s="42"/>
      <c r="C849" s="42"/>
      <c r="D849" s="42"/>
      <c r="E849" s="33"/>
      <c r="F849" s="25"/>
      <c r="G849" s="25"/>
      <c r="H849" s="22"/>
      <c r="I849" s="22"/>
      <c r="J849" s="23"/>
      <c r="K849" s="23"/>
      <c r="L849" s="26"/>
    </row>
    <row r="850" spans="1:12" s="24" customFormat="1" ht="20.100000000000001" customHeight="1" x14ac:dyDescent="0.3">
      <c r="A850" s="44" t="s">
        <v>123</v>
      </c>
      <c r="B850" s="42">
        <v>1</v>
      </c>
      <c r="C850" s="42">
        <v>69000</v>
      </c>
      <c r="D850" s="42">
        <v>69000</v>
      </c>
      <c r="E850" s="33">
        <v>55700</v>
      </c>
      <c r="F850" s="25"/>
      <c r="G850" s="25"/>
      <c r="H850" s="34">
        <f t="shared" ref="H850" si="436">D850-(E850*B850)-G850</f>
        <v>13300</v>
      </c>
      <c r="I850" s="34"/>
      <c r="J850" s="35">
        <f t="shared" ref="J850" si="437">(H850/D850)*100</f>
        <v>19.275362318840582</v>
      </c>
      <c r="K850" s="35"/>
      <c r="L850" s="26"/>
    </row>
    <row r="851" spans="1:12" s="24" customFormat="1" ht="20.100000000000001" customHeight="1" x14ac:dyDescent="0.3">
      <c r="A851" s="43" t="s">
        <v>321</v>
      </c>
      <c r="B851" s="42"/>
      <c r="C851" s="42"/>
      <c r="D851" s="42"/>
      <c r="E851" s="33"/>
      <c r="F851" s="25"/>
      <c r="G851" s="25"/>
      <c r="H851" s="22"/>
      <c r="I851" s="22"/>
      <c r="J851" s="23"/>
      <c r="K851" s="23"/>
      <c r="L851" s="26"/>
    </row>
    <row r="852" spans="1:12" s="24" customFormat="1" ht="20.100000000000001" customHeight="1" x14ac:dyDescent="0.3">
      <c r="A852" s="44" t="s">
        <v>51</v>
      </c>
      <c r="B852" s="42">
        <v>7</v>
      </c>
      <c r="C852" s="42">
        <v>65000</v>
      </c>
      <c r="D852" s="42">
        <v>455000</v>
      </c>
      <c r="E852" s="33">
        <v>54300</v>
      </c>
      <c r="F852" s="25"/>
      <c r="G852" s="25"/>
      <c r="H852" s="34">
        <f t="shared" ref="H852" si="438">D852-(E852*B852)-G852</f>
        <v>74900</v>
      </c>
      <c r="I852" s="34"/>
      <c r="J852" s="35">
        <f t="shared" ref="J852" si="439">(H852/D852)*100</f>
        <v>16.46153846153846</v>
      </c>
      <c r="K852" s="35"/>
      <c r="L852" s="26"/>
    </row>
    <row r="853" spans="1:12" s="24" customFormat="1" ht="20.100000000000001" customHeight="1" x14ac:dyDescent="0.3">
      <c r="A853" s="43" t="s">
        <v>322</v>
      </c>
      <c r="B853" s="42"/>
      <c r="C853" s="42"/>
      <c r="D853" s="42"/>
      <c r="E853" s="33"/>
      <c r="F853" s="25"/>
      <c r="G853" s="25"/>
      <c r="H853" s="22"/>
      <c r="I853" s="22"/>
      <c r="J853" s="23"/>
      <c r="K853" s="23"/>
      <c r="L853" s="26"/>
    </row>
    <row r="854" spans="1:12" s="24" customFormat="1" ht="20.100000000000001" customHeight="1" x14ac:dyDescent="0.3">
      <c r="A854" s="44" t="s">
        <v>39</v>
      </c>
      <c r="B854" s="42">
        <v>3</v>
      </c>
      <c r="C854" s="42">
        <v>89000</v>
      </c>
      <c r="D854" s="42">
        <v>267000</v>
      </c>
      <c r="E854" s="33">
        <v>78100</v>
      </c>
      <c r="F854" s="25"/>
      <c r="G854" s="25"/>
      <c r="H854" s="34">
        <f t="shared" ref="H854:H855" si="440">D854-(E854*B854)-G854</f>
        <v>32700</v>
      </c>
      <c r="I854" s="34"/>
      <c r="J854" s="35">
        <f t="shared" ref="J854:J855" si="441">(H854/D854)*100</f>
        <v>12.247191011235955</v>
      </c>
      <c r="K854" s="35"/>
      <c r="L854" s="27"/>
    </row>
    <row r="855" spans="1:12" s="24" customFormat="1" ht="20.100000000000001" customHeight="1" x14ac:dyDescent="0.3">
      <c r="A855" s="44" t="s">
        <v>20</v>
      </c>
      <c r="B855" s="42">
        <v>4</v>
      </c>
      <c r="C855" s="42">
        <v>70000</v>
      </c>
      <c r="D855" s="42">
        <v>280000</v>
      </c>
      <c r="E855" s="33">
        <v>46600</v>
      </c>
      <c r="F855" s="25"/>
      <c r="G855" s="25"/>
      <c r="H855" s="34">
        <f t="shared" si="440"/>
        <v>93600</v>
      </c>
      <c r="I855" s="34"/>
      <c r="J855" s="35">
        <f t="shared" si="441"/>
        <v>33.428571428571431</v>
      </c>
      <c r="K855" s="35"/>
      <c r="L855" s="26"/>
    </row>
    <row r="856" spans="1:12" s="24" customFormat="1" ht="20.100000000000001" customHeight="1" x14ac:dyDescent="0.3">
      <c r="A856" s="43" t="s">
        <v>439</v>
      </c>
      <c r="B856" s="42"/>
      <c r="C856" s="42"/>
      <c r="D856" s="42"/>
      <c r="E856" s="33"/>
      <c r="F856" s="25"/>
      <c r="G856" s="25"/>
      <c r="H856" s="22"/>
      <c r="I856" s="22"/>
      <c r="J856" s="23"/>
      <c r="K856" s="23"/>
      <c r="L856" s="26"/>
    </row>
    <row r="857" spans="1:12" s="24" customFormat="1" ht="20.100000000000001" customHeight="1" x14ac:dyDescent="0.3">
      <c r="A857" s="44" t="s">
        <v>23</v>
      </c>
      <c r="B857" s="42">
        <v>1</v>
      </c>
      <c r="C857" s="42">
        <v>107000</v>
      </c>
      <c r="D857" s="42">
        <v>107000</v>
      </c>
      <c r="E857" s="33">
        <v>63400</v>
      </c>
      <c r="F857" s="25"/>
      <c r="G857" s="25"/>
      <c r="H857" s="34">
        <f t="shared" ref="H857:H858" si="442">D857-(E857*B857)-G857</f>
        <v>43600</v>
      </c>
      <c r="I857" s="34"/>
      <c r="J857" s="35">
        <f t="shared" ref="J857:J858" si="443">(H857/D857)*100</f>
        <v>40.747663551401871</v>
      </c>
      <c r="K857" s="35"/>
      <c r="L857" s="26"/>
    </row>
    <row r="858" spans="1:12" s="24" customFormat="1" ht="20.100000000000001" customHeight="1" x14ac:dyDescent="0.3">
      <c r="A858" s="44" t="s">
        <v>71</v>
      </c>
      <c r="B858" s="42">
        <v>1</v>
      </c>
      <c r="C858" s="42">
        <v>86500</v>
      </c>
      <c r="D858" s="42">
        <v>86500</v>
      </c>
      <c r="E858" s="33">
        <v>55400</v>
      </c>
      <c r="F858" s="25"/>
      <c r="G858" s="25"/>
      <c r="H858" s="34">
        <f t="shared" si="442"/>
        <v>31100</v>
      </c>
      <c r="I858" s="34"/>
      <c r="J858" s="35">
        <f t="shared" si="443"/>
        <v>35.953757225433527</v>
      </c>
      <c r="K858" s="35"/>
      <c r="L858" s="27"/>
    </row>
    <row r="859" spans="1:12" s="24" customFormat="1" ht="20.100000000000001" customHeight="1" x14ac:dyDescent="0.3">
      <c r="A859" s="43" t="s">
        <v>339</v>
      </c>
      <c r="B859" s="42"/>
      <c r="C859" s="42"/>
      <c r="D859" s="42"/>
      <c r="E859" s="33"/>
      <c r="F859" s="25"/>
      <c r="G859" s="25"/>
      <c r="H859" s="22"/>
      <c r="I859" s="22"/>
      <c r="J859" s="23"/>
      <c r="K859" s="23"/>
      <c r="L859" s="26"/>
    </row>
    <row r="860" spans="1:12" s="24" customFormat="1" ht="20.100000000000001" customHeight="1" x14ac:dyDescent="0.3">
      <c r="A860" s="44" t="s">
        <v>33</v>
      </c>
      <c r="B860" s="42">
        <v>3</v>
      </c>
      <c r="C860" s="42">
        <v>330000</v>
      </c>
      <c r="D860" s="42">
        <v>990000</v>
      </c>
      <c r="E860" s="33">
        <v>289000</v>
      </c>
      <c r="F860" s="25"/>
      <c r="G860" s="25"/>
      <c r="H860" s="34">
        <f t="shared" ref="H860" si="444">D860-(E860*B860)-G860</f>
        <v>123000</v>
      </c>
      <c r="I860" s="34"/>
      <c r="J860" s="35">
        <f t="shared" ref="J860" si="445">(H860/D860)*100</f>
        <v>12.424242424242424</v>
      </c>
      <c r="K860" s="35"/>
      <c r="L860" s="26"/>
    </row>
    <row r="861" spans="1:12" s="24" customFormat="1" ht="20.100000000000001" customHeight="1" x14ac:dyDescent="0.3">
      <c r="A861" s="43" t="s">
        <v>440</v>
      </c>
      <c r="B861" s="42"/>
      <c r="C861" s="42"/>
      <c r="D861" s="42"/>
      <c r="E861" s="33"/>
      <c r="F861" s="25"/>
      <c r="G861" s="25"/>
      <c r="H861" s="22"/>
      <c r="I861" s="22"/>
      <c r="J861" s="23"/>
      <c r="K861" s="23"/>
      <c r="L861" s="27"/>
    </row>
    <row r="862" spans="1:12" s="24" customFormat="1" ht="20.100000000000001" customHeight="1" x14ac:dyDescent="0.3">
      <c r="A862" s="44" t="s">
        <v>441</v>
      </c>
      <c r="B862" s="42">
        <v>2</v>
      </c>
      <c r="C862" s="42">
        <v>440000</v>
      </c>
      <c r="D862" s="42">
        <v>880000</v>
      </c>
      <c r="E862" s="33">
        <v>353000</v>
      </c>
      <c r="F862" s="25"/>
      <c r="G862" s="25"/>
      <c r="H862" s="34">
        <f t="shared" ref="H862" si="446">D862-(E862*B862)-G862</f>
        <v>174000</v>
      </c>
      <c r="I862" s="34"/>
      <c r="J862" s="35">
        <f t="shared" ref="J862" si="447">(H862/D862)*100</f>
        <v>19.772727272727273</v>
      </c>
      <c r="K862" s="35"/>
      <c r="L862" s="27"/>
    </row>
    <row r="863" spans="1:12" s="24" customFormat="1" ht="19.5" customHeight="1" x14ac:dyDescent="0.3">
      <c r="A863" s="43" t="s">
        <v>442</v>
      </c>
      <c r="B863" s="42"/>
      <c r="C863" s="42"/>
      <c r="D863" s="42"/>
      <c r="E863" s="33"/>
      <c r="F863" s="25"/>
      <c r="G863" s="25"/>
      <c r="H863" s="22"/>
      <c r="I863" s="22"/>
      <c r="J863" s="23"/>
      <c r="K863" s="23"/>
      <c r="L863" s="26"/>
    </row>
    <row r="864" spans="1:12" s="24" customFormat="1" ht="20.100000000000001" customHeight="1" x14ac:dyDescent="0.3">
      <c r="A864" s="44" t="s">
        <v>526</v>
      </c>
      <c r="B864" s="42">
        <v>1</v>
      </c>
      <c r="C864" s="42">
        <v>2900000</v>
      </c>
      <c r="D864" s="42">
        <v>2900000</v>
      </c>
      <c r="E864" s="33">
        <v>2550000</v>
      </c>
      <c r="F864" s="25"/>
      <c r="G864" s="25"/>
      <c r="H864" s="34">
        <f t="shared" ref="H864" si="448">D864-(E864*B864)-G864</f>
        <v>350000</v>
      </c>
      <c r="I864" s="34"/>
      <c r="J864" s="35">
        <f t="shared" ref="J864" si="449">(H864/D864)*100</f>
        <v>12.068965517241379</v>
      </c>
      <c r="K864" s="35"/>
      <c r="L864" s="26"/>
    </row>
    <row r="865" spans="1:12" s="24" customFormat="1" ht="20.100000000000001" customHeight="1" x14ac:dyDescent="0.3">
      <c r="A865" s="43" t="s">
        <v>140</v>
      </c>
      <c r="B865" s="42"/>
      <c r="C865" s="42"/>
      <c r="D865" s="42"/>
      <c r="E865" s="33"/>
      <c r="F865" s="25"/>
      <c r="G865" s="25"/>
      <c r="H865" s="22"/>
      <c r="I865" s="22"/>
      <c r="J865" s="23"/>
      <c r="K865" s="23"/>
      <c r="L865" s="26"/>
    </row>
    <row r="866" spans="1:12" s="24" customFormat="1" ht="20.100000000000001" customHeight="1" x14ac:dyDescent="0.3">
      <c r="A866" s="44" t="s">
        <v>50</v>
      </c>
      <c r="B866" s="42">
        <v>11</v>
      </c>
      <c r="C866" s="42">
        <v>63000</v>
      </c>
      <c r="D866" s="42">
        <v>693000</v>
      </c>
      <c r="E866" s="33">
        <v>53900</v>
      </c>
      <c r="F866" s="25"/>
      <c r="G866" s="25"/>
      <c r="H866" s="34">
        <f t="shared" ref="H866:H869" si="450">D866-(E866*B866)-G866</f>
        <v>100100</v>
      </c>
      <c r="I866" s="34"/>
      <c r="J866" s="35">
        <f t="shared" ref="J866:J869" si="451">(H866/D866)*100</f>
        <v>14.444444444444443</v>
      </c>
      <c r="K866" s="35"/>
      <c r="L866" s="27"/>
    </row>
    <row r="867" spans="1:12" s="24" customFormat="1" ht="20.100000000000001" customHeight="1" x14ac:dyDescent="0.3">
      <c r="A867" s="44" t="s">
        <v>44</v>
      </c>
      <c r="B867" s="42">
        <v>8</v>
      </c>
      <c r="C867" s="42">
        <v>101000</v>
      </c>
      <c r="D867" s="42">
        <v>808000</v>
      </c>
      <c r="E867" s="33">
        <v>83600</v>
      </c>
      <c r="F867" s="25"/>
      <c r="G867" s="25"/>
      <c r="H867" s="34">
        <f t="shared" si="450"/>
        <v>139200</v>
      </c>
      <c r="I867" s="34"/>
      <c r="J867" s="35">
        <f t="shared" si="451"/>
        <v>17.227722772277225</v>
      </c>
      <c r="K867" s="35"/>
      <c r="L867" s="26"/>
    </row>
    <row r="868" spans="1:12" s="24" customFormat="1" ht="20.100000000000001" customHeight="1" x14ac:dyDescent="0.3">
      <c r="A868" s="44" t="s">
        <v>23</v>
      </c>
      <c r="B868" s="42">
        <v>11</v>
      </c>
      <c r="C868" s="42">
        <v>105000</v>
      </c>
      <c r="D868" s="42">
        <v>1155000</v>
      </c>
      <c r="E868" s="33">
        <v>63400</v>
      </c>
      <c r="F868" s="25"/>
      <c r="G868" s="25"/>
      <c r="H868" s="34">
        <f t="shared" si="450"/>
        <v>457600</v>
      </c>
      <c r="I868" s="34"/>
      <c r="J868" s="35">
        <f t="shared" si="451"/>
        <v>39.61904761904762</v>
      </c>
      <c r="K868" s="35"/>
      <c r="L868" s="26"/>
    </row>
    <row r="869" spans="1:12" s="24" customFormat="1" ht="20.100000000000001" customHeight="1" x14ac:dyDescent="0.3">
      <c r="A869" s="44" t="s">
        <v>150</v>
      </c>
      <c r="B869" s="42">
        <v>5</v>
      </c>
      <c r="C869" s="42">
        <v>98000</v>
      </c>
      <c r="D869" s="42">
        <v>490000</v>
      </c>
      <c r="E869" s="33">
        <v>81000</v>
      </c>
      <c r="F869" s="25"/>
      <c r="G869" s="25"/>
      <c r="H869" s="34">
        <f t="shared" si="450"/>
        <v>85000</v>
      </c>
      <c r="I869" s="34"/>
      <c r="J869" s="35">
        <f t="shared" si="451"/>
        <v>17.346938775510203</v>
      </c>
      <c r="K869" s="35"/>
      <c r="L869" s="27"/>
    </row>
    <row r="870" spans="1:12" s="24" customFormat="1" ht="20.100000000000001" customHeight="1" x14ac:dyDescent="0.3">
      <c r="A870" s="43" t="s">
        <v>340</v>
      </c>
      <c r="B870" s="42"/>
      <c r="C870" s="42"/>
      <c r="D870" s="42"/>
      <c r="E870" s="33"/>
      <c r="F870" s="25"/>
      <c r="G870" s="25"/>
      <c r="H870" s="22"/>
      <c r="I870" s="22"/>
      <c r="J870" s="23"/>
      <c r="K870" s="23"/>
      <c r="L870" s="27"/>
    </row>
    <row r="871" spans="1:12" s="24" customFormat="1" ht="20.100000000000001" customHeight="1" x14ac:dyDescent="0.3">
      <c r="A871" s="44" t="s">
        <v>527</v>
      </c>
      <c r="B871" s="42">
        <v>1</v>
      </c>
      <c r="C871" s="42">
        <v>80000</v>
      </c>
      <c r="D871" s="42">
        <v>80000</v>
      </c>
      <c r="E871" s="33">
        <v>69000</v>
      </c>
      <c r="F871" s="25"/>
      <c r="G871" s="25"/>
      <c r="H871" s="34">
        <f t="shared" ref="H871" si="452">D871-(E871*B871)-G871</f>
        <v>11000</v>
      </c>
      <c r="I871" s="34"/>
      <c r="J871" s="35">
        <f t="shared" ref="J871" si="453">(H871/D871)*100</f>
        <v>13.750000000000002</v>
      </c>
      <c r="K871" s="35"/>
      <c r="L871" s="27"/>
    </row>
    <row r="872" spans="1:12" s="24" customFormat="1" ht="20.100000000000001" customHeight="1" x14ac:dyDescent="0.3">
      <c r="A872" s="43" t="s">
        <v>323</v>
      </c>
      <c r="B872" s="42"/>
      <c r="C872" s="42"/>
      <c r="D872" s="42"/>
      <c r="E872" s="33"/>
      <c r="F872" s="25"/>
      <c r="G872" s="25"/>
      <c r="H872" s="22"/>
      <c r="I872" s="22"/>
      <c r="J872" s="23"/>
      <c r="K872" s="23"/>
      <c r="L872" s="26"/>
    </row>
    <row r="873" spans="1:12" s="24" customFormat="1" ht="20.100000000000001" customHeight="1" x14ac:dyDescent="0.3">
      <c r="A873" s="44" t="s">
        <v>127</v>
      </c>
      <c r="B873" s="42">
        <v>3</v>
      </c>
      <c r="C873" s="42">
        <v>88700</v>
      </c>
      <c r="D873" s="42">
        <v>266100</v>
      </c>
      <c r="E873" s="33">
        <v>62800</v>
      </c>
      <c r="F873" s="25"/>
      <c r="G873" s="25"/>
      <c r="H873" s="34">
        <f t="shared" ref="H873" si="454">D873-(E873*B873)-G873</f>
        <v>77700</v>
      </c>
      <c r="I873" s="34"/>
      <c r="J873" s="35">
        <f t="shared" ref="J873" si="455">(H873/D873)*100</f>
        <v>29.199549041713642</v>
      </c>
      <c r="K873" s="35"/>
      <c r="L873" s="26"/>
    </row>
    <row r="874" spans="1:12" s="24" customFormat="1" ht="20.100000000000001" customHeight="1" x14ac:dyDescent="0.3">
      <c r="A874" s="43" t="s">
        <v>269</v>
      </c>
      <c r="B874" s="42"/>
      <c r="C874" s="42"/>
      <c r="D874" s="42"/>
      <c r="E874" s="33"/>
      <c r="F874" s="25"/>
      <c r="G874" s="25"/>
      <c r="H874" s="22"/>
      <c r="I874" s="22"/>
      <c r="J874" s="23"/>
      <c r="K874" s="23"/>
      <c r="L874" s="27"/>
    </row>
    <row r="875" spans="1:12" s="24" customFormat="1" ht="19.5" customHeight="1" x14ac:dyDescent="0.3">
      <c r="A875" s="44" t="s">
        <v>165</v>
      </c>
      <c r="B875" s="42">
        <v>1</v>
      </c>
      <c r="C875" s="42">
        <v>145000</v>
      </c>
      <c r="D875" s="42">
        <v>145000</v>
      </c>
      <c r="E875" s="33">
        <v>120000</v>
      </c>
      <c r="F875" s="25"/>
      <c r="G875" s="25"/>
      <c r="H875" s="34">
        <f t="shared" ref="H875" si="456">D875-(E875*B875)-G875</f>
        <v>25000</v>
      </c>
      <c r="I875" s="34"/>
      <c r="J875" s="35">
        <f t="shared" ref="J875" si="457">(H875/D875)*100</f>
        <v>17.241379310344829</v>
      </c>
      <c r="K875" s="35"/>
      <c r="L875" s="26"/>
    </row>
    <row r="876" spans="1:12" s="24" customFormat="1" ht="20.100000000000001" customHeight="1" x14ac:dyDescent="0.3">
      <c r="A876" s="43" t="s">
        <v>443</v>
      </c>
      <c r="B876" s="42"/>
      <c r="C876" s="42"/>
      <c r="D876" s="42"/>
      <c r="E876" s="33"/>
      <c r="F876" s="25"/>
      <c r="G876" s="25"/>
      <c r="H876" s="22"/>
      <c r="I876" s="22"/>
      <c r="J876" s="23"/>
      <c r="K876" s="23"/>
      <c r="L876" s="26"/>
    </row>
    <row r="877" spans="1:12" s="24" customFormat="1" ht="20.100000000000001" customHeight="1" thickBot="1" x14ac:dyDescent="0.35">
      <c r="A877" s="45" t="s">
        <v>444</v>
      </c>
      <c r="B877" s="46">
        <v>1</v>
      </c>
      <c r="C877" s="46">
        <v>350000</v>
      </c>
      <c r="D877" s="46">
        <v>350000</v>
      </c>
      <c r="E877" s="33">
        <v>274000</v>
      </c>
      <c r="F877" s="25"/>
      <c r="G877" s="25"/>
      <c r="H877" s="34">
        <f t="shared" ref="H877" si="458">D877-(E877*B877)-G877</f>
        <v>76000</v>
      </c>
      <c r="I877" s="34"/>
      <c r="J877" s="35">
        <f t="shared" ref="J877" si="459">(H877/D877)*100</f>
        <v>21.714285714285715</v>
      </c>
      <c r="K877" s="35"/>
      <c r="L877" s="26"/>
    </row>
    <row r="878" spans="1:12" s="10" customFormat="1" ht="27" customHeight="1" thickBot="1" x14ac:dyDescent="0.35">
      <c r="A878" s="32"/>
      <c r="B878" s="28"/>
      <c r="C878" s="28"/>
      <c r="D878" s="28">
        <f t="shared" ref="D878:I878" si="460">SUM(D6:D877)</f>
        <v>1284684470</v>
      </c>
      <c r="E878" s="28">
        <f t="shared" si="460"/>
        <v>164452764</v>
      </c>
      <c r="F878" s="28">
        <f t="shared" si="460"/>
        <v>20812700</v>
      </c>
      <c r="G878" s="28">
        <f t="shared" si="460"/>
        <v>260000</v>
      </c>
      <c r="H878" s="28">
        <f t="shared" si="460"/>
        <v>92780181</v>
      </c>
      <c r="I878" s="28">
        <f t="shared" si="460"/>
        <v>68931460</v>
      </c>
      <c r="J878" s="29">
        <f>(H878/D878)*100</f>
        <v>7.222020906036172</v>
      </c>
      <c r="K878" s="30">
        <f>(I878/D878)*100</f>
        <v>5.3656334773004613</v>
      </c>
      <c r="L878" s="31"/>
    </row>
  </sheetData>
  <autoFilter ref="B5:K878" xr:uid="{00000000-0009-0000-0000-000002000000}"/>
  <mergeCells count="8">
    <mergeCell ref="A1:L1"/>
    <mergeCell ref="A2:L2"/>
    <mergeCell ref="A4:A5"/>
    <mergeCell ref="B4:D4"/>
    <mergeCell ref="E4:G4"/>
    <mergeCell ref="H4:I4"/>
    <mergeCell ref="J4:K4"/>
    <mergeCell ref="L4:L5"/>
  </mergeCells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11-13</vt:lpstr>
      <vt:lpstr>11-12</vt:lpstr>
      <vt:lpstr>11-03~11-11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형철 신</cp:lastModifiedBy>
  <dcterms:created xsi:type="dcterms:W3CDTF">2021-06-02T09:05:36Z</dcterms:created>
  <dcterms:modified xsi:type="dcterms:W3CDTF">2025-11-19T08:31:19Z</dcterms:modified>
</cp:coreProperties>
</file>