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HIN\Documents\1영일오엔씨\계약서\MCP서버 구축\"/>
    </mc:Choice>
  </mc:AlternateContent>
  <xr:revisionPtr revIDLastSave="0" documentId="8_{4530B440-C801-4062-97CA-FC315C591E61}" xr6:coauthVersionLast="47" xr6:coauthVersionMax="47" xr10:uidLastSave="{00000000-0000-0000-0000-000000000000}"/>
  <bookViews>
    <workbookView xWindow="28680" yWindow="-180" windowWidth="29040" windowHeight="15720" activeTab="5" xr2:uid="{00000000-000D-0000-FFFF-FFFF00000000}"/>
  </bookViews>
  <sheets>
    <sheet name="화성" sheetId="1" r:id="rId1"/>
    <sheet name="창원" sheetId="2" r:id="rId2"/>
    <sheet name="부산" sheetId="3" state="hidden" r:id="rId3"/>
    <sheet name="동부" sheetId="7" r:id="rId4"/>
    <sheet name="서부" sheetId="5" r:id="rId5"/>
    <sheet name="제주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4" i="6" l="1"/>
  <c r="AF38" i="5" l="1"/>
  <c r="AF27" i="7"/>
  <c r="AF22" i="2"/>
  <c r="AF30" i="1"/>
  <c r="AE14" i="6" l="1"/>
  <c r="AE38" i="5"/>
  <c r="AE27" i="7"/>
  <c r="AE22" i="2"/>
  <c r="AE30" i="1" l="1"/>
  <c r="AD14" i="6" l="1"/>
  <c r="AD38" i="5"/>
  <c r="AD27" i="7" l="1"/>
  <c r="AD22" i="2"/>
  <c r="AD30" i="1" l="1"/>
  <c r="AC14" i="6" l="1"/>
  <c r="AC38" i="5" l="1"/>
  <c r="AC27" i="7"/>
  <c r="AC22" i="2"/>
  <c r="AC30" i="1" l="1"/>
  <c r="AB14" i="6" l="1"/>
  <c r="AB38" i="5"/>
  <c r="AB27" i="7" l="1"/>
  <c r="AB22" i="2"/>
  <c r="AB30" i="1" l="1"/>
  <c r="AA14" i="6" l="1"/>
  <c r="AA38" i="5"/>
  <c r="Z27" i="7" l="1"/>
  <c r="AA22" i="2"/>
  <c r="AA30" i="1" l="1"/>
  <c r="Z14" i="6" l="1"/>
  <c r="Z38" i="5" l="1"/>
  <c r="AA27" i="7"/>
  <c r="Z22" i="2"/>
  <c r="Z30" i="1" l="1"/>
  <c r="T30" i="1" l="1"/>
  <c r="Y22" i="2" l="1"/>
  <c r="Y27" i="7"/>
  <c r="Y38" i="5"/>
  <c r="Y14" i="6"/>
  <c r="Y30" i="1"/>
  <c r="X14" i="6" l="1"/>
  <c r="X38" i="5" l="1"/>
  <c r="X27" i="7"/>
  <c r="X22" i="2"/>
  <c r="X30" i="1" l="1"/>
  <c r="W38" i="5" l="1"/>
  <c r="W14" i="6"/>
  <c r="W27" i="7"/>
  <c r="W22" i="2"/>
  <c r="W30" i="1" l="1"/>
  <c r="V14" i="6" l="1"/>
  <c r="V38" i="5"/>
  <c r="V27" i="7"/>
  <c r="V22" i="2"/>
  <c r="V30" i="1"/>
  <c r="U14" i="6" l="1"/>
  <c r="U38" i="5" l="1"/>
  <c r="U27" i="7"/>
  <c r="U22" i="2"/>
  <c r="U30" i="1" l="1"/>
  <c r="T14" i="6" l="1"/>
  <c r="T38" i="5"/>
  <c r="T27" i="7" l="1"/>
  <c r="T22" i="2"/>
  <c r="S22" i="2" l="1"/>
  <c r="S14" i="6" l="1"/>
  <c r="S38" i="5"/>
  <c r="S27" i="7" l="1"/>
  <c r="R27" i="7"/>
  <c r="S30" i="1" l="1"/>
  <c r="R14" i="6" l="1"/>
  <c r="R22" i="2"/>
  <c r="R38" i="5" l="1"/>
  <c r="R30" i="1" l="1"/>
  <c r="Q14" i="6" l="1"/>
  <c r="Q38" i="5"/>
  <c r="Q27" i="7" l="1"/>
  <c r="Q22" i="2"/>
  <c r="Q30" i="1" l="1"/>
  <c r="P14" i="6" l="1"/>
  <c r="P38" i="5"/>
  <c r="P27" i="7" l="1"/>
  <c r="P22" i="2" l="1"/>
  <c r="P30" i="1"/>
  <c r="AG38" i="5" l="1"/>
  <c r="AG27" i="7" l="1"/>
  <c r="AG14" i="6"/>
  <c r="AG22" i="2"/>
  <c r="AG30" i="1" l="1"/>
  <c r="AI30" i="1"/>
  <c r="AJ30" i="1"/>
  <c r="AK30" i="1"/>
  <c r="AL30" i="1"/>
  <c r="O22" i="2" l="1"/>
  <c r="O27" i="7"/>
  <c r="O14" i="6"/>
  <c r="O30" i="1"/>
  <c r="N14" i="6" l="1"/>
  <c r="N27" i="7" l="1"/>
  <c r="N22" i="2" l="1"/>
  <c r="N30" i="1" l="1"/>
  <c r="M14" i="6" l="1"/>
  <c r="M27" i="7" l="1"/>
  <c r="M22" i="2" l="1"/>
  <c r="M30" i="1" l="1"/>
  <c r="L14" i="6" l="1"/>
  <c r="L27" i="7" l="1"/>
  <c r="L22" i="2" l="1"/>
  <c r="L30" i="1" l="1"/>
  <c r="K14" i="6" l="1"/>
  <c r="K38" i="5" l="1"/>
  <c r="K27" i="7" l="1"/>
  <c r="J27" i="7"/>
  <c r="I27" i="7"/>
  <c r="H27" i="7"/>
  <c r="G27" i="7"/>
  <c r="F27" i="7"/>
  <c r="E27" i="7"/>
  <c r="AK6" i="7"/>
  <c r="K22" i="2" l="1"/>
  <c r="K30" i="1" l="1"/>
  <c r="J14" i="6" l="1"/>
  <c r="J38" i="5"/>
  <c r="J22" i="2" l="1"/>
  <c r="J30" i="1"/>
  <c r="I30" i="1" l="1"/>
  <c r="I38" i="5" l="1"/>
  <c r="I22" i="2" l="1"/>
  <c r="I14" i="6"/>
  <c r="H22" i="2" l="1"/>
  <c r="H38" i="5"/>
  <c r="H14" i="6"/>
  <c r="H30" i="1"/>
  <c r="G14" i="6" l="1"/>
  <c r="G30" i="1" l="1"/>
  <c r="G38" i="5" l="1"/>
  <c r="G22" i="2" l="1"/>
  <c r="F22" i="2" l="1"/>
  <c r="AH22" i="2"/>
  <c r="AI22" i="2"/>
  <c r="AJ22" i="2"/>
  <c r="AK22" i="2"/>
  <c r="AL22" i="2"/>
  <c r="E22" i="2"/>
  <c r="F30" i="1" l="1"/>
  <c r="F14" i="6" l="1"/>
  <c r="F11" i="3"/>
  <c r="F38" i="5" l="1"/>
  <c r="E10" i="1" l="1"/>
  <c r="E12" i="1" l="1"/>
  <c r="AH10" i="1"/>
  <c r="AH8" i="1"/>
  <c r="AH30" i="1" s="1"/>
  <c r="E8" i="1"/>
  <c r="E14" i="6" l="1"/>
  <c r="E38" i="5" l="1"/>
  <c r="E11" i="3"/>
  <c r="E30" i="1"/>
  <c r="AI5" i="5" l="1"/>
  <c r="AI6" i="5"/>
  <c r="AI7" i="5"/>
  <c r="AI8" i="5"/>
  <c r="AI9" i="5"/>
  <c r="AI10" i="5"/>
  <c r="AI16" i="5"/>
  <c r="AI18" i="5"/>
  <c r="AI19" i="5"/>
  <c r="AI20" i="5"/>
  <c r="AI21" i="5"/>
  <c r="AI22" i="5"/>
  <c r="AI24" i="5"/>
  <c r="AI25" i="5"/>
  <c r="AI27" i="5"/>
  <c r="AI28" i="5"/>
  <c r="AI29" i="5"/>
  <c r="AI30" i="5"/>
  <c r="AI32" i="5"/>
  <c r="AI34" i="5"/>
  <c r="AI37" i="5"/>
</calcChain>
</file>

<file path=xl/sharedStrings.xml><?xml version="1.0" encoding="utf-8"?>
<sst xmlns="http://schemas.openxmlformats.org/spreadsheetml/2006/main" count="2500" uniqueCount="639">
  <si>
    <t>DM</t>
    <phoneticPr fontId="1" type="noConversion"/>
  </si>
  <si>
    <t>DELVAC XHP ESP S 10W-40</t>
    <phoneticPr fontId="1" type="noConversion"/>
  </si>
  <si>
    <t>AL</t>
    <phoneticPr fontId="1" type="noConversion"/>
  </si>
  <si>
    <t>PL</t>
    <phoneticPr fontId="1" type="noConversion"/>
  </si>
  <si>
    <t>IL</t>
    <phoneticPr fontId="1" type="noConversion"/>
  </si>
  <si>
    <t>최종 판매일</t>
    <phoneticPr fontId="1" type="noConversion"/>
  </si>
  <si>
    <t>최종 구매일</t>
    <phoneticPr fontId="1" type="noConversion"/>
  </si>
  <si>
    <t>제조일자</t>
    <phoneticPr fontId="1" type="noConversion"/>
  </si>
  <si>
    <t>현재고</t>
    <phoneticPr fontId="1" type="noConversion"/>
  </si>
  <si>
    <t>규격</t>
    <phoneticPr fontId="1" type="noConversion"/>
  </si>
  <si>
    <t>제품명</t>
    <phoneticPr fontId="1" type="noConversion"/>
  </si>
  <si>
    <t>구분</t>
    <phoneticPr fontId="1" type="noConversion"/>
  </si>
  <si>
    <t>2022.05.02</t>
    <phoneticPr fontId="1" type="noConversion"/>
  </si>
  <si>
    <t>비고</t>
    <phoneticPr fontId="1" type="noConversion"/>
  </si>
  <si>
    <t>2022.04.25</t>
    <phoneticPr fontId="1" type="noConversion"/>
  </si>
  <si>
    <t>2023.02.27</t>
    <phoneticPr fontId="1" type="noConversion"/>
  </si>
  <si>
    <t>2022.08.01</t>
    <phoneticPr fontId="1" type="noConversion"/>
  </si>
  <si>
    <t>2022.03.31</t>
    <phoneticPr fontId="1" type="noConversion"/>
  </si>
  <si>
    <t>2022.06.30</t>
    <phoneticPr fontId="1" type="noConversion"/>
  </si>
  <si>
    <t>제이케이머트리얼즈특가 잔량매입</t>
    <phoneticPr fontId="1" type="noConversion"/>
  </si>
  <si>
    <t>2022.11.04</t>
    <phoneticPr fontId="1" type="noConversion"/>
  </si>
  <si>
    <t>2023.05.10</t>
    <phoneticPr fontId="1" type="noConversion"/>
  </si>
  <si>
    <t>2023.05.22</t>
    <phoneticPr fontId="1" type="noConversion"/>
  </si>
  <si>
    <t>2022.07.13</t>
    <phoneticPr fontId="1" type="noConversion"/>
  </si>
  <si>
    <t>2023.05.03</t>
    <phoneticPr fontId="1" type="noConversion"/>
  </si>
  <si>
    <t>2021.04.13</t>
    <phoneticPr fontId="1" type="noConversion"/>
  </si>
  <si>
    <t>2022.06.22</t>
    <phoneticPr fontId="1" type="noConversion"/>
  </si>
  <si>
    <t>티센특가 인상전 재고 확보</t>
    <phoneticPr fontId="1" type="noConversion"/>
  </si>
  <si>
    <t>2023.05.23</t>
    <phoneticPr fontId="1" type="noConversion"/>
  </si>
  <si>
    <t>2022.04.26</t>
    <phoneticPr fontId="1" type="noConversion"/>
  </si>
  <si>
    <t>MOBIL DTE 10 EXCEL 100</t>
    <phoneticPr fontId="1" type="noConversion"/>
  </si>
  <si>
    <t>MOBIL SPARTAN EP 320</t>
    <phoneticPr fontId="1" type="noConversion"/>
  </si>
  <si>
    <t>MOBIL SPARTAN EP 460</t>
    <phoneticPr fontId="1" type="noConversion"/>
  </si>
  <si>
    <t>MOBILUX EP 3</t>
    <phoneticPr fontId="1" type="noConversion"/>
  </si>
  <si>
    <t>MOBIL SHC 525</t>
    <phoneticPr fontId="1" type="noConversion"/>
  </si>
  <si>
    <t>MOBIL THERM 603</t>
    <phoneticPr fontId="1" type="noConversion"/>
  </si>
  <si>
    <t>MOBIL GAR ARCTIC SHC 226 E</t>
    <phoneticPr fontId="1" type="noConversion"/>
  </si>
  <si>
    <t>MOBIL GAR ARCTIC 300</t>
    <phoneticPr fontId="1" type="noConversion"/>
  </si>
  <si>
    <t>DM</t>
    <phoneticPr fontId="1" type="noConversion"/>
  </si>
  <si>
    <t>2022.06.29</t>
    <phoneticPr fontId="1" type="noConversion"/>
  </si>
  <si>
    <t>2023.04.21</t>
    <phoneticPr fontId="1" type="noConversion"/>
  </si>
  <si>
    <t>MOBIL HYDRAULIC AW 68</t>
    <phoneticPr fontId="1" type="noConversion"/>
  </si>
  <si>
    <t>2023.05.19</t>
    <phoneticPr fontId="1" type="noConversion"/>
  </si>
  <si>
    <t>2022.12.21</t>
    <phoneticPr fontId="1" type="noConversion"/>
  </si>
  <si>
    <t>MOBIL CUT 250</t>
    <phoneticPr fontId="1" type="noConversion"/>
  </si>
  <si>
    <t>2022.05.10</t>
    <phoneticPr fontId="1" type="noConversion"/>
  </si>
  <si>
    <t>2022.06.28</t>
    <phoneticPr fontId="1" type="noConversion"/>
  </si>
  <si>
    <t>MOBIL CENTAUR XHP 462</t>
    <phoneticPr fontId="1" type="noConversion"/>
  </si>
  <si>
    <t>2022.06.09</t>
    <phoneticPr fontId="1" type="noConversion"/>
  </si>
  <si>
    <t>2022.06.08</t>
    <phoneticPr fontId="1" type="noConversion"/>
  </si>
  <si>
    <t>MOBILUX EP 023</t>
    <phoneticPr fontId="1" type="noConversion"/>
  </si>
  <si>
    <t>2023.03.29</t>
    <phoneticPr fontId="1" type="noConversion"/>
  </si>
  <si>
    <t>2022.12.14</t>
    <phoneticPr fontId="1" type="noConversion"/>
  </si>
  <si>
    <t>MOBIL DTE 732 M</t>
    <phoneticPr fontId="1" type="noConversion"/>
  </si>
  <si>
    <t>2021.05.04</t>
    <phoneticPr fontId="1" type="noConversion"/>
  </si>
  <si>
    <t>2022.04.14</t>
  </si>
  <si>
    <t>2022.04.25</t>
  </si>
  <si>
    <t>2022.02.22</t>
  </si>
  <si>
    <t>2022.02.14</t>
  </si>
  <si>
    <t>2022.04.26</t>
  </si>
  <si>
    <t>2021.01.02</t>
  </si>
  <si>
    <t>2022.05.20</t>
  </si>
  <si>
    <t>2020.09.23</t>
  </si>
  <si>
    <t>2020.02.11</t>
  </si>
  <si>
    <t>2020.12.16</t>
  </si>
  <si>
    <t>2021.03.31</t>
  </si>
  <si>
    <t>2022.04.29</t>
  </si>
  <si>
    <t>2021.03.25</t>
  </si>
  <si>
    <t>LUX EP 2 (15KG)</t>
  </si>
  <si>
    <t>PL</t>
  </si>
  <si>
    <t>BOX</t>
    <phoneticPr fontId="1" type="noConversion"/>
  </si>
  <si>
    <t>IL</t>
    <phoneticPr fontId="1" type="noConversion"/>
  </si>
  <si>
    <t>2022.05.26</t>
  </si>
  <si>
    <t>2022.06.23</t>
  </si>
  <si>
    <t>2022.10.11</t>
  </si>
  <si>
    <t>2022.12.13</t>
  </si>
  <si>
    <t>2020.05.20</t>
  </si>
  <si>
    <t>2020.08.07</t>
  </si>
  <si>
    <t>2020.11.21</t>
  </si>
  <si>
    <t>2022.08.06</t>
  </si>
  <si>
    <t>무림페이퍼 특가 인상전 재고 확보</t>
  </si>
  <si>
    <t>단가인상 우려로 다량매입</t>
  </si>
  <si>
    <t>세아창원특수강 TEST 용도로 매입</t>
  </si>
  <si>
    <t>(지속적인 틀밀림 현상으로 인해 제품 변경)</t>
    <phoneticPr fontId="1" type="noConversion"/>
  </si>
  <si>
    <t>MOBILUX EP 3</t>
    <phoneticPr fontId="1" type="noConversion"/>
  </si>
  <si>
    <t>PL</t>
    <phoneticPr fontId="1" type="noConversion"/>
  </si>
  <si>
    <t>2022.08.17</t>
    <phoneticPr fontId="1" type="noConversion"/>
  </si>
  <si>
    <t>2023.05.17</t>
    <phoneticPr fontId="1" type="noConversion"/>
  </si>
  <si>
    <t>PL</t>
    <phoneticPr fontId="1" type="noConversion"/>
  </si>
  <si>
    <t>MOBIL NUTO H 68</t>
    <phoneticPr fontId="1" type="noConversion"/>
  </si>
  <si>
    <t>DM</t>
    <phoneticPr fontId="1" type="noConversion"/>
  </si>
  <si>
    <t>2019.12.31</t>
    <phoneticPr fontId="1" type="noConversion"/>
  </si>
  <si>
    <t>MOBIL HYDRAULIC AW 32</t>
    <phoneticPr fontId="1" type="noConversion"/>
  </si>
  <si>
    <t>2022.06.21</t>
    <phoneticPr fontId="1" type="noConversion"/>
  </si>
  <si>
    <t>2023.05.22</t>
    <phoneticPr fontId="1" type="noConversion"/>
  </si>
  <si>
    <t>MOBIL GREASE XHP 222 SPECIAL</t>
    <phoneticPr fontId="1" type="noConversion"/>
  </si>
  <si>
    <t>2022.12.21</t>
    <phoneticPr fontId="1" type="noConversion"/>
  </si>
  <si>
    <t>MOBIL VELOCITE HP 46</t>
    <phoneticPr fontId="1" type="noConversion"/>
  </si>
  <si>
    <t>DM</t>
    <phoneticPr fontId="1" type="noConversion"/>
  </si>
  <si>
    <t>2021.03.25</t>
    <phoneticPr fontId="1" type="noConversion"/>
  </si>
  <si>
    <t>2021.03.23</t>
    <phoneticPr fontId="1" type="noConversion"/>
  </si>
  <si>
    <t>M DV LEGEND 1340</t>
    <phoneticPr fontId="1" type="noConversion"/>
  </si>
  <si>
    <t>2021.09.15</t>
    <phoneticPr fontId="1" type="noConversion"/>
  </si>
  <si>
    <t>2021.09.17</t>
    <phoneticPr fontId="1" type="noConversion"/>
  </si>
  <si>
    <t>2022.05.10</t>
    <phoneticPr fontId="1" type="noConversion"/>
  </si>
  <si>
    <t>PL</t>
    <phoneticPr fontId="1" type="noConversion"/>
  </si>
  <si>
    <t>MOBIL VACUO 537</t>
    <phoneticPr fontId="1" type="noConversion"/>
  </si>
  <si>
    <t>2022.06.09</t>
    <phoneticPr fontId="1" type="noConversion"/>
  </si>
  <si>
    <t>MOBILUX EP 0(15KG)</t>
    <phoneticPr fontId="1" type="noConversion"/>
  </si>
  <si>
    <t>2021.01.11</t>
    <phoneticPr fontId="1" type="noConversion"/>
  </si>
  <si>
    <t>2020.09.09</t>
    <phoneticPr fontId="1" type="noConversion"/>
  </si>
  <si>
    <t>MOBILUX EP 1(15KG)</t>
    <phoneticPr fontId="1" type="noConversion"/>
  </si>
  <si>
    <t>2020.07.09</t>
    <phoneticPr fontId="1" type="noConversion"/>
  </si>
  <si>
    <t>2020.12.23</t>
    <phoneticPr fontId="1" type="noConversion"/>
  </si>
  <si>
    <t>2021.03.25</t>
    <phoneticPr fontId="1" type="noConversion"/>
  </si>
  <si>
    <t>2022.12.27</t>
    <phoneticPr fontId="1" type="noConversion"/>
  </si>
  <si>
    <t>2020.09.21</t>
    <phoneticPr fontId="1" type="noConversion"/>
  </si>
  <si>
    <t>2023.04.03</t>
    <phoneticPr fontId="1" type="noConversion"/>
  </si>
  <si>
    <t>2020.05.19</t>
    <phoneticPr fontId="1" type="noConversion"/>
  </si>
  <si>
    <t>2020.01.30</t>
    <phoneticPr fontId="1" type="noConversion"/>
  </si>
  <si>
    <t>2021.01.18</t>
    <phoneticPr fontId="1" type="noConversion"/>
  </si>
  <si>
    <t>2021.10.18</t>
    <phoneticPr fontId="1" type="noConversion"/>
  </si>
  <si>
    <t>2021.08.05</t>
    <phoneticPr fontId="1" type="noConversion"/>
  </si>
  <si>
    <t>2021.06.02</t>
    <phoneticPr fontId="1" type="noConversion"/>
  </si>
  <si>
    <t>2022.06.07</t>
    <phoneticPr fontId="1" type="noConversion"/>
  </si>
  <si>
    <t>구분</t>
  </si>
  <si>
    <t>제품명</t>
  </si>
  <si>
    <t>규격</t>
  </si>
  <si>
    <t>제조일자</t>
  </si>
  <si>
    <t>최종 구매일</t>
  </si>
  <si>
    <t>최종 판매일</t>
  </si>
  <si>
    <t>비고</t>
  </si>
  <si>
    <t>AL</t>
  </si>
  <si>
    <t>2021.07.16</t>
  </si>
  <si>
    <t>2022.06.20</t>
  </si>
  <si>
    <t>2022.12.05</t>
  </si>
  <si>
    <t>2021.12.18</t>
  </si>
  <si>
    <t>M Outboard Plus</t>
  </si>
  <si>
    <t>EA</t>
  </si>
  <si>
    <t>2015.10.24</t>
  </si>
  <si>
    <t>2021.01.26</t>
  </si>
  <si>
    <t>2022.12.31</t>
  </si>
  <si>
    <t>소분판매</t>
  </si>
  <si>
    <t>IL</t>
  </si>
  <si>
    <t>MOBIL GREASE XHP 222</t>
  </si>
  <si>
    <t>DM</t>
  </si>
  <si>
    <t>2022.06.16</t>
  </si>
  <si>
    <t>2022.12.15</t>
  </si>
  <si>
    <t>2022.12.27</t>
  </si>
  <si>
    <t>2022.11.03</t>
  </si>
  <si>
    <t>기타</t>
  </si>
  <si>
    <t>BOX</t>
  </si>
  <si>
    <t>2021.02.19</t>
  </si>
  <si>
    <t>2022.03.16</t>
  </si>
  <si>
    <t>2022.07.05</t>
  </si>
  <si>
    <t>2022.11.08</t>
  </si>
  <si>
    <t>천미 그리스 EP No.000</t>
  </si>
  <si>
    <t>2019.11.21</t>
  </si>
  <si>
    <t>2022.02.15</t>
  </si>
  <si>
    <t>2022.02.16</t>
  </si>
  <si>
    <t>2020.01.28</t>
  </si>
  <si>
    <t>2022.12.14</t>
  </si>
  <si>
    <t>2022.12.21</t>
  </si>
  <si>
    <t>2021.03.29</t>
  </si>
  <si>
    <t>2021.07.09</t>
  </si>
  <si>
    <t>2022.11.28</t>
  </si>
  <si>
    <t>2021.09.15</t>
  </si>
  <si>
    <t>2022.04.20</t>
  </si>
  <si>
    <t>2022.06.24</t>
  </si>
  <si>
    <t>2022.08.12</t>
  </si>
  <si>
    <t>2022.09.16</t>
  </si>
  <si>
    <t>2017.01.06</t>
  </si>
  <si>
    <t>2017.07.20</t>
  </si>
  <si>
    <t>2018.01.16</t>
  </si>
  <si>
    <t>2020.11.06</t>
  </si>
  <si>
    <t>2022.10.26</t>
  </si>
  <si>
    <t>2022.09.08</t>
  </si>
  <si>
    <t>2020.12.11</t>
  </si>
  <si>
    <t>2020.11.10</t>
  </si>
  <si>
    <t>2022.07.19</t>
  </si>
  <si>
    <t>2022.07.01</t>
  </si>
  <si>
    <t>2022.02.10</t>
  </si>
  <si>
    <t>M DV ULTRA 5W-40 UP V1</t>
    <phoneticPr fontId="1" type="noConversion"/>
  </si>
  <si>
    <t>극동 브레이크액</t>
    <phoneticPr fontId="1" type="noConversion"/>
  </si>
  <si>
    <t>천미 HIREX EP No.2</t>
    <phoneticPr fontId="1" type="noConversion"/>
  </si>
  <si>
    <t>천미 그리스 EP No.00</t>
    <phoneticPr fontId="1" type="noConversion"/>
  </si>
  <si>
    <t>현대 프리미엄 가솔린 5W20(05100-00121)</t>
    <phoneticPr fontId="1" type="noConversion"/>
  </si>
  <si>
    <t>현대 LSD(02100-00100)</t>
    <phoneticPr fontId="1" type="noConversion"/>
  </si>
  <si>
    <t>현대 초저점도 차세대플러스(05100-00191)</t>
    <phoneticPr fontId="1" type="noConversion"/>
  </si>
  <si>
    <t>쌍용 부동액</t>
    <phoneticPr fontId="1" type="noConversion"/>
  </si>
  <si>
    <t>KIXX RD Z 32</t>
    <phoneticPr fontId="1" type="noConversion"/>
  </si>
  <si>
    <t>2022.10.17</t>
    <phoneticPr fontId="1" type="noConversion"/>
  </si>
  <si>
    <t>구분</t>
    <phoneticPr fontId="1" type="noConversion"/>
  </si>
  <si>
    <t>제품명</t>
    <phoneticPr fontId="1" type="noConversion"/>
  </si>
  <si>
    <t>규격</t>
    <phoneticPr fontId="1" type="noConversion"/>
  </si>
  <si>
    <t>제조일자</t>
    <phoneticPr fontId="1" type="noConversion"/>
  </si>
  <si>
    <t>최종 구매일</t>
    <phoneticPr fontId="1" type="noConversion"/>
  </si>
  <si>
    <t>최종 판매일</t>
    <phoneticPr fontId="1" type="noConversion"/>
  </si>
  <si>
    <t>비고</t>
    <phoneticPr fontId="1" type="noConversion"/>
  </si>
  <si>
    <t>MOBIL ATF 660-PL20L</t>
  </si>
  <si>
    <t>M DELVAC MX 10W30-CT1L/12</t>
  </si>
  <si>
    <t>M Super 1000 XE Diesel 5W30-1LX12</t>
  </si>
  <si>
    <t>M-DEL MX CITY LOG 10W30-CT1LX12</t>
  </si>
  <si>
    <t>M DELVAC MX ESP K 10W40-CT4LX4</t>
  </si>
  <si>
    <t>MOBIL DELVAC XHP ESP M 10W-40 CT4LX4</t>
  </si>
  <si>
    <t>M Delvac MX 10W30-CT4LX4</t>
  </si>
  <si>
    <t>극동 브레이크액0.8／15</t>
  </si>
  <si>
    <t>극동 EPG 4-1</t>
  </si>
  <si>
    <t>대우 순정 부동액(Red) 2／6</t>
  </si>
  <si>
    <t>대우 순정 부동액(Blue) 2/6</t>
  </si>
  <si>
    <t>GULF Transyn MF-LV-Green 18L</t>
  </si>
  <si>
    <t>제니스 RHD 3</t>
  </si>
  <si>
    <t>극동EPG 000</t>
  </si>
  <si>
    <t>VECTON 15W/40-20L</t>
  </si>
  <si>
    <t>VECTON 15W/40-4LX3</t>
  </si>
  <si>
    <t>FUCHS TITAN FFL-52529 (DCT)-PL20L</t>
  </si>
  <si>
    <t>GS ARLES 100</t>
  </si>
  <si>
    <t>Kixx ATF Multi Plus 20/1</t>
  </si>
  <si>
    <t>현대 자동(04500-00400)</t>
  </si>
  <si>
    <t>현대 DPF 1／12 (05200-00120)</t>
  </si>
  <si>
    <t>[이동] 동부(남양주) → 서부(인천)</t>
  </si>
  <si>
    <t>현대 중대형 디젤(05200-48BAO) 20/1</t>
  </si>
  <si>
    <t>H-MTF 30 ZF전용 기어오일(04300-00450)-4LX4</t>
  </si>
  <si>
    <t>OMALA S2 G 68(OMALA 68)</t>
  </si>
  <si>
    <t>쌍용 순정품 (10／40) 4/4</t>
  </si>
  <si>
    <t>Renolit G7 FG1</t>
  </si>
  <si>
    <t xml:space="preserve"> CRC Food Grade Machine Oil-11oz [0.31/1]</t>
  </si>
  <si>
    <t>DM</t>
    <phoneticPr fontId="1" type="noConversion"/>
  </si>
  <si>
    <t>EA</t>
    <phoneticPr fontId="1" type="noConversion"/>
  </si>
  <si>
    <t>기타</t>
    <phoneticPr fontId="1" type="noConversion"/>
  </si>
  <si>
    <t>기타</t>
    <phoneticPr fontId="1" type="noConversion"/>
  </si>
  <si>
    <t>기타</t>
    <phoneticPr fontId="1" type="noConversion"/>
  </si>
  <si>
    <t>구매단가</t>
    <phoneticPr fontId="1" type="noConversion"/>
  </si>
  <si>
    <t>LUX EP 023 (15KG)</t>
    <phoneticPr fontId="1" type="noConversion"/>
  </si>
  <si>
    <t>2020.10.06</t>
    <phoneticPr fontId="1" type="noConversion"/>
  </si>
  <si>
    <t>2021.12.07</t>
    <phoneticPr fontId="1" type="noConversion"/>
  </si>
  <si>
    <t>2013.03.13</t>
    <phoneticPr fontId="1" type="noConversion"/>
  </si>
  <si>
    <t>동아제약(주) 천안공장 출고예정</t>
    <phoneticPr fontId="1" type="noConversion"/>
  </si>
  <si>
    <t>2017.05.18</t>
    <phoneticPr fontId="1" type="noConversion"/>
  </si>
  <si>
    <t>2022.02.18</t>
    <phoneticPr fontId="1" type="noConversion"/>
  </si>
  <si>
    <t>AL</t>
    <phoneticPr fontId="1" type="noConversion"/>
  </si>
  <si>
    <t>중앙 인수, 거래처 제품변경으로 판매중단</t>
    <phoneticPr fontId="1" type="noConversion"/>
  </si>
  <si>
    <t>2022.12.19</t>
    <phoneticPr fontId="1" type="noConversion"/>
  </si>
  <si>
    <t>2021.04.07</t>
    <phoneticPr fontId="1" type="noConversion"/>
  </si>
  <si>
    <t>2018.02.21</t>
    <phoneticPr fontId="1" type="noConversion"/>
  </si>
  <si>
    <t>2020.05.28</t>
    <phoneticPr fontId="1" type="noConversion"/>
  </si>
  <si>
    <t>2015.11.12</t>
    <phoneticPr fontId="1" type="noConversion"/>
  </si>
  <si>
    <t>[이동] 서부구매 → 화성auto보관 → 서부(인천)</t>
    <phoneticPr fontId="1" type="noConversion"/>
  </si>
  <si>
    <t>화성구매 → 인천이관(20년12월) → 화성이관(23년1월)</t>
    <phoneticPr fontId="1" type="noConversion"/>
  </si>
  <si>
    <t>서부(인천) → 동부(남양주)이관</t>
    <phoneticPr fontId="1" type="noConversion"/>
  </si>
  <si>
    <t>동부구매 → 중부(화성auto) → 동부(남양주)이관</t>
    <phoneticPr fontId="1" type="noConversion"/>
  </si>
  <si>
    <t>2020.01.30</t>
    <phoneticPr fontId="1" type="noConversion"/>
  </si>
  <si>
    <t>2018.03.06</t>
    <phoneticPr fontId="1" type="noConversion"/>
  </si>
  <si>
    <t>2021.09.13</t>
    <phoneticPr fontId="1" type="noConversion"/>
  </si>
  <si>
    <t>MOBIL SHC CIBUS 220</t>
    <phoneticPr fontId="1" type="noConversion"/>
  </si>
  <si>
    <t>2021.07.27</t>
    <phoneticPr fontId="1" type="noConversion"/>
  </si>
  <si>
    <t>2020.02.21</t>
    <phoneticPr fontId="1" type="noConversion"/>
  </si>
  <si>
    <t>2019.12.27</t>
    <phoneticPr fontId="1" type="noConversion"/>
  </si>
  <si>
    <t>2022.04.20</t>
    <phoneticPr fontId="1" type="noConversion"/>
  </si>
  <si>
    <t>MOBIL PEGASUS 805</t>
    <phoneticPr fontId="1" type="noConversion"/>
  </si>
  <si>
    <t>2021.12.30</t>
    <phoneticPr fontId="1" type="noConversion"/>
  </si>
  <si>
    <t>2022.01.12</t>
    <phoneticPr fontId="1" type="noConversion"/>
  </si>
  <si>
    <t>2022.04.28</t>
    <phoneticPr fontId="1" type="noConversion"/>
  </si>
  <si>
    <t>신일기술 판매예정</t>
    <phoneticPr fontId="1" type="noConversion"/>
  </si>
  <si>
    <t>2021.03.03</t>
    <phoneticPr fontId="1" type="noConversion"/>
  </si>
  <si>
    <t>딜러 통해 판매예정</t>
    <phoneticPr fontId="1" type="noConversion"/>
  </si>
  <si>
    <t>PL</t>
    <phoneticPr fontId="1" type="noConversion"/>
  </si>
  <si>
    <t>BOX</t>
    <phoneticPr fontId="1" type="noConversion"/>
  </si>
  <si>
    <t>2018.08.31</t>
    <phoneticPr fontId="1" type="noConversion"/>
  </si>
  <si>
    <t>자차사용</t>
  </si>
  <si>
    <t>흥국상사 인수</t>
    <phoneticPr fontId="1" type="noConversion"/>
  </si>
  <si>
    <t>[이동] 화성 → 서부(인천)</t>
  </si>
  <si>
    <t>강화상사 납품 예정</t>
  </si>
  <si>
    <t>원창윤활유 상의 후 납품</t>
  </si>
  <si>
    <t>2011.01.18</t>
    <phoneticPr fontId="1" type="noConversion"/>
  </si>
  <si>
    <t>2019.10.24</t>
    <phoneticPr fontId="1" type="noConversion"/>
  </si>
  <si>
    <t>M-DEL MX ADV CITY LOG 5W40-CT6LX3</t>
    <phoneticPr fontId="1" type="noConversion"/>
  </si>
  <si>
    <t>M-DEL MX ADV CITY LOG 5W40-CT6LX1</t>
    <phoneticPr fontId="1" type="noConversion"/>
  </si>
  <si>
    <t>M DELVAC MX ESP K 10W40-CT4LX4</t>
    <phoneticPr fontId="1" type="noConversion"/>
  </si>
  <si>
    <t>MOBIL SUPER MOTO 10W40 CT1LX12</t>
    <phoneticPr fontId="1" type="noConversion"/>
  </si>
  <si>
    <t>M DV MODERN 15W-40 FP CTN 4X4L</t>
    <phoneticPr fontId="1" type="noConversion"/>
  </si>
  <si>
    <t>M Super 3000 XE1 5W30-1L</t>
    <phoneticPr fontId="1" type="noConversion"/>
  </si>
  <si>
    <t>M DELVAC MX 15W40 (CI-4)-PL20L</t>
    <phoneticPr fontId="1" type="noConversion"/>
  </si>
  <si>
    <t>MOBILUBE HD 85W140-PL20L</t>
    <phoneticPr fontId="1" type="noConversion"/>
  </si>
  <si>
    <t>MOBILUBE GX-A 80W-PL20L</t>
    <phoneticPr fontId="1" type="noConversion"/>
  </si>
  <si>
    <t>모빌 DOT-4</t>
    <phoneticPr fontId="1" type="noConversion"/>
  </si>
  <si>
    <t>BOX</t>
    <phoneticPr fontId="1" type="noConversion"/>
  </si>
  <si>
    <t>PL</t>
    <phoneticPr fontId="1" type="noConversion"/>
  </si>
  <si>
    <t>2021.10.14</t>
    <phoneticPr fontId="1" type="noConversion"/>
  </si>
  <si>
    <t>2021.01.26</t>
    <phoneticPr fontId="1" type="noConversion"/>
  </si>
  <si>
    <t>2021.07.29</t>
    <phoneticPr fontId="1" type="noConversion"/>
  </si>
  <si>
    <t>2021.04.29</t>
    <phoneticPr fontId="1" type="noConversion"/>
  </si>
  <si>
    <t>2020.02.18</t>
    <phoneticPr fontId="1" type="noConversion"/>
  </si>
  <si>
    <t>2019.04.30</t>
    <phoneticPr fontId="1" type="noConversion"/>
  </si>
  <si>
    <t>2019.04.30</t>
    <phoneticPr fontId="1" type="noConversion"/>
  </si>
  <si>
    <t>2019.08.30</t>
    <phoneticPr fontId="1" type="noConversion"/>
  </si>
  <si>
    <t>플러스오토제주지점 폐업 후 제품매입</t>
    <phoneticPr fontId="1" type="noConversion"/>
  </si>
  <si>
    <t>딜러 통해 판매예정</t>
    <phoneticPr fontId="1" type="noConversion"/>
  </si>
  <si>
    <t>단종 후 16KG 변경</t>
    <phoneticPr fontId="1" type="noConversion"/>
  </si>
  <si>
    <t>중앙 인수(삼성전기 판매제품)</t>
    <phoneticPr fontId="1" type="noConversion"/>
  </si>
  <si>
    <t>심팩 지속적으로 공급되는 제품</t>
    <phoneticPr fontId="1" type="noConversion"/>
  </si>
  <si>
    <t>[이동] 화성auto보관 → 서부(인천)/ 12년~구매이력없음</t>
    <phoneticPr fontId="1" type="noConversion"/>
  </si>
  <si>
    <t>2019.03.25</t>
    <phoneticPr fontId="1" type="noConversion"/>
  </si>
  <si>
    <t>2021.12.06</t>
    <phoneticPr fontId="1" type="noConversion"/>
  </si>
  <si>
    <t>2021.10.27</t>
    <phoneticPr fontId="1" type="noConversion"/>
  </si>
  <si>
    <t>폐기 처분</t>
  </si>
  <si>
    <t>케이블카업체 판매 예정</t>
  </si>
  <si>
    <t>판매 중</t>
  </si>
  <si>
    <t>부산사업소 판매 예정</t>
  </si>
  <si>
    <t>흥국상사 납품 예정</t>
  </si>
  <si>
    <t>흥국상사 협의 후 납품</t>
  </si>
  <si>
    <t>이스즈 협의 후 납품</t>
  </si>
  <si>
    <t>거래처 상의 후 납품</t>
  </si>
  <si>
    <t>오토존모터스 납품 예정</t>
  </si>
  <si>
    <t>거래처 납품 예정</t>
  </si>
  <si>
    <t>형제타이어 납품 예정</t>
  </si>
  <si>
    <t>폐기</t>
  </si>
  <si>
    <t>그린자동차 납품 예정</t>
  </si>
  <si>
    <t xml:space="preserve">6월말 7월초 명성물류 화물 운송 재개시 인천으로 포장 발송 예정 </t>
  </si>
  <si>
    <t>Sample 처리 재고소진</t>
  </si>
  <si>
    <t>자가오일 교환-Sample 처리 재고소진</t>
  </si>
  <si>
    <t>판매-광덕상사, 보경건설기계 사용업체에 판매 후 소진 예정</t>
  </si>
  <si>
    <t>판매-향후 Drum 발주시 Pail 공급 방안 협의, 판매 계획</t>
  </si>
  <si>
    <t>판매-타이어넘버원 Box 판매제품으로 향후 Order 시 낱개 판매 후 소진 예정</t>
  </si>
  <si>
    <t>삼경O&amp;T 출고시 처리</t>
  </si>
  <si>
    <t>HYD AW 출시이후로 단가차이로 미출</t>
  </si>
  <si>
    <t>대성윤활유에 보관중, 판매예정</t>
  </si>
  <si>
    <t>2022.04.05</t>
  </si>
  <si>
    <t>2022.06.15</t>
  </si>
  <si>
    <t>기존 거래처 판매 우선 처리</t>
  </si>
  <si>
    <t>포장용기 이상 제품-해성 구매요청 처리-김건우</t>
  </si>
  <si>
    <t>장기재고 발생 가능시- 해성 구매요청 처리-김건우</t>
  </si>
  <si>
    <t>서브원 확인중</t>
  </si>
  <si>
    <t>용량 변경으로 인한 재고 / 출하팀 선출고 지시로 처리</t>
  </si>
  <si>
    <t>재고 문의시 적극판매 유도 (주도 000)</t>
  </si>
  <si>
    <t>대기유화 판매 추진-김기진</t>
  </si>
  <si>
    <t>롯데건설 청주, 대구 공급시 판매가능</t>
  </si>
  <si>
    <t>소매 판매 예정</t>
  </si>
  <si>
    <t>49상사, 현대오일 사용 제품으로 가격 인상에 따른 재고 확보</t>
  </si>
  <si>
    <t>23년 9월 이전 판매 예정</t>
  </si>
  <si>
    <t>23년말까지 판매 예정</t>
  </si>
  <si>
    <t>동절기용으로 23년말 판매 예정</t>
  </si>
  <si>
    <t>기아 일원점, 규석카 판매 예정</t>
  </si>
  <si>
    <t>화성사업소</t>
    <phoneticPr fontId="1" type="noConversion"/>
  </si>
  <si>
    <t>창원사업소</t>
    <phoneticPr fontId="1" type="noConversion"/>
  </si>
  <si>
    <t>부산사업소</t>
    <phoneticPr fontId="1" type="noConversion"/>
  </si>
  <si>
    <t>동부사업소</t>
    <phoneticPr fontId="1" type="noConversion"/>
  </si>
  <si>
    <t>서부사업소</t>
    <phoneticPr fontId="1" type="noConversion"/>
  </si>
  <si>
    <t>제주사업소</t>
    <phoneticPr fontId="1" type="noConversion"/>
  </si>
  <si>
    <t xml:space="preserve">6월말 7월초 명성물류 화물 운송 재개시 인천으로 포장 발송 예정 </t>
    <phoneticPr fontId="1" type="noConversion"/>
  </si>
  <si>
    <t>6월 처리방안</t>
    <phoneticPr fontId="1" type="noConversion"/>
  </si>
  <si>
    <t>6월 처리방안</t>
    <phoneticPr fontId="1" type="noConversion"/>
  </si>
  <si>
    <t>7월 처리방안</t>
    <phoneticPr fontId="1" type="noConversion"/>
  </si>
  <si>
    <t>7월 처리방안</t>
    <phoneticPr fontId="1" type="noConversion"/>
  </si>
  <si>
    <t>7월 처리방안</t>
    <phoneticPr fontId="1" type="noConversion"/>
  </si>
  <si>
    <t>처리 완료, 인천으로 포장 발송 - 육지 판매 진행 계획</t>
  </si>
  <si>
    <t>처리 완료</t>
  </si>
  <si>
    <t>전재고</t>
    <phoneticPr fontId="1" type="noConversion"/>
  </si>
  <si>
    <t>전재고</t>
    <phoneticPr fontId="1" type="noConversion"/>
  </si>
  <si>
    <t>전재고</t>
    <phoneticPr fontId="1" type="noConversion"/>
  </si>
  <si>
    <t>전재고</t>
    <phoneticPr fontId="1" type="noConversion"/>
  </si>
  <si>
    <t>무림페이퍼 발주 시 출고 예정</t>
    <phoneticPr fontId="1" type="noConversion"/>
  </si>
  <si>
    <t>간혹 창원 사업소에서 사용하니 필요시 창고이동</t>
  </si>
  <si>
    <t>경기오일 판매 예정</t>
  </si>
  <si>
    <t>타 사업소 및 전략점 필요시 재고이관 예정</t>
    <phoneticPr fontId="1" type="noConversion"/>
  </si>
  <si>
    <t>용량 변경으로 인한 재고 / 출하팀 선출고 지시로 처리</t>
    <phoneticPr fontId="1" type="noConversion"/>
  </si>
  <si>
    <t>재고 문의시 적극판매 유도 (주도 000)</t>
    <phoneticPr fontId="1" type="noConversion"/>
  </si>
  <si>
    <t>대기유화 판매 추진-김기진</t>
    <phoneticPr fontId="1" type="noConversion"/>
  </si>
  <si>
    <t>롯데건설 청주, 대구 공급시 판매가능</t>
    <phoneticPr fontId="1" type="noConversion"/>
  </si>
  <si>
    <t>현대자동차 발주 없음, 현대자동차 forecast 확인(평안정공, 신평산업)</t>
    <phoneticPr fontId="1" type="noConversion"/>
  </si>
  <si>
    <t>화인프라텍 10EA 샘플지원 예정</t>
    <phoneticPr fontId="1" type="noConversion"/>
  </si>
  <si>
    <t>거래단절, 할인 판매 가능 확인</t>
    <phoneticPr fontId="1" type="noConversion"/>
  </si>
  <si>
    <t>소분판매 추진 / 유통기한 폐기 문제</t>
    <phoneticPr fontId="1" type="noConversion"/>
  </si>
  <si>
    <t>소분판매 추진 / 유통기한 폐기 문제</t>
    <phoneticPr fontId="1" type="noConversion"/>
  </si>
  <si>
    <t>유통기한 폐기 문제</t>
    <phoneticPr fontId="1" type="noConversion"/>
  </si>
  <si>
    <t>유통기한 폐기 문제</t>
    <phoneticPr fontId="1" type="noConversion"/>
  </si>
  <si>
    <t>사용처 구매시점확인-판매추진-이승복</t>
    <phoneticPr fontId="1" type="noConversion"/>
  </si>
  <si>
    <t>화성으로 이관 후, 이화다이케스팅 출고예정</t>
    <phoneticPr fontId="1" type="noConversion"/>
  </si>
  <si>
    <t>창원으로 이관 후, 출고예정</t>
    <phoneticPr fontId="1" type="noConversion"/>
  </si>
  <si>
    <t>6/14 부산사무소 이관 후 출고완료</t>
    <phoneticPr fontId="1" type="noConversion"/>
  </si>
  <si>
    <t>창원으로 이관 후, 출고완료</t>
    <phoneticPr fontId="1" type="noConversion"/>
  </si>
  <si>
    <t>6/26 화성사무소 이관 후, 출고완료</t>
    <phoneticPr fontId="1" type="noConversion"/>
  </si>
  <si>
    <t>부산사무소 이관 후, 출고완료</t>
    <phoneticPr fontId="1" type="noConversion"/>
  </si>
  <si>
    <t>신일기술 판매예정-정현우부장</t>
    <phoneticPr fontId="1" type="noConversion"/>
  </si>
  <si>
    <t>판매 중(위아 사용예정)</t>
  </si>
  <si>
    <t>심팩 지속적으로 공급되는 제품</t>
  </si>
  <si>
    <t>딜러 통해 판매예정</t>
  </si>
  <si>
    <t>3드럼 화성으로 이관 후, 출고중</t>
    <phoneticPr fontId="1" type="noConversion"/>
  </si>
  <si>
    <t>6월</t>
    <phoneticPr fontId="1" type="noConversion"/>
  </si>
  <si>
    <t>6월</t>
    <phoneticPr fontId="1" type="noConversion"/>
  </si>
  <si>
    <t>6월</t>
    <phoneticPr fontId="1" type="noConversion"/>
  </si>
  <si>
    <t>7월</t>
    <phoneticPr fontId="1" type="noConversion"/>
  </si>
  <si>
    <t>7월</t>
    <phoneticPr fontId="1" type="noConversion"/>
  </si>
  <si>
    <t>7월</t>
    <phoneticPr fontId="1" type="noConversion"/>
  </si>
  <si>
    <t>6월</t>
    <phoneticPr fontId="1" type="noConversion"/>
  </si>
  <si>
    <t>6월</t>
    <phoneticPr fontId="1" type="noConversion"/>
  </si>
  <si>
    <t>7/21 출고완료</t>
    <phoneticPr fontId="1" type="noConversion"/>
  </si>
  <si>
    <t>8/8 출고완료</t>
    <phoneticPr fontId="1" type="noConversion"/>
  </si>
  <si>
    <t>출고 완료</t>
    <phoneticPr fontId="1" type="noConversion"/>
  </si>
  <si>
    <t>출고 완료</t>
    <phoneticPr fontId="1" type="noConversion"/>
  </si>
  <si>
    <t>화성으로 이관 후, 출고완료</t>
    <phoneticPr fontId="1" type="noConversion"/>
  </si>
  <si>
    <t>화성사무소 이동 예정</t>
    <phoneticPr fontId="1" type="noConversion"/>
  </si>
  <si>
    <t>6/20 그린자동차 납품</t>
  </si>
  <si>
    <t>8/7 신종합 납품</t>
  </si>
  <si>
    <t>6/27 선경기업 1박스 납품/ 원창윤활유 상의 후 납품</t>
    <phoneticPr fontId="1" type="noConversion"/>
  </si>
  <si>
    <t>7/18 대진자동차공업사 1말 납품/ 거래처 상의 후 납품</t>
    <phoneticPr fontId="1" type="noConversion"/>
  </si>
  <si>
    <t>1박스 자차사용/ 흥국상사 납품 예정</t>
    <phoneticPr fontId="1" type="noConversion"/>
  </si>
  <si>
    <t>6/20 그린자동차 2박스 납품/ 흥국상사 협의 후 납품</t>
    <phoneticPr fontId="1" type="noConversion"/>
  </si>
  <si>
    <t>7/14 [이동] 제주 → 서부(인천)/ 이스즈 협의 후 납품</t>
    <phoneticPr fontId="1" type="noConversion"/>
  </si>
  <si>
    <t>7/17 주식회사 공항리무진 2박스 납품/ 거래처 상의 후 납품</t>
    <phoneticPr fontId="1" type="noConversion"/>
  </si>
  <si>
    <t>8월</t>
    <phoneticPr fontId="1" type="noConversion"/>
  </si>
  <si>
    <t>8월</t>
    <phoneticPr fontId="1" type="noConversion"/>
  </si>
  <si>
    <t>8월</t>
    <phoneticPr fontId="1" type="noConversion"/>
  </si>
  <si>
    <t>8월 처리방안</t>
  </si>
  <si>
    <t>판매완료</t>
    <phoneticPr fontId="1" type="noConversion"/>
  </si>
  <si>
    <t>8/17 동신운수 1말납품, 형제타이어 납품 예정</t>
    <phoneticPr fontId="1" type="noConversion"/>
  </si>
  <si>
    <t>8/3 소닉모터스 1말납품, 거래처 납품 예정</t>
    <phoneticPr fontId="1" type="noConversion"/>
  </si>
  <si>
    <t>타 사업소 및 전략점 필요시 재고이관 예정</t>
    <phoneticPr fontId="1" type="noConversion"/>
  </si>
  <si>
    <t>현대자동차 forecast 확인(평안정공, 신평산업)</t>
  </si>
  <si>
    <t>화인프라텍 10EA 샘플지원 예정</t>
  </si>
  <si>
    <t>소분판매 추진 / 유통기한 폐기 문제</t>
  </si>
  <si>
    <t>유통기한 폐기 문제</t>
  </si>
  <si>
    <t>사용처 구매시점확인-판매추진-이승복</t>
  </si>
  <si>
    <t>3드럼 화성으로 이관 후, 출고중</t>
  </si>
  <si>
    <t>판매-광덕상사, 보경건설기계 사용업체에 판매 후 소진 예정</t>
    <phoneticPr fontId="1" type="noConversion"/>
  </si>
  <si>
    <t>판매-향후 Drum 발주시 Pail 공급 방안 협의, 판매 계획</t>
    <phoneticPr fontId="1" type="noConversion"/>
  </si>
  <si>
    <t>처리완료-정상판매 전환</t>
    <phoneticPr fontId="1" type="noConversion"/>
  </si>
  <si>
    <t>판매완료</t>
    <phoneticPr fontId="1" type="noConversion"/>
  </si>
  <si>
    <t>9월</t>
    <phoneticPr fontId="1" type="noConversion"/>
  </si>
  <si>
    <t>9월</t>
    <phoneticPr fontId="1" type="noConversion"/>
  </si>
  <si>
    <t>제주→인천으로 포장 발송 - 육지 판매 진행 계획</t>
    <phoneticPr fontId="1" type="noConversion"/>
  </si>
  <si>
    <t>9월 처리방안</t>
    <phoneticPr fontId="1" type="noConversion"/>
  </si>
  <si>
    <t>9월 처리방안</t>
    <phoneticPr fontId="1" type="noConversion"/>
  </si>
  <si>
    <t>9월 처리방안</t>
    <phoneticPr fontId="1" type="noConversion"/>
  </si>
  <si>
    <t>신일기술 판매예정-정현우부장</t>
  </si>
  <si>
    <t>동부 및 화성거래처 판매</t>
    <phoneticPr fontId="1" type="noConversion"/>
  </si>
  <si>
    <t>23년 11월 이전 판매 예정</t>
    <phoneticPr fontId="1" type="noConversion"/>
  </si>
  <si>
    <t>업체 납품 중</t>
  </si>
  <si>
    <t>업체 납품 중</t>
    <phoneticPr fontId="1" type="noConversion"/>
  </si>
  <si>
    <t>2021.01.19</t>
    <phoneticPr fontId="1" type="noConversion"/>
  </si>
  <si>
    <t>판매완료</t>
  </si>
  <si>
    <t>타 사업소 및 전략점 필요시 재고이관 예정</t>
  </si>
  <si>
    <t>기존 거래처 판매 완료</t>
    <phoneticPr fontId="1" type="noConversion"/>
  </si>
  <si>
    <t>기존 거래처 판매 및 창원 이관후 판매</t>
    <phoneticPr fontId="1" type="noConversion"/>
  </si>
  <si>
    <t>제주→인천으로 포장 발송 - 육지 판매 진행 계획-39PL</t>
    <phoneticPr fontId="1" type="noConversion"/>
  </si>
  <si>
    <t>10월</t>
    <phoneticPr fontId="1" type="noConversion"/>
  </si>
  <si>
    <t>10월</t>
    <phoneticPr fontId="1" type="noConversion"/>
  </si>
  <si>
    <t>10월</t>
    <phoneticPr fontId="1" type="noConversion"/>
  </si>
  <si>
    <t>10월 처리방안</t>
    <phoneticPr fontId="1" type="noConversion"/>
  </si>
  <si>
    <t>10월 처리방안</t>
    <phoneticPr fontId="1" type="noConversion"/>
  </si>
  <si>
    <t>11월10일 해성티피씨 출고예정</t>
  </si>
  <si>
    <t>기아일원점 -&gt; 1BOX 판매</t>
    <phoneticPr fontId="1" type="noConversion"/>
  </si>
  <si>
    <t>3드럼 화성으로 이관 후, 출고완료</t>
    <phoneticPr fontId="1" type="noConversion"/>
  </si>
  <si>
    <t>10/6 큐로모터스 1박스, 10/17 한국공항리무진 1박스 납품/ 거래처 상의 후 납품</t>
    <phoneticPr fontId="1" type="noConversion"/>
  </si>
  <si>
    <t>화성이관-&gt;5PL/뉴명인모터스 2PL판매</t>
    <phoneticPr fontId="1" type="noConversion"/>
  </si>
  <si>
    <t>11월</t>
    <phoneticPr fontId="1" type="noConversion"/>
  </si>
  <si>
    <t>11월 처리방안</t>
    <phoneticPr fontId="1" type="noConversion"/>
  </si>
  <si>
    <t>11/23 오일나라 -&gt; 2드럼</t>
  </si>
  <si>
    <t>11/17 2450 자차사용</t>
  </si>
  <si>
    <t>11/20 오염으로 인한 사용 불가 폐기 : 2말</t>
  </si>
  <si>
    <t>11/30 그린자동차 납품</t>
  </si>
  <si>
    <t>11/20 오염으로 인한 사용 불가 폐기 : 1말</t>
  </si>
  <si>
    <t>11/29 강화상사 납품</t>
  </si>
  <si>
    <t>11/20 오염으로 인한 사용 불가 폐기 : 1말</t>
    <phoneticPr fontId="1" type="noConversion"/>
  </si>
  <si>
    <t>현대 뉴파워 스티어링오일(03100-00100) 1／12</t>
    <phoneticPr fontId="1" type="noConversion"/>
  </si>
  <si>
    <t>MOBILUBE GX-A 80W-PL20L</t>
    <phoneticPr fontId="1" type="noConversion"/>
  </si>
  <si>
    <t>현대 저마찰형 1/12 (05100-00151)</t>
    <phoneticPr fontId="1" type="noConversion"/>
  </si>
  <si>
    <t>현대 최고급 프리미엄 1／12 (05100-00141)</t>
    <phoneticPr fontId="1" type="noConversion"/>
  </si>
  <si>
    <t>DEL. SYN GEAR LS 75W90</t>
    <phoneticPr fontId="1" type="noConversion"/>
  </si>
  <si>
    <t>11/22 창원 이관 : 2말(자가사용완료), 
11/23 인천차량 뒷대우 오일교환 : 4말</t>
    <phoneticPr fontId="1" type="noConversion"/>
  </si>
  <si>
    <t>11/12 남양주 이관 : 12박스,
 11/15 화성 이관 : 6박스(판매중)</t>
    <phoneticPr fontId="1" type="noConversion"/>
  </si>
  <si>
    <t>11/13 남양주 이관 : 1박스(판매완료)</t>
    <phoneticPr fontId="1" type="noConversion"/>
  </si>
  <si>
    <t>판매 및 8,11월 남양주 이관 : 33말(판매중), 
11/20 오염으로 인한 사용 불가 폐기 : 2말</t>
    <phoneticPr fontId="1" type="noConversion"/>
  </si>
  <si>
    <t>판매중</t>
    <phoneticPr fontId="1" type="noConversion"/>
  </si>
  <si>
    <t>12월</t>
    <phoneticPr fontId="1" type="noConversion"/>
  </si>
  <si>
    <t>12월 처리방안</t>
    <phoneticPr fontId="1" type="noConversion"/>
  </si>
  <si>
    <t>판매 중(위아 사용예정) // 12/20 진주하우톤-1PL 납품</t>
    <phoneticPr fontId="1" type="noConversion"/>
  </si>
  <si>
    <t>신일기술 판매예정 // 12/15 신일기술-4DM 납품</t>
    <phoneticPr fontId="1" type="noConversion"/>
  </si>
  <si>
    <t>24년 1월 이전 판매 예정</t>
    <phoneticPr fontId="1" type="noConversion"/>
  </si>
  <si>
    <t>1/8 기아일원점판매 -1박스</t>
    <phoneticPr fontId="1" type="noConversion"/>
  </si>
  <si>
    <t>12/1 성수남부 → 1박스</t>
    <phoneticPr fontId="1" type="noConversion"/>
  </si>
  <si>
    <t>12/29 삼정오토테크 판매-3박스</t>
    <phoneticPr fontId="1" type="noConversion"/>
  </si>
  <si>
    <t>기아일원점 → 1BOX 판매</t>
    <phoneticPr fontId="1" type="noConversion"/>
  </si>
  <si>
    <t>12/22 광진케미칼에 반품-3PL</t>
    <phoneticPr fontId="1" type="noConversion"/>
  </si>
  <si>
    <t>12/12 성심중기 판매-1PL</t>
    <phoneticPr fontId="1" type="noConversion"/>
  </si>
  <si>
    <t>12/22 서이천모터스 판매-3PL</t>
    <phoneticPr fontId="1" type="noConversion"/>
  </si>
  <si>
    <t>흥국상사 납품 예정</t>
    <phoneticPr fontId="1" type="noConversion"/>
  </si>
  <si>
    <t>흥국상사 협의 후 납품</t>
    <phoneticPr fontId="1" type="noConversion"/>
  </si>
  <si>
    <t>성민유통 납품 예정</t>
    <phoneticPr fontId="1" type="noConversion"/>
  </si>
  <si>
    <t>이스즈 협의 후 납품</t>
    <phoneticPr fontId="1" type="noConversion"/>
  </si>
  <si>
    <t>업체 납품 중</t>
    <phoneticPr fontId="1" type="noConversion"/>
  </si>
  <si>
    <t>거래처 상의 후 납품</t>
    <phoneticPr fontId="1" type="noConversion"/>
  </si>
  <si>
    <t>강화상사 납품 예정</t>
    <phoneticPr fontId="1" type="noConversion"/>
  </si>
  <si>
    <t>거래처 납품 예정</t>
    <phoneticPr fontId="1" type="noConversion"/>
  </si>
  <si>
    <t>자차사용</t>
    <phoneticPr fontId="1" type="noConversion"/>
  </si>
  <si>
    <t>원창윤활유 상의 후 납품</t>
    <phoneticPr fontId="1" type="noConversion"/>
  </si>
  <si>
    <t>8/3 소닉모터스 1말 납품</t>
    <phoneticPr fontId="1" type="noConversion"/>
  </si>
  <si>
    <t>그린자동차 납품 예정</t>
    <phoneticPr fontId="1" type="noConversion"/>
  </si>
  <si>
    <t>1월</t>
    <phoneticPr fontId="1" type="noConversion"/>
  </si>
  <si>
    <t>1월 처리방안</t>
    <phoneticPr fontId="1" type="noConversion"/>
  </si>
  <si>
    <t>AJ 네트웍스판매</t>
    <phoneticPr fontId="1" type="noConversion"/>
  </si>
  <si>
    <t>판매 중(위아 사용예정)</t>
    <phoneticPr fontId="1" type="noConversion"/>
  </si>
  <si>
    <t>1/8 기아 일원점 1 BOX 판매</t>
    <phoneticPr fontId="1" type="noConversion"/>
  </si>
  <si>
    <t>소매 판매 예정</t>
    <phoneticPr fontId="1" type="noConversion"/>
  </si>
  <si>
    <t>24년 상반기 판매 예정</t>
    <phoneticPr fontId="1" type="noConversion"/>
  </si>
  <si>
    <t>6/20 그린자동차 2박스 납품, 자차사용</t>
    <phoneticPr fontId="1" type="noConversion"/>
  </si>
  <si>
    <t>제주→인천으로 포장 발송 - 육지 판매 진행 계획-3BOX
 재고 수량 조정, 1/12 성민유통 납품</t>
    <phoneticPr fontId="1" type="noConversion"/>
  </si>
  <si>
    <t>10/6 큐로모터스 1박스, 10/17 한국공항리무진 1박스 
납품, 1/24 한국공항리무진 1박스 납품</t>
    <phoneticPr fontId="1" type="noConversion"/>
  </si>
  <si>
    <t>1/25 인천알앤씨 5박스 납품</t>
    <phoneticPr fontId="1" type="noConversion"/>
  </si>
  <si>
    <t>1/25 오토존모터스 납품</t>
    <phoneticPr fontId="1" type="noConversion"/>
  </si>
  <si>
    <t>1/18 삼진오일 납품</t>
    <phoneticPr fontId="1" type="noConversion"/>
  </si>
  <si>
    <t>6/27 선경기업 1박스 납품, 1/24 남양주로 창고 이관</t>
    <phoneticPr fontId="1" type="noConversion"/>
  </si>
  <si>
    <t>거래처 납품 예정(안부장님 판매 예정)</t>
    <phoneticPr fontId="1" type="noConversion"/>
  </si>
  <si>
    <t>2월</t>
    <phoneticPr fontId="1" type="noConversion"/>
  </si>
  <si>
    <t>2월 처리방안</t>
    <phoneticPr fontId="1" type="noConversion"/>
  </si>
  <si>
    <t>2/29 제일윤활유 2말 납품완료</t>
    <phoneticPr fontId="1" type="noConversion"/>
  </si>
  <si>
    <t>전재고</t>
    <phoneticPr fontId="1" type="noConversion"/>
  </si>
  <si>
    <t>3월</t>
    <phoneticPr fontId="1" type="noConversion"/>
  </si>
  <si>
    <t>3월 처리방안</t>
    <phoneticPr fontId="1" type="noConversion"/>
  </si>
  <si>
    <t>티스테이션석수점, 성우자동차정비 판매추진</t>
  </si>
  <si>
    <t>3/12 AJ네트웍스 5말 판매완료</t>
    <phoneticPr fontId="1" type="noConversion"/>
  </si>
  <si>
    <t>3/21 금세기 판매완료</t>
    <phoneticPr fontId="1" type="noConversion"/>
  </si>
  <si>
    <t>전재고</t>
    <phoneticPr fontId="1" type="noConversion"/>
  </si>
  <si>
    <t>자차사용
 3/4 삼일자동차-7캔 지원, 2450차량-2캔, 7048차량-3캔 사용</t>
    <phoneticPr fontId="1" type="noConversion"/>
  </si>
  <si>
    <t>4월</t>
    <phoneticPr fontId="1" type="noConversion"/>
  </si>
  <si>
    <t>신일기술 판매완료</t>
    <phoneticPr fontId="1" type="noConversion"/>
  </si>
  <si>
    <t>전재고</t>
    <phoneticPr fontId="1" type="noConversion"/>
  </si>
  <si>
    <t>거래처 납품 예정(안부장님 판매 예정)</t>
  </si>
  <si>
    <t>업체 납품중</t>
    <phoneticPr fontId="1" type="noConversion"/>
  </si>
  <si>
    <t>자차사용</t>
    <phoneticPr fontId="1" type="noConversion"/>
  </si>
  <si>
    <t>현재고</t>
    <phoneticPr fontId="1" type="noConversion"/>
  </si>
  <si>
    <t>현재고</t>
    <phoneticPr fontId="1" type="noConversion"/>
  </si>
  <si>
    <t>현재고</t>
    <phoneticPr fontId="1" type="noConversion"/>
  </si>
  <si>
    <t>5월</t>
    <phoneticPr fontId="1" type="noConversion"/>
  </si>
  <si>
    <t>5월 처리방안</t>
    <phoneticPr fontId="1" type="noConversion"/>
  </si>
  <si>
    <t>21.04월 10% 인상 전 재고 확보</t>
    <phoneticPr fontId="1" type="noConversion"/>
  </si>
  <si>
    <t>이테크건설특가 수출잔량분, 화성이관</t>
    <phoneticPr fontId="1" type="noConversion"/>
  </si>
  <si>
    <t>22년 1월 한유 반품(모빌코리아 반품요청 반려됨)</t>
    <phoneticPr fontId="1" type="noConversion"/>
  </si>
  <si>
    <t>거래단절, 할인 판매 가능 확인</t>
    <phoneticPr fontId="1" type="noConversion"/>
  </si>
  <si>
    <t>18년 7월 창원사무소 창고이관(김중경차장 수출관련분)</t>
    <phoneticPr fontId="1" type="noConversion"/>
  </si>
  <si>
    <t>대기유화 판매 추진-김기진</t>
    <phoneticPr fontId="1" type="noConversion"/>
  </si>
  <si>
    <t>유통기한 폐기 문제</t>
    <phoneticPr fontId="1" type="noConversion"/>
  </si>
  <si>
    <t>5/31 불량 폐기처분</t>
    <phoneticPr fontId="1" type="noConversion"/>
  </si>
  <si>
    <t>판매 중(위아 사용예정)</t>
    <phoneticPr fontId="1" type="noConversion"/>
  </si>
  <si>
    <t>6/3 애니카오남점판매 - 2BOX</t>
    <phoneticPr fontId="1" type="noConversion"/>
  </si>
  <si>
    <t>5/30 K모션 납품</t>
  </si>
  <si>
    <t>5월 처리방안</t>
    <phoneticPr fontId="1" type="noConversion"/>
  </si>
  <si>
    <t>6/27 7048차량 3캔, 8651차량 7캔, 9313차량 7캔, 0797차량 7캔</t>
  </si>
  <si>
    <t>6월 처리방안</t>
    <phoneticPr fontId="1" type="noConversion"/>
  </si>
  <si>
    <t>4월 처리방안</t>
    <phoneticPr fontId="1" type="noConversion"/>
  </si>
  <si>
    <t>5월 처리방안</t>
    <phoneticPr fontId="1" type="noConversion"/>
  </si>
  <si>
    <t>7/15 만수오일</t>
    <phoneticPr fontId="1" type="noConversion"/>
  </si>
  <si>
    <t>6월 처리방안</t>
    <phoneticPr fontId="1" type="noConversion"/>
  </si>
  <si>
    <t>8월 처리방안</t>
    <phoneticPr fontId="1" type="noConversion"/>
  </si>
  <si>
    <t>8월</t>
    <phoneticPr fontId="1" type="noConversion"/>
  </si>
  <si>
    <t>8월</t>
    <phoneticPr fontId="1" type="noConversion"/>
  </si>
  <si>
    <t>8월 처리방안</t>
    <phoneticPr fontId="1" type="noConversion"/>
  </si>
  <si>
    <t>9월</t>
    <phoneticPr fontId="1" type="noConversion"/>
  </si>
  <si>
    <t>9월 처리방안</t>
    <phoneticPr fontId="1" type="noConversion"/>
  </si>
  <si>
    <t>5월 서브원 3DM판매</t>
    <phoneticPr fontId="1" type="noConversion"/>
  </si>
  <si>
    <t>5월 엑스포상사 1PL판매</t>
    <phoneticPr fontId="1" type="noConversion"/>
  </si>
  <si>
    <t>8월</t>
    <phoneticPr fontId="1" type="noConversion"/>
  </si>
  <si>
    <t>9월 처리방안</t>
    <phoneticPr fontId="1" type="noConversion"/>
  </si>
  <si>
    <t>8월 처리방안</t>
    <phoneticPr fontId="1" type="noConversion"/>
  </si>
  <si>
    <t>9월 처리방안</t>
    <phoneticPr fontId="1" type="noConversion"/>
  </si>
  <si>
    <t>8월 처리방안</t>
    <phoneticPr fontId="1" type="noConversion"/>
  </si>
  <si>
    <t>판매완료</t>
    <phoneticPr fontId="1" type="noConversion"/>
  </si>
  <si>
    <t>METAL CLEAN S</t>
    <phoneticPr fontId="1" type="noConversion"/>
  </si>
  <si>
    <t xml:space="preserve">진영정기 </t>
    <phoneticPr fontId="1" type="noConversion"/>
  </si>
  <si>
    <t>제조업체 세정제 판매예정 (김건우과장)</t>
  </si>
  <si>
    <t>10월 처리방안</t>
    <phoneticPr fontId="1" type="noConversion"/>
  </si>
  <si>
    <t>11월 처리방안</t>
    <phoneticPr fontId="1" type="noConversion"/>
  </si>
  <si>
    <t>11월</t>
    <phoneticPr fontId="1" type="noConversion"/>
  </si>
  <si>
    <t>11월</t>
    <phoneticPr fontId="1" type="noConversion"/>
  </si>
  <si>
    <t>5/13 기아일원점 - 3박스</t>
  </si>
  <si>
    <t>11월</t>
    <phoneticPr fontId="1" type="noConversion"/>
  </si>
  <si>
    <t>11월</t>
    <phoneticPr fontId="1" type="noConversion"/>
  </si>
  <si>
    <t>12월 처리방안</t>
    <phoneticPr fontId="1" type="noConversion"/>
  </si>
  <si>
    <t>01월</t>
    <phoneticPr fontId="1" type="noConversion"/>
  </si>
  <si>
    <t>01월 처리방안</t>
    <phoneticPr fontId="1" type="noConversion"/>
  </si>
  <si>
    <t>단종 전, 트랜시스 공급분 재고확보 /현대자동차 발주없음</t>
    <phoneticPr fontId="1" type="noConversion"/>
  </si>
  <si>
    <t>폐기처분</t>
    <phoneticPr fontId="1" type="noConversion"/>
  </si>
  <si>
    <t>만해모터스접대</t>
    <phoneticPr fontId="1" type="noConversion"/>
  </si>
  <si>
    <t>판매 중(위아 사용예정), 1/26 제일윤활유상사 판매</t>
    <phoneticPr fontId="1" type="noConversion"/>
  </si>
  <si>
    <t>12월</t>
    <phoneticPr fontId="1" type="noConversion"/>
  </si>
  <si>
    <t>02월</t>
    <phoneticPr fontId="1" type="noConversion"/>
  </si>
  <si>
    <t>02월 처리방안</t>
    <phoneticPr fontId="1" type="noConversion"/>
  </si>
  <si>
    <t>02월 처리방안</t>
    <phoneticPr fontId="1" type="noConversion"/>
  </si>
  <si>
    <t>2/20 중부(화성auto)창고로  10BOX 창고이동</t>
    <phoneticPr fontId="1" type="noConversion"/>
  </si>
  <si>
    <t>판매-향후Drum 발주시 Pail 공급방안협의,판매계획,24/3/6 1판매</t>
    <phoneticPr fontId="1" type="noConversion"/>
  </si>
  <si>
    <t>03월</t>
    <phoneticPr fontId="1" type="noConversion"/>
  </si>
  <si>
    <t>03월 처리방안</t>
    <phoneticPr fontId="1" type="noConversion"/>
  </si>
  <si>
    <t>SUMIPLEX MP 700 (700g) (그리스)</t>
    <phoneticPr fontId="1" type="noConversion"/>
  </si>
  <si>
    <t>12/31 장기재고 폐기</t>
    <phoneticPr fontId="1" type="noConversion"/>
  </si>
  <si>
    <t>DELVAC MX ADV CITY LOG 10W30 (6L*3)</t>
    <phoneticPr fontId="1" type="noConversion"/>
  </si>
  <si>
    <t>1/31 만해모터스(접대)</t>
    <phoneticPr fontId="1" type="noConversion"/>
  </si>
  <si>
    <t>판매-향후Drum 발주시Pail공급방안협의,판매계획,25/3/25 1판매</t>
    <phoneticPr fontId="1" type="noConversion"/>
  </si>
  <si>
    <t>04월</t>
    <phoneticPr fontId="1" type="noConversion"/>
  </si>
  <si>
    <t>04월 처리방안</t>
    <phoneticPr fontId="1" type="noConversion"/>
  </si>
  <si>
    <t>기타</t>
    <phoneticPr fontId="1" type="noConversion"/>
  </si>
  <si>
    <t>04월</t>
    <phoneticPr fontId="1" type="noConversion"/>
  </si>
  <si>
    <t>04월 처리방안</t>
    <phoneticPr fontId="1" type="noConversion"/>
  </si>
  <si>
    <t>4/30 고려아연 카트리지로 판매</t>
    <phoneticPr fontId="1" type="noConversion"/>
  </si>
  <si>
    <t>12/1 성수남부 -&gt; 1박스</t>
    <phoneticPr fontId="1" type="noConversion"/>
  </si>
  <si>
    <t>화성이관-&gt;5PL/뉴명인모터스 1PL판매</t>
  </si>
  <si>
    <t>04월</t>
    <phoneticPr fontId="1" type="noConversion"/>
  </si>
  <si>
    <t>판매-향후Drum 발주시Pail공급방안협의,판매계획</t>
    <phoneticPr fontId="1" type="noConversion"/>
  </si>
  <si>
    <t>05월</t>
    <phoneticPr fontId="1" type="noConversion"/>
  </si>
  <si>
    <t>05월 처리방안</t>
    <phoneticPr fontId="1" type="noConversion"/>
  </si>
  <si>
    <t>1월 서부지사 1DM /  5월 동부지사 8DM 판매</t>
    <phoneticPr fontId="1" type="noConversion"/>
  </si>
  <si>
    <t>04월 처리방안</t>
    <phoneticPr fontId="1" type="noConversion"/>
  </si>
  <si>
    <t>06월</t>
    <phoneticPr fontId="1" type="noConversion"/>
  </si>
  <si>
    <t>06월 처리방안</t>
    <phoneticPr fontId="1" type="noConversion"/>
  </si>
  <si>
    <t>1월 서부지사 1DM /  6월 동부지사 4DM 판매</t>
    <phoneticPr fontId="1" type="noConversion"/>
  </si>
  <si>
    <t>07월</t>
    <phoneticPr fontId="1" type="noConversion"/>
  </si>
  <si>
    <t>07월 처리방안</t>
    <phoneticPr fontId="1" type="noConversion"/>
  </si>
  <si>
    <t>08월</t>
    <phoneticPr fontId="1" type="noConversion"/>
  </si>
  <si>
    <t>08월 처리방안</t>
    <phoneticPr fontId="1" type="noConversion"/>
  </si>
  <si>
    <t>MOBIL NUTO H 68 [20]</t>
    <phoneticPr fontId="1" type="noConversion"/>
  </si>
  <si>
    <t>MOBIL HYJET V(5G)-sp [18.9]</t>
    <phoneticPr fontId="1" type="noConversion"/>
  </si>
  <si>
    <t>1PL은 유통기한(24.12)5년</t>
    <phoneticPr fontId="1" type="noConversion"/>
  </si>
  <si>
    <t>07월 처리방안</t>
    <phoneticPr fontId="1" type="noConversion"/>
  </si>
  <si>
    <t>화성이동 2PL, 폐기1PL / 25년 11월 피치항공 사용할수도 있음</t>
    <phoneticPr fontId="1" type="noConversion"/>
  </si>
  <si>
    <t>타영업소 협조 요청 (화성판매 7PL)</t>
    <phoneticPr fontId="1" type="noConversion"/>
  </si>
  <si>
    <t>판매-향후Drum 발주시Pail공급방안협의,판매계획, 7/22 2PL판매</t>
    <phoneticPr fontId="1" type="noConversion"/>
  </si>
  <si>
    <t>판매-향후Drum 발주시Pail공급방안협의,판매계획, 8/7 4PL판매</t>
    <phoneticPr fontId="1" type="noConversion"/>
  </si>
  <si>
    <t>09월</t>
    <phoneticPr fontId="1" type="noConversion"/>
  </si>
  <si>
    <t>7월 동부지사 4DM, 월 서부지사 1드럼 판매</t>
    <phoneticPr fontId="1" type="noConversion"/>
  </si>
  <si>
    <t>09월 처리방안</t>
    <phoneticPr fontId="1" type="noConversion"/>
  </si>
  <si>
    <t>타영업소 협조 요청 (화성판매 1PL)</t>
    <phoneticPr fontId="1" type="noConversion"/>
  </si>
  <si>
    <t>25년 11월 피치항공 사용할수도 있음</t>
    <phoneticPr fontId="1" type="noConversion"/>
  </si>
  <si>
    <t>09월</t>
    <phoneticPr fontId="1" type="noConversion"/>
  </si>
  <si>
    <t>9월 창원으로 이관</t>
    <phoneticPr fontId="1" type="noConversion"/>
  </si>
  <si>
    <t>10월 동부지사 16드럼 판매</t>
    <phoneticPr fontId="1" type="noConversion"/>
  </si>
  <si>
    <t>10월</t>
    <phoneticPr fontId="1" type="noConversion"/>
  </si>
  <si>
    <t>10월 처리방안</t>
    <phoneticPr fontId="1" type="noConversion"/>
  </si>
  <si>
    <t>10월</t>
    <phoneticPr fontId="1" type="noConversion"/>
  </si>
  <si>
    <t>판매-향후Drum 발주시Pail공급방안협의,판매계획, 10월 3PL판매</t>
    <phoneticPr fontId="1" type="noConversion"/>
  </si>
  <si>
    <t>10월 처리방안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</si>
</sst>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yyyy\.mm\.dd"/>
  </numFmts>
  <fonts count="2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indexed="8"/>
      <name val="맑은 고딕"/>
      <family val="2"/>
      <scheme val="minor"/>
    </font>
    <font>
      <b/>
      <sz val="10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</font>
    <font>
      <sz val="10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sz val="10"/>
      <name val="맑은 고딕"/>
      <family val="2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41" fontId="10" fillId="0" borderId="0" applyFont="0" applyFill="0" applyBorder="0" applyAlignment="0" applyProtection="0">
      <alignment vertical="center"/>
    </xf>
  </cellStyleXfs>
  <cellXfs count="25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42" fontId="2" fillId="0" borderId="0" xfId="0" applyNumberFormat="1" applyFont="1">
      <alignment vertical="center"/>
    </xf>
    <xf numFmtId="42" fontId="3" fillId="0" borderId="0" xfId="0" applyNumberFormat="1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42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2" fontId="5" fillId="0" borderId="1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42" fontId="2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2" fontId="5" fillId="0" borderId="2" xfId="0" applyNumberFormat="1" applyFont="1" applyBorder="1" applyAlignment="1">
      <alignment horizontal="left" vertical="center"/>
    </xf>
    <xf numFmtId="42" fontId="5" fillId="0" borderId="3" xfId="0" applyNumberFormat="1" applyFont="1" applyBorder="1" applyAlignment="1">
      <alignment horizontal="left" vertical="center"/>
    </xf>
    <xf numFmtId="42" fontId="5" fillId="0" borderId="4" xfId="0" applyNumberFormat="1" applyFont="1" applyBorder="1" applyAlignment="1">
      <alignment horizontal="left" vertical="center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8" fillId="0" borderId="0" xfId="1" applyFont="1">
      <alignment vertical="center"/>
    </xf>
    <xf numFmtId="42" fontId="8" fillId="0" borderId="0" xfId="1" applyNumberFormat="1" applyFont="1">
      <alignment vertical="center"/>
    </xf>
    <xf numFmtId="0" fontId="7" fillId="0" borderId="0" xfId="1">
      <alignment vertical="center"/>
    </xf>
    <xf numFmtId="42" fontId="9" fillId="0" borderId="0" xfId="1" applyNumberFormat="1" applyFont="1" applyAlignment="1">
      <alignment horizontal="right" vertical="center"/>
    </xf>
    <xf numFmtId="0" fontId="8" fillId="0" borderId="6" xfId="1" applyFont="1" applyBorder="1" applyAlignment="1">
      <alignment horizontal="center" vertical="center"/>
    </xf>
    <xf numFmtId="42" fontId="8" fillId="0" borderId="7" xfId="1" applyNumberFormat="1" applyFont="1" applyBorder="1">
      <alignment vertical="center"/>
    </xf>
    <xf numFmtId="0" fontId="8" fillId="0" borderId="7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/>
    </xf>
    <xf numFmtId="42" fontId="9" fillId="0" borderId="8" xfId="1" applyNumberFormat="1" applyFont="1" applyBorder="1" applyAlignment="1">
      <alignment horizontal="center" vertical="center"/>
    </xf>
    <xf numFmtId="42" fontId="8" fillId="0" borderId="1" xfId="1" applyNumberFormat="1" applyFont="1" applyBorder="1">
      <alignment vertical="center"/>
    </xf>
    <xf numFmtId="0" fontId="8" fillId="0" borderId="3" xfId="1" applyFont="1" applyBorder="1" applyAlignment="1">
      <alignment horizontal="center" vertical="center"/>
    </xf>
    <xf numFmtId="42" fontId="8" fillId="0" borderId="3" xfId="1" applyNumberFormat="1" applyFont="1" applyBorder="1">
      <alignment vertical="center"/>
    </xf>
    <xf numFmtId="42" fontId="8" fillId="0" borderId="1" xfId="1" applyNumberFormat="1" applyFont="1" applyBorder="1" applyAlignment="1">
      <alignment horizontal="left" vertical="center"/>
    </xf>
    <xf numFmtId="0" fontId="8" fillId="0" borderId="1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42" fontId="6" fillId="0" borderId="1" xfId="0" applyNumberFormat="1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42" fontId="4" fillId="0" borderId="2" xfId="0" applyNumberFormat="1" applyFont="1" applyBorder="1" applyAlignment="1">
      <alignment horizontal="center" vertical="center"/>
    </xf>
    <xf numFmtId="42" fontId="5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41" fontId="2" fillId="0" borderId="0" xfId="2" applyFont="1" applyAlignment="1">
      <alignment horizontal="center" vertical="center"/>
    </xf>
    <xf numFmtId="41" fontId="4" fillId="0" borderId="1" xfId="2" applyFont="1" applyBorder="1" applyAlignment="1">
      <alignment horizontal="center" vertical="center"/>
    </xf>
    <xf numFmtId="41" fontId="5" fillId="0" borderId="1" xfId="2" applyFont="1" applyBorder="1" applyAlignment="1">
      <alignment horizontal="center" vertical="center"/>
    </xf>
    <xf numFmtId="41" fontId="2" fillId="0" borderId="1" xfId="2" applyFont="1" applyBorder="1" applyAlignment="1">
      <alignment horizontal="center" vertical="center"/>
    </xf>
    <xf numFmtId="41" fontId="4" fillId="0" borderId="0" xfId="2" applyFont="1" applyAlignment="1">
      <alignment horizontal="center" vertical="center"/>
    </xf>
    <xf numFmtId="41" fontId="4" fillId="0" borderId="2" xfId="2" applyFont="1" applyBorder="1" applyAlignment="1">
      <alignment horizontal="center" vertical="center"/>
    </xf>
    <xf numFmtId="41" fontId="5" fillId="0" borderId="0" xfId="2" applyFont="1" applyAlignment="1">
      <alignment horizontal="center" vertical="center"/>
    </xf>
    <xf numFmtId="41" fontId="9" fillId="0" borderId="0" xfId="2" applyFont="1" applyAlignment="1">
      <alignment horizontal="center" vertical="center"/>
    </xf>
    <xf numFmtId="41" fontId="9" fillId="0" borderId="8" xfId="2" applyFont="1" applyBorder="1" applyAlignment="1">
      <alignment horizontal="center" vertical="center"/>
    </xf>
    <xf numFmtId="41" fontId="8" fillId="0" borderId="1" xfId="2" applyFont="1" applyFill="1" applyBorder="1" applyAlignment="1" applyProtection="1">
      <alignment horizontal="center" vertical="center"/>
    </xf>
    <xf numFmtId="41" fontId="8" fillId="0" borderId="7" xfId="2" applyFont="1" applyBorder="1" applyAlignment="1">
      <alignment horizontal="center" vertical="center"/>
    </xf>
    <xf numFmtId="41" fontId="8" fillId="0" borderId="8" xfId="2" applyFont="1" applyBorder="1" applyAlignment="1">
      <alignment horizontal="center" vertical="center"/>
    </xf>
    <xf numFmtId="42" fontId="2" fillId="0" borderId="1" xfId="0" applyNumberFormat="1" applyFont="1" applyBorder="1" applyAlignment="1">
      <alignment vertical="center" wrapText="1"/>
    </xf>
    <xf numFmtId="42" fontId="5" fillId="0" borderId="2" xfId="0" applyNumberFormat="1" applyFont="1" applyBorder="1">
      <alignment vertical="center"/>
    </xf>
    <xf numFmtId="42" fontId="5" fillId="0" borderId="3" xfId="0" applyNumberFormat="1" applyFont="1" applyBorder="1">
      <alignment vertical="center"/>
    </xf>
    <xf numFmtId="42" fontId="8" fillId="0" borderId="2" xfId="1" applyNumberFormat="1" applyFont="1" applyBorder="1">
      <alignment vertical="center"/>
    </xf>
    <xf numFmtId="42" fontId="8" fillId="0" borderId="8" xfId="1" applyNumberFormat="1" applyFont="1" applyBorder="1">
      <alignment vertical="center"/>
    </xf>
    <xf numFmtId="42" fontId="8" fillId="0" borderId="6" xfId="1" applyNumberFormat="1" applyFont="1" applyBorder="1">
      <alignment vertical="center"/>
    </xf>
    <xf numFmtId="42" fontId="8" fillId="0" borderId="4" xfId="1" applyNumberFormat="1" applyFont="1" applyBorder="1">
      <alignment vertical="center"/>
    </xf>
    <xf numFmtId="42" fontId="8" fillId="0" borderId="5" xfId="1" applyNumberFormat="1" applyFont="1" applyBorder="1">
      <alignment vertical="center"/>
    </xf>
    <xf numFmtId="42" fontId="2" fillId="0" borderId="2" xfId="0" applyNumberFormat="1" applyFont="1" applyBorder="1">
      <alignment vertical="center"/>
    </xf>
    <xf numFmtId="42" fontId="2" fillId="0" borderId="3" xfId="0" applyNumberFormat="1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1" fontId="8" fillId="0" borderId="1" xfId="2" applyFont="1" applyFill="1" applyBorder="1" applyAlignment="1" applyProtection="1">
      <alignment vertical="center"/>
    </xf>
    <xf numFmtId="41" fontId="8" fillId="0" borderId="5" xfId="2" applyFont="1" applyBorder="1" applyAlignment="1">
      <alignment vertical="center"/>
    </xf>
    <xf numFmtId="41" fontId="8" fillId="0" borderId="6" xfId="2" applyFont="1" applyBorder="1" applyAlignment="1">
      <alignment vertical="center"/>
    </xf>
    <xf numFmtId="41" fontId="8" fillId="0" borderId="7" xfId="2" applyFont="1" applyBorder="1" applyAlignment="1">
      <alignment vertical="center"/>
    </xf>
    <xf numFmtId="41" fontId="8" fillId="0" borderId="8" xfId="2" applyFont="1" applyBorder="1" applyAlignment="1">
      <alignment vertical="center"/>
    </xf>
    <xf numFmtId="41" fontId="5" fillId="0" borderId="2" xfId="2" applyFont="1" applyBorder="1">
      <alignment vertical="center"/>
    </xf>
    <xf numFmtId="41" fontId="5" fillId="0" borderId="4" xfId="2" applyFont="1" applyBorder="1">
      <alignment vertical="center"/>
    </xf>
    <xf numFmtId="41" fontId="5" fillId="0" borderId="3" xfId="2" applyFont="1" applyBorder="1">
      <alignment vertical="center"/>
    </xf>
    <xf numFmtId="41" fontId="5" fillId="0" borderId="1" xfId="2" applyFont="1" applyBorder="1">
      <alignment vertical="center"/>
    </xf>
    <xf numFmtId="41" fontId="2" fillId="0" borderId="1" xfId="2" applyFont="1" applyBorder="1">
      <alignment vertical="center"/>
    </xf>
    <xf numFmtId="41" fontId="0" fillId="0" borderId="2" xfId="2" applyFont="1" applyBorder="1">
      <alignment vertical="center"/>
    </xf>
    <xf numFmtId="41" fontId="0" fillId="0" borderId="3" xfId="2" applyFont="1" applyBorder="1">
      <alignment vertical="center"/>
    </xf>
    <xf numFmtId="41" fontId="5" fillId="0" borderId="2" xfId="2" applyFont="1" applyBorder="1" applyAlignment="1">
      <alignment horizontal="right" vertical="center"/>
    </xf>
    <xf numFmtId="41" fontId="5" fillId="0" borderId="3" xfId="2" applyFont="1" applyBorder="1" applyAlignment="1">
      <alignment horizontal="right" vertical="center"/>
    </xf>
    <xf numFmtId="41" fontId="5" fillId="0" borderId="1" xfId="2" applyFont="1" applyBorder="1" applyAlignment="1">
      <alignment vertical="center"/>
    </xf>
    <xf numFmtId="41" fontId="5" fillId="0" borderId="1" xfId="2" applyFont="1" applyBorder="1" applyAlignment="1">
      <alignment horizontal="right" vertical="center"/>
    </xf>
    <xf numFmtId="41" fontId="2" fillId="0" borderId="0" xfId="0" applyNumberFormat="1" applyFont="1">
      <alignment vertical="center"/>
    </xf>
    <xf numFmtId="41" fontId="5" fillId="0" borderId="0" xfId="0" applyNumberFormat="1" applyFont="1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2" fontId="5" fillId="0" borderId="4" xfId="0" applyNumberFormat="1" applyFont="1" applyBorder="1">
      <alignment vertical="center"/>
    </xf>
    <xf numFmtId="42" fontId="5" fillId="0" borderId="1" xfId="0" applyNumberFormat="1" applyFont="1" applyBorder="1" applyAlignment="1">
      <alignment horizontal="left" vertical="center"/>
    </xf>
    <xf numFmtId="42" fontId="14" fillId="0" borderId="1" xfId="0" applyNumberFormat="1" applyFont="1" applyBorder="1">
      <alignment vertical="center"/>
    </xf>
    <xf numFmtId="41" fontId="6" fillId="0" borderId="1" xfId="2" applyFont="1" applyBorder="1">
      <alignment vertical="center"/>
    </xf>
    <xf numFmtId="41" fontId="6" fillId="0" borderId="1" xfId="2" applyFont="1" applyBorder="1" applyAlignment="1">
      <alignment horizontal="center" vertical="center"/>
    </xf>
    <xf numFmtId="41" fontId="6" fillId="0" borderId="2" xfId="2" applyFont="1" applyBorder="1" applyAlignment="1">
      <alignment horizontal="right" vertical="center"/>
    </xf>
    <xf numFmtId="42" fontId="6" fillId="0" borderId="2" xfId="0" applyNumberFormat="1" applyFont="1" applyBorder="1">
      <alignment vertical="center"/>
    </xf>
    <xf numFmtId="41" fontId="6" fillId="0" borderId="3" xfId="2" applyFont="1" applyBorder="1" applyAlignment="1">
      <alignment horizontal="right" vertical="center"/>
    </xf>
    <xf numFmtId="42" fontId="6" fillId="0" borderId="3" xfId="0" applyNumberFormat="1" applyFont="1" applyBorder="1">
      <alignment vertical="center"/>
    </xf>
    <xf numFmtId="0" fontId="11" fillId="2" borderId="1" xfId="1" applyFont="1" applyFill="1" applyBorder="1" applyAlignment="1">
      <alignment horizontal="center" vertical="center"/>
    </xf>
    <xf numFmtId="42" fontId="15" fillId="0" borderId="2" xfId="0" applyNumberFormat="1" applyFont="1" applyBorder="1">
      <alignment vertical="center"/>
    </xf>
    <xf numFmtId="42" fontId="16" fillId="0" borderId="6" xfId="1" applyNumberFormat="1" applyFont="1" applyBorder="1">
      <alignment vertical="center"/>
    </xf>
    <xf numFmtId="42" fontId="15" fillId="0" borderId="1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42" fontId="15" fillId="0" borderId="3" xfId="0" applyNumberFormat="1" applyFont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9" fillId="2" borderId="8" xfId="1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42" fontId="6" fillId="0" borderId="2" xfId="0" applyNumberFormat="1" applyFont="1" applyBorder="1" applyAlignment="1">
      <alignment horizontal="left" vertical="center"/>
    </xf>
    <xf numFmtId="42" fontId="6" fillId="0" borderId="3" xfId="0" applyNumberFormat="1" applyFont="1" applyBorder="1" applyAlignment="1">
      <alignment horizontal="left" vertical="center"/>
    </xf>
    <xf numFmtId="41" fontId="15" fillId="0" borderId="1" xfId="2" applyFont="1" applyBorder="1">
      <alignment vertical="center"/>
    </xf>
    <xf numFmtId="41" fontId="15" fillId="0" borderId="1" xfId="2" applyFont="1" applyBorder="1" applyAlignment="1">
      <alignment vertical="center"/>
    </xf>
    <xf numFmtId="41" fontId="12" fillId="0" borderId="1" xfId="2" applyFont="1" applyBorder="1">
      <alignment vertical="center"/>
    </xf>
    <xf numFmtId="42" fontId="12" fillId="0" borderId="2" xfId="0" applyNumberFormat="1" applyFont="1" applyBorder="1">
      <alignment vertical="center"/>
    </xf>
    <xf numFmtId="41" fontId="15" fillId="0" borderId="2" xfId="2" applyFont="1" applyBorder="1" applyAlignment="1">
      <alignment vertical="center"/>
    </xf>
    <xf numFmtId="41" fontId="15" fillId="0" borderId="3" xfId="2" applyFont="1" applyBorder="1" applyAlignment="1">
      <alignment vertical="center"/>
    </xf>
    <xf numFmtId="41" fontId="15" fillId="0" borderId="1" xfId="2" applyFont="1" applyBorder="1" applyAlignment="1">
      <alignment horizontal="center" vertical="center"/>
    </xf>
    <xf numFmtId="42" fontId="15" fillId="0" borderId="2" xfId="0" applyNumberFormat="1" applyFont="1" applyBorder="1" applyAlignment="1">
      <alignment horizontal="left" vertical="center"/>
    </xf>
    <xf numFmtId="41" fontId="5" fillId="0" borderId="2" xfId="2" applyFont="1" applyBorder="1" applyAlignment="1">
      <alignment vertical="center"/>
    </xf>
    <xf numFmtId="42" fontId="15" fillId="0" borderId="1" xfId="0" applyNumberFormat="1" applyFont="1" applyBorder="1" applyAlignment="1">
      <alignment horizontal="left" vertical="center"/>
    </xf>
    <xf numFmtId="42" fontId="15" fillId="0" borderId="3" xfId="0" applyNumberFormat="1" applyFont="1" applyBorder="1" applyAlignment="1">
      <alignment horizontal="left" vertical="center"/>
    </xf>
    <xf numFmtId="42" fontId="16" fillId="0" borderId="3" xfId="1" applyNumberFormat="1" applyFont="1" applyBorder="1">
      <alignment vertical="center"/>
    </xf>
    <xf numFmtId="42" fontId="16" fillId="0" borderId="4" xfId="1" applyNumberFormat="1" applyFont="1" applyBorder="1">
      <alignment vertical="center"/>
    </xf>
    <xf numFmtId="41" fontId="6" fillId="0" borderId="1" xfId="2" applyFont="1" applyBorder="1" applyAlignment="1">
      <alignment vertical="center"/>
    </xf>
    <xf numFmtId="41" fontId="6" fillId="0" borderId="1" xfId="2" applyFont="1" applyBorder="1" applyAlignment="1">
      <alignment horizontal="right" vertical="center"/>
    </xf>
    <xf numFmtId="42" fontId="17" fillId="0" borderId="3" xfId="1" applyNumberFormat="1" applyFont="1" applyBorder="1">
      <alignment vertical="center"/>
    </xf>
    <xf numFmtId="42" fontId="17" fillId="0" borderId="1" xfId="1" applyNumberFormat="1" applyFont="1" applyBorder="1">
      <alignment vertical="center"/>
    </xf>
    <xf numFmtId="42" fontId="17" fillId="0" borderId="6" xfId="1" applyNumberFormat="1" applyFont="1" applyBorder="1">
      <alignment vertical="center"/>
    </xf>
    <xf numFmtId="42" fontId="17" fillId="0" borderId="4" xfId="1" applyNumberFormat="1" applyFont="1" applyBorder="1">
      <alignment vertical="center"/>
    </xf>
    <xf numFmtId="42" fontId="6" fillId="0" borderId="1" xfId="0" applyNumberFormat="1" applyFont="1" applyBorder="1" applyAlignment="1">
      <alignment horizontal="left" vertical="center"/>
    </xf>
    <xf numFmtId="42" fontId="16" fillId="0" borderId="8" xfId="1" applyNumberFormat="1" applyFont="1" applyBorder="1">
      <alignment vertical="center"/>
    </xf>
    <xf numFmtId="41" fontId="6" fillId="0" borderId="2" xfId="2" applyFont="1" applyBorder="1" applyAlignment="1">
      <alignment vertical="center"/>
    </xf>
    <xf numFmtId="41" fontId="8" fillId="0" borderId="8" xfId="2" applyFont="1" applyFill="1" applyBorder="1" applyAlignment="1" applyProtection="1">
      <alignment vertical="center"/>
    </xf>
    <xf numFmtId="41" fontId="8" fillId="0" borderId="2" xfId="2" applyFont="1" applyBorder="1" applyAlignment="1">
      <alignment vertical="center"/>
    </xf>
    <xf numFmtId="41" fontId="8" fillId="0" borderId="4" xfId="2" applyFont="1" applyBorder="1" applyAlignment="1">
      <alignment vertical="center"/>
    </xf>
    <xf numFmtId="0" fontId="8" fillId="0" borderId="2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42" fontId="8" fillId="0" borderId="8" xfId="1" applyNumberFormat="1" applyFont="1" applyBorder="1" applyAlignment="1">
      <alignment horizontal="left" vertical="center"/>
    </xf>
    <xf numFmtId="41" fontId="8" fillId="0" borderId="3" xfId="2" applyFont="1" applyBorder="1" applyAlignment="1">
      <alignment vertical="center"/>
    </xf>
    <xf numFmtId="41" fontId="16" fillId="0" borderId="8" xfId="2" applyFont="1" applyFill="1" applyBorder="1" applyAlignment="1" applyProtection="1">
      <alignment vertical="center"/>
    </xf>
    <xf numFmtId="41" fontId="16" fillId="0" borderId="8" xfId="2" applyFont="1" applyBorder="1" applyAlignment="1">
      <alignment vertical="center"/>
    </xf>
    <xf numFmtId="42" fontId="16" fillId="0" borderId="7" xfId="1" applyNumberFormat="1" applyFont="1" applyBorder="1">
      <alignment vertical="center"/>
    </xf>
    <xf numFmtId="42" fontId="18" fillId="0" borderId="6" xfId="1" applyNumberFormat="1" applyFont="1" applyBorder="1">
      <alignment vertical="center"/>
    </xf>
    <xf numFmtId="42" fontId="19" fillId="0" borderId="1" xfId="0" applyNumberFormat="1" applyFont="1" applyBorder="1">
      <alignment vertical="center"/>
    </xf>
    <xf numFmtId="42" fontId="19" fillId="0" borderId="1" xfId="0" applyNumberFormat="1" applyFont="1" applyBorder="1" applyAlignment="1">
      <alignment horizontal="left" vertical="center"/>
    </xf>
    <xf numFmtId="42" fontId="5" fillId="0" borderId="1" xfId="0" applyNumberFormat="1" applyFont="1" applyBorder="1" applyAlignment="1">
      <alignment horizontal="left" vertical="center" wrapText="1"/>
    </xf>
    <xf numFmtId="41" fontId="19" fillId="0" borderId="1" xfId="2" applyFont="1" applyBorder="1" applyAlignment="1">
      <alignment vertical="center"/>
    </xf>
    <xf numFmtId="42" fontId="19" fillId="0" borderId="2" xfId="0" applyNumberFormat="1" applyFont="1" applyBorder="1">
      <alignment vertical="center"/>
    </xf>
    <xf numFmtId="0" fontId="8" fillId="0" borderId="9" xfId="1" applyFont="1" applyBorder="1" applyAlignment="1">
      <alignment horizontal="center" vertical="center"/>
    </xf>
    <xf numFmtId="42" fontId="8" fillId="0" borderId="9" xfId="1" applyNumberFormat="1" applyFont="1" applyBorder="1">
      <alignment vertical="center"/>
    </xf>
    <xf numFmtId="41" fontId="8" fillId="0" borderId="9" xfId="1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vertical="center" wrapText="1"/>
    </xf>
    <xf numFmtId="42" fontId="6" fillId="0" borderId="1" xfId="0" applyNumberFormat="1" applyFont="1" applyBorder="1" applyAlignment="1">
      <alignment vertical="center" wrapText="1"/>
    </xf>
    <xf numFmtId="41" fontId="19" fillId="0" borderId="1" xfId="2" applyFont="1" applyBorder="1">
      <alignment vertical="center"/>
    </xf>
    <xf numFmtId="41" fontId="19" fillId="0" borderId="1" xfId="2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1" fontId="2" fillId="4" borderId="1" xfId="2" applyFont="1" applyFill="1" applyBorder="1">
      <alignment vertical="center"/>
    </xf>
    <xf numFmtId="42" fontId="2" fillId="4" borderId="1" xfId="0" applyNumberFormat="1" applyFont="1" applyFill="1" applyBorder="1">
      <alignment vertical="center"/>
    </xf>
    <xf numFmtId="0" fontId="9" fillId="3" borderId="8" xfId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1" fontId="15" fillId="0" borderId="1" xfId="2" applyFont="1" applyFill="1" applyBorder="1">
      <alignment vertical="center"/>
    </xf>
    <xf numFmtId="41" fontId="2" fillId="0" borderId="1" xfId="2" applyFont="1" applyFill="1" applyBorder="1">
      <alignment vertical="center"/>
    </xf>
    <xf numFmtId="41" fontId="5" fillId="0" borderId="1" xfId="2" applyFont="1" applyFill="1" applyBorder="1">
      <alignment vertical="center"/>
    </xf>
    <xf numFmtId="0" fontId="5" fillId="0" borderId="2" xfId="0" applyFont="1" applyBorder="1">
      <alignment vertical="center"/>
    </xf>
    <xf numFmtId="41" fontId="2" fillId="5" borderId="1" xfId="2" applyFont="1" applyFill="1" applyBorder="1">
      <alignment vertical="center"/>
    </xf>
    <xf numFmtId="41" fontId="12" fillId="5" borderId="1" xfId="2" applyFont="1" applyFill="1" applyBorder="1">
      <alignment vertical="center"/>
    </xf>
    <xf numFmtId="41" fontId="14" fillId="3" borderId="1" xfId="2" applyFont="1" applyFill="1" applyBorder="1">
      <alignment vertical="center"/>
    </xf>
    <xf numFmtId="41" fontId="14" fillId="0" borderId="1" xfId="2" applyFont="1" applyBorder="1">
      <alignment vertical="center"/>
    </xf>
    <xf numFmtId="0" fontId="21" fillId="0" borderId="1" xfId="0" applyFont="1" applyBorder="1" applyAlignment="1">
      <alignment horizontal="center" vertical="center"/>
    </xf>
    <xf numFmtId="41" fontId="22" fillId="0" borderId="1" xfId="2" applyFont="1" applyBorder="1">
      <alignment vertical="center"/>
    </xf>
    <xf numFmtId="41" fontId="5" fillId="0" borderId="2" xfId="2" applyFont="1" applyBorder="1" applyAlignment="1">
      <alignment horizontal="center" vertical="center"/>
    </xf>
    <xf numFmtId="41" fontId="5" fillId="0" borderId="4" xfId="2" applyFont="1" applyBorder="1" applyAlignment="1">
      <alignment horizontal="center" vertical="center"/>
    </xf>
    <xf numFmtId="41" fontId="5" fillId="0" borderId="3" xfId="2" applyFont="1" applyBorder="1" applyAlignment="1">
      <alignment horizontal="center" vertical="center"/>
    </xf>
    <xf numFmtId="41" fontId="15" fillId="0" borderId="2" xfId="2" applyFont="1" applyBorder="1" applyAlignment="1">
      <alignment horizontal="center" vertical="center"/>
    </xf>
    <xf numFmtId="41" fontId="15" fillId="0" borderId="3" xfId="2" applyFont="1" applyBorder="1" applyAlignment="1">
      <alignment horizontal="center" vertical="center"/>
    </xf>
    <xf numFmtId="41" fontId="19" fillId="0" borderId="2" xfId="2" applyFont="1" applyBorder="1" applyAlignment="1">
      <alignment horizontal="center" vertical="center"/>
    </xf>
    <xf numFmtId="41" fontId="19" fillId="0" borderId="3" xfId="2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1" fontId="5" fillId="0" borderId="2" xfId="2" applyFont="1" applyFill="1" applyBorder="1" applyAlignment="1">
      <alignment horizontal="center" vertical="center"/>
    </xf>
    <xf numFmtId="41" fontId="5" fillId="0" borderId="4" xfId="2" applyFont="1" applyFill="1" applyBorder="1" applyAlignment="1">
      <alignment horizontal="center" vertical="center"/>
    </xf>
    <xf numFmtId="41" fontId="5" fillId="0" borderId="3" xfId="2" applyFont="1" applyFill="1" applyBorder="1" applyAlignment="1">
      <alignment horizontal="center" vertical="center"/>
    </xf>
    <xf numFmtId="41" fontId="15" fillId="0" borderId="2" xfId="2" applyFont="1" applyFill="1" applyBorder="1" applyAlignment="1">
      <alignment horizontal="center" vertical="center"/>
    </xf>
    <xf numFmtId="41" fontId="15" fillId="0" borderId="3" xfId="2" applyFont="1" applyFill="1" applyBorder="1" applyAlignment="1">
      <alignment horizontal="center" vertical="center"/>
    </xf>
    <xf numFmtId="41" fontId="19" fillId="0" borderId="2" xfId="2" applyFont="1" applyFill="1" applyBorder="1" applyAlignment="1">
      <alignment horizontal="center" vertical="center"/>
    </xf>
    <xf numFmtId="41" fontId="19" fillId="0" borderId="3" xfId="2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1" fontId="5" fillId="0" borderId="2" xfId="2" applyFont="1" applyBorder="1" applyAlignment="1">
      <alignment vertical="center"/>
    </xf>
    <xf numFmtId="41" fontId="5" fillId="0" borderId="3" xfId="2" applyFont="1" applyBorder="1" applyAlignment="1">
      <alignment vertical="center"/>
    </xf>
    <xf numFmtId="42" fontId="5" fillId="0" borderId="2" xfId="0" applyNumberFormat="1" applyFont="1" applyBorder="1" applyAlignment="1">
      <alignment horizontal="left" vertical="center"/>
    </xf>
    <xf numFmtId="42" fontId="5" fillId="0" borderId="3" xfId="0" applyNumberFormat="1" applyFont="1" applyBorder="1" applyAlignment="1">
      <alignment horizontal="left" vertical="center"/>
    </xf>
    <xf numFmtId="42" fontId="5" fillId="0" borderId="4" xfId="0" applyNumberFormat="1" applyFont="1" applyBorder="1" applyAlignment="1">
      <alignment horizontal="left" vertical="center"/>
    </xf>
    <xf numFmtId="41" fontId="5" fillId="0" borderId="4" xfId="2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42" fontId="6" fillId="0" borderId="2" xfId="0" applyNumberFormat="1" applyFont="1" applyBorder="1" applyAlignment="1">
      <alignment horizontal="left" vertical="center"/>
    </xf>
    <xf numFmtId="42" fontId="6" fillId="0" borderId="3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41" fontId="20" fillId="0" borderId="2" xfId="2" applyFont="1" applyBorder="1" applyAlignment="1">
      <alignment vertical="center"/>
    </xf>
    <xf numFmtId="41" fontId="20" fillId="0" borderId="3" xfId="2" applyFont="1" applyBorder="1" applyAlignment="1">
      <alignment vertical="center"/>
    </xf>
    <xf numFmtId="41" fontId="15" fillId="0" borderId="1" xfId="2" applyFont="1" applyBorder="1" applyAlignment="1">
      <alignment vertical="center"/>
    </xf>
    <xf numFmtId="41" fontId="0" fillId="0" borderId="2" xfId="2" applyFont="1" applyBorder="1" applyAlignment="1">
      <alignment vertical="center"/>
    </xf>
    <xf numFmtId="41" fontId="0" fillId="0" borderId="3" xfId="2" applyFont="1" applyBorder="1" applyAlignment="1">
      <alignment vertical="center"/>
    </xf>
    <xf numFmtId="41" fontId="5" fillId="0" borderId="1" xfId="2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1" fontId="2" fillId="0" borderId="2" xfId="2" applyFont="1" applyBorder="1" applyAlignment="1">
      <alignment horizontal="center" vertical="center"/>
    </xf>
    <xf numFmtId="41" fontId="2" fillId="0" borderId="3" xfId="2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1" fontId="6" fillId="0" borderId="2" xfId="2" applyFont="1" applyBorder="1" applyAlignment="1">
      <alignment vertical="center"/>
    </xf>
    <xf numFmtId="41" fontId="6" fillId="0" borderId="3" xfId="2" applyFont="1" applyBorder="1" applyAlignment="1">
      <alignment vertical="center"/>
    </xf>
    <xf numFmtId="42" fontId="0" fillId="0" borderId="2" xfId="0" applyNumberFormat="1" applyBorder="1">
      <alignment vertical="center"/>
    </xf>
    <xf numFmtId="42" fontId="0" fillId="0" borderId="3" xfId="0" applyNumberFormat="1" applyBorder="1">
      <alignment vertical="center"/>
    </xf>
    <xf numFmtId="42" fontId="5" fillId="0" borderId="1" xfId="0" applyNumberFormat="1" applyFont="1" applyBorder="1">
      <alignment vertical="center"/>
    </xf>
    <xf numFmtId="42" fontId="5" fillId="0" borderId="2" xfId="0" applyNumberFormat="1" applyFont="1" applyBorder="1">
      <alignment vertical="center"/>
    </xf>
    <xf numFmtId="42" fontId="5" fillId="0" borderId="3" xfId="0" applyNumberFormat="1" applyFont="1" applyBorder="1">
      <alignment vertical="center"/>
    </xf>
    <xf numFmtId="41" fontId="15" fillId="0" borderId="2" xfId="2" applyFont="1" applyBorder="1" applyAlignment="1">
      <alignment vertical="center"/>
    </xf>
    <xf numFmtId="41" fontId="15" fillId="0" borderId="3" xfId="2" applyFont="1" applyBorder="1" applyAlignment="1">
      <alignment vertical="center"/>
    </xf>
    <xf numFmtId="42" fontId="14" fillId="0" borderId="2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1" fontId="8" fillId="0" borderId="2" xfId="2" applyFont="1" applyBorder="1" applyAlignment="1">
      <alignment vertical="center"/>
    </xf>
    <xf numFmtId="41" fontId="8" fillId="0" borderId="4" xfId="2" applyFont="1" applyBorder="1" applyAlignment="1">
      <alignment vertical="center"/>
    </xf>
    <xf numFmtId="41" fontId="16" fillId="0" borderId="8" xfId="2" applyFont="1" applyFill="1" applyBorder="1" applyAlignment="1" applyProtection="1">
      <alignment vertical="center"/>
    </xf>
    <xf numFmtId="41" fontId="16" fillId="0" borderId="6" xfId="2" applyFont="1" applyFill="1" applyBorder="1" applyAlignment="1" applyProtection="1">
      <alignment vertical="center"/>
    </xf>
    <xf numFmtId="41" fontId="17" fillId="0" borderId="8" xfId="2" applyFont="1" applyFill="1" applyBorder="1" applyAlignment="1" applyProtection="1">
      <alignment vertical="center"/>
    </xf>
    <xf numFmtId="41" fontId="8" fillId="0" borderId="8" xfId="2" applyFont="1" applyFill="1" applyBorder="1" applyAlignment="1" applyProtection="1">
      <alignment vertical="center"/>
    </xf>
    <xf numFmtId="41" fontId="8" fillId="0" borderId="5" xfId="2" applyFont="1" applyFill="1" applyBorder="1" applyAlignment="1" applyProtection="1">
      <alignment vertical="center"/>
    </xf>
    <xf numFmtId="41" fontId="8" fillId="0" borderId="6" xfId="2" applyFont="1" applyFill="1" applyBorder="1" applyAlignment="1" applyProtection="1">
      <alignment vertical="center"/>
    </xf>
    <xf numFmtId="42" fontId="8" fillId="0" borderId="8" xfId="1" applyNumberFormat="1" applyFont="1" applyBorder="1" applyAlignment="1">
      <alignment horizontal="left" vertical="center"/>
    </xf>
    <xf numFmtId="42" fontId="8" fillId="0" borderId="6" xfId="1" applyNumberFormat="1" applyFont="1" applyBorder="1" applyAlignment="1">
      <alignment horizontal="left" vertical="center"/>
    </xf>
    <xf numFmtId="0" fontId="8" fillId="0" borderId="8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42" fontId="8" fillId="0" borderId="5" xfId="1" applyNumberFormat="1" applyFont="1" applyBorder="1" applyAlignment="1">
      <alignment horizontal="left" vertical="center"/>
    </xf>
    <xf numFmtId="0" fontId="8" fillId="0" borderId="2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42" fontId="8" fillId="0" borderId="2" xfId="1" applyNumberFormat="1" applyFont="1" applyBorder="1" applyAlignment="1">
      <alignment horizontal="left" vertical="center"/>
    </xf>
    <xf numFmtId="42" fontId="8" fillId="0" borderId="4" xfId="1" applyNumberFormat="1" applyFont="1" applyBorder="1" applyAlignment="1">
      <alignment horizontal="left" vertical="center"/>
    </xf>
    <xf numFmtId="41" fontId="8" fillId="0" borderId="2" xfId="2" applyFont="1" applyFill="1" applyBorder="1" applyAlignment="1" applyProtection="1">
      <alignment vertical="center"/>
    </xf>
    <xf numFmtId="41" fontId="8" fillId="0" borderId="3" xfId="2" applyFont="1" applyFill="1" applyBorder="1" applyAlignment="1" applyProtection="1">
      <alignment vertical="center"/>
    </xf>
    <xf numFmtId="41" fontId="8" fillId="0" borderId="4" xfId="2" applyFont="1" applyFill="1" applyBorder="1" applyAlignment="1" applyProtection="1">
      <alignment vertical="center"/>
    </xf>
    <xf numFmtId="41" fontId="8" fillId="0" borderId="3" xfId="2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</cellXfs>
  <cellStyles count="3">
    <cellStyle name="쉼표 [0]" xfId="2" builtinId="6"/>
    <cellStyle name="표준" xfId="0" builtinId="0"/>
    <cellStyle name="표준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50689;&#51068;1/Desktop/&#49324;&#50629;&#49548;&#48324;%20&#51109;&#44592;&#48120;&#52636;&#44256;%20&#51116;&#44256;%20&#54869;&#51064;/&#49324;&#50629;&#49548;&#48324;%20&#51116;&#44256;%20&#54869;&#51064;_&#51064;&#52380;_202305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천"/>
    </sheetNames>
    <sheetDataSet>
      <sheetData sheetId="0">
        <row r="1">
          <cell r="B1" t="str">
            <v>(구매 후 / 6개월/ 1년 / 2년 기준)</v>
          </cell>
        </row>
        <row r="3">
          <cell r="B3" t="str">
            <v>제품명</v>
          </cell>
          <cell r="C3" t="str">
            <v>규격</v>
          </cell>
          <cell r="D3" t="str">
            <v>현재고</v>
          </cell>
          <cell r="E3" t="str">
            <v>제조일자</v>
          </cell>
        </row>
        <row r="4">
          <cell r="B4" t="str">
            <v>MOBIL ATF 660-PL20L</v>
          </cell>
          <cell r="C4" t="str">
            <v>pail</v>
          </cell>
          <cell r="D4">
            <v>3</v>
          </cell>
        </row>
        <row r="5">
          <cell r="B5" t="str">
            <v>M DELVAC MX 10W30-CT1L/12</v>
          </cell>
          <cell r="C5" t="str">
            <v>box</v>
          </cell>
          <cell r="D5">
            <v>10</v>
          </cell>
          <cell r="E5">
            <v>42297</v>
          </cell>
        </row>
        <row r="6">
          <cell r="B6" t="str">
            <v>M Super 1000 XE Diesel 5W30-1LX12</v>
          </cell>
          <cell r="C6" t="str">
            <v>Box</v>
          </cell>
          <cell r="D6">
            <v>5</v>
          </cell>
          <cell r="E6">
            <v>43808</v>
          </cell>
        </row>
        <row r="7">
          <cell r="B7" t="str">
            <v>M-DEL MX CITY LOG 10W30-CT1LX12</v>
          </cell>
          <cell r="C7" t="str">
            <v>box</v>
          </cell>
          <cell r="D7">
            <v>4</v>
          </cell>
          <cell r="E7">
            <v>42321</v>
          </cell>
        </row>
        <row r="8">
          <cell r="B8" t="str">
            <v>M DELVAC MX ESP K 10W40-CT4LX4</v>
          </cell>
          <cell r="C8" t="str">
            <v>box</v>
          </cell>
          <cell r="D8">
            <v>5</v>
          </cell>
          <cell r="E8">
            <v>44242</v>
          </cell>
        </row>
        <row r="9">
          <cell r="B9" t="str">
            <v>MOBIL DELVAC XHP ESP M 10W-40 CT4LX4</v>
          </cell>
          <cell r="C9" t="str">
            <v>box</v>
          </cell>
          <cell r="D9">
            <v>1</v>
          </cell>
          <cell r="E9">
            <v>43336</v>
          </cell>
        </row>
        <row r="10">
          <cell r="B10" t="str">
            <v>M Delvac MX 10W30-CT4LX4</v>
          </cell>
          <cell r="C10" t="str">
            <v>Box</v>
          </cell>
          <cell r="D10">
            <v>3</v>
          </cell>
          <cell r="E10">
            <v>43053</v>
          </cell>
        </row>
        <row r="11">
          <cell r="B11" t="str">
            <v>극동 브레이크액0.8／15</v>
          </cell>
          <cell r="C11" t="str">
            <v>box</v>
          </cell>
          <cell r="D11">
            <v>5</v>
          </cell>
          <cell r="E11">
            <v>44246</v>
          </cell>
        </row>
        <row r="12">
          <cell r="B12" t="str">
            <v>극동 EPG 4-1</v>
          </cell>
          <cell r="C12" t="str">
            <v>pail</v>
          </cell>
          <cell r="D12">
            <v>5</v>
          </cell>
        </row>
        <row r="13">
          <cell r="B13" t="str">
            <v>대우 순정 부동액(Red) 2／6</v>
          </cell>
          <cell r="C13" t="str">
            <v>box</v>
          </cell>
          <cell r="D13">
            <v>3</v>
          </cell>
          <cell r="E13">
            <v>43467</v>
          </cell>
        </row>
        <row r="14">
          <cell r="B14" t="str">
            <v>대우 순정 부동액(Blue) 2/6</v>
          </cell>
          <cell r="C14" t="str">
            <v>box</v>
          </cell>
          <cell r="D14">
            <v>4</v>
          </cell>
          <cell r="E14">
            <v>44152</v>
          </cell>
        </row>
        <row r="15">
          <cell r="B15" t="str">
            <v>GULF Transyn MF-LV-Green 18L</v>
          </cell>
          <cell r="C15" t="str">
            <v>pail</v>
          </cell>
          <cell r="D15">
            <v>2</v>
          </cell>
          <cell r="E15">
            <v>44393</v>
          </cell>
        </row>
        <row r="16">
          <cell r="B16" t="str">
            <v>제니스 RHD 3</v>
          </cell>
          <cell r="C16" t="str">
            <v>pail</v>
          </cell>
          <cell r="D16">
            <v>2</v>
          </cell>
          <cell r="E16">
            <v>42971</v>
          </cell>
        </row>
        <row r="17">
          <cell r="B17" t="str">
            <v>극동EPG 000</v>
          </cell>
          <cell r="C17" t="str">
            <v>pail</v>
          </cell>
          <cell r="D17">
            <v>5</v>
          </cell>
          <cell r="E17">
            <v>43393</v>
          </cell>
        </row>
        <row r="18">
          <cell r="B18" t="str">
            <v>DEL. SYN GEAR LS 75W90</v>
          </cell>
          <cell r="C18" t="str">
            <v>P/L</v>
          </cell>
          <cell r="D18">
            <v>6</v>
          </cell>
        </row>
        <row r="19">
          <cell r="B19" t="str">
            <v>VECTON 15W/40-20L</v>
          </cell>
          <cell r="C19" t="str">
            <v>P/L</v>
          </cell>
          <cell r="D19">
            <v>2</v>
          </cell>
          <cell r="E19">
            <v>44340</v>
          </cell>
        </row>
        <row r="20">
          <cell r="B20" t="str">
            <v>VECTON 15W/40-4LX3</v>
          </cell>
          <cell r="C20" t="str">
            <v>box</v>
          </cell>
          <cell r="D20">
            <v>1</v>
          </cell>
          <cell r="E20">
            <v>44245</v>
          </cell>
        </row>
        <row r="21">
          <cell r="B21" t="str">
            <v>FUCHS TITAN FFL-52529 (DCT)-PL20L</v>
          </cell>
          <cell r="C21" t="str">
            <v>pail</v>
          </cell>
          <cell r="D21">
            <v>2</v>
          </cell>
        </row>
        <row r="22">
          <cell r="B22" t="str">
            <v>GS ARLES 100</v>
          </cell>
          <cell r="C22" t="str">
            <v>pail</v>
          </cell>
          <cell r="D22">
            <v>1</v>
          </cell>
          <cell r="E22">
            <v>40330</v>
          </cell>
        </row>
        <row r="23">
          <cell r="B23" t="str">
            <v>Kixx ATF Multi Plus 20/1</v>
          </cell>
          <cell r="C23" t="str">
            <v>pail</v>
          </cell>
          <cell r="D23">
            <v>1</v>
          </cell>
          <cell r="E23">
            <v>44286</v>
          </cell>
        </row>
        <row r="24">
          <cell r="B24" t="str">
            <v>Kixx DX CJ-4 15W40 4 / 4</v>
          </cell>
          <cell r="C24" t="str">
            <v>box</v>
          </cell>
          <cell r="D24">
            <v>10</v>
          </cell>
          <cell r="E24">
            <v>43067</v>
          </cell>
        </row>
        <row r="25">
          <cell r="B25" t="str">
            <v>현대 뉴파워 스티어링오일(03100-00100) 1／12</v>
          </cell>
          <cell r="C25" t="str">
            <v>box</v>
          </cell>
          <cell r="D25">
            <v>18</v>
          </cell>
          <cell r="E25">
            <v>43970</v>
          </cell>
        </row>
        <row r="26">
          <cell r="B26" t="str">
            <v>현대 자동(04500-00400)</v>
          </cell>
          <cell r="C26" t="str">
            <v>box</v>
          </cell>
          <cell r="D26">
            <v>2</v>
          </cell>
          <cell r="E26">
            <v>44064</v>
          </cell>
        </row>
        <row r="27">
          <cell r="B27" t="str">
            <v>현대 DPF 1／12 (05200-00120)</v>
          </cell>
          <cell r="C27" t="str">
            <v>box</v>
          </cell>
          <cell r="D27">
            <v>5</v>
          </cell>
        </row>
        <row r="28">
          <cell r="B28" t="str">
            <v>현대 저마찰형 1/12 (05100-00151)</v>
          </cell>
          <cell r="C28" t="str">
            <v>box</v>
          </cell>
          <cell r="D28">
            <v>1</v>
          </cell>
          <cell r="E28">
            <v>42703</v>
          </cell>
        </row>
        <row r="29">
          <cell r="B29" t="str">
            <v>현대 최고급 프리미엄 1／12 (05100-00141)</v>
          </cell>
          <cell r="C29" t="str">
            <v>box</v>
          </cell>
          <cell r="D29">
            <v>1</v>
          </cell>
        </row>
        <row r="30">
          <cell r="B30" t="str">
            <v>현대 중대형 디젤(05200-48BAO) 20/1</v>
          </cell>
          <cell r="C30" t="str">
            <v>pail</v>
          </cell>
          <cell r="D30">
            <v>1</v>
          </cell>
          <cell r="E30">
            <v>44028</v>
          </cell>
        </row>
        <row r="31">
          <cell r="B31" t="str">
            <v>H-MTF 30 ZF전용 기어오일(04300-00450)-4LX4</v>
          </cell>
          <cell r="C31" t="str">
            <v>box</v>
          </cell>
          <cell r="D31">
            <v>6</v>
          </cell>
        </row>
        <row r="32">
          <cell r="B32" t="str">
            <v>OMALA S2 G 68(OMALA 68)</v>
          </cell>
          <cell r="C32" t="str">
            <v>P/L</v>
          </cell>
          <cell r="D32">
            <v>2</v>
          </cell>
        </row>
        <row r="33">
          <cell r="B33" t="str">
            <v>쌍용 순정품 (10／40) 4/4</v>
          </cell>
          <cell r="C33" t="str">
            <v>box</v>
          </cell>
          <cell r="D33">
            <v>3</v>
          </cell>
          <cell r="E33">
            <v>44138</v>
          </cell>
        </row>
        <row r="35">
          <cell r="D35">
            <v>119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P173"/>
  <sheetViews>
    <sheetView zoomScale="90" zoomScaleNormal="90" workbookViewId="0">
      <pane xSplit="39" ySplit="3" topLeftCell="BO4" activePane="bottomRight" state="frozen"/>
      <selection activeCell="O29" sqref="O29"/>
      <selection pane="topRight" activeCell="O29" sqref="O29"/>
      <selection pane="bottomLeft" activeCell="O29" sqref="O29"/>
      <selection pane="bottomRight" activeCell="AM37" sqref="AM37"/>
    </sheetView>
  </sheetViews>
  <sheetFormatPr defaultRowHeight="16.5" x14ac:dyDescent="0.3"/>
  <cols>
    <col min="1" max="1" width="1.875" style="1" customWidth="1"/>
    <col min="2" max="2" width="5.625" style="2" customWidth="1"/>
    <col min="3" max="3" width="40.625" style="3" customWidth="1"/>
    <col min="4" max="4" width="5.625" style="2" customWidth="1"/>
    <col min="5" max="10" width="5.625" style="1" customWidth="1"/>
    <col min="11" max="13" width="5.625" style="1" hidden="1" customWidth="1"/>
    <col min="14" max="14" width="5.625" style="1" customWidth="1"/>
    <col min="15" max="19" width="5.625" style="1" hidden="1" customWidth="1"/>
    <col min="20" max="21" width="5.625" style="1" customWidth="1"/>
    <col min="22" max="26" width="5.625" style="1" hidden="1" customWidth="1"/>
    <col min="27" max="28" width="5.625" style="1" customWidth="1"/>
    <col min="29" max="30" width="5.625" style="1" hidden="1" customWidth="1"/>
    <col min="31" max="33" width="5.625" style="1" customWidth="1"/>
    <col min="34" max="34" width="5.625" style="1" hidden="1" customWidth="1"/>
    <col min="35" max="35" width="12.625" style="1" hidden="1" customWidth="1"/>
    <col min="36" max="36" width="12.625" style="2" hidden="1" customWidth="1"/>
    <col min="37" max="37" width="12.625" style="43" hidden="1" customWidth="1"/>
    <col min="38" max="38" width="12.625" style="2" hidden="1" customWidth="1"/>
    <col min="39" max="39" width="43.625" style="3" customWidth="1"/>
    <col min="40" max="66" width="50.625" style="1" hidden="1" customWidth="1"/>
    <col min="67" max="68" width="50.625" style="1" customWidth="1"/>
  </cols>
  <sheetData>
    <row r="1" spans="1:68" ht="20.100000000000001" customHeight="1" x14ac:dyDescent="0.3"/>
    <row r="2" spans="1:68" ht="20.100000000000001" customHeight="1" x14ac:dyDescent="0.3">
      <c r="E2" s="2" t="s">
        <v>394</v>
      </c>
      <c r="F2" s="2" t="s">
        <v>391</v>
      </c>
      <c r="G2" s="2" t="s">
        <v>410</v>
      </c>
      <c r="H2" s="2" t="s">
        <v>428</v>
      </c>
      <c r="I2" s="2" t="s">
        <v>445</v>
      </c>
      <c r="J2" s="2" t="s">
        <v>455</v>
      </c>
      <c r="K2" s="2" t="s">
        <v>474</v>
      </c>
      <c r="L2" s="2" t="s">
        <v>498</v>
      </c>
      <c r="M2" s="2" t="s">
        <v>513</v>
      </c>
      <c r="N2" s="2" t="s">
        <v>517</v>
      </c>
      <c r="O2" s="2" t="s">
        <v>524</v>
      </c>
      <c r="P2" s="2" t="s">
        <v>533</v>
      </c>
      <c r="Q2" s="2" t="s">
        <v>388</v>
      </c>
      <c r="R2" s="2" t="s">
        <v>391</v>
      </c>
      <c r="S2" s="2" t="s">
        <v>410</v>
      </c>
      <c r="T2" s="2" t="s">
        <v>557</v>
      </c>
      <c r="U2" s="2" t="s">
        <v>445</v>
      </c>
      <c r="V2" s="2" t="s">
        <v>576</v>
      </c>
      <c r="W2" s="2" t="s">
        <v>474</v>
      </c>
      <c r="X2" s="2" t="s">
        <v>578</v>
      </c>
      <c r="Y2" s="2" t="s">
        <v>585</v>
      </c>
      <c r="Z2" s="2" t="s">
        <v>590</v>
      </c>
      <c r="AA2" s="2" t="s">
        <v>597</v>
      </c>
      <c r="AB2" s="2" t="s">
        <v>607</v>
      </c>
      <c r="AC2" s="2" t="s">
        <v>611</v>
      </c>
      <c r="AD2" s="2" t="s">
        <v>614</v>
      </c>
      <c r="AE2" s="2" t="s">
        <v>616</v>
      </c>
      <c r="AF2" s="2" t="s">
        <v>626</v>
      </c>
      <c r="AG2" s="2" t="s">
        <v>445</v>
      </c>
      <c r="AN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 t="s">
        <v>343</v>
      </c>
      <c r="BC2" s="4"/>
      <c r="BD2" s="4"/>
      <c r="BE2" s="4"/>
      <c r="BF2" s="4"/>
      <c r="BG2" s="4" t="s">
        <v>343</v>
      </c>
      <c r="BH2" s="4"/>
      <c r="BI2" s="4"/>
      <c r="BJ2" s="4"/>
      <c r="BK2" s="4"/>
      <c r="BL2" s="4"/>
      <c r="BM2" s="4"/>
      <c r="BN2" s="4"/>
      <c r="BO2" s="4"/>
      <c r="BP2" s="4" t="s">
        <v>343</v>
      </c>
    </row>
    <row r="3" spans="1:68" ht="20.100000000000001" customHeight="1" x14ac:dyDescent="0.3">
      <c r="B3" s="5" t="s">
        <v>11</v>
      </c>
      <c r="C3" s="6" t="s">
        <v>10</v>
      </c>
      <c r="D3" s="5" t="s">
        <v>9</v>
      </c>
      <c r="E3" s="5" t="s">
        <v>360</v>
      </c>
      <c r="F3" s="5" t="s">
        <v>357</v>
      </c>
      <c r="G3" s="5" t="s">
        <v>357</v>
      </c>
      <c r="H3" s="5" t="s">
        <v>357</v>
      </c>
      <c r="I3" s="5" t="s">
        <v>357</v>
      </c>
      <c r="J3" s="5" t="s">
        <v>357</v>
      </c>
      <c r="K3" s="5" t="s">
        <v>357</v>
      </c>
      <c r="L3" s="5" t="s">
        <v>357</v>
      </c>
      <c r="M3" s="5" t="s">
        <v>357</v>
      </c>
      <c r="N3" s="5" t="s">
        <v>357</v>
      </c>
      <c r="O3" s="5" t="s">
        <v>357</v>
      </c>
      <c r="P3" s="5" t="s">
        <v>8</v>
      </c>
      <c r="Q3" s="5" t="s">
        <v>530</v>
      </c>
      <c r="R3" s="5" t="s">
        <v>530</v>
      </c>
      <c r="S3" s="5" t="s">
        <v>530</v>
      </c>
      <c r="T3" s="157" t="s">
        <v>530</v>
      </c>
      <c r="U3" s="5" t="s">
        <v>8</v>
      </c>
      <c r="V3" s="5" t="s">
        <v>8</v>
      </c>
      <c r="W3" s="5" t="s">
        <v>8</v>
      </c>
      <c r="X3" s="5" t="s">
        <v>8</v>
      </c>
      <c r="Y3" s="5" t="s">
        <v>530</v>
      </c>
      <c r="Z3" s="5" t="s">
        <v>530</v>
      </c>
      <c r="AA3" s="5" t="s">
        <v>530</v>
      </c>
      <c r="AB3" s="5" t="s">
        <v>530</v>
      </c>
      <c r="AC3" s="5" t="s">
        <v>530</v>
      </c>
      <c r="AD3" s="157" t="s">
        <v>530</v>
      </c>
      <c r="AE3" s="5" t="s">
        <v>530</v>
      </c>
      <c r="AF3" s="5" t="s">
        <v>8</v>
      </c>
      <c r="AG3" s="90" t="s">
        <v>530</v>
      </c>
      <c r="AH3" s="202" t="s">
        <v>7</v>
      </c>
      <c r="AI3" s="202"/>
      <c r="AJ3" s="5" t="s">
        <v>6</v>
      </c>
      <c r="AK3" s="44" t="s">
        <v>232</v>
      </c>
      <c r="AL3" s="5" t="s">
        <v>5</v>
      </c>
      <c r="AM3" s="6" t="s">
        <v>13</v>
      </c>
      <c r="AN3" s="5" t="s">
        <v>351</v>
      </c>
      <c r="AO3" s="5" t="s">
        <v>352</v>
      </c>
      <c r="AP3" s="5" t="s">
        <v>413</v>
      </c>
      <c r="AQ3" s="5" t="s">
        <v>431</v>
      </c>
      <c r="AR3" s="5" t="s">
        <v>449</v>
      </c>
      <c r="AS3" s="5" t="s">
        <v>456</v>
      </c>
      <c r="AT3" s="5" t="s">
        <v>475</v>
      </c>
      <c r="AU3" s="5" t="s">
        <v>499</v>
      </c>
      <c r="AV3" s="5" t="s">
        <v>514</v>
      </c>
      <c r="AW3" s="5" t="s">
        <v>518</v>
      </c>
      <c r="AX3" s="5" t="s">
        <v>549</v>
      </c>
      <c r="AY3" s="5" t="s">
        <v>550</v>
      </c>
      <c r="AZ3" s="5" t="s">
        <v>548</v>
      </c>
      <c r="BA3" s="5" t="s">
        <v>352</v>
      </c>
      <c r="BB3" s="5" t="s">
        <v>553</v>
      </c>
      <c r="BC3" s="157" t="s">
        <v>558</v>
      </c>
      <c r="BD3" s="5" t="s">
        <v>570</v>
      </c>
      <c r="BE3" s="5" t="s">
        <v>571</v>
      </c>
      <c r="BF3" s="5" t="s">
        <v>475</v>
      </c>
      <c r="BG3" s="5" t="s">
        <v>579</v>
      </c>
      <c r="BH3" s="5" t="s">
        <v>586</v>
      </c>
      <c r="BI3" s="5" t="s">
        <v>591</v>
      </c>
      <c r="BJ3" s="5" t="s">
        <v>598</v>
      </c>
      <c r="BK3" s="5" t="s">
        <v>608</v>
      </c>
      <c r="BL3" s="5" t="s">
        <v>612</v>
      </c>
      <c r="BM3" s="157" t="s">
        <v>615</v>
      </c>
      <c r="BN3" s="5" t="s">
        <v>617</v>
      </c>
      <c r="BO3" s="5" t="s">
        <v>628</v>
      </c>
      <c r="BP3" s="90" t="s">
        <v>448</v>
      </c>
    </row>
    <row r="4" spans="1:68" ht="20.100000000000001" hidden="1" customHeight="1" x14ac:dyDescent="0.3">
      <c r="B4" s="191" t="s">
        <v>71</v>
      </c>
      <c r="C4" s="195" t="s">
        <v>31</v>
      </c>
      <c r="D4" s="191" t="s">
        <v>0</v>
      </c>
      <c r="E4" s="193">
        <v>37</v>
      </c>
      <c r="F4" s="193">
        <v>32</v>
      </c>
      <c r="G4" s="174">
        <v>28</v>
      </c>
      <c r="H4" s="174">
        <v>20</v>
      </c>
      <c r="I4" s="174">
        <v>4</v>
      </c>
      <c r="J4" s="174">
        <v>0</v>
      </c>
      <c r="K4" s="174">
        <v>0</v>
      </c>
      <c r="L4" s="174">
        <v>0</v>
      </c>
      <c r="M4" s="174">
        <v>0</v>
      </c>
      <c r="N4" s="174">
        <v>0</v>
      </c>
      <c r="O4" s="174">
        <v>0</v>
      </c>
      <c r="P4" s="174"/>
      <c r="Q4" s="174"/>
      <c r="R4" s="174"/>
      <c r="S4" s="174"/>
      <c r="T4" s="174"/>
      <c r="U4" s="184"/>
      <c r="V4" s="174"/>
      <c r="W4" s="174"/>
      <c r="X4" s="174"/>
      <c r="Y4" s="174"/>
      <c r="Z4" s="174"/>
      <c r="AA4" s="174"/>
      <c r="AB4" s="174"/>
      <c r="AC4" s="174"/>
      <c r="AD4" s="174"/>
      <c r="AE4" s="174"/>
      <c r="AF4" s="174"/>
      <c r="AG4" s="174"/>
      <c r="AH4" s="72">
        <v>6</v>
      </c>
      <c r="AI4" s="12" t="s">
        <v>55</v>
      </c>
      <c r="AJ4" s="191" t="s">
        <v>26</v>
      </c>
      <c r="AK4" s="193">
        <v>522000</v>
      </c>
      <c r="AL4" s="191" t="s">
        <v>24</v>
      </c>
      <c r="AM4" s="15" t="s">
        <v>27</v>
      </c>
      <c r="AN4" s="15" t="s">
        <v>329</v>
      </c>
      <c r="AO4" s="15" t="s">
        <v>329</v>
      </c>
      <c r="AP4" s="15" t="s">
        <v>329</v>
      </c>
      <c r="AQ4" s="15" t="s">
        <v>329</v>
      </c>
      <c r="AR4" s="15" t="s">
        <v>450</v>
      </c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</row>
    <row r="5" spans="1:68" ht="20.100000000000001" hidden="1" customHeight="1" x14ac:dyDescent="0.3">
      <c r="B5" s="199"/>
      <c r="C5" s="197"/>
      <c r="D5" s="199"/>
      <c r="E5" s="198"/>
      <c r="F5" s="198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85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73">
        <v>8</v>
      </c>
      <c r="AI5" s="13" t="s">
        <v>56</v>
      </c>
      <c r="AJ5" s="199"/>
      <c r="AK5" s="198"/>
      <c r="AL5" s="199"/>
      <c r="AM5" s="17"/>
      <c r="AN5" s="17" t="s">
        <v>330</v>
      </c>
      <c r="AO5" s="17" t="s">
        <v>330</v>
      </c>
      <c r="AP5" s="17" t="s">
        <v>330</v>
      </c>
      <c r="AQ5" s="17" t="s">
        <v>330</v>
      </c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</row>
    <row r="6" spans="1:68" ht="20.100000000000001" hidden="1" customHeight="1" x14ac:dyDescent="0.3">
      <c r="B6" s="199"/>
      <c r="C6" s="197"/>
      <c r="D6" s="199"/>
      <c r="E6" s="198"/>
      <c r="F6" s="198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85"/>
      <c r="V6" s="175"/>
      <c r="W6" s="175"/>
      <c r="X6" s="175"/>
      <c r="Y6" s="175"/>
      <c r="Z6" s="175"/>
      <c r="AA6" s="175"/>
      <c r="AB6" s="175"/>
      <c r="AC6" s="175"/>
      <c r="AD6" s="175"/>
      <c r="AE6" s="175"/>
      <c r="AF6" s="175"/>
      <c r="AG6" s="175"/>
      <c r="AH6" s="73">
        <v>5</v>
      </c>
      <c r="AI6" s="13" t="s">
        <v>57</v>
      </c>
      <c r="AJ6" s="199"/>
      <c r="AK6" s="198"/>
      <c r="AL6" s="199"/>
      <c r="AM6" s="17"/>
      <c r="AN6" s="17"/>
      <c r="AO6" s="17"/>
      <c r="AP6" s="17" t="s">
        <v>331</v>
      </c>
      <c r="AQ6" s="17" t="s">
        <v>331</v>
      </c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</row>
    <row r="7" spans="1:68" ht="20.100000000000001" hidden="1" customHeight="1" x14ac:dyDescent="0.3">
      <c r="B7" s="199"/>
      <c r="C7" s="196"/>
      <c r="D7" s="192"/>
      <c r="E7" s="194"/>
      <c r="F7" s="194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86"/>
      <c r="V7" s="176"/>
      <c r="W7" s="176"/>
      <c r="X7" s="176"/>
      <c r="Y7" s="176"/>
      <c r="Z7" s="176"/>
      <c r="AA7" s="176"/>
      <c r="AB7" s="176"/>
      <c r="AC7" s="176"/>
      <c r="AD7" s="176"/>
      <c r="AE7" s="176"/>
      <c r="AF7" s="176"/>
      <c r="AG7" s="176"/>
      <c r="AH7" s="74">
        <v>1</v>
      </c>
      <c r="AI7" s="14" t="s">
        <v>439</v>
      </c>
      <c r="AJ7" s="192"/>
      <c r="AK7" s="194"/>
      <c r="AL7" s="192"/>
      <c r="AM7" s="16"/>
      <c r="AN7" s="16" t="s">
        <v>331</v>
      </c>
      <c r="AO7" s="16" t="s">
        <v>331</v>
      </c>
      <c r="AP7" s="16"/>
      <c r="AQ7" s="110" t="s">
        <v>443</v>
      </c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</row>
    <row r="8" spans="1:68" ht="20.100000000000001" hidden="1" customHeight="1" x14ac:dyDescent="0.3">
      <c r="B8" s="199"/>
      <c r="C8" s="195" t="s">
        <v>32</v>
      </c>
      <c r="D8" s="191" t="s">
        <v>0</v>
      </c>
      <c r="E8" s="193">
        <f>14-1</f>
        <v>13</v>
      </c>
      <c r="F8" s="193">
        <v>4</v>
      </c>
      <c r="G8" s="174">
        <v>3</v>
      </c>
      <c r="H8" s="177">
        <v>0</v>
      </c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8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72">
        <f>4-1</f>
        <v>3</v>
      </c>
      <c r="AI8" s="12" t="s">
        <v>58</v>
      </c>
      <c r="AJ8" s="191" t="s">
        <v>29</v>
      </c>
      <c r="AK8" s="193">
        <v>539000</v>
      </c>
      <c r="AL8" s="191" t="s">
        <v>28</v>
      </c>
      <c r="AM8" s="56"/>
      <c r="AN8" s="56" t="s">
        <v>329</v>
      </c>
      <c r="AO8" s="56" t="s">
        <v>329</v>
      </c>
      <c r="AP8" s="56" t="s">
        <v>329</v>
      </c>
      <c r="AQ8" s="101" t="s">
        <v>442</v>
      </c>
      <c r="AR8" s="101" t="s">
        <v>442</v>
      </c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</row>
    <row r="9" spans="1:68" ht="20.100000000000001" hidden="1" customHeight="1" x14ac:dyDescent="0.3">
      <c r="B9" s="199"/>
      <c r="C9" s="196"/>
      <c r="D9" s="192"/>
      <c r="E9" s="194"/>
      <c r="F9" s="194"/>
      <c r="G9" s="176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8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74">
        <v>10</v>
      </c>
      <c r="AI9" s="14" t="s">
        <v>59</v>
      </c>
      <c r="AJ9" s="192"/>
      <c r="AK9" s="194"/>
      <c r="AL9" s="192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</row>
    <row r="10" spans="1:68" ht="20.100000000000001" hidden="1" customHeight="1" x14ac:dyDescent="0.3">
      <c r="B10" s="199"/>
      <c r="C10" s="8" t="s">
        <v>33</v>
      </c>
      <c r="D10" s="7" t="s">
        <v>3</v>
      </c>
      <c r="E10" s="75">
        <f>57</f>
        <v>57</v>
      </c>
      <c r="F10" s="75">
        <v>26</v>
      </c>
      <c r="G10" s="75">
        <v>16</v>
      </c>
      <c r="H10" s="75">
        <v>16</v>
      </c>
      <c r="I10" s="75">
        <v>6</v>
      </c>
      <c r="J10" s="75">
        <v>5</v>
      </c>
      <c r="K10" s="75">
        <v>5</v>
      </c>
      <c r="L10" s="75">
        <v>5</v>
      </c>
      <c r="M10" s="75">
        <v>5</v>
      </c>
      <c r="N10" s="111">
        <v>0</v>
      </c>
      <c r="O10" s="111">
        <v>0</v>
      </c>
      <c r="P10" s="111"/>
      <c r="Q10" s="111"/>
      <c r="R10" s="111"/>
      <c r="S10" s="111"/>
      <c r="T10" s="111"/>
      <c r="U10" s="164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75">
        <f>58-1</f>
        <v>57</v>
      </c>
      <c r="AI10" s="7" t="s">
        <v>60</v>
      </c>
      <c r="AJ10" s="7" t="s">
        <v>25</v>
      </c>
      <c r="AK10" s="45">
        <v>62000</v>
      </c>
      <c r="AL10" s="7" t="s">
        <v>24</v>
      </c>
      <c r="AM10" s="8"/>
      <c r="AN10" s="8"/>
      <c r="AO10" s="8"/>
      <c r="AP10" s="8"/>
      <c r="AQ10" s="8"/>
      <c r="AR10" s="8"/>
      <c r="AS10" s="8" t="s">
        <v>473</v>
      </c>
      <c r="AT10" s="8" t="s">
        <v>473</v>
      </c>
      <c r="AU10" s="8" t="s">
        <v>500</v>
      </c>
      <c r="AV10" s="8" t="s">
        <v>500</v>
      </c>
      <c r="AW10" s="8" t="s">
        <v>520</v>
      </c>
      <c r="AX10" s="8" t="s">
        <v>520</v>
      </c>
      <c r="AY10" s="8" t="s">
        <v>520</v>
      </c>
      <c r="AZ10" s="8" t="s">
        <v>520</v>
      </c>
      <c r="BA10" s="8" t="s">
        <v>520</v>
      </c>
      <c r="BB10" s="8" t="s">
        <v>520</v>
      </c>
      <c r="BC10" s="8" t="s">
        <v>520</v>
      </c>
      <c r="BD10" s="8" t="s">
        <v>520</v>
      </c>
      <c r="BE10" s="8" t="s">
        <v>520</v>
      </c>
      <c r="BF10" s="8" t="s">
        <v>520</v>
      </c>
      <c r="BG10" s="8" t="s">
        <v>520</v>
      </c>
      <c r="BH10" s="8" t="s">
        <v>520</v>
      </c>
      <c r="BI10" s="8" t="s">
        <v>520</v>
      </c>
      <c r="BJ10" s="8" t="s">
        <v>520</v>
      </c>
      <c r="BK10" s="8" t="s">
        <v>520</v>
      </c>
      <c r="BL10" s="8" t="s">
        <v>520</v>
      </c>
      <c r="BM10" s="8" t="s">
        <v>520</v>
      </c>
      <c r="BN10" s="8" t="s">
        <v>520</v>
      </c>
      <c r="BO10" s="8" t="s">
        <v>520</v>
      </c>
      <c r="BP10" s="8" t="s">
        <v>520</v>
      </c>
    </row>
    <row r="11" spans="1:68" ht="20.100000000000001" hidden="1" customHeight="1" x14ac:dyDescent="0.3">
      <c r="B11" s="199"/>
      <c r="C11" s="8" t="s">
        <v>34</v>
      </c>
      <c r="D11" s="7" t="s">
        <v>3</v>
      </c>
      <c r="E11" s="75">
        <v>7</v>
      </c>
      <c r="F11" s="111">
        <v>0</v>
      </c>
      <c r="G11" s="111">
        <v>0</v>
      </c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64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75">
        <v>7</v>
      </c>
      <c r="AI11" s="7">
        <v>2021.12</v>
      </c>
      <c r="AJ11" s="7" t="s">
        <v>23</v>
      </c>
      <c r="AK11" s="45">
        <v>249000</v>
      </c>
      <c r="AL11" s="7" t="s">
        <v>22</v>
      </c>
      <c r="AM11" s="8"/>
      <c r="AN11" s="103"/>
      <c r="AO11" s="103" t="s">
        <v>396</v>
      </c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3"/>
      <c r="BN11" s="103"/>
      <c r="BO11" s="103"/>
      <c r="BP11" s="103"/>
    </row>
    <row r="12" spans="1:68" ht="20.100000000000001" hidden="1" customHeight="1" x14ac:dyDescent="0.3">
      <c r="B12" s="199"/>
      <c r="C12" s="195" t="s">
        <v>35</v>
      </c>
      <c r="D12" s="191" t="s">
        <v>0</v>
      </c>
      <c r="E12" s="193">
        <f>16-4</f>
        <v>12</v>
      </c>
      <c r="F12" s="193">
        <v>2</v>
      </c>
      <c r="G12" s="174">
        <v>0</v>
      </c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84"/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174"/>
      <c r="AH12" s="72">
        <v>4</v>
      </c>
      <c r="AI12" s="12" t="s">
        <v>327</v>
      </c>
      <c r="AJ12" s="191" t="s">
        <v>18</v>
      </c>
      <c r="AK12" s="193">
        <v>560000</v>
      </c>
      <c r="AL12" s="191" t="s">
        <v>21</v>
      </c>
      <c r="AM12" s="56" t="s">
        <v>19</v>
      </c>
      <c r="AN12" s="56"/>
      <c r="AO12" s="56"/>
      <c r="AP12" s="101" t="s">
        <v>427</v>
      </c>
      <c r="AQ12" s="101" t="s">
        <v>440</v>
      </c>
      <c r="AR12" s="101" t="s">
        <v>440</v>
      </c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</row>
    <row r="13" spans="1:68" ht="20.100000000000001" hidden="1" customHeight="1" x14ac:dyDescent="0.3">
      <c r="B13" s="199"/>
      <c r="C13" s="197"/>
      <c r="D13" s="199"/>
      <c r="E13" s="198"/>
      <c r="F13" s="198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/>
      <c r="S13" s="175"/>
      <c r="T13" s="175"/>
      <c r="U13" s="185"/>
      <c r="V13" s="175"/>
      <c r="W13" s="175"/>
      <c r="X13" s="175"/>
      <c r="Y13" s="175"/>
      <c r="Z13" s="175"/>
      <c r="AA13" s="175"/>
      <c r="AB13" s="175"/>
      <c r="AC13" s="175"/>
      <c r="AD13" s="175"/>
      <c r="AE13" s="175"/>
      <c r="AF13" s="175"/>
      <c r="AG13" s="175"/>
      <c r="AH13" s="73">
        <v>4</v>
      </c>
      <c r="AI13" s="13" t="s">
        <v>61</v>
      </c>
      <c r="AJ13" s="199"/>
      <c r="AK13" s="198"/>
      <c r="AL13" s="199"/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1"/>
      <c r="BF13" s="91"/>
      <c r="BG13" s="91"/>
      <c r="BH13" s="91"/>
      <c r="BI13" s="91"/>
      <c r="BJ13" s="91"/>
      <c r="BK13" s="91"/>
      <c r="BL13" s="91"/>
      <c r="BM13" s="91"/>
      <c r="BN13" s="91"/>
      <c r="BO13" s="91"/>
      <c r="BP13" s="91"/>
    </row>
    <row r="14" spans="1:68" ht="20.100000000000001" hidden="1" customHeight="1" x14ac:dyDescent="0.3">
      <c r="B14" s="199"/>
      <c r="C14" s="196"/>
      <c r="D14" s="192"/>
      <c r="E14" s="194"/>
      <c r="F14" s="194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86"/>
      <c r="V14" s="176"/>
      <c r="W14" s="176"/>
      <c r="X14" s="176"/>
      <c r="Y14" s="176"/>
      <c r="Z14" s="176"/>
      <c r="AA14" s="176"/>
      <c r="AB14" s="176"/>
      <c r="AC14" s="176"/>
      <c r="AD14" s="176"/>
      <c r="AE14" s="176"/>
      <c r="AF14" s="176"/>
      <c r="AG14" s="176"/>
      <c r="AH14" s="74">
        <v>4</v>
      </c>
      <c r="AI14" s="14" t="s">
        <v>328</v>
      </c>
      <c r="AJ14" s="192"/>
      <c r="AK14" s="194"/>
      <c r="AL14" s="192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</row>
    <row r="15" spans="1:68" s="86" customFormat="1" ht="20.100000000000001" hidden="1" customHeight="1" x14ac:dyDescent="0.3">
      <c r="A15" s="85"/>
      <c r="B15" s="199"/>
      <c r="C15" s="93" t="s">
        <v>36</v>
      </c>
      <c r="D15" s="87" t="s">
        <v>3</v>
      </c>
      <c r="E15" s="94">
        <v>3</v>
      </c>
      <c r="F15" s="111">
        <v>0</v>
      </c>
      <c r="G15" s="111">
        <v>0</v>
      </c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64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94">
        <v>3</v>
      </c>
      <c r="AI15" s="87">
        <v>2021.04</v>
      </c>
      <c r="AJ15" s="87" t="s">
        <v>17</v>
      </c>
      <c r="AK15" s="95">
        <v>273000</v>
      </c>
      <c r="AL15" s="87" t="s">
        <v>20</v>
      </c>
      <c r="AM15" s="37"/>
      <c r="AN15" s="103"/>
      <c r="AO15" s="103" t="s">
        <v>379</v>
      </c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3"/>
      <c r="BN15" s="103"/>
      <c r="BO15" s="103"/>
      <c r="BP15" s="103"/>
    </row>
    <row r="16" spans="1:68" ht="20.100000000000001" customHeight="1" x14ac:dyDescent="0.3">
      <c r="B16" s="199"/>
      <c r="C16" s="195" t="s">
        <v>37</v>
      </c>
      <c r="D16" s="191" t="s">
        <v>0</v>
      </c>
      <c r="E16" s="193">
        <v>6</v>
      </c>
      <c r="F16" s="193">
        <v>6</v>
      </c>
      <c r="G16" s="174">
        <v>6</v>
      </c>
      <c r="H16" s="174">
        <v>6</v>
      </c>
      <c r="I16" s="174">
        <v>6</v>
      </c>
      <c r="J16" s="174">
        <v>6</v>
      </c>
      <c r="K16" s="174">
        <v>6</v>
      </c>
      <c r="L16" s="174">
        <v>6</v>
      </c>
      <c r="M16" s="174">
        <v>6</v>
      </c>
      <c r="N16" s="174">
        <v>6</v>
      </c>
      <c r="O16" s="174">
        <v>6</v>
      </c>
      <c r="P16" s="174">
        <v>6</v>
      </c>
      <c r="Q16" s="174">
        <v>6</v>
      </c>
      <c r="R16" s="174">
        <v>6</v>
      </c>
      <c r="S16" s="174">
        <v>6</v>
      </c>
      <c r="T16" s="179">
        <v>3</v>
      </c>
      <c r="U16" s="189">
        <v>3</v>
      </c>
      <c r="V16" s="179">
        <v>3</v>
      </c>
      <c r="W16" s="179">
        <v>3</v>
      </c>
      <c r="X16" s="179">
        <v>3</v>
      </c>
      <c r="Y16" s="179">
        <v>3</v>
      </c>
      <c r="Z16" s="179">
        <v>3</v>
      </c>
      <c r="AA16" s="179">
        <v>3</v>
      </c>
      <c r="AB16" s="179">
        <v>3</v>
      </c>
      <c r="AC16" s="179">
        <v>3</v>
      </c>
      <c r="AD16" s="179">
        <v>3</v>
      </c>
      <c r="AE16" s="179">
        <v>3</v>
      </c>
      <c r="AF16" s="179">
        <v>3</v>
      </c>
      <c r="AG16" s="177">
        <v>0</v>
      </c>
      <c r="AH16" s="72">
        <v>4</v>
      </c>
      <c r="AI16" s="12">
        <v>2021.12</v>
      </c>
      <c r="AJ16" s="191" t="s">
        <v>14</v>
      </c>
      <c r="AK16" s="193">
        <v>1036000</v>
      </c>
      <c r="AL16" s="191" t="s">
        <v>15</v>
      </c>
      <c r="AM16" s="56"/>
      <c r="AN16" s="56" t="s">
        <v>332</v>
      </c>
      <c r="AO16" s="56" t="s">
        <v>364</v>
      </c>
      <c r="AP16" s="56" t="s">
        <v>417</v>
      </c>
      <c r="AQ16" s="56" t="s">
        <v>441</v>
      </c>
      <c r="AR16" s="56" t="s">
        <v>441</v>
      </c>
      <c r="AS16" s="56" t="s">
        <v>441</v>
      </c>
      <c r="AT16" s="56" t="s">
        <v>441</v>
      </c>
      <c r="AU16" s="56" t="s">
        <v>441</v>
      </c>
      <c r="AV16" s="56" t="s">
        <v>441</v>
      </c>
      <c r="AW16" s="56" t="s">
        <v>441</v>
      </c>
      <c r="AX16" s="56" t="s">
        <v>441</v>
      </c>
      <c r="AY16" s="56" t="s">
        <v>441</v>
      </c>
      <c r="AZ16" s="56" t="s">
        <v>441</v>
      </c>
      <c r="BA16" s="56" t="s">
        <v>441</v>
      </c>
      <c r="BB16" s="56" t="s">
        <v>441</v>
      </c>
      <c r="BC16" s="56" t="s">
        <v>441</v>
      </c>
      <c r="BD16" s="56" t="s">
        <v>441</v>
      </c>
      <c r="BE16" s="56" t="s">
        <v>441</v>
      </c>
      <c r="BF16" s="56" t="s">
        <v>441</v>
      </c>
      <c r="BG16" s="56" t="s">
        <v>441</v>
      </c>
      <c r="BH16" s="56" t="s">
        <v>441</v>
      </c>
      <c r="BI16" s="56" t="s">
        <v>441</v>
      </c>
      <c r="BJ16" s="56" t="s">
        <v>441</v>
      </c>
      <c r="BK16" s="56" t="s">
        <v>441</v>
      </c>
      <c r="BL16" s="56" t="s">
        <v>441</v>
      </c>
      <c r="BM16" s="56" t="s">
        <v>441</v>
      </c>
      <c r="BN16" s="56" t="s">
        <v>441</v>
      </c>
      <c r="BO16" s="56" t="s">
        <v>441</v>
      </c>
      <c r="BP16" s="56" t="s">
        <v>632</v>
      </c>
    </row>
    <row r="17" spans="2:68" ht="20.100000000000001" customHeight="1" x14ac:dyDescent="0.3">
      <c r="B17" s="199"/>
      <c r="C17" s="196"/>
      <c r="D17" s="192"/>
      <c r="E17" s="194"/>
      <c r="F17" s="194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80"/>
      <c r="U17" s="190"/>
      <c r="V17" s="180"/>
      <c r="W17" s="180"/>
      <c r="X17" s="180"/>
      <c r="Y17" s="180"/>
      <c r="Z17" s="180"/>
      <c r="AA17" s="180"/>
      <c r="AB17" s="180"/>
      <c r="AC17" s="180"/>
      <c r="AD17" s="180"/>
      <c r="AE17" s="180"/>
      <c r="AF17" s="180"/>
      <c r="AG17" s="178"/>
      <c r="AH17" s="74">
        <v>2</v>
      </c>
      <c r="AI17" s="14">
        <v>2021.07</v>
      </c>
      <c r="AJ17" s="192"/>
      <c r="AK17" s="194"/>
      <c r="AL17" s="192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 t="s">
        <v>559</v>
      </c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</row>
    <row r="18" spans="2:68" ht="20.100000000000001" hidden="1" customHeight="1" x14ac:dyDescent="0.3">
      <c r="B18" s="199"/>
      <c r="C18" s="8" t="s">
        <v>68</v>
      </c>
      <c r="D18" s="7" t="s">
        <v>69</v>
      </c>
      <c r="E18" s="75">
        <v>6</v>
      </c>
      <c r="F18" s="75">
        <v>6</v>
      </c>
      <c r="G18" s="75">
        <v>5</v>
      </c>
      <c r="H18" s="75">
        <v>5</v>
      </c>
      <c r="I18" s="75">
        <v>1</v>
      </c>
      <c r="J18" s="75">
        <v>1</v>
      </c>
      <c r="K18" s="75">
        <v>1</v>
      </c>
      <c r="L18" s="75">
        <v>1</v>
      </c>
      <c r="M18" s="75">
        <v>1</v>
      </c>
      <c r="N18" s="75">
        <v>1</v>
      </c>
      <c r="O18" s="75">
        <v>1</v>
      </c>
      <c r="P18" s="75">
        <v>1</v>
      </c>
      <c r="Q18" s="75">
        <v>1</v>
      </c>
      <c r="R18" s="75">
        <v>1</v>
      </c>
      <c r="S18" s="75">
        <v>1</v>
      </c>
      <c r="T18" s="111">
        <v>0</v>
      </c>
      <c r="U18" s="164">
        <v>0</v>
      </c>
      <c r="V18" s="111">
        <v>0</v>
      </c>
      <c r="W18" s="111">
        <v>0</v>
      </c>
      <c r="X18" s="111">
        <v>0</v>
      </c>
      <c r="Y18" s="111">
        <v>0</v>
      </c>
      <c r="Z18" s="111">
        <v>0</v>
      </c>
      <c r="AA18" s="111">
        <v>0</v>
      </c>
      <c r="AB18" s="111">
        <v>0</v>
      </c>
      <c r="AC18" s="111">
        <v>0</v>
      </c>
      <c r="AD18" s="111">
        <v>0</v>
      </c>
      <c r="AE18" s="111">
        <v>0</v>
      </c>
      <c r="AF18" s="111">
        <v>0</v>
      </c>
      <c r="AG18" s="111">
        <v>0</v>
      </c>
      <c r="AH18" s="75">
        <v>6</v>
      </c>
      <c r="AI18" s="7" t="s">
        <v>62</v>
      </c>
      <c r="AJ18" s="7" t="s">
        <v>234</v>
      </c>
      <c r="AK18" s="45">
        <v>46300</v>
      </c>
      <c r="AL18" s="7" t="s">
        <v>117</v>
      </c>
      <c r="AM18" s="8" t="s">
        <v>248</v>
      </c>
      <c r="AN18" s="8" t="s">
        <v>333</v>
      </c>
      <c r="AO18" s="8" t="s">
        <v>365</v>
      </c>
      <c r="AP18" s="8" t="s">
        <v>333</v>
      </c>
      <c r="AQ18" s="8" t="s">
        <v>333</v>
      </c>
      <c r="AR18" s="8" t="s">
        <v>333</v>
      </c>
      <c r="AS18" s="8" t="s">
        <v>333</v>
      </c>
      <c r="AT18" s="8" t="s">
        <v>333</v>
      </c>
      <c r="AU18" s="8" t="s">
        <v>333</v>
      </c>
      <c r="AV18" s="8" t="s">
        <v>333</v>
      </c>
      <c r="AW18" s="8" t="s">
        <v>333</v>
      </c>
      <c r="AX18" s="8" t="s">
        <v>333</v>
      </c>
      <c r="AY18" s="8" t="s">
        <v>333</v>
      </c>
      <c r="AZ18" s="8" t="s">
        <v>333</v>
      </c>
      <c r="BA18" s="8" t="s">
        <v>333</v>
      </c>
      <c r="BB18" s="8" t="s">
        <v>560</v>
      </c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</row>
    <row r="19" spans="2:68" ht="20.100000000000001" hidden="1" customHeight="1" x14ac:dyDescent="0.3">
      <c r="B19" s="199"/>
      <c r="C19" s="8" t="s">
        <v>233</v>
      </c>
      <c r="D19" s="7" t="s">
        <v>69</v>
      </c>
      <c r="E19" s="75">
        <v>6</v>
      </c>
      <c r="F19" s="75">
        <v>6</v>
      </c>
      <c r="G19" s="75">
        <v>3</v>
      </c>
      <c r="H19" s="111">
        <v>0</v>
      </c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64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75">
        <v>6</v>
      </c>
      <c r="AI19" s="7" t="s">
        <v>63</v>
      </c>
      <c r="AJ19" s="7" t="s">
        <v>116</v>
      </c>
      <c r="AK19" s="45">
        <v>55500</v>
      </c>
      <c r="AL19" s="7" t="s">
        <v>115</v>
      </c>
      <c r="AM19" s="8"/>
      <c r="AN19" s="8" t="s">
        <v>334</v>
      </c>
      <c r="AO19" s="8" t="s">
        <v>366</v>
      </c>
      <c r="AP19" s="8" t="s">
        <v>334</v>
      </c>
      <c r="AQ19" s="101" t="s">
        <v>442</v>
      </c>
      <c r="AR19" s="101" t="s">
        <v>442</v>
      </c>
      <c r="AS19" s="101" t="s">
        <v>442</v>
      </c>
      <c r="AT19" s="101" t="s">
        <v>442</v>
      </c>
      <c r="AU19" s="101" t="s">
        <v>442</v>
      </c>
      <c r="AV19" s="101" t="s">
        <v>442</v>
      </c>
      <c r="AW19" s="101" t="s">
        <v>335</v>
      </c>
      <c r="AX19" s="101" t="s">
        <v>335</v>
      </c>
      <c r="AY19" s="101" t="s">
        <v>335</v>
      </c>
      <c r="AZ19" s="101" t="s">
        <v>335</v>
      </c>
      <c r="BA19" s="101" t="s">
        <v>335</v>
      </c>
      <c r="BB19" s="101" t="s">
        <v>335</v>
      </c>
      <c r="BC19" s="101" t="s">
        <v>335</v>
      </c>
      <c r="BD19" s="101" t="s">
        <v>335</v>
      </c>
      <c r="BE19" s="101" t="s">
        <v>335</v>
      </c>
      <c r="BF19" s="101" t="s">
        <v>335</v>
      </c>
      <c r="BG19" s="101" t="s">
        <v>335</v>
      </c>
      <c r="BH19" s="101" t="s">
        <v>335</v>
      </c>
      <c r="BI19" s="101" t="s">
        <v>335</v>
      </c>
      <c r="BJ19" s="101" t="s">
        <v>335</v>
      </c>
      <c r="BK19" s="101" t="s">
        <v>335</v>
      </c>
      <c r="BL19" s="101" t="s">
        <v>335</v>
      </c>
      <c r="BM19" s="101" t="s">
        <v>335</v>
      </c>
      <c r="BN19" s="101" t="s">
        <v>335</v>
      </c>
      <c r="BO19" s="101" t="s">
        <v>335</v>
      </c>
      <c r="BP19" s="101" t="s">
        <v>335</v>
      </c>
    </row>
    <row r="20" spans="2:68" ht="20.100000000000001" customHeight="1" x14ac:dyDescent="0.3">
      <c r="B20" s="199"/>
      <c r="C20" s="10" t="s">
        <v>97</v>
      </c>
      <c r="D20" s="9" t="s">
        <v>98</v>
      </c>
      <c r="E20" s="76">
        <v>2</v>
      </c>
      <c r="F20" s="76">
        <v>2</v>
      </c>
      <c r="G20" s="76">
        <v>2</v>
      </c>
      <c r="H20" s="76">
        <v>2</v>
      </c>
      <c r="I20" s="76">
        <v>1</v>
      </c>
      <c r="J20" s="76">
        <v>1</v>
      </c>
      <c r="K20" s="76">
        <v>1</v>
      </c>
      <c r="L20" s="76">
        <v>1</v>
      </c>
      <c r="M20" s="76">
        <v>1</v>
      </c>
      <c r="N20" s="76">
        <v>1</v>
      </c>
      <c r="O20" s="76">
        <v>1</v>
      </c>
      <c r="P20" s="76">
        <v>1</v>
      </c>
      <c r="Q20" s="76">
        <v>1</v>
      </c>
      <c r="R20" s="76">
        <v>1</v>
      </c>
      <c r="S20" s="76">
        <v>1</v>
      </c>
      <c r="T20" s="76">
        <v>1</v>
      </c>
      <c r="U20" s="165">
        <v>1</v>
      </c>
      <c r="V20" s="76">
        <v>1</v>
      </c>
      <c r="W20" s="76">
        <v>1</v>
      </c>
      <c r="X20" s="76">
        <v>1</v>
      </c>
      <c r="Y20" s="76">
        <v>1</v>
      </c>
      <c r="Z20" s="76">
        <v>1</v>
      </c>
      <c r="AA20" s="76">
        <v>1</v>
      </c>
      <c r="AB20" s="76">
        <v>1</v>
      </c>
      <c r="AC20" s="76">
        <v>1</v>
      </c>
      <c r="AD20" s="76">
        <v>1</v>
      </c>
      <c r="AE20" s="76">
        <v>1</v>
      </c>
      <c r="AF20" s="76">
        <v>1</v>
      </c>
      <c r="AG20" s="76">
        <v>1</v>
      </c>
      <c r="AH20" s="76">
        <v>2</v>
      </c>
      <c r="AI20" s="9" t="s">
        <v>114</v>
      </c>
      <c r="AJ20" s="9" t="s">
        <v>99</v>
      </c>
      <c r="AK20" s="46">
        <v>578000</v>
      </c>
      <c r="AL20" s="9" t="s">
        <v>100</v>
      </c>
      <c r="AM20" s="10" t="s">
        <v>535</v>
      </c>
      <c r="AN20" s="10" t="s">
        <v>335</v>
      </c>
      <c r="AO20" s="10" t="s">
        <v>367</v>
      </c>
      <c r="AP20" s="10" t="s">
        <v>335</v>
      </c>
      <c r="AQ20" s="10" t="s">
        <v>335</v>
      </c>
      <c r="AR20" s="10" t="s">
        <v>335</v>
      </c>
      <c r="AS20" s="10" t="s">
        <v>335</v>
      </c>
      <c r="AT20" s="10" t="s">
        <v>335</v>
      </c>
      <c r="AU20" s="10" t="s">
        <v>335</v>
      </c>
      <c r="AV20" s="10" t="s">
        <v>335</v>
      </c>
      <c r="AW20" s="10" t="s">
        <v>336</v>
      </c>
      <c r="AX20" s="10" t="s">
        <v>367</v>
      </c>
      <c r="AY20" s="10" t="s">
        <v>367</v>
      </c>
      <c r="AZ20" s="10" t="s">
        <v>367</v>
      </c>
      <c r="BA20" s="10" t="s">
        <v>367</v>
      </c>
      <c r="BB20" s="10" t="s">
        <v>540</v>
      </c>
      <c r="BC20" s="10" t="s">
        <v>540</v>
      </c>
      <c r="BD20" s="10" t="s">
        <v>367</v>
      </c>
      <c r="BE20" s="10" t="s">
        <v>540</v>
      </c>
      <c r="BF20" s="10" t="s">
        <v>335</v>
      </c>
      <c r="BG20" s="10" t="s">
        <v>540</v>
      </c>
      <c r="BH20" s="10" t="s">
        <v>367</v>
      </c>
      <c r="BI20" s="10" t="s">
        <v>367</v>
      </c>
      <c r="BJ20" s="10" t="s">
        <v>540</v>
      </c>
      <c r="BK20" s="10" t="s">
        <v>540</v>
      </c>
      <c r="BL20" s="10" t="s">
        <v>540</v>
      </c>
      <c r="BM20" s="10" t="s">
        <v>367</v>
      </c>
      <c r="BN20" s="10" t="s">
        <v>367</v>
      </c>
      <c r="BO20" s="10" t="s">
        <v>367</v>
      </c>
      <c r="BP20" s="10" t="s">
        <v>540</v>
      </c>
    </row>
    <row r="21" spans="2:68" ht="20.100000000000001" hidden="1" customHeight="1" x14ac:dyDescent="0.3">
      <c r="B21" s="199"/>
      <c r="C21" s="200" t="s">
        <v>53</v>
      </c>
      <c r="D21" s="191" t="s">
        <v>0</v>
      </c>
      <c r="E21" s="193">
        <v>3</v>
      </c>
      <c r="F21" s="193">
        <v>3</v>
      </c>
      <c r="G21" s="174">
        <v>3</v>
      </c>
      <c r="H21" s="174">
        <v>3</v>
      </c>
      <c r="I21" s="174">
        <v>3</v>
      </c>
      <c r="J21" s="174">
        <v>3</v>
      </c>
      <c r="K21" s="174">
        <v>3</v>
      </c>
      <c r="L21" s="174">
        <v>3</v>
      </c>
      <c r="M21" s="174">
        <v>3</v>
      </c>
      <c r="N21" s="174">
        <v>3</v>
      </c>
      <c r="O21" s="174">
        <v>3</v>
      </c>
      <c r="P21" s="174">
        <v>3</v>
      </c>
      <c r="Q21" s="174">
        <v>3</v>
      </c>
      <c r="R21" s="174">
        <v>3</v>
      </c>
      <c r="S21" s="174">
        <v>3</v>
      </c>
      <c r="T21" s="174">
        <v>3</v>
      </c>
      <c r="U21" s="187">
        <v>0</v>
      </c>
      <c r="V21" s="177">
        <v>0</v>
      </c>
      <c r="W21" s="177">
        <v>0</v>
      </c>
      <c r="X21" s="177">
        <v>0</v>
      </c>
      <c r="Y21" s="177">
        <v>0</v>
      </c>
      <c r="Z21" s="177">
        <v>0</v>
      </c>
      <c r="AA21" s="177">
        <v>0</v>
      </c>
      <c r="AB21" s="177">
        <v>0</v>
      </c>
      <c r="AC21" s="177">
        <v>0</v>
      </c>
      <c r="AD21" s="177">
        <v>0</v>
      </c>
      <c r="AE21" s="177">
        <v>0</v>
      </c>
      <c r="AF21" s="177">
        <v>0</v>
      </c>
      <c r="AG21" s="177">
        <v>0</v>
      </c>
      <c r="AH21" s="72">
        <v>1</v>
      </c>
      <c r="AI21" s="12" t="s">
        <v>64</v>
      </c>
      <c r="AJ21" s="191" t="s">
        <v>54</v>
      </c>
      <c r="AK21" s="193">
        <v>325000</v>
      </c>
      <c r="AL21" s="191"/>
      <c r="AM21" s="56" t="s">
        <v>536</v>
      </c>
      <c r="AN21" s="56" t="s">
        <v>336</v>
      </c>
      <c r="AO21" s="56" t="s">
        <v>368</v>
      </c>
      <c r="AP21" s="56" t="s">
        <v>336</v>
      </c>
      <c r="AQ21" s="56" t="s">
        <v>336</v>
      </c>
      <c r="AR21" s="56" t="s">
        <v>336</v>
      </c>
      <c r="AS21" s="56" t="s">
        <v>336</v>
      </c>
      <c r="AT21" s="56" t="s">
        <v>336</v>
      </c>
      <c r="AU21" s="56" t="s">
        <v>336</v>
      </c>
      <c r="AV21" s="56" t="s">
        <v>336</v>
      </c>
      <c r="AW21" s="56"/>
      <c r="AX21" s="56" t="s">
        <v>368</v>
      </c>
      <c r="AY21" s="56" t="s">
        <v>368</v>
      </c>
      <c r="AZ21" s="56" t="s">
        <v>368</v>
      </c>
      <c r="BA21" s="56" t="s">
        <v>368</v>
      </c>
      <c r="BB21" s="56" t="s">
        <v>368</v>
      </c>
      <c r="BC21" s="56" t="s">
        <v>368</v>
      </c>
      <c r="BD21" s="56" t="s">
        <v>414</v>
      </c>
      <c r="BE21" s="56" t="s">
        <v>566</v>
      </c>
      <c r="BF21" s="56" t="s">
        <v>440</v>
      </c>
      <c r="BG21" s="56" t="s">
        <v>414</v>
      </c>
      <c r="BH21" s="56" t="s">
        <v>414</v>
      </c>
      <c r="BI21" s="56" t="s">
        <v>427</v>
      </c>
      <c r="BJ21" s="56" t="s">
        <v>566</v>
      </c>
      <c r="BK21" s="56" t="s">
        <v>566</v>
      </c>
      <c r="BL21" s="56" t="s">
        <v>427</v>
      </c>
      <c r="BM21" s="56" t="s">
        <v>414</v>
      </c>
      <c r="BN21" s="56" t="s">
        <v>427</v>
      </c>
      <c r="BO21" s="56" t="s">
        <v>414</v>
      </c>
      <c r="BP21" s="56" t="s">
        <v>566</v>
      </c>
    </row>
    <row r="22" spans="2:68" ht="20.100000000000001" hidden="1" customHeight="1" x14ac:dyDescent="0.3">
      <c r="B22" s="192"/>
      <c r="C22" s="201"/>
      <c r="D22" s="192"/>
      <c r="E22" s="194"/>
      <c r="F22" s="194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8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74">
        <v>2</v>
      </c>
      <c r="AI22" s="14" t="s">
        <v>65</v>
      </c>
      <c r="AJ22" s="192"/>
      <c r="AK22" s="194"/>
      <c r="AL22" s="192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 t="s">
        <v>418</v>
      </c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57"/>
      <c r="BO22" s="57"/>
      <c r="BP22" s="57"/>
    </row>
    <row r="23" spans="2:68" ht="20.100000000000001" customHeight="1" x14ac:dyDescent="0.3">
      <c r="B23" s="12" t="s">
        <v>2</v>
      </c>
      <c r="C23" s="8" t="s">
        <v>1</v>
      </c>
      <c r="D23" s="7" t="s">
        <v>0</v>
      </c>
      <c r="E23" s="75">
        <v>38</v>
      </c>
      <c r="F23" s="75">
        <v>38</v>
      </c>
      <c r="G23" s="75">
        <v>38</v>
      </c>
      <c r="H23" s="75">
        <v>34</v>
      </c>
      <c r="I23" s="75">
        <v>34</v>
      </c>
      <c r="J23" s="75">
        <v>34</v>
      </c>
      <c r="K23" s="75">
        <v>34</v>
      </c>
      <c r="L23" s="75">
        <v>34</v>
      </c>
      <c r="M23" s="75">
        <v>34</v>
      </c>
      <c r="N23" s="75">
        <v>34</v>
      </c>
      <c r="O23" s="75">
        <v>34</v>
      </c>
      <c r="P23" s="75">
        <v>34</v>
      </c>
      <c r="Q23" s="75">
        <v>34</v>
      </c>
      <c r="R23" s="75">
        <v>34</v>
      </c>
      <c r="S23" s="75">
        <v>34</v>
      </c>
      <c r="T23" s="75">
        <v>34</v>
      </c>
      <c r="U23" s="166">
        <v>34</v>
      </c>
      <c r="V23" s="75">
        <v>34</v>
      </c>
      <c r="W23" s="75">
        <v>34</v>
      </c>
      <c r="X23" s="75">
        <v>34</v>
      </c>
      <c r="Y23" s="75">
        <v>34</v>
      </c>
      <c r="Z23" s="75">
        <v>34</v>
      </c>
      <c r="AA23" s="75">
        <v>34</v>
      </c>
      <c r="AB23" s="94">
        <v>25</v>
      </c>
      <c r="AC23" s="111">
        <v>21</v>
      </c>
      <c r="AD23" s="94">
        <v>21</v>
      </c>
      <c r="AE23" s="94">
        <v>21</v>
      </c>
      <c r="AF23" s="94">
        <v>16</v>
      </c>
      <c r="AG23" s="111">
        <v>0</v>
      </c>
      <c r="AH23" s="75">
        <v>38</v>
      </c>
      <c r="AI23" s="7" t="s">
        <v>66</v>
      </c>
      <c r="AJ23" s="7" t="s">
        <v>12</v>
      </c>
      <c r="AK23" s="45">
        <v>573000</v>
      </c>
      <c r="AL23" s="7" t="s">
        <v>16</v>
      </c>
      <c r="AM23" s="8" t="s">
        <v>580</v>
      </c>
      <c r="AN23" s="8"/>
      <c r="AO23" s="8" t="s">
        <v>369</v>
      </c>
      <c r="AP23" s="8" t="s">
        <v>418</v>
      </c>
      <c r="AQ23" s="8" t="s">
        <v>418</v>
      </c>
      <c r="AR23" s="8" t="s">
        <v>418</v>
      </c>
      <c r="AS23" s="8" t="s">
        <v>418</v>
      </c>
      <c r="AT23" s="8" t="s">
        <v>418</v>
      </c>
      <c r="AU23" s="8" t="s">
        <v>418</v>
      </c>
      <c r="AV23" s="8" t="s">
        <v>418</v>
      </c>
      <c r="AW23" s="8"/>
      <c r="AX23" s="8" t="s">
        <v>418</v>
      </c>
      <c r="AY23" s="8" t="s">
        <v>418</v>
      </c>
      <c r="AZ23" s="8" t="s">
        <v>418</v>
      </c>
      <c r="BA23" s="8" t="s">
        <v>418</v>
      </c>
      <c r="BB23" s="8" t="s">
        <v>418</v>
      </c>
      <c r="BC23" s="8" t="s">
        <v>418</v>
      </c>
      <c r="BD23" s="8" t="s">
        <v>418</v>
      </c>
      <c r="BE23" s="8" t="s">
        <v>418</v>
      </c>
      <c r="BF23" s="8" t="s">
        <v>418</v>
      </c>
      <c r="BG23" s="8" t="s">
        <v>418</v>
      </c>
      <c r="BH23" s="8" t="s">
        <v>418</v>
      </c>
      <c r="BI23" s="8" t="s">
        <v>418</v>
      </c>
      <c r="BJ23" s="8" t="s">
        <v>418</v>
      </c>
      <c r="BK23" s="8" t="s">
        <v>609</v>
      </c>
      <c r="BL23" s="8" t="s">
        <v>613</v>
      </c>
      <c r="BM23" s="8" t="s">
        <v>613</v>
      </c>
      <c r="BN23" s="8" t="s">
        <v>613</v>
      </c>
      <c r="BO23" s="8" t="s">
        <v>627</v>
      </c>
      <c r="BP23" s="8" t="s">
        <v>633</v>
      </c>
    </row>
    <row r="24" spans="2:68" ht="20.100000000000001" hidden="1" customHeight="1" x14ac:dyDescent="0.3">
      <c r="B24" s="167" t="s">
        <v>2</v>
      </c>
      <c r="C24" s="8" t="s">
        <v>594</v>
      </c>
      <c r="D24" s="7" t="s">
        <v>70</v>
      </c>
      <c r="E24" s="75">
        <v>10</v>
      </c>
      <c r="F24" s="75">
        <v>10</v>
      </c>
      <c r="G24" s="75">
        <v>10</v>
      </c>
      <c r="H24" s="75">
        <v>10</v>
      </c>
      <c r="I24" s="75">
        <v>10</v>
      </c>
      <c r="J24" s="75">
        <v>10</v>
      </c>
      <c r="K24" s="75">
        <v>10</v>
      </c>
      <c r="L24" s="75">
        <v>10</v>
      </c>
      <c r="M24" s="75">
        <v>10</v>
      </c>
      <c r="N24" s="75">
        <v>10</v>
      </c>
      <c r="O24" s="75">
        <v>10</v>
      </c>
      <c r="P24" s="75">
        <v>10</v>
      </c>
      <c r="Q24" s="75">
        <v>10</v>
      </c>
      <c r="R24" s="75">
        <v>10</v>
      </c>
      <c r="S24" s="75">
        <v>10</v>
      </c>
      <c r="T24" s="75">
        <v>10</v>
      </c>
      <c r="U24" s="166">
        <v>10</v>
      </c>
      <c r="V24" s="75">
        <v>10</v>
      </c>
      <c r="W24" s="75">
        <v>10</v>
      </c>
      <c r="X24" s="75">
        <v>10</v>
      </c>
      <c r="Y24" s="75">
        <v>10</v>
      </c>
      <c r="Z24" s="111">
        <v>0</v>
      </c>
      <c r="AA24" s="111">
        <v>0</v>
      </c>
      <c r="AB24" s="111">
        <v>0</v>
      </c>
      <c r="AC24" s="111">
        <v>0</v>
      </c>
      <c r="AD24" s="111">
        <v>0</v>
      </c>
      <c r="AE24" s="111">
        <v>0</v>
      </c>
      <c r="AF24" s="111">
        <v>0</v>
      </c>
      <c r="AG24" s="111">
        <v>0</v>
      </c>
      <c r="AH24" s="75">
        <v>10</v>
      </c>
      <c r="AI24" s="7" t="s">
        <v>67</v>
      </c>
      <c r="AJ24" s="7" t="s">
        <v>235</v>
      </c>
      <c r="AK24" s="45">
        <v>51700</v>
      </c>
      <c r="AL24" s="7"/>
      <c r="AM24" s="8" t="s">
        <v>537</v>
      </c>
      <c r="AN24" s="8"/>
      <c r="AO24" s="8"/>
      <c r="AP24" s="8"/>
      <c r="AQ24" s="8"/>
      <c r="AR24" s="8"/>
      <c r="AS24" s="8"/>
      <c r="AT24" s="8"/>
      <c r="AU24" s="8"/>
      <c r="AV24" s="8"/>
      <c r="AW24" s="8" t="s">
        <v>419</v>
      </c>
      <c r="AX24" s="8"/>
      <c r="AY24" s="8"/>
      <c r="AZ24" s="8"/>
      <c r="BA24" s="8"/>
      <c r="BB24" s="8"/>
      <c r="BC24" s="8"/>
      <c r="BD24" s="8"/>
      <c r="BE24" s="8"/>
      <c r="BF24" s="8" t="s">
        <v>582</v>
      </c>
      <c r="BG24" s="8"/>
      <c r="BH24" s="8"/>
      <c r="BI24" s="8" t="s">
        <v>595</v>
      </c>
      <c r="BJ24" s="8" t="s">
        <v>595</v>
      </c>
      <c r="BK24" s="8" t="s">
        <v>595</v>
      </c>
      <c r="BL24" s="8" t="s">
        <v>595</v>
      </c>
      <c r="BM24" s="8" t="s">
        <v>595</v>
      </c>
      <c r="BN24" s="8" t="s">
        <v>595</v>
      </c>
      <c r="BO24" s="8" t="s">
        <v>595</v>
      </c>
      <c r="BP24" s="8" t="s">
        <v>595</v>
      </c>
    </row>
    <row r="25" spans="2:68" ht="20.100000000000001" hidden="1" customHeight="1" x14ac:dyDescent="0.3">
      <c r="B25" s="11" t="s">
        <v>229</v>
      </c>
      <c r="C25" s="10" t="s">
        <v>592</v>
      </c>
      <c r="D25" s="9" t="s">
        <v>228</v>
      </c>
      <c r="E25" s="76">
        <v>28</v>
      </c>
      <c r="F25" s="76">
        <v>28</v>
      </c>
      <c r="G25" s="76">
        <v>28</v>
      </c>
      <c r="H25" s="76">
        <v>28</v>
      </c>
      <c r="I25" s="76">
        <v>28</v>
      </c>
      <c r="J25" s="76">
        <v>28</v>
      </c>
      <c r="K25" s="76">
        <v>28</v>
      </c>
      <c r="L25" s="76">
        <v>28</v>
      </c>
      <c r="M25" s="76">
        <v>28</v>
      </c>
      <c r="N25" s="76">
        <v>28</v>
      </c>
      <c r="O25" s="76">
        <v>28</v>
      </c>
      <c r="P25" s="76">
        <v>28</v>
      </c>
      <c r="Q25" s="76">
        <v>28</v>
      </c>
      <c r="R25" s="76">
        <v>28</v>
      </c>
      <c r="S25" s="76">
        <v>28</v>
      </c>
      <c r="T25" s="76">
        <v>28</v>
      </c>
      <c r="U25" s="165">
        <v>28</v>
      </c>
      <c r="V25" s="76">
        <v>28</v>
      </c>
      <c r="W25" s="76">
        <v>28</v>
      </c>
      <c r="X25" s="76">
        <v>28</v>
      </c>
      <c r="Y25" s="76">
        <v>28</v>
      </c>
      <c r="Z25" s="111">
        <v>0</v>
      </c>
      <c r="AA25" s="111">
        <v>0</v>
      </c>
      <c r="AB25" s="111">
        <v>0</v>
      </c>
      <c r="AC25" s="111">
        <v>0</v>
      </c>
      <c r="AD25" s="111">
        <v>0</v>
      </c>
      <c r="AE25" s="111">
        <v>0</v>
      </c>
      <c r="AF25" s="111">
        <v>0</v>
      </c>
      <c r="AG25" s="111">
        <v>0</v>
      </c>
      <c r="AH25" s="76"/>
      <c r="AI25" s="11"/>
      <c r="AJ25" s="9" t="s">
        <v>236</v>
      </c>
      <c r="AK25" s="46">
        <v>29700</v>
      </c>
      <c r="AL25" s="9"/>
      <c r="AM25" s="10" t="s">
        <v>538</v>
      </c>
      <c r="AN25" s="10" t="s">
        <v>371</v>
      </c>
      <c r="AO25" s="10" t="s">
        <v>370</v>
      </c>
      <c r="AP25" s="10" t="s">
        <v>419</v>
      </c>
      <c r="AQ25" s="10" t="s">
        <v>419</v>
      </c>
      <c r="AR25" s="10" t="s">
        <v>419</v>
      </c>
      <c r="AS25" s="10" t="s">
        <v>419</v>
      </c>
      <c r="AT25" s="10" t="s">
        <v>419</v>
      </c>
      <c r="AU25" s="10" t="s">
        <v>419</v>
      </c>
      <c r="AV25" s="10" t="s">
        <v>419</v>
      </c>
      <c r="AW25" s="10" t="s">
        <v>420</v>
      </c>
      <c r="AX25" s="10" t="s">
        <v>419</v>
      </c>
      <c r="AY25" s="10" t="s">
        <v>419</v>
      </c>
      <c r="AZ25" s="10" t="s">
        <v>419</v>
      </c>
      <c r="BA25" s="10" t="s">
        <v>419</v>
      </c>
      <c r="BB25" s="10" t="s">
        <v>419</v>
      </c>
      <c r="BC25" s="10" t="s">
        <v>419</v>
      </c>
      <c r="BD25" s="10" t="s">
        <v>419</v>
      </c>
      <c r="BE25" s="10" t="s">
        <v>419</v>
      </c>
      <c r="BF25" s="10" t="s">
        <v>581</v>
      </c>
      <c r="BG25" s="10" t="s">
        <v>419</v>
      </c>
      <c r="BH25" s="10" t="s">
        <v>419</v>
      </c>
      <c r="BI25" s="10" t="s">
        <v>593</v>
      </c>
      <c r="BJ25" s="10" t="s">
        <v>593</v>
      </c>
      <c r="BK25" s="10" t="s">
        <v>593</v>
      </c>
      <c r="BL25" s="10" t="s">
        <v>593</v>
      </c>
      <c r="BM25" s="10" t="s">
        <v>593</v>
      </c>
      <c r="BN25" s="10" t="s">
        <v>593</v>
      </c>
      <c r="BO25" s="10" t="s">
        <v>593</v>
      </c>
      <c r="BP25" s="10" t="s">
        <v>593</v>
      </c>
    </row>
    <row r="26" spans="2:68" ht="19.5" customHeight="1" x14ac:dyDescent="0.3">
      <c r="B26" s="181" t="s">
        <v>599</v>
      </c>
      <c r="C26" s="10" t="s">
        <v>225</v>
      </c>
      <c r="D26" s="9" t="s">
        <v>227</v>
      </c>
      <c r="E26" s="76">
        <v>4</v>
      </c>
      <c r="F26" s="76">
        <v>4</v>
      </c>
      <c r="G26" s="76">
        <v>4</v>
      </c>
      <c r="H26" s="76">
        <v>4</v>
      </c>
      <c r="I26" s="76">
        <v>4</v>
      </c>
      <c r="J26" s="76">
        <v>4</v>
      </c>
      <c r="K26" s="76">
        <v>4</v>
      </c>
      <c r="L26" s="76">
        <v>4</v>
      </c>
      <c r="M26" s="76">
        <v>4</v>
      </c>
      <c r="N26" s="76">
        <v>4</v>
      </c>
      <c r="O26" s="76">
        <v>4</v>
      </c>
      <c r="P26" s="76">
        <v>4</v>
      </c>
      <c r="Q26" s="76">
        <v>4</v>
      </c>
      <c r="R26" s="76">
        <v>4</v>
      </c>
      <c r="S26" s="76">
        <v>4</v>
      </c>
      <c r="T26" s="76">
        <v>4</v>
      </c>
      <c r="U26" s="165">
        <v>4</v>
      </c>
      <c r="V26" s="76">
        <v>4</v>
      </c>
      <c r="W26" s="76">
        <v>4</v>
      </c>
      <c r="X26" s="76">
        <v>4</v>
      </c>
      <c r="Y26" s="76">
        <v>4</v>
      </c>
      <c r="Z26" s="76">
        <v>4</v>
      </c>
      <c r="AA26" s="76">
        <v>4</v>
      </c>
      <c r="AB26" s="76">
        <v>4</v>
      </c>
      <c r="AC26" s="76">
        <v>4</v>
      </c>
      <c r="AD26" s="76">
        <v>4</v>
      </c>
      <c r="AE26" s="76">
        <v>4</v>
      </c>
      <c r="AF26" s="76">
        <v>4</v>
      </c>
      <c r="AG26" s="76">
        <v>4</v>
      </c>
      <c r="AH26" s="76"/>
      <c r="AI26" s="11"/>
      <c r="AJ26" s="9" t="s">
        <v>238</v>
      </c>
      <c r="AK26" s="46">
        <v>2920000</v>
      </c>
      <c r="AL26" s="9"/>
      <c r="AM26" s="55" t="s">
        <v>539</v>
      </c>
      <c r="AN26" s="55" t="s">
        <v>372</v>
      </c>
      <c r="AO26" s="55" t="s">
        <v>373</v>
      </c>
      <c r="AP26" s="55" t="s">
        <v>420</v>
      </c>
      <c r="AQ26" s="55" t="s">
        <v>420</v>
      </c>
      <c r="AR26" s="55" t="s">
        <v>420</v>
      </c>
      <c r="AS26" s="55" t="s">
        <v>420</v>
      </c>
      <c r="AT26" s="55" t="s">
        <v>420</v>
      </c>
      <c r="AU26" s="55" t="s">
        <v>420</v>
      </c>
      <c r="AV26" s="55" t="s">
        <v>420</v>
      </c>
      <c r="AW26" s="55" t="s">
        <v>421</v>
      </c>
      <c r="AX26" s="55" t="s">
        <v>372</v>
      </c>
      <c r="AY26" s="55" t="s">
        <v>372</v>
      </c>
      <c r="AZ26" s="55" t="s">
        <v>372</v>
      </c>
      <c r="BA26" s="55" t="s">
        <v>372</v>
      </c>
      <c r="BB26" s="55" t="s">
        <v>372</v>
      </c>
      <c r="BC26" s="55" t="s">
        <v>372</v>
      </c>
      <c r="BD26" s="55" t="s">
        <v>372</v>
      </c>
      <c r="BE26" s="55" t="s">
        <v>372</v>
      </c>
      <c r="BF26" s="55" t="s">
        <v>420</v>
      </c>
      <c r="BG26" s="55" t="s">
        <v>372</v>
      </c>
      <c r="BH26" s="55" t="s">
        <v>372</v>
      </c>
      <c r="BI26" s="55" t="s">
        <v>372</v>
      </c>
      <c r="BJ26" s="55" t="s">
        <v>372</v>
      </c>
      <c r="BK26" s="55" t="s">
        <v>372</v>
      </c>
      <c r="BL26" s="55" t="s">
        <v>372</v>
      </c>
      <c r="BM26" s="55" t="s">
        <v>372</v>
      </c>
      <c r="BN26" s="55" t="s">
        <v>372</v>
      </c>
      <c r="BO26" s="55" t="s">
        <v>372</v>
      </c>
      <c r="BP26" s="55" t="s">
        <v>372</v>
      </c>
    </row>
    <row r="27" spans="2:68" ht="20.100000000000001" customHeight="1" x14ac:dyDescent="0.3">
      <c r="B27" s="182"/>
      <c r="C27" s="10" t="s">
        <v>225</v>
      </c>
      <c r="D27" s="9" t="s">
        <v>69</v>
      </c>
      <c r="E27" s="76">
        <v>6</v>
      </c>
      <c r="F27" s="76">
        <v>6</v>
      </c>
      <c r="G27" s="76">
        <v>6</v>
      </c>
      <c r="H27" s="76">
        <v>6</v>
      </c>
      <c r="I27" s="76">
        <v>6</v>
      </c>
      <c r="J27" s="76">
        <v>6</v>
      </c>
      <c r="K27" s="76">
        <v>6</v>
      </c>
      <c r="L27" s="76">
        <v>6</v>
      </c>
      <c r="M27" s="76">
        <v>6</v>
      </c>
      <c r="N27" s="76">
        <v>6</v>
      </c>
      <c r="O27" s="76">
        <v>6</v>
      </c>
      <c r="P27" s="76">
        <v>6</v>
      </c>
      <c r="Q27" s="76">
        <v>6</v>
      </c>
      <c r="R27" s="76">
        <v>6</v>
      </c>
      <c r="S27" s="76">
        <v>6</v>
      </c>
      <c r="T27" s="76">
        <v>6</v>
      </c>
      <c r="U27" s="165">
        <v>6</v>
      </c>
      <c r="V27" s="76">
        <v>6</v>
      </c>
      <c r="W27" s="76">
        <v>6</v>
      </c>
      <c r="X27" s="76">
        <v>6</v>
      </c>
      <c r="Y27" s="76">
        <v>6</v>
      </c>
      <c r="Z27" s="76">
        <v>6</v>
      </c>
      <c r="AA27" s="76">
        <v>6</v>
      </c>
      <c r="AB27" s="76">
        <v>6</v>
      </c>
      <c r="AC27" s="76">
        <v>6</v>
      </c>
      <c r="AD27" s="76">
        <v>6</v>
      </c>
      <c r="AE27" s="76">
        <v>6</v>
      </c>
      <c r="AF27" s="76">
        <v>6</v>
      </c>
      <c r="AG27" s="76">
        <v>6</v>
      </c>
      <c r="AH27" s="76"/>
      <c r="AI27" s="11"/>
      <c r="AJ27" s="9" t="s">
        <v>238</v>
      </c>
      <c r="AK27" s="46">
        <v>342500</v>
      </c>
      <c r="AL27" s="9"/>
      <c r="AM27" s="55" t="s">
        <v>539</v>
      </c>
      <c r="AN27" s="55" t="s">
        <v>374</v>
      </c>
      <c r="AO27" s="55" t="s">
        <v>375</v>
      </c>
      <c r="AP27" s="55" t="s">
        <v>421</v>
      </c>
      <c r="AQ27" s="55" t="s">
        <v>421</v>
      </c>
      <c r="AR27" s="55" t="s">
        <v>421</v>
      </c>
      <c r="AS27" s="55" t="s">
        <v>421</v>
      </c>
      <c r="AT27" s="55" t="s">
        <v>421</v>
      </c>
      <c r="AU27" s="55" t="s">
        <v>421</v>
      </c>
      <c r="AV27" s="55" t="s">
        <v>421</v>
      </c>
      <c r="AW27" s="55" t="s">
        <v>422</v>
      </c>
      <c r="AX27" s="55" t="s">
        <v>374</v>
      </c>
      <c r="AY27" s="55" t="s">
        <v>374</v>
      </c>
      <c r="AZ27" s="55" t="s">
        <v>374</v>
      </c>
      <c r="BA27" s="55" t="s">
        <v>374</v>
      </c>
      <c r="BB27" s="55" t="s">
        <v>541</v>
      </c>
      <c r="BC27" s="55" t="s">
        <v>541</v>
      </c>
      <c r="BD27" s="55" t="s">
        <v>541</v>
      </c>
      <c r="BE27" s="55" t="s">
        <v>541</v>
      </c>
      <c r="BF27" s="55" t="s">
        <v>421</v>
      </c>
      <c r="BG27" s="55" t="s">
        <v>374</v>
      </c>
      <c r="BH27" s="55" t="s">
        <v>374</v>
      </c>
      <c r="BI27" s="55" t="s">
        <v>374</v>
      </c>
      <c r="BJ27" s="55" t="s">
        <v>541</v>
      </c>
      <c r="BK27" s="55" t="s">
        <v>541</v>
      </c>
      <c r="BL27" s="55" t="s">
        <v>541</v>
      </c>
      <c r="BM27" s="55" t="s">
        <v>374</v>
      </c>
      <c r="BN27" s="55" t="s">
        <v>374</v>
      </c>
      <c r="BO27" s="55" t="s">
        <v>374</v>
      </c>
      <c r="BP27" s="55" t="s">
        <v>541</v>
      </c>
    </row>
    <row r="28" spans="2:68" ht="20.100000000000001" customHeight="1" x14ac:dyDescent="0.3">
      <c r="B28" s="182"/>
      <c r="C28" s="10" t="s">
        <v>226</v>
      </c>
      <c r="D28" s="9" t="s">
        <v>70</v>
      </c>
      <c r="E28" s="76">
        <v>11</v>
      </c>
      <c r="F28" s="76">
        <v>11</v>
      </c>
      <c r="G28" s="76">
        <v>11</v>
      </c>
      <c r="H28" s="76">
        <v>11</v>
      </c>
      <c r="I28" s="76">
        <v>11</v>
      </c>
      <c r="J28" s="76">
        <v>11</v>
      </c>
      <c r="K28" s="76">
        <v>11</v>
      </c>
      <c r="L28" s="76">
        <v>11</v>
      </c>
      <c r="M28" s="76">
        <v>11</v>
      </c>
      <c r="N28" s="76">
        <v>11</v>
      </c>
      <c r="O28" s="76">
        <v>11</v>
      </c>
      <c r="P28" s="76">
        <v>11</v>
      </c>
      <c r="Q28" s="76">
        <v>11</v>
      </c>
      <c r="R28" s="76">
        <v>11</v>
      </c>
      <c r="S28" s="76">
        <v>11</v>
      </c>
      <c r="T28" s="76">
        <v>11</v>
      </c>
      <c r="U28" s="165">
        <v>11</v>
      </c>
      <c r="V28" s="76">
        <v>11</v>
      </c>
      <c r="W28" s="76">
        <v>11</v>
      </c>
      <c r="X28" s="76">
        <v>11</v>
      </c>
      <c r="Y28" s="76">
        <v>11</v>
      </c>
      <c r="Z28" s="76">
        <v>11</v>
      </c>
      <c r="AA28" s="76">
        <v>11</v>
      </c>
      <c r="AB28" s="76">
        <v>11</v>
      </c>
      <c r="AC28" s="76">
        <v>11</v>
      </c>
      <c r="AD28" s="76">
        <v>11</v>
      </c>
      <c r="AE28" s="76">
        <v>11</v>
      </c>
      <c r="AF28" s="76">
        <v>11</v>
      </c>
      <c r="AG28" s="76">
        <v>11</v>
      </c>
      <c r="AH28" s="76"/>
      <c r="AI28" s="11"/>
      <c r="AJ28" s="9" t="s">
        <v>239</v>
      </c>
      <c r="AK28" s="46">
        <v>14000</v>
      </c>
      <c r="AL28" s="9"/>
      <c r="AM28" s="10" t="s">
        <v>237</v>
      </c>
      <c r="AN28" s="10" t="s">
        <v>376</v>
      </c>
      <c r="AO28" s="10" t="s">
        <v>376</v>
      </c>
      <c r="AP28" s="10" t="s">
        <v>422</v>
      </c>
      <c r="AQ28" s="10" t="s">
        <v>422</v>
      </c>
      <c r="AR28" s="10" t="s">
        <v>422</v>
      </c>
      <c r="AS28" s="10" t="s">
        <v>422</v>
      </c>
      <c r="AT28" s="10" t="s">
        <v>422</v>
      </c>
      <c r="AU28" s="10" t="s">
        <v>422</v>
      </c>
      <c r="AV28" s="10" t="s">
        <v>422</v>
      </c>
      <c r="AW28" s="10" t="s">
        <v>519</v>
      </c>
      <c r="AX28" s="10" t="s">
        <v>376</v>
      </c>
      <c r="AY28" s="10" t="s">
        <v>376</v>
      </c>
      <c r="AZ28" s="10" t="s">
        <v>376</v>
      </c>
      <c r="BA28" s="10" t="s">
        <v>376</v>
      </c>
      <c r="BB28" s="10" t="s">
        <v>376</v>
      </c>
      <c r="BC28" s="10" t="s">
        <v>376</v>
      </c>
      <c r="BD28" s="10" t="s">
        <v>376</v>
      </c>
      <c r="BE28" s="10" t="s">
        <v>376</v>
      </c>
      <c r="BF28" s="10" t="s">
        <v>422</v>
      </c>
      <c r="BG28" s="10" t="s">
        <v>376</v>
      </c>
      <c r="BH28" s="10" t="s">
        <v>376</v>
      </c>
      <c r="BI28" s="10" t="s">
        <v>376</v>
      </c>
      <c r="BJ28" s="10" t="s">
        <v>376</v>
      </c>
      <c r="BK28" s="10" t="s">
        <v>376</v>
      </c>
      <c r="BL28" s="10" t="s">
        <v>376</v>
      </c>
      <c r="BM28" s="10" t="s">
        <v>376</v>
      </c>
      <c r="BN28" s="10" t="s">
        <v>376</v>
      </c>
      <c r="BO28" s="10" t="s">
        <v>376</v>
      </c>
      <c r="BP28" s="10" t="s">
        <v>376</v>
      </c>
    </row>
    <row r="29" spans="2:68" ht="20.100000000000001" customHeight="1" x14ac:dyDescent="0.3">
      <c r="B29" s="183"/>
      <c r="C29" s="10" t="s">
        <v>567</v>
      </c>
      <c r="D29" s="158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65">
        <v>6</v>
      </c>
      <c r="V29" s="76">
        <v>6</v>
      </c>
      <c r="W29" s="76">
        <v>6</v>
      </c>
      <c r="X29" s="76">
        <v>6</v>
      </c>
      <c r="Y29" s="76">
        <v>6</v>
      </c>
      <c r="Z29" s="76">
        <v>6</v>
      </c>
      <c r="AA29" s="76">
        <v>6</v>
      </c>
      <c r="AB29" s="76">
        <v>6</v>
      </c>
      <c r="AC29" s="76">
        <v>6</v>
      </c>
      <c r="AD29" s="76">
        <v>6</v>
      </c>
      <c r="AE29" s="76">
        <v>6</v>
      </c>
      <c r="AF29" s="76">
        <v>6</v>
      </c>
      <c r="AG29" s="76">
        <v>6</v>
      </c>
      <c r="AH29" s="76"/>
      <c r="AI29" s="11"/>
      <c r="AJ29" s="9"/>
      <c r="AK29" s="46"/>
      <c r="AL29" s="9"/>
      <c r="AM29" s="10" t="s">
        <v>568</v>
      </c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60"/>
      <c r="BD29" s="10" t="s">
        <v>569</v>
      </c>
      <c r="BE29" s="10" t="s">
        <v>569</v>
      </c>
      <c r="BF29" s="10" t="s">
        <v>569</v>
      </c>
      <c r="BG29" s="10" t="s">
        <v>569</v>
      </c>
      <c r="BH29" s="10" t="s">
        <v>569</v>
      </c>
      <c r="BI29" s="10" t="s">
        <v>569</v>
      </c>
      <c r="BJ29" s="10" t="s">
        <v>569</v>
      </c>
      <c r="BK29" s="10" t="s">
        <v>569</v>
      </c>
      <c r="BL29" s="10" t="s">
        <v>569</v>
      </c>
      <c r="BM29" s="10" t="s">
        <v>569</v>
      </c>
      <c r="BN29" s="10" t="s">
        <v>569</v>
      </c>
      <c r="BO29" s="10" t="s">
        <v>569</v>
      </c>
      <c r="BP29" s="10" t="s">
        <v>569</v>
      </c>
    </row>
    <row r="30" spans="2:68" ht="20.100000000000001" customHeight="1" x14ac:dyDescent="0.3">
      <c r="E30" s="83">
        <f t="shared" ref="E30:H30" si="0">SUM(E4:E29)</f>
        <v>249</v>
      </c>
      <c r="F30" s="83">
        <f t="shared" si="0"/>
        <v>184</v>
      </c>
      <c r="G30" s="83">
        <f t="shared" si="0"/>
        <v>163</v>
      </c>
      <c r="H30" s="83">
        <f t="shared" si="0"/>
        <v>145</v>
      </c>
      <c r="I30" s="83">
        <f t="shared" ref="I30:M30" si="1">SUM(I4:I29)</f>
        <v>114</v>
      </c>
      <c r="J30" s="83">
        <f t="shared" si="1"/>
        <v>109</v>
      </c>
      <c r="K30" s="83">
        <f t="shared" si="1"/>
        <v>109</v>
      </c>
      <c r="L30" s="83">
        <f t="shared" si="1"/>
        <v>109</v>
      </c>
      <c r="M30" s="83">
        <f t="shared" si="1"/>
        <v>109</v>
      </c>
      <c r="N30" s="83">
        <f t="shared" ref="N30:AL30" si="2">SUM(N4:N29)</f>
        <v>104</v>
      </c>
      <c r="O30" s="83">
        <f t="shared" si="2"/>
        <v>104</v>
      </c>
      <c r="P30" s="83">
        <f t="shared" ref="P30:AF30" si="3">SUM(P4:P29)</f>
        <v>104</v>
      </c>
      <c r="Q30" s="83">
        <f t="shared" si="3"/>
        <v>104</v>
      </c>
      <c r="R30" s="83">
        <f t="shared" si="3"/>
        <v>104</v>
      </c>
      <c r="S30" s="83">
        <f t="shared" si="3"/>
        <v>104</v>
      </c>
      <c r="T30" s="83">
        <f>SUM(T4:T29)</f>
        <v>100</v>
      </c>
      <c r="U30" s="83">
        <f t="shared" si="3"/>
        <v>103</v>
      </c>
      <c r="V30" s="83">
        <f t="shared" si="3"/>
        <v>103</v>
      </c>
      <c r="W30" s="83">
        <f t="shared" si="3"/>
        <v>103</v>
      </c>
      <c r="X30" s="83">
        <f t="shared" si="3"/>
        <v>103</v>
      </c>
      <c r="Y30" s="83">
        <f t="shared" si="3"/>
        <v>103</v>
      </c>
      <c r="Z30" s="83">
        <f t="shared" si="3"/>
        <v>65</v>
      </c>
      <c r="AA30" s="83">
        <f t="shared" si="3"/>
        <v>65</v>
      </c>
      <c r="AB30" s="83">
        <f t="shared" si="3"/>
        <v>56</v>
      </c>
      <c r="AC30" s="83">
        <f t="shared" si="3"/>
        <v>52</v>
      </c>
      <c r="AD30" s="83">
        <f t="shared" si="3"/>
        <v>52</v>
      </c>
      <c r="AE30" s="83">
        <f t="shared" si="3"/>
        <v>52</v>
      </c>
      <c r="AF30" s="83">
        <f t="shared" si="3"/>
        <v>47</v>
      </c>
      <c r="AG30" s="83">
        <f t="shared" si="2"/>
        <v>28</v>
      </c>
      <c r="AH30" s="83">
        <f t="shared" si="2"/>
        <v>183</v>
      </c>
      <c r="AI30" s="83">
        <f t="shared" si="2"/>
        <v>8084.3499999999995</v>
      </c>
      <c r="AJ30" s="83">
        <f t="shared" si="2"/>
        <v>0</v>
      </c>
      <c r="AK30" s="83">
        <f t="shared" si="2"/>
        <v>8176700</v>
      </c>
      <c r="AL30" s="83">
        <f t="shared" si="2"/>
        <v>0</v>
      </c>
    </row>
    <row r="31" spans="2:68" ht="20.100000000000001" customHeight="1" x14ac:dyDescent="0.3"/>
    <row r="32" spans="2:68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</sheetData>
  <mergeCells count="173">
    <mergeCell ref="AD16:AD17"/>
    <mergeCell ref="AD21:AD22"/>
    <mergeCell ref="AH3:AI3"/>
    <mergeCell ref="H4:H7"/>
    <mergeCell ref="H8:H9"/>
    <mergeCell ref="AG4:AG7"/>
    <mergeCell ref="AG8:AG9"/>
    <mergeCell ref="K4:K7"/>
    <mergeCell ref="K8:K9"/>
    <mergeCell ref="L4:L7"/>
    <mergeCell ref="L8:L9"/>
    <mergeCell ref="M4:M7"/>
    <mergeCell ref="M8:M9"/>
    <mergeCell ref="J4:J7"/>
    <mergeCell ref="J8:J9"/>
    <mergeCell ref="I4:I7"/>
    <mergeCell ref="O4:O7"/>
    <mergeCell ref="O8:O9"/>
    <mergeCell ref="Q4:Q7"/>
    <mergeCell ref="Q8:Q9"/>
    <mergeCell ref="S4:S7"/>
    <mergeCell ref="AB4:AB7"/>
    <mergeCell ref="AB8:AB9"/>
    <mergeCell ref="AD4:AD7"/>
    <mergeCell ref="AD8:AD9"/>
    <mergeCell ref="AC4:AC7"/>
    <mergeCell ref="AC8:AC9"/>
    <mergeCell ref="AJ21:AJ22"/>
    <mergeCell ref="AL21:AL22"/>
    <mergeCell ref="AJ4:AJ7"/>
    <mergeCell ref="AL16:AL17"/>
    <mergeCell ref="AJ16:AJ17"/>
    <mergeCell ref="AL12:AL14"/>
    <mergeCell ref="AJ12:AJ14"/>
    <mergeCell ref="AL8:AL9"/>
    <mergeCell ref="AJ8:AJ9"/>
    <mergeCell ref="AL4:AL7"/>
    <mergeCell ref="AK21:AK22"/>
    <mergeCell ref="AK16:AK17"/>
    <mergeCell ref="AK12:AK14"/>
    <mergeCell ref="AK8:AK9"/>
    <mergeCell ref="AK4:AK7"/>
    <mergeCell ref="AG12:AG14"/>
    <mergeCell ref="AG16:AG17"/>
    <mergeCell ref="AG21:AG22"/>
    <mergeCell ref="AC12:AC14"/>
    <mergeCell ref="AC16:AC17"/>
    <mergeCell ref="AC21:AC22"/>
    <mergeCell ref="B4:B22"/>
    <mergeCell ref="C8:C9"/>
    <mergeCell ref="D8:D9"/>
    <mergeCell ref="E8:E9"/>
    <mergeCell ref="E4:E7"/>
    <mergeCell ref="C4:C7"/>
    <mergeCell ref="S8:S9"/>
    <mergeCell ref="I8:I9"/>
    <mergeCell ref="N4:N7"/>
    <mergeCell ref="N8:N9"/>
    <mergeCell ref="R4:R7"/>
    <mergeCell ref="I12:I14"/>
    <mergeCell ref="I16:I17"/>
    <mergeCell ref="I21:I22"/>
    <mergeCell ref="G4:G7"/>
    <mergeCell ref="F4:F7"/>
    <mergeCell ref="F8:F9"/>
    <mergeCell ref="F12:F14"/>
    <mergeCell ref="D4:D7"/>
    <mergeCell ref="J12:J14"/>
    <mergeCell ref="J16:J17"/>
    <mergeCell ref="J21:J22"/>
    <mergeCell ref="C21:C22"/>
    <mergeCell ref="D21:D22"/>
    <mergeCell ref="E21:E22"/>
    <mergeCell ref="C16:C17"/>
    <mergeCell ref="D16:D17"/>
    <mergeCell ref="E16:E17"/>
    <mergeCell ref="C12:C14"/>
    <mergeCell ref="E12:E14"/>
    <mergeCell ref="D12:D14"/>
    <mergeCell ref="F16:F17"/>
    <mergeCell ref="F21:F22"/>
    <mergeCell ref="G21:G22"/>
    <mergeCell ref="G16:G17"/>
    <mergeCell ref="G12:G14"/>
    <mergeCell ref="G8:G9"/>
    <mergeCell ref="P4:P7"/>
    <mergeCell ref="P8:P9"/>
    <mergeCell ref="P12:P14"/>
    <mergeCell ref="P16:P17"/>
    <mergeCell ref="P21:P22"/>
    <mergeCell ref="L16:L17"/>
    <mergeCell ref="L21:L22"/>
    <mergeCell ref="K12:K14"/>
    <mergeCell ref="K16:K17"/>
    <mergeCell ref="K21:K22"/>
    <mergeCell ref="N12:N14"/>
    <mergeCell ref="N16:N17"/>
    <mergeCell ref="N21:N22"/>
    <mergeCell ref="M12:M14"/>
    <mergeCell ref="M16:M17"/>
    <mergeCell ref="M21:M22"/>
    <mergeCell ref="L12:L14"/>
    <mergeCell ref="O12:O14"/>
    <mergeCell ref="O16:O17"/>
    <mergeCell ref="O21:O22"/>
    <mergeCell ref="Q12:Q14"/>
    <mergeCell ref="Q16:Q17"/>
    <mergeCell ref="Q21:Q22"/>
    <mergeCell ref="V21:V22"/>
    <mergeCell ref="H12:H14"/>
    <mergeCell ref="H16:H17"/>
    <mergeCell ref="H21:H22"/>
    <mergeCell ref="T4:T7"/>
    <mergeCell ref="T8:T9"/>
    <mergeCell ref="T12:T14"/>
    <mergeCell ref="T16:T17"/>
    <mergeCell ref="T21:T22"/>
    <mergeCell ref="S12:S14"/>
    <mergeCell ref="S16:S17"/>
    <mergeCell ref="S21:S22"/>
    <mergeCell ref="U4:U7"/>
    <mergeCell ref="U8:U9"/>
    <mergeCell ref="U12:U14"/>
    <mergeCell ref="U16:U17"/>
    <mergeCell ref="U21:U22"/>
    <mergeCell ref="W4:W7"/>
    <mergeCell ref="W8:W9"/>
    <mergeCell ref="W12:W14"/>
    <mergeCell ref="W16:W17"/>
    <mergeCell ref="W21:W22"/>
    <mergeCell ref="AE4:AE7"/>
    <mergeCell ref="AE8:AE9"/>
    <mergeCell ref="AE12:AE14"/>
    <mergeCell ref="AE16:AE17"/>
    <mergeCell ref="AE21:AE22"/>
    <mergeCell ref="AB12:AB14"/>
    <mergeCell ref="AB16:AB17"/>
    <mergeCell ref="AB21:AB22"/>
    <mergeCell ref="AA4:AA7"/>
    <mergeCell ref="AA8:AA9"/>
    <mergeCell ref="AA12:AA14"/>
    <mergeCell ref="AA16:AA17"/>
    <mergeCell ref="AA21:AA22"/>
    <mergeCell ref="Z4:Z7"/>
    <mergeCell ref="Z8:Z9"/>
    <mergeCell ref="Z12:Z14"/>
    <mergeCell ref="Z16:Z17"/>
    <mergeCell ref="Z21:Z22"/>
    <mergeCell ref="AD12:AD14"/>
    <mergeCell ref="AF4:AF7"/>
    <mergeCell ref="AF8:AF9"/>
    <mergeCell ref="AF12:AF14"/>
    <mergeCell ref="AF16:AF17"/>
    <mergeCell ref="AF21:AF22"/>
    <mergeCell ref="B26:B29"/>
    <mergeCell ref="Y4:Y7"/>
    <mergeCell ref="Y8:Y9"/>
    <mergeCell ref="Y12:Y14"/>
    <mergeCell ref="Y16:Y17"/>
    <mergeCell ref="Y21:Y22"/>
    <mergeCell ref="X4:X7"/>
    <mergeCell ref="X8:X9"/>
    <mergeCell ref="X12:X14"/>
    <mergeCell ref="X16:X17"/>
    <mergeCell ref="X21:X22"/>
    <mergeCell ref="R8:R9"/>
    <mergeCell ref="R12:R14"/>
    <mergeCell ref="R16:R17"/>
    <mergeCell ref="R21:R22"/>
    <mergeCell ref="V4:V7"/>
    <mergeCell ref="V8:V9"/>
    <mergeCell ref="V12:V14"/>
    <mergeCell ref="V16:V1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P162"/>
  <sheetViews>
    <sheetView zoomScale="90" zoomScaleNormal="90" workbookViewId="0">
      <pane xSplit="39" ySplit="3" topLeftCell="BP4" activePane="bottomRight" state="frozen"/>
      <selection activeCell="BB16" sqref="BB16"/>
      <selection pane="topRight" activeCell="BB16" sqref="BB16"/>
      <selection pane="bottomLeft" activeCell="BB16" sqref="BB16"/>
      <selection pane="bottomRight" activeCell="C28" sqref="C28"/>
    </sheetView>
  </sheetViews>
  <sheetFormatPr defaultRowHeight="16.5" x14ac:dyDescent="0.3"/>
  <cols>
    <col min="1" max="1" width="1.875" style="1" customWidth="1"/>
    <col min="2" max="2" width="5.625" style="2" customWidth="1"/>
    <col min="3" max="3" width="40.625" style="3" customWidth="1"/>
    <col min="4" max="4" width="5.625" style="2" customWidth="1"/>
    <col min="5" max="7" width="5.625" style="1" customWidth="1"/>
    <col min="8" max="9" width="5.625" style="1" hidden="1" customWidth="1"/>
    <col min="10" max="11" width="5.625" style="1" customWidth="1"/>
    <col min="12" max="12" width="5.625" style="1" hidden="1" customWidth="1"/>
    <col min="13" max="16" width="5.625" style="1" customWidth="1"/>
    <col min="17" max="17" width="5.625" style="1" hidden="1" customWidth="1"/>
    <col min="18" max="18" width="5.625" style="1" customWidth="1"/>
    <col min="19" max="19" width="5.625" style="1" hidden="1" customWidth="1"/>
    <col min="20" max="21" width="5.625" style="1" customWidth="1"/>
    <col min="22" max="24" width="5.625" style="1" hidden="1" customWidth="1"/>
    <col min="25" max="26" width="5.625" style="1" customWidth="1"/>
    <col min="27" max="29" width="5.625" style="1" hidden="1" customWidth="1"/>
    <col min="30" max="31" width="5.625" style="1" customWidth="1"/>
    <col min="32" max="32" width="5.625" style="1" hidden="1" customWidth="1"/>
    <col min="33" max="33" width="5.625" style="1" customWidth="1"/>
    <col min="34" max="34" width="5.625" style="1" hidden="1" customWidth="1"/>
    <col min="35" max="35" width="12.625" style="1" hidden="1" customWidth="1"/>
    <col min="36" max="36" width="12.625" style="2" hidden="1" customWidth="1"/>
    <col min="37" max="37" width="12.625" style="43" hidden="1" customWidth="1"/>
    <col min="38" max="38" width="12.625" style="2" hidden="1" customWidth="1"/>
    <col min="39" max="39" width="43.75" style="3" customWidth="1"/>
    <col min="40" max="66" width="50.625" hidden="1" customWidth="1"/>
    <col min="67" max="68" width="50.625" customWidth="1"/>
  </cols>
  <sheetData>
    <row r="1" spans="2:68" ht="20.100000000000001" customHeight="1" x14ac:dyDescent="0.3"/>
    <row r="2" spans="2:68" ht="20.100000000000001" customHeight="1" x14ac:dyDescent="0.3">
      <c r="E2" s="2" t="s">
        <v>395</v>
      </c>
      <c r="F2" s="2" t="s">
        <v>393</v>
      </c>
      <c r="G2" s="2" t="s">
        <v>412</v>
      </c>
      <c r="H2" s="2" t="s">
        <v>429</v>
      </c>
      <c r="I2" s="2" t="s">
        <v>446</v>
      </c>
      <c r="J2" s="2" t="s">
        <v>455</v>
      </c>
      <c r="K2" s="2" t="s">
        <v>474</v>
      </c>
      <c r="L2" s="2" t="s">
        <v>498</v>
      </c>
      <c r="M2" s="2" t="s">
        <v>513</v>
      </c>
      <c r="N2" s="2" t="s">
        <v>517</v>
      </c>
      <c r="O2" s="2" t="s">
        <v>524</v>
      </c>
      <c r="P2" s="2" t="s">
        <v>533</v>
      </c>
      <c r="Q2" s="2" t="s">
        <v>388</v>
      </c>
      <c r="R2" s="2" t="s">
        <v>391</v>
      </c>
      <c r="S2" s="2" t="s">
        <v>554</v>
      </c>
      <c r="T2" s="2" t="s">
        <v>557</v>
      </c>
      <c r="U2" s="2" t="s">
        <v>445</v>
      </c>
      <c r="V2" s="2" t="s">
        <v>572</v>
      </c>
      <c r="W2" s="2" t="s">
        <v>474</v>
      </c>
      <c r="X2" s="2" t="s">
        <v>578</v>
      </c>
      <c r="Y2" s="2" t="s">
        <v>585</v>
      </c>
      <c r="Z2" s="2" t="s">
        <v>590</v>
      </c>
      <c r="AA2" s="2" t="s">
        <v>600</v>
      </c>
      <c r="AB2" s="2" t="s">
        <v>607</v>
      </c>
      <c r="AC2" s="2" t="s">
        <v>611</v>
      </c>
      <c r="AD2" s="2" t="s">
        <v>614</v>
      </c>
      <c r="AE2" s="2" t="s">
        <v>616</v>
      </c>
      <c r="AF2" s="2" t="s">
        <v>626</v>
      </c>
      <c r="AG2" s="2" t="s">
        <v>445</v>
      </c>
      <c r="AN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 t="s">
        <v>344</v>
      </c>
    </row>
    <row r="3" spans="2:68" ht="20.100000000000001" customHeight="1" x14ac:dyDescent="0.3">
      <c r="B3" s="5" t="s">
        <v>11</v>
      </c>
      <c r="C3" s="6" t="s">
        <v>10</v>
      </c>
      <c r="D3" s="5" t="s">
        <v>9</v>
      </c>
      <c r="E3" s="5" t="s">
        <v>359</v>
      </c>
      <c r="F3" s="5" t="s">
        <v>357</v>
      </c>
      <c r="G3" s="5" t="s">
        <v>357</v>
      </c>
      <c r="H3" s="5" t="s">
        <v>357</v>
      </c>
      <c r="I3" s="5" t="s">
        <v>357</v>
      </c>
      <c r="J3" s="5" t="s">
        <v>357</v>
      </c>
      <c r="K3" s="5" t="s">
        <v>357</v>
      </c>
      <c r="L3" s="5" t="s">
        <v>357</v>
      </c>
      <c r="M3" s="5" t="s">
        <v>357</v>
      </c>
      <c r="N3" s="5" t="s">
        <v>357</v>
      </c>
      <c r="O3" s="5" t="s">
        <v>357</v>
      </c>
      <c r="P3" s="5" t="s">
        <v>8</v>
      </c>
      <c r="Q3" s="5" t="s">
        <v>530</v>
      </c>
      <c r="R3" s="5" t="s">
        <v>530</v>
      </c>
      <c r="S3" s="5" t="s">
        <v>530</v>
      </c>
      <c r="T3" s="157" t="s">
        <v>530</v>
      </c>
      <c r="U3" s="5" t="s">
        <v>8</v>
      </c>
      <c r="V3" s="5" t="s">
        <v>8</v>
      </c>
      <c r="W3" s="5" t="s">
        <v>8</v>
      </c>
      <c r="X3" s="5" t="s">
        <v>8</v>
      </c>
      <c r="Y3" s="5" t="s">
        <v>530</v>
      </c>
      <c r="Z3" s="5" t="s">
        <v>530</v>
      </c>
      <c r="AA3" s="5" t="s">
        <v>532</v>
      </c>
      <c r="AB3" s="5" t="s">
        <v>530</v>
      </c>
      <c r="AC3" s="5" t="s">
        <v>532</v>
      </c>
      <c r="AD3" s="157" t="s">
        <v>530</v>
      </c>
      <c r="AE3" s="172" t="s">
        <v>532</v>
      </c>
      <c r="AF3" s="5" t="s">
        <v>8</v>
      </c>
      <c r="AG3" s="90" t="s">
        <v>532</v>
      </c>
      <c r="AH3" s="202" t="s">
        <v>7</v>
      </c>
      <c r="AI3" s="202"/>
      <c r="AJ3" s="5" t="s">
        <v>6</v>
      </c>
      <c r="AK3" s="44" t="s">
        <v>232</v>
      </c>
      <c r="AL3" s="5" t="s">
        <v>5</v>
      </c>
      <c r="AM3" s="6" t="s">
        <v>13</v>
      </c>
      <c r="AN3" s="5" t="s">
        <v>351</v>
      </c>
      <c r="AO3" s="5" t="s">
        <v>354</v>
      </c>
      <c r="AP3" s="5" t="s">
        <v>413</v>
      </c>
      <c r="AQ3" s="5" t="s">
        <v>433</v>
      </c>
      <c r="AR3" s="5" t="s">
        <v>448</v>
      </c>
      <c r="AS3" s="5" t="s">
        <v>456</v>
      </c>
      <c r="AT3" s="5" t="s">
        <v>475</v>
      </c>
      <c r="AU3" s="5" t="s">
        <v>499</v>
      </c>
      <c r="AV3" s="5" t="s">
        <v>514</v>
      </c>
      <c r="AW3" s="5" t="s">
        <v>518</v>
      </c>
      <c r="AX3" s="5" t="s">
        <v>549</v>
      </c>
      <c r="AY3" s="5" t="s">
        <v>550</v>
      </c>
      <c r="AZ3" s="5" t="s">
        <v>548</v>
      </c>
      <c r="BA3" s="5" t="s">
        <v>352</v>
      </c>
      <c r="BB3" s="5" t="s">
        <v>565</v>
      </c>
      <c r="BC3" s="157" t="s">
        <v>564</v>
      </c>
      <c r="BD3" s="5" t="s">
        <v>448</v>
      </c>
      <c r="BE3" s="5" t="s">
        <v>571</v>
      </c>
      <c r="BF3" s="5" t="s">
        <v>475</v>
      </c>
      <c r="BG3" s="5" t="s">
        <v>579</v>
      </c>
      <c r="BH3" s="5" t="s">
        <v>586</v>
      </c>
      <c r="BI3" s="5" t="s">
        <v>591</v>
      </c>
      <c r="BJ3" s="5" t="s">
        <v>601</v>
      </c>
      <c r="BK3" s="5" t="s">
        <v>608</v>
      </c>
      <c r="BL3" s="5" t="s">
        <v>612</v>
      </c>
      <c r="BM3" s="157" t="s">
        <v>621</v>
      </c>
      <c r="BN3" s="157" t="s">
        <v>617</v>
      </c>
      <c r="BO3" s="5" t="s">
        <v>628</v>
      </c>
      <c r="BP3" s="90" t="s">
        <v>448</v>
      </c>
    </row>
    <row r="4" spans="2:68" ht="20.100000000000001" hidden="1" customHeight="1" x14ac:dyDescent="0.3">
      <c r="B4" s="191" t="s">
        <v>4</v>
      </c>
      <c r="C4" s="220" t="s">
        <v>30</v>
      </c>
      <c r="D4" s="191" t="s">
        <v>38</v>
      </c>
      <c r="E4" s="193">
        <v>27</v>
      </c>
      <c r="F4" s="222">
        <v>0</v>
      </c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72">
        <v>21</v>
      </c>
      <c r="AI4" s="12" t="s">
        <v>72</v>
      </c>
      <c r="AJ4" s="191" t="s">
        <v>39</v>
      </c>
      <c r="AK4" s="193">
        <v>506000</v>
      </c>
      <c r="AL4" s="191" t="s">
        <v>40</v>
      </c>
      <c r="AM4" s="15" t="s">
        <v>80</v>
      </c>
      <c r="AN4" s="15" t="s">
        <v>361</v>
      </c>
      <c r="AO4" s="114" t="s">
        <v>399</v>
      </c>
      <c r="AP4" s="114"/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  <c r="BJ4" s="114"/>
      <c r="BK4" s="114"/>
      <c r="BL4" s="114"/>
      <c r="BM4" s="114"/>
      <c r="BN4" s="114"/>
      <c r="BO4" s="114"/>
      <c r="BP4" s="114"/>
    </row>
    <row r="5" spans="2:68" ht="20.100000000000001" hidden="1" customHeight="1" x14ac:dyDescent="0.3">
      <c r="B5" s="199"/>
      <c r="C5" s="221"/>
      <c r="D5" s="192"/>
      <c r="E5" s="194"/>
      <c r="F5" s="223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74">
        <v>6</v>
      </c>
      <c r="AI5" s="14" t="s">
        <v>73</v>
      </c>
      <c r="AJ5" s="192"/>
      <c r="AK5" s="194"/>
      <c r="AL5" s="192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</row>
    <row r="6" spans="2:68" ht="20.100000000000001" hidden="1" customHeight="1" x14ac:dyDescent="0.3">
      <c r="B6" s="199"/>
      <c r="C6" s="219" t="s">
        <v>41</v>
      </c>
      <c r="D6" s="213" t="s">
        <v>3</v>
      </c>
      <c r="E6" s="208">
        <v>56</v>
      </c>
      <c r="F6" s="208">
        <v>14</v>
      </c>
      <c r="G6" s="177">
        <v>0</v>
      </c>
      <c r="H6" s="177">
        <v>0</v>
      </c>
      <c r="I6" s="177">
        <v>0</v>
      </c>
      <c r="J6" s="177">
        <v>0</v>
      </c>
      <c r="K6" s="177">
        <v>0</v>
      </c>
      <c r="L6" s="177">
        <v>0</v>
      </c>
      <c r="M6" s="177">
        <v>0</v>
      </c>
      <c r="N6" s="177">
        <v>0</v>
      </c>
      <c r="O6" s="177">
        <v>0</v>
      </c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  <c r="AH6" s="72">
        <v>42</v>
      </c>
      <c r="AI6" s="12" t="s">
        <v>74</v>
      </c>
      <c r="AJ6" s="213" t="s">
        <v>43</v>
      </c>
      <c r="AK6" s="193">
        <v>37600</v>
      </c>
      <c r="AL6" s="213" t="s">
        <v>42</v>
      </c>
      <c r="AM6" s="15" t="s">
        <v>81</v>
      </c>
      <c r="AN6" s="15" t="s">
        <v>300</v>
      </c>
      <c r="AO6" s="15" t="s">
        <v>385</v>
      </c>
      <c r="AP6" s="118" t="s">
        <v>414</v>
      </c>
      <c r="AQ6" s="118" t="s">
        <v>414</v>
      </c>
      <c r="AR6" s="118" t="s">
        <v>414</v>
      </c>
      <c r="AS6" s="118" t="s">
        <v>414</v>
      </c>
      <c r="AT6" s="118" t="s">
        <v>414</v>
      </c>
      <c r="AU6" s="118" t="s">
        <v>414</v>
      </c>
      <c r="AV6" s="118" t="s">
        <v>414</v>
      </c>
      <c r="AW6" s="118" t="s">
        <v>414</v>
      </c>
      <c r="AX6" s="118" t="s">
        <v>414</v>
      </c>
      <c r="AY6" s="118" t="s">
        <v>414</v>
      </c>
      <c r="AZ6" s="118" t="s">
        <v>414</v>
      </c>
      <c r="BA6" s="118" t="s">
        <v>414</v>
      </c>
      <c r="BB6" s="118" t="s">
        <v>414</v>
      </c>
      <c r="BC6" s="118" t="s">
        <v>414</v>
      </c>
      <c r="BD6" s="118" t="s">
        <v>414</v>
      </c>
      <c r="BE6" s="118" t="s">
        <v>414</v>
      </c>
      <c r="BF6" s="118" t="s">
        <v>414</v>
      </c>
      <c r="BG6" s="118" t="s">
        <v>414</v>
      </c>
      <c r="BH6" s="118" t="s">
        <v>414</v>
      </c>
      <c r="BI6" s="118" t="s">
        <v>414</v>
      </c>
      <c r="BJ6" s="118" t="s">
        <v>414</v>
      </c>
      <c r="BK6" s="118" t="s">
        <v>414</v>
      </c>
      <c r="BL6" s="118" t="s">
        <v>414</v>
      </c>
      <c r="BM6" s="118" t="s">
        <v>414</v>
      </c>
      <c r="BN6" s="118" t="s">
        <v>414</v>
      </c>
      <c r="BO6" s="118" t="s">
        <v>414</v>
      </c>
      <c r="BP6" s="118" t="s">
        <v>414</v>
      </c>
    </row>
    <row r="7" spans="2:68" ht="20.100000000000001" hidden="1" customHeight="1" x14ac:dyDescent="0.3">
      <c r="B7" s="199"/>
      <c r="C7" s="219"/>
      <c r="D7" s="213"/>
      <c r="E7" s="208"/>
      <c r="F7" s="208"/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74">
        <v>14</v>
      </c>
      <c r="AI7" s="14" t="s">
        <v>75</v>
      </c>
      <c r="AJ7" s="213"/>
      <c r="AK7" s="194"/>
      <c r="AL7" s="213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</row>
    <row r="8" spans="2:68" ht="20.100000000000001" hidden="1" customHeight="1" x14ac:dyDescent="0.3">
      <c r="B8" s="199"/>
      <c r="C8" s="219" t="s">
        <v>44</v>
      </c>
      <c r="D8" s="213" t="s">
        <v>3</v>
      </c>
      <c r="E8" s="208">
        <v>8</v>
      </c>
      <c r="F8" s="208">
        <v>8</v>
      </c>
      <c r="G8" s="208">
        <v>8</v>
      </c>
      <c r="H8" s="208">
        <v>8</v>
      </c>
      <c r="I8" s="208">
        <v>8</v>
      </c>
      <c r="J8" s="208">
        <v>8</v>
      </c>
      <c r="K8" s="208">
        <v>8</v>
      </c>
      <c r="L8" s="208">
        <v>8</v>
      </c>
      <c r="M8" s="208">
        <v>8</v>
      </c>
      <c r="N8" s="208">
        <v>8</v>
      </c>
      <c r="O8" s="208">
        <v>8</v>
      </c>
      <c r="P8" s="205">
        <v>0</v>
      </c>
      <c r="Q8" s="205">
        <v>0</v>
      </c>
      <c r="R8" s="205">
        <v>0</v>
      </c>
      <c r="S8" s="205">
        <v>0</v>
      </c>
      <c r="T8" s="205">
        <v>0</v>
      </c>
      <c r="U8" s="205">
        <v>0</v>
      </c>
      <c r="V8" s="205">
        <v>0</v>
      </c>
      <c r="W8" s="205">
        <v>0</v>
      </c>
      <c r="X8" s="205">
        <v>0</v>
      </c>
      <c r="Y8" s="205">
        <v>0</v>
      </c>
      <c r="Z8" s="205">
        <v>0</v>
      </c>
      <c r="AA8" s="205">
        <v>0</v>
      </c>
      <c r="AB8" s="205">
        <v>0</v>
      </c>
      <c r="AC8" s="205">
        <v>0</v>
      </c>
      <c r="AD8" s="205">
        <v>0</v>
      </c>
      <c r="AE8" s="205">
        <v>0</v>
      </c>
      <c r="AF8" s="205">
        <v>0</v>
      </c>
      <c r="AG8" s="205">
        <v>0</v>
      </c>
      <c r="AH8" s="72">
        <v>1</v>
      </c>
      <c r="AI8" s="12" t="s">
        <v>76</v>
      </c>
      <c r="AJ8" s="214" t="s">
        <v>45</v>
      </c>
      <c r="AK8" s="215">
        <v>123726</v>
      </c>
      <c r="AL8" s="213" t="s">
        <v>46</v>
      </c>
      <c r="AM8" s="56" t="s">
        <v>241</v>
      </c>
      <c r="AN8" s="56" t="s">
        <v>305</v>
      </c>
      <c r="AO8" s="56" t="s">
        <v>305</v>
      </c>
      <c r="AP8" s="56" t="s">
        <v>305</v>
      </c>
      <c r="AQ8" s="56" t="s">
        <v>305</v>
      </c>
      <c r="AR8" s="56" t="s">
        <v>305</v>
      </c>
      <c r="AS8" s="56" t="s">
        <v>305</v>
      </c>
      <c r="AT8" s="56" t="s">
        <v>305</v>
      </c>
      <c r="AU8" s="56" t="s">
        <v>305</v>
      </c>
      <c r="AV8" s="56" t="s">
        <v>305</v>
      </c>
      <c r="AW8" s="56" t="s">
        <v>305</v>
      </c>
      <c r="AX8" s="56" t="s">
        <v>305</v>
      </c>
      <c r="AY8" s="56" t="s">
        <v>305</v>
      </c>
      <c r="AZ8" s="56" t="s">
        <v>305</v>
      </c>
      <c r="BA8" s="56" t="s">
        <v>542</v>
      </c>
      <c r="BB8" s="56" t="s">
        <v>542</v>
      </c>
      <c r="BC8" s="56" t="s">
        <v>542</v>
      </c>
      <c r="BD8" s="56" t="s">
        <v>542</v>
      </c>
      <c r="BE8" s="56" t="s">
        <v>542</v>
      </c>
      <c r="BF8" s="56" t="s">
        <v>542</v>
      </c>
      <c r="BG8" s="56" t="s">
        <v>542</v>
      </c>
      <c r="BH8" s="56" t="s">
        <v>542</v>
      </c>
      <c r="BI8" s="56" t="s">
        <v>542</v>
      </c>
      <c r="BJ8" s="56" t="s">
        <v>542</v>
      </c>
      <c r="BK8" s="56" t="s">
        <v>542</v>
      </c>
      <c r="BL8" s="56" t="s">
        <v>542</v>
      </c>
      <c r="BM8" s="56" t="s">
        <v>542</v>
      </c>
      <c r="BN8" s="56" t="s">
        <v>542</v>
      </c>
      <c r="BO8" s="56" t="s">
        <v>542</v>
      </c>
      <c r="BP8" s="56" t="s">
        <v>542</v>
      </c>
    </row>
    <row r="9" spans="2:68" ht="20.100000000000001" hidden="1" customHeight="1" x14ac:dyDescent="0.3">
      <c r="B9" s="199"/>
      <c r="C9" s="219"/>
      <c r="D9" s="213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205"/>
      <c r="AD9" s="205"/>
      <c r="AE9" s="205"/>
      <c r="AF9" s="205"/>
      <c r="AG9" s="205"/>
      <c r="AH9" s="74">
        <v>7</v>
      </c>
      <c r="AI9" s="14" t="s">
        <v>77</v>
      </c>
      <c r="AJ9" s="214"/>
      <c r="AK9" s="216"/>
      <c r="AL9" s="213"/>
      <c r="AM9" s="57" t="s">
        <v>83</v>
      </c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</row>
    <row r="10" spans="2:68" ht="20.100000000000001" hidden="1" customHeight="1" x14ac:dyDescent="0.3">
      <c r="B10" s="199"/>
      <c r="C10" s="8" t="s">
        <v>47</v>
      </c>
      <c r="D10" s="7" t="s">
        <v>3</v>
      </c>
      <c r="E10" s="75">
        <v>1</v>
      </c>
      <c r="F10" s="75">
        <v>1</v>
      </c>
      <c r="G10" s="75">
        <v>1</v>
      </c>
      <c r="H10" s="75">
        <v>1</v>
      </c>
      <c r="I10" s="75">
        <v>1</v>
      </c>
      <c r="J10" s="75">
        <v>1</v>
      </c>
      <c r="K10" s="75">
        <v>1</v>
      </c>
      <c r="L10" s="75">
        <v>1</v>
      </c>
      <c r="M10" s="75">
        <v>1</v>
      </c>
      <c r="N10" s="75">
        <v>1</v>
      </c>
      <c r="O10" s="75">
        <v>1</v>
      </c>
      <c r="P10" s="75">
        <v>1</v>
      </c>
      <c r="Q10" s="75">
        <v>1</v>
      </c>
      <c r="R10" s="75">
        <v>1</v>
      </c>
      <c r="S10" s="75">
        <v>1</v>
      </c>
      <c r="T10" s="75">
        <v>1</v>
      </c>
      <c r="U10" s="75">
        <v>1</v>
      </c>
      <c r="V10" s="75">
        <v>1</v>
      </c>
      <c r="W10" s="75">
        <v>1</v>
      </c>
      <c r="X10" s="75">
        <v>1</v>
      </c>
      <c r="Y10" s="75">
        <v>1</v>
      </c>
      <c r="Z10" s="75">
        <v>1</v>
      </c>
      <c r="AA10" s="111">
        <v>0</v>
      </c>
      <c r="AB10" s="111">
        <v>0</v>
      </c>
      <c r="AC10" s="111">
        <v>0</v>
      </c>
      <c r="AD10" s="111">
        <v>0</v>
      </c>
      <c r="AE10" s="111">
        <v>0</v>
      </c>
      <c r="AF10" s="111">
        <v>0</v>
      </c>
      <c r="AG10" s="111">
        <v>0</v>
      </c>
      <c r="AH10" s="75">
        <v>1</v>
      </c>
      <c r="AI10" s="7" t="s">
        <v>78</v>
      </c>
      <c r="AJ10" s="7" t="s">
        <v>48</v>
      </c>
      <c r="AK10" s="45">
        <v>198000</v>
      </c>
      <c r="AL10" s="7" t="s">
        <v>49</v>
      </c>
      <c r="AM10" s="8" t="s">
        <v>82</v>
      </c>
      <c r="AN10" s="8" t="s">
        <v>82</v>
      </c>
      <c r="AO10" s="8" t="s">
        <v>306</v>
      </c>
      <c r="AP10" s="8" t="s">
        <v>306</v>
      </c>
      <c r="AQ10" s="8" t="s">
        <v>306</v>
      </c>
      <c r="AR10" s="8" t="s">
        <v>306</v>
      </c>
      <c r="AS10" s="8" t="s">
        <v>306</v>
      </c>
      <c r="AT10" s="8" t="s">
        <v>306</v>
      </c>
      <c r="AU10" s="8" t="s">
        <v>306</v>
      </c>
      <c r="AV10" s="8" t="s">
        <v>306</v>
      </c>
      <c r="AW10" s="8" t="s">
        <v>306</v>
      </c>
      <c r="AX10" s="8" t="s">
        <v>306</v>
      </c>
      <c r="AY10" s="8" t="s">
        <v>306</v>
      </c>
      <c r="AZ10" s="8" t="s">
        <v>306</v>
      </c>
      <c r="BA10" s="8" t="s">
        <v>306</v>
      </c>
      <c r="BB10" s="8" t="s">
        <v>306</v>
      </c>
      <c r="BC10" s="8" t="s">
        <v>306</v>
      </c>
      <c r="BD10" s="8" t="s">
        <v>306</v>
      </c>
      <c r="BE10" s="8" t="s">
        <v>306</v>
      </c>
      <c r="BF10" s="8" t="s">
        <v>306</v>
      </c>
      <c r="BG10" s="8" t="s">
        <v>306</v>
      </c>
      <c r="BH10" s="8" t="s">
        <v>306</v>
      </c>
      <c r="BI10" s="8" t="s">
        <v>306</v>
      </c>
      <c r="BJ10" s="8" t="s">
        <v>602</v>
      </c>
      <c r="BK10" s="8" t="s">
        <v>602</v>
      </c>
      <c r="BL10" s="8" t="s">
        <v>602</v>
      </c>
      <c r="BM10" s="8" t="s">
        <v>602</v>
      </c>
      <c r="BN10" s="8" t="s">
        <v>602</v>
      </c>
      <c r="BO10" s="8" t="s">
        <v>602</v>
      </c>
      <c r="BP10" s="8" t="s">
        <v>602</v>
      </c>
    </row>
    <row r="11" spans="2:68" ht="20.100000000000001" hidden="1" customHeight="1" x14ac:dyDescent="0.3">
      <c r="B11" s="199"/>
      <c r="C11" s="8" t="s">
        <v>50</v>
      </c>
      <c r="D11" s="7" t="s">
        <v>3</v>
      </c>
      <c r="E11" s="75">
        <v>28</v>
      </c>
      <c r="F11" s="75">
        <v>28</v>
      </c>
      <c r="G11" s="75">
        <v>25</v>
      </c>
      <c r="H11" s="75">
        <v>25</v>
      </c>
      <c r="I11" s="75">
        <v>25</v>
      </c>
      <c r="J11" s="75">
        <v>16</v>
      </c>
      <c r="K11" s="75">
        <v>15</v>
      </c>
      <c r="L11" s="75">
        <v>15</v>
      </c>
      <c r="M11" s="75">
        <v>13</v>
      </c>
      <c r="N11" s="154">
        <v>11</v>
      </c>
      <c r="O11" s="154">
        <v>11</v>
      </c>
      <c r="P11" s="154">
        <v>11</v>
      </c>
      <c r="Q11" s="154">
        <v>11</v>
      </c>
      <c r="R11" s="154">
        <v>8</v>
      </c>
      <c r="S11" s="154">
        <v>8</v>
      </c>
      <c r="T11" s="154">
        <v>6</v>
      </c>
      <c r="U11" s="94">
        <v>5</v>
      </c>
      <c r="V11" s="94">
        <v>5</v>
      </c>
      <c r="W11" s="94">
        <v>5</v>
      </c>
      <c r="X11" s="154">
        <v>3</v>
      </c>
      <c r="Y11" s="154">
        <v>3</v>
      </c>
      <c r="Z11" s="111">
        <v>0</v>
      </c>
      <c r="AA11" s="111">
        <v>0</v>
      </c>
      <c r="AB11" s="111">
        <v>0</v>
      </c>
      <c r="AC11" s="111">
        <v>0</v>
      </c>
      <c r="AD11" s="111">
        <v>0</v>
      </c>
      <c r="AE11" s="111">
        <v>0</v>
      </c>
      <c r="AF11" s="111">
        <v>0</v>
      </c>
      <c r="AG11" s="111">
        <v>0</v>
      </c>
      <c r="AH11" s="75">
        <v>28</v>
      </c>
      <c r="AI11" s="7" t="s">
        <v>79</v>
      </c>
      <c r="AJ11" s="7" t="s">
        <v>52</v>
      </c>
      <c r="AK11" s="45">
        <v>81000</v>
      </c>
      <c r="AL11" s="7" t="s">
        <v>51</v>
      </c>
      <c r="AM11" s="8"/>
      <c r="AN11" s="8" t="s">
        <v>307</v>
      </c>
      <c r="AO11" s="8" t="s">
        <v>384</v>
      </c>
      <c r="AP11" s="8" t="s">
        <v>384</v>
      </c>
      <c r="AQ11" s="8" t="s">
        <v>384</v>
      </c>
      <c r="AR11" s="8" t="s">
        <v>384</v>
      </c>
      <c r="AS11" s="8" t="s">
        <v>384</v>
      </c>
      <c r="AT11" s="144" t="s">
        <v>476</v>
      </c>
      <c r="AU11" s="144" t="s">
        <v>501</v>
      </c>
      <c r="AV11" s="144" t="s">
        <v>515</v>
      </c>
      <c r="AW11" s="144" t="s">
        <v>521</v>
      </c>
      <c r="AX11" s="144" t="s">
        <v>501</v>
      </c>
      <c r="AY11" s="144" t="s">
        <v>501</v>
      </c>
      <c r="AZ11" s="144" t="s">
        <v>501</v>
      </c>
      <c r="BA11" s="144" t="s">
        <v>501</v>
      </c>
      <c r="BB11" s="144" t="s">
        <v>543</v>
      </c>
      <c r="BC11" s="144" t="s">
        <v>543</v>
      </c>
      <c r="BD11" s="144" t="s">
        <v>501</v>
      </c>
      <c r="BE11" s="144" t="s">
        <v>543</v>
      </c>
      <c r="BF11" s="144" t="s">
        <v>501</v>
      </c>
      <c r="BG11" s="144" t="s">
        <v>583</v>
      </c>
      <c r="BH11" s="144" t="s">
        <v>543</v>
      </c>
      <c r="BI11" s="144" t="s">
        <v>427</v>
      </c>
      <c r="BJ11" s="144" t="s">
        <v>427</v>
      </c>
      <c r="BK11" s="144" t="s">
        <v>427</v>
      </c>
      <c r="BL11" s="144" t="s">
        <v>427</v>
      </c>
      <c r="BM11" s="144" t="s">
        <v>414</v>
      </c>
      <c r="BN11" s="144" t="s">
        <v>427</v>
      </c>
      <c r="BO11" s="144" t="s">
        <v>414</v>
      </c>
      <c r="BP11" s="144" t="s">
        <v>427</v>
      </c>
    </row>
    <row r="12" spans="2:68" ht="20.100000000000001" hidden="1" customHeight="1" x14ac:dyDescent="0.3">
      <c r="B12" s="199"/>
      <c r="C12" s="10" t="s">
        <v>254</v>
      </c>
      <c r="D12" s="9" t="s">
        <v>105</v>
      </c>
      <c r="E12" s="76">
        <v>1</v>
      </c>
      <c r="F12" s="113">
        <v>0</v>
      </c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76">
        <v>1</v>
      </c>
      <c r="AI12" s="9">
        <v>2021.02</v>
      </c>
      <c r="AJ12" s="9" t="s">
        <v>104</v>
      </c>
      <c r="AK12" s="46">
        <v>288000</v>
      </c>
      <c r="AL12" s="9"/>
      <c r="AM12" s="10" t="s">
        <v>299</v>
      </c>
      <c r="AN12" s="10" t="s">
        <v>401</v>
      </c>
      <c r="AO12" s="103" t="s">
        <v>381</v>
      </c>
      <c r="AP12" s="103"/>
      <c r="AQ12" s="103"/>
      <c r="AR12" s="103"/>
      <c r="AS12" s="103"/>
      <c r="AT12" s="144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3"/>
      <c r="BN12" s="103"/>
      <c r="BO12" s="103"/>
      <c r="BP12" s="103"/>
    </row>
    <row r="13" spans="2:68" ht="20.100000000000001" hidden="1" customHeight="1" x14ac:dyDescent="0.3">
      <c r="B13" s="199"/>
      <c r="C13" s="10" t="s">
        <v>106</v>
      </c>
      <c r="D13" s="9" t="s">
        <v>105</v>
      </c>
      <c r="E13" s="76">
        <v>1</v>
      </c>
      <c r="F13" s="113">
        <v>0</v>
      </c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76">
        <v>1</v>
      </c>
      <c r="AI13" s="9" t="s">
        <v>255</v>
      </c>
      <c r="AJ13" s="9" t="s">
        <v>107</v>
      </c>
      <c r="AK13" s="46">
        <v>89700</v>
      </c>
      <c r="AL13" s="9"/>
      <c r="AM13" s="10"/>
      <c r="AN13" s="10" t="s">
        <v>308</v>
      </c>
      <c r="AO13" s="104" t="s">
        <v>382</v>
      </c>
      <c r="AP13" s="104"/>
      <c r="AQ13" s="104"/>
      <c r="AR13" s="104"/>
      <c r="AS13" s="104"/>
      <c r="AT13" s="14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4"/>
      <c r="BO13" s="104"/>
      <c r="BP13" s="104"/>
    </row>
    <row r="14" spans="2:68" ht="20.100000000000001" hidden="1" customHeight="1" x14ac:dyDescent="0.3">
      <c r="B14" s="199"/>
      <c r="C14" s="10" t="s">
        <v>108</v>
      </c>
      <c r="D14" s="9" t="s">
        <v>105</v>
      </c>
      <c r="E14" s="76">
        <v>1</v>
      </c>
      <c r="F14" s="113">
        <v>0</v>
      </c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76">
        <v>1</v>
      </c>
      <c r="AI14" s="9" t="s">
        <v>256</v>
      </c>
      <c r="AJ14" s="9" t="s">
        <v>110</v>
      </c>
      <c r="AK14" s="46">
        <v>43900</v>
      </c>
      <c r="AL14" s="9" t="s">
        <v>109</v>
      </c>
      <c r="AM14" s="10" t="s">
        <v>298</v>
      </c>
      <c r="AN14" s="10" t="s">
        <v>297</v>
      </c>
      <c r="AO14" s="104" t="s">
        <v>397</v>
      </c>
      <c r="AP14" s="104"/>
      <c r="AQ14" s="104"/>
      <c r="AR14" s="104"/>
      <c r="AS14" s="104"/>
      <c r="AT14" s="14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4"/>
      <c r="BP14" s="104"/>
    </row>
    <row r="15" spans="2:68" ht="20.100000000000001" hidden="1" customHeight="1" x14ac:dyDescent="0.3">
      <c r="B15" s="199"/>
      <c r="C15" s="10" t="s">
        <v>111</v>
      </c>
      <c r="D15" s="9" t="s">
        <v>105</v>
      </c>
      <c r="E15" s="76">
        <v>2</v>
      </c>
      <c r="F15" s="113">
        <v>0</v>
      </c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76">
        <v>2</v>
      </c>
      <c r="AI15" s="9" t="s">
        <v>257</v>
      </c>
      <c r="AJ15" s="9" t="s">
        <v>112</v>
      </c>
      <c r="AK15" s="46">
        <v>54600</v>
      </c>
      <c r="AL15" s="9" t="s">
        <v>113</v>
      </c>
      <c r="AM15" s="10" t="s">
        <v>298</v>
      </c>
      <c r="AN15" s="10" t="s">
        <v>297</v>
      </c>
      <c r="AO15" s="104" t="s">
        <v>397</v>
      </c>
      <c r="AP15" s="104"/>
      <c r="AQ15" s="104"/>
      <c r="AR15" s="104"/>
      <c r="AS15" s="104"/>
      <c r="AT15" s="14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  <c r="BP15" s="104"/>
    </row>
    <row r="16" spans="2:68" ht="20.100000000000001" hidden="1" customHeight="1" x14ac:dyDescent="0.3">
      <c r="B16" s="199"/>
      <c r="C16" s="217" t="s">
        <v>259</v>
      </c>
      <c r="D16" s="209" t="s">
        <v>90</v>
      </c>
      <c r="E16" s="206">
        <v>7</v>
      </c>
      <c r="F16" s="206">
        <v>7</v>
      </c>
      <c r="G16" s="206">
        <v>7</v>
      </c>
      <c r="H16" s="206">
        <v>7</v>
      </c>
      <c r="I16" s="206">
        <v>7</v>
      </c>
      <c r="J16" s="206">
        <v>5</v>
      </c>
      <c r="K16" s="206">
        <v>1</v>
      </c>
      <c r="L16" s="206">
        <v>1</v>
      </c>
      <c r="M16" s="206">
        <v>1</v>
      </c>
      <c r="N16" s="206">
        <v>1</v>
      </c>
      <c r="O16" s="203">
        <v>0</v>
      </c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  <c r="AA16" s="203"/>
      <c r="AB16" s="203"/>
      <c r="AC16" s="203"/>
      <c r="AD16" s="203"/>
      <c r="AE16" s="203"/>
      <c r="AF16" s="203"/>
      <c r="AG16" s="203"/>
      <c r="AH16" s="77">
        <v>6</v>
      </c>
      <c r="AI16" s="65" t="s">
        <v>260</v>
      </c>
      <c r="AJ16" s="209" t="s">
        <v>261</v>
      </c>
      <c r="AK16" s="211">
        <v>531000</v>
      </c>
      <c r="AL16" s="209" t="s">
        <v>262</v>
      </c>
      <c r="AM16" s="63"/>
      <c r="AN16" s="63" t="s">
        <v>263</v>
      </c>
      <c r="AO16" s="63" t="s">
        <v>383</v>
      </c>
      <c r="AP16" s="63" t="s">
        <v>383</v>
      </c>
      <c r="AQ16" s="63" t="s">
        <v>434</v>
      </c>
      <c r="AR16" s="63" t="s">
        <v>434</v>
      </c>
      <c r="AS16" s="63" t="s">
        <v>434</v>
      </c>
      <c r="AT16" s="148" t="s">
        <v>477</v>
      </c>
      <c r="AU16" s="63" t="s">
        <v>263</v>
      </c>
      <c r="AV16" s="63" t="s">
        <v>263</v>
      </c>
      <c r="AW16" s="63" t="s">
        <v>525</v>
      </c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</row>
    <row r="17" spans="2:68" ht="20.100000000000001" hidden="1" customHeight="1" x14ac:dyDescent="0.3">
      <c r="B17" s="192"/>
      <c r="C17" s="218"/>
      <c r="D17" s="210"/>
      <c r="E17" s="207"/>
      <c r="F17" s="207"/>
      <c r="G17" s="207"/>
      <c r="H17" s="207"/>
      <c r="I17" s="207"/>
      <c r="J17" s="207"/>
      <c r="K17" s="207"/>
      <c r="L17" s="207"/>
      <c r="M17" s="207"/>
      <c r="N17" s="207"/>
      <c r="O17" s="204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4"/>
      <c r="AA17" s="204"/>
      <c r="AB17" s="204"/>
      <c r="AC17" s="204"/>
      <c r="AD17" s="204"/>
      <c r="AE17" s="204"/>
      <c r="AF17" s="204"/>
      <c r="AG17" s="204"/>
      <c r="AH17" s="78">
        <v>1</v>
      </c>
      <c r="AI17" s="66" t="s">
        <v>264</v>
      </c>
      <c r="AJ17" s="210"/>
      <c r="AK17" s="212"/>
      <c r="AL17" s="210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</row>
    <row r="18" spans="2:68" ht="20.100000000000001" hidden="1" customHeight="1" x14ac:dyDescent="0.3">
      <c r="B18" s="7" t="s">
        <v>240</v>
      </c>
      <c r="C18" s="10" t="s">
        <v>101</v>
      </c>
      <c r="D18" s="9" t="s">
        <v>90</v>
      </c>
      <c r="E18" s="76">
        <v>4</v>
      </c>
      <c r="F18" s="113">
        <v>0</v>
      </c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76">
        <v>4</v>
      </c>
      <c r="AI18" s="9" t="s">
        <v>253</v>
      </c>
      <c r="AJ18" s="9" t="s">
        <v>102</v>
      </c>
      <c r="AK18" s="46">
        <v>512000</v>
      </c>
      <c r="AL18" s="9" t="s">
        <v>103</v>
      </c>
      <c r="AM18" s="10"/>
      <c r="AN18" s="104"/>
      <c r="AO18" s="104" t="s">
        <v>398</v>
      </c>
      <c r="AP18" s="104" t="s">
        <v>398</v>
      </c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4"/>
      <c r="BF18" s="104"/>
      <c r="BG18" s="104"/>
      <c r="BH18" s="104"/>
      <c r="BI18" s="104"/>
      <c r="BJ18" s="104"/>
      <c r="BK18" s="104"/>
      <c r="BL18" s="104"/>
      <c r="BM18" s="104"/>
      <c r="BN18" s="104"/>
      <c r="BO18" s="104"/>
      <c r="BP18" s="104"/>
    </row>
    <row r="19" spans="2:68" ht="20.100000000000001" customHeight="1" x14ac:dyDescent="0.3">
      <c r="B19" s="9" t="s">
        <v>230</v>
      </c>
      <c r="C19" s="10" t="s">
        <v>190</v>
      </c>
      <c r="D19" s="9" t="s">
        <v>3</v>
      </c>
      <c r="E19" s="76">
        <v>7</v>
      </c>
      <c r="F19" s="76">
        <v>5</v>
      </c>
      <c r="G19" s="76">
        <v>5</v>
      </c>
      <c r="H19" s="76">
        <v>5</v>
      </c>
      <c r="I19" s="76">
        <v>5</v>
      </c>
      <c r="J19" s="76">
        <v>5</v>
      </c>
      <c r="K19" s="76">
        <v>5</v>
      </c>
      <c r="L19" s="76">
        <v>5</v>
      </c>
      <c r="M19" s="76">
        <v>5</v>
      </c>
      <c r="N19" s="76">
        <v>5</v>
      </c>
      <c r="O19" s="76">
        <v>5</v>
      </c>
      <c r="P19" s="76">
        <v>5</v>
      </c>
      <c r="Q19" s="76">
        <v>5</v>
      </c>
      <c r="R19" s="76">
        <v>5</v>
      </c>
      <c r="S19" s="76">
        <v>5</v>
      </c>
      <c r="T19" s="76">
        <v>5</v>
      </c>
      <c r="U19" s="76">
        <v>5</v>
      </c>
      <c r="V19" s="76">
        <v>5</v>
      </c>
      <c r="W19" s="76">
        <v>5</v>
      </c>
      <c r="X19" s="76">
        <v>5</v>
      </c>
      <c r="Y19" s="76">
        <v>5</v>
      </c>
      <c r="Z19" s="76">
        <v>5</v>
      </c>
      <c r="AA19" s="76">
        <v>5</v>
      </c>
      <c r="AB19" s="76">
        <v>5</v>
      </c>
      <c r="AC19" s="76">
        <v>5</v>
      </c>
      <c r="AD19" s="76">
        <v>5</v>
      </c>
      <c r="AE19" s="171">
        <v>5</v>
      </c>
      <c r="AF19" s="76">
        <v>5</v>
      </c>
      <c r="AG19" s="76">
        <v>5</v>
      </c>
      <c r="AH19" s="76">
        <v>7</v>
      </c>
      <c r="AI19" s="9" t="s">
        <v>258</v>
      </c>
      <c r="AJ19" s="9" t="s">
        <v>191</v>
      </c>
      <c r="AK19" s="46">
        <v>71000</v>
      </c>
      <c r="AL19" s="9"/>
      <c r="AM19" s="10"/>
      <c r="AN19" s="10" t="s">
        <v>265</v>
      </c>
      <c r="AO19" s="10" t="s">
        <v>386</v>
      </c>
      <c r="AP19" s="10" t="s">
        <v>386</v>
      </c>
      <c r="AQ19" s="10" t="s">
        <v>386</v>
      </c>
      <c r="AR19" s="10" t="s">
        <v>386</v>
      </c>
      <c r="AS19" s="10" t="s">
        <v>386</v>
      </c>
      <c r="AT19" s="10" t="s">
        <v>386</v>
      </c>
      <c r="AU19" s="10" t="s">
        <v>386</v>
      </c>
      <c r="AV19" s="10" t="s">
        <v>386</v>
      </c>
      <c r="AW19" s="10" t="s">
        <v>386</v>
      </c>
      <c r="AX19" s="10" t="s">
        <v>386</v>
      </c>
      <c r="AY19" s="10" t="s">
        <v>386</v>
      </c>
      <c r="AZ19" s="10" t="s">
        <v>386</v>
      </c>
      <c r="BA19" s="10" t="s">
        <v>386</v>
      </c>
      <c r="BB19" s="10" t="s">
        <v>386</v>
      </c>
      <c r="BC19" s="10" t="s">
        <v>386</v>
      </c>
      <c r="BD19" s="10" t="s">
        <v>386</v>
      </c>
      <c r="BE19" s="10" t="s">
        <v>386</v>
      </c>
      <c r="BF19" s="10" t="s">
        <v>386</v>
      </c>
      <c r="BG19" s="10" t="s">
        <v>386</v>
      </c>
      <c r="BH19" s="10" t="s">
        <v>386</v>
      </c>
      <c r="BI19" s="10" t="s">
        <v>386</v>
      </c>
      <c r="BJ19" s="10" t="s">
        <v>386</v>
      </c>
      <c r="BK19" s="10" t="s">
        <v>386</v>
      </c>
      <c r="BL19" s="10" t="s">
        <v>386</v>
      </c>
      <c r="BM19" s="10" t="s">
        <v>386</v>
      </c>
      <c r="BN19" s="10" t="s">
        <v>386</v>
      </c>
      <c r="BO19" s="10" t="s">
        <v>386</v>
      </c>
      <c r="BP19" s="10" t="s">
        <v>386</v>
      </c>
    </row>
    <row r="20" spans="2:68" ht="20.100000000000001" customHeight="1" x14ac:dyDescent="0.3">
      <c r="B20" s="7"/>
      <c r="C20" s="10" t="s">
        <v>619</v>
      </c>
      <c r="D20" s="9" t="s">
        <v>3</v>
      </c>
      <c r="E20" s="168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  <c r="AA20" s="169"/>
      <c r="AB20" s="169"/>
      <c r="AC20" s="169"/>
      <c r="AD20" s="170">
        <v>5</v>
      </c>
      <c r="AE20" s="171">
        <v>2</v>
      </c>
      <c r="AF20" s="171">
        <v>2</v>
      </c>
      <c r="AG20" s="171">
        <v>2</v>
      </c>
      <c r="AH20" s="76"/>
      <c r="AI20" s="9"/>
      <c r="AJ20" s="9"/>
      <c r="AK20" s="46"/>
      <c r="AL20" s="9"/>
      <c r="AM20" s="10" t="s">
        <v>620</v>
      </c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93" t="s">
        <v>622</v>
      </c>
      <c r="BO20" s="93" t="s">
        <v>630</v>
      </c>
      <c r="BP20" s="93" t="s">
        <v>630</v>
      </c>
    </row>
    <row r="21" spans="2:68" ht="20.100000000000001" customHeight="1" x14ac:dyDescent="0.3">
      <c r="B21" s="7"/>
      <c r="C21" s="10" t="s">
        <v>618</v>
      </c>
      <c r="D21" s="9" t="s">
        <v>3</v>
      </c>
      <c r="E21" s="168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  <c r="AA21" s="169"/>
      <c r="AB21" s="169"/>
      <c r="AC21" s="169"/>
      <c r="AD21" s="170">
        <v>32</v>
      </c>
      <c r="AE21" s="171">
        <v>25</v>
      </c>
      <c r="AF21" s="113">
        <v>24</v>
      </c>
      <c r="AG21" s="173">
        <v>24</v>
      </c>
      <c r="AH21" s="76"/>
      <c r="AI21" s="9"/>
      <c r="AJ21" s="9"/>
      <c r="AK21" s="46"/>
      <c r="AL21" s="9"/>
      <c r="AM21" s="10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04"/>
      <c r="BG21" s="104"/>
      <c r="BH21" s="104"/>
      <c r="BI21" s="104"/>
      <c r="BJ21" s="104"/>
      <c r="BK21" s="104"/>
      <c r="BL21" s="104"/>
      <c r="BM21" s="104"/>
      <c r="BN21" s="93" t="s">
        <v>623</v>
      </c>
      <c r="BO21" s="93" t="s">
        <v>629</v>
      </c>
      <c r="BP21" s="93" t="s">
        <v>629</v>
      </c>
    </row>
    <row r="22" spans="2:68" ht="20.100000000000001" customHeight="1" x14ac:dyDescent="0.3">
      <c r="E22" s="83">
        <f>SUM(E4:E21)</f>
        <v>143</v>
      </c>
      <c r="F22" s="83">
        <f>SUM(F4:F21)</f>
        <v>63</v>
      </c>
      <c r="G22" s="83">
        <f t="shared" ref="G22:AG22" si="0">SUM(G6:G21)</f>
        <v>46</v>
      </c>
      <c r="H22" s="83">
        <f t="shared" si="0"/>
        <v>46</v>
      </c>
      <c r="I22" s="83">
        <f t="shared" si="0"/>
        <v>46</v>
      </c>
      <c r="J22" s="83">
        <f t="shared" si="0"/>
        <v>35</v>
      </c>
      <c r="K22" s="83">
        <f t="shared" si="0"/>
        <v>30</v>
      </c>
      <c r="L22" s="83">
        <f t="shared" si="0"/>
        <v>30</v>
      </c>
      <c r="M22" s="83">
        <f t="shared" si="0"/>
        <v>28</v>
      </c>
      <c r="N22" s="83">
        <f t="shared" si="0"/>
        <v>26</v>
      </c>
      <c r="O22" s="83">
        <f t="shared" si="0"/>
        <v>25</v>
      </c>
      <c r="P22" s="83">
        <f t="shared" si="0"/>
        <v>17</v>
      </c>
      <c r="Q22" s="83">
        <f t="shared" si="0"/>
        <v>17</v>
      </c>
      <c r="R22" s="83">
        <f t="shared" si="0"/>
        <v>14</v>
      </c>
      <c r="S22" s="83">
        <f t="shared" si="0"/>
        <v>14</v>
      </c>
      <c r="T22" s="83">
        <f t="shared" si="0"/>
        <v>12</v>
      </c>
      <c r="U22" s="83">
        <f t="shared" si="0"/>
        <v>11</v>
      </c>
      <c r="V22" s="83">
        <f t="shared" si="0"/>
        <v>11</v>
      </c>
      <c r="W22" s="83">
        <f t="shared" si="0"/>
        <v>11</v>
      </c>
      <c r="X22" s="83">
        <f t="shared" si="0"/>
        <v>9</v>
      </c>
      <c r="Y22" s="83">
        <f t="shared" si="0"/>
        <v>9</v>
      </c>
      <c r="Z22" s="83">
        <f t="shared" si="0"/>
        <v>6</v>
      </c>
      <c r="AA22" s="83">
        <f t="shared" si="0"/>
        <v>5</v>
      </c>
      <c r="AB22" s="83">
        <f t="shared" si="0"/>
        <v>5</v>
      </c>
      <c r="AC22" s="83">
        <f t="shared" si="0"/>
        <v>5</v>
      </c>
      <c r="AD22" s="83">
        <f t="shared" si="0"/>
        <v>42</v>
      </c>
      <c r="AE22" s="83">
        <f t="shared" si="0"/>
        <v>32</v>
      </c>
      <c r="AF22" s="83">
        <f t="shared" ref="AF22" si="1">SUM(AF6:AF21)</f>
        <v>31</v>
      </c>
      <c r="AG22" s="83">
        <f t="shared" si="0"/>
        <v>31</v>
      </c>
      <c r="AH22" s="83">
        <f>SUM(AH4:AH21)</f>
        <v>143</v>
      </c>
      <c r="AI22" s="83">
        <f>SUM(AI4:AI21)</f>
        <v>2021.02</v>
      </c>
      <c r="AJ22" s="83">
        <f>SUM(AJ4:AJ21)</f>
        <v>0</v>
      </c>
      <c r="AK22" s="83">
        <f>SUM(AK4:AK21)</f>
        <v>2536526</v>
      </c>
      <c r="AL22" s="83">
        <f>SUM(AL4:AL21)</f>
        <v>0</v>
      </c>
      <c r="AM22" s="8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</row>
    <row r="23" spans="2:68" ht="20.100000000000001" customHeight="1" x14ac:dyDescent="0.3"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</row>
    <row r="24" spans="2:68" ht="20.100000000000001" customHeight="1" x14ac:dyDescent="0.3"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</row>
    <row r="25" spans="2:68" ht="20.100000000000001" customHeight="1" x14ac:dyDescent="0.3"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</row>
    <row r="26" spans="2:68" ht="20.100000000000001" customHeight="1" x14ac:dyDescent="0.3"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</row>
    <row r="27" spans="2:68" ht="20.100000000000001" customHeight="1" x14ac:dyDescent="0.3"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</row>
    <row r="28" spans="2:68" ht="20.100000000000001" customHeight="1" x14ac:dyDescent="0.3"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</row>
    <row r="29" spans="2:68" ht="20.100000000000001" customHeight="1" x14ac:dyDescent="0.3"/>
    <row r="30" spans="2:68" ht="20.100000000000001" customHeight="1" x14ac:dyDescent="0.3"/>
    <row r="31" spans="2:68" ht="20.100000000000001" customHeight="1" x14ac:dyDescent="0.3"/>
    <row r="32" spans="2:68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</sheetData>
  <mergeCells count="111">
    <mergeCell ref="AH3:AI3"/>
    <mergeCell ref="C8:C9"/>
    <mergeCell ref="C6:C7"/>
    <mergeCell ref="C4:C5"/>
    <mergeCell ref="E8:E9"/>
    <mergeCell ref="E6:E7"/>
    <mergeCell ref="E4:E5"/>
    <mergeCell ref="F4:F5"/>
    <mergeCell ref="F6:F7"/>
    <mergeCell ref="F8:F9"/>
    <mergeCell ref="H6:H7"/>
    <mergeCell ref="H8:H9"/>
    <mergeCell ref="G6:G7"/>
    <mergeCell ref="U6:U7"/>
    <mergeCell ref="Q6:Q7"/>
    <mergeCell ref="M6:M7"/>
    <mergeCell ref="I6:I7"/>
    <mergeCell ref="I8:I9"/>
    <mergeCell ref="M8:M9"/>
    <mergeCell ref="T6:T7"/>
    <mergeCell ref="T8:T9"/>
    <mergeCell ref="X6:X7"/>
    <mergeCell ref="X8:X9"/>
    <mergeCell ref="B4:B17"/>
    <mergeCell ref="C16:C17"/>
    <mergeCell ref="D8:D9"/>
    <mergeCell ref="D6:D7"/>
    <mergeCell ref="D4:D5"/>
    <mergeCell ref="E16:E17"/>
    <mergeCell ref="D16:D17"/>
    <mergeCell ref="F16:F17"/>
    <mergeCell ref="G16:G17"/>
    <mergeCell ref="G8:G9"/>
    <mergeCell ref="I16:I17"/>
    <mergeCell ref="H16:H17"/>
    <mergeCell ref="AL4:AL5"/>
    <mergeCell ref="AK4:AK5"/>
    <mergeCell ref="AL16:AL17"/>
    <mergeCell ref="AK16:AK17"/>
    <mergeCell ref="AG6:AG7"/>
    <mergeCell ref="AG8:AG9"/>
    <mergeCell ref="AG16:AG17"/>
    <mergeCell ref="AJ4:AJ5"/>
    <mergeCell ref="AJ16:AJ17"/>
    <mergeCell ref="AL8:AL9"/>
    <mergeCell ref="AL6:AL7"/>
    <mergeCell ref="AJ8:AJ9"/>
    <mergeCell ref="AJ6:AJ7"/>
    <mergeCell ref="AK8:AK9"/>
    <mergeCell ref="AK6:AK7"/>
    <mergeCell ref="Q8:Q9"/>
    <mergeCell ref="J16:J17"/>
    <mergeCell ref="K6:K7"/>
    <mergeCell ref="K8:K9"/>
    <mergeCell ref="K16:K17"/>
    <mergeCell ref="L6:L7"/>
    <mergeCell ref="L8:L9"/>
    <mergeCell ref="R6:R7"/>
    <mergeCell ref="R8:R9"/>
    <mergeCell ref="R16:R17"/>
    <mergeCell ref="S6:S7"/>
    <mergeCell ref="S8:S9"/>
    <mergeCell ref="S16:S17"/>
    <mergeCell ref="U8:U9"/>
    <mergeCell ref="L16:L17"/>
    <mergeCell ref="J6:J7"/>
    <mergeCell ref="J8:J9"/>
    <mergeCell ref="O6:O7"/>
    <mergeCell ref="Q16:Q17"/>
    <mergeCell ref="M16:M17"/>
    <mergeCell ref="P6:P7"/>
    <mergeCell ref="P8:P9"/>
    <mergeCell ref="P16:P17"/>
    <mergeCell ref="N6:N7"/>
    <mergeCell ref="N8:N9"/>
    <mergeCell ref="N16:N17"/>
    <mergeCell ref="O16:O17"/>
    <mergeCell ref="O8:O9"/>
    <mergeCell ref="AB8:AB9"/>
    <mergeCell ref="AB16:AB17"/>
    <mergeCell ref="AA6:AA7"/>
    <mergeCell ref="AA8:AA9"/>
    <mergeCell ref="AA16:AA17"/>
    <mergeCell ref="AD6:AD7"/>
    <mergeCell ref="AD8:AD9"/>
    <mergeCell ref="T16:T17"/>
    <mergeCell ref="U16:U17"/>
    <mergeCell ref="AD16:AD17"/>
    <mergeCell ref="AC6:AC7"/>
    <mergeCell ref="AC8:AC9"/>
    <mergeCell ref="AC16:AC17"/>
    <mergeCell ref="AF6:AF7"/>
    <mergeCell ref="AF8:AF9"/>
    <mergeCell ref="AF16:AF17"/>
    <mergeCell ref="X16:X17"/>
    <mergeCell ref="V6:V7"/>
    <mergeCell ref="V8:V9"/>
    <mergeCell ref="V16:V17"/>
    <mergeCell ref="W6:W7"/>
    <mergeCell ref="W8:W9"/>
    <mergeCell ref="W16:W17"/>
    <mergeCell ref="AE6:AE7"/>
    <mergeCell ref="AE8:AE9"/>
    <mergeCell ref="AE16:AE17"/>
    <mergeCell ref="Z6:Z7"/>
    <mergeCell ref="Z8:Z9"/>
    <mergeCell ref="Z16:Z17"/>
    <mergeCell ref="Y6:Y7"/>
    <mergeCell ref="Y8:Y9"/>
    <mergeCell ref="Y16:Y17"/>
    <mergeCell ref="AB6:AB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59"/>
  <sheetViews>
    <sheetView zoomScale="90" zoomScaleNormal="90" workbookViewId="0">
      <pane xSplit="13" ySplit="3" topLeftCell="N4" activePane="bottomRight" state="frozen"/>
      <selection activeCell="P25" sqref="P25"/>
      <selection pane="topRight" activeCell="P25" sqref="P25"/>
      <selection pane="bottomLeft" activeCell="P25" sqref="P25"/>
      <selection pane="bottomRight" activeCell="P25" sqref="P25"/>
    </sheetView>
  </sheetViews>
  <sheetFormatPr defaultRowHeight="16.5" x14ac:dyDescent="0.3"/>
  <cols>
    <col min="1" max="1" width="1.875" style="1" customWidth="1"/>
    <col min="2" max="2" width="5.625" style="2" customWidth="1"/>
    <col min="3" max="3" width="40.625" style="3" customWidth="1"/>
    <col min="4" max="4" width="5.625" style="2" customWidth="1"/>
    <col min="5" max="7" width="5.625" style="1" customWidth="1"/>
    <col min="8" max="8" width="5.625" style="1" hidden="1" customWidth="1"/>
    <col min="9" max="9" width="12.625" style="1" hidden="1" customWidth="1"/>
    <col min="10" max="10" width="12.625" style="2" hidden="1" customWidth="1"/>
    <col min="11" max="11" width="12.625" style="43" hidden="1" customWidth="1"/>
    <col min="12" max="12" width="12.625" style="2" hidden="1" customWidth="1"/>
    <col min="13" max="13" width="43.75" style="3" customWidth="1"/>
    <col min="14" max="14" width="50.625" hidden="1" customWidth="1"/>
    <col min="15" max="16" width="50.625" customWidth="1"/>
  </cols>
  <sheetData>
    <row r="1" spans="1:16" ht="20.100000000000001" customHeight="1" x14ac:dyDescent="0.3"/>
    <row r="2" spans="1:16" ht="20.100000000000001" customHeight="1" x14ac:dyDescent="0.3">
      <c r="E2" s="2" t="s">
        <v>389</v>
      </c>
      <c r="F2" s="2" t="s">
        <v>391</v>
      </c>
      <c r="G2" s="2" t="s">
        <v>411</v>
      </c>
      <c r="N2" s="4"/>
      <c r="P2" s="4" t="s">
        <v>345</v>
      </c>
    </row>
    <row r="3" spans="1:16" ht="20.100000000000001" customHeight="1" x14ac:dyDescent="0.3">
      <c r="B3" s="5" t="s">
        <v>11</v>
      </c>
      <c r="C3" s="6" t="s">
        <v>10</v>
      </c>
      <c r="D3" s="5" t="s">
        <v>9</v>
      </c>
      <c r="E3" s="5" t="s">
        <v>359</v>
      </c>
      <c r="F3" s="5" t="s">
        <v>357</v>
      </c>
      <c r="G3" s="90" t="s">
        <v>8</v>
      </c>
      <c r="H3" s="202" t="s">
        <v>7</v>
      </c>
      <c r="I3" s="202"/>
      <c r="J3" s="5" t="s">
        <v>6</v>
      </c>
      <c r="K3" s="44" t="s">
        <v>232</v>
      </c>
      <c r="L3" s="5" t="s">
        <v>5</v>
      </c>
      <c r="M3" s="6" t="s">
        <v>13</v>
      </c>
      <c r="N3" s="5" t="s">
        <v>351</v>
      </c>
      <c r="O3" s="5" t="s">
        <v>354</v>
      </c>
      <c r="P3" s="90" t="s">
        <v>413</v>
      </c>
    </row>
    <row r="4" spans="1:16" ht="20.100000000000001" customHeight="1" x14ac:dyDescent="0.3">
      <c r="B4" s="213" t="s">
        <v>4</v>
      </c>
      <c r="C4" s="195" t="s">
        <v>84</v>
      </c>
      <c r="D4" s="191" t="s">
        <v>85</v>
      </c>
      <c r="E4" s="193">
        <v>6</v>
      </c>
      <c r="F4" s="222">
        <v>0</v>
      </c>
      <c r="G4" s="115"/>
      <c r="H4" s="79">
        <v>3</v>
      </c>
      <c r="I4" s="12" t="s">
        <v>122</v>
      </c>
      <c r="J4" s="191" t="s">
        <v>86</v>
      </c>
      <c r="K4" s="193">
        <v>81000</v>
      </c>
      <c r="L4" s="191" t="s">
        <v>87</v>
      </c>
      <c r="M4" s="15"/>
      <c r="N4" s="15" t="s">
        <v>362</v>
      </c>
      <c r="O4" s="109" t="s">
        <v>378</v>
      </c>
      <c r="P4" s="109"/>
    </row>
    <row r="5" spans="1:16" ht="20.100000000000001" customHeight="1" x14ac:dyDescent="0.3">
      <c r="B5" s="213"/>
      <c r="C5" s="196"/>
      <c r="D5" s="192"/>
      <c r="E5" s="194"/>
      <c r="F5" s="223"/>
      <c r="G5" s="116"/>
      <c r="H5" s="80">
        <v>3</v>
      </c>
      <c r="I5" s="14" t="s">
        <v>123</v>
      </c>
      <c r="J5" s="192"/>
      <c r="K5" s="194"/>
      <c r="L5" s="192"/>
      <c r="M5" s="16"/>
      <c r="N5" s="105"/>
      <c r="O5" s="110"/>
      <c r="P5" s="110"/>
    </row>
    <row r="6" spans="1:16" s="86" customFormat="1" ht="20.100000000000001" customHeight="1" x14ac:dyDescent="0.3">
      <c r="A6" s="85"/>
      <c r="B6" s="213"/>
      <c r="C6" s="224" t="s">
        <v>89</v>
      </c>
      <c r="D6" s="225" t="s">
        <v>90</v>
      </c>
      <c r="E6" s="215">
        <v>4</v>
      </c>
      <c r="F6" s="222">
        <v>0</v>
      </c>
      <c r="G6" s="115"/>
      <c r="H6" s="96">
        <v>2</v>
      </c>
      <c r="I6" s="88" t="s">
        <v>118</v>
      </c>
      <c r="J6" s="225" t="s">
        <v>245</v>
      </c>
      <c r="K6" s="215">
        <v>305000</v>
      </c>
      <c r="L6" s="225" t="s">
        <v>91</v>
      </c>
      <c r="M6" s="97" t="s">
        <v>325</v>
      </c>
      <c r="N6" s="101"/>
      <c r="O6" s="97" t="s">
        <v>377</v>
      </c>
      <c r="P6" s="97"/>
    </row>
    <row r="7" spans="1:16" s="86" customFormat="1" ht="20.100000000000001" customHeight="1" x14ac:dyDescent="0.3">
      <c r="A7" s="85"/>
      <c r="B7" s="213"/>
      <c r="C7" s="201"/>
      <c r="D7" s="226"/>
      <c r="E7" s="216"/>
      <c r="F7" s="223"/>
      <c r="G7" s="116"/>
      <c r="H7" s="98">
        <v>2</v>
      </c>
      <c r="I7" s="89" t="s">
        <v>119</v>
      </c>
      <c r="J7" s="226"/>
      <c r="K7" s="216"/>
      <c r="L7" s="226"/>
      <c r="M7" s="99"/>
      <c r="N7" s="99"/>
      <c r="O7" s="99"/>
      <c r="P7" s="99"/>
    </row>
    <row r="8" spans="1:16" ht="20.100000000000001" customHeight="1" x14ac:dyDescent="0.3">
      <c r="B8" s="213"/>
      <c r="C8" s="195" t="s">
        <v>92</v>
      </c>
      <c r="D8" s="191" t="s">
        <v>90</v>
      </c>
      <c r="E8" s="193">
        <v>3</v>
      </c>
      <c r="F8" s="222">
        <v>0</v>
      </c>
      <c r="G8" s="115"/>
      <c r="H8" s="79">
        <v>2</v>
      </c>
      <c r="I8" s="12" t="s">
        <v>120</v>
      </c>
      <c r="J8" s="191" t="s">
        <v>93</v>
      </c>
      <c r="K8" s="193">
        <v>371000</v>
      </c>
      <c r="L8" s="191" t="s">
        <v>94</v>
      </c>
      <c r="M8" s="56"/>
      <c r="N8" s="56" t="s">
        <v>324</v>
      </c>
      <c r="O8" s="97" t="s">
        <v>380</v>
      </c>
      <c r="P8" s="97"/>
    </row>
    <row r="9" spans="1:16" ht="20.100000000000001" customHeight="1" x14ac:dyDescent="0.3">
      <c r="B9" s="213"/>
      <c r="C9" s="196"/>
      <c r="D9" s="192"/>
      <c r="E9" s="194"/>
      <c r="F9" s="223"/>
      <c r="G9" s="116"/>
      <c r="H9" s="80">
        <v>1</v>
      </c>
      <c r="I9" s="14" t="s">
        <v>121</v>
      </c>
      <c r="J9" s="192"/>
      <c r="K9" s="194"/>
      <c r="L9" s="192"/>
      <c r="M9" s="57"/>
      <c r="N9" s="105"/>
      <c r="O9" s="99"/>
      <c r="P9" s="99"/>
    </row>
    <row r="10" spans="1:16" ht="20.100000000000001" customHeight="1" x14ac:dyDescent="0.3">
      <c r="B10" s="213"/>
      <c r="C10" s="8" t="s">
        <v>95</v>
      </c>
      <c r="D10" s="7" t="s">
        <v>88</v>
      </c>
      <c r="E10" s="81">
        <v>1</v>
      </c>
      <c r="F10" s="112">
        <v>0</v>
      </c>
      <c r="G10" s="112"/>
      <c r="H10" s="82">
        <v>1</v>
      </c>
      <c r="I10" s="7" t="s">
        <v>124</v>
      </c>
      <c r="J10" s="7" t="s">
        <v>242</v>
      </c>
      <c r="K10" s="45">
        <v>180000</v>
      </c>
      <c r="L10" s="7" t="s">
        <v>96</v>
      </c>
      <c r="M10" s="8" t="s">
        <v>326</v>
      </c>
      <c r="N10" s="103"/>
      <c r="O10" s="37" t="s">
        <v>400</v>
      </c>
      <c r="P10" s="37"/>
    </row>
    <row r="11" spans="1:16" ht="20.100000000000001" customHeight="1" x14ac:dyDescent="0.3">
      <c r="E11" s="83">
        <f>SUM(E4:E10)</f>
        <v>14</v>
      </c>
      <c r="F11" s="83">
        <f>SUM(F4:F10)</f>
        <v>0</v>
      </c>
      <c r="G11" s="83"/>
      <c r="N11" s="3"/>
      <c r="O11" s="3"/>
      <c r="P11" s="3"/>
    </row>
    <row r="12" spans="1:16" ht="20.100000000000001" customHeight="1" x14ac:dyDescent="0.3">
      <c r="N12" s="3"/>
      <c r="O12" s="3"/>
      <c r="P12" s="3"/>
    </row>
    <row r="13" spans="1:16" ht="20.100000000000001" customHeight="1" x14ac:dyDescent="0.3">
      <c r="N13" s="3"/>
      <c r="O13" s="3"/>
      <c r="P13" s="3"/>
    </row>
    <row r="14" spans="1:16" ht="20.100000000000001" customHeight="1" x14ac:dyDescent="0.3">
      <c r="N14" s="3"/>
      <c r="O14" s="3"/>
      <c r="P14" s="3"/>
    </row>
    <row r="15" spans="1:16" ht="20.100000000000001" customHeight="1" x14ac:dyDescent="0.3">
      <c r="N15" s="3"/>
      <c r="O15" s="3"/>
      <c r="P15" s="3"/>
    </row>
    <row r="16" spans="1:16" ht="20.100000000000001" customHeight="1" x14ac:dyDescent="0.3">
      <c r="N16" s="3"/>
      <c r="O16" s="3"/>
      <c r="P16" s="3"/>
    </row>
    <row r="17" spans="14:16" ht="20.100000000000001" customHeight="1" x14ac:dyDescent="0.3">
      <c r="N17" s="3"/>
      <c r="O17" s="3"/>
      <c r="P17" s="3"/>
    </row>
    <row r="18" spans="14:16" ht="20.100000000000001" customHeight="1" x14ac:dyDescent="0.3">
      <c r="N18" s="3"/>
      <c r="O18" s="3"/>
      <c r="P18" s="3"/>
    </row>
    <row r="19" spans="14:16" ht="20.100000000000001" customHeight="1" x14ac:dyDescent="0.3">
      <c r="N19" s="3"/>
      <c r="O19" s="3"/>
      <c r="P19" s="3"/>
    </row>
    <row r="20" spans="14:16" ht="20.100000000000001" customHeight="1" x14ac:dyDescent="0.3">
      <c r="N20" s="3"/>
      <c r="O20" s="3"/>
      <c r="P20" s="3"/>
    </row>
    <row r="21" spans="14:16" ht="20.100000000000001" customHeight="1" x14ac:dyDescent="0.3">
      <c r="N21" s="3"/>
      <c r="O21" s="3"/>
      <c r="P21" s="3"/>
    </row>
    <row r="22" spans="14:16" ht="20.100000000000001" customHeight="1" x14ac:dyDescent="0.3">
      <c r="N22" s="3"/>
      <c r="O22" s="3"/>
      <c r="P22" s="3"/>
    </row>
    <row r="23" spans="14:16" ht="20.100000000000001" customHeight="1" x14ac:dyDescent="0.3">
      <c r="N23" s="3"/>
      <c r="O23" s="3"/>
      <c r="P23" s="3"/>
    </row>
    <row r="24" spans="14:16" ht="20.100000000000001" customHeight="1" x14ac:dyDescent="0.3">
      <c r="N24" s="3"/>
      <c r="O24" s="3"/>
      <c r="P24" s="3"/>
    </row>
    <row r="25" spans="14:16" ht="20.100000000000001" customHeight="1" x14ac:dyDescent="0.3">
      <c r="N25" s="3"/>
      <c r="O25" s="3"/>
      <c r="P25" s="3"/>
    </row>
    <row r="26" spans="14:16" ht="20.100000000000001" customHeight="1" x14ac:dyDescent="0.3">
      <c r="N26" s="3"/>
      <c r="O26" s="3"/>
      <c r="P26" s="3"/>
    </row>
    <row r="27" spans="14:16" ht="20.100000000000001" customHeight="1" x14ac:dyDescent="0.3"/>
    <row r="28" spans="14:16" ht="20.100000000000001" customHeight="1" x14ac:dyDescent="0.3"/>
    <row r="29" spans="14:16" ht="20.100000000000001" customHeight="1" x14ac:dyDescent="0.3"/>
    <row r="30" spans="14:16" ht="20.100000000000001" customHeight="1" x14ac:dyDescent="0.3"/>
    <row r="31" spans="14:16" ht="20.100000000000001" customHeight="1" x14ac:dyDescent="0.3"/>
    <row r="32" spans="14:16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</sheetData>
  <mergeCells count="23">
    <mergeCell ref="J4:J5"/>
    <mergeCell ref="K4:K5"/>
    <mergeCell ref="K8:K9"/>
    <mergeCell ref="K6:K7"/>
    <mergeCell ref="L8:L9"/>
    <mergeCell ref="L6:L7"/>
    <mergeCell ref="L4:L5"/>
    <mergeCell ref="J8:J9"/>
    <mergeCell ref="J6:J7"/>
    <mergeCell ref="H3:I3"/>
    <mergeCell ref="B4:B10"/>
    <mergeCell ref="C6:C7"/>
    <mergeCell ref="C8:C9"/>
    <mergeCell ref="C4:C5"/>
    <mergeCell ref="E8:E9"/>
    <mergeCell ref="D8:D9"/>
    <mergeCell ref="E6:E7"/>
    <mergeCell ref="D6:D7"/>
    <mergeCell ref="E4:E5"/>
    <mergeCell ref="D4:D5"/>
    <mergeCell ref="F4:F5"/>
    <mergeCell ref="F6:F7"/>
    <mergeCell ref="F8:F9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BO175"/>
  <sheetViews>
    <sheetView zoomScale="90" zoomScaleNormal="90" zoomScaleSheetLayoutView="75" workbookViewId="0">
      <pane xSplit="39" ySplit="3" topLeftCell="BO4" activePane="bottomRight" state="frozen"/>
      <selection activeCell="BB16" sqref="BB16"/>
      <selection pane="topRight" activeCell="BB16" sqref="BB16"/>
      <selection pane="bottomLeft" activeCell="BB16" sqref="BB16"/>
      <selection pane="bottomRight" activeCell="AL20" sqref="AL20:AL22"/>
    </sheetView>
  </sheetViews>
  <sheetFormatPr defaultColWidth="9" defaultRowHeight="16.5" x14ac:dyDescent="0.3"/>
  <cols>
    <col min="1" max="1" width="1.875" style="22" customWidth="1"/>
    <col min="2" max="2" width="5.625" style="18" customWidth="1"/>
    <col min="3" max="3" width="40.625" style="21" customWidth="1"/>
    <col min="4" max="4" width="5.625" style="18" customWidth="1"/>
    <col min="5" max="6" width="5.625" style="19" customWidth="1"/>
    <col min="7" max="7" width="5.625" style="19" hidden="1" customWidth="1"/>
    <col min="8" max="12" width="5.625" style="19" customWidth="1"/>
    <col min="13" max="15" width="5.625" style="19" hidden="1" customWidth="1"/>
    <col min="16" max="16" width="5.625" style="19" customWidth="1"/>
    <col min="17" max="32" width="5.625" style="19" hidden="1" customWidth="1"/>
    <col min="33" max="34" width="5.625" style="19" customWidth="1"/>
    <col min="35" max="35" width="12.625" style="20" customWidth="1"/>
    <col min="36" max="36" width="12.625" style="19" customWidth="1"/>
    <col min="37" max="37" width="12.625" style="50" customWidth="1"/>
    <col min="38" max="38" width="12.625" style="18" customWidth="1"/>
    <col min="39" max="39" width="43.75" style="21" customWidth="1"/>
    <col min="40" max="65" width="50.625" style="22" hidden="1" customWidth="1"/>
    <col min="66" max="67" width="50.625" style="22" customWidth="1"/>
    <col min="68" max="16384" width="9" style="22"/>
  </cols>
  <sheetData>
    <row r="1" spans="2:67" ht="20.100000000000001" customHeight="1" x14ac:dyDescent="0.3">
      <c r="C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</row>
    <row r="2" spans="2:67" ht="20.100000000000001" customHeight="1" x14ac:dyDescent="0.3">
      <c r="E2" s="18" t="s">
        <v>388</v>
      </c>
      <c r="F2" s="18" t="s">
        <v>391</v>
      </c>
      <c r="G2" s="18" t="s">
        <v>410</v>
      </c>
      <c r="H2" s="18" t="s">
        <v>428</v>
      </c>
      <c r="I2" s="18" t="s">
        <v>445</v>
      </c>
      <c r="J2" s="18" t="s">
        <v>455</v>
      </c>
      <c r="K2" s="18" t="s">
        <v>474</v>
      </c>
      <c r="L2" s="18" t="s">
        <v>498</v>
      </c>
      <c r="M2" s="18" t="s">
        <v>513</v>
      </c>
      <c r="N2" s="18" t="s">
        <v>517</v>
      </c>
      <c r="O2" s="18" t="s">
        <v>524</v>
      </c>
      <c r="P2" s="2" t="s">
        <v>533</v>
      </c>
      <c r="Q2" s="2" t="s">
        <v>388</v>
      </c>
      <c r="R2" s="2" t="s">
        <v>391</v>
      </c>
      <c r="S2" s="2" t="s">
        <v>561</v>
      </c>
      <c r="T2" s="2" t="s">
        <v>557</v>
      </c>
      <c r="U2" s="2" t="s">
        <v>445</v>
      </c>
      <c r="V2" s="2" t="s">
        <v>573</v>
      </c>
      <c r="W2" s="2" t="s">
        <v>584</v>
      </c>
      <c r="X2" s="2" t="s">
        <v>578</v>
      </c>
      <c r="Y2" s="2" t="s">
        <v>585</v>
      </c>
      <c r="Z2" s="2" t="s">
        <v>597</v>
      </c>
      <c r="AA2" s="2" t="s">
        <v>590</v>
      </c>
      <c r="AB2" s="2" t="s">
        <v>607</v>
      </c>
      <c r="AC2" s="2" t="s">
        <v>611</v>
      </c>
      <c r="AD2" s="2" t="s">
        <v>614</v>
      </c>
      <c r="AE2" s="2" t="s">
        <v>616</v>
      </c>
      <c r="AF2" s="2" t="s">
        <v>631</v>
      </c>
      <c r="AG2" s="2" t="s">
        <v>634</v>
      </c>
      <c r="AN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 t="s">
        <v>346</v>
      </c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 t="s">
        <v>346</v>
      </c>
    </row>
    <row r="3" spans="2:67" ht="20.100000000000001" customHeight="1" x14ac:dyDescent="0.3">
      <c r="B3" s="28" t="s">
        <v>125</v>
      </c>
      <c r="C3" s="29" t="s">
        <v>126</v>
      </c>
      <c r="D3" s="28" t="s">
        <v>127</v>
      </c>
      <c r="E3" s="28" t="s">
        <v>357</v>
      </c>
      <c r="F3" s="28" t="s">
        <v>357</v>
      </c>
      <c r="G3" s="28" t="s">
        <v>357</v>
      </c>
      <c r="H3" s="28" t="s">
        <v>357</v>
      </c>
      <c r="I3" s="28" t="s">
        <v>357</v>
      </c>
      <c r="J3" s="28" t="s">
        <v>357</v>
      </c>
      <c r="K3" s="28" t="s">
        <v>357</v>
      </c>
      <c r="L3" s="28" t="s">
        <v>516</v>
      </c>
      <c r="M3" s="28" t="s">
        <v>522</v>
      </c>
      <c r="N3" s="28" t="s">
        <v>526</v>
      </c>
      <c r="O3" s="28" t="s">
        <v>357</v>
      </c>
      <c r="P3" s="28" t="s">
        <v>8</v>
      </c>
      <c r="Q3" s="28" t="s">
        <v>530</v>
      </c>
      <c r="R3" s="28" t="s">
        <v>530</v>
      </c>
      <c r="S3" s="28" t="s">
        <v>530</v>
      </c>
      <c r="T3" s="161" t="s">
        <v>530</v>
      </c>
      <c r="U3" s="28" t="s">
        <v>8</v>
      </c>
      <c r="V3" s="28" t="s">
        <v>8</v>
      </c>
      <c r="W3" s="28" t="s">
        <v>8</v>
      </c>
      <c r="X3" s="28" t="s">
        <v>8</v>
      </c>
      <c r="Y3" s="28" t="s">
        <v>530</v>
      </c>
      <c r="Z3" s="28" t="s">
        <v>530</v>
      </c>
      <c r="AA3" s="28" t="s">
        <v>530</v>
      </c>
      <c r="AB3" s="28" t="s">
        <v>530</v>
      </c>
      <c r="AC3" s="28" t="s">
        <v>530</v>
      </c>
      <c r="AD3" s="161" t="s">
        <v>530</v>
      </c>
      <c r="AE3" s="161" t="s">
        <v>530</v>
      </c>
      <c r="AF3" s="28" t="s">
        <v>8</v>
      </c>
      <c r="AG3" s="107" t="s">
        <v>530</v>
      </c>
      <c r="AH3" s="244" t="s">
        <v>128</v>
      </c>
      <c r="AI3" s="244"/>
      <c r="AJ3" s="28" t="s">
        <v>129</v>
      </c>
      <c r="AK3" s="51" t="s">
        <v>232</v>
      </c>
      <c r="AL3" s="28" t="s">
        <v>130</v>
      </c>
      <c r="AM3" s="29" t="s">
        <v>131</v>
      </c>
      <c r="AN3" s="108" t="s">
        <v>350</v>
      </c>
      <c r="AO3" s="108" t="s">
        <v>352</v>
      </c>
      <c r="AP3" s="108" t="s">
        <v>413</v>
      </c>
      <c r="AQ3" s="108" t="s">
        <v>431</v>
      </c>
      <c r="AR3" s="108" t="s">
        <v>448</v>
      </c>
      <c r="AS3" s="108" t="s">
        <v>456</v>
      </c>
      <c r="AT3" s="108" t="s">
        <v>475</v>
      </c>
      <c r="AU3" s="108" t="s">
        <v>499</v>
      </c>
      <c r="AV3" s="108" t="s">
        <v>514</v>
      </c>
      <c r="AW3" s="108" t="s">
        <v>518</v>
      </c>
      <c r="AX3" s="108" t="s">
        <v>534</v>
      </c>
      <c r="AY3" s="108" t="s">
        <v>350</v>
      </c>
      <c r="AZ3" s="108" t="s">
        <v>352</v>
      </c>
      <c r="BA3" s="108" t="s">
        <v>556</v>
      </c>
      <c r="BB3" s="162" t="s">
        <v>562</v>
      </c>
      <c r="BC3" s="108" t="s">
        <v>448</v>
      </c>
      <c r="BD3" s="108" t="s">
        <v>456</v>
      </c>
      <c r="BE3" s="108" t="s">
        <v>475</v>
      </c>
      <c r="BF3" s="108" t="s">
        <v>579</v>
      </c>
      <c r="BG3" s="108" t="s">
        <v>587</v>
      </c>
      <c r="BH3" s="108" t="s">
        <v>591</v>
      </c>
      <c r="BI3" s="108" t="s">
        <v>601</v>
      </c>
      <c r="BJ3" s="108" t="s">
        <v>608</v>
      </c>
      <c r="BK3" s="108" t="s">
        <v>612</v>
      </c>
      <c r="BL3" s="162" t="s">
        <v>615</v>
      </c>
      <c r="BM3" s="162" t="s">
        <v>617</v>
      </c>
      <c r="BN3" s="108" t="s">
        <v>628</v>
      </c>
      <c r="BO3" s="100" t="s">
        <v>635</v>
      </c>
    </row>
    <row r="4" spans="2:67" ht="20.100000000000001" customHeight="1" x14ac:dyDescent="0.3">
      <c r="B4" s="245" t="s">
        <v>132</v>
      </c>
      <c r="C4" s="246" t="s">
        <v>182</v>
      </c>
      <c r="D4" s="240" t="s">
        <v>69</v>
      </c>
      <c r="E4" s="227">
        <v>13</v>
      </c>
      <c r="F4" s="227">
        <v>13</v>
      </c>
      <c r="G4" s="227">
        <v>13</v>
      </c>
      <c r="H4" s="227">
        <v>8</v>
      </c>
      <c r="I4" s="227">
        <v>1</v>
      </c>
      <c r="J4" s="227">
        <v>1</v>
      </c>
      <c r="K4" s="227">
        <v>1</v>
      </c>
      <c r="L4" s="227">
        <v>1</v>
      </c>
      <c r="M4" s="227">
        <v>1</v>
      </c>
      <c r="N4" s="227">
        <v>1</v>
      </c>
      <c r="O4" s="227">
        <v>1</v>
      </c>
      <c r="P4" s="227">
        <v>1</v>
      </c>
      <c r="Q4" s="227">
        <v>1</v>
      </c>
      <c r="R4" s="227">
        <v>1</v>
      </c>
      <c r="S4" s="227">
        <v>1</v>
      </c>
      <c r="T4" s="227">
        <v>1</v>
      </c>
      <c r="U4" s="227">
        <v>1</v>
      </c>
      <c r="V4" s="227">
        <v>1</v>
      </c>
      <c r="W4" s="227">
        <v>1</v>
      </c>
      <c r="X4" s="227">
        <v>1</v>
      </c>
      <c r="Y4" s="227">
        <v>1</v>
      </c>
      <c r="Z4" s="227">
        <v>1</v>
      </c>
      <c r="AA4" s="227">
        <v>1</v>
      </c>
      <c r="AB4" s="227">
        <v>1</v>
      </c>
      <c r="AC4" s="227">
        <v>1</v>
      </c>
      <c r="AD4" s="227">
        <v>1</v>
      </c>
      <c r="AE4" s="227">
        <v>1</v>
      </c>
      <c r="AF4" s="227">
        <v>1</v>
      </c>
      <c r="AG4" s="227">
        <v>1</v>
      </c>
      <c r="AH4" s="134">
        <v>10</v>
      </c>
      <c r="AI4" s="136" t="s">
        <v>133</v>
      </c>
      <c r="AJ4" s="240" t="s">
        <v>134</v>
      </c>
      <c r="AK4" s="227">
        <v>165000</v>
      </c>
      <c r="AL4" s="240" t="s">
        <v>135</v>
      </c>
      <c r="AM4" s="58" t="s">
        <v>604</v>
      </c>
      <c r="AN4" s="58" t="s">
        <v>363</v>
      </c>
      <c r="AO4" s="58" t="s">
        <v>363</v>
      </c>
      <c r="AP4" s="58" t="s">
        <v>363</v>
      </c>
      <c r="AQ4" s="58" t="s">
        <v>363</v>
      </c>
      <c r="AR4" s="58" t="s">
        <v>363</v>
      </c>
      <c r="AS4" s="58" t="s">
        <v>363</v>
      </c>
      <c r="AT4" s="58" t="s">
        <v>363</v>
      </c>
      <c r="AU4" s="58" t="s">
        <v>363</v>
      </c>
      <c r="AV4" s="58" t="s">
        <v>363</v>
      </c>
      <c r="AW4" s="58" t="s">
        <v>363</v>
      </c>
      <c r="AX4" s="58" t="s">
        <v>363</v>
      </c>
      <c r="AY4" s="58" t="s">
        <v>363</v>
      </c>
      <c r="AZ4" s="58" t="s">
        <v>363</v>
      </c>
      <c r="BA4" s="58" t="s">
        <v>363</v>
      </c>
      <c r="BB4" s="58" t="s">
        <v>363</v>
      </c>
      <c r="BC4" s="58" t="s">
        <v>363</v>
      </c>
      <c r="BD4" s="58" t="s">
        <v>363</v>
      </c>
      <c r="BE4" s="58" t="s">
        <v>363</v>
      </c>
      <c r="BF4" s="58" t="s">
        <v>363</v>
      </c>
      <c r="BG4" s="58" t="s">
        <v>363</v>
      </c>
      <c r="BH4" s="58" t="s">
        <v>363</v>
      </c>
      <c r="BI4" s="58" t="s">
        <v>363</v>
      </c>
      <c r="BJ4" s="58" t="s">
        <v>363</v>
      </c>
      <c r="BK4" s="58" t="s">
        <v>363</v>
      </c>
      <c r="BL4" s="58" t="s">
        <v>363</v>
      </c>
      <c r="BM4" s="58" t="s">
        <v>363</v>
      </c>
      <c r="BN4" s="58" t="s">
        <v>363</v>
      </c>
      <c r="BO4" s="58" t="s">
        <v>363</v>
      </c>
    </row>
    <row r="5" spans="2:67" ht="20.100000000000001" customHeight="1" x14ac:dyDescent="0.3">
      <c r="B5" s="242"/>
      <c r="C5" s="247"/>
      <c r="D5" s="241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139">
        <v>3</v>
      </c>
      <c r="AI5" s="31" t="s">
        <v>136</v>
      </c>
      <c r="AJ5" s="241"/>
      <c r="AK5" s="251"/>
      <c r="AL5" s="241"/>
      <c r="AM5" s="32"/>
      <c r="AN5" s="32"/>
      <c r="AO5" s="32"/>
      <c r="AP5" s="32"/>
      <c r="AQ5" s="32" t="s">
        <v>435</v>
      </c>
      <c r="AR5" s="122" t="s">
        <v>454</v>
      </c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6"/>
      <c r="BF5" s="126"/>
      <c r="BG5" s="126"/>
      <c r="BH5" s="126"/>
      <c r="BI5" s="126"/>
      <c r="BJ5" s="126"/>
      <c r="BK5" s="126"/>
      <c r="BL5" s="126"/>
      <c r="BM5" s="126"/>
      <c r="BN5" s="126"/>
      <c r="BO5" s="126"/>
    </row>
    <row r="6" spans="2:67" ht="20.100000000000001" customHeight="1" x14ac:dyDescent="0.3">
      <c r="B6" s="245"/>
      <c r="C6" s="33" t="s">
        <v>137</v>
      </c>
      <c r="D6" s="34" t="s">
        <v>138</v>
      </c>
      <c r="E6" s="67">
        <v>8</v>
      </c>
      <c r="F6" s="67">
        <v>8</v>
      </c>
      <c r="G6" s="67">
        <v>8</v>
      </c>
      <c r="H6" s="67">
        <v>8</v>
      </c>
      <c r="I6" s="67">
        <v>8</v>
      </c>
      <c r="J6" s="67">
        <v>8</v>
      </c>
      <c r="K6" s="67">
        <v>8</v>
      </c>
      <c r="L6" s="67">
        <v>8</v>
      </c>
      <c r="M6" s="67">
        <v>8</v>
      </c>
      <c r="N6" s="67">
        <v>8</v>
      </c>
      <c r="O6" s="67">
        <v>8</v>
      </c>
      <c r="P6" s="67">
        <v>8</v>
      </c>
      <c r="Q6" s="67">
        <v>8</v>
      </c>
      <c r="R6" s="67">
        <v>8</v>
      </c>
      <c r="S6" s="67">
        <v>8</v>
      </c>
      <c r="T6" s="67">
        <v>8</v>
      </c>
      <c r="U6" s="67">
        <v>8</v>
      </c>
      <c r="V6" s="67">
        <v>8</v>
      </c>
      <c r="W6" s="67">
        <v>8</v>
      </c>
      <c r="X6" s="67">
        <v>8</v>
      </c>
      <c r="Y6" s="67">
        <v>8</v>
      </c>
      <c r="Z6" s="67">
        <v>8</v>
      </c>
      <c r="AA6" s="67">
        <v>8</v>
      </c>
      <c r="AB6" s="67">
        <v>8</v>
      </c>
      <c r="AC6" s="67">
        <v>8</v>
      </c>
      <c r="AD6" s="67">
        <v>8</v>
      </c>
      <c r="AE6" s="67">
        <v>8</v>
      </c>
      <c r="AF6" s="67">
        <v>8</v>
      </c>
      <c r="AG6" s="67">
        <v>8</v>
      </c>
      <c r="AH6" s="67">
        <v>8</v>
      </c>
      <c r="AI6" s="34" t="s">
        <v>139</v>
      </c>
      <c r="AJ6" s="34" t="s">
        <v>140</v>
      </c>
      <c r="AK6" s="52">
        <f>74300/24</f>
        <v>3095.8333333333335</v>
      </c>
      <c r="AL6" s="34" t="s">
        <v>141</v>
      </c>
      <c r="AM6" s="30" t="s">
        <v>142</v>
      </c>
      <c r="AN6" s="30" t="s">
        <v>337</v>
      </c>
      <c r="AO6" s="30" t="s">
        <v>337</v>
      </c>
      <c r="AP6" s="30" t="s">
        <v>337</v>
      </c>
      <c r="AQ6" s="30"/>
      <c r="AR6" s="30"/>
      <c r="AS6" s="127"/>
      <c r="AT6" s="127"/>
      <c r="AU6" s="127" t="s">
        <v>503</v>
      </c>
      <c r="AV6" s="127" t="s">
        <v>503</v>
      </c>
      <c r="AW6" s="127" t="s">
        <v>503</v>
      </c>
      <c r="AX6" s="127" t="s">
        <v>503</v>
      </c>
      <c r="AY6" s="127" t="s">
        <v>503</v>
      </c>
      <c r="AZ6" s="127" t="s">
        <v>503</v>
      </c>
      <c r="BA6" s="127" t="s">
        <v>503</v>
      </c>
      <c r="BB6" s="127" t="s">
        <v>503</v>
      </c>
      <c r="BC6" s="127" t="s">
        <v>503</v>
      </c>
      <c r="BD6" s="127" t="s">
        <v>503</v>
      </c>
      <c r="BE6" s="127" t="s">
        <v>503</v>
      </c>
      <c r="BF6" s="127" t="s">
        <v>503</v>
      </c>
      <c r="BG6" s="127" t="s">
        <v>503</v>
      </c>
      <c r="BH6" s="127" t="s">
        <v>503</v>
      </c>
      <c r="BI6" s="127" t="s">
        <v>503</v>
      </c>
      <c r="BJ6" s="127" t="s">
        <v>503</v>
      </c>
      <c r="BK6" s="127" t="s">
        <v>503</v>
      </c>
      <c r="BL6" s="127" t="s">
        <v>503</v>
      </c>
      <c r="BM6" s="127" t="s">
        <v>503</v>
      </c>
      <c r="BN6" s="127" t="s">
        <v>503</v>
      </c>
      <c r="BO6" s="127" t="s">
        <v>503</v>
      </c>
    </row>
    <row r="7" spans="2:67" ht="20.100000000000001" hidden="1" customHeight="1" x14ac:dyDescent="0.3">
      <c r="B7" s="237" t="s">
        <v>143</v>
      </c>
      <c r="C7" s="235" t="s">
        <v>144</v>
      </c>
      <c r="D7" s="237" t="s">
        <v>145</v>
      </c>
      <c r="E7" s="232">
        <v>5</v>
      </c>
      <c r="F7" s="232">
        <v>2</v>
      </c>
      <c r="G7" s="232">
        <v>2</v>
      </c>
      <c r="H7" s="232">
        <v>2</v>
      </c>
      <c r="I7" s="232">
        <v>2</v>
      </c>
      <c r="J7" s="229">
        <v>0</v>
      </c>
      <c r="K7" s="229">
        <v>0</v>
      </c>
      <c r="L7" s="229">
        <v>0</v>
      </c>
      <c r="M7" s="229">
        <v>0</v>
      </c>
      <c r="N7" s="229">
        <v>0</v>
      </c>
      <c r="O7" s="229">
        <v>0</v>
      </c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  <c r="AC7" s="229"/>
      <c r="AD7" s="229"/>
      <c r="AE7" s="229"/>
      <c r="AF7" s="229"/>
      <c r="AG7" s="229"/>
      <c r="AH7" s="68">
        <v>2</v>
      </c>
      <c r="AI7" s="27" t="s">
        <v>146</v>
      </c>
      <c r="AJ7" s="237" t="s">
        <v>147</v>
      </c>
      <c r="AK7" s="248">
        <v>1303000</v>
      </c>
      <c r="AL7" s="237" t="s">
        <v>148</v>
      </c>
      <c r="AM7" s="59"/>
      <c r="AN7" s="59" t="s">
        <v>338</v>
      </c>
      <c r="AO7" s="59" t="s">
        <v>338</v>
      </c>
      <c r="AP7" s="59" t="s">
        <v>338</v>
      </c>
      <c r="AQ7" s="59" t="s">
        <v>338</v>
      </c>
      <c r="AR7" s="59" t="s">
        <v>338</v>
      </c>
      <c r="AS7" s="131" t="s">
        <v>457</v>
      </c>
      <c r="AT7" s="131" t="s">
        <v>457</v>
      </c>
      <c r="AU7" s="131" t="s">
        <v>457</v>
      </c>
      <c r="AV7" s="131" t="s">
        <v>457</v>
      </c>
      <c r="AW7" s="131" t="s">
        <v>457</v>
      </c>
      <c r="AX7" s="131" t="s">
        <v>457</v>
      </c>
      <c r="AY7" s="131" t="s">
        <v>457</v>
      </c>
      <c r="AZ7" s="131" t="s">
        <v>457</v>
      </c>
      <c r="BA7" s="131" t="s">
        <v>457</v>
      </c>
      <c r="BB7" s="131" t="s">
        <v>457</v>
      </c>
      <c r="BC7" s="131" t="s">
        <v>457</v>
      </c>
      <c r="BD7" s="131" t="s">
        <v>457</v>
      </c>
      <c r="BE7" s="131" t="s">
        <v>457</v>
      </c>
      <c r="BF7" s="131" t="s">
        <v>457</v>
      </c>
      <c r="BG7" s="131" t="s">
        <v>457</v>
      </c>
      <c r="BH7" s="131" t="s">
        <v>457</v>
      </c>
      <c r="BI7" s="131" t="s">
        <v>457</v>
      </c>
      <c r="BJ7" s="131" t="s">
        <v>457</v>
      </c>
      <c r="BK7" s="131" t="s">
        <v>457</v>
      </c>
      <c r="BL7" s="131" t="s">
        <v>457</v>
      </c>
      <c r="BM7" s="131" t="s">
        <v>457</v>
      </c>
      <c r="BN7" s="131" t="s">
        <v>457</v>
      </c>
      <c r="BO7" s="131" t="s">
        <v>457</v>
      </c>
    </row>
    <row r="8" spans="2:67" ht="20.100000000000001" hidden="1" customHeight="1" x14ac:dyDescent="0.3">
      <c r="B8" s="238"/>
      <c r="C8" s="236"/>
      <c r="D8" s="238"/>
      <c r="E8" s="234"/>
      <c r="F8" s="234"/>
      <c r="G8" s="234"/>
      <c r="H8" s="234"/>
      <c r="I8" s="234"/>
      <c r="J8" s="230"/>
      <c r="K8" s="230"/>
      <c r="L8" s="230"/>
      <c r="M8" s="230"/>
      <c r="N8" s="230"/>
      <c r="O8" s="230"/>
      <c r="P8" s="230"/>
      <c r="Q8" s="230"/>
      <c r="R8" s="230"/>
      <c r="S8" s="230"/>
      <c r="T8" s="230"/>
      <c r="U8" s="230"/>
      <c r="V8" s="230"/>
      <c r="W8" s="230"/>
      <c r="X8" s="230"/>
      <c r="Y8" s="230"/>
      <c r="Z8" s="230"/>
      <c r="AA8" s="230"/>
      <c r="AB8" s="230"/>
      <c r="AC8" s="230"/>
      <c r="AD8" s="230"/>
      <c r="AE8" s="230"/>
      <c r="AF8" s="230"/>
      <c r="AG8" s="230"/>
      <c r="AH8" s="69">
        <v>3</v>
      </c>
      <c r="AI8" s="24" t="s">
        <v>149</v>
      </c>
      <c r="AJ8" s="238"/>
      <c r="AK8" s="249"/>
      <c r="AL8" s="238"/>
      <c r="AM8" s="60"/>
      <c r="AN8" s="102"/>
      <c r="AO8" s="102" t="s">
        <v>387</v>
      </c>
      <c r="AP8" s="102" t="s">
        <v>423</v>
      </c>
      <c r="AQ8" s="102" t="s">
        <v>452</v>
      </c>
      <c r="AR8" s="102"/>
      <c r="AS8" s="128"/>
      <c r="AT8" s="128"/>
      <c r="AU8" s="128"/>
      <c r="AV8" s="128"/>
      <c r="AW8" s="128"/>
      <c r="AX8" s="128"/>
      <c r="AY8" s="128"/>
      <c r="AZ8" s="128"/>
      <c r="BA8" s="128"/>
      <c r="BB8" s="128"/>
      <c r="BC8" s="128"/>
      <c r="BD8" s="128"/>
      <c r="BE8" s="128"/>
      <c r="BF8" s="128"/>
      <c r="BG8" s="128"/>
      <c r="BH8" s="128"/>
      <c r="BI8" s="128"/>
      <c r="BJ8" s="128"/>
      <c r="BK8" s="128"/>
      <c r="BL8" s="128"/>
      <c r="BM8" s="128"/>
      <c r="BN8" s="128"/>
      <c r="BO8" s="128"/>
    </row>
    <row r="9" spans="2:67" ht="20.100000000000001" hidden="1" customHeight="1" x14ac:dyDescent="0.3">
      <c r="B9" s="240" t="s">
        <v>150</v>
      </c>
      <c r="C9" s="138" t="s">
        <v>183</v>
      </c>
      <c r="D9" s="27" t="s">
        <v>151</v>
      </c>
      <c r="E9" s="133">
        <v>2</v>
      </c>
      <c r="F9" s="133">
        <v>2</v>
      </c>
      <c r="G9" s="133">
        <v>2</v>
      </c>
      <c r="H9" s="133">
        <v>2</v>
      </c>
      <c r="I9" s="133">
        <v>2</v>
      </c>
      <c r="J9" s="133">
        <v>2</v>
      </c>
      <c r="K9" s="133">
        <v>2</v>
      </c>
      <c r="L9" s="133">
        <v>2</v>
      </c>
      <c r="M9" s="133">
        <v>2</v>
      </c>
      <c r="N9" s="133">
        <v>2</v>
      </c>
      <c r="O9" s="133">
        <v>2</v>
      </c>
      <c r="P9" s="140">
        <v>0</v>
      </c>
      <c r="Q9" s="140">
        <v>0</v>
      </c>
      <c r="R9" s="140">
        <v>0</v>
      </c>
      <c r="S9" s="140">
        <v>0</v>
      </c>
      <c r="T9" s="140">
        <v>0</v>
      </c>
      <c r="U9" s="140">
        <v>0</v>
      </c>
      <c r="V9" s="140">
        <v>0</v>
      </c>
      <c r="W9" s="140">
        <v>0</v>
      </c>
      <c r="X9" s="140">
        <v>0</v>
      </c>
      <c r="Y9" s="140">
        <v>0</v>
      </c>
      <c r="Z9" s="140">
        <v>0</v>
      </c>
      <c r="AA9" s="140">
        <v>0</v>
      </c>
      <c r="AB9" s="140">
        <v>0</v>
      </c>
      <c r="AC9" s="140">
        <v>0</v>
      </c>
      <c r="AD9" s="140">
        <v>0</v>
      </c>
      <c r="AE9" s="140">
        <v>0</v>
      </c>
      <c r="AF9" s="140">
        <v>0</v>
      </c>
      <c r="AG9" s="140">
        <v>0</v>
      </c>
      <c r="AH9" s="70">
        <v>2</v>
      </c>
      <c r="AI9" s="26" t="s">
        <v>152</v>
      </c>
      <c r="AJ9" s="26" t="s">
        <v>243</v>
      </c>
      <c r="AK9" s="53">
        <v>43500</v>
      </c>
      <c r="AL9" s="26"/>
      <c r="AM9" s="25" t="s">
        <v>249</v>
      </c>
      <c r="AN9" s="25" t="s">
        <v>339</v>
      </c>
      <c r="AO9" s="25" t="s">
        <v>339</v>
      </c>
      <c r="AP9" s="25" t="s">
        <v>339</v>
      </c>
      <c r="AQ9" s="25" t="s">
        <v>436</v>
      </c>
      <c r="AR9" s="25" t="s">
        <v>436</v>
      </c>
      <c r="AS9" s="25" t="s">
        <v>436</v>
      </c>
      <c r="AT9" s="25" t="s">
        <v>478</v>
      </c>
      <c r="AU9" s="25" t="s">
        <v>504</v>
      </c>
      <c r="AV9" s="25" t="s">
        <v>504</v>
      </c>
      <c r="AW9" s="25" t="s">
        <v>504</v>
      </c>
      <c r="AX9" s="25" t="s">
        <v>504</v>
      </c>
      <c r="AY9" s="25" t="s">
        <v>544</v>
      </c>
      <c r="AZ9" s="25" t="s">
        <v>544</v>
      </c>
      <c r="BA9" s="25" t="s">
        <v>544</v>
      </c>
      <c r="BB9" s="25" t="s">
        <v>544</v>
      </c>
      <c r="BC9" s="25" t="s">
        <v>544</v>
      </c>
      <c r="BD9" s="25" t="s">
        <v>544</v>
      </c>
      <c r="BE9" s="25" t="s">
        <v>544</v>
      </c>
      <c r="BF9" s="25" t="s">
        <v>544</v>
      </c>
      <c r="BG9" s="25" t="s">
        <v>544</v>
      </c>
      <c r="BH9" s="25" t="s">
        <v>544</v>
      </c>
      <c r="BI9" s="25" t="s">
        <v>544</v>
      </c>
      <c r="BJ9" s="25" t="s">
        <v>544</v>
      </c>
      <c r="BK9" s="25" t="s">
        <v>544</v>
      </c>
      <c r="BL9" s="25" t="s">
        <v>544</v>
      </c>
      <c r="BM9" s="25" t="s">
        <v>544</v>
      </c>
      <c r="BN9" s="25" t="s">
        <v>544</v>
      </c>
      <c r="BO9" s="25" t="s">
        <v>544</v>
      </c>
    </row>
    <row r="10" spans="2:67" ht="20.100000000000001" hidden="1" customHeight="1" x14ac:dyDescent="0.3">
      <c r="B10" s="241"/>
      <c r="C10" s="138" t="s">
        <v>184</v>
      </c>
      <c r="D10" s="27" t="s">
        <v>69</v>
      </c>
      <c r="E10" s="133">
        <v>7</v>
      </c>
      <c r="F10" s="133">
        <v>6</v>
      </c>
      <c r="G10" s="133">
        <v>6</v>
      </c>
      <c r="H10" s="133">
        <v>1</v>
      </c>
      <c r="I10" s="133">
        <v>1</v>
      </c>
      <c r="J10" s="133">
        <v>1</v>
      </c>
      <c r="K10" s="140">
        <v>0</v>
      </c>
      <c r="L10" s="140">
        <v>0</v>
      </c>
      <c r="M10" s="140">
        <v>0</v>
      </c>
      <c r="N10" s="140">
        <v>0</v>
      </c>
      <c r="O10" s="140">
        <v>0</v>
      </c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70">
        <v>7</v>
      </c>
      <c r="AI10" s="26" t="s">
        <v>153</v>
      </c>
      <c r="AJ10" s="26" t="s">
        <v>154</v>
      </c>
      <c r="AK10" s="53">
        <v>60000</v>
      </c>
      <c r="AL10" s="26" t="s">
        <v>155</v>
      </c>
      <c r="AM10" s="25"/>
      <c r="AN10" s="25" t="s">
        <v>340</v>
      </c>
      <c r="AO10" s="25" t="s">
        <v>340</v>
      </c>
      <c r="AP10" s="25" t="s">
        <v>340</v>
      </c>
      <c r="AQ10" s="25" t="s">
        <v>340</v>
      </c>
      <c r="AR10" s="25" t="s">
        <v>340</v>
      </c>
      <c r="AS10" s="25" t="s">
        <v>340</v>
      </c>
      <c r="AT10" s="142" t="s">
        <v>484</v>
      </c>
      <c r="AU10" s="142" t="s">
        <v>484</v>
      </c>
      <c r="AV10" s="142" t="s">
        <v>484</v>
      </c>
      <c r="AW10" s="142" t="s">
        <v>484</v>
      </c>
      <c r="AX10" s="142" t="s">
        <v>484</v>
      </c>
      <c r="AY10" s="142" t="s">
        <v>484</v>
      </c>
      <c r="AZ10" s="142" t="s">
        <v>484</v>
      </c>
      <c r="BA10" s="142" t="s">
        <v>484</v>
      </c>
      <c r="BB10" s="142" t="s">
        <v>484</v>
      </c>
      <c r="BC10" s="142" t="s">
        <v>484</v>
      </c>
      <c r="BD10" s="142" t="s">
        <v>484</v>
      </c>
      <c r="BE10" s="142" t="s">
        <v>484</v>
      </c>
      <c r="BF10" s="142" t="s">
        <v>484</v>
      </c>
      <c r="BG10" s="142" t="s">
        <v>484</v>
      </c>
      <c r="BH10" s="142" t="s">
        <v>484</v>
      </c>
      <c r="BI10" s="142" t="s">
        <v>484</v>
      </c>
      <c r="BJ10" s="142" t="s">
        <v>484</v>
      </c>
      <c r="BK10" s="142" t="s">
        <v>484</v>
      </c>
      <c r="BL10" s="142" t="s">
        <v>484</v>
      </c>
      <c r="BM10" s="142" t="s">
        <v>484</v>
      </c>
      <c r="BN10" s="142" t="s">
        <v>484</v>
      </c>
      <c r="BO10" s="142" t="s">
        <v>484</v>
      </c>
    </row>
    <row r="11" spans="2:67" ht="20.100000000000001" hidden="1" customHeight="1" x14ac:dyDescent="0.3">
      <c r="B11" s="241"/>
      <c r="C11" s="138" t="s">
        <v>156</v>
      </c>
      <c r="D11" s="27" t="s">
        <v>69</v>
      </c>
      <c r="E11" s="71">
        <v>3</v>
      </c>
      <c r="F11" s="71">
        <v>3</v>
      </c>
      <c r="G11" s="71">
        <v>3</v>
      </c>
      <c r="H11" s="71">
        <v>3</v>
      </c>
      <c r="I11" s="71">
        <v>3</v>
      </c>
      <c r="J11" s="71">
        <v>3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70">
        <v>3</v>
      </c>
      <c r="AI11" s="26" t="s">
        <v>157</v>
      </c>
      <c r="AJ11" s="27" t="s">
        <v>158</v>
      </c>
      <c r="AK11" s="54">
        <v>45000</v>
      </c>
      <c r="AL11" s="27" t="s">
        <v>159</v>
      </c>
      <c r="AM11" s="25"/>
      <c r="AN11" s="25" t="s">
        <v>341</v>
      </c>
      <c r="AO11" s="25" t="s">
        <v>341</v>
      </c>
      <c r="AP11" s="25" t="s">
        <v>341</v>
      </c>
      <c r="AQ11" s="25" t="s">
        <v>341</v>
      </c>
      <c r="AR11" s="25" t="s">
        <v>341</v>
      </c>
      <c r="AS11" s="25" t="s">
        <v>341</v>
      </c>
      <c r="AT11" s="142" t="s">
        <v>483</v>
      </c>
      <c r="AU11" s="142" t="s">
        <v>483</v>
      </c>
      <c r="AV11" s="142" t="s">
        <v>483</v>
      </c>
      <c r="AW11" s="142" t="s">
        <v>483</v>
      </c>
      <c r="AX11" s="142" t="s">
        <v>483</v>
      </c>
      <c r="AY11" s="142" t="s">
        <v>483</v>
      </c>
      <c r="AZ11" s="142" t="s">
        <v>483</v>
      </c>
      <c r="BA11" s="142" t="s">
        <v>483</v>
      </c>
      <c r="BB11" s="142" t="s">
        <v>483</v>
      </c>
      <c r="BC11" s="142" t="s">
        <v>483</v>
      </c>
      <c r="BD11" s="142" t="s">
        <v>483</v>
      </c>
      <c r="BE11" s="142" t="s">
        <v>483</v>
      </c>
      <c r="BF11" s="142" t="s">
        <v>483</v>
      </c>
      <c r="BG11" s="142" t="s">
        <v>483</v>
      </c>
      <c r="BH11" s="142" t="s">
        <v>483</v>
      </c>
      <c r="BI11" s="142" t="s">
        <v>483</v>
      </c>
      <c r="BJ11" s="142" t="s">
        <v>483</v>
      </c>
      <c r="BK11" s="142" t="s">
        <v>483</v>
      </c>
      <c r="BL11" s="142" t="s">
        <v>483</v>
      </c>
      <c r="BM11" s="142" t="s">
        <v>483</v>
      </c>
      <c r="BN11" s="142" t="s">
        <v>483</v>
      </c>
      <c r="BO11" s="142" t="s">
        <v>483</v>
      </c>
    </row>
    <row r="12" spans="2:67" ht="20.100000000000001" hidden="1" customHeight="1" x14ac:dyDescent="0.3">
      <c r="B12" s="241"/>
      <c r="C12" s="235" t="s">
        <v>185</v>
      </c>
      <c r="D12" s="237" t="s">
        <v>69</v>
      </c>
      <c r="E12" s="232">
        <v>3</v>
      </c>
      <c r="F12" s="232">
        <v>3</v>
      </c>
      <c r="G12" s="232">
        <v>3</v>
      </c>
      <c r="H12" s="232">
        <v>3</v>
      </c>
      <c r="I12" s="232">
        <v>3</v>
      </c>
      <c r="J12" s="232">
        <v>3</v>
      </c>
      <c r="K12" s="229">
        <v>0</v>
      </c>
      <c r="L12" s="229">
        <v>0</v>
      </c>
      <c r="M12" s="229">
        <v>0</v>
      </c>
      <c r="N12" s="229">
        <v>0</v>
      </c>
      <c r="O12" s="229">
        <v>0</v>
      </c>
      <c r="P12" s="229"/>
      <c r="Q12" s="229"/>
      <c r="R12" s="229"/>
      <c r="S12" s="229"/>
      <c r="T12" s="229"/>
      <c r="U12" s="229"/>
      <c r="V12" s="229"/>
      <c r="W12" s="229"/>
      <c r="X12" s="229"/>
      <c r="Y12" s="229"/>
      <c r="Z12" s="229"/>
      <c r="AA12" s="229"/>
      <c r="AB12" s="229"/>
      <c r="AC12" s="229"/>
      <c r="AD12" s="229"/>
      <c r="AE12" s="229"/>
      <c r="AF12" s="229"/>
      <c r="AG12" s="229"/>
      <c r="AH12" s="71">
        <v>1</v>
      </c>
      <c r="AI12" s="27" t="s">
        <v>160</v>
      </c>
      <c r="AJ12" s="237" t="s">
        <v>161</v>
      </c>
      <c r="AK12" s="248">
        <v>60000</v>
      </c>
      <c r="AL12" s="237" t="s">
        <v>162</v>
      </c>
      <c r="AM12" s="59"/>
      <c r="AN12" s="59" t="s">
        <v>341</v>
      </c>
      <c r="AO12" s="59" t="s">
        <v>341</v>
      </c>
      <c r="AP12" s="59" t="s">
        <v>341</v>
      </c>
      <c r="AQ12" s="59" t="s">
        <v>341</v>
      </c>
      <c r="AR12" s="59" t="s">
        <v>341</v>
      </c>
      <c r="AS12" s="59" t="s">
        <v>341</v>
      </c>
      <c r="AT12" s="131" t="s">
        <v>485</v>
      </c>
      <c r="AU12" s="131" t="s">
        <v>485</v>
      </c>
      <c r="AV12" s="131" t="s">
        <v>485</v>
      </c>
      <c r="AW12" s="131" t="s">
        <v>485</v>
      </c>
      <c r="AX12" s="131" t="s">
        <v>485</v>
      </c>
      <c r="AY12" s="131" t="s">
        <v>485</v>
      </c>
      <c r="AZ12" s="131" t="s">
        <v>485</v>
      </c>
      <c r="BA12" s="131" t="s">
        <v>485</v>
      </c>
      <c r="BB12" s="131" t="s">
        <v>485</v>
      </c>
      <c r="BC12" s="131" t="s">
        <v>485</v>
      </c>
      <c r="BD12" s="131" t="s">
        <v>485</v>
      </c>
      <c r="BE12" s="131" t="s">
        <v>485</v>
      </c>
      <c r="BF12" s="131" t="s">
        <v>485</v>
      </c>
      <c r="BG12" s="131" t="s">
        <v>485</v>
      </c>
      <c r="BH12" s="131" t="s">
        <v>485</v>
      </c>
      <c r="BI12" s="131" t="s">
        <v>485</v>
      </c>
      <c r="BJ12" s="131" t="s">
        <v>485</v>
      </c>
      <c r="BK12" s="131" t="s">
        <v>485</v>
      </c>
      <c r="BL12" s="131" t="s">
        <v>485</v>
      </c>
      <c r="BM12" s="131" t="s">
        <v>485</v>
      </c>
      <c r="BN12" s="131" t="s">
        <v>485</v>
      </c>
      <c r="BO12" s="131" t="s">
        <v>485</v>
      </c>
    </row>
    <row r="13" spans="2:67" ht="20.100000000000001" hidden="1" customHeight="1" x14ac:dyDescent="0.3">
      <c r="B13" s="241"/>
      <c r="C13" s="235"/>
      <c r="D13" s="237"/>
      <c r="E13" s="232"/>
      <c r="F13" s="232"/>
      <c r="G13" s="232"/>
      <c r="H13" s="232"/>
      <c r="I13" s="232"/>
      <c r="J13" s="232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29"/>
      <c r="AH13" s="69">
        <v>2</v>
      </c>
      <c r="AI13" s="24" t="s">
        <v>163</v>
      </c>
      <c r="AJ13" s="238"/>
      <c r="AK13" s="249"/>
      <c r="AL13" s="238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</row>
    <row r="14" spans="2:67" ht="20.100000000000001" customHeight="1" x14ac:dyDescent="0.3">
      <c r="B14" s="241"/>
      <c r="C14" s="235" t="s">
        <v>186</v>
      </c>
      <c r="D14" s="237" t="s">
        <v>151</v>
      </c>
      <c r="E14" s="232">
        <v>15</v>
      </c>
      <c r="F14" s="232">
        <v>13</v>
      </c>
      <c r="G14" s="232">
        <v>13</v>
      </c>
      <c r="H14" s="232">
        <v>12</v>
      </c>
      <c r="I14" s="232">
        <v>11</v>
      </c>
      <c r="J14" s="232">
        <v>11</v>
      </c>
      <c r="K14" s="232">
        <v>11</v>
      </c>
      <c r="L14" s="232">
        <v>10</v>
      </c>
      <c r="M14" s="232">
        <v>10</v>
      </c>
      <c r="N14" s="232">
        <v>10</v>
      </c>
      <c r="O14" s="232">
        <v>10</v>
      </c>
      <c r="P14" s="232">
        <v>10</v>
      </c>
      <c r="Q14" s="232">
        <v>10</v>
      </c>
      <c r="R14" s="232">
        <v>10</v>
      </c>
      <c r="S14" s="232">
        <v>10</v>
      </c>
      <c r="T14" s="232">
        <v>10</v>
      </c>
      <c r="U14" s="232">
        <v>10</v>
      </c>
      <c r="V14" s="231">
        <v>7</v>
      </c>
      <c r="W14" s="231">
        <v>7</v>
      </c>
      <c r="X14" s="231">
        <v>7</v>
      </c>
      <c r="Y14" s="231">
        <v>7</v>
      </c>
      <c r="Z14" s="231">
        <v>7</v>
      </c>
      <c r="AA14" s="231">
        <v>7</v>
      </c>
      <c r="AB14" s="231">
        <v>7</v>
      </c>
      <c r="AC14" s="231">
        <v>7</v>
      </c>
      <c r="AD14" s="231">
        <v>7</v>
      </c>
      <c r="AE14" s="231">
        <v>7</v>
      </c>
      <c r="AF14" s="231">
        <v>7</v>
      </c>
      <c r="AG14" s="231">
        <v>7</v>
      </c>
      <c r="AH14" s="71">
        <v>1</v>
      </c>
      <c r="AI14" s="27" t="s">
        <v>164</v>
      </c>
      <c r="AJ14" s="237" t="s">
        <v>165</v>
      </c>
      <c r="AK14" s="248">
        <v>42078</v>
      </c>
      <c r="AL14" s="237" t="s">
        <v>75</v>
      </c>
      <c r="AM14" s="59"/>
      <c r="AN14" s="59" t="s">
        <v>342</v>
      </c>
      <c r="AO14" s="59" t="s">
        <v>342</v>
      </c>
      <c r="AP14" s="59" t="s">
        <v>342</v>
      </c>
      <c r="AQ14" s="59" t="s">
        <v>342</v>
      </c>
      <c r="AR14" s="59" t="s">
        <v>342</v>
      </c>
      <c r="AS14" s="59" t="s">
        <v>342</v>
      </c>
      <c r="AT14" s="59" t="s">
        <v>342</v>
      </c>
      <c r="AU14" s="59" t="s">
        <v>342</v>
      </c>
      <c r="AV14" s="59" t="s">
        <v>342</v>
      </c>
      <c r="AW14" s="59" t="s">
        <v>342</v>
      </c>
      <c r="AX14" s="59" t="s">
        <v>342</v>
      </c>
      <c r="AY14" s="59" t="s">
        <v>342</v>
      </c>
      <c r="AZ14" s="59" t="s">
        <v>342</v>
      </c>
      <c r="BA14" s="59" t="s">
        <v>342</v>
      </c>
      <c r="BB14" s="59" t="s">
        <v>342</v>
      </c>
      <c r="BC14" s="59" t="s">
        <v>342</v>
      </c>
      <c r="BD14" s="59" t="s">
        <v>342</v>
      </c>
      <c r="BE14" s="59" t="s">
        <v>342</v>
      </c>
      <c r="BF14" s="59" t="s">
        <v>342</v>
      </c>
      <c r="BG14" s="59" t="s">
        <v>342</v>
      </c>
      <c r="BH14" s="59" t="s">
        <v>342</v>
      </c>
      <c r="BI14" s="59" t="s">
        <v>342</v>
      </c>
      <c r="BJ14" s="59" t="s">
        <v>342</v>
      </c>
      <c r="BK14" s="59" t="s">
        <v>342</v>
      </c>
      <c r="BL14" s="59" t="s">
        <v>342</v>
      </c>
      <c r="BM14" s="59" t="s">
        <v>342</v>
      </c>
      <c r="BN14" s="59" t="s">
        <v>342</v>
      </c>
      <c r="BO14" s="59" t="s">
        <v>342</v>
      </c>
    </row>
    <row r="15" spans="2:67" ht="20.100000000000001" customHeight="1" x14ac:dyDescent="0.3">
      <c r="B15" s="241"/>
      <c r="C15" s="235"/>
      <c r="D15" s="237"/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2"/>
      <c r="P15" s="232"/>
      <c r="Q15" s="232"/>
      <c r="R15" s="232"/>
      <c r="S15" s="232"/>
      <c r="T15" s="232"/>
      <c r="U15" s="232"/>
      <c r="V15" s="231"/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135">
        <v>3</v>
      </c>
      <c r="AI15" s="137" t="s">
        <v>166</v>
      </c>
      <c r="AJ15" s="243"/>
      <c r="AK15" s="250"/>
      <c r="AL15" s="243"/>
      <c r="AM15" s="60"/>
      <c r="AN15" s="60"/>
      <c r="AO15" s="60"/>
      <c r="AP15" s="60"/>
      <c r="AQ15" s="60"/>
      <c r="AR15" s="60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</row>
    <row r="16" spans="2:67" ht="20.100000000000001" customHeight="1" x14ac:dyDescent="0.3">
      <c r="B16" s="241"/>
      <c r="C16" s="235"/>
      <c r="D16" s="237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2"/>
      <c r="P16" s="232"/>
      <c r="Q16" s="232"/>
      <c r="R16" s="232"/>
      <c r="S16" s="232"/>
      <c r="T16" s="232"/>
      <c r="U16" s="232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135">
        <v>1</v>
      </c>
      <c r="AI16" s="137" t="s">
        <v>167</v>
      </c>
      <c r="AJ16" s="243"/>
      <c r="AK16" s="250"/>
      <c r="AL16" s="243"/>
      <c r="AM16" s="62" t="s">
        <v>482</v>
      </c>
      <c r="AN16" s="62" t="s">
        <v>342</v>
      </c>
      <c r="AO16" s="62" t="s">
        <v>342</v>
      </c>
      <c r="AP16" s="62" t="s">
        <v>342</v>
      </c>
      <c r="AQ16" s="62" t="s">
        <v>342</v>
      </c>
      <c r="AR16" s="62" t="s">
        <v>342</v>
      </c>
      <c r="AS16" s="62" t="s">
        <v>342</v>
      </c>
      <c r="AT16" s="62" t="s">
        <v>342</v>
      </c>
      <c r="AU16" s="62" t="s">
        <v>342</v>
      </c>
      <c r="AV16" s="62" t="s">
        <v>342</v>
      </c>
      <c r="AW16" s="62" t="s">
        <v>342</v>
      </c>
      <c r="AX16" s="62" t="s">
        <v>342</v>
      </c>
      <c r="AY16" s="62" t="s">
        <v>342</v>
      </c>
      <c r="AZ16" s="62" t="s">
        <v>342</v>
      </c>
      <c r="BA16" s="62" t="s">
        <v>342</v>
      </c>
      <c r="BB16" s="62" t="s">
        <v>342</v>
      </c>
      <c r="BC16" s="62" t="s">
        <v>342</v>
      </c>
      <c r="BD16" s="62" t="s">
        <v>342</v>
      </c>
      <c r="BE16" s="62" t="s">
        <v>342</v>
      </c>
      <c r="BF16" s="62" t="s">
        <v>342</v>
      </c>
      <c r="BG16" s="62" t="s">
        <v>342</v>
      </c>
      <c r="BH16" s="62" t="s">
        <v>342</v>
      </c>
      <c r="BI16" s="62" t="s">
        <v>342</v>
      </c>
      <c r="BJ16" s="62" t="s">
        <v>342</v>
      </c>
      <c r="BK16" s="62" t="s">
        <v>342</v>
      </c>
      <c r="BL16" s="62" t="s">
        <v>342</v>
      </c>
      <c r="BM16" s="62" t="s">
        <v>342</v>
      </c>
      <c r="BN16" s="62" t="s">
        <v>342</v>
      </c>
      <c r="BO16" s="62" t="s">
        <v>342</v>
      </c>
    </row>
    <row r="17" spans="2:67" ht="20.100000000000001" customHeight="1" x14ac:dyDescent="0.3">
      <c r="B17" s="241"/>
      <c r="C17" s="235"/>
      <c r="D17" s="237"/>
      <c r="E17" s="232"/>
      <c r="F17" s="232"/>
      <c r="G17" s="232"/>
      <c r="H17" s="232"/>
      <c r="I17" s="232"/>
      <c r="J17" s="232"/>
      <c r="K17" s="232"/>
      <c r="L17" s="232"/>
      <c r="M17" s="232"/>
      <c r="N17" s="232"/>
      <c r="O17" s="232"/>
      <c r="P17" s="232"/>
      <c r="Q17" s="232"/>
      <c r="R17" s="232"/>
      <c r="S17" s="232"/>
      <c r="T17" s="232"/>
      <c r="U17" s="232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135">
        <v>1</v>
      </c>
      <c r="AI17" s="137" t="s">
        <v>168</v>
      </c>
      <c r="AJ17" s="243"/>
      <c r="AK17" s="250"/>
      <c r="AL17" s="243"/>
      <c r="AM17" s="61" t="s">
        <v>479</v>
      </c>
      <c r="AN17" s="61"/>
      <c r="AO17" s="61"/>
      <c r="AP17" s="61"/>
      <c r="AQ17" s="61"/>
      <c r="AR17" s="123" t="s">
        <v>451</v>
      </c>
      <c r="AS17" s="129"/>
      <c r="AT17" s="129"/>
      <c r="AU17" s="129" t="s">
        <v>502</v>
      </c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</row>
    <row r="18" spans="2:67" ht="20.100000000000001" customHeight="1" x14ac:dyDescent="0.3">
      <c r="B18" s="241"/>
      <c r="C18" s="235"/>
      <c r="D18" s="237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2"/>
      <c r="S18" s="232"/>
      <c r="T18" s="232"/>
      <c r="U18" s="232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135">
        <v>2</v>
      </c>
      <c r="AI18" s="137" t="s">
        <v>169</v>
      </c>
      <c r="AJ18" s="243"/>
      <c r="AK18" s="250"/>
      <c r="AL18" s="243"/>
      <c r="AM18" s="61" t="s">
        <v>574</v>
      </c>
      <c r="AN18" s="61"/>
      <c r="AO18" s="61"/>
      <c r="AP18" s="61"/>
      <c r="AQ18" s="61"/>
      <c r="AR18" s="61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</row>
    <row r="19" spans="2:67" ht="20.100000000000001" customHeight="1" x14ac:dyDescent="0.3">
      <c r="B19" s="241"/>
      <c r="C19" s="235"/>
      <c r="D19" s="237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  <c r="AH19" s="69">
        <v>7</v>
      </c>
      <c r="AI19" s="24" t="s">
        <v>170</v>
      </c>
      <c r="AJ19" s="238"/>
      <c r="AK19" s="249"/>
      <c r="AL19" s="238"/>
      <c r="AM19" s="60"/>
      <c r="AN19" s="60"/>
      <c r="AO19" s="60"/>
      <c r="AP19" s="60"/>
      <c r="AQ19" s="60"/>
      <c r="AR19" s="60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</row>
    <row r="20" spans="2:67" ht="20.100000000000001" customHeight="1" x14ac:dyDescent="0.3">
      <c r="B20" s="241"/>
      <c r="C20" s="235" t="s">
        <v>187</v>
      </c>
      <c r="D20" s="237" t="s">
        <v>151</v>
      </c>
      <c r="E20" s="232">
        <v>4</v>
      </c>
      <c r="F20" s="232">
        <v>4</v>
      </c>
      <c r="G20" s="232">
        <v>4</v>
      </c>
      <c r="H20" s="232">
        <v>4</v>
      </c>
      <c r="I20" s="232">
        <v>4</v>
      </c>
      <c r="J20" s="232">
        <v>4</v>
      </c>
      <c r="K20" s="232">
        <v>4</v>
      </c>
      <c r="L20" s="232">
        <v>4</v>
      </c>
      <c r="M20" s="232">
        <v>4</v>
      </c>
      <c r="N20" s="232">
        <v>4</v>
      </c>
      <c r="O20" s="232">
        <v>4</v>
      </c>
      <c r="P20" s="232">
        <v>4</v>
      </c>
      <c r="Q20" s="232">
        <v>4</v>
      </c>
      <c r="R20" s="232">
        <v>4</v>
      </c>
      <c r="S20" s="232">
        <v>4</v>
      </c>
      <c r="T20" s="232">
        <v>4</v>
      </c>
      <c r="U20" s="232">
        <v>4</v>
      </c>
      <c r="V20" s="232">
        <v>4</v>
      </c>
      <c r="W20" s="232">
        <v>4</v>
      </c>
      <c r="X20" s="232">
        <v>4</v>
      </c>
      <c r="Y20" s="232">
        <v>4</v>
      </c>
      <c r="Z20" s="232">
        <v>4</v>
      </c>
      <c r="AA20" s="232">
        <v>4</v>
      </c>
      <c r="AB20" s="232">
        <v>4</v>
      </c>
      <c r="AC20" s="232">
        <v>4</v>
      </c>
      <c r="AD20" s="232">
        <v>4</v>
      </c>
      <c r="AE20" s="232">
        <v>4</v>
      </c>
      <c r="AF20" s="232">
        <v>4</v>
      </c>
      <c r="AG20" s="232">
        <v>4</v>
      </c>
      <c r="AH20" s="71">
        <v>1</v>
      </c>
      <c r="AI20" s="27" t="s">
        <v>171</v>
      </c>
      <c r="AJ20" s="237" t="s">
        <v>244</v>
      </c>
      <c r="AK20" s="248">
        <v>63554</v>
      </c>
      <c r="AL20" s="237" t="s">
        <v>59</v>
      </c>
      <c r="AM20" s="59" t="s">
        <v>250</v>
      </c>
      <c r="AN20" s="59" t="s">
        <v>342</v>
      </c>
      <c r="AO20" s="59" t="s">
        <v>342</v>
      </c>
      <c r="AP20" s="59" t="s">
        <v>342</v>
      </c>
      <c r="AQ20" s="59" t="s">
        <v>342</v>
      </c>
      <c r="AR20" s="59" t="s">
        <v>342</v>
      </c>
      <c r="AS20" s="59" t="s">
        <v>342</v>
      </c>
      <c r="AT20" s="59" t="s">
        <v>342</v>
      </c>
      <c r="AU20" s="59" t="s">
        <v>342</v>
      </c>
      <c r="AV20" s="59" t="s">
        <v>342</v>
      </c>
      <c r="AW20" s="59" t="s">
        <v>342</v>
      </c>
      <c r="AX20" s="59" t="s">
        <v>342</v>
      </c>
      <c r="AY20" s="59" t="s">
        <v>342</v>
      </c>
      <c r="AZ20" s="59" t="s">
        <v>342</v>
      </c>
      <c r="BA20" s="59" t="s">
        <v>342</v>
      </c>
      <c r="BB20" s="59" t="s">
        <v>342</v>
      </c>
      <c r="BC20" s="59" t="s">
        <v>342</v>
      </c>
      <c r="BD20" s="59" t="s">
        <v>342</v>
      </c>
      <c r="BE20" s="59" t="s">
        <v>342</v>
      </c>
      <c r="BF20" s="59" t="s">
        <v>342</v>
      </c>
      <c r="BG20" s="59" t="s">
        <v>342</v>
      </c>
      <c r="BH20" s="59" t="s">
        <v>342</v>
      </c>
      <c r="BI20" s="59" t="s">
        <v>342</v>
      </c>
      <c r="BJ20" s="59" t="s">
        <v>342</v>
      </c>
      <c r="BK20" s="59" t="s">
        <v>342</v>
      </c>
      <c r="BL20" s="59" t="s">
        <v>342</v>
      </c>
      <c r="BM20" s="59" t="s">
        <v>342</v>
      </c>
      <c r="BN20" s="59" t="s">
        <v>342</v>
      </c>
      <c r="BO20" s="59" t="s">
        <v>342</v>
      </c>
    </row>
    <row r="21" spans="2:67" ht="20.100000000000001" customHeight="1" x14ac:dyDescent="0.3">
      <c r="B21" s="241"/>
      <c r="C21" s="239"/>
      <c r="D21" s="243"/>
      <c r="E21" s="233"/>
      <c r="F21" s="233"/>
      <c r="G21" s="233"/>
      <c r="H21" s="233"/>
      <c r="I21" s="233"/>
      <c r="J21" s="233"/>
      <c r="K21" s="233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135">
        <v>1</v>
      </c>
      <c r="AI21" s="137" t="s">
        <v>172</v>
      </c>
      <c r="AJ21" s="243"/>
      <c r="AK21" s="250"/>
      <c r="AL21" s="243"/>
      <c r="AM21" s="61"/>
      <c r="AN21" s="61"/>
      <c r="AO21" s="61"/>
      <c r="AP21" s="61"/>
      <c r="AQ21" s="61"/>
      <c r="AR21" s="61"/>
      <c r="AS21" s="129"/>
      <c r="AT21" s="129"/>
      <c r="AU21" s="129"/>
      <c r="AV21" s="129"/>
      <c r="AW21" s="129"/>
      <c r="AX21" s="129"/>
      <c r="AY21" s="129"/>
      <c r="AZ21" s="129"/>
      <c r="BA21" s="129"/>
      <c r="BB21" s="129"/>
      <c r="BC21" s="129"/>
      <c r="BD21" s="129"/>
      <c r="BE21" s="129"/>
      <c r="BF21" s="129"/>
      <c r="BG21" s="129"/>
      <c r="BH21" s="129"/>
      <c r="BI21" s="129"/>
      <c r="BJ21" s="129"/>
      <c r="BK21" s="129"/>
      <c r="BL21" s="129"/>
      <c r="BM21" s="129"/>
      <c r="BN21" s="129"/>
      <c r="BO21" s="129"/>
    </row>
    <row r="22" spans="2:67" ht="20.100000000000001" customHeight="1" x14ac:dyDescent="0.3">
      <c r="B22" s="241"/>
      <c r="C22" s="239"/>
      <c r="D22" s="243"/>
      <c r="E22" s="233"/>
      <c r="F22" s="233"/>
      <c r="G22" s="233"/>
      <c r="H22" s="233"/>
      <c r="I22" s="233"/>
      <c r="J22" s="233"/>
      <c r="K22" s="233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69">
        <v>2</v>
      </c>
      <c r="AI22" s="24" t="s">
        <v>173</v>
      </c>
      <c r="AJ22" s="238"/>
      <c r="AK22" s="249"/>
      <c r="AL22" s="238"/>
      <c r="AM22" s="60"/>
      <c r="AN22" s="60"/>
      <c r="AO22" s="60"/>
      <c r="AP22" s="60"/>
      <c r="AQ22" s="60"/>
      <c r="AR22" s="60"/>
      <c r="AS22" s="128"/>
      <c r="AT22" s="128"/>
      <c r="AU22" s="128"/>
      <c r="AV22" s="128"/>
      <c r="AW22" s="128"/>
      <c r="AX22" s="128"/>
      <c r="AY22" s="128"/>
      <c r="AZ22" s="128"/>
      <c r="BA22" s="128"/>
      <c r="BB22" s="128"/>
      <c r="BC22" s="128"/>
      <c r="BD22" s="128"/>
      <c r="BE22" s="128"/>
      <c r="BF22" s="128"/>
      <c r="BG22" s="128"/>
      <c r="BH22" s="128"/>
      <c r="BI22" s="128"/>
      <c r="BJ22" s="128"/>
      <c r="BK22" s="128"/>
      <c r="BL22" s="128"/>
      <c r="BM22" s="128"/>
      <c r="BN22" s="128"/>
      <c r="BO22" s="128"/>
    </row>
    <row r="23" spans="2:67" ht="20.100000000000001" customHeight="1" x14ac:dyDescent="0.3">
      <c r="B23" s="241"/>
      <c r="C23" s="235" t="s">
        <v>188</v>
      </c>
      <c r="D23" s="237" t="s">
        <v>151</v>
      </c>
      <c r="E23" s="232">
        <v>4</v>
      </c>
      <c r="F23" s="232">
        <v>4</v>
      </c>
      <c r="G23" s="232">
        <v>4</v>
      </c>
      <c r="H23" s="232">
        <v>4</v>
      </c>
      <c r="I23" s="232">
        <v>4</v>
      </c>
      <c r="J23" s="232">
        <v>3</v>
      </c>
      <c r="K23" s="232">
        <v>3</v>
      </c>
      <c r="L23" s="232">
        <v>3</v>
      </c>
      <c r="M23" s="232">
        <v>3</v>
      </c>
      <c r="N23" s="232">
        <v>3</v>
      </c>
      <c r="O23" s="232">
        <v>3</v>
      </c>
      <c r="P23" s="232">
        <v>3</v>
      </c>
      <c r="Q23" s="232">
        <v>3</v>
      </c>
      <c r="R23" s="232">
        <v>3</v>
      </c>
      <c r="S23" s="232">
        <v>3</v>
      </c>
      <c r="T23" s="232">
        <v>3</v>
      </c>
      <c r="U23" s="232">
        <v>3</v>
      </c>
      <c r="V23" s="232">
        <v>3</v>
      </c>
      <c r="W23" s="232">
        <v>3</v>
      </c>
      <c r="X23" s="232">
        <v>3</v>
      </c>
      <c r="Y23" s="232">
        <v>3</v>
      </c>
      <c r="Z23" s="232">
        <v>3</v>
      </c>
      <c r="AA23" s="232">
        <v>3</v>
      </c>
      <c r="AB23" s="232">
        <v>3</v>
      </c>
      <c r="AC23" s="232">
        <v>3</v>
      </c>
      <c r="AD23" s="232">
        <v>3</v>
      </c>
      <c r="AE23" s="232">
        <v>3</v>
      </c>
      <c r="AF23" s="232">
        <v>3</v>
      </c>
      <c r="AG23" s="232">
        <v>3</v>
      </c>
      <c r="AH23" s="71">
        <v>2</v>
      </c>
      <c r="AI23" s="27" t="s">
        <v>174</v>
      </c>
      <c r="AJ23" s="237" t="s">
        <v>175</v>
      </c>
      <c r="AK23" s="248">
        <v>85531</v>
      </c>
      <c r="AL23" s="237" t="s">
        <v>176</v>
      </c>
      <c r="AM23" s="59" t="s">
        <v>603</v>
      </c>
      <c r="AN23" s="59" t="s">
        <v>342</v>
      </c>
      <c r="AO23" s="59" t="s">
        <v>342</v>
      </c>
      <c r="AP23" s="59" t="s">
        <v>342</v>
      </c>
      <c r="AQ23" s="59" t="s">
        <v>342</v>
      </c>
      <c r="AR23" s="59" t="s">
        <v>342</v>
      </c>
      <c r="AS23" s="59" t="s">
        <v>342</v>
      </c>
      <c r="AT23" s="59" t="s">
        <v>342</v>
      </c>
      <c r="AU23" s="59" t="s">
        <v>342</v>
      </c>
      <c r="AV23" s="59" t="s">
        <v>342</v>
      </c>
      <c r="AW23" s="59" t="s">
        <v>342</v>
      </c>
      <c r="AX23" s="59" t="s">
        <v>342</v>
      </c>
      <c r="AY23" s="59" t="s">
        <v>342</v>
      </c>
      <c r="AZ23" s="59" t="s">
        <v>342</v>
      </c>
      <c r="BA23" s="59" t="s">
        <v>342</v>
      </c>
      <c r="BB23" s="59" t="s">
        <v>342</v>
      </c>
      <c r="BC23" s="59" t="s">
        <v>342</v>
      </c>
      <c r="BD23" s="59" t="s">
        <v>342</v>
      </c>
      <c r="BE23" s="59" t="s">
        <v>342</v>
      </c>
      <c r="BF23" s="59" t="s">
        <v>342</v>
      </c>
      <c r="BG23" s="59" t="s">
        <v>342</v>
      </c>
      <c r="BH23" s="59" t="s">
        <v>342</v>
      </c>
      <c r="BI23" s="59" t="s">
        <v>342</v>
      </c>
      <c r="BJ23" s="59" t="s">
        <v>342</v>
      </c>
      <c r="BK23" s="59" t="s">
        <v>342</v>
      </c>
      <c r="BL23" s="59" t="s">
        <v>342</v>
      </c>
      <c r="BM23" s="59" t="s">
        <v>342</v>
      </c>
      <c r="BN23" s="59" t="s">
        <v>342</v>
      </c>
      <c r="BO23" s="59" t="s">
        <v>342</v>
      </c>
    </row>
    <row r="24" spans="2:67" ht="20.100000000000001" customHeight="1" x14ac:dyDescent="0.3">
      <c r="B24" s="241"/>
      <c r="C24" s="235"/>
      <c r="D24" s="237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2"/>
      <c r="W24" s="232"/>
      <c r="X24" s="232"/>
      <c r="Y24" s="232"/>
      <c r="Z24" s="232"/>
      <c r="AA24" s="232"/>
      <c r="AB24" s="232"/>
      <c r="AC24" s="232"/>
      <c r="AD24" s="232"/>
      <c r="AE24" s="232"/>
      <c r="AF24" s="232"/>
      <c r="AG24" s="232"/>
      <c r="AH24" s="69">
        <v>2</v>
      </c>
      <c r="AI24" s="24" t="s">
        <v>177</v>
      </c>
      <c r="AJ24" s="238"/>
      <c r="AK24" s="249"/>
      <c r="AL24" s="238"/>
      <c r="AM24" s="60"/>
      <c r="AN24" s="60"/>
      <c r="AO24" s="60"/>
      <c r="AP24" s="60"/>
      <c r="AQ24" s="60"/>
      <c r="AR24" s="60"/>
      <c r="AS24" s="143" t="s">
        <v>480</v>
      </c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2"/>
      <c r="BF24" s="102"/>
      <c r="BG24" s="102"/>
      <c r="BH24" s="102"/>
      <c r="BI24" s="102"/>
      <c r="BJ24" s="102"/>
      <c r="BK24" s="102"/>
      <c r="BL24" s="102"/>
      <c r="BM24" s="102"/>
      <c r="BN24" s="102"/>
      <c r="BO24" s="102"/>
    </row>
    <row r="25" spans="2:67" ht="20.100000000000001" hidden="1" customHeight="1" x14ac:dyDescent="0.3">
      <c r="B25" s="241"/>
      <c r="C25" s="235" t="s">
        <v>189</v>
      </c>
      <c r="D25" s="237" t="s">
        <v>151</v>
      </c>
      <c r="E25" s="232">
        <v>3</v>
      </c>
      <c r="F25" s="232">
        <v>2</v>
      </c>
      <c r="G25" s="232">
        <v>2</v>
      </c>
      <c r="H25" s="232">
        <v>2</v>
      </c>
      <c r="I25" s="232">
        <v>2</v>
      </c>
      <c r="J25" s="232">
        <v>2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229"/>
      <c r="AC25" s="229"/>
      <c r="AD25" s="229"/>
      <c r="AE25" s="229"/>
      <c r="AF25" s="229"/>
      <c r="AG25" s="229"/>
      <c r="AH25" s="71">
        <v>1</v>
      </c>
      <c r="AI25" s="27" t="s">
        <v>178</v>
      </c>
      <c r="AJ25" s="237" t="s">
        <v>179</v>
      </c>
      <c r="AK25" s="248">
        <v>75000</v>
      </c>
      <c r="AL25" s="237" t="s">
        <v>180</v>
      </c>
      <c r="AM25" s="59"/>
      <c r="AN25" s="59" t="s">
        <v>339</v>
      </c>
      <c r="AO25" s="59" t="s">
        <v>339</v>
      </c>
      <c r="AP25" s="59" t="s">
        <v>339</v>
      </c>
      <c r="AQ25" s="59" t="s">
        <v>436</v>
      </c>
      <c r="AR25" s="59" t="s">
        <v>436</v>
      </c>
      <c r="AS25" s="59" t="s">
        <v>436</v>
      </c>
      <c r="AT25" s="131" t="s">
        <v>481</v>
      </c>
      <c r="AU25" s="131" t="s">
        <v>481</v>
      </c>
      <c r="AV25" s="131" t="s">
        <v>481</v>
      </c>
      <c r="AW25" s="131" t="s">
        <v>481</v>
      </c>
      <c r="AX25" s="131" t="s">
        <v>481</v>
      </c>
      <c r="AY25" s="131" t="s">
        <v>481</v>
      </c>
      <c r="AZ25" s="131" t="s">
        <v>481</v>
      </c>
      <c r="BA25" s="131" t="s">
        <v>481</v>
      </c>
      <c r="BB25" s="131" t="s">
        <v>481</v>
      </c>
      <c r="BC25" s="131" t="s">
        <v>481</v>
      </c>
      <c r="BD25" s="131" t="s">
        <v>481</v>
      </c>
      <c r="BE25" s="131" t="s">
        <v>481</v>
      </c>
      <c r="BF25" s="131" t="s">
        <v>481</v>
      </c>
      <c r="BG25" s="131" t="s">
        <v>481</v>
      </c>
      <c r="BH25" s="131" t="s">
        <v>481</v>
      </c>
      <c r="BI25" s="131" t="s">
        <v>481</v>
      </c>
      <c r="BJ25" s="131" t="s">
        <v>481</v>
      </c>
      <c r="BK25" s="131" t="s">
        <v>481</v>
      </c>
      <c r="BL25" s="131" t="s">
        <v>481</v>
      </c>
      <c r="BM25" s="131" t="s">
        <v>481</v>
      </c>
      <c r="BN25" s="131" t="s">
        <v>481</v>
      </c>
      <c r="BO25" s="131" t="s">
        <v>481</v>
      </c>
    </row>
    <row r="26" spans="2:67" ht="20.100000000000001" hidden="1" customHeight="1" x14ac:dyDescent="0.3">
      <c r="B26" s="242"/>
      <c r="C26" s="236"/>
      <c r="D26" s="238"/>
      <c r="E26" s="234"/>
      <c r="F26" s="234"/>
      <c r="G26" s="234"/>
      <c r="H26" s="234"/>
      <c r="I26" s="234"/>
      <c r="J26" s="234"/>
      <c r="K26" s="230"/>
      <c r="L26" s="230"/>
      <c r="M26" s="230"/>
      <c r="N26" s="230"/>
      <c r="O26" s="230"/>
      <c r="P26" s="230"/>
      <c r="Q26" s="230"/>
      <c r="R26" s="230"/>
      <c r="S26" s="230"/>
      <c r="T26" s="230"/>
      <c r="U26" s="230"/>
      <c r="V26" s="230"/>
      <c r="W26" s="230"/>
      <c r="X26" s="230"/>
      <c r="Y26" s="230"/>
      <c r="Z26" s="230"/>
      <c r="AA26" s="230"/>
      <c r="AB26" s="230"/>
      <c r="AC26" s="230"/>
      <c r="AD26" s="230"/>
      <c r="AE26" s="230"/>
      <c r="AF26" s="230"/>
      <c r="AG26" s="230"/>
      <c r="AH26" s="69">
        <v>2</v>
      </c>
      <c r="AI26" s="24" t="s">
        <v>181</v>
      </c>
      <c r="AJ26" s="238"/>
      <c r="AK26" s="249"/>
      <c r="AL26" s="238"/>
      <c r="AM26" s="60"/>
      <c r="AN26" s="60"/>
      <c r="AO26" s="60"/>
      <c r="AP26" s="60"/>
      <c r="AQ26" s="60"/>
      <c r="AR26" s="60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</row>
    <row r="27" spans="2:67" ht="20.100000000000001" customHeight="1" x14ac:dyDescent="0.3">
      <c r="B27" s="149"/>
      <c r="C27" s="150"/>
      <c r="D27" s="149"/>
      <c r="E27" s="151">
        <f>SUM(E4:E26)</f>
        <v>67</v>
      </c>
      <c r="F27" s="151">
        <f>SUM(F4:F25)</f>
        <v>60</v>
      </c>
      <c r="G27" s="151">
        <f t="shared" ref="G27:K27" si="0">SUM(G4:G26)</f>
        <v>60</v>
      </c>
      <c r="H27" s="151">
        <f t="shared" si="0"/>
        <v>49</v>
      </c>
      <c r="I27" s="151">
        <f t="shared" si="0"/>
        <v>41</v>
      </c>
      <c r="J27" s="151">
        <f t="shared" si="0"/>
        <v>38</v>
      </c>
      <c r="K27" s="151">
        <f t="shared" si="0"/>
        <v>29</v>
      </c>
      <c r="L27" s="151">
        <f t="shared" ref="L27:AG27" si="1">SUM(L4:L26)</f>
        <v>28</v>
      </c>
      <c r="M27" s="151">
        <f t="shared" si="1"/>
        <v>28</v>
      </c>
      <c r="N27" s="151">
        <f t="shared" si="1"/>
        <v>28</v>
      </c>
      <c r="O27" s="151">
        <f t="shared" si="1"/>
        <v>28</v>
      </c>
      <c r="P27" s="151">
        <f t="shared" ref="P27:AF27" si="2">SUM(P4:P26)</f>
        <v>26</v>
      </c>
      <c r="Q27" s="151">
        <f t="shared" si="2"/>
        <v>26</v>
      </c>
      <c r="R27" s="151">
        <f t="shared" si="2"/>
        <v>26</v>
      </c>
      <c r="S27" s="151">
        <f t="shared" si="2"/>
        <v>26</v>
      </c>
      <c r="T27" s="151">
        <f t="shared" si="2"/>
        <v>26</v>
      </c>
      <c r="U27" s="151">
        <f t="shared" si="2"/>
        <v>26</v>
      </c>
      <c r="V27" s="151">
        <f t="shared" si="2"/>
        <v>23</v>
      </c>
      <c r="W27" s="151">
        <f t="shared" si="2"/>
        <v>23</v>
      </c>
      <c r="X27" s="151">
        <f t="shared" si="2"/>
        <v>23</v>
      </c>
      <c r="Y27" s="151">
        <f t="shared" si="2"/>
        <v>23</v>
      </c>
      <c r="Z27" s="151">
        <f t="shared" si="2"/>
        <v>23</v>
      </c>
      <c r="AA27" s="151">
        <f t="shared" si="2"/>
        <v>23</v>
      </c>
      <c r="AB27" s="151">
        <f t="shared" si="2"/>
        <v>23</v>
      </c>
      <c r="AC27" s="151">
        <f t="shared" si="2"/>
        <v>23</v>
      </c>
      <c r="AD27" s="151">
        <f t="shared" si="2"/>
        <v>23</v>
      </c>
      <c r="AE27" s="151">
        <f t="shared" si="2"/>
        <v>23</v>
      </c>
      <c r="AF27" s="151">
        <f t="shared" si="2"/>
        <v>23</v>
      </c>
      <c r="AG27" s="151">
        <f t="shared" si="1"/>
        <v>23</v>
      </c>
      <c r="AH27" s="18"/>
    </row>
    <row r="28" spans="2:67" ht="20.100000000000001" customHeight="1" x14ac:dyDescent="0.3"/>
    <row r="29" spans="2:67" ht="20.100000000000001" customHeight="1" x14ac:dyDescent="0.3"/>
    <row r="30" spans="2:67" s="18" customFormat="1" ht="20.100000000000001" customHeight="1" x14ac:dyDescent="0.3">
      <c r="C30" s="21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20"/>
      <c r="AJ30" s="19"/>
      <c r="AK30" s="50"/>
      <c r="AM30" s="21"/>
    </row>
    <row r="31" spans="2:67" s="18" customFormat="1" ht="20.100000000000001" customHeight="1" x14ac:dyDescent="0.3">
      <c r="C31" s="21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20"/>
      <c r="AJ31" s="19"/>
      <c r="AK31" s="50"/>
      <c r="AM31" s="21"/>
    </row>
    <row r="32" spans="2:67" s="18" customFormat="1" ht="20.100000000000001" customHeight="1" x14ac:dyDescent="0.3">
      <c r="C32" s="21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20"/>
      <c r="AJ32" s="19"/>
      <c r="AK32" s="50"/>
      <c r="AM32" s="21"/>
    </row>
    <row r="33" spans="3:39" s="18" customFormat="1" ht="20.100000000000001" customHeight="1" x14ac:dyDescent="0.3">
      <c r="C33" s="21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20"/>
      <c r="AJ33" s="19"/>
      <c r="AK33" s="50"/>
      <c r="AM33" s="21"/>
    </row>
    <row r="34" spans="3:39" s="18" customFormat="1" ht="20.100000000000001" customHeight="1" x14ac:dyDescent="0.3">
      <c r="C34" s="21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20"/>
      <c r="AJ34" s="19"/>
      <c r="AK34" s="50"/>
      <c r="AM34" s="21"/>
    </row>
    <row r="35" spans="3:39" s="18" customFormat="1" ht="20.100000000000001" customHeight="1" x14ac:dyDescent="0.3">
      <c r="C35" s="21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20"/>
      <c r="AJ35" s="19"/>
      <c r="AK35" s="50"/>
      <c r="AM35" s="21"/>
    </row>
    <row r="36" spans="3:39" s="18" customFormat="1" ht="20.100000000000001" customHeight="1" x14ac:dyDescent="0.3">
      <c r="C36" s="21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20"/>
      <c r="AJ36" s="19"/>
      <c r="AK36" s="50"/>
      <c r="AM36" s="21"/>
    </row>
    <row r="37" spans="3:39" s="18" customFormat="1" ht="20.100000000000001" customHeight="1" x14ac:dyDescent="0.3">
      <c r="C37" s="21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20"/>
      <c r="AJ37" s="19"/>
      <c r="AK37" s="50"/>
      <c r="AM37" s="21"/>
    </row>
    <row r="38" spans="3:39" s="18" customFormat="1" ht="20.100000000000001" customHeight="1" x14ac:dyDescent="0.3">
      <c r="C38" s="21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20"/>
      <c r="AJ38" s="19"/>
      <c r="AK38" s="50"/>
      <c r="AM38" s="21"/>
    </row>
    <row r="39" spans="3:39" s="18" customFormat="1" ht="20.100000000000001" customHeight="1" x14ac:dyDescent="0.3">
      <c r="C39" s="21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20"/>
      <c r="AJ39" s="19"/>
      <c r="AK39" s="50"/>
      <c r="AM39" s="21"/>
    </row>
    <row r="40" spans="3:39" s="18" customFormat="1" ht="20.100000000000001" customHeight="1" x14ac:dyDescent="0.3">
      <c r="C40" s="21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20"/>
      <c r="AJ40" s="19"/>
      <c r="AK40" s="50"/>
      <c r="AM40" s="21"/>
    </row>
    <row r="41" spans="3:39" s="18" customFormat="1" ht="20.100000000000001" customHeight="1" x14ac:dyDescent="0.3">
      <c r="C41" s="21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20"/>
      <c r="AJ41" s="19"/>
      <c r="AK41" s="50"/>
      <c r="AM41" s="21"/>
    </row>
    <row r="42" spans="3:39" s="18" customFormat="1" ht="20.100000000000001" customHeight="1" x14ac:dyDescent="0.3">
      <c r="C42" s="21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20"/>
      <c r="AJ42" s="19"/>
      <c r="AK42" s="50"/>
      <c r="AM42" s="21"/>
    </row>
    <row r="43" spans="3:39" s="18" customFormat="1" ht="20.100000000000001" customHeight="1" x14ac:dyDescent="0.3">
      <c r="C43" s="21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20"/>
      <c r="AJ43" s="19"/>
      <c r="AK43" s="50"/>
      <c r="AM43" s="21"/>
    </row>
    <row r="44" spans="3:39" s="18" customFormat="1" ht="20.100000000000001" customHeight="1" x14ac:dyDescent="0.3">
      <c r="C44" s="21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20"/>
      <c r="AJ44" s="19"/>
      <c r="AK44" s="50"/>
      <c r="AM44" s="21"/>
    </row>
    <row r="45" spans="3:39" s="18" customFormat="1" ht="20.100000000000001" customHeight="1" x14ac:dyDescent="0.3">
      <c r="C45" s="21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20"/>
      <c r="AJ45" s="19"/>
      <c r="AK45" s="50"/>
      <c r="AM45" s="21"/>
    </row>
    <row r="46" spans="3:39" s="18" customFormat="1" ht="20.100000000000001" customHeight="1" x14ac:dyDescent="0.3">
      <c r="C46" s="21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20"/>
      <c r="AJ46" s="19"/>
      <c r="AK46" s="50"/>
      <c r="AM46" s="21"/>
    </row>
    <row r="47" spans="3:39" s="18" customFormat="1" ht="20.100000000000001" customHeight="1" x14ac:dyDescent="0.3">
      <c r="C47" s="21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20"/>
      <c r="AJ47" s="19"/>
      <c r="AK47" s="50"/>
      <c r="AM47" s="21"/>
    </row>
    <row r="48" spans="3:39" s="18" customFormat="1" ht="20.100000000000001" customHeight="1" x14ac:dyDescent="0.3">
      <c r="C48" s="21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20"/>
      <c r="AJ48" s="19"/>
      <c r="AK48" s="50"/>
      <c r="AM48" s="21"/>
    </row>
    <row r="49" spans="3:39" s="18" customFormat="1" ht="20.100000000000001" customHeight="1" x14ac:dyDescent="0.3">
      <c r="C49" s="21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20"/>
      <c r="AJ49" s="19"/>
      <c r="AK49" s="50"/>
      <c r="AM49" s="21"/>
    </row>
    <row r="50" spans="3:39" s="18" customFormat="1" ht="20.100000000000001" customHeight="1" x14ac:dyDescent="0.3">
      <c r="C50" s="21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20"/>
      <c r="AJ50" s="19"/>
      <c r="AK50" s="50"/>
      <c r="AM50" s="21"/>
    </row>
    <row r="51" spans="3:39" s="18" customFormat="1" ht="20.100000000000001" customHeight="1" x14ac:dyDescent="0.3">
      <c r="C51" s="21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20"/>
      <c r="AJ51" s="19"/>
      <c r="AK51" s="50"/>
      <c r="AM51" s="21"/>
    </row>
    <row r="52" spans="3:39" s="18" customFormat="1" ht="20.100000000000001" customHeight="1" x14ac:dyDescent="0.3">
      <c r="C52" s="21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20"/>
      <c r="AJ52" s="19"/>
      <c r="AK52" s="50"/>
      <c r="AM52" s="21"/>
    </row>
    <row r="53" spans="3:39" s="18" customFormat="1" ht="20.100000000000001" customHeight="1" x14ac:dyDescent="0.3">
      <c r="C53" s="21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20"/>
      <c r="AJ53" s="19"/>
      <c r="AK53" s="50"/>
      <c r="AM53" s="21"/>
    </row>
    <row r="54" spans="3:39" s="18" customFormat="1" ht="20.100000000000001" customHeight="1" x14ac:dyDescent="0.3">
      <c r="C54" s="21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20"/>
      <c r="AJ54" s="19"/>
      <c r="AK54" s="50"/>
      <c r="AM54" s="21"/>
    </row>
    <row r="55" spans="3:39" s="18" customFormat="1" ht="20.100000000000001" customHeight="1" x14ac:dyDescent="0.3">
      <c r="C55" s="21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20"/>
      <c r="AJ55" s="19"/>
      <c r="AK55" s="50"/>
      <c r="AM55" s="21"/>
    </row>
    <row r="56" spans="3:39" s="18" customFormat="1" ht="20.100000000000001" customHeight="1" x14ac:dyDescent="0.3">
      <c r="C56" s="21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20"/>
      <c r="AJ56" s="19"/>
      <c r="AK56" s="50"/>
      <c r="AM56" s="21"/>
    </row>
    <row r="57" spans="3:39" s="18" customFormat="1" ht="20.100000000000001" customHeight="1" x14ac:dyDescent="0.3">
      <c r="C57" s="21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20"/>
      <c r="AJ57" s="19"/>
      <c r="AK57" s="50"/>
      <c r="AM57" s="21"/>
    </row>
    <row r="58" spans="3:39" s="18" customFormat="1" ht="20.100000000000001" customHeight="1" x14ac:dyDescent="0.3">
      <c r="C58" s="21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20"/>
      <c r="AJ58" s="19"/>
      <c r="AK58" s="50"/>
      <c r="AM58" s="21"/>
    </row>
    <row r="59" spans="3:39" s="18" customFormat="1" ht="20.100000000000001" customHeight="1" x14ac:dyDescent="0.3">
      <c r="C59" s="21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20"/>
      <c r="AJ59" s="19"/>
      <c r="AK59" s="50"/>
      <c r="AM59" s="21"/>
    </row>
    <row r="60" spans="3:39" s="18" customFormat="1" ht="20.100000000000001" customHeight="1" x14ac:dyDescent="0.3">
      <c r="C60" s="21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20"/>
      <c r="AJ60" s="19"/>
      <c r="AK60" s="50"/>
      <c r="AM60" s="21"/>
    </row>
    <row r="61" spans="3:39" s="18" customFormat="1" ht="20.100000000000001" customHeight="1" x14ac:dyDescent="0.3">
      <c r="C61" s="21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20"/>
      <c r="AJ61" s="19"/>
      <c r="AK61" s="50"/>
      <c r="AM61" s="21"/>
    </row>
    <row r="62" spans="3:39" s="18" customFormat="1" ht="20.100000000000001" customHeight="1" x14ac:dyDescent="0.3">
      <c r="C62" s="21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20"/>
      <c r="AJ62" s="19"/>
      <c r="AK62" s="50"/>
      <c r="AM62" s="21"/>
    </row>
    <row r="63" spans="3:39" s="18" customFormat="1" ht="20.100000000000001" customHeight="1" x14ac:dyDescent="0.3">
      <c r="C63" s="21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20"/>
      <c r="AJ63" s="19"/>
      <c r="AK63" s="50"/>
      <c r="AM63" s="21"/>
    </row>
    <row r="64" spans="3:39" s="18" customFormat="1" ht="20.100000000000001" customHeight="1" x14ac:dyDescent="0.3">
      <c r="C64" s="21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20"/>
      <c r="AJ64" s="19"/>
      <c r="AK64" s="50"/>
      <c r="AM64" s="21"/>
    </row>
    <row r="65" spans="3:39" s="18" customFormat="1" ht="20.100000000000001" customHeight="1" x14ac:dyDescent="0.3">
      <c r="C65" s="2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20"/>
      <c r="AJ65" s="19"/>
      <c r="AK65" s="50"/>
      <c r="AM65" s="21"/>
    </row>
    <row r="66" spans="3:39" s="18" customFormat="1" ht="20.100000000000001" customHeight="1" x14ac:dyDescent="0.3">
      <c r="C66" s="2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20"/>
      <c r="AJ66" s="19"/>
      <c r="AK66" s="50"/>
      <c r="AM66" s="21"/>
    </row>
    <row r="67" spans="3:39" s="18" customFormat="1" ht="20.100000000000001" customHeight="1" x14ac:dyDescent="0.3">
      <c r="C67" s="21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20"/>
      <c r="AJ67" s="19"/>
      <c r="AK67" s="50"/>
      <c r="AM67" s="21"/>
    </row>
    <row r="68" spans="3:39" s="18" customFormat="1" ht="20.100000000000001" customHeight="1" x14ac:dyDescent="0.3">
      <c r="C68" s="21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20"/>
      <c r="AJ68" s="19"/>
      <c r="AK68" s="50"/>
      <c r="AM68" s="21"/>
    </row>
    <row r="69" spans="3:39" s="18" customFormat="1" ht="20.100000000000001" customHeight="1" x14ac:dyDescent="0.3">
      <c r="C69" s="21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20"/>
      <c r="AJ69" s="19"/>
      <c r="AK69" s="50"/>
      <c r="AM69" s="21"/>
    </row>
    <row r="70" spans="3:39" s="18" customFormat="1" ht="20.100000000000001" customHeight="1" x14ac:dyDescent="0.3">
      <c r="C70" s="21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20"/>
      <c r="AJ70" s="19"/>
      <c r="AK70" s="50"/>
      <c r="AM70" s="21"/>
    </row>
    <row r="71" spans="3:39" s="18" customFormat="1" ht="20.100000000000001" customHeight="1" x14ac:dyDescent="0.3">
      <c r="C71" s="21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20"/>
      <c r="AJ71" s="19"/>
      <c r="AK71" s="50"/>
      <c r="AM71" s="21"/>
    </row>
    <row r="72" spans="3:39" s="18" customFormat="1" ht="20.100000000000001" customHeight="1" x14ac:dyDescent="0.3">
      <c r="C72" s="21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20"/>
      <c r="AJ72" s="19"/>
      <c r="AK72" s="50"/>
      <c r="AM72" s="21"/>
    </row>
    <row r="73" spans="3:39" s="18" customFormat="1" ht="20.100000000000001" customHeight="1" x14ac:dyDescent="0.3">
      <c r="C73" s="21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20"/>
      <c r="AJ73" s="19"/>
      <c r="AK73" s="50"/>
      <c r="AM73" s="21"/>
    </row>
    <row r="74" spans="3:39" s="18" customFormat="1" ht="20.100000000000001" customHeight="1" x14ac:dyDescent="0.3">
      <c r="C74" s="21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20"/>
      <c r="AJ74" s="19"/>
      <c r="AK74" s="50"/>
      <c r="AM74" s="21"/>
    </row>
    <row r="75" spans="3:39" s="18" customFormat="1" ht="20.100000000000001" customHeight="1" x14ac:dyDescent="0.3">
      <c r="C75" s="21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20"/>
      <c r="AJ75" s="19"/>
      <c r="AK75" s="50"/>
      <c r="AM75" s="21"/>
    </row>
    <row r="76" spans="3:39" s="18" customFormat="1" ht="20.100000000000001" customHeight="1" x14ac:dyDescent="0.3">
      <c r="C76" s="21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20"/>
      <c r="AJ76" s="19"/>
      <c r="AK76" s="50"/>
      <c r="AM76" s="21"/>
    </row>
    <row r="77" spans="3:39" s="18" customFormat="1" ht="20.100000000000001" customHeight="1" x14ac:dyDescent="0.3">
      <c r="C77" s="21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20"/>
      <c r="AJ77" s="19"/>
      <c r="AK77" s="50"/>
      <c r="AM77" s="21"/>
    </row>
    <row r="78" spans="3:39" s="18" customFormat="1" ht="20.100000000000001" customHeight="1" x14ac:dyDescent="0.3">
      <c r="C78" s="21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20"/>
      <c r="AJ78" s="19"/>
      <c r="AK78" s="50"/>
      <c r="AM78" s="21"/>
    </row>
    <row r="79" spans="3:39" s="18" customFormat="1" ht="20.100000000000001" customHeight="1" x14ac:dyDescent="0.3">
      <c r="C79" s="21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20"/>
      <c r="AJ79" s="19"/>
      <c r="AK79" s="50"/>
      <c r="AM79" s="21"/>
    </row>
    <row r="80" spans="3:39" s="18" customFormat="1" ht="20.100000000000001" customHeight="1" x14ac:dyDescent="0.3">
      <c r="C80" s="21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20"/>
      <c r="AJ80" s="19"/>
      <c r="AK80" s="50"/>
      <c r="AM80" s="21"/>
    </row>
    <row r="81" spans="3:39" s="18" customFormat="1" ht="20.100000000000001" customHeight="1" x14ac:dyDescent="0.3">
      <c r="C81" s="21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20"/>
      <c r="AJ81" s="19"/>
      <c r="AK81" s="50"/>
      <c r="AM81" s="21"/>
    </row>
    <row r="82" spans="3:39" s="18" customFormat="1" ht="20.100000000000001" customHeight="1" x14ac:dyDescent="0.3">
      <c r="C82" s="21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20"/>
      <c r="AJ82" s="19"/>
      <c r="AK82" s="50"/>
      <c r="AM82" s="21"/>
    </row>
    <row r="83" spans="3:39" s="18" customFormat="1" ht="20.100000000000001" customHeight="1" x14ac:dyDescent="0.3">
      <c r="C83" s="21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20"/>
      <c r="AJ83" s="19"/>
      <c r="AK83" s="50"/>
      <c r="AM83" s="21"/>
    </row>
    <row r="84" spans="3:39" s="18" customFormat="1" ht="20.100000000000001" customHeight="1" x14ac:dyDescent="0.3">
      <c r="C84" s="21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20"/>
      <c r="AJ84" s="19"/>
      <c r="AK84" s="50"/>
      <c r="AM84" s="21"/>
    </row>
    <row r="85" spans="3:39" s="18" customFormat="1" ht="20.100000000000001" customHeight="1" x14ac:dyDescent="0.3">
      <c r="C85" s="21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20"/>
      <c r="AJ85" s="19"/>
      <c r="AK85" s="50"/>
      <c r="AM85" s="21"/>
    </row>
    <row r="86" spans="3:39" s="18" customFormat="1" ht="20.100000000000001" customHeight="1" x14ac:dyDescent="0.3">
      <c r="C86" s="21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20"/>
      <c r="AJ86" s="19"/>
      <c r="AK86" s="50"/>
      <c r="AM86" s="21"/>
    </row>
    <row r="87" spans="3:39" s="18" customFormat="1" ht="20.100000000000001" customHeight="1" x14ac:dyDescent="0.3">
      <c r="C87" s="21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20"/>
      <c r="AJ87" s="19"/>
      <c r="AK87" s="50"/>
      <c r="AM87" s="21"/>
    </row>
    <row r="88" spans="3:39" s="18" customFormat="1" ht="20.100000000000001" customHeight="1" x14ac:dyDescent="0.3">
      <c r="C88" s="21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20"/>
      <c r="AJ88" s="19"/>
      <c r="AK88" s="50"/>
      <c r="AM88" s="21"/>
    </row>
    <row r="89" spans="3:39" s="18" customFormat="1" ht="20.100000000000001" customHeight="1" x14ac:dyDescent="0.3">
      <c r="C89" s="21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20"/>
      <c r="AJ89" s="19"/>
      <c r="AK89" s="50"/>
      <c r="AM89" s="21"/>
    </row>
    <row r="90" spans="3:39" s="18" customFormat="1" ht="20.100000000000001" customHeight="1" x14ac:dyDescent="0.3">
      <c r="C90" s="21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20"/>
      <c r="AJ90" s="19"/>
      <c r="AK90" s="50"/>
      <c r="AM90" s="21"/>
    </row>
    <row r="91" spans="3:39" s="18" customFormat="1" ht="20.100000000000001" customHeight="1" x14ac:dyDescent="0.3">
      <c r="C91" s="21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20"/>
      <c r="AJ91" s="19"/>
      <c r="AK91" s="50"/>
      <c r="AM91" s="21"/>
    </row>
    <row r="92" spans="3:39" s="18" customFormat="1" ht="20.100000000000001" customHeight="1" x14ac:dyDescent="0.3">
      <c r="C92" s="21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20"/>
      <c r="AJ92" s="19"/>
      <c r="AK92" s="50"/>
      <c r="AM92" s="21"/>
    </row>
    <row r="93" spans="3:39" s="18" customFormat="1" ht="20.100000000000001" customHeight="1" x14ac:dyDescent="0.3">
      <c r="C93" s="21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20"/>
      <c r="AJ93" s="19"/>
      <c r="AK93" s="50"/>
      <c r="AM93" s="21"/>
    </row>
    <row r="94" spans="3:39" s="18" customFormat="1" ht="20.100000000000001" customHeight="1" x14ac:dyDescent="0.3">
      <c r="C94" s="21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20"/>
      <c r="AJ94" s="19"/>
      <c r="AK94" s="50"/>
      <c r="AM94" s="21"/>
    </row>
    <row r="95" spans="3:39" s="18" customFormat="1" ht="20.100000000000001" customHeight="1" x14ac:dyDescent="0.3">
      <c r="C95" s="21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20"/>
      <c r="AJ95" s="19"/>
      <c r="AK95" s="50"/>
      <c r="AM95" s="21"/>
    </row>
    <row r="96" spans="3:39" s="18" customFormat="1" ht="20.100000000000001" customHeight="1" x14ac:dyDescent="0.3">
      <c r="C96" s="21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20"/>
      <c r="AJ96" s="19"/>
      <c r="AK96" s="50"/>
      <c r="AM96" s="21"/>
    </row>
    <row r="97" spans="3:39" s="18" customFormat="1" ht="20.100000000000001" customHeight="1" x14ac:dyDescent="0.3">
      <c r="C97" s="21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20"/>
      <c r="AJ97" s="19"/>
      <c r="AK97" s="50"/>
      <c r="AM97" s="21"/>
    </row>
    <row r="98" spans="3:39" s="18" customFormat="1" ht="20.100000000000001" customHeight="1" x14ac:dyDescent="0.3">
      <c r="C98" s="21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20"/>
      <c r="AJ98" s="19"/>
      <c r="AK98" s="50"/>
      <c r="AM98" s="21"/>
    </row>
    <row r="99" spans="3:39" s="18" customFormat="1" ht="20.100000000000001" customHeight="1" x14ac:dyDescent="0.3">
      <c r="C99" s="21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20"/>
      <c r="AJ99" s="19"/>
      <c r="AK99" s="50"/>
      <c r="AM99" s="21"/>
    </row>
    <row r="100" spans="3:39" s="18" customFormat="1" ht="20.100000000000001" customHeight="1" x14ac:dyDescent="0.3">
      <c r="C100" s="21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20"/>
      <c r="AJ100" s="19"/>
      <c r="AK100" s="50"/>
      <c r="AM100" s="21"/>
    </row>
    <row r="101" spans="3:39" s="18" customFormat="1" ht="20.100000000000001" customHeight="1" x14ac:dyDescent="0.3">
      <c r="C101" s="21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20"/>
      <c r="AJ101" s="19"/>
      <c r="AK101" s="50"/>
      <c r="AM101" s="21"/>
    </row>
    <row r="102" spans="3:39" s="18" customFormat="1" ht="20.100000000000001" customHeight="1" x14ac:dyDescent="0.3">
      <c r="C102" s="21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20"/>
      <c r="AJ102" s="19"/>
      <c r="AK102" s="50"/>
      <c r="AM102" s="21"/>
    </row>
    <row r="103" spans="3:39" s="18" customFormat="1" ht="20.100000000000001" customHeight="1" x14ac:dyDescent="0.3">
      <c r="C103" s="21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20"/>
      <c r="AJ103" s="19"/>
      <c r="AK103" s="50"/>
      <c r="AM103" s="21"/>
    </row>
    <row r="104" spans="3:39" s="18" customFormat="1" ht="20.100000000000001" customHeight="1" x14ac:dyDescent="0.3">
      <c r="C104" s="21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20"/>
      <c r="AJ104" s="19"/>
      <c r="AK104" s="50"/>
      <c r="AM104" s="21"/>
    </row>
    <row r="105" spans="3:39" s="18" customFormat="1" ht="20.100000000000001" customHeight="1" x14ac:dyDescent="0.3">
      <c r="C105" s="21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20"/>
      <c r="AJ105" s="19"/>
      <c r="AK105" s="50"/>
      <c r="AM105" s="21"/>
    </row>
    <row r="106" spans="3:39" s="18" customFormat="1" ht="20.100000000000001" customHeight="1" x14ac:dyDescent="0.3">
      <c r="C106" s="21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20"/>
      <c r="AJ106" s="19"/>
      <c r="AK106" s="50"/>
      <c r="AM106" s="21"/>
    </row>
    <row r="107" spans="3:39" s="18" customFormat="1" ht="20.100000000000001" customHeight="1" x14ac:dyDescent="0.3">
      <c r="C107" s="21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20"/>
      <c r="AJ107" s="19"/>
      <c r="AK107" s="50"/>
      <c r="AM107" s="21"/>
    </row>
    <row r="108" spans="3:39" s="18" customFormat="1" ht="20.100000000000001" customHeight="1" x14ac:dyDescent="0.3">
      <c r="C108" s="21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20"/>
      <c r="AJ108" s="19"/>
      <c r="AK108" s="50"/>
      <c r="AM108" s="21"/>
    </row>
    <row r="109" spans="3:39" s="18" customFormat="1" ht="20.100000000000001" customHeight="1" x14ac:dyDescent="0.3">
      <c r="C109" s="21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20"/>
      <c r="AJ109" s="19"/>
      <c r="AK109" s="50"/>
      <c r="AM109" s="21"/>
    </row>
    <row r="110" spans="3:39" s="18" customFormat="1" ht="20.100000000000001" customHeight="1" x14ac:dyDescent="0.3">
      <c r="C110" s="21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20"/>
      <c r="AJ110" s="19"/>
      <c r="AK110" s="50"/>
      <c r="AM110" s="21"/>
    </row>
    <row r="111" spans="3:39" s="18" customFormat="1" ht="20.100000000000001" customHeight="1" x14ac:dyDescent="0.3">
      <c r="C111" s="21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20"/>
      <c r="AJ111" s="19"/>
      <c r="AK111" s="50"/>
      <c r="AM111" s="21"/>
    </row>
    <row r="112" spans="3:39" s="18" customFormat="1" ht="20.100000000000001" customHeight="1" x14ac:dyDescent="0.3">
      <c r="C112" s="21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20"/>
      <c r="AJ112" s="19"/>
      <c r="AK112" s="50"/>
      <c r="AM112" s="21"/>
    </row>
    <row r="113" spans="3:39" s="18" customFormat="1" ht="20.100000000000001" customHeight="1" x14ac:dyDescent="0.3">
      <c r="C113" s="21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20"/>
      <c r="AJ113" s="19"/>
      <c r="AK113" s="50"/>
      <c r="AM113" s="21"/>
    </row>
    <row r="114" spans="3:39" s="18" customFormat="1" ht="20.100000000000001" customHeight="1" x14ac:dyDescent="0.3">
      <c r="C114" s="21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20"/>
      <c r="AJ114" s="19"/>
      <c r="AK114" s="50"/>
      <c r="AM114" s="21"/>
    </row>
    <row r="115" spans="3:39" s="18" customFormat="1" ht="20.100000000000001" customHeight="1" x14ac:dyDescent="0.3">
      <c r="C115" s="21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20"/>
      <c r="AJ115" s="19"/>
      <c r="AK115" s="50"/>
      <c r="AM115" s="21"/>
    </row>
    <row r="116" spans="3:39" s="18" customFormat="1" ht="20.100000000000001" customHeight="1" x14ac:dyDescent="0.3">
      <c r="C116" s="21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20"/>
      <c r="AJ116" s="19"/>
      <c r="AK116" s="50"/>
      <c r="AM116" s="21"/>
    </row>
    <row r="117" spans="3:39" s="18" customFormat="1" ht="20.100000000000001" customHeight="1" x14ac:dyDescent="0.3">
      <c r="C117" s="21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20"/>
      <c r="AJ117" s="19"/>
      <c r="AK117" s="50"/>
      <c r="AM117" s="21"/>
    </row>
    <row r="118" spans="3:39" s="18" customFormat="1" ht="20.100000000000001" customHeight="1" x14ac:dyDescent="0.3">
      <c r="C118" s="21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20"/>
      <c r="AJ118" s="19"/>
      <c r="AK118" s="50"/>
      <c r="AM118" s="21"/>
    </row>
    <row r="119" spans="3:39" s="18" customFormat="1" ht="20.100000000000001" customHeight="1" x14ac:dyDescent="0.3">
      <c r="C119" s="21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20"/>
      <c r="AJ119" s="19"/>
      <c r="AK119" s="50"/>
      <c r="AM119" s="21"/>
    </row>
    <row r="120" spans="3:39" s="18" customFormat="1" ht="20.100000000000001" customHeight="1" x14ac:dyDescent="0.3">
      <c r="C120" s="21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20"/>
      <c r="AJ120" s="19"/>
      <c r="AK120" s="50"/>
      <c r="AM120" s="21"/>
    </row>
    <row r="121" spans="3:39" s="18" customFormat="1" ht="20.100000000000001" customHeight="1" x14ac:dyDescent="0.3">
      <c r="C121" s="21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20"/>
      <c r="AJ121" s="19"/>
      <c r="AK121" s="50"/>
      <c r="AM121" s="21"/>
    </row>
    <row r="122" spans="3:39" s="18" customFormat="1" ht="20.100000000000001" customHeight="1" x14ac:dyDescent="0.3">
      <c r="C122" s="21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20"/>
      <c r="AJ122" s="19"/>
      <c r="AK122" s="50"/>
      <c r="AM122" s="21"/>
    </row>
    <row r="123" spans="3:39" s="18" customFormat="1" ht="20.100000000000001" customHeight="1" x14ac:dyDescent="0.3">
      <c r="C123" s="21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20"/>
      <c r="AJ123" s="19"/>
      <c r="AK123" s="50"/>
      <c r="AM123" s="21"/>
    </row>
    <row r="124" spans="3:39" s="18" customFormat="1" ht="20.100000000000001" customHeight="1" x14ac:dyDescent="0.3">
      <c r="C124" s="21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20"/>
      <c r="AJ124" s="19"/>
      <c r="AK124" s="50"/>
      <c r="AM124" s="21"/>
    </row>
    <row r="125" spans="3:39" s="18" customFormat="1" ht="20.100000000000001" customHeight="1" x14ac:dyDescent="0.3">
      <c r="C125" s="21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20"/>
      <c r="AJ125" s="19"/>
      <c r="AK125" s="50"/>
      <c r="AM125" s="21"/>
    </row>
    <row r="126" spans="3:39" s="18" customFormat="1" ht="20.100000000000001" customHeight="1" x14ac:dyDescent="0.3">
      <c r="C126" s="21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20"/>
      <c r="AJ126" s="19"/>
      <c r="AK126" s="50"/>
      <c r="AM126" s="21"/>
    </row>
    <row r="127" spans="3:39" s="18" customFormat="1" ht="20.100000000000001" customHeight="1" x14ac:dyDescent="0.3">
      <c r="C127" s="21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20"/>
      <c r="AJ127" s="19"/>
      <c r="AK127" s="50"/>
      <c r="AM127" s="21"/>
    </row>
    <row r="128" spans="3:39" s="18" customFormat="1" ht="20.100000000000001" customHeight="1" x14ac:dyDescent="0.3">
      <c r="C128" s="21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20"/>
      <c r="AJ128" s="19"/>
      <c r="AK128" s="50"/>
      <c r="AM128" s="21"/>
    </row>
    <row r="129" spans="3:39" s="18" customFormat="1" ht="20.100000000000001" customHeight="1" x14ac:dyDescent="0.3">
      <c r="C129" s="21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20"/>
      <c r="AJ129" s="19"/>
      <c r="AK129" s="50"/>
      <c r="AM129" s="21"/>
    </row>
    <row r="130" spans="3:39" s="18" customFormat="1" ht="20.100000000000001" customHeight="1" x14ac:dyDescent="0.3">
      <c r="C130" s="21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20"/>
      <c r="AJ130" s="19"/>
      <c r="AK130" s="50"/>
      <c r="AM130" s="21"/>
    </row>
    <row r="131" spans="3:39" s="18" customFormat="1" ht="20.100000000000001" customHeight="1" x14ac:dyDescent="0.3">
      <c r="C131" s="21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20"/>
      <c r="AJ131" s="19"/>
      <c r="AK131" s="50"/>
      <c r="AM131" s="21"/>
    </row>
    <row r="132" spans="3:39" s="18" customFormat="1" ht="20.100000000000001" customHeight="1" x14ac:dyDescent="0.3">
      <c r="C132" s="21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20"/>
      <c r="AJ132" s="19"/>
      <c r="AK132" s="50"/>
      <c r="AM132" s="21"/>
    </row>
    <row r="133" spans="3:39" s="18" customFormat="1" ht="20.100000000000001" customHeight="1" x14ac:dyDescent="0.3">
      <c r="C133" s="21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20"/>
      <c r="AJ133" s="19"/>
      <c r="AK133" s="50"/>
      <c r="AM133" s="21"/>
    </row>
    <row r="134" spans="3:39" s="18" customFormat="1" ht="20.100000000000001" customHeight="1" x14ac:dyDescent="0.3">
      <c r="C134" s="21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20"/>
      <c r="AJ134" s="19"/>
      <c r="AK134" s="50"/>
      <c r="AM134" s="21"/>
    </row>
    <row r="135" spans="3:39" s="18" customFormat="1" ht="20.100000000000001" customHeight="1" x14ac:dyDescent="0.3">
      <c r="C135" s="21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20"/>
      <c r="AJ135" s="19"/>
      <c r="AK135" s="50"/>
      <c r="AM135" s="21"/>
    </row>
    <row r="136" spans="3:39" s="18" customFormat="1" ht="20.100000000000001" customHeight="1" x14ac:dyDescent="0.3">
      <c r="C136" s="21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20"/>
      <c r="AJ136" s="19"/>
      <c r="AK136" s="50"/>
      <c r="AM136" s="21"/>
    </row>
    <row r="137" spans="3:39" s="18" customFormat="1" ht="20.100000000000001" customHeight="1" x14ac:dyDescent="0.3">
      <c r="C137" s="2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20"/>
      <c r="AJ137" s="19"/>
      <c r="AK137" s="50"/>
      <c r="AM137" s="21"/>
    </row>
    <row r="138" spans="3:39" s="18" customFormat="1" ht="20.100000000000001" customHeight="1" x14ac:dyDescent="0.3">
      <c r="C138" s="2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20"/>
      <c r="AJ138" s="19"/>
      <c r="AK138" s="50"/>
      <c r="AM138" s="21"/>
    </row>
    <row r="139" spans="3:39" s="18" customFormat="1" ht="20.100000000000001" customHeight="1" x14ac:dyDescent="0.3">
      <c r="C139" s="21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20"/>
      <c r="AJ139" s="19"/>
      <c r="AK139" s="50"/>
      <c r="AM139" s="21"/>
    </row>
    <row r="140" spans="3:39" s="18" customFormat="1" ht="20.100000000000001" customHeight="1" x14ac:dyDescent="0.3">
      <c r="C140" s="21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20"/>
      <c r="AJ140" s="19"/>
      <c r="AK140" s="50"/>
      <c r="AM140" s="21"/>
    </row>
    <row r="141" spans="3:39" s="18" customFormat="1" ht="20.100000000000001" customHeight="1" x14ac:dyDescent="0.3">
      <c r="C141" s="21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20"/>
      <c r="AJ141" s="19"/>
      <c r="AK141" s="50"/>
      <c r="AM141" s="21"/>
    </row>
    <row r="142" spans="3:39" s="18" customFormat="1" ht="20.100000000000001" customHeight="1" x14ac:dyDescent="0.3">
      <c r="C142" s="21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20"/>
      <c r="AJ142" s="19"/>
      <c r="AK142" s="50"/>
      <c r="AM142" s="21"/>
    </row>
    <row r="143" spans="3:39" s="18" customFormat="1" ht="20.100000000000001" customHeight="1" x14ac:dyDescent="0.3">
      <c r="C143" s="21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20"/>
      <c r="AJ143" s="19"/>
      <c r="AK143" s="50"/>
      <c r="AM143" s="21"/>
    </row>
    <row r="144" spans="3:39" s="18" customFormat="1" ht="20.100000000000001" customHeight="1" x14ac:dyDescent="0.3">
      <c r="C144" s="21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20"/>
      <c r="AJ144" s="19"/>
      <c r="AK144" s="50"/>
      <c r="AM144" s="21"/>
    </row>
    <row r="145" spans="3:39" s="18" customFormat="1" ht="20.100000000000001" customHeight="1" x14ac:dyDescent="0.3">
      <c r="C145" s="21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20"/>
      <c r="AJ145" s="19"/>
      <c r="AK145" s="50"/>
      <c r="AM145" s="21"/>
    </row>
    <row r="146" spans="3:39" s="18" customFormat="1" ht="20.100000000000001" customHeight="1" x14ac:dyDescent="0.3">
      <c r="C146" s="21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20"/>
      <c r="AJ146" s="19"/>
      <c r="AK146" s="50"/>
      <c r="AM146" s="21"/>
    </row>
    <row r="147" spans="3:39" s="18" customFormat="1" ht="20.100000000000001" customHeight="1" x14ac:dyDescent="0.3">
      <c r="C147" s="21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20"/>
      <c r="AJ147" s="19"/>
      <c r="AK147" s="50"/>
      <c r="AM147" s="21"/>
    </row>
    <row r="148" spans="3:39" s="18" customFormat="1" ht="20.100000000000001" customHeight="1" x14ac:dyDescent="0.3">
      <c r="C148" s="21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20"/>
      <c r="AJ148" s="19"/>
      <c r="AK148" s="50"/>
      <c r="AM148" s="21"/>
    </row>
    <row r="149" spans="3:39" s="18" customFormat="1" ht="20.100000000000001" customHeight="1" x14ac:dyDescent="0.3">
      <c r="C149" s="21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20"/>
      <c r="AJ149" s="19"/>
      <c r="AK149" s="50"/>
      <c r="AM149" s="21"/>
    </row>
    <row r="150" spans="3:39" s="18" customFormat="1" ht="20.100000000000001" customHeight="1" x14ac:dyDescent="0.3">
      <c r="C150" s="21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20"/>
      <c r="AJ150" s="19"/>
      <c r="AK150" s="50"/>
      <c r="AM150" s="21"/>
    </row>
    <row r="151" spans="3:39" s="18" customFormat="1" ht="20.100000000000001" customHeight="1" x14ac:dyDescent="0.3">
      <c r="C151" s="21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20"/>
      <c r="AJ151" s="19"/>
      <c r="AK151" s="50"/>
      <c r="AM151" s="21"/>
    </row>
    <row r="152" spans="3:39" s="18" customFormat="1" ht="20.100000000000001" customHeight="1" x14ac:dyDescent="0.3">
      <c r="C152" s="21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20"/>
      <c r="AJ152" s="19"/>
      <c r="AK152" s="50"/>
      <c r="AM152" s="21"/>
    </row>
    <row r="153" spans="3:39" s="18" customFormat="1" ht="20.100000000000001" customHeight="1" x14ac:dyDescent="0.3">
      <c r="C153" s="21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20"/>
      <c r="AJ153" s="19"/>
      <c r="AK153" s="50"/>
      <c r="AM153" s="21"/>
    </row>
    <row r="154" spans="3:39" s="18" customFormat="1" ht="20.100000000000001" customHeight="1" x14ac:dyDescent="0.3">
      <c r="C154" s="21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20"/>
      <c r="AJ154" s="19"/>
      <c r="AK154" s="50"/>
      <c r="AM154" s="21"/>
    </row>
    <row r="155" spans="3:39" s="18" customFormat="1" ht="20.100000000000001" customHeight="1" x14ac:dyDescent="0.3">
      <c r="C155" s="21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20"/>
      <c r="AJ155" s="19"/>
      <c r="AK155" s="50"/>
      <c r="AM155" s="21"/>
    </row>
    <row r="156" spans="3:39" s="18" customFormat="1" ht="20.100000000000001" customHeight="1" x14ac:dyDescent="0.3">
      <c r="C156" s="21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20"/>
      <c r="AJ156" s="19"/>
      <c r="AK156" s="50"/>
      <c r="AM156" s="21"/>
    </row>
    <row r="157" spans="3:39" s="18" customFormat="1" ht="20.100000000000001" customHeight="1" x14ac:dyDescent="0.3">
      <c r="C157" s="21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20"/>
      <c r="AJ157" s="19"/>
      <c r="AK157" s="50"/>
      <c r="AM157" s="21"/>
    </row>
    <row r="158" spans="3:39" s="18" customFormat="1" ht="20.100000000000001" customHeight="1" x14ac:dyDescent="0.3">
      <c r="C158" s="21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20"/>
      <c r="AJ158" s="19"/>
      <c r="AK158" s="50"/>
      <c r="AM158" s="21"/>
    </row>
    <row r="159" spans="3:39" s="18" customFormat="1" ht="20.100000000000001" customHeight="1" x14ac:dyDescent="0.3">
      <c r="C159" s="21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20"/>
      <c r="AJ159" s="19"/>
      <c r="AK159" s="50"/>
      <c r="AM159" s="21"/>
    </row>
    <row r="160" spans="3:39" s="18" customFormat="1" ht="20.100000000000001" customHeight="1" x14ac:dyDescent="0.3">
      <c r="C160" s="21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20"/>
      <c r="AJ160" s="19"/>
      <c r="AK160" s="50"/>
      <c r="AM160" s="21"/>
    </row>
    <row r="161" spans="3:39" s="18" customFormat="1" ht="20.100000000000001" customHeight="1" x14ac:dyDescent="0.3">
      <c r="C161" s="21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20"/>
      <c r="AJ161" s="19"/>
      <c r="AK161" s="50"/>
      <c r="AM161" s="21"/>
    </row>
    <row r="162" spans="3:39" s="18" customFormat="1" ht="20.100000000000001" customHeight="1" x14ac:dyDescent="0.3">
      <c r="C162" s="21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20"/>
      <c r="AJ162" s="19"/>
      <c r="AK162" s="50"/>
      <c r="AM162" s="21"/>
    </row>
    <row r="163" spans="3:39" s="18" customFormat="1" ht="20.100000000000001" customHeight="1" x14ac:dyDescent="0.3">
      <c r="C163" s="21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20"/>
      <c r="AJ163" s="19"/>
      <c r="AK163" s="50"/>
      <c r="AM163" s="21"/>
    </row>
    <row r="164" spans="3:39" s="18" customFormat="1" ht="20.100000000000001" customHeight="1" x14ac:dyDescent="0.3">
      <c r="C164" s="21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20"/>
      <c r="AJ164" s="19"/>
      <c r="AK164" s="50"/>
      <c r="AM164" s="21"/>
    </row>
    <row r="165" spans="3:39" s="18" customFormat="1" ht="20.100000000000001" customHeight="1" x14ac:dyDescent="0.3">
      <c r="C165" s="21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20"/>
      <c r="AJ165" s="19"/>
      <c r="AK165" s="50"/>
      <c r="AM165" s="21"/>
    </row>
    <row r="166" spans="3:39" s="18" customFormat="1" ht="20.100000000000001" customHeight="1" x14ac:dyDescent="0.3">
      <c r="C166" s="21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20"/>
      <c r="AJ166" s="19"/>
      <c r="AK166" s="50"/>
      <c r="AM166" s="21"/>
    </row>
    <row r="167" spans="3:39" s="18" customFormat="1" ht="20.100000000000001" customHeight="1" x14ac:dyDescent="0.3">
      <c r="C167" s="21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20"/>
      <c r="AJ167" s="19"/>
      <c r="AK167" s="50"/>
      <c r="AM167" s="21"/>
    </row>
    <row r="168" spans="3:39" s="18" customFormat="1" ht="20.100000000000001" customHeight="1" x14ac:dyDescent="0.3">
      <c r="C168" s="21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20"/>
      <c r="AJ168" s="19"/>
      <c r="AK168" s="50"/>
      <c r="AM168" s="21"/>
    </row>
    <row r="169" spans="3:39" s="18" customFormat="1" ht="20.100000000000001" customHeight="1" x14ac:dyDescent="0.3">
      <c r="C169" s="21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20"/>
      <c r="AJ169" s="19"/>
      <c r="AK169" s="50"/>
      <c r="AM169" s="21"/>
    </row>
    <row r="170" spans="3:39" s="18" customFormat="1" ht="20.100000000000001" customHeight="1" x14ac:dyDescent="0.3">
      <c r="C170" s="21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20"/>
      <c r="AJ170" s="19"/>
      <c r="AK170" s="50"/>
      <c r="AM170" s="21"/>
    </row>
    <row r="171" spans="3:39" s="18" customFormat="1" ht="20.100000000000001" customHeight="1" x14ac:dyDescent="0.3">
      <c r="C171" s="21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20"/>
      <c r="AJ171" s="19"/>
      <c r="AK171" s="50"/>
      <c r="AM171" s="21"/>
    </row>
    <row r="172" spans="3:39" s="18" customFormat="1" ht="20.100000000000001" customHeight="1" x14ac:dyDescent="0.3">
      <c r="C172" s="21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20"/>
      <c r="AJ172" s="19"/>
      <c r="AK172" s="50"/>
      <c r="AM172" s="21"/>
    </row>
    <row r="173" spans="3:39" s="18" customFormat="1" ht="20.100000000000001" customHeight="1" x14ac:dyDescent="0.3">
      <c r="C173" s="21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20"/>
      <c r="AJ173" s="19"/>
      <c r="AK173" s="50"/>
      <c r="AM173" s="21"/>
    </row>
    <row r="174" spans="3:39" s="18" customFormat="1" ht="20.100000000000001" customHeight="1" x14ac:dyDescent="0.3">
      <c r="C174" s="21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20"/>
      <c r="AJ174" s="19"/>
      <c r="AK174" s="50"/>
      <c r="AM174" s="21"/>
    </row>
    <row r="175" spans="3:39" s="18" customFormat="1" ht="20.100000000000001" customHeight="1" x14ac:dyDescent="0.3">
      <c r="C175" s="21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20"/>
      <c r="AJ175" s="19"/>
      <c r="AK175" s="50"/>
      <c r="AM175" s="21"/>
    </row>
  </sheetData>
  <mergeCells count="242">
    <mergeCell ref="AK4:AK5"/>
    <mergeCell ref="AD4:AD5"/>
    <mergeCell ref="AD7:AD8"/>
    <mergeCell ref="AD12:AD13"/>
    <mergeCell ref="AD14:AD19"/>
    <mergeCell ref="AD20:AD22"/>
    <mergeCell ref="AD23:AD24"/>
    <mergeCell ref="AD25:AD26"/>
    <mergeCell ref="U7:U8"/>
    <mergeCell ref="U12:U13"/>
    <mergeCell ref="U14:U19"/>
    <mergeCell ref="U20:U22"/>
    <mergeCell ref="U23:U24"/>
    <mergeCell ref="U25:U26"/>
    <mergeCell ref="AK23:AK24"/>
    <mergeCell ref="Y4:Y5"/>
    <mergeCell ref="X4:X5"/>
    <mergeCell ref="AA4:AA5"/>
    <mergeCell ref="AK7:AK8"/>
    <mergeCell ref="Z4:Z5"/>
    <mergeCell ref="Z7:Z8"/>
    <mergeCell ref="Z12:Z13"/>
    <mergeCell ref="Z14:Z19"/>
    <mergeCell ref="Z20:Z22"/>
    <mergeCell ref="R25:R26"/>
    <mergeCell ref="W14:W19"/>
    <mergeCell ref="W20:W22"/>
    <mergeCell ref="W23:W24"/>
    <mergeCell ref="W25:W26"/>
    <mergeCell ref="S25:S26"/>
    <mergeCell ref="V25:V26"/>
    <mergeCell ref="T25:T26"/>
    <mergeCell ref="T23:T24"/>
    <mergeCell ref="Z25:Z26"/>
    <mergeCell ref="AC4:AC5"/>
    <mergeCell ref="AC7:AC8"/>
    <mergeCell ref="AC12:AC13"/>
    <mergeCell ref="AC14:AC19"/>
    <mergeCell ref="AC20:AC22"/>
    <mergeCell ref="AC23:AC24"/>
    <mergeCell ref="AC25:AC26"/>
    <mergeCell ref="AB25:AB26"/>
    <mergeCell ref="AJ4:AJ5"/>
    <mergeCell ref="M25:M26"/>
    <mergeCell ref="AJ25:AJ26"/>
    <mergeCell ref="AJ20:AJ22"/>
    <mergeCell ref="AK20:AK22"/>
    <mergeCell ref="AG23:AG24"/>
    <mergeCell ref="AJ23:AJ24"/>
    <mergeCell ref="Y7:Y8"/>
    <mergeCell ref="Y12:Y13"/>
    <mergeCell ref="Y14:Y19"/>
    <mergeCell ref="Y25:Y26"/>
    <mergeCell ref="X7:X8"/>
    <mergeCell ref="X12:X13"/>
    <mergeCell ref="X14:X19"/>
    <mergeCell ref="X20:X22"/>
    <mergeCell ref="X23:X24"/>
    <mergeCell ref="X25:X26"/>
    <mergeCell ref="AA7:AA8"/>
    <mergeCell ref="AA12:AA13"/>
    <mergeCell ref="AA14:AA19"/>
    <mergeCell ref="AA20:AA22"/>
    <mergeCell ref="AA23:AA24"/>
    <mergeCell ref="N25:N26"/>
    <mergeCell ref="AA25:AA26"/>
    <mergeCell ref="P25:P26"/>
    <mergeCell ref="AL20:AL22"/>
    <mergeCell ref="N20:N22"/>
    <mergeCell ref="N23:N24"/>
    <mergeCell ref="AK25:AK26"/>
    <mergeCell ref="AL25:AL26"/>
    <mergeCell ref="L20:L22"/>
    <mergeCell ref="O20:O22"/>
    <mergeCell ref="O23:O24"/>
    <mergeCell ref="O25:O26"/>
    <mergeCell ref="AG25:AG26"/>
    <mergeCell ref="L25:L26"/>
    <mergeCell ref="R20:R22"/>
    <mergeCell ref="Q20:Q22"/>
    <mergeCell ref="Q23:Q24"/>
    <mergeCell ref="Q25:Q26"/>
    <mergeCell ref="P20:P22"/>
    <mergeCell ref="P23:P24"/>
    <mergeCell ref="S20:S22"/>
    <mergeCell ref="S23:S24"/>
    <mergeCell ref="Y20:Y22"/>
    <mergeCell ref="Y23:Y24"/>
    <mergeCell ref="AL23:AL24"/>
    <mergeCell ref="AG20:AG22"/>
    <mergeCell ref="AL4:AL5"/>
    <mergeCell ref="H14:H19"/>
    <mergeCell ref="AL7:AL8"/>
    <mergeCell ref="H7:H8"/>
    <mergeCell ref="I7:I8"/>
    <mergeCell ref="J7:J8"/>
    <mergeCell ref="AG7:AG8"/>
    <mergeCell ref="AJ7:AJ8"/>
    <mergeCell ref="AL14:AL19"/>
    <mergeCell ref="AG12:AG13"/>
    <mergeCell ref="AJ12:AJ13"/>
    <mergeCell ref="AK12:AK13"/>
    <mergeCell ref="AL12:AL13"/>
    <mergeCell ref="AG14:AG19"/>
    <mergeCell ref="AJ14:AJ19"/>
    <mergeCell ref="AK14:AK19"/>
    <mergeCell ref="H12:H13"/>
    <mergeCell ref="I12:I13"/>
    <mergeCell ref="J12:J13"/>
    <mergeCell ref="I14:I19"/>
    <mergeCell ref="L7:L8"/>
    <mergeCell ref="K7:K8"/>
    <mergeCell ref="M7:M8"/>
    <mergeCell ref="M12:M13"/>
    <mergeCell ref="B7:B8"/>
    <mergeCell ref="AH3:AI3"/>
    <mergeCell ref="B4:B6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O4:O5"/>
    <mergeCell ref="L4:L5"/>
    <mergeCell ref="N4:N5"/>
    <mergeCell ref="AG4:AG5"/>
    <mergeCell ref="Q4:Q5"/>
    <mergeCell ref="P4:P5"/>
    <mergeCell ref="T4:T5"/>
    <mergeCell ref="R4:R5"/>
    <mergeCell ref="U4:U5"/>
    <mergeCell ref="M4:M5"/>
    <mergeCell ref="N7:N8"/>
    <mergeCell ref="Q7:Q8"/>
    <mergeCell ref="B9:B26"/>
    <mergeCell ref="C12:C13"/>
    <mergeCell ref="D12:D13"/>
    <mergeCell ref="E12:E13"/>
    <mergeCell ref="F12:F13"/>
    <mergeCell ref="G12:G13"/>
    <mergeCell ref="C14:C19"/>
    <mergeCell ref="D14:D19"/>
    <mergeCell ref="E14:E19"/>
    <mergeCell ref="C25:C26"/>
    <mergeCell ref="D25:D26"/>
    <mergeCell ref="D20:D22"/>
    <mergeCell ref="E20:E22"/>
    <mergeCell ref="F20:F22"/>
    <mergeCell ref="G20:G22"/>
    <mergeCell ref="F14:F19"/>
    <mergeCell ref="G14:G19"/>
    <mergeCell ref="C7:C8"/>
    <mergeCell ref="D7:D8"/>
    <mergeCell ref="E7:E8"/>
    <mergeCell ref="F7:F8"/>
    <mergeCell ref="E23:E24"/>
    <mergeCell ref="F23:F24"/>
    <mergeCell ref="E25:E26"/>
    <mergeCell ref="F25:F26"/>
    <mergeCell ref="G25:G26"/>
    <mergeCell ref="G23:G24"/>
    <mergeCell ref="D23:D24"/>
    <mergeCell ref="C20:C22"/>
    <mergeCell ref="C23:C24"/>
    <mergeCell ref="G7:G8"/>
    <mergeCell ref="L23:L24"/>
    <mergeCell ref="M20:M22"/>
    <mergeCell ref="M23:M24"/>
    <mergeCell ref="Q12:Q13"/>
    <mergeCell ref="Q14:Q19"/>
    <mergeCell ref="P7:P8"/>
    <mergeCell ref="O12:O13"/>
    <mergeCell ref="M14:M19"/>
    <mergeCell ref="S7:S8"/>
    <mergeCell ref="S12:S13"/>
    <mergeCell ref="S14:S19"/>
    <mergeCell ref="N12:N13"/>
    <mergeCell ref="N14:N19"/>
    <mergeCell ref="L12:L13"/>
    <mergeCell ref="L14:L19"/>
    <mergeCell ref="O14:O19"/>
    <mergeCell ref="O7:O8"/>
    <mergeCell ref="P12:P13"/>
    <mergeCell ref="P14:P19"/>
    <mergeCell ref="R7:R8"/>
    <mergeCell ref="R12:R13"/>
    <mergeCell ref="R14:R19"/>
    <mergeCell ref="R23:R24"/>
    <mergeCell ref="K23:K24"/>
    <mergeCell ref="H25:H26"/>
    <mergeCell ref="H20:H22"/>
    <mergeCell ref="I20:I22"/>
    <mergeCell ref="K12:K13"/>
    <mergeCell ref="K14:K19"/>
    <mergeCell ref="K20:K22"/>
    <mergeCell ref="J14:J19"/>
    <mergeCell ref="J20:J22"/>
    <mergeCell ref="I25:I26"/>
    <mergeCell ref="K25:K26"/>
    <mergeCell ref="H23:H24"/>
    <mergeCell ref="I23:I24"/>
    <mergeCell ref="J25:J26"/>
    <mergeCell ref="J23:J24"/>
    <mergeCell ref="S4:S5"/>
    <mergeCell ref="V4:V5"/>
    <mergeCell ref="V7:V8"/>
    <mergeCell ref="V12:V13"/>
    <mergeCell ref="V14:V19"/>
    <mergeCell ref="V20:V22"/>
    <mergeCell ref="V23:V24"/>
    <mergeCell ref="AB4:AB5"/>
    <mergeCell ref="AB7:AB8"/>
    <mergeCell ref="AB12:AB13"/>
    <mergeCell ref="AB14:AB19"/>
    <mergeCell ref="AB20:AB22"/>
    <mergeCell ref="AB23:AB24"/>
    <mergeCell ref="T7:T8"/>
    <mergeCell ref="T12:T13"/>
    <mergeCell ref="T14:T19"/>
    <mergeCell ref="T20:T22"/>
    <mergeCell ref="W4:W5"/>
    <mergeCell ref="W7:W8"/>
    <mergeCell ref="W12:W13"/>
    <mergeCell ref="Z23:Z24"/>
    <mergeCell ref="AF4:AF5"/>
    <mergeCell ref="AF7:AF8"/>
    <mergeCell ref="AF12:AF13"/>
    <mergeCell ref="AF14:AF19"/>
    <mergeCell ref="AF20:AF22"/>
    <mergeCell ref="AF23:AF24"/>
    <mergeCell ref="AF25:AF26"/>
    <mergeCell ref="AE4:AE5"/>
    <mergeCell ref="AE7:AE8"/>
    <mergeCell ref="AE12:AE13"/>
    <mergeCell ref="AE14:AE19"/>
    <mergeCell ref="AE20:AE22"/>
    <mergeCell ref="AE23:AE24"/>
    <mergeCell ref="AE25:AE26"/>
  </mergeCells>
  <phoneticPr fontId="1" type="noConversion"/>
  <pageMargins left="0.7086111307144165" right="0.7086111307144165" top="0.74777776002883911" bottom="0.74777776002883911" header="0.31486111879348755" footer="0.3148611187934875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O186"/>
  <sheetViews>
    <sheetView zoomScale="90" zoomScaleNormal="90" workbookViewId="0">
      <pane xSplit="39" ySplit="3" topLeftCell="BN4" activePane="bottomRight" state="frozen"/>
      <selection activeCell="BB16" sqref="BB16"/>
      <selection pane="topRight" activeCell="BB16" sqref="BB16"/>
      <selection pane="bottomLeft" activeCell="BB16" sqref="BB16"/>
      <selection pane="bottomRight" activeCell="H46" sqref="H45:H46"/>
    </sheetView>
  </sheetViews>
  <sheetFormatPr defaultRowHeight="16.5" x14ac:dyDescent="0.3"/>
  <cols>
    <col min="1" max="1" width="1.875" customWidth="1"/>
    <col min="2" max="2" width="5.625" style="2" customWidth="1"/>
    <col min="3" max="3" width="40.625" style="3" customWidth="1"/>
    <col min="4" max="4" width="5.625" style="2" customWidth="1"/>
    <col min="5" max="12" width="5.625" style="35" customWidth="1"/>
    <col min="13" max="13" width="5.625" style="35" hidden="1" customWidth="1"/>
    <col min="14" max="14" width="5.625" style="35" customWidth="1"/>
    <col min="15" max="15" width="5.625" style="35" hidden="1" customWidth="1"/>
    <col min="16" max="17" width="5.625" style="35" customWidth="1"/>
    <col min="18" max="32" width="5.625" style="35" hidden="1" customWidth="1"/>
    <col min="33" max="33" width="5.625" style="35" customWidth="1"/>
    <col min="34" max="34" width="5.625" style="35" hidden="1" customWidth="1"/>
    <col min="35" max="35" width="12.625" style="1" hidden="1" customWidth="1"/>
    <col min="36" max="36" width="12.625" style="35" hidden="1" customWidth="1"/>
    <col min="37" max="37" width="12.625" style="47" hidden="1" customWidth="1"/>
    <col min="38" max="38" width="12.625" style="2" hidden="1" customWidth="1"/>
    <col min="39" max="39" width="43.75" style="3" customWidth="1"/>
    <col min="40" max="65" width="50.625" hidden="1" customWidth="1"/>
    <col min="66" max="67" width="50.625" customWidth="1"/>
  </cols>
  <sheetData>
    <row r="1" spans="1:67" ht="20.100000000000001" customHeight="1" x14ac:dyDescent="0.3">
      <c r="C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67" ht="20.100000000000001" customHeight="1" x14ac:dyDescent="0.3">
      <c r="E2" s="41" t="s">
        <v>390</v>
      </c>
      <c r="F2" s="41" t="s">
        <v>391</v>
      </c>
      <c r="G2" s="41" t="s">
        <v>410</v>
      </c>
      <c r="H2" s="41" t="s">
        <v>429</v>
      </c>
      <c r="I2" s="41" t="s">
        <v>447</v>
      </c>
      <c r="J2" s="41" t="s">
        <v>455</v>
      </c>
      <c r="K2" s="41" t="s">
        <v>474</v>
      </c>
      <c r="L2" s="41" t="s">
        <v>498</v>
      </c>
      <c r="M2" s="41" t="s">
        <v>513</v>
      </c>
      <c r="N2" s="41" t="s">
        <v>517</v>
      </c>
      <c r="O2" s="41" t="s">
        <v>524</v>
      </c>
      <c r="P2" s="2" t="s">
        <v>533</v>
      </c>
      <c r="Q2" s="2" t="s">
        <v>388</v>
      </c>
      <c r="R2" s="2" t="s">
        <v>391</v>
      </c>
      <c r="S2" s="2" t="s">
        <v>410</v>
      </c>
      <c r="T2" s="2" t="s">
        <v>557</v>
      </c>
      <c r="U2" s="2" t="s">
        <v>445</v>
      </c>
      <c r="V2" s="2" t="s">
        <v>575</v>
      </c>
      <c r="W2" s="2" t="s">
        <v>474</v>
      </c>
      <c r="X2" s="2" t="s">
        <v>578</v>
      </c>
      <c r="Y2" s="2" t="s">
        <v>585</v>
      </c>
      <c r="Z2" s="2" t="s">
        <v>590</v>
      </c>
      <c r="AA2" s="2" t="s">
        <v>597</v>
      </c>
      <c r="AB2" s="2" t="s">
        <v>607</v>
      </c>
      <c r="AC2" s="2" t="s">
        <v>611</v>
      </c>
      <c r="AD2" s="2" t="s">
        <v>611</v>
      </c>
      <c r="AE2" s="2" t="s">
        <v>616</v>
      </c>
      <c r="AF2" s="2" t="s">
        <v>631</v>
      </c>
      <c r="AG2" s="2" t="s">
        <v>631</v>
      </c>
      <c r="AN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 t="s">
        <v>347</v>
      </c>
      <c r="BF2" s="4"/>
      <c r="BG2" s="4"/>
      <c r="BH2" s="4"/>
      <c r="BI2" s="4"/>
      <c r="BJ2" s="4"/>
      <c r="BK2" s="4"/>
      <c r="BL2" s="4"/>
      <c r="BM2" s="4"/>
      <c r="BN2" s="4"/>
      <c r="BO2" s="4" t="s">
        <v>347</v>
      </c>
    </row>
    <row r="3" spans="1:67" ht="20.100000000000001" customHeight="1" x14ac:dyDescent="0.3">
      <c r="B3" s="38" t="s">
        <v>192</v>
      </c>
      <c r="C3" s="39" t="s">
        <v>193</v>
      </c>
      <c r="D3" s="38" t="s">
        <v>194</v>
      </c>
      <c r="E3" s="38" t="s">
        <v>358</v>
      </c>
      <c r="F3" s="38" t="s">
        <v>357</v>
      </c>
      <c r="G3" s="38" t="s">
        <v>357</v>
      </c>
      <c r="H3" s="38" t="s">
        <v>357</v>
      </c>
      <c r="I3" s="38" t="s">
        <v>357</v>
      </c>
      <c r="J3" s="38" t="s">
        <v>357</v>
      </c>
      <c r="K3" s="38" t="s">
        <v>357</v>
      </c>
      <c r="L3" s="38" t="s">
        <v>357</v>
      </c>
      <c r="M3" s="38" t="s">
        <v>357</v>
      </c>
      <c r="N3" s="38" t="s">
        <v>357</v>
      </c>
      <c r="O3" s="38" t="s">
        <v>357</v>
      </c>
      <c r="P3" s="38" t="s">
        <v>8</v>
      </c>
      <c r="Q3" s="38" t="s">
        <v>530</v>
      </c>
      <c r="R3" s="38" t="s">
        <v>530</v>
      </c>
      <c r="S3" s="38" t="s">
        <v>530</v>
      </c>
      <c r="T3" s="163" t="s">
        <v>530</v>
      </c>
      <c r="U3" s="38" t="s">
        <v>8</v>
      </c>
      <c r="V3" s="38" t="s">
        <v>8</v>
      </c>
      <c r="W3" s="38" t="s">
        <v>8</v>
      </c>
      <c r="X3" s="38" t="s">
        <v>8</v>
      </c>
      <c r="Y3" s="38" t="s">
        <v>530</v>
      </c>
      <c r="Z3" s="38" t="s">
        <v>530</v>
      </c>
      <c r="AA3" s="38" t="s">
        <v>532</v>
      </c>
      <c r="AB3" s="38" t="s">
        <v>530</v>
      </c>
      <c r="AC3" s="38" t="s">
        <v>532</v>
      </c>
      <c r="AD3" s="163" t="s">
        <v>530</v>
      </c>
      <c r="AE3" s="163" t="s">
        <v>532</v>
      </c>
      <c r="AF3" s="38" t="s">
        <v>8</v>
      </c>
      <c r="AG3" s="106" t="s">
        <v>532</v>
      </c>
      <c r="AH3" s="252" t="s">
        <v>195</v>
      </c>
      <c r="AI3" s="252"/>
      <c r="AJ3" s="38" t="s">
        <v>196</v>
      </c>
      <c r="AK3" s="48" t="s">
        <v>232</v>
      </c>
      <c r="AL3" s="38" t="s">
        <v>197</v>
      </c>
      <c r="AM3" s="39" t="s">
        <v>198</v>
      </c>
      <c r="AN3" s="5" t="s">
        <v>351</v>
      </c>
      <c r="AO3" s="5" t="s">
        <v>353</v>
      </c>
      <c r="AP3" s="5" t="s">
        <v>413</v>
      </c>
      <c r="AQ3" s="5" t="s">
        <v>431</v>
      </c>
      <c r="AR3" s="5" t="s">
        <v>449</v>
      </c>
      <c r="AS3" s="5" t="s">
        <v>456</v>
      </c>
      <c r="AT3" s="5" t="s">
        <v>475</v>
      </c>
      <c r="AU3" s="5" t="s">
        <v>499</v>
      </c>
      <c r="AV3" s="5" t="s">
        <v>514</v>
      </c>
      <c r="AW3" s="5" t="s">
        <v>518</v>
      </c>
      <c r="AX3" s="5" t="s">
        <v>546</v>
      </c>
      <c r="AY3" s="5" t="s">
        <v>350</v>
      </c>
      <c r="AZ3" s="5" t="s">
        <v>352</v>
      </c>
      <c r="BA3" s="5" t="s">
        <v>563</v>
      </c>
      <c r="BB3" s="157" t="s">
        <v>564</v>
      </c>
      <c r="BC3" s="5" t="s">
        <v>448</v>
      </c>
      <c r="BD3" s="5" t="s">
        <v>456</v>
      </c>
      <c r="BE3" s="5" t="s">
        <v>475</v>
      </c>
      <c r="BF3" s="5" t="s">
        <v>579</v>
      </c>
      <c r="BG3" s="5" t="s">
        <v>587</v>
      </c>
      <c r="BH3" s="5" t="s">
        <v>591</v>
      </c>
      <c r="BI3" s="5" t="s">
        <v>601</v>
      </c>
      <c r="BJ3" s="5" t="s">
        <v>608</v>
      </c>
      <c r="BK3" s="5" t="s">
        <v>612</v>
      </c>
      <c r="BL3" s="157" t="s">
        <v>615</v>
      </c>
      <c r="BM3" s="157" t="s">
        <v>617</v>
      </c>
      <c r="BN3" s="5" t="s">
        <v>628</v>
      </c>
      <c r="BO3" s="90" t="s">
        <v>448</v>
      </c>
    </row>
    <row r="4" spans="1:67" ht="20.100000000000001" hidden="1" customHeight="1" x14ac:dyDescent="0.3">
      <c r="B4" s="213" t="s">
        <v>2</v>
      </c>
      <c r="C4" s="8" t="s">
        <v>199</v>
      </c>
      <c r="D4" s="7" t="s">
        <v>266</v>
      </c>
      <c r="E4" s="45">
        <v>3</v>
      </c>
      <c r="F4" s="45">
        <v>1</v>
      </c>
      <c r="G4" s="45">
        <v>1</v>
      </c>
      <c r="H4" s="45">
        <v>1</v>
      </c>
      <c r="I4" s="45">
        <v>1</v>
      </c>
      <c r="J4" s="117">
        <v>0</v>
      </c>
      <c r="K4" s="117">
        <v>0</v>
      </c>
      <c r="L4" s="117">
        <v>0</v>
      </c>
      <c r="M4" s="117">
        <v>0</v>
      </c>
      <c r="N4" s="117">
        <v>0</v>
      </c>
      <c r="O4" s="117">
        <v>0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45">
        <v>3</v>
      </c>
      <c r="AI4" s="36"/>
      <c r="AJ4" s="36">
        <v>44656</v>
      </c>
      <c r="AK4" s="45">
        <v>59000</v>
      </c>
      <c r="AL4" s="36">
        <v>44960</v>
      </c>
      <c r="AM4" s="8" t="s">
        <v>269</v>
      </c>
      <c r="AN4" s="8" t="s">
        <v>269</v>
      </c>
      <c r="AO4" s="8" t="s">
        <v>269</v>
      </c>
      <c r="AP4" s="8" t="s">
        <v>269</v>
      </c>
      <c r="AQ4" s="8" t="s">
        <v>269</v>
      </c>
      <c r="AR4" s="8" t="s">
        <v>269</v>
      </c>
      <c r="AS4" s="144" t="s">
        <v>458</v>
      </c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03"/>
      <c r="BG4" s="103"/>
      <c r="BH4" s="103"/>
      <c r="BI4" s="103"/>
      <c r="BJ4" s="103"/>
      <c r="BK4" s="103"/>
      <c r="BL4" s="103"/>
      <c r="BM4" s="103"/>
      <c r="BN4" s="103"/>
      <c r="BO4" s="103"/>
    </row>
    <row r="5" spans="1:67" ht="20.100000000000001" hidden="1" customHeight="1" x14ac:dyDescent="0.3">
      <c r="B5" s="213"/>
      <c r="C5" s="8" t="s">
        <v>200</v>
      </c>
      <c r="D5" s="7" t="s">
        <v>267</v>
      </c>
      <c r="E5" s="45">
        <v>10</v>
      </c>
      <c r="F5" s="117">
        <v>0</v>
      </c>
      <c r="G5" s="45">
        <v>0</v>
      </c>
      <c r="H5" s="45">
        <v>0</v>
      </c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>
        <v>10</v>
      </c>
      <c r="AI5" s="36">
        <f>VLOOKUP(C5,[1]인천!$B:$E,4,0)</f>
        <v>42297</v>
      </c>
      <c r="AJ5" s="36" t="s">
        <v>246</v>
      </c>
      <c r="AK5" s="45">
        <v>44000</v>
      </c>
      <c r="AL5" s="36"/>
      <c r="AM5" s="8" t="s">
        <v>247</v>
      </c>
      <c r="AN5" s="8" t="s">
        <v>309</v>
      </c>
      <c r="AO5" s="103" t="s">
        <v>402</v>
      </c>
      <c r="AP5" s="8"/>
      <c r="AQ5" s="8"/>
      <c r="AR5" s="8"/>
      <c r="AS5" s="144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</row>
    <row r="6" spans="1:67" ht="39.950000000000003" hidden="1" customHeight="1" x14ac:dyDescent="0.3">
      <c r="B6" s="213"/>
      <c r="C6" s="8" t="s">
        <v>201</v>
      </c>
      <c r="D6" s="7" t="s">
        <v>267</v>
      </c>
      <c r="E6" s="45">
        <v>5</v>
      </c>
      <c r="F6" s="45">
        <v>4</v>
      </c>
      <c r="G6" s="45">
        <v>4</v>
      </c>
      <c r="H6" s="45">
        <v>4</v>
      </c>
      <c r="I6" s="45">
        <v>4</v>
      </c>
      <c r="J6" s="45">
        <v>4</v>
      </c>
      <c r="K6" s="45">
        <v>4</v>
      </c>
      <c r="L6" s="45">
        <v>3</v>
      </c>
      <c r="M6" s="45">
        <v>3</v>
      </c>
      <c r="N6" s="155">
        <v>2</v>
      </c>
      <c r="O6" s="155">
        <v>2</v>
      </c>
      <c r="P6" s="155">
        <v>2</v>
      </c>
      <c r="Q6" s="95">
        <v>0</v>
      </c>
      <c r="R6" s="95">
        <v>0</v>
      </c>
      <c r="S6" s="95">
        <v>0</v>
      </c>
      <c r="T6" s="95">
        <v>0</v>
      </c>
      <c r="U6" s="95">
        <v>0</v>
      </c>
      <c r="V6" s="95">
        <v>0</v>
      </c>
      <c r="W6" s="95">
        <v>0</v>
      </c>
      <c r="X6" s="95">
        <v>0</v>
      </c>
      <c r="Y6" s="95">
        <v>0</v>
      </c>
      <c r="Z6" s="95">
        <v>0</v>
      </c>
      <c r="AA6" s="95">
        <v>0</v>
      </c>
      <c r="AB6" s="95">
        <v>0</v>
      </c>
      <c r="AC6" s="95">
        <v>0</v>
      </c>
      <c r="AD6" s="95">
        <v>0</v>
      </c>
      <c r="AE6" s="95">
        <v>0</v>
      </c>
      <c r="AF6" s="95">
        <v>0</v>
      </c>
      <c r="AG6" s="95">
        <v>0</v>
      </c>
      <c r="AH6" s="45">
        <v>5</v>
      </c>
      <c r="AI6" s="36">
        <f>VLOOKUP(C6,[1]인천!$B:$E,4,0)</f>
        <v>43808</v>
      </c>
      <c r="AJ6" s="36" t="s">
        <v>251</v>
      </c>
      <c r="AK6" s="45">
        <v>29970</v>
      </c>
      <c r="AL6" s="36">
        <v>44670</v>
      </c>
      <c r="AM6" s="152" t="s">
        <v>547</v>
      </c>
      <c r="AN6" s="8" t="s">
        <v>309</v>
      </c>
      <c r="AO6" s="8" t="s">
        <v>406</v>
      </c>
      <c r="AP6" s="8" t="s">
        <v>309</v>
      </c>
      <c r="AQ6" s="8" t="s">
        <v>309</v>
      </c>
      <c r="AR6" s="8" t="s">
        <v>309</v>
      </c>
      <c r="AS6" s="144" t="s">
        <v>309</v>
      </c>
      <c r="AT6" s="8" t="s">
        <v>486</v>
      </c>
      <c r="AU6" s="8" t="s">
        <v>494</v>
      </c>
      <c r="AV6" s="8" t="s">
        <v>494</v>
      </c>
      <c r="AW6" s="152" t="s">
        <v>523</v>
      </c>
      <c r="AX6" s="152" t="s">
        <v>269</v>
      </c>
      <c r="AY6" s="152" t="s">
        <v>269</v>
      </c>
      <c r="AZ6" s="152" t="s">
        <v>269</v>
      </c>
      <c r="BA6" s="152" t="s">
        <v>269</v>
      </c>
      <c r="BB6" s="152" t="s">
        <v>269</v>
      </c>
      <c r="BC6" s="152" t="s">
        <v>269</v>
      </c>
      <c r="BD6" s="152" t="s">
        <v>269</v>
      </c>
      <c r="BE6" s="152" t="s">
        <v>269</v>
      </c>
      <c r="BF6" s="152" t="s">
        <v>269</v>
      </c>
      <c r="BG6" s="152" t="s">
        <v>269</v>
      </c>
      <c r="BH6" s="152" t="s">
        <v>269</v>
      </c>
      <c r="BI6" s="152" t="s">
        <v>269</v>
      </c>
      <c r="BJ6" s="152" t="s">
        <v>269</v>
      </c>
      <c r="BK6" s="152" t="s">
        <v>269</v>
      </c>
      <c r="BL6" s="152" t="s">
        <v>269</v>
      </c>
      <c r="BM6" s="152" t="s">
        <v>269</v>
      </c>
      <c r="BN6" s="152" t="s">
        <v>269</v>
      </c>
      <c r="BO6" s="152" t="s">
        <v>269</v>
      </c>
    </row>
    <row r="7" spans="1:67" ht="20.100000000000001" hidden="1" customHeight="1" x14ac:dyDescent="0.3">
      <c r="B7" s="213"/>
      <c r="C7" s="8" t="s">
        <v>202</v>
      </c>
      <c r="D7" s="7" t="s">
        <v>267</v>
      </c>
      <c r="E7" s="45">
        <v>4</v>
      </c>
      <c r="F7" s="45">
        <v>2</v>
      </c>
      <c r="G7" s="45">
        <v>2</v>
      </c>
      <c r="H7" s="45">
        <v>2</v>
      </c>
      <c r="I7" s="45">
        <v>2</v>
      </c>
      <c r="J7" s="45">
        <v>2</v>
      </c>
      <c r="K7" s="45">
        <v>2</v>
      </c>
      <c r="L7" s="45">
        <v>1</v>
      </c>
      <c r="M7" s="45">
        <v>1</v>
      </c>
      <c r="N7" s="117">
        <v>0</v>
      </c>
      <c r="O7" s="117">
        <v>0</v>
      </c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7"/>
      <c r="AG7" s="117"/>
      <c r="AH7" s="45">
        <v>4</v>
      </c>
      <c r="AI7" s="36">
        <f>VLOOKUP(C7,[1]인천!$B:$E,4,0)</f>
        <v>42321</v>
      </c>
      <c r="AJ7" s="36">
        <v>42326</v>
      </c>
      <c r="AK7" s="45">
        <v>35200</v>
      </c>
      <c r="AL7" s="36">
        <v>43840</v>
      </c>
      <c r="AM7" s="8" t="s">
        <v>505</v>
      </c>
      <c r="AN7" s="8" t="s">
        <v>310</v>
      </c>
      <c r="AO7" s="8" t="s">
        <v>407</v>
      </c>
      <c r="AP7" s="8" t="s">
        <v>310</v>
      </c>
      <c r="AQ7" s="8" t="s">
        <v>310</v>
      </c>
      <c r="AR7" s="8" t="s">
        <v>310</v>
      </c>
      <c r="AS7" s="144" t="s">
        <v>487</v>
      </c>
      <c r="AT7" s="8" t="s">
        <v>487</v>
      </c>
      <c r="AU7" s="8" t="s">
        <v>494</v>
      </c>
      <c r="AV7" s="8" t="s">
        <v>494</v>
      </c>
      <c r="AW7" s="8" t="s">
        <v>494</v>
      </c>
      <c r="AX7" s="8" t="s">
        <v>269</v>
      </c>
      <c r="AY7" s="8" t="s">
        <v>269</v>
      </c>
      <c r="AZ7" s="8" t="s">
        <v>269</v>
      </c>
      <c r="BA7" s="8" t="s">
        <v>269</v>
      </c>
      <c r="BB7" s="8" t="s">
        <v>269</v>
      </c>
      <c r="BC7" s="8" t="s">
        <v>269</v>
      </c>
      <c r="BD7" s="8" t="s">
        <v>269</v>
      </c>
      <c r="BE7" s="8" t="s">
        <v>269</v>
      </c>
      <c r="BF7" s="8" t="s">
        <v>269</v>
      </c>
      <c r="BG7" s="8" t="s">
        <v>269</v>
      </c>
      <c r="BH7" s="8" t="s">
        <v>269</v>
      </c>
      <c r="BI7" s="8" t="s">
        <v>269</v>
      </c>
      <c r="BJ7" s="8" t="s">
        <v>269</v>
      </c>
      <c r="BK7" s="8" t="s">
        <v>269</v>
      </c>
      <c r="BL7" s="8" t="s">
        <v>269</v>
      </c>
      <c r="BM7" s="8" t="s">
        <v>269</v>
      </c>
      <c r="BN7" s="8" t="s">
        <v>269</v>
      </c>
      <c r="BO7" s="8" t="s">
        <v>269</v>
      </c>
    </row>
    <row r="8" spans="1:67" ht="31.5" hidden="1" customHeight="1" x14ac:dyDescent="0.3">
      <c r="B8" s="213"/>
      <c r="C8" s="8" t="s">
        <v>203</v>
      </c>
      <c r="D8" s="7" t="s">
        <v>267</v>
      </c>
      <c r="E8" s="45">
        <v>5</v>
      </c>
      <c r="F8" s="45">
        <v>8</v>
      </c>
      <c r="G8" s="45">
        <v>8</v>
      </c>
      <c r="H8" s="45">
        <v>8</v>
      </c>
      <c r="I8" s="45">
        <v>8</v>
      </c>
      <c r="J8" s="45">
        <v>8</v>
      </c>
      <c r="K8" s="45">
        <v>9</v>
      </c>
      <c r="L8" s="117">
        <v>0</v>
      </c>
      <c r="M8" s="117">
        <v>0</v>
      </c>
      <c r="N8" s="117">
        <v>0</v>
      </c>
      <c r="O8" s="117">
        <v>0</v>
      </c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45">
        <v>5</v>
      </c>
      <c r="AI8" s="36">
        <f>VLOOKUP(C8,[1]인천!$B:$E,4,0)</f>
        <v>44242</v>
      </c>
      <c r="AJ8" s="36">
        <v>44371</v>
      </c>
      <c r="AK8" s="45">
        <v>44000</v>
      </c>
      <c r="AL8" s="36">
        <v>44806</v>
      </c>
      <c r="AM8" s="146" t="s">
        <v>506</v>
      </c>
      <c r="AN8" s="8" t="s">
        <v>311</v>
      </c>
      <c r="AO8" s="8" t="s">
        <v>408</v>
      </c>
      <c r="AP8" s="8" t="s">
        <v>311</v>
      </c>
      <c r="AQ8" s="8" t="s">
        <v>311</v>
      </c>
      <c r="AR8" s="8" t="s">
        <v>311</v>
      </c>
      <c r="AS8" s="144" t="s">
        <v>311</v>
      </c>
      <c r="AT8" s="8" t="s">
        <v>488</v>
      </c>
      <c r="AU8" s="8" t="s">
        <v>488</v>
      </c>
      <c r="AV8" s="8" t="s">
        <v>488</v>
      </c>
      <c r="AW8" s="8" t="s">
        <v>488</v>
      </c>
      <c r="AX8" s="8" t="s">
        <v>437</v>
      </c>
      <c r="AY8" s="8" t="s">
        <v>437</v>
      </c>
      <c r="AZ8" s="8" t="s">
        <v>437</v>
      </c>
      <c r="BA8" s="8" t="s">
        <v>437</v>
      </c>
      <c r="BB8" s="8" t="s">
        <v>437</v>
      </c>
      <c r="BC8" s="8" t="s">
        <v>437</v>
      </c>
      <c r="BD8" s="8" t="s">
        <v>437</v>
      </c>
      <c r="BE8" s="8" t="s">
        <v>437</v>
      </c>
      <c r="BF8" s="8" t="s">
        <v>437</v>
      </c>
      <c r="BG8" s="8" t="s">
        <v>437</v>
      </c>
      <c r="BH8" s="8" t="s">
        <v>437</v>
      </c>
      <c r="BI8" s="8" t="s">
        <v>437</v>
      </c>
      <c r="BJ8" s="8" t="s">
        <v>437</v>
      </c>
      <c r="BK8" s="8" t="s">
        <v>437</v>
      </c>
      <c r="BL8" s="8" t="s">
        <v>437</v>
      </c>
      <c r="BM8" s="8" t="s">
        <v>437</v>
      </c>
      <c r="BN8" s="8" t="s">
        <v>437</v>
      </c>
      <c r="BO8" s="8" t="s">
        <v>437</v>
      </c>
    </row>
    <row r="9" spans="1:67" ht="20.100000000000001" customHeight="1" x14ac:dyDescent="0.3">
      <c r="B9" s="213"/>
      <c r="C9" s="8" t="s">
        <v>204</v>
      </c>
      <c r="D9" s="7" t="s">
        <v>267</v>
      </c>
      <c r="E9" s="45">
        <v>1</v>
      </c>
      <c r="F9" s="45">
        <v>1</v>
      </c>
      <c r="G9" s="45">
        <v>1</v>
      </c>
      <c r="H9" s="45">
        <v>1</v>
      </c>
      <c r="I9" s="45">
        <v>1</v>
      </c>
      <c r="J9" s="45">
        <v>1</v>
      </c>
      <c r="K9" s="45">
        <v>1</v>
      </c>
      <c r="L9" s="45">
        <v>1</v>
      </c>
      <c r="M9" s="45">
        <v>1</v>
      </c>
      <c r="N9" s="45">
        <v>1</v>
      </c>
      <c r="O9" s="45">
        <v>1</v>
      </c>
      <c r="P9" s="45">
        <v>1</v>
      </c>
      <c r="Q9" s="45">
        <v>1</v>
      </c>
      <c r="R9" s="45">
        <v>1</v>
      </c>
      <c r="S9" s="45">
        <v>1</v>
      </c>
      <c r="T9" s="45">
        <v>1</v>
      </c>
      <c r="U9" s="45">
        <v>1</v>
      </c>
      <c r="V9" s="45">
        <v>1</v>
      </c>
      <c r="W9" s="45">
        <v>1</v>
      </c>
      <c r="X9" s="45">
        <v>1</v>
      </c>
      <c r="Y9" s="45">
        <v>1</v>
      </c>
      <c r="Z9" s="45">
        <v>1</v>
      </c>
      <c r="AA9" s="45">
        <v>1</v>
      </c>
      <c r="AB9" s="45">
        <v>1</v>
      </c>
      <c r="AC9" s="45">
        <v>1</v>
      </c>
      <c r="AD9" s="45">
        <v>1</v>
      </c>
      <c r="AE9" s="45">
        <v>1</v>
      </c>
      <c r="AF9" s="45">
        <v>1</v>
      </c>
      <c r="AG9" s="45">
        <v>1</v>
      </c>
      <c r="AH9" s="45">
        <v>1</v>
      </c>
      <c r="AI9" s="36">
        <f>VLOOKUP(C9,[1]인천!$B:$E,4,0)</f>
        <v>43336</v>
      </c>
      <c r="AJ9" s="36">
        <v>44091</v>
      </c>
      <c r="AK9" s="45">
        <v>66200</v>
      </c>
      <c r="AL9" s="36">
        <v>44657</v>
      </c>
      <c r="AM9" s="8"/>
      <c r="AN9" s="8" t="s">
        <v>311</v>
      </c>
      <c r="AO9" s="8" t="s">
        <v>311</v>
      </c>
      <c r="AP9" s="8" t="s">
        <v>311</v>
      </c>
      <c r="AQ9" s="8" t="s">
        <v>311</v>
      </c>
      <c r="AR9" s="8" t="s">
        <v>311</v>
      </c>
      <c r="AS9" s="144" t="s">
        <v>311</v>
      </c>
      <c r="AT9" s="8" t="s">
        <v>489</v>
      </c>
      <c r="AU9" s="8" t="s">
        <v>494</v>
      </c>
      <c r="AV9" s="8" t="s">
        <v>494</v>
      </c>
      <c r="AW9" s="8" t="s">
        <v>494</v>
      </c>
      <c r="AX9" s="8" t="s">
        <v>494</v>
      </c>
      <c r="AY9" s="8" t="s">
        <v>494</v>
      </c>
      <c r="AZ9" s="8" t="s">
        <v>494</v>
      </c>
      <c r="BA9" s="8" t="s">
        <v>494</v>
      </c>
      <c r="BB9" s="8" t="s">
        <v>494</v>
      </c>
      <c r="BC9" s="8" t="s">
        <v>494</v>
      </c>
      <c r="BD9" s="8" t="s">
        <v>529</v>
      </c>
      <c r="BE9" s="8" t="s">
        <v>529</v>
      </c>
      <c r="BF9" s="8" t="s">
        <v>529</v>
      </c>
      <c r="BG9" s="8" t="s">
        <v>529</v>
      </c>
      <c r="BH9" s="8" t="s">
        <v>494</v>
      </c>
      <c r="BI9" s="8" t="s">
        <v>494</v>
      </c>
      <c r="BJ9" s="8" t="s">
        <v>494</v>
      </c>
      <c r="BK9" s="8" t="s">
        <v>494</v>
      </c>
      <c r="BL9" s="8" t="s">
        <v>494</v>
      </c>
      <c r="BM9" s="8" t="s">
        <v>494</v>
      </c>
      <c r="BN9" s="8" t="s">
        <v>494</v>
      </c>
      <c r="BO9" s="8" t="s">
        <v>494</v>
      </c>
    </row>
    <row r="10" spans="1:67" ht="20.100000000000001" hidden="1" customHeight="1" x14ac:dyDescent="0.3">
      <c r="B10" s="213"/>
      <c r="C10" s="8" t="s">
        <v>205</v>
      </c>
      <c r="D10" s="7" t="s">
        <v>267</v>
      </c>
      <c r="E10" s="45">
        <v>3</v>
      </c>
      <c r="F10" s="117">
        <v>0</v>
      </c>
      <c r="G10" s="45">
        <v>0</v>
      </c>
      <c r="H10" s="45">
        <v>0</v>
      </c>
      <c r="I10" s="45"/>
      <c r="J10" s="45"/>
      <c r="K10" s="45"/>
      <c r="L10" s="45" t="e">
        <v>#N/A</v>
      </c>
      <c r="M10" s="45" t="e">
        <v>#N/A</v>
      </c>
      <c r="N10" s="45" t="e">
        <v>#N/A</v>
      </c>
      <c r="O10" s="45" t="e">
        <v>#N/A</v>
      </c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>
        <v>3</v>
      </c>
      <c r="AI10" s="36">
        <f>VLOOKUP(C10,[1]인천!$B:$E,4,0)</f>
        <v>43053</v>
      </c>
      <c r="AJ10" s="36" t="s">
        <v>252</v>
      </c>
      <c r="AK10" s="45">
        <v>39500</v>
      </c>
      <c r="AL10" s="36">
        <v>43549</v>
      </c>
      <c r="AM10" s="8" t="s">
        <v>271</v>
      </c>
      <c r="AN10" s="8" t="s">
        <v>269</v>
      </c>
      <c r="AO10" s="103" t="s">
        <v>402</v>
      </c>
      <c r="AP10" s="8"/>
      <c r="AQ10" s="8"/>
      <c r="AR10" s="8"/>
      <c r="AS10" s="144"/>
      <c r="AT10" s="37"/>
      <c r="AU10" s="37"/>
      <c r="AV10" s="37"/>
      <c r="AW10" s="37"/>
      <c r="AX10" s="37" t="s">
        <v>272</v>
      </c>
      <c r="AY10" s="37" t="s">
        <v>272</v>
      </c>
      <c r="AZ10" s="37" t="s">
        <v>272</v>
      </c>
      <c r="BA10" s="37" t="s">
        <v>272</v>
      </c>
      <c r="BB10" s="37" t="s">
        <v>272</v>
      </c>
      <c r="BC10" s="37" t="s">
        <v>272</v>
      </c>
      <c r="BD10" s="37" t="s">
        <v>272</v>
      </c>
      <c r="BE10" s="37" t="s">
        <v>272</v>
      </c>
      <c r="BF10" s="37" t="s">
        <v>272</v>
      </c>
      <c r="BG10" s="37" t="s">
        <v>272</v>
      </c>
      <c r="BH10" s="37" t="s">
        <v>272</v>
      </c>
      <c r="BI10" s="37" t="s">
        <v>272</v>
      </c>
      <c r="BJ10" s="37" t="s">
        <v>272</v>
      </c>
      <c r="BK10" s="37" t="s">
        <v>272</v>
      </c>
      <c r="BL10" s="37" t="s">
        <v>272</v>
      </c>
      <c r="BM10" s="37" t="s">
        <v>272</v>
      </c>
      <c r="BN10" s="37" t="s">
        <v>272</v>
      </c>
      <c r="BO10" s="37" t="s">
        <v>272</v>
      </c>
    </row>
    <row r="11" spans="1:67" ht="20.100000000000001" hidden="1" customHeight="1" x14ac:dyDescent="0.3">
      <c r="A11" s="1"/>
      <c r="B11" s="213"/>
      <c r="C11" s="15" t="s">
        <v>276</v>
      </c>
      <c r="D11" s="12" t="s">
        <v>70</v>
      </c>
      <c r="E11" s="119">
        <v>10</v>
      </c>
      <c r="F11" s="115">
        <v>0</v>
      </c>
      <c r="G11" s="115">
        <v>0</v>
      </c>
      <c r="H11" s="115">
        <v>0</v>
      </c>
      <c r="I11" s="115"/>
      <c r="J11" s="115"/>
      <c r="K11" s="115"/>
      <c r="L11" s="45" t="e">
        <v>#N/A</v>
      </c>
      <c r="M11" s="45" t="e">
        <v>#N/A</v>
      </c>
      <c r="N11" s="45" t="e">
        <v>#N/A</v>
      </c>
      <c r="O11" s="45" t="e">
        <v>#N/A</v>
      </c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79"/>
      <c r="AI11" s="12"/>
      <c r="AJ11" s="12" t="s">
        <v>288</v>
      </c>
      <c r="AK11" s="119">
        <v>54500</v>
      </c>
      <c r="AL11" s="12"/>
      <c r="AM11" s="92" t="s">
        <v>430</v>
      </c>
      <c r="AN11" s="15" t="s">
        <v>349</v>
      </c>
      <c r="AO11" s="92" t="s">
        <v>430</v>
      </c>
      <c r="AP11" s="92"/>
      <c r="AQ11" s="92"/>
      <c r="AR11" s="92"/>
      <c r="AS11" s="145"/>
      <c r="AT11" s="130"/>
      <c r="AU11" s="130"/>
      <c r="AV11" s="130"/>
      <c r="AW11" s="130"/>
      <c r="AX11" s="130" t="s">
        <v>527</v>
      </c>
      <c r="AY11" s="130" t="s">
        <v>527</v>
      </c>
      <c r="AZ11" s="130" t="s">
        <v>527</v>
      </c>
      <c r="BA11" s="130" t="s">
        <v>527</v>
      </c>
      <c r="BB11" s="130" t="s">
        <v>527</v>
      </c>
      <c r="BC11" s="130" t="s">
        <v>527</v>
      </c>
      <c r="BD11" s="130" t="s">
        <v>527</v>
      </c>
      <c r="BE11" s="130" t="s">
        <v>527</v>
      </c>
      <c r="BF11" s="130" t="s">
        <v>527</v>
      </c>
      <c r="BG11" s="130" t="s">
        <v>527</v>
      </c>
      <c r="BH11" s="130" t="s">
        <v>527</v>
      </c>
      <c r="BI11" s="130" t="s">
        <v>527</v>
      </c>
      <c r="BJ11" s="130" t="s">
        <v>527</v>
      </c>
      <c r="BK11" s="130" t="s">
        <v>527</v>
      </c>
      <c r="BL11" s="130" t="s">
        <v>527</v>
      </c>
      <c r="BM11" s="130" t="s">
        <v>527</v>
      </c>
      <c r="BN11" s="130" t="s">
        <v>527</v>
      </c>
      <c r="BO11" s="130" t="s">
        <v>527</v>
      </c>
    </row>
    <row r="12" spans="1:67" ht="20.100000000000001" hidden="1" customHeight="1" x14ac:dyDescent="0.3">
      <c r="A12" s="1"/>
      <c r="B12" s="213"/>
      <c r="C12" s="15" t="s">
        <v>278</v>
      </c>
      <c r="D12" s="12" t="s">
        <v>70</v>
      </c>
      <c r="E12" s="119">
        <v>3</v>
      </c>
      <c r="F12" s="115">
        <v>0</v>
      </c>
      <c r="G12" s="115">
        <v>0</v>
      </c>
      <c r="H12" s="115">
        <v>0</v>
      </c>
      <c r="I12" s="115"/>
      <c r="J12" s="115"/>
      <c r="K12" s="115"/>
      <c r="L12" s="45">
        <v>0</v>
      </c>
      <c r="M12" s="45">
        <v>0</v>
      </c>
      <c r="N12" s="45">
        <v>0</v>
      </c>
      <c r="O12" s="45">
        <v>0</v>
      </c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79"/>
      <c r="AI12" s="12"/>
      <c r="AJ12" s="12" t="s">
        <v>289</v>
      </c>
      <c r="AK12" s="119">
        <v>40100</v>
      </c>
      <c r="AL12" s="12" t="s">
        <v>304</v>
      </c>
      <c r="AM12" s="92" t="s">
        <v>430</v>
      </c>
      <c r="AN12" s="15" t="s">
        <v>318</v>
      </c>
      <c r="AO12" s="92" t="s">
        <v>430</v>
      </c>
      <c r="AP12" s="92"/>
      <c r="AQ12" s="92"/>
      <c r="AR12" s="92"/>
      <c r="AS12" s="145"/>
      <c r="AT12" s="130"/>
      <c r="AU12" s="130"/>
      <c r="AV12" s="130"/>
      <c r="AW12" s="130"/>
      <c r="AX12" s="130" t="s">
        <v>269</v>
      </c>
      <c r="AY12" s="130" t="s">
        <v>269</v>
      </c>
      <c r="AZ12" s="130" t="s">
        <v>269</v>
      </c>
      <c r="BA12" s="130" t="s">
        <v>269</v>
      </c>
      <c r="BB12" s="130" t="s">
        <v>269</v>
      </c>
      <c r="BC12" s="130" t="s">
        <v>269</v>
      </c>
      <c r="BD12" s="130" t="s">
        <v>269</v>
      </c>
      <c r="BE12" s="130" t="s">
        <v>269</v>
      </c>
      <c r="BF12" s="130" t="s">
        <v>269</v>
      </c>
      <c r="BG12" s="130" t="s">
        <v>269</v>
      </c>
      <c r="BH12" s="130" t="s">
        <v>269</v>
      </c>
      <c r="BI12" s="130" t="s">
        <v>269</v>
      </c>
      <c r="BJ12" s="130" t="s">
        <v>269</v>
      </c>
      <c r="BK12" s="130" t="s">
        <v>269</v>
      </c>
      <c r="BL12" s="130" t="s">
        <v>269</v>
      </c>
      <c r="BM12" s="130" t="s">
        <v>269</v>
      </c>
      <c r="BN12" s="130" t="s">
        <v>269</v>
      </c>
      <c r="BO12" s="130" t="s">
        <v>269</v>
      </c>
    </row>
    <row r="13" spans="1:67" ht="20.100000000000001" hidden="1" customHeight="1" x14ac:dyDescent="0.3">
      <c r="A13" s="1"/>
      <c r="B13" s="213"/>
      <c r="C13" s="8" t="s">
        <v>279</v>
      </c>
      <c r="D13" s="7" t="s">
        <v>70</v>
      </c>
      <c r="E13" s="81">
        <v>0</v>
      </c>
      <c r="F13" s="147">
        <v>0</v>
      </c>
      <c r="G13" s="147">
        <v>0</v>
      </c>
      <c r="H13" s="124">
        <v>5</v>
      </c>
      <c r="I13" s="124">
        <v>5</v>
      </c>
      <c r="J13" s="124">
        <v>5</v>
      </c>
      <c r="K13" s="124">
        <v>5</v>
      </c>
      <c r="L13" s="45">
        <v>5</v>
      </c>
      <c r="M13" s="45">
        <v>5</v>
      </c>
      <c r="N13" s="45">
        <v>5</v>
      </c>
      <c r="O13" s="45">
        <v>5</v>
      </c>
      <c r="P13" s="45">
        <v>5</v>
      </c>
      <c r="Q13" s="45">
        <v>1</v>
      </c>
      <c r="R13" s="117">
        <v>0</v>
      </c>
      <c r="S13" s="117">
        <v>0</v>
      </c>
      <c r="T13" s="117">
        <v>0</v>
      </c>
      <c r="U13" s="117">
        <v>0</v>
      </c>
      <c r="V13" s="117">
        <v>0</v>
      </c>
      <c r="W13" s="117">
        <v>0</v>
      </c>
      <c r="X13" s="117">
        <v>0</v>
      </c>
      <c r="Y13" s="117">
        <v>0</v>
      </c>
      <c r="Z13" s="117">
        <v>0</v>
      </c>
      <c r="AA13" s="117">
        <v>0</v>
      </c>
      <c r="AB13" s="117">
        <v>0</v>
      </c>
      <c r="AC13" s="117">
        <v>0</v>
      </c>
      <c r="AD13" s="117">
        <v>0</v>
      </c>
      <c r="AE13" s="117">
        <v>0</v>
      </c>
      <c r="AF13" s="117">
        <v>0</v>
      </c>
      <c r="AG13" s="117">
        <v>0</v>
      </c>
      <c r="AH13" s="125"/>
      <c r="AI13" s="87"/>
      <c r="AJ13" s="87" t="s">
        <v>290</v>
      </c>
      <c r="AK13" s="95">
        <v>46500</v>
      </c>
      <c r="AL13" s="87"/>
      <c r="AM13" s="92" t="s">
        <v>551</v>
      </c>
      <c r="AN13" s="15" t="s">
        <v>318</v>
      </c>
      <c r="AO13" s="92" t="s">
        <v>430</v>
      </c>
      <c r="AP13" s="92"/>
      <c r="AQ13" s="92" t="s">
        <v>437</v>
      </c>
      <c r="AR13" s="92" t="s">
        <v>437</v>
      </c>
      <c r="AS13" s="145" t="s">
        <v>490</v>
      </c>
      <c r="AT13" s="92" t="s">
        <v>438</v>
      </c>
      <c r="AU13" s="92" t="s">
        <v>438</v>
      </c>
      <c r="AV13" s="92" t="s">
        <v>438</v>
      </c>
      <c r="AW13" s="92" t="s">
        <v>438</v>
      </c>
      <c r="AX13" s="92" t="s">
        <v>528</v>
      </c>
      <c r="AY13" s="92" t="s">
        <v>528</v>
      </c>
      <c r="AZ13" s="92" t="s">
        <v>528</v>
      </c>
      <c r="BA13" s="92" t="s">
        <v>528</v>
      </c>
      <c r="BB13" s="92" t="s">
        <v>528</v>
      </c>
      <c r="BC13" s="92" t="s">
        <v>528</v>
      </c>
      <c r="BD13" s="92" t="s">
        <v>528</v>
      </c>
      <c r="BE13" s="92" t="s">
        <v>528</v>
      </c>
      <c r="BF13" s="92" t="s">
        <v>528</v>
      </c>
      <c r="BG13" s="92" t="s">
        <v>528</v>
      </c>
      <c r="BH13" s="92" t="s">
        <v>528</v>
      </c>
      <c r="BI13" s="92" t="s">
        <v>528</v>
      </c>
      <c r="BJ13" s="92" t="s">
        <v>528</v>
      </c>
      <c r="BK13" s="92" t="s">
        <v>528</v>
      </c>
      <c r="BL13" s="92" t="s">
        <v>528</v>
      </c>
      <c r="BM13" s="92" t="s">
        <v>528</v>
      </c>
      <c r="BN13" s="92" t="s">
        <v>528</v>
      </c>
      <c r="BO13" s="92" t="s">
        <v>528</v>
      </c>
    </row>
    <row r="14" spans="1:67" ht="20.100000000000001" hidden="1" customHeight="1" x14ac:dyDescent="0.3">
      <c r="A14" s="1"/>
      <c r="B14" s="213"/>
      <c r="C14" s="8" t="s">
        <v>282</v>
      </c>
      <c r="D14" s="7" t="s">
        <v>3</v>
      </c>
      <c r="E14" s="81"/>
      <c r="F14" s="112"/>
      <c r="G14" s="112"/>
      <c r="H14" s="124">
        <v>0</v>
      </c>
      <c r="I14" s="124"/>
      <c r="J14" s="124"/>
      <c r="K14" s="124"/>
      <c r="L14" s="45" t="e">
        <v>#N/A</v>
      </c>
      <c r="M14" s="45" t="e">
        <v>#N/A</v>
      </c>
      <c r="N14" s="45" t="e">
        <v>#N/A</v>
      </c>
      <c r="O14" s="45" t="e">
        <v>#N/A</v>
      </c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125"/>
      <c r="AI14" s="87"/>
      <c r="AJ14" s="87" t="s">
        <v>292</v>
      </c>
      <c r="AK14" s="95">
        <v>43380</v>
      </c>
      <c r="AL14" s="87" t="s">
        <v>303</v>
      </c>
      <c r="AM14" s="92" t="s">
        <v>430</v>
      </c>
      <c r="AN14" s="15" t="s">
        <v>318</v>
      </c>
      <c r="AO14" s="92" t="s">
        <v>430</v>
      </c>
      <c r="AP14" s="92"/>
      <c r="AQ14" s="92"/>
      <c r="AR14" s="92"/>
      <c r="AS14" s="145"/>
      <c r="AT14" s="130"/>
      <c r="AU14" s="130"/>
      <c r="AV14" s="130"/>
      <c r="AW14" s="130"/>
      <c r="AX14" s="130" t="s">
        <v>317</v>
      </c>
      <c r="AY14" s="130" t="s">
        <v>317</v>
      </c>
      <c r="AZ14" s="130" t="s">
        <v>317</v>
      </c>
      <c r="BA14" s="130" t="s">
        <v>317</v>
      </c>
      <c r="BB14" s="130" t="s">
        <v>317</v>
      </c>
      <c r="BC14" s="130" t="s">
        <v>317</v>
      </c>
      <c r="BD14" s="130" t="s">
        <v>317</v>
      </c>
      <c r="BE14" s="130" t="s">
        <v>317</v>
      </c>
      <c r="BF14" s="130" t="s">
        <v>317</v>
      </c>
      <c r="BG14" s="130" t="s">
        <v>317</v>
      </c>
      <c r="BH14" s="130" t="s">
        <v>317</v>
      </c>
      <c r="BI14" s="130" t="s">
        <v>317</v>
      </c>
      <c r="BJ14" s="130" t="s">
        <v>317</v>
      </c>
      <c r="BK14" s="130" t="s">
        <v>317</v>
      </c>
      <c r="BL14" s="130" t="s">
        <v>317</v>
      </c>
      <c r="BM14" s="130" t="s">
        <v>317</v>
      </c>
      <c r="BN14" s="130" t="s">
        <v>317</v>
      </c>
      <c r="BO14" s="130" t="s">
        <v>317</v>
      </c>
    </row>
    <row r="15" spans="1:67" ht="20.100000000000001" hidden="1" customHeight="1" x14ac:dyDescent="0.3">
      <c r="A15" s="1"/>
      <c r="B15" s="213"/>
      <c r="C15" s="8" t="s">
        <v>465</v>
      </c>
      <c r="D15" s="7" t="s">
        <v>85</v>
      </c>
      <c r="E15" s="81">
        <v>0</v>
      </c>
      <c r="F15" s="112">
        <v>0</v>
      </c>
      <c r="G15" s="112">
        <v>0</v>
      </c>
      <c r="H15" s="124">
        <v>39</v>
      </c>
      <c r="I15" s="124">
        <v>39</v>
      </c>
      <c r="J15" s="112">
        <v>0</v>
      </c>
      <c r="K15" s="112">
        <v>0</v>
      </c>
      <c r="L15" s="45" t="e">
        <v>#N/A</v>
      </c>
      <c r="M15" s="45" t="e">
        <v>#N/A</v>
      </c>
      <c r="N15" s="45" t="e">
        <v>#N/A</v>
      </c>
      <c r="O15" s="45" t="e">
        <v>#N/A</v>
      </c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125"/>
      <c r="AI15" s="87"/>
      <c r="AJ15" s="87" t="s">
        <v>293</v>
      </c>
      <c r="AK15" s="95">
        <v>66150</v>
      </c>
      <c r="AL15" s="87" t="s">
        <v>302</v>
      </c>
      <c r="AM15" s="92" t="s">
        <v>444</v>
      </c>
      <c r="AN15" s="15" t="s">
        <v>318</v>
      </c>
      <c r="AO15" s="92" t="s">
        <v>430</v>
      </c>
      <c r="AP15" s="92"/>
      <c r="AQ15" s="8" t="s">
        <v>438</v>
      </c>
      <c r="AR15" s="8" t="s">
        <v>438</v>
      </c>
      <c r="AS15" s="144" t="s">
        <v>472</v>
      </c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3"/>
      <c r="BN15" s="103"/>
      <c r="BO15" s="103"/>
    </row>
    <row r="16" spans="1:67" ht="39.950000000000003" hidden="1" customHeight="1" x14ac:dyDescent="0.3">
      <c r="B16" s="213" t="s">
        <v>231</v>
      </c>
      <c r="C16" s="8" t="s">
        <v>206</v>
      </c>
      <c r="D16" s="7" t="s">
        <v>267</v>
      </c>
      <c r="E16" s="45">
        <v>5</v>
      </c>
      <c r="F16" s="45">
        <v>3</v>
      </c>
      <c r="G16" s="45">
        <v>3</v>
      </c>
      <c r="H16" s="45">
        <v>3</v>
      </c>
      <c r="I16" s="45">
        <v>1</v>
      </c>
      <c r="J16" s="45">
        <v>1</v>
      </c>
      <c r="K16" s="45">
        <v>1</v>
      </c>
      <c r="L16" s="117">
        <v>0</v>
      </c>
      <c r="M16" s="117">
        <v>0</v>
      </c>
      <c r="N16" s="117">
        <v>0</v>
      </c>
      <c r="O16" s="117">
        <v>0</v>
      </c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45">
        <v>5</v>
      </c>
      <c r="AI16" s="36">
        <f>VLOOKUP(C16,[1]인천!$B:$E,4,0)</f>
        <v>44246</v>
      </c>
      <c r="AJ16" s="36">
        <v>44392</v>
      </c>
      <c r="AK16" s="45">
        <v>43500</v>
      </c>
      <c r="AL16" s="36">
        <v>44698</v>
      </c>
      <c r="AM16" s="152" t="s">
        <v>507</v>
      </c>
      <c r="AN16" s="8" t="s">
        <v>312</v>
      </c>
      <c r="AO16" s="8" t="s">
        <v>409</v>
      </c>
      <c r="AP16" s="8" t="s">
        <v>312</v>
      </c>
      <c r="AQ16" s="8" t="s">
        <v>312</v>
      </c>
      <c r="AR16" s="37" t="s">
        <v>453</v>
      </c>
      <c r="AS16" s="144" t="s">
        <v>491</v>
      </c>
      <c r="AT16" s="37" t="s">
        <v>491</v>
      </c>
      <c r="AU16" s="153" t="s">
        <v>491</v>
      </c>
      <c r="AV16" s="153" t="s">
        <v>491</v>
      </c>
      <c r="AW16" s="153" t="s">
        <v>491</v>
      </c>
      <c r="AX16" s="153" t="s">
        <v>491</v>
      </c>
      <c r="AY16" s="153" t="s">
        <v>491</v>
      </c>
      <c r="AZ16" s="153" t="s">
        <v>491</v>
      </c>
      <c r="BA16" s="153" t="s">
        <v>491</v>
      </c>
      <c r="BB16" s="153" t="s">
        <v>491</v>
      </c>
      <c r="BC16" s="153" t="s">
        <v>491</v>
      </c>
      <c r="BD16" s="153" t="s">
        <v>491</v>
      </c>
      <c r="BE16" s="153" t="s">
        <v>491</v>
      </c>
      <c r="BF16" s="153" t="s">
        <v>491</v>
      </c>
      <c r="BG16" s="153" t="s">
        <v>491</v>
      </c>
      <c r="BH16" s="153" t="s">
        <v>491</v>
      </c>
      <c r="BI16" s="153" t="s">
        <v>491</v>
      </c>
      <c r="BJ16" s="153" t="s">
        <v>491</v>
      </c>
      <c r="BK16" s="153" t="s">
        <v>491</v>
      </c>
      <c r="BL16" s="153" t="s">
        <v>491</v>
      </c>
      <c r="BM16" s="153" t="s">
        <v>491</v>
      </c>
      <c r="BN16" s="153" t="s">
        <v>491</v>
      </c>
      <c r="BO16" s="153" t="s">
        <v>491</v>
      </c>
    </row>
    <row r="17" spans="2:67" ht="20.100000000000001" hidden="1" customHeight="1" x14ac:dyDescent="0.3">
      <c r="B17" s="213"/>
      <c r="C17" s="8" t="s">
        <v>207</v>
      </c>
      <c r="D17" s="7" t="s">
        <v>266</v>
      </c>
      <c r="E17" s="45">
        <v>5</v>
      </c>
      <c r="F17" s="45">
        <v>5</v>
      </c>
      <c r="G17" s="45">
        <v>5</v>
      </c>
      <c r="H17" s="45">
        <v>5</v>
      </c>
      <c r="I17" s="45">
        <v>5</v>
      </c>
      <c r="J17" s="45">
        <v>5</v>
      </c>
      <c r="K17" s="45">
        <v>5</v>
      </c>
      <c r="L17" s="117">
        <v>0</v>
      </c>
      <c r="M17" s="117">
        <v>0</v>
      </c>
      <c r="N17" s="117">
        <v>0</v>
      </c>
      <c r="O17" s="117">
        <v>0</v>
      </c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45">
        <v>5</v>
      </c>
      <c r="AI17" s="36"/>
      <c r="AJ17" s="36">
        <v>43872</v>
      </c>
      <c r="AK17" s="45">
        <v>44000</v>
      </c>
      <c r="AL17" s="36">
        <v>44784</v>
      </c>
      <c r="AM17" s="8" t="s">
        <v>508</v>
      </c>
      <c r="AN17" s="8" t="s">
        <v>312</v>
      </c>
      <c r="AO17" s="8" t="s">
        <v>312</v>
      </c>
      <c r="AP17" s="8" t="s">
        <v>312</v>
      </c>
      <c r="AQ17" s="8" t="s">
        <v>312</v>
      </c>
      <c r="AR17" s="8" t="s">
        <v>312</v>
      </c>
      <c r="AS17" s="144" t="s">
        <v>491</v>
      </c>
      <c r="AT17" s="8" t="s">
        <v>491</v>
      </c>
      <c r="AU17" s="8" t="s">
        <v>491</v>
      </c>
      <c r="AV17" s="8" t="s">
        <v>491</v>
      </c>
      <c r="AW17" s="8" t="s">
        <v>491</v>
      </c>
      <c r="AX17" s="8" t="s">
        <v>491</v>
      </c>
      <c r="AY17" s="8" t="s">
        <v>491</v>
      </c>
      <c r="AZ17" s="8" t="s">
        <v>491</v>
      </c>
      <c r="BA17" s="8" t="s">
        <v>491</v>
      </c>
      <c r="BB17" s="8" t="s">
        <v>491</v>
      </c>
      <c r="BC17" s="8" t="s">
        <v>491</v>
      </c>
      <c r="BD17" s="8" t="s">
        <v>491</v>
      </c>
      <c r="BE17" s="8" t="s">
        <v>491</v>
      </c>
      <c r="BF17" s="8" t="s">
        <v>491</v>
      </c>
      <c r="BG17" s="8" t="s">
        <v>491</v>
      </c>
      <c r="BH17" s="8" t="s">
        <v>491</v>
      </c>
      <c r="BI17" s="8" t="s">
        <v>491</v>
      </c>
      <c r="BJ17" s="8" t="s">
        <v>491</v>
      </c>
      <c r="BK17" s="8" t="s">
        <v>491</v>
      </c>
      <c r="BL17" s="8" t="s">
        <v>491</v>
      </c>
      <c r="BM17" s="8" t="s">
        <v>491</v>
      </c>
      <c r="BN17" s="8" t="s">
        <v>491</v>
      </c>
      <c r="BO17" s="8" t="s">
        <v>491</v>
      </c>
    </row>
    <row r="18" spans="2:67" ht="20.100000000000001" hidden="1" customHeight="1" x14ac:dyDescent="0.3">
      <c r="B18" s="213"/>
      <c r="C18" s="8" t="s">
        <v>208</v>
      </c>
      <c r="D18" s="7" t="s">
        <v>267</v>
      </c>
      <c r="E18" s="45">
        <v>3</v>
      </c>
      <c r="F18" s="45">
        <v>3</v>
      </c>
      <c r="G18" s="45">
        <v>3</v>
      </c>
      <c r="H18" s="45">
        <v>3</v>
      </c>
      <c r="I18" s="45">
        <v>3</v>
      </c>
      <c r="J18" s="45">
        <v>3</v>
      </c>
      <c r="K18" s="45">
        <v>3</v>
      </c>
      <c r="L18" s="117">
        <v>0</v>
      </c>
      <c r="M18" s="117">
        <v>0</v>
      </c>
      <c r="N18" s="117">
        <v>0</v>
      </c>
      <c r="O18" s="117">
        <v>0</v>
      </c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45">
        <v>3</v>
      </c>
      <c r="AI18" s="36">
        <f>VLOOKUP(C18,[1]인천!$B:$E,4,0)</f>
        <v>43467</v>
      </c>
      <c r="AJ18" s="36">
        <v>44175</v>
      </c>
      <c r="AK18" s="45">
        <v>63636.36</v>
      </c>
      <c r="AL18" s="36">
        <v>44442</v>
      </c>
      <c r="AM18" s="8" t="s">
        <v>509</v>
      </c>
      <c r="AN18" s="8" t="s">
        <v>313</v>
      </c>
      <c r="AO18" s="8" t="s">
        <v>313</v>
      </c>
      <c r="AP18" s="8" t="s">
        <v>313</v>
      </c>
      <c r="AQ18" s="8" t="s">
        <v>313</v>
      </c>
      <c r="AR18" s="8" t="s">
        <v>313</v>
      </c>
      <c r="AS18" s="144" t="s">
        <v>313</v>
      </c>
      <c r="AT18" s="144" t="s">
        <v>313</v>
      </c>
      <c r="AU18" s="144" t="s">
        <v>313</v>
      </c>
      <c r="AV18" s="144" t="s">
        <v>313</v>
      </c>
      <c r="AW18" s="144" t="s">
        <v>313</v>
      </c>
      <c r="AX18" s="144" t="s">
        <v>313</v>
      </c>
      <c r="AY18" s="144" t="s">
        <v>313</v>
      </c>
      <c r="AZ18" s="144" t="s">
        <v>313</v>
      </c>
      <c r="BA18" s="144" t="s">
        <v>313</v>
      </c>
      <c r="BB18" s="144" t="s">
        <v>313</v>
      </c>
      <c r="BC18" s="144" t="s">
        <v>313</v>
      </c>
      <c r="BD18" s="144" t="s">
        <v>313</v>
      </c>
      <c r="BE18" s="144" t="s">
        <v>313</v>
      </c>
      <c r="BF18" s="144" t="s">
        <v>313</v>
      </c>
      <c r="BG18" s="144" t="s">
        <v>313</v>
      </c>
      <c r="BH18" s="144" t="s">
        <v>313</v>
      </c>
      <c r="BI18" s="144" t="s">
        <v>313</v>
      </c>
      <c r="BJ18" s="144" t="s">
        <v>313</v>
      </c>
      <c r="BK18" s="144" t="s">
        <v>313</v>
      </c>
      <c r="BL18" s="144" t="s">
        <v>313</v>
      </c>
      <c r="BM18" s="144" t="s">
        <v>313</v>
      </c>
      <c r="BN18" s="144" t="s">
        <v>313</v>
      </c>
      <c r="BO18" s="144" t="s">
        <v>313</v>
      </c>
    </row>
    <row r="19" spans="2:67" ht="20.100000000000001" hidden="1" customHeight="1" x14ac:dyDescent="0.3">
      <c r="B19" s="213"/>
      <c r="C19" s="8" t="s">
        <v>209</v>
      </c>
      <c r="D19" s="7" t="s">
        <v>267</v>
      </c>
      <c r="E19" s="45">
        <v>4</v>
      </c>
      <c r="F19" s="45">
        <v>4</v>
      </c>
      <c r="G19" s="45">
        <v>4</v>
      </c>
      <c r="H19" s="45">
        <v>4</v>
      </c>
      <c r="I19" s="45">
        <v>4</v>
      </c>
      <c r="J19" s="45">
        <v>4</v>
      </c>
      <c r="K19" s="45">
        <v>4</v>
      </c>
      <c r="L19" s="117">
        <v>0</v>
      </c>
      <c r="M19" s="117">
        <v>0</v>
      </c>
      <c r="N19" s="117">
        <v>0</v>
      </c>
      <c r="O19" s="117">
        <v>0</v>
      </c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45">
        <v>4</v>
      </c>
      <c r="AI19" s="36">
        <f>VLOOKUP(C19,[1]인천!$B:$E,4,0)</f>
        <v>44152</v>
      </c>
      <c r="AJ19" s="36">
        <v>44175</v>
      </c>
      <c r="AK19" s="45">
        <v>54545.45</v>
      </c>
      <c r="AL19" s="36">
        <v>44386</v>
      </c>
      <c r="AM19" s="8" t="s">
        <v>509</v>
      </c>
      <c r="AN19" s="8" t="s">
        <v>313</v>
      </c>
      <c r="AO19" s="8" t="s">
        <v>313</v>
      </c>
      <c r="AP19" s="8" t="s">
        <v>313</v>
      </c>
      <c r="AQ19" s="8" t="s">
        <v>313</v>
      </c>
      <c r="AR19" s="8" t="s">
        <v>313</v>
      </c>
      <c r="AS19" s="144" t="s">
        <v>313</v>
      </c>
      <c r="AT19" s="144" t="s">
        <v>313</v>
      </c>
      <c r="AU19" s="144" t="s">
        <v>313</v>
      </c>
      <c r="AV19" s="144" t="s">
        <v>313</v>
      </c>
      <c r="AW19" s="144" t="s">
        <v>313</v>
      </c>
      <c r="AX19" s="144" t="s">
        <v>313</v>
      </c>
      <c r="AY19" s="144" t="s">
        <v>313</v>
      </c>
      <c r="AZ19" s="144" t="s">
        <v>313</v>
      </c>
      <c r="BA19" s="144" t="s">
        <v>313</v>
      </c>
      <c r="BB19" s="144" t="s">
        <v>313</v>
      </c>
      <c r="BC19" s="144" t="s">
        <v>313</v>
      </c>
      <c r="BD19" s="144" t="s">
        <v>313</v>
      </c>
      <c r="BE19" s="144" t="s">
        <v>313</v>
      </c>
      <c r="BF19" s="144" t="s">
        <v>313</v>
      </c>
      <c r="BG19" s="144" t="s">
        <v>313</v>
      </c>
      <c r="BH19" s="144" t="s">
        <v>313</v>
      </c>
      <c r="BI19" s="144" t="s">
        <v>313</v>
      </c>
      <c r="BJ19" s="144" t="s">
        <v>313</v>
      </c>
      <c r="BK19" s="144" t="s">
        <v>313</v>
      </c>
      <c r="BL19" s="144" t="s">
        <v>313</v>
      </c>
      <c r="BM19" s="144" t="s">
        <v>313</v>
      </c>
      <c r="BN19" s="144" t="s">
        <v>313</v>
      </c>
      <c r="BO19" s="144" t="s">
        <v>313</v>
      </c>
    </row>
    <row r="20" spans="2:67" ht="20.100000000000001" hidden="1" customHeight="1" x14ac:dyDescent="0.3">
      <c r="B20" s="213"/>
      <c r="C20" s="8" t="s">
        <v>210</v>
      </c>
      <c r="D20" s="7" t="s">
        <v>266</v>
      </c>
      <c r="E20" s="45">
        <v>2</v>
      </c>
      <c r="F20" s="117">
        <v>0</v>
      </c>
      <c r="G20" s="45">
        <v>0</v>
      </c>
      <c r="H20" s="45">
        <v>0</v>
      </c>
      <c r="I20" s="45"/>
      <c r="J20" s="45"/>
      <c r="K20" s="45"/>
      <c r="L20" s="45" t="e">
        <v>#N/A</v>
      </c>
      <c r="M20" s="45" t="e">
        <v>#N/A</v>
      </c>
      <c r="N20" s="45" t="e">
        <v>#N/A</v>
      </c>
      <c r="O20" s="45" t="e">
        <v>#N/A</v>
      </c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>
        <v>2</v>
      </c>
      <c r="AI20" s="36">
        <f>VLOOKUP(C20,[1]인천!$B:$E,4,0)</f>
        <v>44393</v>
      </c>
      <c r="AJ20" s="36">
        <v>44508</v>
      </c>
      <c r="AK20" s="45">
        <v>110000</v>
      </c>
      <c r="AL20" s="36">
        <v>44509</v>
      </c>
      <c r="AM20" s="8"/>
      <c r="AN20" s="8" t="s">
        <v>314</v>
      </c>
      <c r="AO20" s="103" t="s">
        <v>403</v>
      </c>
      <c r="AP20" s="8"/>
      <c r="AQ20" s="8"/>
      <c r="AR20" s="8"/>
      <c r="AS20" s="144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</row>
    <row r="21" spans="2:67" ht="20.100000000000001" hidden="1" customHeight="1" x14ac:dyDescent="0.3">
      <c r="B21" s="213"/>
      <c r="C21" s="8" t="s">
        <v>211</v>
      </c>
      <c r="D21" s="7" t="s">
        <v>266</v>
      </c>
      <c r="E21" s="45">
        <v>2</v>
      </c>
      <c r="F21" s="45">
        <v>2</v>
      </c>
      <c r="G21" s="45">
        <v>1</v>
      </c>
      <c r="H21" s="45">
        <v>1</v>
      </c>
      <c r="I21" s="45">
        <v>1</v>
      </c>
      <c r="J21" s="117">
        <v>0</v>
      </c>
      <c r="K21" s="117">
        <v>0</v>
      </c>
      <c r="L21" s="45" t="e">
        <v>#N/A</v>
      </c>
      <c r="M21" s="45" t="e">
        <v>#N/A</v>
      </c>
      <c r="N21" s="45" t="e">
        <v>#N/A</v>
      </c>
      <c r="O21" s="45" t="e">
        <v>#N/A</v>
      </c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>
        <v>2</v>
      </c>
      <c r="AI21" s="36">
        <f>VLOOKUP(C21,[1]인천!$B:$E,4,0)</f>
        <v>42971</v>
      </c>
      <c r="AJ21" s="36">
        <v>43056</v>
      </c>
      <c r="AK21" s="45">
        <v>50000</v>
      </c>
      <c r="AL21" s="36">
        <v>43112</v>
      </c>
      <c r="AM21" s="8"/>
      <c r="AN21" s="8" t="s">
        <v>315</v>
      </c>
      <c r="AO21" s="8" t="s">
        <v>315</v>
      </c>
      <c r="AP21" s="8" t="s">
        <v>415</v>
      </c>
      <c r="AQ21" s="8" t="s">
        <v>315</v>
      </c>
      <c r="AR21" s="8" t="s">
        <v>315</v>
      </c>
      <c r="AS21" s="144" t="s">
        <v>463</v>
      </c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3"/>
      <c r="BN21" s="103"/>
      <c r="BO21" s="103"/>
    </row>
    <row r="22" spans="2:67" ht="39.950000000000003" customHeight="1" x14ac:dyDescent="0.3">
      <c r="B22" s="213"/>
      <c r="C22" s="8" t="s">
        <v>212</v>
      </c>
      <c r="D22" s="7" t="s">
        <v>266</v>
      </c>
      <c r="E22" s="45">
        <v>5</v>
      </c>
      <c r="F22" s="45">
        <v>4</v>
      </c>
      <c r="G22" s="45">
        <v>4</v>
      </c>
      <c r="H22" s="45">
        <v>4</v>
      </c>
      <c r="I22" s="45">
        <v>4</v>
      </c>
      <c r="J22" s="45">
        <v>4</v>
      </c>
      <c r="K22" s="45">
        <v>4</v>
      </c>
      <c r="L22" s="45">
        <v>2</v>
      </c>
      <c r="M22" s="45">
        <v>2</v>
      </c>
      <c r="N22" s="45">
        <v>2</v>
      </c>
      <c r="O22" s="45">
        <v>2</v>
      </c>
      <c r="P22" s="45">
        <v>2</v>
      </c>
      <c r="Q22" s="45">
        <v>2</v>
      </c>
      <c r="R22" s="45">
        <v>2</v>
      </c>
      <c r="S22" s="45">
        <v>2</v>
      </c>
      <c r="T22" s="45">
        <v>2</v>
      </c>
      <c r="U22" s="45">
        <v>2</v>
      </c>
      <c r="V22" s="45">
        <v>2</v>
      </c>
      <c r="W22" s="45">
        <v>2</v>
      </c>
      <c r="X22" s="45">
        <v>2</v>
      </c>
      <c r="Y22" s="45">
        <v>2</v>
      </c>
      <c r="Z22" s="45">
        <v>2</v>
      </c>
      <c r="AA22" s="45">
        <v>2</v>
      </c>
      <c r="AB22" s="45">
        <v>2</v>
      </c>
      <c r="AC22" s="45">
        <v>2</v>
      </c>
      <c r="AD22" s="45">
        <v>2</v>
      </c>
      <c r="AE22" s="45">
        <v>2</v>
      </c>
      <c r="AF22" s="45">
        <v>2</v>
      </c>
      <c r="AG22" s="45">
        <v>2</v>
      </c>
      <c r="AH22" s="45">
        <v>5</v>
      </c>
      <c r="AI22" s="36">
        <f>VLOOKUP(C22,[1]인천!$B:$E,4,0)</f>
        <v>43393</v>
      </c>
      <c r="AJ22" s="36">
        <v>43440</v>
      </c>
      <c r="AK22" s="45">
        <v>38000</v>
      </c>
      <c r="AL22" s="36">
        <v>44166</v>
      </c>
      <c r="AM22" s="152"/>
      <c r="AN22" s="8" t="s">
        <v>312</v>
      </c>
      <c r="AO22" s="8" t="s">
        <v>405</v>
      </c>
      <c r="AP22" s="8" t="s">
        <v>312</v>
      </c>
      <c r="AQ22" s="8" t="s">
        <v>312</v>
      </c>
      <c r="AR22" s="8" t="s">
        <v>312</v>
      </c>
      <c r="AS22" s="144" t="s">
        <v>491</v>
      </c>
      <c r="AT22" s="8" t="s">
        <v>491</v>
      </c>
      <c r="AU22" s="8" t="s">
        <v>491</v>
      </c>
      <c r="AV22" s="8" t="s">
        <v>491</v>
      </c>
      <c r="AW22" s="8" t="s">
        <v>491</v>
      </c>
      <c r="AX22" s="8" t="s">
        <v>491</v>
      </c>
      <c r="AY22" s="8" t="s">
        <v>491</v>
      </c>
      <c r="AZ22" s="8" t="s">
        <v>491</v>
      </c>
      <c r="BA22" s="8" t="s">
        <v>491</v>
      </c>
      <c r="BB22" s="8" t="s">
        <v>491</v>
      </c>
      <c r="BC22" s="8" t="s">
        <v>491</v>
      </c>
      <c r="BD22" s="8" t="s">
        <v>491</v>
      </c>
      <c r="BE22" s="8" t="s">
        <v>491</v>
      </c>
      <c r="BF22" s="8" t="s">
        <v>491</v>
      </c>
      <c r="BG22" s="8" t="s">
        <v>491</v>
      </c>
      <c r="BH22" s="8" t="s">
        <v>491</v>
      </c>
      <c r="BI22" s="8" t="s">
        <v>491</v>
      </c>
      <c r="BJ22" s="8" t="s">
        <v>491</v>
      </c>
      <c r="BK22" s="8" t="s">
        <v>491</v>
      </c>
      <c r="BL22" s="8" t="s">
        <v>491</v>
      </c>
      <c r="BM22" s="8" t="s">
        <v>491</v>
      </c>
      <c r="BN22" s="8" t="s">
        <v>491</v>
      </c>
      <c r="BO22" s="8" t="s">
        <v>491</v>
      </c>
    </row>
    <row r="23" spans="2:67" ht="20.100000000000001" hidden="1" customHeight="1" x14ac:dyDescent="0.3">
      <c r="B23" s="213"/>
      <c r="C23" s="8" t="s">
        <v>468</v>
      </c>
      <c r="D23" s="7" t="s">
        <v>266</v>
      </c>
      <c r="E23" s="45">
        <v>6</v>
      </c>
      <c r="F23" s="45">
        <v>6</v>
      </c>
      <c r="G23" s="45">
        <v>6</v>
      </c>
      <c r="H23" s="45">
        <v>6</v>
      </c>
      <c r="I23" s="45">
        <v>6</v>
      </c>
      <c r="J23" s="117">
        <v>0</v>
      </c>
      <c r="K23" s="117">
        <v>0</v>
      </c>
      <c r="L23" s="45" t="e">
        <v>#N/A</v>
      </c>
      <c r="M23" s="45" t="e">
        <v>#N/A</v>
      </c>
      <c r="N23" s="45" t="e">
        <v>#N/A</v>
      </c>
      <c r="O23" s="45" t="e">
        <v>#N/A</v>
      </c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>
        <v>6</v>
      </c>
      <c r="AI23" s="36"/>
      <c r="AJ23" s="36"/>
      <c r="AK23" s="45"/>
      <c r="AL23" s="36"/>
      <c r="AM23" s="8" t="s">
        <v>301</v>
      </c>
      <c r="AN23" s="8" t="s">
        <v>316</v>
      </c>
      <c r="AO23" s="8" t="s">
        <v>316</v>
      </c>
      <c r="AP23" s="8" t="s">
        <v>316</v>
      </c>
      <c r="AQ23" s="8" t="s">
        <v>316</v>
      </c>
      <c r="AR23" s="8" t="s">
        <v>316</v>
      </c>
      <c r="AS23" s="144" t="s">
        <v>469</v>
      </c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3"/>
      <c r="BN23" s="103"/>
      <c r="BO23" s="103"/>
    </row>
    <row r="24" spans="2:67" ht="20.100000000000001" hidden="1" customHeight="1" x14ac:dyDescent="0.3">
      <c r="B24" s="213"/>
      <c r="C24" s="8" t="s">
        <v>213</v>
      </c>
      <c r="D24" s="7" t="s">
        <v>266</v>
      </c>
      <c r="E24" s="45">
        <v>2</v>
      </c>
      <c r="F24" s="45">
        <v>2</v>
      </c>
      <c r="G24" s="45">
        <v>2</v>
      </c>
      <c r="H24" s="45">
        <v>2</v>
      </c>
      <c r="I24" s="45">
        <v>2</v>
      </c>
      <c r="J24" s="117">
        <v>0</v>
      </c>
      <c r="K24" s="117">
        <v>0</v>
      </c>
      <c r="L24" s="45" t="e">
        <v>#N/A</v>
      </c>
      <c r="M24" s="45" t="e">
        <v>#N/A</v>
      </c>
      <c r="N24" s="45" t="e">
        <v>#N/A</v>
      </c>
      <c r="O24" s="45" t="e">
        <v>#N/A</v>
      </c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>
        <v>2</v>
      </c>
      <c r="AI24" s="36">
        <f>VLOOKUP(C24,[1]인천!$B:$E,4,0)</f>
        <v>44340</v>
      </c>
      <c r="AJ24" s="36">
        <v>44599</v>
      </c>
      <c r="AK24" s="45">
        <v>60000</v>
      </c>
      <c r="AL24" s="36">
        <v>44587</v>
      </c>
      <c r="AM24" s="8"/>
      <c r="AN24" s="8" t="s">
        <v>272</v>
      </c>
      <c r="AO24" s="8" t="s">
        <v>272</v>
      </c>
      <c r="AP24" s="8" t="s">
        <v>272</v>
      </c>
      <c r="AQ24" s="8" t="s">
        <v>272</v>
      </c>
      <c r="AR24" s="8" t="s">
        <v>272</v>
      </c>
      <c r="AS24" s="144" t="s">
        <v>462</v>
      </c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3"/>
      <c r="BN24" s="103"/>
      <c r="BO24" s="103"/>
    </row>
    <row r="25" spans="2:67" ht="20.100000000000001" customHeight="1" x14ac:dyDescent="0.3">
      <c r="B25" s="213"/>
      <c r="C25" s="8" t="s">
        <v>214</v>
      </c>
      <c r="D25" s="7" t="s">
        <v>267</v>
      </c>
      <c r="E25" s="45">
        <v>1</v>
      </c>
      <c r="F25" s="45">
        <v>1</v>
      </c>
      <c r="G25" s="45">
        <v>1</v>
      </c>
      <c r="H25" s="45">
        <v>1</v>
      </c>
      <c r="I25" s="45">
        <v>1</v>
      </c>
      <c r="J25" s="45">
        <v>1</v>
      </c>
      <c r="K25" s="45">
        <v>1</v>
      </c>
      <c r="L25" s="45">
        <v>1</v>
      </c>
      <c r="M25" s="45">
        <v>1</v>
      </c>
      <c r="N25" s="45">
        <v>1</v>
      </c>
      <c r="O25" s="45">
        <v>1</v>
      </c>
      <c r="P25" s="45">
        <v>1</v>
      </c>
      <c r="Q25" s="45">
        <v>1</v>
      </c>
      <c r="R25" s="45">
        <v>1</v>
      </c>
      <c r="S25" s="45">
        <v>1</v>
      </c>
      <c r="T25" s="45">
        <v>1</v>
      </c>
      <c r="U25" s="45">
        <v>1</v>
      </c>
      <c r="V25" s="45">
        <v>1</v>
      </c>
      <c r="W25" s="45">
        <v>1</v>
      </c>
      <c r="X25" s="45">
        <v>1</v>
      </c>
      <c r="Y25" s="45">
        <v>1</v>
      </c>
      <c r="Z25" s="45">
        <v>1</v>
      </c>
      <c r="AA25" s="45">
        <v>1</v>
      </c>
      <c r="AB25" s="45">
        <v>1</v>
      </c>
      <c r="AC25" s="45">
        <v>1</v>
      </c>
      <c r="AD25" s="45">
        <v>1</v>
      </c>
      <c r="AE25" s="45">
        <v>1</v>
      </c>
      <c r="AF25" s="45">
        <v>1</v>
      </c>
      <c r="AG25" s="45">
        <v>1</v>
      </c>
      <c r="AH25" s="45">
        <v>1</v>
      </c>
      <c r="AI25" s="36">
        <f>VLOOKUP(C25,[1]인천!$B:$E,4,0)</f>
        <v>44245</v>
      </c>
      <c r="AJ25" s="36">
        <v>44384</v>
      </c>
      <c r="AK25" s="45">
        <v>42000</v>
      </c>
      <c r="AL25" s="36"/>
      <c r="AM25" s="8"/>
      <c r="AN25" s="8" t="s">
        <v>272</v>
      </c>
      <c r="AO25" s="8" t="s">
        <v>272</v>
      </c>
      <c r="AP25" s="8" t="s">
        <v>272</v>
      </c>
      <c r="AQ25" s="8" t="s">
        <v>272</v>
      </c>
      <c r="AR25" s="8" t="s">
        <v>272</v>
      </c>
      <c r="AS25" s="144" t="s">
        <v>492</v>
      </c>
      <c r="AT25" s="8" t="s">
        <v>492</v>
      </c>
      <c r="AU25" s="8" t="s">
        <v>492</v>
      </c>
      <c r="AV25" s="8" t="s">
        <v>492</v>
      </c>
      <c r="AW25" s="8" t="s">
        <v>492</v>
      </c>
      <c r="AX25" s="8" t="s">
        <v>492</v>
      </c>
      <c r="AY25" s="8" t="s">
        <v>492</v>
      </c>
      <c r="AZ25" s="8" t="s">
        <v>492</v>
      </c>
      <c r="BA25" s="8" t="s">
        <v>492</v>
      </c>
      <c r="BB25" s="8" t="s">
        <v>492</v>
      </c>
      <c r="BC25" s="8" t="s">
        <v>492</v>
      </c>
      <c r="BD25" s="8" t="s">
        <v>492</v>
      </c>
      <c r="BE25" s="8" t="s">
        <v>492</v>
      </c>
      <c r="BF25" s="8" t="s">
        <v>492</v>
      </c>
      <c r="BG25" s="8" t="s">
        <v>492</v>
      </c>
      <c r="BH25" s="8" t="s">
        <v>492</v>
      </c>
      <c r="BI25" s="8" t="s">
        <v>492</v>
      </c>
      <c r="BJ25" s="8" t="s">
        <v>492</v>
      </c>
      <c r="BK25" s="8" t="s">
        <v>492</v>
      </c>
      <c r="BL25" s="8" t="s">
        <v>492</v>
      </c>
      <c r="BM25" s="8" t="s">
        <v>492</v>
      </c>
      <c r="BN25" s="8" t="s">
        <v>492</v>
      </c>
      <c r="BO25" s="8" t="s">
        <v>492</v>
      </c>
    </row>
    <row r="26" spans="2:67" ht="20.100000000000001" hidden="1" customHeight="1" x14ac:dyDescent="0.3">
      <c r="B26" s="213"/>
      <c r="C26" s="8" t="s">
        <v>215</v>
      </c>
      <c r="D26" s="7" t="s">
        <v>266</v>
      </c>
      <c r="E26" s="45">
        <v>2</v>
      </c>
      <c r="F26" s="45">
        <v>2</v>
      </c>
      <c r="G26" s="45">
        <v>1</v>
      </c>
      <c r="H26" s="45">
        <v>1</v>
      </c>
      <c r="I26" s="45">
        <v>1</v>
      </c>
      <c r="J26" s="45">
        <v>1</v>
      </c>
      <c r="K26" s="45">
        <v>1</v>
      </c>
      <c r="L26" s="45">
        <v>1</v>
      </c>
      <c r="M26" s="45">
        <v>1</v>
      </c>
      <c r="N26" s="45">
        <v>1</v>
      </c>
      <c r="O26" s="45">
        <v>1</v>
      </c>
      <c r="P26" s="117">
        <v>0</v>
      </c>
      <c r="Q26" s="117">
        <v>0</v>
      </c>
      <c r="R26" s="117">
        <v>0</v>
      </c>
      <c r="S26" s="117">
        <v>0</v>
      </c>
      <c r="T26" s="117">
        <v>0</v>
      </c>
      <c r="U26" s="117">
        <v>0</v>
      </c>
      <c r="V26" s="117">
        <v>0</v>
      </c>
      <c r="W26" s="117">
        <v>0</v>
      </c>
      <c r="X26" s="117">
        <v>0</v>
      </c>
      <c r="Y26" s="117">
        <v>0</v>
      </c>
      <c r="Z26" s="117">
        <v>0</v>
      </c>
      <c r="AA26" s="117">
        <v>0</v>
      </c>
      <c r="AB26" s="117">
        <v>0</v>
      </c>
      <c r="AC26" s="117">
        <v>0</v>
      </c>
      <c r="AD26" s="117">
        <v>0</v>
      </c>
      <c r="AE26" s="117">
        <v>0</v>
      </c>
      <c r="AF26" s="117">
        <v>0</v>
      </c>
      <c r="AG26" s="117">
        <v>0</v>
      </c>
      <c r="AH26" s="45">
        <v>2</v>
      </c>
      <c r="AI26" s="36"/>
      <c r="AJ26" s="36">
        <v>44848</v>
      </c>
      <c r="AK26" s="45">
        <v>235454.55</v>
      </c>
      <c r="AL26" s="36">
        <v>44767</v>
      </c>
      <c r="AM26" s="8" t="s">
        <v>496</v>
      </c>
      <c r="AN26" s="8" t="s">
        <v>314</v>
      </c>
      <c r="AO26" s="8" t="s">
        <v>314</v>
      </c>
      <c r="AP26" s="8" t="s">
        <v>416</v>
      </c>
      <c r="AQ26" s="8" t="s">
        <v>314</v>
      </c>
      <c r="AR26" s="8" t="s">
        <v>314</v>
      </c>
      <c r="AS26" s="144" t="s">
        <v>493</v>
      </c>
      <c r="AT26" s="8" t="s">
        <v>493</v>
      </c>
      <c r="AU26" s="8" t="s">
        <v>512</v>
      </c>
      <c r="AV26" s="8" t="s">
        <v>512</v>
      </c>
      <c r="AW26" s="8" t="s">
        <v>512</v>
      </c>
      <c r="AX26" s="8" t="s">
        <v>545</v>
      </c>
      <c r="AY26" s="8" t="s">
        <v>545</v>
      </c>
      <c r="AZ26" s="8" t="s">
        <v>545</v>
      </c>
      <c r="BA26" s="8" t="s">
        <v>545</v>
      </c>
      <c r="BB26" s="8" t="s">
        <v>545</v>
      </c>
      <c r="BC26" s="8" t="s">
        <v>545</v>
      </c>
      <c r="BD26" s="8" t="s">
        <v>545</v>
      </c>
      <c r="BE26" s="8" t="s">
        <v>545</v>
      </c>
      <c r="BF26" s="8" t="s">
        <v>545</v>
      </c>
      <c r="BG26" s="8" t="s">
        <v>545</v>
      </c>
      <c r="BH26" s="8" t="s">
        <v>545</v>
      </c>
      <c r="BI26" s="8" t="s">
        <v>545</v>
      </c>
      <c r="BJ26" s="8" t="s">
        <v>545</v>
      </c>
      <c r="BK26" s="8" t="s">
        <v>545</v>
      </c>
      <c r="BL26" s="8" t="s">
        <v>545</v>
      </c>
      <c r="BM26" s="8" t="s">
        <v>545</v>
      </c>
      <c r="BN26" s="8" t="s">
        <v>545</v>
      </c>
      <c r="BO26" s="8" t="s">
        <v>545</v>
      </c>
    </row>
    <row r="27" spans="2:67" ht="20.100000000000001" hidden="1" customHeight="1" x14ac:dyDescent="0.3">
      <c r="B27" s="213"/>
      <c r="C27" s="8" t="s">
        <v>216</v>
      </c>
      <c r="D27" s="7" t="s">
        <v>266</v>
      </c>
      <c r="E27" s="45">
        <v>1</v>
      </c>
      <c r="F27" s="45">
        <v>1</v>
      </c>
      <c r="G27" s="45">
        <v>1</v>
      </c>
      <c r="H27" s="45">
        <v>1</v>
      </c>
      <c r="I27" s="45">
        <v>1</v>
      </c>
      <c r="J27" s="117">
        <v>0</v>
      </c>
      <c r="K27" s="117">
        <v>0</v>
      </c>
      <c r="L27" s="45" t="e">
        <v>#N/A</v>
      </c>
      <c r="M27" s="45" t="e">
        <v>#N/A</v>
      </c>
      <c r="N27" s="45" t="e">
        <v>#N/A</v>
      </c>
      <c r="O27" s="45" t="e">
        <v>#N/A</v>
      </c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>
        <v>1</v>
      </c>
      <c r="AI27" s="36">
        <f>VLOOKUP(C27,[1]인천!$B:$E,4,0)</f>
        <v>40330</v>
      </c>
      <c r="AJ27" s="36"/>
      <c r="AK27" s="45"/>
      <c r="AL27" s="36"/>
      <c r="AM27" s="8"/>
      <c r="AN27" s="8" t="s">
        <v>316</v>
      </c>
      <c r="AO27" s="8" t="s">
        <v>316</v>
      </c>
      <c r="AP27" s="8" t="s">
        <v>316</v>
      </c>
      <c r="AQ27" s="8" t="s">
        <v>316</v>
      </c>
      <c r="AR27" s="8" t="s">
        <v>316</v>
      </c>
      <c r="AS27" s="144" t="s">
        <v>461</v>
      </c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3"/>
      <c r="BN27" s="103"/>
      <c r="BO27" s="103"/>
    </row>
    <row r="28" spans="2:67" ht="20.100000000000001" customHeight="1" x14ac:dyDescent="0.3">
      <c r="B28" s="213"/>
      <c r="C28" s="8" t="s">
        <v>217</v>
      </c>
      <c r="D28" s="7" t="s">
        <v>266</v>
      </c>
      <c r="E28" s="45">
        <v>1</v>
      </c>
      <c r="F28" s="45">
        <v>1</v>
      </c>
      <c r="G28" s="45">
        <v>1</v>
      </c>
      <c r="H28" s="45">
        <v>1</v>
      </c>
      <c r="I28" s="45">
        <v>1</v>
      </c>
      <c r="J28" s="45">
        <v>1</v>
      </c>
      <c r="K28" s="45">
        <v>1</v>
      </c>
      <c r="L28" s="45">
        <v>1</v>
      </c>
      <c r="M28" s="45">
        <v>1</v>
      </c>
      <c r="N28" s="45">
        <v>1</v>
      </c>
      <c r="O28" s="45">
        <v>1</v>
      </c>
      <c r="P28" s="45">
        <v>1</v>
      </c>
      <c r="Q28" s="45">
        <v>1</v>
      </c>
      <c r="R28" s="45">
        <v>1</v>
      </c>
      <c r="S28" s="45">
        <v>1</v>
      </c>
      <c r="T28" s="45">
        <v>1</v>
      </c>
      <c r="U28" s="45">
        <v>1</v>
      </c>
      <c r="V28" s="45">
        <v>1</v>
      </c>
      <c r="W28" s="45">
        <v>1</v>
      </c>
      <c r="X28" s="45">
        <v>1</v>
      </c>
      <c r="Y28" s="45">
        <v>1</v>
      </c>
      <c r="Z28" s="45">
        <v>1</v>
      </c>
      <c r="AA28" s="45">
        <v>1</v>
      </c>
      <c r="AB28" s="45">
        <v>1</v>
      </c>
      <c r="AC28" s="45">
        <v>1</v>
      </c>
      <c r="AD28" s="45">
        <v>1</v>
      </c>
      <c r="AE28" s="45">
        <v>1</v>
      </c>
      <c r="AF28" s="45">
        <v>1</v>
      </c>
      <c r="AG28" s="45">
        <v>1</v>
      </c>
      <c r="AH28" s="45">
        <v>1</v>
      </c>
      <c r="AI28" s="36">
        <f>VLOOKUP(C28,[1]인천!$B:$E,4,0)</f>
        <v>44286</v>
      </c>
      <c r="AJ28" s="36">
        <v>44397</v>
      </c>
      <c r="AK28" s="45">
        <v>60060</v>
      </c>
      <c r="AL28" s="36">
        <v>44397</v>
      </c>
      <c r="AM28" s="8"/>
      <c r="AN28" s="8" t="s">
        <v>269</v>
      </c>
      <c r="AO28" s="8" t="s">
        <v>269</v>
      </c>
      <c r="AP28" s="8" t="s">
        <v>269</v>
      </c>
      <c r="AQ28" s="8" t="s">
        <v>269</v>
      </c>
      <c r="AR28" s="8" t="s">
        <v>269</v>
      </c>
      <c r="AS28" s="144" t="s">
        <v>494</v>
      </c>
      <c r="AT28" s="8" t="s">
        <v>494</v>
      </c>
      <c r="AU28" s="8" t="s">
        <v>494</v>
      </c>
      <c r="AV28" s="8" t="s">
        <v>494</v>
      </c>
      <c r="AW28" s="8" t="s">
        <v>494</v>
      </c>
      <c r="AX28" s="8" t="s">
        <v>494</v>
      </c>
      <c r="AY28" s="8" t="s">
        <v>494</v>
      </c>
      <c r="AZ28" s="8" t="s">
        <v>494</v>
      </c>
      <c r="BA28" s="8" t="s">
        <v>494</v>
      </c>
      <c r="BB28" s="8" t="s">
        <v>494</v>
      </c>
      <c r="BC28" s="8" t="s">
        <v>494</v>
      </c>
      <c r="BD28" s="8" t="s">
        <v>494</v>
      </c>
      <c r="BE28" s="8" t="s">
        <v>494</v>
      </c>
      <c r="BF28" s="8" t="s">
        <v>494</v>
      </c>
      <c r="BG28" s="8" t="s">
        <v>494</v>
      </c>
      <c r="BH28" s="8" t="s">
        <v>494</v>
      </c>
      <c r="BI28" s="8" t="s">
        <v>494</v>
      </c>
      <c r="BJ28" s="8" t="s">
        <v>494</v>
      </c>
      <c r="BK28" s="8" t="s">
        <v>494</v>
      </c>
      <c r="BL28" s="8" t="s">
        <v>494</v>
      </c>
      <c r="BM28" s="8" t="s">
        <v>494</v>
      </c>
      <c r="BN28" s="8" t="s">
        <v>494</v>
      </c>
      <c r="BO28" s="8" t="s">
        <v>494</v>
      </c>
    </row>
    <row r="29" spans="2:67" ht="20.100000000000001" hidden="1" customHeight="1" x14ac:dyDescent="0.3">
      <c r="B29" s="213"/>
      <c r="C29" s="8" t="s">
        <v>464</v>
      </c>
      <c r="D29" s="7" t="s">
        <v>267</v>
      </c>
      <c r="E29" s="45">
        <v>18</v>
      </c>
      <c r="F29" s="45">
        <v>18</v>
      </c>
      <c r="G29" s="45">
        <v>18</v>
      </c>
      <c r="H29" s="45">
        <v>18</v>
      </c>
      <c r="I29" s="45">
        <v>18</v>
      </c>
      <c r="J29" s="117">
        <v>0</v>
      </c>
      <c r="K29" s="117">
        <v>0</v>
      </c>
      <c r="L29" s="45" t="e">
        <v>#N/A</v>
      </c>
      <c r="M29" s="45" t="e">
        <v>#N/A</v>
      </c>
      <c r="N29" s="45" t="e">
        <v>#N/A</v>
      </c>
      <c r="O29" s="45" t="e">
        <v>#N/A</v>
      </c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>
        <v>18</v>
      </c>
      <c r="AI29" s="36">
        <f>VLOOKUP(C29,[1]인천!$B:$E,4,0)</f>
        <v>43970</v>
      </c>
      <c r="AJ29" s="36">
        <v>43973</v>
      </c>
      <c r="AK29" s="45">
        <v>49236.36</v>
      </c>
      <c r="AL29" s="36">
        <v>44070</v>
      </c>
      <c r="AM29" s="8"/>
      <c r="AN29" s="8" t="s">
        <v>273</v>
      </c>
      <c r="AO29" s="8" t="s">
        <v>273</v>
      </c>
      <c r="AP29" s="8" t="s">
        <v>273</v>
      </c>
      <c r="AQ29" s="8" t="s">
        <v>273</v>
      </c>
      <c r="AR29" s="8" t="s">
        <v>273</v>
      </c>
      <c r="AS29" s="144" t="s">
        <v>470</v>
      </c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103"/>
      <c r="BK29" s="103"/>
      <c r="BL29" s="103"/>
      <c r="BM29" s="103"/>
      <c r="BN29" s="103"/>
      <c r="BO29" s="103"/>
    </row>
    <row r="30" spans="2:67" ht="20.100000000000001" customHeight="1" x14ac:dyDescent="0.3">
      <c r="B30" s="213"/>
      <c r="C30" s="8" t="s">
        <v>218</v>
      </c>
      <c r="D30" s="7" t="s">
        <v>267</v>
      </c>
      <c r="E30" s="45">
        <v>2</v>
      </c>
      <c r="F30" s="45">
        <v>2</v>
      </c>
      <c r="G30" s="45">
        <v>2</v>
      </c>
      <c r="H30" s="45">
        <v>2</v>
      </c>
      <c r="I30" s="45">
        <v>2</v>
      </c>
      <c r="J30" s="45">
        <v>2</v>
      </c>
      <c r="K30" s="45">
        <v>2</v>
      </c>
      <c r="L30" s="45">
        <v>2</v>
      </c>
      <c r="M30" s="45">
        <v>2</v>
      </c>
      <c r="N30" s="45">
        <v>2</v>
      </c>
      <c r="O30" s="45">
        <v>2</v>
      </c>
      <c r="P30" s="45">
        <v>2</v>
      </c>
      <c r="Q30" s="45">
        <v>2</v>
      </c>
      <c r="R30" s="45">
        <v>2</v>
      </c>
      <c r="S30" s="45">
        <v>2</v>
      </c>
      <c r="T30" s="45">
        <v>2</v>
      </c>
      <c r="U30" s="45">
        <v>2</v>
      </c>
      <c r="V30" s="45">
        <v>2</v>
      </c>
      <c r="W30" s="45">
        <v>2</v>
      </c>
      <c r="X30" s="45">
        <v>2</v>
      </c>
      <c r="Y30" s="45">
        <v>2</v>
      </c>
      <c r="Z30" s="45">
        <v>2</v>
      </c>
      <c r="AA30" s="45">
        <v>2</v>
      </c>
      <c r="AB30" s="45">
        <v>2</v>
      </c>
      <c r="AC30" s="45">
        <v>2</v>
      </c>
      <c r="AD30" s="45">
        <v>2</v>
      </c>
      <c r="AE30" s="45">
        <v>2</v>
      </c>
      <c r="AF30" s="45">
        <v>2</v>
      </c>
      <c r="AG30" s="45">
        <v>2</v>
      </c>
      <c r="AH30" s="45">
        <v>2</v>
      </c>
      <c r="AI30" s="36">
        <f>VLOOKUP(C30,[1]인천!$B:$E,4,0)</f>
        <v>44064</v>
      </c>
      <c r="AJ30" s="36">
        <v>44084</v>
      </c>
      <c r="AK30" s="45">
        <v>61482</v>
      </c>
      <c r="AL30" s="36">
        <v>43343</v>
      </c>
      <c r="AM30" s="8"/>
      <c r="AN30" s="8" t="s">
        <v>273</v>
      </c>
      <c r="AO30" s="8" t="s">
        <v>273</v>
      </c>
      <c r="AP30" s="8" t="s">
        <v>273</v>
      </c>
      <c r="AQ30" s="8" t="s">
        <v>273</v>
      </c>
      <c r="AR30" s="8" t="s">
        <v>273</v>
      </c>
      <c r="AS30" s="144" t="s">
        <v>495</v>
      </c>
      <c r="AT30" s="8" t="s">
        <v>495</v>
      </c>
      <c r="AU30" s="8" t="s">
        <v>495</v>
      </c>
      <c r="AV30" s="8" t="s">
        <v>495</v>
      </c>
      <c r="AW30" s="8" t="s">
        <v>495</v>
      </c>
      <c r="AX30" s="8" t="s">
        <v>495</v>
      </c>
      <c r="AY30" s="8" t="s">
        <v>495</v>
      </c>
      <c r="AZ30" s="8" t="s">
        <v>495</v>
      </c>
      <c r="BA30" s="8" t="s">
        <v>495</v>
      </c>
      <c r="BB30" s="8" t="s">
        <v>495</v>
      </c>
      <c r="BC30" s="8" t="s">
        <v>495</v>
      </c>
      <c r="BD30" s="8" t="s">
        <v>495</v>
      </c>
      <c r="BE30" s="8" t="s">
        <v>495</v>
      </c>
      <c r="BF30" s="8" t="s">
        <v>495</v>
      </c>
      <c r="BG30" s="8" t="s">
        <v>495</v>
      </c>
      <c r="BH30" s="8" t="s">
        <v>495</v>
      </c>
      <c r="BI30" s="8" t="s">
        <v>495</v>
      </c>
      <c r="BJ30" s="8" t="s">
        <v>495</v>
      </c>
      <c r="BK30" s="8" t="s">
        <v>495</v>
      </c>
      <c r="BL30" s="8" t="s">
        <v>495</v>
      </c>
      <c r="BM30" s="8" t="s">
        <v>495</v>
      </c>
      <c r="BN30" s="8" t="s">
        <v>495</v>
      </c>
      <c r="BO30" s="8" t="s">
        <v>495</v>
      </c>
    </row>
    <row r="31" spans="2:67" ht="20.100000000000001" hidden="1" customHeight="1" x14ac:dyDescent="0.3">
      <c r="B31" s="213"/>
      <c r="C31" s="8" t="s">
        <v>219</v>
      </c>
      <c r="D31" s="7" t="s">
        <v>267</v>
      </c>
      <c r="E31" s="45">
        <v>5</v>
      </c>
      <c r="F31" s="45">
        <v>4</v>
      </c>
      <c r="G31" s="45">
        <v>4</v>
      </c>
      <c r="H31" s="45">
        <v>4</v>
      </c>
      <c r="I31" s="45">
        <v>4</v>
      </c>
      <c r="J31" s="45">
        <v>4</v>
      </c>
      <c r="K31" s="45">
        <v>4</v>
      </c>
      <c r="L31" s="117">
        <v>0</v>
      </c>
      <c r="M31" s="117">
        <v>0</v>
      </c>
      <c r="N31" s="117">
        <v>0</v>
      </c>
      <c r="O31" s="117">
        <v>0</v>
      </c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45">
        <v>5</v>
      </c>
      <c r="AI31" s="36"/>
      <c r="AJ31" s="36">
        <v>43973</v>
      </c>
      <c r="AK31" s="45">
        <v>39389.089999999997</v>
      </c>
      <c r="AL31" s="36">
        <v>44651</v>
      </c>
      <c r="AM31" s="8" t="s">
        <v>511</v>
      </c>
      <c r="AN31" s="8" t="s">
        <v>273</v>
      </c>
      <c r="AO31" s="8" t="s">
        <v>404</v>
      </c>
      <c r="AP31" s="8" t="s">
        <v>273</v>
      </c>
      <c r="AQ31" s="8" t="s">
        <v>273</v>
      </c>
      <c r="AR31" s="8" t="s">
        <v>273</v>
      </c>
      <c r="AS31" s="144" t="s">
        <v>495</v>
      </c>
      <c r="AT31" s="8" t="s">
        <v>495</v>
      </c>
      <c r="AU31" s="8" t="s">
        <v>495</v>
      </c>
      <c r="AV31" s="8" t="s">
        <v>495</v>
      </c>
      <c r="AW31" s="8" t="s">
        <v>495</v>
      </c>
      <c r="AX31" s="8" t="s">
        <v>495</v>
      </c>
      <c r="AY31" s="8" t="s">
        <v>495</v>
      </c>
      <c r="AZ31" s="8" t="s">
        <v>495</v>
      </c>
      <c r="BA31" s="8" t="s">
        <v>495</v>
      </c>
      <c r="BB31" s="8" t="s">
        <v>495</v>
      </c>
      <c r="BC31" s="8" t="s">
        <v>495</v>
      </c>
      <c r="BD31" s="8" t="s">
        <v>495</v>
      </c>
      <c r="BE31" s="8" t="s">
        <v>495</v>
      </c>
      <c r="BF31" s="8" t="s">
        <v>495</v>
      </c>
      <c r="BG31" s="8" t="s">
        <v>495</v>
      </c>
      <c r="BH31" s="8" t="s">
        <v>495</v>
      </c>
      <c r="BI31" s="8" t="s">
        <v>495</v>
      </c>
      <c r="BJ31" s="8" t="s">
        <v>495</v>
      </c>
      <c r="BK31" s="8" t="s">
        <v>495</v>
      </c>
      <c r="BL31" s="8" t="s">
        <v>495</v>
      </c>
      <c r="BM31" s="8" t="s">
        <v>495</v>
      </c>
      <c r="BN31" s="8" t="s">
        <v>495</v>
      </c>
      <c r="BO31" s="8" t="s">
        <v>495</v>
      </c>
    </row>
    <row r="32" spans="2:67" ht="20.100000000000001" hidden="1" customHeight="1" x14ac:dyDescent="0.3">
      <c r="B32" s="213"/>
      <c r="C32" s="8" t="s">
        <v>466</v>
      </c>
      <c r="D32" s="7" t="s">
        <v>267</v>
      </c>
      <c r="E32" s="45">
        <v>1</v>
      </c>
      <c r="F32" s="45">
        <v>1</v>
      </c>
      <c r="G32" s="45">
        <v>1</v>
      </c>
      <c r="H32" s="45">
        <v>1</v>
      </c>
      <c r="I32" s="45">
        <v>1</v>
      </c>
      <c r="J32" s="117">
        <v>0</v>
      </c>
      <c r="K32" s="117">
        <v>0</v>
      </c>
      <c r="L32" s="117" t="e">
        <v>#N/A</v>
      </c>
      <c r="M32" s="117" t="e">
        <v>#N/A</v>
      </c>
      <c r="N32" s="117" t="e">
        <v>#N/A</v>
      </c>
      <c r="O32" s="117" t="e">
        <v>#N/A</v>
      </c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45">
        <v>1</v>
      </c>
      <c r="AI32" s="36">
        <f>VLOOKUP(C32,[1]인천!$B:$E,4,0)</f>
        <v>42703</v>
      </c>
      <c r="AJ32" s="36">
        <v>42978</v>
      </c>
      <c r="AK32" s="45">
        <v>40274</v>
      </c>
      <c r="AL32" s="36">
        <v>42990</v>
      </c>
      <c r="AM32" s="8" t="s">
        <v>220</v>
      </c>
      <c r="AN32" s="8" t="s">
        <v>273</v>
      </c>
      <c r="AO32" s="8" t="s">
        <v>273</v>
      </c>
      <c r="AP32" s="8" t="s">
        <v>273</v>
      </c>
      <c r="AQ32" s="8" t="s">
        <v>273</v>
      </c>
      <c r="AR32" s="8" t="s">
        <v>273</v>
      </c>
      <c r="AS32" s="144" t="s">
        <v>471</v>
      </c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3"/>
      <c r="BN32" s="103"/>
      <c r="BO32" s="103"/>
    </row>
    <row r="33" spans="2:67" ht="20.100000000000001" hidden="1" customHeight="1" x14ac:dyDescent="0.3">
      <c r="B33" s="213"/>
      <c r="C33" s="8" t="s">
        <v>467</v>
      </c>
      <c r="D33" s="7" t="s">
        <v>267</v>
      </c>
      <c r="E33" s="45">
        <v>1</v>
      </c>
      <c r="F33" s="45">
        <v>1</v>
      </c>
      <c r="G33" s="45">
        <v>1</v>
      </c>
      <c r="H33" s="45">
        <v>1</v>
      </c>
      <c r="I33" s="45">
        <v>1</v>
      </c>
      <c r="J33" s="117">
        <v>0</v>
      </c>
      <c r="K33" s="117">
        <v>0</v>
      </c>
      <c r="L33" s="117" t="e">
        <v>#N/A</v>
      </c>
      <c r="M33" s="117" t="e">
        <v>#N/A</v>
      </c>
      <c r="N33" s="117" t="e">
        <v>#N/A</v>
      </c>
      <c r="O33" s="117" t="e">
        <v>#N/A</v>
      </c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45">
        <v>1</v>
      </c>
      <c r="AI33" s="36" t="s">
        <v>275</v>
      </c>
      <c r="AJ33" s="36">
        <v>43802</v>
      </c>
      <c r="AK33" s="45">
        <v>53530</v>
      </c>
      <c r="AL33" s="36"/>
      <c r="AM33" s="8"/>
      <c r="AN33" s="8" t="s">
        <v>273</v>
      </c>
      <c r="AO33" s="8" t="s">
        <v>273</v>
      </c>
      <c r="AP33" s="8" t="s">
        <v>273</v>
      </c>
      <c r="AQ33" s="8" t="s">
        <v>273</v>
      </c>
      <c r="AR33" s="8" t="s">
        <v>273</v>
      </c>
      <c r="AS33" s="144" t="s">
        <v>471</v>
      </c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3"/>
      <c r="BN33" s="103"/>
      <c r="BO33" s="103"/>
    </row>
    <row r="34" spans="2:67" ht="20.100000000000001" hidden="1" customHeight="1" x14ac:dyDescent="0.3">
      <c r="B34" s="213"/>
      <c r="C34" s="8" t="s">
        <v>221</v>
      </c>
      <c r="D34" s="7" t="s">
        <v>266</v>
      </c>
      <c r="E34" s="45">
        <v>1</v>
      </c>
      <c r="F34" s="45">
        <v>1</v>
      </c>
      <c r="G34" s="45">
        <v>1</v>
      </c>
      <c r="H34" s="45">
        <v>1</v>
      </c>
      <c r="I34" s="45">
        <v>1</v>
      </c>
      <c r="J34" s="117">
        <v>0</v>
      </c>
      <c r="K34" s="117">
        <v>0</v>
      </c>
      <c r="L34" s="117" t="e">
        <v>#N/A</v>
      </c>
      <c r="M34" s="117" t="e">
        <v>#N/A</v>
      </c>
      <c r="N34" s="117" t="e">
        <v>#N/A</v>
      </c>
      <c r="O34" s="117" t="e">
        <v>#N/A</v>
      </c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45">
        <v>1</v>
      </c>
      <c r="AI34" s="36">
        <f>VLOOKUP(C34,[1]인천!$B:$E,4,0)</f>
        <v>44028</v>
      </c>
      <c r="AJ34" s="36">
        <v>44084</v>
      </c>
      <c r="AK34" s="45">
        <v>48648</v>
      </c>
      <c r="AL34" s="36">
        <v>42081</v>
      </c>
      <c r="AM34" s="8"/>
      <c r="AN34" s="8" t="s">
        <v>272</v>
      </c>
      <c r="AO34" s="8" t="s">
        <v>272</v>
      </c>
      <c r="AP34" s="8" t="s">
        <v>272</v>
      </c>
      <c r="AQ34" s="8" t="s">
        <v>272</v>
      </c>
      <c r="AR34" s="8" t="s">
        <v>272</v>
      </c>
      <c r="AS34" s="144" t="s">
        <v>460</v>
      </c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  <c r="BM34" s="103"/>
      <c r="BN34" s="103"/>
      <c r="BO34" s="103"/>
    </row>
    <row r="35" spans="2:67" ht="20.100000000000001" hidden="1" customHeight="1" x14ac:dyDescent="0.3">
      <c r="B35" s="213"/>
      <c r="C35" s="37" t="s">
        <v>222</v>
      </c>
      <c r="D35" s="7" t="s">
        <v>267</v>
      </c>
      <c r="E35" s="45">
        <v>6</v>
      </c>
      <c r="F35" s="45">
        <v>6</v>
      </c>
      <c r="G35" s="45">
        <v>6</v>
      </c>
      <c r="H35" s="45">
        <v>6</v>
      </c>
      <c r="I35" s="45">
        <v>6</v>
      </c>
      <c r="J35" s="45">
        <v>6</v>
      </c>
      <c r="K35" s="45">
        <v>6</v>
      </c>
      <c r="L35" s="117">
        <v>0</v>
      </c>
      <c r="M35" s="117">
        <v>0</v>
      </c>
      <c r="N35" s="117">
        <v>0</v>
      </c>
      <c r="O35" s="117">
        <v>0</v>
      </c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45">
        <v>6</v>
      </c>
      <c r="AI35" s="36"/>
      <c r="AJ35" s="36">
        <v>43767</v>
      </c>
      <c r="AK35" s="45">
        <v>62010</v>
      </c>
      <c r="AL35" s="36">
        <v>43893</v>
      </c>
      <c r="AM35" s="8" t="s">
        <v>510</v>
      </c>
      <c r="AN35" s="8" t="s">
        <v>273</v>
      </c>
      <c r="AO35" s="8" t="s">
        <v>273</v>
      </c>
      <c r="AP35" s="8" t="s">
        <v>273</v>
      </c>
      <c r="AQ35" s="8" t="s">
        <v>273</v>
      </c>
      <c r="AR35" s="8" t="s">
        <v>273</v>
      </c>
      <c r="AS35" s="144" t="s">
        <v>495</v>
      </c>
      <c r="AT35" s="8" t="s">
        <v>495</v>
      </c>
      <c r="AU35" s="8" t="s">
        <v>495</v>
      </c>
      <c r="AV35" s="8" t="s">
        <v>495</v>
      </c>
      <c r="AW35" s="8" t="s">
        <v>495</v>
      </c>
      <c r="AX35" s="8" t="s">
        <v>495</v>
      </c>
      <c r="AY35" s="8" t="s">
        <v>495</v>
      </c>
      <c r="AZ35" s="8" t="s">
        <v>495</v>
      </c>
      <c r="BA35" s="8" t="s">
        <v>495</v>
      </c>
      <c r="BB35" s="8" t="s">
        <v>495</v>
      </c>
      <c r="BC35" s="8" t="s">
        <v>495</v>
      </c>
      <c r="BD35" s="8" t="s">
        <v>495</v>
      </c>
      <c r="BE35" s="8" t="s">
        <v>495</v>
      </c>
      <c r="BF35" s="8" t="s">
        <v>495</v>
      </c>
      <c r="BG35" s="8" t="s">
        <v>495</v>
      </c>
      <c r="BH35" s="8" t="s">
        <v>495</v>
      </c>
      <c r="BI35" s="8" t="s">
        <v>495</v>
      </c>
      <c r="BJ35" s="8" t="s">
        <v>495</v>
      </c>
      <c r="BK35" s="8" t="s">
        <v>495</v>
      </c>
      <c r="BL35" s="8" t="s">
        <v>495</v>
      </c>
      <c r="BM35" s="8" t="s">
        <v>495</v>
      </c>
      <c r="BN35" s="8" t="s">
        <v>495</v>
      </c>
      <c r="BO35" s="8" t="s">
        <v>495</v>
      </c>
    </row>
    <row r="36" spans="2:67" ht="20.100000000000001" hidden="1" customHeight="1" x14ac:dyDescent="0.3">
      <c r="B36" s="213"/>
      <c r="C36" s="37" t="s">
        <v>223</v>
      </c>
      <c r="D36" s="7" t="s">
        <v>266</v>
      </c>
      <c r="E36" s="45">
        <v>2</v>
      </c>
      <c r="F36" s="45">
        <v>2</v>
      </c>
      <c r="G36" s="45">
        <v>2</v>
      </c>
      <c r="H36" s="45">
        <v>2</v>
      </c>
      <c r="I36" s="45">
        <v>2</v>
      </c>
      <c r="J36" s="117">
        <v>0</v>
      </c>
      <c r="K36" s="117">
        <v>0</v>
      </c>
      <c r="L36" s="45" t="e">
        <v>#N/A</v>
      </c>
      <c r="M36" s="45" t="e">
        <v>#N/A</v>
      </c>
      <c r="N36" s="45" t="e">
        <v>#N/A</v>
      </c>
      <c r="O36" s="45" t="e">
        <v>#N/A</v>
      </c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>
        <v>2</v>
      </c>
      <c r="AI36" s="36" t="s">
        <v>274</v>
      </c>
      <c r="AJ36" s="36" t="s">
        <v>268</v>
      </c>
      <c r="AK36" s="45">
        <v>50000</v>
      </c>
      <c r="AL36" s="36">
        <v>43343</v>
      </c>
      <c r="AM36" s="8" t="s">
        <v>270</v>
      </c>
      <c r="AN36" s="8" t="s">
        <v>316</v>
      </c>
      <c r="AO36" s="8" t="s">
        <v>316</v>
      </c>
      <c r="AP36" s="8" t="s">
        <v>316</v>
      </c>
      <c r="AQ36" s="8" t="s">
        <v>316</v>
      </c>
      <c r="AR36" s="8" t="s">
        <v>316</v>
      </c>
      <c r="AS36" s="144" t="s">
        <v>459</v>
      </c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3"/>
      <c r="BK36" s="103"/>
      <c r="BL36" s="103"/>
      <c r="BM36" s="103"/>
      <c r="BN36" s="103"/>
      <c r="BO36" s="103"/>
    </row>
    <row r="37" spans="2:67" ht="20.100000000000001" customHeight="1" x14ac:dyDescent="0.3">
      <c r="B37" s="213"/>
      <c r="C37" s="8" t="s">
        <v>224</v>
      </c>
      <c r="D37" s="7" t="s">
        <v>267</v>
      </c>
      <c r="E37" s="45">
        <v>3</v>
      </c>
      <c r="F37" s="45">
        <v>3</v>
      </c>
      <c r="G37" s="45">
        <v>3</v>
      </c>
      <c r="H37" s="45">
        <v>3</v>
      </c>
      <c r="I37" s="45">
        <v>3</v>
      </c>
      <c r="J37" s="45">
        <v>3</v>
      </c>
      <c r="K37" s="45">
        <v>3</v>
      </c>
      <c r="L37" s="45">
        <v>3</v>
      </c>
      <c r="M37" s="45">
        <v>3</v>
      </c>
      <c r="N37" s="45">
        <v>3</v>
      </c>
      <c r="O37" s="45">
        <v>3</v>
      </c>
      <c r="P37" s="45">
        <v>3</v>
      </c>
      <c r="Q37" s="45">
        <v>3</v>
      </c>
      <c r="R37" s="45">
        <v>3</v>
      </c>
      <c r="S37" s="45">
        <v>3</v>
      </c>
      <c r="T37" s="45">
        <v>3</v>
      </c>
      <c r="U37" s="45">
        <v>3</v>
      </c>
      <c r="V37" s="45">
        <v>3</v>
      </c>
      <c r="W37" s="45">
        <v>3</v>
      </c>
      <c r="X37" s="45">
        <v>3</v>
      </c>
      <c r="Y37" s="45">
        <v>3</v>
      </c>
      <c r="Z37" s="45">
        <v>3</v>
      </c>
      <c r="AA37" s="45">
        <v>3</v>
      </c>
      <c r="AB37" s="45">
        <v>3</v>
      </c>
      <c r="AC37" s="45">
        <v>3</v>
      </c>
      <c r="AD37" s="45">
        <v>3</v>
      </c>
      <c r="AE37" s="45">
        <v>3</v>
      </c>
      <c r="AF37" s="45">
        <v>3</v>
      </c>
      <c r="AG37" s="45">
        <v>3</v>
      </c>
      <c r="AH37" s="45">
        <v>3</v>
      </c>
      <c r="AI37" s="36">
        <f>VLOOKUP(C37,[1]인천!$B:$E,4,0)</f>
        <v>44138</v>
      </c>
      <c r="AJ37" s="36">
        <v>44574</v>
      </c>
      <c r="AK37" s="45">
        <v>57272.73</v>
      </c>
      <c r="AL37" s="36">
        <v>44267</v>
      </c>
      <c r="AM37" s="8"/>
      <c r="AN37" s="8" t="s">
        <v>317</v>
      </c>
      <c r="AO37" s="8" t="s">
        <v>317</v>
      </c>
      <c r="AP37" s="8" t="s">
        <v>317</v>
      </c>
      <c r="AQ37" s="8" t="s">
        <v>317</v>
      </c>
      <c r="AR37" s="8" t="s">
        <v>317</v>
      </c>
      <c r="AS37" s="144" t="s">
        <v>497</v>
      </c>
      <c r="AT37" s="8" t="s">
        <v>497</v>
      </c>
      <c r="AU37" s="8" t="s">
        <v>497</v>
      </c>
      <c r="AV37" s="8" t="s">
        <v>497</v>
      </c>
      <c r="AW37" s="8" t="s">
        <v>497</v>
      </c>
      <c r="AX37" s="8" t="s">
        <v>497</v>
      </c>
      <c r="AY37" s="8" t="s">
        <v>497</v>
      </c>
      <c r="AZ37" s="8" t="s">
        <v>497</v>
      </c>
      <c r="BA37" s="8" t="s">
        <v>497</v>
      </c>
      <c r="BB37" s="8" t="s">
        <v>497</v>
      </c>
      <c r="BC37" s="8" t="s">
        <v>497</v>
      </c>
      <c r="BD37" s="8" t="s">
        <v>497</v>
      </c>
      <c r="BE37" s="8" t="s">
        <v>497</v>
      </c>
      <c r="BF37" s="8" t="s">
        <v>497</v>
      </c>
      <c r="BG37" s="8" t="s">
        <v>497</v>
      </c>
      <c r="BH37" s="8" t="s">
        <v>497</v>
      </c>
      <c r="BI37" s="8" t="s">
        <v>497</v>
      </c>
      <c r="BJ37" s="8" t="s">
        <v>497</v>
      </c>
      <c r="BK37" s="8" t="s">
        <v>497</v>
      </c>
      <c r="BL37" s="8" t="s">
        <v>497</v>
      </c>
      <c r="BM37" s="8" t="s">
        <v>497</v>
      </c>
      <c r="BN37" s="8" t="s">
        <v>497</v>
      </c>
      <c r="BO37" s="8" t="s">
        <v>497</v>
      </c>
    </row>
    <row r="38" spans="2:67" ht="20.100000000000001" customHeight="1" x14ac:dyDescent="0.3">
      <c r="C38" s="40"/>
      <c r="D38" s="41"/>
      <c r="E38" s="84">
        <f t="shared" ref="E38:I38" si="0">SUM(E4:E37)</f>
        <v>122</v>
      </c>
      <c r="F38" s="84">
        <f t="shared" si="0"/>
        <v>88</v>
      </c>
      <c r="G38" s="84">
        <f t="shared" si="0"/>
        <v>86</v>
      </c>
      <c r="H38" s="84">
        <f t="shared" si="0"/>
        <v>130</v>
      </c>
      <c r="I38" s="84">
        <f t="shared" si="0"/>
        <v>128</v>
      </c>
      <c r="J38" s="84">
        <f t="shared" ref="J38" si="1">SUM(J4:J37)</f>
        <v>55</v>
      </c>
      <c r="K38" s="84">
        <f t="shared" ref="K38" si="2">SUM(K4:K37)</f>
        <v>56</v>
      </c>
      <c r="L38" s="84">
        <v>20</v>
      </c>
      <c r="M38" s="84">
        <v>20</v>
      </c>
      <c r="N38" s="84">
        <v>18</v>
      </c>
      <c r="O38" s="84">
        <v>18</v>
      </c>
      <c r="P38" s="84">
        <f t="shared" ref="P38:AG38" si="3">SUM(P6:P37)</f>
        <v>17</v>
      </c>
      <c r="Q38" s="84">
        <f t="shared" si="3"/>
        <v>11</v>
      </c>
      <c r="R38" s="84">
        <f t="shared" si="3"/>
        <v>10</v>
      </c>
      <c r="S38" s="84">
        <f t="shared" si="3"/>
        <v>10</v>
      </c>
      <c r="T38" s="84">
        <f t="shared" si="3"/>
        <v>10</v>
      </c>
      <c r="U38" s="84">
        <f t="shared" si="3"/>
        <v>10</v>
      </c>
      <c r="V38" s="84">
        <f t="shared" ref="V38:AF38" si="4">SUM(V6:V37)</f>
        <v>10</v>
      </c>
      <c r="W38" s="84">
        <f t="shared" si="4"/>
        <v>10</v>
      </c>
      <c r="X38" s="84">
        <f t="shared" si="4"/>
        <v>10</v>
      </c>
      <c r="Y38" s="84">
        <f t="shared" si="4"/>
        <v>10</v>
      </c>
      <c r="Z38" s="84">
        <f t="shared" si="4"/>
        <v>10</v>
      </c>
      <c r="AA38" s="84">
        <f t="shared" si="4"/>
        <v>10</v>
      </c>
      <c r="AB38" s="84">
        <f t="shared" si="4"/>
        <v>10</v>
      </c>
      <c r="AC38" s="84">
        <f t="shared" si="4"/>
        <v>10</v>
      </c>
      <c r="AD38" s="84">
        <f t="shared" si="4"/>
        <v>10</v>
      </c>
      <c r="AE38" s="84">
        <f t="shared" si="4"/>
        <v>10</v>
      </c>
      <c r="AF38" s="84">
        <f t="shared" si="4"/>
        <v>10</v>
      </c>
      <c r="AG38" s="84">
        <f t="shared" si="3"/>
        <v>10</v>
      </c>
      <c r="AH38" s="41"/>
      <c r="AI38" s="42"/>
      <c r="AJ38" s="41"/>
      <c r="AK38" s="49"/>
      <c r="AL38" s="41"/>
    </row>
    <row r="39" spans="2:67" ht="20.100000000000001" customHeight="1" x14ac:dyDescent="0.3"/>
    <row r="40" spans="2:67" ht="20.100000000000001" customHeight="1" x14ac:dyDescent="0.3"/>
    <row r="41" spans="2:67" ht="20.100000000000001" customHeight="1" x14ac:dyDescent="0.3"/>
    <row r="42" spans="2:67" ht="20.100000000000001" customHeight="1" x14ac:dyDescent="0.3"/>
    <row r="43" spans="2:67" ht="20.100000000000001" customHeight="1" x14ac:dyDescent="0.3"/>
    <row r="44" spans="2:67" ht="20.100000000000001" customHeight="1" x14ac:dyDescent="0.3"/>
    <row r="45" spans="2:67" ht="20.100000000000001" customHeight="1" x14ac:dyDescent="0.3"/>
    <row r="46" spans="2:67" ht="20.100000000000001" customHeight="1" x14ac:dyDescent="0.3"/>
    <row r="47" spans="2:67" ht="20.100000000000001" customHeight="1" x14ac:dyDescent="0.3"/>
    <row r="48" spans="2:67" ht="20.100000000000001" customHeight="1" x14ac:dyDescent="0.3"/>
    <row r="49" spans="3:39" ht="20.100000000000001" customHeight="1" x14ac:dyDescent="0.3"/>
    <row r="50" spans="3:39" ht="20.100000000000001" customHeight="1" x14ac:dyDescent="0.3"/>
    <row r="51" spans="3:39" ht="20.100000000000001" customHeight="1" x14ac:dyDescent="0.3"/>
    <row r="52" spans="3:39" s="2" customFormat="1" ht="20.100000000000001" customHeight="1" x14ac:dyDescent="0.3">
      <c r="C52" s="3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1"/>
      <c r="AJ52" s="35"/>
      <c r="AK52" s="47"/>
      <c r="AM52" s="3"/>
    </row>
    <row r="53" spans="3:39" s="2" customFormat="1" ht="20.100000000000001" customHeight="1" x14ac:dyDescent="0.3">
      <c r="C53" s="3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1"/>
      <c r="AJ53" s="35"/>
      <c r="AK53" s="47"/>
      <c r="AM53" s="3"/>
    </row>
    <row r="54" spans="3:39" s="2" customFormat="1" ht="20.100000000000001" customHeight="1" x14ac:dyDescent="0.3">
      <c r="C54" s="3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1"/>
      <c r="AJ54" s="35"/>
      <c r="AK54" s="47"/>
      <c r="AM54" s="3"/>
    </row>
    <row r="55" spans="3:39" s="2" customFormat="1" ht="20.100000000000001" customHeight="1" x14ac:dyDescent="0.3">
      <c r="C55" s="3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1"/>
      <c r="AJ55" s="35"/>
      <c r="AK55" s="47"/>
      <c r="AM55" s="3"/>
    </row>
    <row r="56" spans="3:39" s="2" customFormat="1" ht="20.100000000000001" customHeight="1" x14ac:dyDescent="0.3">
      <c r="C56" s="3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1"/>
      <c r="AJ56" s="35"/>
      <c r="AK56" s="47"/>
      <c r="AM56" s="3"/>
    </row>
    <row r="57" spans="3:39" s="2" customFormat="1" ht="20.100000000000001" customHeight="1" x14ac:dyDescent="0.3">
      <c r="C57" s="3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1"/>
      <c r="AJ57" s="35"/>
      <c r="AK57" s="47"/>
      <c r="AM57" s="3"/>
    </row>
    <row r="58" spans="3:39" s="2" customFormat="1" ht="20.100000000000001" customHeight="1" x14ac:dyDescent="0.3">
      <c r="C58" s="3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1"/>
      <c r="AJ58" s="35"/>
      <c r="AK58" s="47"/>
      <c r="AM58" s="3"/>
    </row>
    <row r="59" spans="3:39" s="2" customFormat="1" ht="20.100000000000001" customHeight="1" x14ac:dyDescent="0.3">
      <c r="C59" s="3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1"/>
      <c r="AJ59" s="35"/>
      <c r="AK59" s="47"/>
      <c r="AM59" s="3"/>
    </row>
    <row r="60" spans="3:39" s="2" customFormat="1" ht="20.100000000000001" customHeight="1" x14ac:dyDescent="0.3">
      <c r="C60" s="3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1"/>
      <c r="AJ60" s="35"/>
      <c r="AK60" s="47"/>
      <c r="AM60" s="3"/>
    </row>
    <row r="61" spans="3:39" s="2" customFormat="1" ht="20.100000000000001" customHeight="1" x14ac:dyDescent="0.3">
      <c r="C61" s="3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1"/>
      <c r="AJ61" s="35"/>
      <c r="AK61" s="47"/>
      <c r="AM61" s="3"/>
    </row>
    <row r="62" spans="3:39" s="2" customFormat="1" ht="20.100000000000001" customHeight="1" x14ac:dyDescent="0.3">
      <c r="C62" s="3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1"/>
      <c r="AJ62" s="35"/>
      <c r="AK62" s="47"/>
      <c r="AM62" s="3"/>
    </row>
    <row r="63" spans="3:39" s="2" customFormat="1" ht="20.100000000000001" customHeight="1" x14ac:dyDescent="0.3">
      <c r="C63" s="3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1"/>
      <c r="AJ63" s="35"/>
      <c r="AK63" s="47"/>
      <c r="AM63" s="3"/>
    </row>
    <row r="64" spans="3:39" s="2" customFormat="1" ht="20.100000000000001" customHeight="1" x14ac:dyDescent="0.3">
      <c r="C64" s="3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1"/>
      <c r="AJ64" s="35"/>
      <c r="AK64" s="47"/>
      <c r="AM64" s="3"/>
    </row>
    <row r="65" spans="3:39" s="2" customFormat="1" ht="20.100000000000001" customHeight="1" x14ac:dyDescent="0.3">
      <c r="C65" s="3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1"/>
      <c r="AJ65" s="35"/>
      <c r="AK65" s="47"/>
      <c r="AM65" s="3"/>
    </row>
    <row r="66" spans="3:39" s="2" customFormat="1" ht="20.100000000000001" customHeight="1" x14ac:dyDescent="0.3">
      <c r="C66" s="3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1"/>
      <c r="AJ66" s="35"/>
      <c r="AK66" s="47"/>
      <c r="AM66" s="3"/>
    </row>
    <row r="67" spans="3:39" s="2" customFormat="1" ht="20.100000000000001" customHeight="1" x14ac:dyDescent="0.3">
      <c r="C67" s="3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1"/>
      <c r="AJ67" s="35"/>
      <c r="AK67" s="47"/>
      <c r="AM67" s="3"/>
    </row>
    <row r="68" spans="3:39" s="2" customFormat="1" ht="20.100000000000001" customHeight="1" x14ac:dyDescent="0.3">
      <c r="C68" s="3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1"/>
      <c r="AJ68" s="35"/>
      <c r="AK68" s="47"/>
      <c r="AM68" s="3"/>
    </row>
    <row r="69" spans="3:39" s="2" customFormat="1" ht="20.100000000000001" customHeight="1" x14ac:dyDescent="0.3">
      <c r="C69" s="3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1"/>
      <c r="AJ69" s="35"/>
      <c r="AK69" s="47"/>
      <c r="AM69" s="3"/>
    </row>
    <row r="70" spans="3:39" s="2" customFormat="1" ht="20.100000000000001" customHeight="1" x14ac:dyDescent="0.3">
      <c r="C70" s="3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1"/>
      <c r="AJ70" s="35"/>
      <c r="AK70" s="47"/>
      <c r="AM70" s="3"/>
    </row>
    <row r="71" spans="3:39" s="2" customFormat="1" ht="20.100000000000001" customHeight="1" x14ac:dyDescent="0.3">
      <c r="C71" s="3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1"/>
      <c r="AJ71" s="35"/>
      <c r="AK71" s="47"/>
      <c r="AM71" s="3"/>
    </row>
    <row r="72" spans="3:39" s="2" customFormat="1" ht="20.100000000000001" customHeight="1" x14ac:dyDescent="0.3">
      <c r="C72" s="3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1"/>
      <c r="AJ72" s="35"/>
      <c r="AK72" s="47"/>
      <c r="AM72" s="3"/>
    </row>
    <row r="73" spans="3:39" s="2" customFormat="1" ht="20.100000000000001" customHeight="1" x14ac:dyDescent="0.3">
      <c r="C73" s="3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1"/>
      <c r="AJ73" s="35"/>
      <c r="AK73" s="47"/>
      <c r="AM73" s="3"/>
    </row>
    <row r="74" spans="3:39" s="2" customFormat="1" ht="20.100000000000001" customHeight="1" x14ac:dyDescent="0.3">
      <c r="C74" s="3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1"/>
      <c r="AJ74" s="35"/>
      <c r="AK74" s="47"/>
      <c r="AM74" s="3"/>
    </row>
    <row r="75" spans="3:39" s="2" customFormat="1" ht="20.100000000000001" customHeight="1" x14ac:dyDescent="0.3">
      <c r="C75" s="3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1"/>
      <c r="AJ75" s="35"/>
      <c r="AK75" s="47"/>
      <c r="AM75" s="3"/>
    </row>
    <row r="76" spans="3:39" s="2" customFormat="1" ht="20.100000000000001" customHeight="1" x14ac:dyDescent="0.3">
      <c r="C76" s="3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1"/>
      <c r="AJ76" s="35"/>
      <c r="AK76" s="47"/>
      <c r="AM76" s="3"/>
    </row>
    <row r="77" spans="3:39" s="2" customFormat="1" ht="20.100000000000001" customHeight="1" x14ac:dyDescent="0.3">
      <c r="C77" s="3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1"/>
      <c r="AJ77" s="35"/>
      <c r="AK77" s="47"/>
      <c r="AM77" s="3"/>
    </row>
    <row r="78" spans="3:39" s="2" customFormat="1" ht="20.100000000000001" customHeight="1" x14ac:dyDescent="0.3">
      <c r="C78" s="3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1"/>
      <c r="AJ78" s="35"/>
      <c r="AK78" s="47"/>
      <c r="AM78" s="3"/>
    </row>
    <row r="79" spans="3:39" s="2" customFormat="1" ht="20.100000000000001" customHeight="1" x14ac:dyDescent="0.3">
      <c r="C79" s="3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1"/>
      <c r="AJ79" s="35"/>
      <c r="AK79" s="47"/>
      <c r="AM79" s="3"/>
    </row>
    <row r="80" spans="3:39" s="2" customFormat="1" ht="20.100000000000001" customHeight="1" x14ac:dyDescent="0.3">
      <c r="C80" s="3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1"/>
      <c r="AJ80" s="35"/>
      <c r="AK80" s="47"/>
      <c r="AM80" s="3"/>
    </row>
    <row r="81" spans="3:39" s="2" customFormat="1" ht="20.100000000000001" customHeight="1" x14ac:dyDescent="0.3">
      <c r="C81" s="3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1"/>
      <c r="AJ81" s="35"/>
      <c r="AK81" s="47"/>
      <c r="AM81" s="3"/>
    </row>
    <row r="82" spans="3:39" s="2" customFormat="1" ht="20.100000000000001" customHeight="1" x14ac:dyDescent="0.3">
      <c r="C82" s="3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1"/>
      <c r="AJ82" s="35"/>
      <c r="AK82" s="47"/>
      <c r="AM82" s="3"/>
    </row>
    <row r="83" spans="3:39" s="2" customFormat="1" ht="20.100000000000001" customHeight="1" x14ac:dyDescent="0.3">
      <c r="C83" s="3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1"/>
      <c r="AJ83" s="35"/>
      <c r="AK83" s="47"/>
      <c r="AM83" s="3"/>
    </row>
    <row r="84" spans="3:39" s="2" customFormat="1" ht="20.100000000000001" customHeight="1" x14ac:dyDescent="0.3">
      <c r="C84" s="3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1"/>
      <c r="AJ84" s="35"/>
      <c r="AK84" s="47"/>
      <c r="AM84" s="3"/>
    </row>
    <row r="85" spans="3:39" s="2" customFormat="1" ht="20.100000000000001" customHeight="1" x14ac:dyDescent="0.3">
      <c r="C85" s="3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1"/>
      <c r="AJ85" s="35"/>
      <c r="AK85" s="47"/>
      <c r="AM85" s="3"/>
    </row>
    <row r="86" spans="3:39" s="2" customFormat="1" ht="20.100000000000001" customHeight="1" x14ac:dyDescent="0.3">
      <c r="C86" s="3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1"/>
      <c r="AJ86" s="35"/>
      <c r="AK86" s="47"/>
      <c r="AM86" s="3"/>
    </row>
    <row r="87" spans="3:39" s="2" customFormat="1" ht="20.100000000000001" customHeight="1" x14ac:dyDescent="0.3">
      <c r="C87" s="3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1"/>
      <c r="AJ87" s="35"/>
      <c r="AK87" s="47"/>
      <c r="AM87" s="3"/>
    </row>
    <row r="88" spans="3:39" s="2" customFormat="1" ht="20.100000000000001" customHeight="1" x14ac:dyDescent="0.3">
      <c r="C88" s="3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1"/>
      <c r="AJ88" s="35"/>
      <c r="AK88" s="47"/>
      <c r="AM88" s="3"/>
    </row>
    <row r="89" spans="3:39" s="2" customFormat="1" ht="20.100000000000001" customHeight="1" x14ac:dyDescent="0.3">
      <c r="C89" s="3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1"/>
      <c r="AJ89" s="35"/>
      <c r="AK89" s="47"/>
      <c r="AM89" s="3"/>
    </row>
    <row r="90" spans="3:39" s="2" customFormat="1" ht="20.100000000000001" customHeight="1" x14ac:dyDescent="0.3">
      <c r="C90" s="3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1"/>
      <c r="AJ90" s="35"/>
      <c r="AK90" s="47"/>
      <c r="AM90" s="3"/>
    </row>
    <row r="91" spans="3:39" s="2" customFormat="1" ht="20.100000000000001" customHeight="1" x14ac:dyDescent="0.3">
      <c r="C91" s="3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1"/>
      <c r="AJ91" s="35"/>
      <c r="AK91" s="47"/>
      <c r="AM91" s="3"/>
    </row>
    <row r="92" spans="3:39" s="2" customFormat="1" ht="20.100000000000001" customHeight="1" x14ac:dyDescent="0.3">
      <c r="C92" s="3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1"/>
      <c r="AJ92" s="35"/>
      <c r="AK92" s="47"/>
      <c r="AM92" s="3"/>
    </row>
    <row r="93" spans="3:39" s="2" customFormat="1" ht="20.100000000000001" customHeight="1" x14ac:dyDescent="0.3">
      <c r="C93" s="3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1"/>
      <c r="AJ93" s="35"/>
      <c r="AK93" s="47"/>
      <c r="AM93" s="3"/>
    </row>
    <row r="94" spans="3:39" s="2" customFormat="1" ht="20.100000000000001" customHeight="1" x14ac:dyDescent="0.3">
      <c r="C94" s="3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1"/>
      <c r="AJ94" s="35"/>
      <c r="AK94" s="47"/>
      <c r="AM94" s="3"/>
    </row>
    <row r="95" spans="3:39" s="2" customFormat="1" ht="20.100000000000001" customHeight="1" x14ac:dyDescent="0.3">
      <c r="C95" s="3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1"/>
      <c r="AJ95" s="35"/>
      <c r="AK95" s="47"/>
      <c r="AM95" s="3"/>
    </row>
    <row r="96" spans="3:39" s="2" customFormat="1" ht="20.100000000000001" customHeight="1" x14ac:dyDescent="0.3">
      <c r="C96" s="3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1"/>
      <c r="AJ96" s="35"/>
      <c r="AK96" s="47"/>
      <c r="AM96" s="3"/>
    </row>
    <row r="97" spans="3:39" s="2" customFormat="1" ht="20.100000000000001" customHeight="1" x14ac:dyDescent="0.3">
      <c r="C97" s="3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1"/>
      <c r="AJ97" s="35"/>
      <c r="AK97" s="47"/>
      <c r="AM97" s="3"/>
    </row>
    <row r="98" spans="3:39" s="2" customFormat="1" ht="20.100000000000001" customHeight="1" x14ac:dyDescent="0.3">
      <c r="C98" s="3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1"/>
      <c r="AJ98" s="35"/>
      <c r="AK98" s="47"/>
      <c r="AM98" s="3"/>
    </row>
    <row r="99" spans="3:39" s="2" customFormat="1" ht="20.100000000000001" customHeight="1" x14ac:dyDescent="0.3">
      <c r="C99" s="3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1"/>
      <c r="AJ99" s="35"/>
      <c r="AK99" s="47"/>
      <c r="AM99" s="3"/>
    </row>
    <row r="100" spans="3:39" s="2" customFormat="1" ht="20.100000000000001" customHeight="1" x14ac:dyDescent="0.3">
      <c r="C100" s="3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1"/>
      <c r="AJ100" s="35"/>
      <c r="AK100" s="47"/>
      <c r="AM100" s="3"/>
    </row>
    <row r="101" spans="3:39" s="2" customFormat="1" ht="20.100000000000001" customHeight="1" x14ac:dyDescent="0.3">
      <c r="C101" s="3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1"/>
      <c r="AJ101" s="35"/>
      <c r="AK101" s="47"/>
      <c r="AM101" s="3"/>
    </row>
    <row r="102" spans="3:39" s="2" customFormat="1" ht="20.100000000000001" customHeight="1" x14ac:dyDescent="0.3">
      <c r="C102" s="3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1"/>
      <c r="AJ102" s="35"/>
      <c r="AK102" s="47"/>
      <c r="AM102" s="3"/>
    </row>
    <row r="103" spans="3:39" s="2" customFormat="1" ht="20.100000000000001" customHeight="1" x14ac:dyDescent="0.3">
      <c r="C103" s="3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1"/>
      <c r="AJ103" s="35"/>
      <c r="AK103" s="47"/>
      <c r="AM103" s="3"/>
    </row>
    <row r="104" spans="3:39" s="2" customFormat="1" ht="20.100000000000001" customHeight="1" x14ac:dyDescent="0.3">
      <c r="C104" s="3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1"/>
      <c r="AJ104" s="35"/>
      <c r="AK104" s="47"/>
      <c r="AM104" s="3"/>
    </row>
    <row r="105" spans="3:39" s="2" customFormat="1" ht="20.100000000000001" customHeight="1" x14ac:dyDescent="0.3">
      <c r="C105" s="3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1"/>
      <c r="AJ105" s="35"/>
      <c r="AK105" s="47"/>
      <c r="AM105" s="3"/>
    </row>
    <row r="106" spans="3:39" s="2" customFormat="1" ht="20.100000000000001" customHeight="1" x14ac:dyDescent="0.3">
      <c r="C106" s="3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1"/>
      <c r="AJ106" s="35"/>
      <c r="AK106" s="47"/>
      <c r="AM106" s="3"/>
    </row>
    <row r="107" spans="3:39" s="2" customFormat="1" ht="20.100000000000001" customHeight="1" x14ac:dyDescent="0.3">
      <c r="C107" s="3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1"/>
      <c r="AJ107" s="35"/>
      <c r="AK107" s="47"/>
      <c r="AM107" s="3"/>
    </row>
    <row r="108" spans="3:39" s="2" customFormat="1" ht="20.100000000000001" customHeight="1" x14ac:dyDescent="0.3">
      <c r="C108" s="3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1"/>
      <c r="AJ108" s="35"/>
      <c r="AK108" s="47"/>
      <c r="AM108" s="3"/>
    </row>
    <row r="109" spans="3:39" s="2" customFormat="1" ht="20.100000000000001" customHeight="1" x14ac:dyDescent="0.3">
      <c r="C109" s="3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1"/>
      <c r="AJ109" s="35"/>
      <c r="AK109" s="47"/>
      <c r="AM109" s="3"/>
    </row>
    <row r="110" spans="3:39" s="2" customFormat="1" ht="20.100000000000001" customHeight="1" x14ac:dyDescent="0.3">
      <c r="C110" s="3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1"/>
      <c r="AJ110" s="35"/>
      <c r="AK110" s="47"/>
      <c r="AM110" s="3"/>
    </row>
    <row r="111" spans="3:39" s="2" customFormat="1" ht="20.100000000000001" customHeight="1" x14ac:dyDescent="0.3">
      <c r="C111" s="3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1"/>
      <c r="AJ111" s="35"/>
      <c r="AK111" s="47"/>
      <c r="AM111" s="3"/>
    </row>
    <row r="112" spans="3:39" s="2" customFormat="1" ht="20.100000000000001" customHeight="1" x14ac:dyDescent="0.3">
      <c r="C112" s="3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1"/>
      <c r="AJ112" s="35"/>
      <c r="AK112" s="47"/>
      <c r="AM112" s="3"/>
    </row>
    <row r="113" spans="3:39" s="2" customFormat="1" ht="20.100000000000001" customHeight="1" x14ac:dyDescent="0.3">
      <c r="C113" s="3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1"/>
      <c r="AJ113" s="35"/>
      <c r="AK113" s="47"/>
      <c r="AM113" s="3"/>
    </row>
    <row r="114" spans="3:39" s="2" customFormat="1" ht="20.100000000000001" customHeight="1" x14ac:dyDescent="0.3">
      <c r="C114" s="3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1"/>
      <c r="AJ114" s="35"/>
      <c r="AK114" s="47"/>
      <c r="AM114" s="3"/>
    </row>
    <row r="115" spans="3:39" s="2" customFormat="1" ht="20.100000000000001" customHeight="1" x14ac:dyDescent="0.3">
      <c r="C115" s="3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1"/>
      <c r="AJ115" s="35"/>
      <c r="AK115" s="47"/>
      <c r="AM115" s="3"/>
    </row>
    <row r="116" spans="3:39" s="2" customFormat="1" ht="20.100000000000001" customHeight="1" x14ac:dyDescent="0.3">
      <c r="C116" s="3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1"/>
      <c r="AJ116" s="35"/>
      <c r="AK116" s="47"/>
      <c r="AM116" s="3"/>
    </row>
    <row r="117" spans="3:39" s="2" customFormat="1" ht="20.100000000000001" customHeight="1" x14ac:dyDescent="0.3">
      <c r="C117" s="3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1"/>
      <c r="AJ117" s="35"/>
      <c r="AK117" s="47"/>
      <c r="AM117" s="3"/>
    </row>
    <row r="118" spans="3:39" s="2" customFormat="1" ht="20.100000000000001" customHeight="1" x14ac:dyDescent="0.3">
      <c r="C118" s="3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1"/>
      <c r="AJ118" s="35"/>
      <c r="AK118" s="47"/>
      <c r="AM118" s="3"/>
    </row>
    <row r="119" spans="3:39" s="2" customFormat="1" ht="20.100000000000001" customHeight="1" x14ac:dyDescent="0.3">
      <c r="C119" s="3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1"/>
      <c r="AJ119" s="35"/>
      <c r="AK119" s="47"/>
      <c r="AM119" s="3"/>
    </row>
    <row r="120" spans="3:39" s="2" customFormat="1" ht="20.100000000000001" customHeight="1" x14ac:dyDescent="0.3">
      <c r="C120" s="3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1"/>
      <c r="AJ120" s="35"/>
      <c r="AK120" s="47"/>
      <c r="AM120" s="3"/>
    </row>
    <row r="121" spans="3:39" s="2" customFormat="1" ht="20.100000000000001" customHeight="1" x14ac:dyDescent="0.3">
      <c r="C121" s="3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1"/>
      <c r="AJ121" s="35"/>
      <c r="AK121" s="47"/>
      <c r="AM121" s="3"/>
    </row>
    <row r="122" spans="3:39" s="2" customFormat="1" ht="20.100000000000001" customHeight="1" x14ac:dyDescent="0.3">
      <c r="C122" s="3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1"/>
      <c r="AJ122" s="35"/>
      <c r="AK122" s="47"/>
      <c r="AM122" s="3"/>
    </row>
    <row r="123" spans="3:39" s="2" customFormat="1" ht="20.100000000000001" customHeight="1" x14ac:dyDescent="0.3">
      <c r="C123" s="3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1"/>
      <c r="AJ123" s="35"/>
      <c r="AK123" s="47"/>
      <c r="AM123" s="3"/>
    </row>
    <row r="124" spans="3:39" s="2" customFormat="1" ht="20.100000000000001" customHeight="1" x14ac:dyDescent="0.3">
      <c r="C124" s="3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1"/>
      <c r="AJ124" s="35"/>
      <c r="AK124" s="47"/>
      <c r="AM124" s="3"/>
    </row>
    <row r="125" spans="3:39" s="2" customFormat="1" ht="20.100000000000001" customHeight="1" x14ac:dyDescent="0.3">
      <c r="C125" s="3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1"/>
      <c r="AJ125" s="35"/>
      <c r="AK125" s="47"/>
      <c r="AM125" s="3"/>
    </row>
    <row r="126" spans="3:39" s="2" customFormat="1" ht="20.100000000000001" customHeight="1" x14ac:dyDescent="0.3">
      <c r="C126" s="3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1"/>
      <c r="AJ126" s="35"/>
      <c r="AK126" s="47"/>
      <c r="AM126" s="3"/>
    </row>
    <row r="127" spans="3:39" s="2" customFormat="1" ht="20.100000000000001" customHeight="1" x14ac:dyDescent="0.3">
      <c r="C127" s="3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1"/>
      <c r="AJ127" s="35"/>
      <c r="AK127" s="47"/>
      <c r="AM127" s="3"/>
    </row>
    <row r="128" spans="3:39" s="2" customFormat="1" ht="20.100000000000001" customHeight="1" x14ac:dyDescent="0.3">
      <c r="C128" s="3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1"/>
      <c r="AJ128" s="35"/>
      <c r="AK128" s="47"/>
      <c r="AM128" s="3"/>
    </row>
    <row r="129" spans="3:39" s="2" customFormat="1" ht="20.100000000000001" customHeight="1" x14ac:dyDescent="0.3">
      <c r="C129" s="3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1"/>
      <c r="AJ129" s="35"/>
      <c r="AK129" s="47"/>
      <c r="AM129" s="3"/>
    </row>
    <row r="130" spans="3:39" s="2" customFormat="1" ht="20.100000000000001" customHeight="1" x14ac:dyDescent="0.3">
      <c r="C130" s="3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1"/>
      <c r="AJ130" s="35"/>
      <c r="AK130" s="47"/>
      <c r="AM130" s="3"/>
    </row>
    <row r="131" spans="3:39" s="2" customFormat="1" ht="20.100000000000001" customHeight="1" x14ac:dyDescent="0.3">
      <c r="C131" s="3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1"/>
      <c r="AJ131" s="35"/>
      <c r="AK131" s="47"/>
      <c r="AM131" s="3"/>
    </row>
    <row r="132" spans="3:39" s="2" customFormat="1" ht="20.100000000000001" customHeight="1" x14ac:dyDescent="0.3">
      <c r="C132" s="3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1"/>
      <c r="AJ132" s="35"/>
      <c r="AK132" s="47"/>
      <c r="AM132" s="3"/>
    </row>
    <row r="133" spans="3:39" s="2" customFormat="1" ht="20.100000000000001" customHeight="1" x14ac:dyDescent="0.3">
      <c r="C133" s="3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1"/>
      <c r="AJ133" s="35"/>
      <c r="AK133" s="47"/>
      <c r="AM133" s="3"/>
    </row>
    <row r="134" spans="3:39" s="2" customFormat="1" ht="20.100000000000001" customHeight="1" x14ac:dyDescent="0.3">
      <c r="C134" s="3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1"/>
      <c r="AJ134" s="35"/>
      <c r="AK134" s="47"/>
      <c r="AM134" s="3"/>
    </row>
    <row r="135" spans="3:39" s="2" customFormat="1" ht="20.100000000000001" customHeight="1" x14ac:dyDescent="0.3">
      <c r="C135" s="3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1"/>
      <c r="AJ135" s="35"/>
      <c r="AK135" s="47"/>
      <c r="AM135" s="3"/>
    </row>
    <row r="136" spans="3:39" s="2" customFormat="1" ht="20.100000000000001" customHeight="1" x14ac:dyDescent="0.3">
      <c r="C136" s="3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1"/>
      <c r="AJ136" s="35"/>
      <c r="AK136" s="47"/>
      <c r="AM136" s="3"/>
    </row>
    <row r="137" spans="3:39" s="2" customFormat="1" ht="20.100000000000001" customHeight="1" x14ac:dyDescent="0.3">
      <c r="C137" s="3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1"/>
      <c r="AJ137" s="35"/>
      <c r="AK137" s="47"/>
      <c r="AM137" s="3"/>
    </row>
    <row r="138" spans="3:39" s="2" customFormat="1" ht="20.100000000000001" customHeight="1" x14ac:dyDescent="0.3">
      <c r="C138" s="3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1"/>
      <c r="AJ138" s="35"/>
      <c r="AK138" s="47"/>
      <c r="AM138" s="3"/>
    </row>
    <row r="139" spans="3:39" s="2" customFormat="1" ht="20.100000000000001" customHeight="1" x14ac:dyDescent="0.3">
      <c r="C139" s="3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1"/>
      <c r="AJ139" s="35"/>
      <c r="AK139" s="47"/>
      <c r="AM139" s="3"/>
    </row>
    <row r="140" spans="3:39" s="2" customFormat="1" ht="20.100000000000001" customHeight="1" x14ac:dyDescent="0.3">
      <c r="C140" s="3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1"/>
      <c r="AJ140" s="35"/>
      <c r="AK140" s="47"/>
      <c r="AM140" s="3"/>
    </row>
    <row r="141" spans="3:39" s="2" customFormat="1" ht="20.100000000000001" customHeight="1" x14ac:dyDescent="0.3">
      <c r="C141" s="3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1"/>
      <c r="AJ141" s="35"/>
      <c r="AK141" s="47"/>
      <c r="AM141" s="3"/>
    </row>
    <row r="142" spans="3:39" s="2" customFormat="1" ht="20.100000000000001" customHeight="1" x14ac:dyDescent="0.3">
      <c r="C142" s="3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1"/>
      <c r="AJ142" s="35"/>
      <c r="AK142" s="47"/>
      <c r="AM142" s="3"/>
    </row>
    <row r="143" spans="3:39" s="2" customFormat="1" ht="20.100000000000001" customHeight="1" x14ac:dyDescent="0.3">
      <c r="C143" s="3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1"/>
      <c r="AJ143" s="35"/>
      <c r="AK143" s="47"/>
      <c r="AM143" s="3"/>
    </row>
    <row r="144" spans="3:39" s="2" customFormat="1" ht="20.100000000000001" customHeight="1" x14ac:dyDescent="0.3">
      <c r="C144" s="3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1"/>
      <c r="AJ144" s="35"/>
      <c r="AK144" s="47"/>
      <c r="AM144" s="3"/>
    </row>
    <row r="145" spans="3:39" s="2" customFormat="1" ht="20.100000000000001" customHeight="1" x14ac:dyDescent="0.3">
      <c r="C145" s="3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1"/>
      <c r="AJ145" s="35"/>
      <c r="AK145" s="47"/>
      <c r="AM145" s="3"/>
    </row>
    <row r="146" spans="3:39" s="2" customFormat="1" ht="20.100000000000001" customHeight="1" x14ac:dyDescent="0.3">
      <c r="C146" s="3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1"/>
      <c r="AJ146" s="35"/>
      <c r="AK146" s="47"/>
      <c r="AM146" s="3"/>
    </row>
    <row r="147" spans="3:39" s="2" customFormat="1" ht="20.100000000000001" customHeight="1" x14ac:dyDescent="0.3">
      <c r="C147" s="3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1"/>
      <c r="AJ147" s="35"/>
      <c r="AK147" s="47"/>
      <c r="AM147" s="3"/>
    </row>
    <row r="148" spans="3:39" s="2" customFormat="1" ht="20.100000000000001" customHeight="1" x14ac:dyDescent="0.3">
      <c r="C148" s="3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1"/>
      <c r="AJ148" s="35"/>
      <c r="AK148" s="47"/>
      <c r="AM148" s="3"/>
    </row>
    <row r="149" spans="3:39" s="2" customFormat="1" ht="20.100000000000001" customHeight="1" x14ac:dyDescent="0.3">
      <c r="C149" s="3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1"/>
      <c r="AJ149" s="35"/>
      <c r="AK149" s="47"/>
      <c r="AM149" s="3"/>
    </row>
    <row r="150" spans="3:39" s="2" customFormat="1" ht="20.100000000000001" customHeight="1" x14ac:dyDescent="0.3">
      <c r="C150" s="3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1"/>
      <c r="AJ150" s="35"/>
      <c r="AK150" s="47"/>
      <c r="AM150" s="3"/>
    </row>
    <row r="151" spans="3:39" s="2" customFormat="1" ht="20.100000000000001" customHeight="1" x14ac:dyDescent="0.3">
      <c r="C151" s="3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1"/>
      <c r="AJ151" s="35"/>
      <c r="AK151" s="47"/>
      <c r="AM151" s="3"/>
    </row>
    <row r="152" spans="3:39" s="2" customFormat="1" ht="20.100000000000001" customHeight="1" x14ac:dyDescent="0.3">
      <c r="C152" s="3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1"/>
      <c r="AJ152" s="35"/>
      <c r="AK152" s="47"/>
      <c r="AM152" s="3"/>
    </row>
    <row r="153" spans="3:39" s="2" customFormat="1" ht="20.100000000000001" customHeight="1" x14ac:dyDescent="0.3">
      <c r="C153" s="3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1"/>
      <c r="AJ153" s="35"/>
      <c r="AK153" s="47"/>
      <c r="AM153" s="3"/>
    </row>
    <row r="154" spans="3:39" s="2" customFormat="1" ht="20.100000000000001" customHeight="1" x14ac:dyDescent="0.3">
      <c r="C154" s="3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1"/>
      <c r="AJ154" s="35"/>
      <c r="AK154" s="47"/>
      <c r="AM154" s="3"/>
    </row>
    <row r="155" spans="3:39" s="2" customFormat="1" ht="20.100000000000001" customHeight="1" x14ac:dyDescent="0.3">
      <c r="C155" s="3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1"/>
      <c r="AJ155" s="35"/>
      <c r="AK155" s="47"/>
      <c r="AM155" s="3"/>
    </row>
    <row r="156" spans="3:39" s="2" customFormat="1" ht="20.100000000000001" customHeight="1" x14ac:dyDescent="0.3">
      <c r="C156" s="3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1"/>
      <c r="AJ156" s="35"/>
      <c r="AK156" s="47"/>
      <c r="AM156" s="3"/>
    </row>
    <row r="157" spans="3:39" s="2" customFormat="1" ht="20.100000000000001" customHeight="1" x14ac:dyDescent="0.3">
      <c r="C157" s="3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1"/>
      <c r="AJ157" s="35"/>
      <c r="AK157" s="47"/>
      <c r="AM157" s="3"/>
    </row>
    <row r="158" spans="3:39" s="2" customFormat="1" ht="20.100000000000001" customHeight="1" x14ac:dyDescent="0.3">
      <c r="C158" s="3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1"/>
      <c r="AJ158" s="35"/>
      <c r="AK158" s="47"/>
      <c r="AM158" s="3"/>
    </row>
    <row r="159" spans="3:39" s="2" customFormat="1" ht="20.100000000000001" customHeight="1" x14ac:dyDescent="0.3">
      <c r="C159" s="3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1"/>
      <c r="AJ159" s="35"/>
      <c r="AK159" s="47"/>
      <c r="AM159" s="3"/>
    </row>
    <row r="160" spans="3:39" s="2" customFormat="1" ht="20.100000000000001" customHeight="1" x14ac:dyDescent="0.3">
      <c r="C160" s="3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1"/>
      <c r="AJ160" s="35"/>
      <c r="AK160" s="47"/>
      <c r="AM160" s="3"/>
    </row>
    <row r="161" spans="3:39" s="2" customFormat="1" ht="20.100000000000001" customHeight="1" x14ac:dyDescent="0.3">
      <c r="C161" s="3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1"/>
      <c r="AJ161" s="35"/>
      <c r="AK161" s="47"/>
      <c r="AM161" s="3"/>
    </row>
    <row r="162" spans="3:39" s="2" customFormat="1" ht="20.100000000000001" customHeight="1" x14ac:dyDescent="0.3">
      <c r="C162" s="3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1"/>
      <c r="AJ162" s="35"/>
      <c r="AK162" s="47"/>
      <c r="AM162" s="3"/>
    </row>
    <row r="163" spans="3:39" s="2" customFormat="1" ht="20.100000000000001" customHeight="1" x14ac:dyDescent="0.3">
      <c r="C163" s="3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1"/>
      <c r="AJ163" s="35"/>
      <c r="AK163" s="47"/>
      <c r="AM163" s="3"/>
    </row>
    <row r="164" spans="3:39" s="2" customFormat="1" ht="20.100000000000001" customHeight="1" x14ac:dyDescent="0.3">
      <c r="C164" s="3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1"/>
      <c r="AJ164" s="35"/>
      <c r="AK164" s="47"/>
      <c r="AM164" s="3"/>
    </row>
    <row r="165" spans="3:39" s="2" customFormat="1" ht="20.100000000000001" customHeight="1" x14ac:dyDescent="0.3">
      <c r="C165" s="3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1"/>
      <c r="AJ165" s="35"/>
      <c r="AK165" s="47"/>
      <c r="AM165" s="3"/>
    </row>
    <row r="166" spans="3:39" s="2" customFormat="1" ht="20.100000000000001" customHeight="1" x14ac:dyDescent="0.3">
      <c r="C166" s="3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1"/>
      <c r="AJ166" s="35"/>
      <c r="AK166" s="47"/>
      <c r="AM166" s="3"/>
    </row>
    <row r="167" spans="3:39" s="2" customFormat="1" ht="20.100000000000001" customHeight="1" x14ac:dyDescent="0.3">
      <c r="C167" s="3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1"/>
      <c r="AJ167" s="35"/>
      <c r="AK167" s="47"/>
      <c r="AM167" s="3"/>
    </row>
    <row r="168" spans="3:39" s="2" customFormat="1" ht="20.100000000000001" customHeight="1" x14ac:dyDescent="0.3">
      <c r="C168" s="3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1"/>
      <c r="AJ168" s="35"/>
      <c r="AK168" s="47"/>
      <c r="AM168" s="3"/>
    </row>
    <row r="169" spans="3:39" s="2" customFormat="1" ht="20.100000000000001" customHeight="1" x14ac:dyDescent="0.3">
      <c r="C169" s="3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1"/>
      <c r="AJ169" s="35"/>
      <c r="AK169" s="47"/>
      <c r="AM169" s="3"/>
    </row>
    <row r="170" spans="3:39" s="2" customFormat="1" ht="20.100000000000001" customHeight="1" x14ac:dyDescent="0.3">
      <c r="C170" s="3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1"/>
      <c r="AJ170" s="35"/>
      <c r="AK170" s="47"/>
      <c r="AM170" s="3"/>
    </row>
    <row r="171" spans="3:39" s="2" customFormat="1" ht="20.100000000000001" customHeight="1" x14ac:dyDescent="0.3">
      <c r="C171" s="3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1"/>
      <c r="AJ171" s="35"/>
      <c r="AK171" s="47"/>
      <c r="AM171" s="3"/>
    </row>
    <row r="172" spans="3:39" s="2" customFormat="1" ht="20.100000000000001" customHeight="1" x14ac:dyDescent="0.3">
      <c r="C172" s="3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1"/>
      <c r="AJ172" s="35"/>
      <c r="AK172" s="47"/>
      <c r="AM172" s="3"/>
    </row>
    <row r="173" spans="3:39" s="2" customFormat="1" ht="20.100000000000001" customHeight="1" x14ac:dyDescent="0.3">
      <c r="C173" s="3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1"/>
      <c r="AJ173" s="35"/>
      <c r="AK173" s="47"/>
      <c r="AM173" s="3"/>
    </row>
    <row r="174" spans="3:39" s="2" customFormat="1" ht="20.100000000000001" customHeight="1" x14ac:dyDescent="0.3">
      <c r="C174" s="3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1"/>
      <c r="AJ174" s="35"/>
      <c r="AK174" s="47"/>
      <c r="AM174" s="3"/>
    </row>
    <row r="175" spans="3:39" s="2" customFormat="1" ht="20.100000000000001" customHeight="1" x14ac:dyDescent="0.3">
      <c r="C175" s="3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1"/>
      <c r="AJ175" s="35"/>
      <c r="AK175" s="47"/>
      <c r="AM175" s="3"/>
    </row>
    <row r="176" spans="3:39" s="2" customFormat="1" ht="20.100000000000001" customHeight="1" x14ac:dyDescent="0.3">
      <c r="C176" s="3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1"/>
      <c r="AJ176" s="35"/>
      <c r="AK176" s="47"/>
      <c r="AM176" s="3"/>
    </row>
    <row r="177" spans="3:39" s="2" customFormat="1" ht="20.100000000000001" customHeight="1" x14ac:dyDescent="0.3">
      <c r="C177" s="3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1"/>
      <c r="AJ177" s="35"/>
      <c r="AK177" s="47"/>
      <c r="AM177" s="3"/>
    </row>
    <row r="178" spans="3:39" s="2" customFormat="1" ht="20.100000000000001" customHeight="1" x14ac:dyDescent="0.3">
      <c r="C178" s="3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1"/>
      <c r="AJ178" s="35"/>
      <c r="AK178" s="47"/>
      <c r="AM178" s="3"/>
    </row>
    <row r="179" spans="3:39" s="2" customFormat="1" ht="20.100000000000001" customHeight="1" x14ac:dyDescent="0.3">
      <c r="C179" s="3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1"/>
      <c r="AJ179" s="35"/>
      <c r="AK179" s="47"/>
      <c r="AM179" s="3"/>
    </row>
    <row r="180" spans="3:39" s="2" customFormat="1" ht="20.100000000000001" customHeight="1" x14ac:dyDescent="0.3">
      <c r="C180" s="3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1"/>
      <c r="AJ180" s="35"/>
      <c r="AK180" s="47"/>
      <c r="AM180" s="3"/>
    </row>
    <row r="181" spans="3:39" s="2" customFormat="1" ht="20.100000000000001" customHeight="1" x14ac:dyDescent="0.3">
      <c r="C181" s="3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1"/>
      <c r="AJ181" s="35"/>
      <c r="AK181" s="47"/>
      <c r="AM181" s="3"/>
    </row>
    <row r="182" spans="3:39" s="2" customFormat="1" ht="20.100000000000001" customHeight="1" x14ac:dyDescent="0.3">
      <c r="C182" s="3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1"/>
      <c r="AJ182" s="35"/>
      <c r="AK182" s="47"/>
      <c r="AM182" s="3"/>
    </row>
    <row r="183" spans="3:39" s="2" customFormat="1" ht="20.100000000000001" customHeight="1" x14ac:dyDescent="0.3">
      <c r="C183" s="3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1"/>
      <c r="AJ183" s="35"/>
      <c r="AK183" s="47"/>
      <c r="AM183" s="3"/>
    </row>
    <row r="184" spans="3:39" s="2" customFormat="1" ht="20.100000000000001" customHeight="1" x14ac:dyDescent="0.3">
      <c r="C184" s="3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1"/>
      <c r="AJ184" s="35"/>
      <c r="AK184" s="47"/>
      <c r="AM184" s="3"/>
    </row>
    <row r="185" spans="3:39" s="2" customFormat="1" ht="20.100000000000001" customHeight="1" x14ac:dyDescent="0.3">
      <c r="C185" s="3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1"/>
      <c r="AJ185" s="35"/>
      <c r="AK185" s="47"/>
      <c r="AM185" s="3"/>
    </row>
    <row r="186" spans="3:39" s="2" customFormat="1" ht="20.100000000000001" customHeight="1" x14ac:dyDescent="0.3">
      <c r="C186" s="3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1"/>
      <c r="AJ186" s="35"/>
      <c r="AK186" s="47"/>
      <c r="AM186" s="3"/>
    </row>
  </sheetData>
  <mergeCells count="3">
    <mergeCell ref="AH3:AI3"/>
    <mergeCell ref="B16:B37"/>
    <mergeCell ref="B4:B1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4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O154"/>
  <sheetViews>
    <sheetView tabSelected="1" zoomScale="90" zoomScaleNormal="90" workbookViewId="0">
      <pane xSplit="39" ySplit="3" topLeftCell="AN4" activePane="bottomRight" state="frozen"/>
      <selection activeCell="BB16" sqref="BB16"/>
      <selection pane="topRight" activeCell="BB16" sqref="BB16"/>
      <selection pane="bottomLeft" activeCell="BB16" sqref="BB16"/>
      <selection pane="bottomRight" activeCell="Y25" sqref="Y25"/>
    </sheetView>
  </sheetViews>
  <sheetFormatPr defaultRowHeight="16.5" x14ac:dyDescent="0.3"/>
  <cols>
    <col min="1" max="1" width="1.875" style="1" customWidth="1"/>
    <col min="2" max="2" width="5.625" style="2" customWidth="1"/>
    <col min="3" max="3" width="40.625" style="3" customWidth="1"/>
    <col min="4" max="4" width="5.625" style="2" customWidth="1"/>
    <col min="5" max="8" width="5.625" style="1" customWidth="1"/>
    <col min="9" max="24" width="5.625" style="1" hidden="1" customWidth="1"/>
    <col min="25" max="25" width="5.625" style="1" customWidth="1"/>
    <col min="26" max="28" width="5.625" style="1" hidden="1" customWidth="1"/>
    <col min="29" max="30" width="5.625" style="1" customWidth="1"/>
    <col min="31" max="31" width="5.625" style="1" hidden="1" customWidth="1"/>
    <col min="32" max="33" width="5.625" style="1" customWidth="1"/>
    <col min="34" max="34" width="5.625" style="1" hidden="1" customWidth="1"/>
    <col min="35" max="35" width="12.625" style="1" hidden="1" customWidth="1"/>
    <col min="36" max="36" width="12.625" style="2" hidden="1" customWidth="1"/>
    <col min="37" max="37" width="12.625" style="43" hidden="1" customWidth="1"/>
    <col min="38" max="38" width="12.625" style="2" hidden="1" customWidth="1"/>
    <col min="39" max="39" width="43.75" style="3" customWidth="1"/>
    <col min="40" max="65" width="50.625" hidden="1" customWidth="1"/>
    <col min="66" max="67" width="50.625" customWidth="1"/>
  </cols>
  <sheetData>
    <row r="1" spans="2:67" ht="20.100000000000001" customHeight="1" x14ac:dyDescent="0.3"/>
    <row r="2" spans="2:67" ht="20.100000000000001" customHeight="1" x14ac:dyDescent="0.3">
      <c r="E2" s="2" t="s">
        <v>388</v>
      </c>
      <c r="F2" s="2" t="s">
        <v>392</v>
      </c>
      <c r="G2" s="2" t="s">
        <v>411</v>
      </c>
      <c r="H2" s="2" t="s">
        <v>429</v>
      </c>
      <c r="I2" s="2" t="s">
        <v>446</v>
      </c>
      <c r="J2" s="2" t="s">
        <v>455</v>
      </c>
      <c r="K2" s="2" t="s">
        <v>474</v>
      </c>
      <c r="L2" s="2" t="s">
        <v>498</v>
      </c>
      <c r="M2" s="2" t="s">
        <v>513</v>
      </c>
      <c r="N2" s="2" t="s">
        <v>517</v>
      </c>
      <c r="O2" s="2" t="s">
        <v>524</v>
      </c>
      <c r="P2" s="2" t="s">
        <v>533</v>
      </c>
      <c r="Q2" s="2" t="s">
        <v>388</v>
      </c>
      <c r="R2" s="2" t="s">
        <v>391</v>
      </c>
      <c r="S2" s="2" t="s">
        <v>555</v>
      </c>
      <c r="T2" s="2" t="s">
        <v>557</v>
      </c>
      <c r="U2" s="2" t="s">
        <v>445</v>
      </c>
      <c r="V2" s="2" t="s">
        <v>455</v>
      </c>
      <c r="W2" s="2" t="s">
        <v>474</v>
      </c>
      <c r="X2" s="2" t="s">
        <v>578</v>
      </c>
      <c r="Y2" s="2" t="s">
        <v>585</v>
      </c>
      <c r="Z2" s="2" t="s">
        <v>590</v>
      </c>
      <c r="AA2" s="2" t="s">
        <v>605</v>
      </c>
      <c r="AB2" s="2" t="s">
        <v>607</v>
      </c>
      <c r="AC2" s="2" t="s">
        <v>611</v>
      </c>
      <c r="AD2" s="2" t="s">
        <v>614</v>
      </c>
      <c r="AE2" s="2" t="s">
        <v>616</v>
      </c>
      <c r="AF2" s="2" t="s">
        <v>626</v>
      </c>
      <c r="AG2" s="2" t="s">
        <v>636</v>
      </c>
      <c r="AN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 t="s">
        <v>348</v>
      </c>
    </row>
    <row r="3" spans="2:67" ht="20.100000000000001" customHeight="1" x14ac:dyDescent="0.3">
      <c r="B3" s="5" t="s">
        <v>11</v>
      </c>
      <c r="C3" s="6" t="s">
        <v>10</v>
      </c>
      <c r="D3" s="5" t="s">
        <v>9</v>
      </c>
      <c r="E3" s="5" t="s">
        <v>357</v>
      </c>
      <c r="F3" s="5" t="s">
        <v>357</v>
      </c>
      <c r="G3" s="5" t="s">
        <v>357</v>
      </c>
      <c r="H3" s="5" t="s">
        <v>357</v>
      </c>
      <c r="I3" s="5" t="s">
        <v>357</v>
      </c>
      <c r="J3" s="5" t="s">
        <v>357</v>
      </c>
      <c r="K3" s="5" t="s">
        <v>357</v>
      </c>
      <c r="L3" s="5" t="s">
        <v>357</v>
      </c>
      <c r="M3" s="5" t="s">
        <v>357</v>
      </c>
      <c r="N3" s="5" t="s">
        <v>357</v>
      </c>
      <c r="O3" s="5" t="s">
        <v>357</v>
      </c>
      <c r="P3" s="5" t="s">
        <v>8</v>
      </c>
      <c r="Q3" s="5" t="s">
        <v>530</v>
      </c>
      <c r="R3" s="5" t="s">
        <v>530</v>
      </c>
      <c r="S3" s="5" t="s">
        <v>530</v>
      </c>
      <c r="T3" s="157" t="s">
        <v>530</v>
      </c>
      <c r="U3" s="5" t="s">
        <v>8</v>
      </c>
      <c r="V3" s="5" t="s">
        <v>8</v>
      </c>
      <c r="W3" s="5" t="s">
        <v>8</v>
      </c>
      <c r="X3" s="5" t="s">
        <v>8</v>
      </c>
      <c r="Y3" s="5" t="s">
        <v>530</v>
      </c>
      <c r="Z3" s="5" t="s">
        <v>530</v>
      </c>
      <c r="AA3" s="5" t="s">
        <v>531</v>
      </c>
      <c r="AB3" s="5" t="s">
        <v>530</v>
      </c>
      <c r="AC3" s="5" t="s">
        <v>531</v>
      </c>
      <c r="AD3" s="157" t="s">
        <v>530</v>
      </c>
      <c r="AE3" s="157" t="s">
        <v>530</v>
      </c>
      <c r="AF3" s="5" t="s">
        <v>8</v>
      </c>
      <c r="AG3" s="90" t="s">
        <v>531</v>
      </c>
      <c r="AH3" s="202" t="s">
        <v>7</v>
      </c>
      <c r="AI3" s="202"/>
      <c r="AJ3" s="5" t="s">
        <v>6</v>
      </c>
      <c r="AK3" s="44" t="s">
        <v>232</v>
      </c>
      <c r="AL3" s="5" t="s">
        <v>5</v>
      </c>
      <c r="AM3" s="6" t="s">
        <v>13</v>
      </c>
      <c r="AN3" s="5" t="s">
        <v>350</v>
      </c>
      <c r="AO3" s="5" t="s">
        <v>352</v>
      </c>
      <c r="AP3" s="5" t="s">
        <v>413</v>
      </c>
      <c r="AQ3" s="5" t="s">
        <v>432</v>
      </c>
      <c r="AR3" s="5" t="s">
        <v>448</v>
      </c>
      <c r="AS3" s="5" t="s">
        <v>456</v>
      </c>
      <c r="AT3" s="5" t="s">
        <v>475</v>
      </c>
      <c r="AU3" s="5" t="s">
        <v>499</v>
      </c>
      <c r="AV3" s="5" t="s">
        <v>514</v>
      </c>
      <c r="AW3" s="5" t="s">
        <v>518</v>
      </c>
      <c r="AX3" s="5" t="s">
        <v>546</v>
      </c>
      <c r="AY3" s="5" t="s">
        <v>552</v>
      </c>
      <c r="AZ3" s="5" t="s">
        <v>352</v>
      </c>
      <c r="BA3" s="5" t="s">
        <v>553</v>
      </c>
      <c r="BB3" s="157" t="s">
        <v>562</v>
      </c>
      <c r="BC3" s="5" t="s">
        <v>448</v>
      </c>
      <c r="BD3" s="5" t="s">
        <v>456</v>
      </c>
      <c r="BE3" s="5" t="s">
        <v>577</v>
      </c>
      <c r="BF3" s="5" t="s">
        <v>579</v>
      </c>
      <c r="BG3" s="5" t="s">
        <v>586</v>
      </c>
      <c r="BH3" s="5" t="s">
        <v>591</v>
      </c>
      <c r="BI3" s="5" t="s">
        <v>610</v>
      </c>
      <c r="BJ3" s="5" t="s">
        <v>608</v>
      </c>
      <c r="BK3" s="5" t="s">
        <v>612</v>
      </c>
      <c r="BL3" s="157" t="s">
        <v>615</v>
      </c>
      <c r="BM3" s="157" t="s">
        <v>617</v>
      </c>
      <c r="BN3" s="5" t="s">
        <v>628</v>
      </c>
      <c r="BO3" s="90" t="s">
        <v>638</v>
      </c>
    </row>
    <row r="4" spans="2:67" ht="19.5" hidden="1" customHeight="1" x14ac:dyDescent="0.3">
      <c r="B4" s="213" t="s">
        <v>2</v>
      </c>
      <c r="C4" s="15" t="s">
        <v>276</v>
      </c>
      <c r="D4" s="12" t="s">
        <v>70</v>
      </c>
      <c r="E4" s="119">
        <v>10</v>
      </c>
      <c r="F4" s="115">
        <v>0</v>
      </c>
      <c r="G4" s="115">
        <v>0</v>
      </c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79"/>
      <c r="AI4" s="12"/>
      <c r="AJ4" s="12" t="s">
        <v>288</v>
      </c>
      <c r="AK4" s="119">
        <v>54500</v>
      </c>
      <c r="AL4" s="12"/>
      <c r="AM4" s="15"/>
      <c r="AN4" s="15" t="s">
        <v>349</v>
      </c>
      <c r="AO4" s="92" t="s">
        <v>355</v>
      </c>
      <c r="AP4" s="92"/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2"/>
      <c r="BL4" s="92"/>
      <c r="BM4" s="92"/>
      <c r="BN4" s="92"/>
      <c r="BO4" s="92"/>
    </row>
    <row r="5" spans="2:67" ht="20.100000000000001" hidden="1" customHeight="1" x14ac:dyDescent="0.3">
      <c r="B5" s="213"/>
      <c r="C5" s="15" t="s">
        <v>277</v>
      </c>
      <c r="D5" s="12" t="s">
        <v>228</v>
      </c>
      <c r="E5" s="119">
        <v>1</v>
      </c>
      <c r="F5" s="115">
        <v>0</v>
      </c>
      <c r="G5" s="115">
        <v>0</v>
      </c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79"/>
      <c r="AI5" s="88"/>
      <c r="AJ5" s="88"/>
      <c r="AK5" s="132"/>
      <c r="AL5" s="12"/>
      <c r="AM5" s="56"/>
      <c r="AN5" s="15" t="s">
        <v>319</v>
      </c>
      <c r="AO5" s="92" t="s">
        <v>356</v>
      </c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/>
      <c r="BK5" s="92"/>
      <c r="BL5" s="92"/>
      <c r="BM5" s="92"/>
      <c r="BN5" s="92"/>
      <c r="BO5" s="92"/>
    </row>
    <row r="6" spans="2:67" ht="20.100000000000001" hidden="1" customHeight="1" x14ac:dyDescent="0.3">
      <c r="B6" s="213"/>
      <c r="C6" s="15" t="s">
        <v>278</v>
      </c>
      <c r="D6" s="12" t="s">
        <v>70</v>
      </c>
      <c r="E6" s="119">
        <v>3</v>
      </c>
      <c r="F6" s="115">
        <v>0</v>
      </c>
      <c r="G6" s="115">
        <v>0</v>
      </c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79"/>
      <c r="AI6" s="12"/>
      <c r="AJ6" s="12" t="s">
        <v>289</v>
      </c>
      <c r="AK6" s="119">
        <v>40100</v>
      </c>
      <c r="AL6" s="12" t="s">
        <v>304</v>
      </c>
      <c r="AM6" s="56"/>
      <c r="AN6" s="15" t="s">
        <v>318</v>
      </c>
      <c r="AO6" s="92" t="s">
        <v>355</v>
      </c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2"/>
      <c r="BK6" s="92"/>
      <c r="BL6" s="92"/>
      <c r="BM6" s="92"/>
      <c r="BN6" s="92"/>
      <c r="BO6" s="92"/>
    </row>
    <row r="7" spans="2:67" ht="20.100000000000001" hidden="1" customHeight="1" x14ac:dyDescent="0.3">
      <c r="B7" s="213"/>
      <c r="C7" s="8" t="s">
        <v>279</v>
      </c>
      <c r="D7" s="7" t="s">
        <v>70</v>
      </c>
      <c r="E7" s="81">
        <v>5</v>
      </c>
      <c r="F7" s="112">
        <v>0</v>
      </c>
      <c r="G7" s="112">
        <v>0</v>
      </c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82"/>
      <c r="AI7" s="7"/>
      <c r="AJ7" s="7" t="s">
        <v>290</v>
      </c>
      <c r="AK7" s="45">
        <v>46500</v>
      </c>
      <c r="AL7" s="7"/>
      <c r="AM7" s="8"/>
      <c r="AN7" s="15" t="s">
        <v>318</v>
      </c>
      <c r="AO7" s="92" t="s">
        <v>355</v>
      </c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92"/>
      <c r="BK7" s="92"/>
      <c r="BL7" s="92"/>
      <c r="BM7" s="92"/>
      <c r="BN7" s="92"/>
      <c r="BO7" s="92"/>
    </row>
    <row r="8" spans="2:67" ht="20.100000000000001" hidden="1" customHeight="1" x14ac:dyDescent="0.3">
      <c r="B8" s="213"/>
      <c r="C8" s="8" t="s">
        <v>281</v>
      </c>
      <c r="D8" s="7" t="s">
        <v>228</v>
      </c>
      <c r="E8" s="81">
        <v>6</v>
      </c>
      <c r="F8" s="112">
        <v>0</v>
      </c>
      <c r="G8" s="112">
        <v>0</v>
      </c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82"/>
      <c r="AI8" s="7"/>
      <c r="AJ8" s="7"/>
      <c r="AK8" s="45"/>
      <c r="AL8" s="7"/>
      <c r="AM8" s="8"/>
      <c r="AN8" s="15" t="s">
        <v>320</v>
      </c>
      <c r="AO8" s="92" t="s">
        <v>356</v>
      </c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2"/>
      <c r="BF8" s="92"/>
      <c r="BG8" s="92"/>
      <c r="BH8" s="92"/>
      <c r="BI8" s="92"/>
      <c r="BJ8" s="92"/>
      <c r="BK8" s="92"/>
      <c r="BL8" s="92"/>
      <c r="BM8" s="92"/>
      <c r="BN8" s="92"/>
      <c r="BO8" s="92"/>
    </row>
    <row r="9" spans="2:67" ht="20.100000000000001" hidden="1" customHeight="1" x14ac:dyDescent="0.3">
      <c r="B9" s="213"/>
      <c r="C9" s="8" t="s">
        <v>280</v>
      </c>
      <c r="D9" s="7" t="s">
        <v>286</v>
      </c>
      <c r="E9" s="81">
        <v>10</v>
      </c>
      <c r="F9" s="81">
        <v>10</v>
      </c>
      <c r="G9" s="81">
        <v>10</v>
      </c>
      <c r="H9" s="81">
        <v>10</v>
      </c>
      <c r="I9" s="81">
        <v>10</v>
      </c>
      <c r="J9" s="81">
        <v>10</v>
      </c>
      <c r="K9" s="81">
        <v>10</v>
      </c>
      <c r="L9" s="81">
        <v>10</v>
      </c>
      <c r="M9" s="81">
        <v>10</v>
      </c>
      <c r="N9" s="81">
        <v>10</v>
      </c>
      <c r="O9" s="81">
        <v>10</v>
      </c>
      <c r="P9" s="81">
        <v>10</v>
      </c>
      <c r="Q9" s="81">
        <v>10</v>
      </c>
      <c r="R9" s="81">
        <v>10</v>
      </c>
      <c r="S9" s="81">
        <v>10</v>
      </c>
      <c r="T9" s="81">
        <v>10</v>
      </c>
      <c r="U9" s="81">
        <v>10</v>
      </c>
      <c r="V9" s="81">
        <v>10</v>
      </c>
      <c r="W9" s="81">
        <v>10</v>
      </c>
      <c r="X9" s="81">
        <v>10</v>
      </c>
      <c r="Y9" s="124">
        <v>0</v>
      </c>
      <c r="Z9" s="124">
        <v>0</v>
      </c>
      <c r="AA9" s="124">
        <v>0</v>
      </c>
      <c r="AB9" s="124">
        <v>0</v>
      </c>
      <c r="AC9" s="124">
        <v>0</v>
      </c>
      <c r="AD9" s="124">
        <v>0</v>
      </c>
      <c r="AE9" s="124">
        <v>0</v>
      </c>
      <c r="AF9" s="124">
        <v>0</v>
      </c>
      <c r="AG9" s="124">
        <v>0</v>
      </c>
      <c r="AH9" s="82"/>
      <c r="AI9" s="7"/>
      <c r="AJ9" s="7" t="s">
        <v>291</v>
      </c>
      <c r="AK9" s="45">
        <v>48500</v>
      </c>
      <c r="AL9" s="7"/>
      <c r="AM9" s="8"/>
      <c r="AN9" s="15" t="s">
        <v>321</v>
      </c>
      <c r="AO9" s="92" t="s">
        <v>321</v>
      </c>
      <c r="AP9" s="92" t="s">
        <v>424</v>
      </c>
      <c r="AQ9" s="92" t="s">
        <v>321</v>
      </c>
      <c r="AR9" s="92" t="s">
        <v>321</v>
      </c>
      <c r="AS9" s="92" t="s">
        <v>321</v>
      </c>
      <c r="AT9" s="92" t="s">
        <v>321</v>
      </c>
      <c r="AU9" s="92" t="s">
        <v>321</v>
      </c>
      <c r="AV9" s="92" t="s">
        <v>321</v>
      </c>
      <c r="AW9" s="92" t="s">
        <v>321</v>
      </c>
      <c r="AX9" s="92" t="s">
        <v>321</v>
      </c>
      <c r="AY9" s="92" t="s">
        <v>321</v>
      </c>
      <c r="AZ9" s="92" t="s">
        <v>321</v>
      </c>
      <c r="BA9" s="92" t="s">
        <v>321</v>
      </c>
      <c r="BB9" s="92" t="s">
        <v>321</v>
      </c>
      <c r="BC9" s="92" t="s">
        <v>321</v>
      </c>
      <c r="BD9" s="92" t="s">
        <v>321</v>
      </c>
      <c r="BE9" s="92" t="s">
        <v>321</v>
      </c>
      <c r="BF9" s="92" t="s">
        <v>321</v>
      </c>
      <c r="BG9" s="92" t="s">
        <v>588</v>
      </c>
      <c r="BH9" s="92" t="s">
        <v>588</v>
      </c>
      <c r="BI9" s="92" t="s">
        <v>588</v>
      </c>
      <c r="BJ9" s="92" t="s">
        <v>588</v>
      </c>
      <c r="BK9" s="92" t="s">
        <v>588</v>
      </c>
      <c r="BL9" s="92" t="s">
        <v>588</v>
      </c>
      <c r="BM9" s="92" t="s">
        <v>588</v>
      </c>
      <c r="BN9" s="92" t="s">
        <v>588</v>
      </c>
      <c r="BO9" s="92" t="s">
        <v>588</v>
      </c>
    </row>
    <row r="10" spans="2:67" ht="20.100000000000001" hidden="1" customHeight="1" x14ac:dyDescent="0.3">
      <c r="B10" s="213"/>
      <c r="C10" s="8" t="s">
        <v>282</v>
      </c>
      <c r="D10" s="7" t="s">
        <v>3</v>
      </c>
      <c r="E10" s="81">
        <v>30</v>
      </c>
      <c r="F10" s="112">
        <v>0</v>
      </c>
      <c r="G10" s="112">
        <v>0</v>
      </c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24"/>
      <c r="Z10" s="112"/>
      <c r="AA10" s="112"/>
      <c r="AB10" s="112"/>
      <c r="AC10" s="112"/>
      <c r="AD10" s="112"/>
      <c r="AE10" s="112"/>
      <c r="AF10" s="112"/>
      <c r="AG10" s="112"/>
      <c r="AH10" s="82"/>
      <c r="AI10" s="7"/>
      <c r="AJ10" s="7" t="s">
        <v>292</v>
      </c>
      <c r="AK10" s="45">
        <v>43380</v>
      </c>
      <c r="AL10" s="7" t="s">
        <v>303</v>
      </c>
      <c r="AM10" s="8"/>
      <c r="AN10" s="15" t="s">
        <v>318</v>
      </c>
      <c r="AO10" s="92" t="s">
        <v>355</v>
      </c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2"/>
      <c r="BK10" s="92"/>
      <c r="BL10" s="92"/>
      <c r="BM10" s="92"/>
      <c r="BN10" s="92"/>
      <c r="BO10" s="92"/>
    </row>
    <row r="11" spans="2:67" ht="20.100000000000001" customHeight="1" x14ac:dyDescent="0.3">
      <c r="B11" s="213"/>
      <c r="C11" s="8" t="s">
        <v>283</v>
      </c>
      <c r="D11" s="7" t="s">
        <v>287</v>
      </c>
      <c r="E11" s="81">
        <v>20</v>
      </c>
      <c r="F11" s="81">
        <v>20</v>
      </c>
      <c r="G11" s="81">
        <v>20</v>
      </c>
      <c r="H11" s="81">
        <v>18</v>
      </c>
      <c r="I11" s="81">
        <v>18</v>
      </c>
      <c r="J11" s="81">
        <v>18</v>
      </c>
      <c r="K11" s="81">
        <v>18</v>
      </c>
      <c r="L11" s="81">
        <v>18</v>
      </c>
      <c r="M11" s="81">
        <v>18</v>
      </c>
      <c r="N11" s="81">
        <v>18</v>
      </c>
      <c r="O11" s="81">
        <v>18</v>
      </c>
      <c r="P11" s="81">
        <v>18</v>
      </c>
      <c r="Q11" s="81">
        <v>18</v>
      </c>
      <c r="R11" s="81">
        <v>18</v>
      </c>
      <c r="S11" s="81">
        <v>18</v>
      </c>
      <c r="T11" s="81">
        <v>18</v>
      </c>
      <c r="U11" s="81">
        <v>18</v>
      </c>
      <c r="V11" s="81">
        <v>18</v>
      </c>
      <c r="W11" s="81">
        <v>18</v>
      </c>
      <c r="X11" s="81">
        <v>18</v>
      </c>
      <c r="Y11" s="124">
        <v>17</v>
      </c>
      <c r="Z11" s="112">
        <v>16</v>
      </c>
      <c r="AA11" s="124">
        <v>16</v>
      </c>
      <c r="AB11" s="124">
        <v>16</v>
      </c>
      <c r="AC11" s="124">
        <v>16</v>
      </c>
      <c r="AD11" s="147">
        <v>14</v>
      </c>
      <c r="AE11" s="147">
        <v>10</v>
      </c>
      <c r="AF11" s="147">
        <v>10</v>
      </c>
      <c r="AG11" s="112">
        <v>7</v>
      </c>
      <c r="AH11" s="82"/>
      <c r="AI11" s="7"/>
      <c r="AJ11" s="7" t="s">
        <v>293</v>
      </c>
      <c r="AK11" s="45">
        <v>50130</v>
      </c>
      <c r="AL11" s="7"/>
      <c r="AM11" s="8"/>
      <c r="AN11" s="15" t="s">
        <v>322</v>
      </c>
      <c r="AO11" s="92" t="s">
        <v>322</v>
      </c>
      <c r="AP11" s="92" t="s">
        <v>425</v>
      </c>
      <c r="AQ11" s="92" t="s">
        <v>322</v>
      </c>
      <c r="AR11" s="92" t="s">
        <v>322</v>
      </c>
      <c r="AS11" s="92" t="s">
        <v>322</v>
      </c>
      <c r="AT11" s="92" t="s">
        <v>322</v>
      </c>
      <c r="AU11" s="92" t="s">
        <v>322</v>
      </c>
      <c r="AV11" s="92" t="s">
        <v>322</v>
      </c>
      <c r="AW11" s="92" t="s">
        <v>322</v>
      </c>
      <c r="AX11" s="92" t="s">
        <v>322</v>
      </c>
      <c r="AY11" s="92" t="s">
        <v>322</v>
      </c>
      <c r="AZ11" s="92" t="s">
        <v>322</v>
      </c>
      <c r="BA11" s="92" t="s">
        <v>322</v>
      </c>
      <c r="BB11" s="92" t="s">
        <v>322</v>
      </c>
      <c r="BC11" s="92" t="s">
        <v>322</v>
      </c>
      <c r="BD11" s="92" t="s">
        <v>322</v>
      </c>
      <c r="BE11" s="92" t="s">
        <v>322</v>
      </c>
      <c r="BF11" s="92" t="s">
        <v>322</v>
      </c>
      <c r="BG11" s="92" t="s">
        <v>589</v>
      </c>
      <c r="BH11" s="92" t="s">
        <v>596</v>
      </c>
      <c r="BI11" s="92" t="s">
        <v>606</v>
      </c>
      <c r="BJ11" s="92" t="s">
        <v>606</v>
      </c>
      <c r="BK11" s="92" t="s">
        <v>606</v>
      </c>
      <c r="BL11" s="92" t="s">
        <v>624</v>
      </c>
      <c r="BM11" s="92" t="s">
        <v>625</v>
      </c>
      <c r="BN11" s="92" t="s">
        <v>625</v>
      </c>
      <c r="BO11" s="92" t="s">
        <v>637</v>
      </c>
    </row>
    <row r="12" spans="2:67" ht="20.100000000000001" hidden="1" customHeight="1" x14ac:dyDescent="0.3">
      <c r="B12" s="213"/>
      <c r="C12" s="8" t="s">
        <v>284</v>
      </c>
      <c r="D12" s="7" t="s">
        <v>287</v>
      </c>
      <c r="E12" s="81">
        <v>40</v>
      </c>
      <c r="F12" s="112">
        <v>0</v>
      </c>
      <c r="G12" s="112">
        <v>0</v>
      </c>
      <c r="H12" s="112">
        <v>0</v>
      </c>
      <c r="I12" s="112">
        <v>0</v>
      </c>
      <c r="J12" s="112">
        <v>0</v>
      </c>
      <c r="K12" s="112">
        <v>0</v>
      </c>
      <c r="L12" s="112">
        <v>0</v>
      </c>
      <c r="M12" s="112">
        <v>0</v>
      </c>
      <c r="N12" s="112">
        <v>0</v>
      </c>
      <c r="O12" s="112">
        <v>0</v>
      </c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82"/>
      <c r="AI12" s="7"/>
      <c r="AJ12" s="7" t="s">
        <v>294</v>
      </c>
      <c r="AK12" s="45">
        <v>66150</v>
      </c>
      <c r="AL12" s="7" t="s">
        <v>302</v>
      </c>
      <c r="AM12" s="8"/>
      <c r="AN12" s="15" t="s">
        <v>318</v>
      </c>
      <c r="AO12" s="92" t="s">
        <v>355</v>
      </c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2"/>
      <c r="BF12" s="92"/>
      <c r="BG12" s="92"/>
      <c r="BH12" s="92"/>
      <c r="BI12" s="92"/>
      <c r="BJ12" s="92"/>
      <c r="BK12" s="92"/>
      <c r="BL12" s="92"/>
      <c r="BM12" s="92"/>
      <c r="BN12" s="92"/>
      <c r="BO12" s="92"/>
    </row>
    <row r="13" spans="2:67" ht="20.100000000000001" hidden="1" customHeight="1" x14ac:dyDescent="0.3">
      <c r="B13" s="213"/>
      <c r="C13" s="8" t="s">
        <v>285</v>
      </c>
      <c r="D13" s="7" t="s">
        <v>228</v>
      </c>
      <c r="E13" s="81">
        <v>7</v>
      </c>
      <c r="F13" s="81">
        <v>7</v>
      </c>
      <c r="G13" s="112">
        <v>0</v>
      </c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82"/>
      <c r="AI13" s="7"/>
      <c r="AJ13" s="7" t="s">
        <v>295</v>
      </c>
      <c r="AK13" s="45">
        <v>3027.27</v>
      </c>
      <c r="AL13" s="7"/>
      <c r="AM13" s="8" t="s">
        <v>296</v>
      </c>
      <c r="AN13" s="92" t="s">
        <v>323</v>
      </c>
      <c r="AO13" s="92" t="s">
        <v>323</v>
      </c>
      <c r="AP13" s="120" t="s">
        <v>426</v>
      </c>
      <c r="AQ13" s="120" t="s">
        <v>426</v>
      </c>
      <c r="AR13" s="120" t="s">
        <v>426</v>
      </c>
      <c r="AS13" s="120" t="s">
        <v>426</v>
      </c>
      <c r="AT13" s="120" t="s">
        <v>426</v>
      </c>
      <c r="AU13" s="120" t="s">
        <v>426</v>
      </c>
      <c r="AV13" s="120" t="s">
        <v>426</v>
      </c>
      <c r="AW13" s="120" t="s">
        <v>426</v>
      </c>
      <c r="AX13" s="120" t="s">
        <v>426</v>
      </c>
      <c r="AY13" s="120" t="s">
        <v>426</v>
      </c>
      <c r="AZ13" s="120" t="s">
        <v>426</v>
      </c>
      <c r="BA13" s="120" t="s">
        <v>426</v>
      </c>
      <c r="BB13" s="120" t="s">
        <v>426</v>
      </c>
      <c r="BC13" s="120" t="s">
        <v>426</v>
      </c>
      <c r="BD13" s="120" t="s">
        <v>426</v>
      </c>
      <c r="BE13" s="120" t="s">
        <v>426</v>
      </c>
      <c r="BF13" s="120" t="s">
        <v>426</v>
      </c>
      <c r="BG13" s="120" t="s">
        <v>426</v>
      </c>
      <c r="BH13" s="120" t="s">
        <v>426</v>
      </c>
      <c r="BI13" s="120" t="s">
        <v>426</v>
      </c>
      <c r="BJ13" s="120" t="s">
        <v>426</v>
      </c>
      <c r="BK13" s="120" t="s">
        <v>426</v>
      </c>
      <c r="BL13" s="120" t="s">
        <v>426</v>
      </c>
      <c r="BM13" s="120" t="s">
        <v>426</v>
      </c>
      <c r="BN13" s="120" t="s">
        <v>426</v>
      </c>
      <c r="BO13" s="120" t="s">
        <v>426</v>
      </c>
    </row>
    <row r="14" spans="2:67" s="1" customFormat="1" ht="20.100000000000001" customHeight="1" x14ac:dyDescent="0.3">
      <c r="B14" s="156"/>
      <c r="C14" s="3"/>
      <c r="D14" s="2"/>
      <c r="E14" s="83">
        <f t="shared" ref="E14:I14" si="0">SUM(E4:E13)</f>
        <v>132</v>
      </c>
      <c r="F14" s="83">
        <f t="shared" si="0"/>
        <v>37</v>
      </c>
      <c r="G14" s="83">
        <f t="shared" si="0"/>
        <v>30</v>
      </c>
      <c r="H14" s="83">
        <f t="shared" si="0"/>
        <v>28</v>
      </c>
      <c r="I14" s="83">
        <f t="shared" si="0"/>
        <v>28</v>
      </c>
      <c r="J14" s="83">
        <f t="shared" ref="J14:AG14" si="1">SUM(J4:J13)</f>
        <v>28</v>
      </c>
      <c r="K14" s="83">
        <f t="shared" si="1"/>
        <v>28</v>
      </c>
      <c r="L14" s="83">
        <f t="shared" si="1"/>
        <v>28</v>
      </c>
      <c r="M14" s="83">
        <f t="shared" si="1"/>
        <v>28</v>
      </c>
      <c r="N14" s="83">
        <f t="shared" si="1"/>
        <v>28</v>
      </c>
      <c r="O14" s="83">
        <f t="shared" si="1"/>
        <v>28</v>
      </c>
      <c r="P14" s="83">
        <f t="shared" ref="P14:AF14" si="2">SUM(P4:P13)</f>
        <v>28</v>
      </c>
      <c r="Q14" s="83">
        <f t="shared" si="2"/>
        <v>28</v>
      </c>
      <c r="R14" s="83">
        <f t="shared" si="2"/>
        <v>28</v>
      </c>
      <c r="S14" s="83">
        <f t="shared" si="2"/>
        <v>28</v>
      </c>
      <c r="T14" s="83">
        <f t="shared" si="2"/>
        <v>28</v>
      </c>
      <c r="U14" s="83">
        <f t="shared" si="2"/>
        <v>28</v>
      </c>
      <c r="V14" s="83">
        <f t="shared" si="2"/>
        <v>28</v>
      </c>
      <c r="W14" s="83">
        <f t="shared" si="2"/>
        <v>28</v>
      </c>
      <c r="X14" s="83">
        <f t="shared" si="2"/>
        <v>28</v>
      </c>
      <c r="Y14" s="83">
        <f t="shared" si="2"/>
        <v>17</v>
      </c>
      <c r="Z14" s="83">
        <f t="shared" si="2"/>
        <v>16</v>
      </c>
      <c r="AA14" s="83">
        <f t="shared" si="2"/>
        <v>16</v>
      </c>
      <c r="AB14" s="83">
        <f t="shared" si="2"/>
        <v>16</v>
      </c>
      <c r="AC14" s="83">
        <f t="shared" si="2"/>
        <v>16</v>
      </c>
      <c r="AD14" s="83">
        <f t="shared" si="2"/>
        <v>14</v>
      </c>
      <c r="AE14" s="83">
        <f t="shared" si="2"/>
        <v>10</v>
      </c>
      <c r="AF14" s="83">
        <f t="shared" si="2"/>
        <v>10</v>
      </c>
      <c r="AG14" s="83">
        <f t="shared" si="1"/>
        <v>7</v>
      </c>
      <c r="AJ14" s="2"/>
      <c r="AK14" s="43"/>
      <c r="AL14" s="2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</row>
    <row r="15" spans="2:67" s="1" customFormat="1" ht="20.100000000000001" customHeight="1" x14ac:dyDescent="0.3">
      <c r="B15" s="2"/>
      <c r="C15" s="3"/>
      <c r="D15" s="2"/>
      <c r="AJ15" s="2"/>
      <c r="AK15" s="43"/>
      <c r="AL15" s="2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</row>
    <row r="16" spans="2:67" s="1" customFormat="1" ht="20.100000000000001" customHeight="1" x14ac:dyDescent="0.3">
      <c r="B16" s="2"/>
      <c r="C16" s="3"/>
      <c r="D16" s="2"/>
      <c r="AJ16" s="2"/>
      <c r="AK16" s="43"/>
      <c r="AL16" s="2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</row>
    <row r="17" spans="2:67" s="1" customFormat="1" ht="20.100000000000001" customHeight="1" x14ac:dyDescent="0.3">
      <c r="B17" s="2"/>
      <c r="C17" s="3"/>
      <c r="D17" s="2"/>
      <c r="AJ17" s="2"/>
      <c r="AK17" s="43"/>
      <c r="AL17" s="2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</row>
    <row r="18" spans="2:67" s="1" customFormat="1" ht="20.100000000000001" customHeight="1" x14ac:dyDescent="0.3">
      <c r="B18" s="2"/>
      <c r="C18" s="3"/>
      <c r="D18" s="2"/>
      <c r="AJ18" s="2"/>
      <c r="AK18" s="43"/>
      <c r="AL18" s="2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</row>
    <row r="19" spans="2:67" s="1" customFormat="1" ht="20.100000000000001" customHeight="1" x14ac:dyDescent="0.3">
      <c r="B19" s="2"/>
      <c r="C19" s="3"/>
      <c r="D19" s="2"/>
      <c r="AJ19" s="2"/>
      <c r="AK19" s="43"/>
      <c r="AL19" s="2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</row>
    <row r="20" spans="2:67" s="1" customFormat="1" ht="20.100000000000001" customHeight="1" x14ac:dyDescent="0.3">
      <c r="B20" s="2"/>
      <c r="C20" s="3"/>
      <c r="D20" s="2"/>
      <c r="AJ20" s="2"/>
      <c r="AK20" s="43"/>
      <c r="AL20" s="2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</row>
    <row r="21" spans="2:67" s="1" customFormat="1" ht="20.100000000000001" customHeight="1" x14ac:dyDescent="0.3">
      <c r="B21" s="2"/>
      <c r="C21" s="3"/>
      <c r="D21" s="2"/>
      <c r="AJ21" s="2"/>
      <c r="AK21" s="43"/>
      <c r="AL21" s="2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</row>
    <row r="22" spans="2:67" s="1" customFormat="1" ht="20.100000000000001" customHeight="1" x14ac:dyDescent="0.3">
      <c r="B22" s="2"/>
      <c r="C22" s="3"/>
      <c r="D22" s="2"/>
      <c r="AJ22" s="2"/>
      <c r="AK22" s="43"/>
      <c r="AL22" s="2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</row>
    <row r="23" spans="2:67" s="1" customFormat="1" ht="20.100000000000001" customHeight="1" x14ac:dyDescent="0.3">
      <c r="B23" s="2"/>
      <c r="C23" s="3"/>
      <c r="D23" s="2"/>
      <c r="AJ23" s="2"/>
      <c r="AK23" s="43"/>
      <c r="AL23" s="2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</row>
    <row r="24" spans="2:67" s="1" customFormat="1" ht="20.100000000000001" customHeight="1" x14ac:dyDescent="0.3">
      <c r="B24" s="2"/>
      <c r="C24" s="3"/>
      <c r="D24" s="2"/>
      <c r="AJ24" s="2"/>
      <c r="AK24" s="43"/>
      <c r="AL24" s="2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</row>
    <row r="25" spans="2:67" s="1" customFormat="1" ht="20.100000000000001" customHeight="1" x14ac:dyDescent="0.3">
      <c r="B25" s="2"/>
      <c r="C25" s="3"/>
      <c r="D25" s="2"/>
      <c r="AJ25" s="2"/>
      <c r="AK25" s="43"/>
      <c r="AL25" s="2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</row>
    <row r="26" spans="2:67" s="1" customFormat="1" ht="20.100000000000001" customHeight="1" x14ac:dyDescent="0.3">
      <c r="B26" s="2"/>
      <c r="C26" s="3"/>
      <c r="D26" s="2"/>
      <c r="AJ26" s="2"/>
      <c r="AK26" s="43"/>
      <c r="AL26" s="2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</row>
    <row r="27" spans="2:67" s="1" customFormat="1" ht="20.100000000000001" customHeight="1" x14ac:dyDescent="0.3">
      <c r="B27" s="2"/>
      <c r="C27" s="3"/>
      <c r="D27" s="2"/>
      <c r="AJ27" s="2"/>
      <c r="AK27" s="43"/>
      <c r="AL27" s="2"/>
      <c r="AM27" s="3"/>
    </row>
    <row r="28" spans="2:67" s="1" customFormat="1" ht="20.100000000000001" customHeight="1" x14ac:dyDescent="0.3">
      <c r="B28" s="2"/>
      <c r="C28" s="3"/>
      <c r="D28" s="2"/>
      <c r="AJ28" s="2"/>
      <c r="AK28" s="43"/>
      <c r="AL28" s="2"/>
      <c r="AM28" s="3"/>
    </row>
    <row r="29" spans="2:67" s="1" customFormat="1" ht="20.100000000000001" customHeight="1" x14ac:dyDescent="0.3">
      <c r="B29" s="2"/>
      <c r="C29" s="3"/>
      <c r="D29" s="2"/>
      <c r="AJ29" s="2"/>
      <c r="AK29" s="43"/>
      <c r="AL29" s="2"/>
      <c r="AM29" s="3"/>
    </row>
    <row r="30" spans="2:67" s="1" customFormat="1" ht="20.100000000000001" customHeight="1" x14ac:dyDescent="0.3">
      <c r="B30" s="2"/>
      <c r="C30" s="3"/>
      <c r="D30" s="2"/>
      <c r="AJ30" s="2"/>
      <c r="AK30" s="43"/>
      <c r="AL30" s="2"/>
      <c r="AM30" s="3"/>
    </row>
    <row r="31" spans="2:67" s="1" customFormat="1" ht="20.100000000000001" customHeight="1" x14ac:dyDescent="0.3">
      <c r="B31" s="2"/>
      <c r="C31" s="3"/>
      <c r="D31" s="2"/>
      <c r="AJ31" s="2"/>
      <c r="AK31" s="43"/>
      <c r="AL31" s="2"/>
      <c r="AM31" s="3"/>
    </row>
    <row r="32" spans="2:67" s="1" customFormat="1" ht="20.100000000000001" customHeight="1" x14ac:dyDescent="0.3">
      <c r="B32" s="2"/>
      <c r="C32" s="3"/>
      <c r="D32" s="2"/>
      <c r="AJ32" s="2"/>
      <c r="AK32" s="43"/>
      <c r="AL32" s="2"/>
      <c r="AM32" s="3"/>
    </row>
    <row r="33" spans="2:39" s="1" customFormat="1" ht="20.100000000000001" customHeight="1" x14ac:dyDescent="0.3">
      <c r="B33" s="2"/>
      <c r="C33" s="3"/>
      <c r="D33" s="2"/>
      <c r="AJ33" s="2"/>
      <c r="AK33" s="43"/>
      <c r="AL33" s="2"/>
      <c r="AM33" s="3"/>
    </row>
    <row r="34" spans="2:39" s="1" customFormat="1" ht="20.100000000000001" customHeight="1" x14ac:dyDescent="0.3">
      <c r="B34" s="2"/>
      <c r="C34" s="3"/>
      <c r="D34" s="2"/>
      <c r="AJ34" s="2"/>
      <c r="AK34" s="43"/>
      <c r="AL34" s="2"/>
      <c r="AM34" s="3"/>
    </row>
    <row r="35" spans="2:39" s="1" customFormat="1" ht="20.100000000000001" customHeight="1" x14ac:dyDescent="0.3">
      <c r="B35" s="2"/>
      <c r="C35" s="3"/>
      <c r="D35" s="2"/>
      <c r="AJ35" s="2"/>
      <c r="AK35" s="43"/>
      <c r="AL35" s="2"/>
      <c r="AM35" s="3"/>
    </row>
    <row r="36" spans="2:39" s="1" customFormat="1" ht="20.100000000000001" customHeight="1" x14ac:dyDescent="0.3">
      <c r="B36" s="2"/>
      <c r="C36" s="3"/>
      <c r="D36" s="2"/>
      <c r="AJ36" s="2"/>
      <c r="AK36" s="43"/>
      <c r="AL36" s="2"/>
      <c r="AM36" s="3"/>
    </row>
    <row r="37" spans="2:39" s="1" customFormat="1" ht="20.100000000000001" customHeight="1" x14ac:dyDescent="0.3">
      <c r="B37" s="2"/>
      <c r="C37" s="3"/>
      <c r="D37" s="2"/>
      <c r="AJ37" s="2"/>
      <c r="AK37" s="43"/>
      <c r="AL37" s="2"/>
      <c r="AM37" s="3"/>
    </row>
    <row r="38" spans="2:39" s="1" customFormat="1" ht="20.100000000000001" customHeight="1" x14ac:dyDescent="0.3">
      <c r="B38" s="2"/>
      <c r="C38" s="3"/>
      <c r="D38" s="2"/>
      <c r="AJ38" s="2"/>
      <c r="AK38" s="43"/>
      <c r="AL38" s="2"/>
      <c r="AM38" s="3"/>
    </row>
    <row r="39" spans="2:39" s="1" customFormat="1" ht="20.100000000000001" customHeight="1" x14ac:dyDescent="0.3">
      <c r="B39" s="2"/>
      <c r="C39" s="3"/>
      <c r="D39" s="2"/>
      <c r="AJ39" s="2"/>
      <c r="AK39" s="43"/>
      <c r="AL39" s="2"/>
      <c r="AM39" s="3"/>
    </row>
    <row r="40" spans="2:39" s="1" customFormat="1" ht="20.100000000000001" customHeight="1" x14ac:dyDescent="0.3">
      <c r="B40" s="2"/>
      <c r="C40" s="3"/>
      <c r="D40" s="2"/>
      <c r="AJ40" s="2"/>
      <c r="AK40" s="43"/>
      <c r="AL40" s="2"/>
      <c r="AM40" s="3"/>
    </row>
    <row r="41" spans="2:39" s="1" customFormat="1" ht="20.100000000000001" customHeight="1" x14ac:dyDescent="0.3">
      <c r="B41" s="2"/>
      <c r="C41" s="3"/>
      <c r="D41" s="2"/>
      <c r="AJ41" s="2"/>
      <c r="AK41" s="43"/>
      <c r="AL41" s="2"/>
      <c r="AM41" s="3"/>
    </row>
    <row r="42" spans="2:39" s="1" customFormat="1" ht="20.100000000000001" customHeight="1" x14ac:dyDescent="0.3">
      <c r="B42" s="2"/>
      <c r="C42" s="3"/>
      <c r="D42" s="2"/>
      <c r="AJ42" s="2"/>
      <c r="AK42" s="43"/>
      <c r="AL42" s="2"/>
      <c r="AM42" s="3"/>
    </row>
    <row r="43" spans="2:39" s="1" customFormat="1" ht="20.100000000000001" customHeight="1" x14ac:dyDescent="0.3">
      <c r="B43" s="2"/>
      <c r="C43" s="3"/>
      <c r="D43" s="2"/>
      <c r="AJ43" s="2"/>
      <c r="AK43" s="43"/>
      <c r="AL43" s="2"/>
      <c r="AM43" s="3"/>
    </row>
    <row r="44" spans="2:39" s="1" customFormat="1" ht="20.100000000000001" customHeight="1" x14ac:dyDescent="0.3">
      <c r="B44" s="2"/>
      <c r="C44" s="3"/>
      <c r="D44" s="2"/>
      <c r="AJ44" s="2"/>
      <c r="AK44" s="43"/>
      <c r="AL44" s="2"/>
      <c r="AM44" s="3"/>
    </row>
    <row r="45" spans="2:39" s="1" customFormat="1" ht="20.100000000000001" customHeight="1" x14ac:dyDescent="0.3">
      <c r="B45" s="2"/>
      <c r="C45" s="3"/>
      <c r="D45" s="2"/>
      <c r="AJ45" s="2"/>
      <c r="AK45" s="43"/>
      <c r="AL45" s="2"/>
      <c r="AM45" s="3"/>
    </row>
    <row r="46" spans="2:39" s="1" customFormat="1" ht="20.100000000000001" customHeight="1" x14ac:dyDescent="0.3">
      <c r="B46" s="2"/>
      <c r="C46" s="3"/>
      <c r="D46" s="2"/>
      <c r="AJ46" s="2"/>
      <c r="AK46" s="43"/>
      <c r="AL46" s="2"/>
      <c r="AM46" s="3"/>
    </row>
    <row r="47" spans="2:39" s="1" customFormat="1" ht="20.100000000000001" customHeight="1" x14ac:dyDescent="0.3">
      <c r="B47" s="2"/>
      <c r="C47" s="3"/>
      <c r="D47" s="2"/>
      <c r="AJ47" s="2"/>
      <c r="AK47" s="43"/>
      <c r="AL47" s="2"/>
      <c r="AM47" s="3"/>
    </row>
    <row r="48" spans="2:39" s="1" customFormat="1" ht="20.100000000000001" customHeight="1" x14ac:dyDescent="0.3">
      <c r="B48" s="2"/>
      <c r="C48" s="3"/>
      <c r="D48" s="2"/>
      <c r="AJ48" s="2"/>
      <c r="AK48" s="43"/>
      <c r="AL48" s="2"/>
      <c r="AM48" s="3"/>
    </row>
    <row r="49" spans="2:39" s="1" customFormat="1" ht="20.100000000000001" customHeight="1" x14ac:dyDescent="0.3">
      <c r="B49" s="2"/>
      <c r="C49" s="3"/>
      <c r="D49" s="2"/>
      <c r="AJ49" s="2"/>
      <c r="AK49" s="43"/>
      <c r="AL49" s="2"/>
      <c r="AM49" s="3"/>
    </row>
    <row r="50" spans="2:39" s="1" customFormat="1" ht="20.100000000000001" customHeight="1" x14ac:dyDescent="0.3">
      <c r="B50" s="2"/>
      <c r="C50" s="3"/>
      <c r="D50" s="2"/>
      <c r="AJ50" s="2"/>
      <c r="AK50" s="43"/>
      <c r="AL50" s="2"/>
      <c r="AM50" s="3"/>
    </row>
    <row r="51" spans="2:39" s="1" customFormat="1" ht="20.100000000000001" customHeight="1" x14ac:dyDescent="0.3">
      <c r="B51" s="2"/>
      <c r="C51" s="3"/>
      <c r="D51" s="2"/>
      <c r="AJ51" s="2"/>
      <c r="AK51" s="43"/>
      <c r="AL51" s="2"/>
      <c r="AM51" s="3"/>
    </row>
    <row r="52" spans="2:39" s="1" customFormat="1" ht="20.100000000000001" customHeight="1" x14ac:dyDescent="0.3">
      <c r="B52" s="2"/>
      <c r="C52" s="3"/>
      <c r="D52" s="2"/>
      <c r="AJ52" s="2"/>
      <c r="AK52" s="43"/>
      <c r="AL52" s="2"/>
      <c r="AM52" s="3"/>
    </row>
    <row r="53" spans="2:39" s="1" customFormat="1" ht="20.100000000000001" customHeight="1" x14ac:dyDescent="0.3">
      <c r="B53" s="2"/>
      <c r="C53" s="3"/>
      <c r="D53" s="2"/>
      <c r="AJ53" s="2"/>
      <c r="AK53" s="43"/>
      <c r="AL53" s="2"/>
      <c r="AM53" s="3"/>
    </row>
    <row r="54" spans="2:39" s="1" customFormat="1" ht="20.100000000000001" customHeight="1" x14ac:dyDescent="0.3">
      <c r="B54" s="2"/>
      <c r="C54" s="3"/>
      <c r="D54" s="2"/>
      <c r="AJ54" s="2"/>
      <c r="AK54" s="43"/>
      <c r="AL54" s="2"/>
      <c r="AM54" s="3"/>
    </row>
    <row r="55" spans="2:39" s="1" customFormat="1" ht="20.100000000000001" customHeight="1" x14ac:dyDescent="0.3">
      <c r="B55" s="2"/>
      <c r="C55" s="3"/>
      <c r="D55" s="2"/>
      <c r="AJ55" s="2"/>
      <c r="AK55" s="43"/>
      <c r="AL55" s="2"/>
      <c r="AM55" s="3"/>
    </row>
    <row r="56" spans="2:39" s="1" customFormat="1" ht="20.100000000000001" customHeight="1" x14ac:dyDescent="0.3">
      <c r="B56" s="2"/>
      <c r="C56" s="3"/>
      <c r="D56" s="2"/>
      <c r="AJ56" s="2"/>
      <c r="AK56" s="43"/>
      <c r="AL56" s="2"/>
      <c r="AM56" s="3"/>
    </row>
    <row r="57" spans="2:39" s="1" customFormat="1" ht="20.100000000000001" customHeight="1" x14ac:dyDescent="0.3">
      <c r="B57" s="2"/>
      <c r="C57" s="3"/>
      <c r="D57" s="2"/>
      <c r="AJ57" s="2"/>
      <c r="AK57" s="43"/>
      <c r="AL57" s="2"/>
      <c r="AM57" s="3"/>
    </row>
    <row r="58" spans="2:39" s="1" customFormat="1" ht="20.100000000000001" customHeight="1" x14ac:dyDescent="0.3">
      <c r="B58" s="2"/>
      <c r="C58" s="3"/>
      <c r="D58" s="2"/>
      <c r="AJ58" s="2"/>
      <c r="AK58" s="43"/>
      <c r="AL58" s="2"/>
      <c r="AM58" s="3"/>
    </row>
    <row r="59" spans="2:39" s="1" customFormat="1" ht="20.100000000000001" customHeight="1" x14ac:dyDescent="0.3">
      <c r="B59" s="2"/>
      <c r="C59" s="3"/>
      <c r="D59" s="2"/>
      <c r="AJ59" s="2"/>
      <c r="AK59" s="43"/>
      <c r="AL59" s="2"/>
      <c r="AM59" s="3"/>
    </row>
    <row r="60" spans="2:39" s="1" customFormat="1" ht="20.100000000000001" customHeight="1" x14ac:dyDescent="0.3">
      <c r="B60" s="2"/>
      <c r="C60" s="3"/>
      <c r="D60" s="2"/>
      <c r="AJ60" s="2"/>
      <c r="AK60" s="43"/>
      <c r="AL60" s="2"/>
      <c r="AM60" s="3"/>
    </row>
    <row r="61" spans="2:39" s="1" customFormat="1" ht="20.100000000000001" customHeight="1" x14ac:dyDescent="0.3">
      <c r="B61" s="2"/>
      <c r="C61" s="3"/>
      <c r="D61" s="2"/>
      <c r="AJ61" s="2"/>
      <c r="AK61" s="43"/>
      <c r="AL61" s="2"/>
      <c r="AM61" s="3"/>
    </row>
    <row r="62" spans="2:39" s="1" customFormat="1" ht="20.100000000000001" customHeight="1" x14ac:dyDescent="0.3">
      <c r="B62" s="2"/>
      <c r="C62" s="3"/>
      <c r="D62" s="2"/>
      <c r="AJ62" s="2"/>
      <c r="AK62" s="43"/>
      <c r="AL62" s="2"/>
      <c r="AM62" s="3"/>
    </row>
    <row r="63" spans="2:39" s="1" customFormat="1" ht="20.100000000000001" customHeight="1" x14ac:dyDescent="0.3">
      <c r="B63" s="2"/>
      <c r="C63" s="3"/>
      <c r="D63" s="2"/>
      <c r="AJ63" s="2"/>
      <c r="AK63" s="43"/>
      <c r="AL63" s="2"/>
      <c r="AM63" s="3"/>
    </row>
    <row r="64" spans="2:39" s="1" customFormat="1" ht="20.100000000000001" customHeight="1" x14ac:dyDescent="0.3">
      <c r="B64" s="2"/>
      <c r="C64" s="3"/>
      <c r="D64" s="2"/>
      <c r="AJ64" s="2"/>
      <c r="AK64" s="43"/>
      <c r="AL64" s="2"/>
      <c r="AM64" s="3"/>
    </row>
    <row r="65" spans="2:39" s="1" customFormat="1" ht="20.100000000000001" customHeight="1" x14ac:dyDescent="0.3">
      <c r="B65" s="2"/>
      <c r="C65" s="3"/>
      <c r="D65" s="2"/>
      <c r="AJ65" s="2"/>
      <c r="AK65" s="43"/>
      <c r="AL65" s="2"/>
      <c r="AM65" s="3"/>
    </row>
    <row r="66" spans="2:39" s="1" customFormat="1" ht="20.100000000000001" customHeight="1" x14ac:dyDescent="0.3">
      <c r="B66" s="2"/>
      <c r="C66" s="3"/>
      <c r="D66" s="2"/>
      <c r="AJ66" s="2"/>
      <c r="AK66" s="43"/>
      <c r="AL66" s="2"/>
      <c r="AM66" s="3"/>
    </row>
    <row r="67" spans="2:39" s="1" customFormat="1" ht="20.100000000000001" customHeight="1" x14ac:dyDescent="0.3">
      <c r="B67" s="2"/>
      <c r="C67" s="3"/>
      <c r="D67" s="2"/>
      <c r="AJ67" s="2"/>
      <c r="AK67" s="43"/>
      <c r="AL67" s="2"/>
      <c r="AM67" s="3"/>
    </row>
    <row r="68" spans="2:39" s="1" customFormat="1" ht="20.100000000000001" customHeight="1" x14ac:dyDescent="0.3">
      <c r="B68" s="2"/>
      <c r="C68" s="3"/>
      <c r="D68" s="2"/>
      <c r="AJ68" s="2"/>
      <c r="AK68" s="43"/>
      <c r="AL68" s="2"/>
      <c r="AM68" s="3"/>
    </row>
    <row r="69" spans="2:39" s="1" customFormat="1" ht="20.100000000000001" customHeight="1" x14ac:dyDescent="0.3">
      <c r="B69" s="2"/>
      <c r="C69" s="3"/>
      <c r="D69" s="2"/>
      <c r="AJ69" s="2"/>
      <c r="AK69" s="43"/>
      <c r="AL69" s="2"/>
      <c r="AM69" s="3"/>
    </row>
    <row r="70" spans="2:39" s="1" customFormat="1" ht="20.100000000000001" customHeight="1" x14ac:dyDescent="0.3">
      <c r="B70" s="2"/>
      <c r="C70" s="3"/>
      <c r="D70" s="2"/>
      <c r="AJ70" s="2"/>
      <c r="AK70" s="43"/>
      <c r="AL70" s="2"/>
      <c r="AM70" s="3"/>
    </row>
    <row r="71" spans="2:39" s="1" customFormat="1" ht="20.100000000000001" customHeight="1" x14ac:dyDescent="0.3">
      <c r="B71" s="2"/>
      <c r="C71" s="3"/>
      <c r="D71" s="2"/>
      <c r="AJ71" s="2"/>
      <c r="AK71" s="43"/>
      <c r="AL71" s="2"/>
      <c r="AM71" s="3"/>
    </row>
    <row r="72" spans="2:39" s="1" customFormat="1" ht="20.100000000000001" customHeight="1" x14ac:dyDescent="0.3">
      <c r="B72" s="2"/>
      <c r="C72" s="3"/>
      <c r="D72" s="2"/>
      <c r="AJ72" s="2"/>
      <c r="AK72" s="43"/>
      <c r="AL72" s="2"/>
      <c r="AM72" s="3"/>
    </row>
    <row r="73" spans="2:39" s="1" customFormat="1" ht="20.100000000000001" customHeight="1" x14ac:dyDescent="0.3">
      <c r="B73" s="2"/>
      <c r="C73" s="3"/>
      <c r="D73" s="2"/>
      <c r="AJ73" s="2"/>
      <c r="AK73" s="43"/>
      <c r="AL73" s="2"/>
      <c r="AM73" s="3"/>
    </row>
    <row r="74" spans="2:39" s="1" customFormat="1" ht="20.100000000000001" customHeight="1" x14ac:dyDescent="0.3">
      <c r="B74" s="2"/>
      <c r="C74" s="3"/>
      <c r="D74" s="2"/>
      <c r="AJ74" s="2"/>
      <c r="AK74" s="43"/>
      <c r="AL74" s="2"/>
      <c r="AM74" s="3"/>
    </row>
    <row r="75" spans="2:39" s="1" customFormat="1" ht="20.100000000000001" customHeight="1" x14ac:dyDescent="0.3">
      <c r="B75" s="2"/>
      <c r="C75" s="3"/>
      <c r="D75" s="2"/>
      <c r="AJ75" s="2"/>
      <c r="AK75" s="43"/>
      <c r="AL75" s="2"/>
      <c r="AM75" s="3"/>
    </row>
    <row r="76" spans="2:39" s="1" customFormat="1" ht="20.100000000000001" customHeight="1" x14ac:dyDescent="0.3">
      <c r="B76" s="2"/>
      <c r="C76" s="3"/>
      <c r="D76" s="2"/>
      <c r="AJ76" s="2"/>
      <c r="AK76" s="43"/>
      <c r="AL76" s="2"/>
      <c r="AM76" s="3"/>
    </row>
    <row r="77" spans="2:39" s="1" customFormat="1" ht="20.100000000000001" customHeight="1" x14ac:dyDescent="0.3">
      <c r="B77" s="2"/>
      <c r="C77" s="3"/>
      <c r="D77" s="2"/>
      <c r="AJ77" s="2"/>
      <c r="AK77" s="43"/>
      <c r="AL77" s="2"/>
      <c r="AM77" s="3"/>
    </row>
    <row r="78" spans="2:39" s="1" customFormat="1" ht="20.100000000000001" customHeight="1" x14ac:dyDescent="0.3">
      <c r="B78" s="2"/>
      <c r="C78" s="3"/>
      <c r="D78" s="2"/>
      <c r="AJ78" s="2"/>
      <c r="AK78" s="43"/>
      <c r="AL78" s="2"/>
      <c r="AM78" s="3"/>
    </row>
    <row r="79" spans="2:39" s="1" customFormat="1" ht="20.100000000000001" customHeight="1" x14ac:dyDescent="0.3">
      <c r="B79" s="2"/>
      <c r="C79" s="3"/>
      <c r="D79" s="2"/>
      <c r="AJ79" s="2"/>
      <c r="AK79" s="43"/>
      <c r="AL79" s="2"/>
      <c r="AM79" s="3"/>
    </row>
    <row r="80" spans="2:39" s="1" customFormat="1" ht="20.100000000000001" customHeight="1" x14ac:dyDescent="0.3">
      <c r="B80" s="2"/>
      <c r="C80" s="3"/>
      <c r="D80" s="2"/>
      <c r="AJ80" s="2"/>
      <c r="AK80" s="43"/>
      <c r="AL80" s="2"/>
      <c r="AM80" s="3"/>
    </row>
    <row r="81" spans="2:39" s="1" customFormat="1" ht="20.100000000000001" customHeight="1" x14ac:dyDescent="0.3">
      <c r="B81" s="2"/>
      <c r="C81" s="3"/>
      <c r="D81" s="2"/>
      <c r="AJ81" s="2"/>
      <c r="AK81" s="43"/>
      <c r="AL81" s="2"/>
      <c r="AM81" s="3"/>
    </row>
    <row r="82" spans="2:39" s="1" customFormat="1" ht="20.100000000000001" customHeight="1" x14ac:dyDescent="0.3">
      <c r="B82" s="2"/>
      <c r="C82" s="3"/>
      <c r="D82" s="2"/>
      <c r="AJ82" s="2"/>
      <c r="AK82" s="43"/>
      <c r="AL82" s="2"/>
      <c r="AM82" s="3"/>
    </row>
    <row r="83" spans="2:39" s="1" customFormat="1" ht="20.100000000000001" customHeight="1" x14ac:dyDescent="0.3">
      <c r="B83" s="2"/>
      <c r="C83" s="3"/>
      <c r="D83" s="2"/>
      <c r="AJ83" s="2"/>
      <c r="AK83" s="43"/>
      <c r="AL83" s="2"/>
      <c r="AM83" s="3"/>
    </row>
    <row r="84" spans="2:39" s="1" customFormat="1" ht="20.100000000000001" customHeight="1" x14ac:dyDescent="0.3">
      <c r="B84" s="2"/>
      <c r="C84" s="3"/>
      <c r="D84" s="2"/>
      <c r="AJ84" s="2"/>
      <c r="AK84" s="43"/>
      <c r="AL84" s="2"/>
      <c r="AM84" s="3"/>
    </row>
    <row r="85" spans="2:39" s="1" customFormat="1" ht="20.100000000000001" customHeight="1" x14ac:dyDescent="0.3">
      <c r="B85" s="2"/>
      <c r="C85" s="3"/>
      <c r="D85" s="2"/>
      <c r="AJ85" s="2"/>
      <c r="AK85" s="43"/>
      <c r="AL85" s="2"/>
      <c r="AM85" s="3"/>
    </row>
    <row r="86" spans="2:39" s="1" customFormat="1" ht="20.100000000000001" customHeight="1" x14ac:dyDescent="0.3">
      <c r="B86" s="2"/>
      <c r="C86" s="3"/>
      <c r="D86" s="2"/>
      <c r="AJ86" s="2"/>
      <c r="AK86" s="43"/>
      <c r="AL86" s="2"/>
      <c r="AM86" s="3"/>
    </row>
    <row r="87" spans="2:39" s="1" customFormat="1" ht="20.100000000000001" customHeight="1" x14ac:dyDescent="0.3">
      <c r="B87" s="2"/>
      <c r="C87" s="3"/>
      <c r="D87" s="2"/>
      <c r="AJ87" s="2"/>
      <c r="AK87" s="43"/>
      <c r="AL87" s="2"/>
      <c r="AM87" s="3"/>
    </row>
    <row r="88" spans="2:39" s="1" customFormat="1" ht="20.100000000000001" customHeight="1" x14ac:dyDescent="0.3">
      <c r="B88" s="2"/>
      <c r="C88" s="3"/>
      <c r="D88" s="2"/>
      <c r="AJ88" s="2"/>
      <c r="AK88" s="43"/>
      <c r="AL88" s="2"/>
      <c r="AM88" s="3"/>
    </row>
    <row r="89" spans="2:39" s="1" customFormat="1" ht="20.100000000000001" customHeight="1" x14ac:dyDescent="0.3">
      <c r="B89" s="2"/>
      <c r="C89" s="3"/>
      <c r="D89" s="2"/>
      <c r="AJ89" s="2"/>
      <c r="AK89" s="43"/>
      <c r="AL89" s="2"/>
      <c r="AM89" s="3"/>
    </row>
    <row r="90" spans="2:39" s="1" customFormat="1" ht="20.100000000000001" customHeight="1" x14ac:dyDescent="0.3">
      <c r="B90" s="2"/>
      <c r="C90" s="3"/>
      <c r="D90" s="2"/>
      <c r="AJ90" s="2"/>
      <c r="AK90" s="43"/>
      <c r="AL90" s="2"/>
      <c r="AM90" s="3"/>
    </row>
    <row r="91" spans="2:39" s="1" customFormat="1" ht="20.100000000000001" customHeight="1" x14ac:dyDescent="0.3">
      <c r="B91" s="2"/>
      <c r="C91" s="3"/>
      <c r="D91" s="2"/>
      <c r="AJ91" s="2"/>
      <c r="AK91" s="43"/>
      <c r="AL91" s="2"/>
      <c r="AM91" s="3"/>
    </row>
    <row r="92" spans="2:39" s="1" customFormat="1" ht="20.100000000000001" customHeight="1" x14ac:dyDescent="0.3">
      <c r="B92" s="2"/>
      <c r="C92" s="3"/>
      <c r="D92" s="2"/>
      <c r="AJ92" s="2"/>
      <c r="AK92" s="43"/>
      <c r="AL92" s="2"/>
      <c r="AM92" s="3"/>
    </row>
    <row r="93" spans="2:39" s="1" customFormat="1" ht="20.100000000000001" customHeight="1" x14ac:dyDescent="0.3">
      <c r="B93" s="2"/>
      <c r="C93" s="3"/>
      <c r="D93" s="2"/>
      <c r="AJ93" s="2"/>
      <c r="AK93" s="43"/>
      <c r="AL93" s="2"/>
      <c r="AM93" s="3"/>
    </row>
    <row r="94" spans="2:39" s="1" customFormat="1" ht="20.100000000000001" customHeight="1" x14ac:dyDescent="0.3">
      <c r="B94" s="2"/>
      <c r="C94" s="3"/>
      <c r="D94" s="2"/>
      <c r="AJ94" s="2"/>
      <c r="AK94" s="43"/>
      <c r="AL94" s="2"/>
      <c r="AM94" s="3"/>
    </row>
    <row r="95" spans="2:39" s="1" customFormat="1" ht="20.100000000000001" customHeight="1" x14ac:dyDescent="0.3">
      <c r="B95" s="2"/>
      <c r="C95" s="3"/>
      <c r="D95" s="2"/>
      <c r="AJ95" s="2"/>
      <c r="AK95" s="43"/>
      <c r="AL95" s="2"/>
      <c r="AM95" s="3"/>
    </row>
    <row r="96" spans="2:39" s="1" customFormat="1" ht="20.100000000000001" customHeight="1" x14ac:dyDescent="0.3">
      <c r="B96" s="2"/>
      <c r="C96" s="3"/>
      <c r="D96" s="2"/>
      <c r="AJ96" s="2"/>
      <c r="AK96" s="43"/>
      <c r="AL96" s="2"/>
      <c r="AM96" s="3"/>
    </row>
    <row r="97" spans="2:39" s="1" customFormat="1" ht="20.100000000000001" customHeight="1" x14ac:dyDescent="0.3">
      <c r="B97" s="2"/>
      <c r="C97" s="3"/>
      <c r="D97" s="2"/>
      <c r="AJ97" s="2"/>
      <c r="AK97" s="43"/>
      <c r="AL97" s="2"/>
      <c r="AM97" s="3"/>
    </row>
    <row r="98" spans="2:39" s="1" customFormat="1" ht="20.100000000000001" customHeight="1" x14ac:dyDescent="0.3">
      <c r="B98" s="2"/>
      <c r="C98" s="3"/>
      <c r="D98" s="2"/>
      <c r="AJ98" s="2"/>
      <c r="AK98" s="43"/>
      <c r="AL98" s="2"/>
      <c r="AM98" s="3"/>
    </row>
    <row r="99" spans="2:39" s="1" customFormat="1" ht="20.100000000000001" customHeight="1" x14ac:dyDescent="0.3">
      <c r="B99" s="2"/>
      <c r="C99" s="3"/>
      <c r="D99" s="2"/>
      <c r="AJ99" s="2"/>
      <c r="AK99" s="43"/>
      <c r="AL99" s="2"/>
      <c r="AM99" s="3"/>
    </row>
    <row r="100" spans="2:39" s="1" customFormat="1" ht="20.100000000000001" customHeight="1" x14ac:dyDescent="0.3">
      <c r="B100" s="2"/>
      <c r="C100" s="3"/>
      <c r="D100" s="2"/>
      <c r="AJ100" s="2"/>
      <c r="AK100" s="43"/>
      <c r="AL100" s="2"/>
      <c r="AM100" s="3"/>
    </row>
    <row r="101" spans="2:39" s="1" customFormat="1" ht="20.100000000000001" customHeight="1" x14ac:dyDescent="0.3">
      <c r="B101" s="2"/>
      <c r="C101" s="3"/>
      <c r="D101" s="2"/>
      <c r="AJ101" s="2"/>
      <c r="AK101" s="43"/>
      <c r="AL101" s="2"/>
      <c r="AM101" s="3"/>
    </row>
    <row r="102" spans="2:39" s="1" customFormat="1" ht="20.100000000000001" customHeight="1" x14ac:dyDescent="0.3">
      <c r="B102" s="2"/>
      <c r="C102" s="3"/>
      <c r="D102" s="2"/>
      <c r="AJ102" s="2"/>
      <c r="AK102" s="43"/>
      <c r="AL102" s="2"/>
      <c r="AM102" s="3"/>
    </row>
    <row r="103" spans="2:39" s="1" customFormat="1" ht="20.100000000000001" customHeight="1" x14ac:dyDescent="0.3">
      <c r="B103" s="2"/>
      <c r="C103" s="3"/>
      <c r="D103" s="2"/>
      <c r="AJ103" s="2"/>
      <c r="AK103" s="43"/>
      <c r="AL103" s="2"/>
      <c r="AM103" s="3"/>
    </row>
    <row r="104" spans="2:39" s="1" customFormat="1" ht="20.100000000000001" customHeight="1" x14ac:dyDescent="0.3">
      <c r="B104" s="2"/>
      <c r="C104" s="3"/>
      <c r="D104" s="2"/>
      <c r="AJ104" s="2"/>
      <c r="AK104" s="43"/>
      <c r="AL104" s="2"/>
      <c r="AM104" s="3"/>
    </row>
    <row r="105" spans="2:39" s="1" customFormat="1" ht="20.100000000000001" customHeight="1" x14ac:dyDescent="0.3">
      <c r="B105" s="2"/>
      <c r="C105" s="3"/>
      <c r="D105" s="2"/>
      <c r="AJ105" s="2"/>
      <c r="AK105" s="43"/>
      <c r="AL105" s="2"/>
      <c r="AM105" s="3"/>
    </row>
    <row r="106" spans="2:39" s="1" customFormat="1" ht="20.100000000000001" customHeight="1" x14ac:dyDescent="0.3">
      <c r="B106" s="2"/>
      <c r="C106" s="3"/>
      <c r="D106" s="2"/>
      <c r="AJ106" s="2"/>
      <c r="AK106" s="43"/>
      <c r="AL106" s="2"/>
      <c r="AM106" s="3"/>
    </row>
    <row r="107" spans="2:39" s="1" customFormat="1" ht="20.100000000000001" customHeight="1" x14ac:dyDescent="0.3">
      <c r="B107" s="2"/>
      <c r="C107" s="3"/>
      <c r="D107" s="2"/>
      <c r="AJ107" s="2"/>
      <c r="AK107" s="43"/>
      <c r="AL107" s="2"/>
      <c r="AM107" s="3"/>
    </row>
    <row r="108" spans="2:39" s="1" customFormat="1" ht="20.100000000000001" customHeight="1" x14ac:dyDescent="0.3">
      <c r="B108" s="2"/>
      <c r="C108" s="3"/>
      <c r="D108" s="2"/>
      <c r="AJ108" s="2"/>
      <c r="AK108" s="43"/>
      <c r="AL108" s="2"/>
      <c r="AM108" s="3"/>
    </row>
    <row r="109" spans="2:39" s="1" customFormat="1" ht="20.100000000000001" customHeight="1" x14ac:dyDescent="0.3">
      <c r="B109" s="2"/>
      <c r="C109" s="3"/>
      <c r="D109" s="2"/>
      <c r="AJ109" s="2"/>
      <c r="AK109" s="43"/>
      <c r="AL109" s="2"/>
      <c r="AM109" s="3"/>
    </row>
    <row r="110" spans="2:39" s="1" customFormat="1" ht="20.100000000000001" customHeight="1" x14ac:dyDescent="0.3">
      <c r="B110" s="2"/>
      <c r="C110" s="3"/>
      <c r="D110" s="2"/>
      <c r="AJ110" s="2"/>
      <c r="AK110" s="43"/>
      <c r="AL110" s="2"/>
      <c r="AM110" s="3"/>
    </row>
    <row r="111" spans="2:39" s="1" customFormat="1" ht="20.100000000000001" customHeight="1" x14ac:dyDescent="0.3">
      <c r="B111" s="2"/>
      <c r="C111" s="3"/>
      <c r="D111" s="2"/>
      <c r="AJ111" s="2"/>
      <c r="AK111" s="43"/>
      <c r="AL111" s="2"/>
      <c r="AM111" s="3"/>
    </row>
    <row r="112" spans="2:39" s="1" customFormat="1" ht="20.100000000000001" customHeight="1" x14ac:dyDescent="0.3">
      <c r="B112" s="2"/>
      <c r="C112" s="3"/>
      <c r="D112" s="2"/>
      <c r="AJ112" s="2"/>
      <c r="AK112" s="43"/>
      <c r="AL112" s="2"/>
      <c r="AM112" s="3"/>
    </row>
    <row r="113" spans="2:39" s="1" customFormat="1" ht="20.100000000000001" customHeight="1" x14ac:dyDescent="0.3">
      <c r="B113" s="2"/>
      <c r="C113" s="3"/>
      <c r="D113" s="2"/>
      <c r="AJ113" s="2"/>
      <c r="AK113" s="43"/>
      <c r="AL113" s="2"/>
      <c r="AM113" s="3"/>
    </row>
    <row r="114" spans="2:39" s="1" customFormat="1" ht="20.100000000000001" customHeight="1" x14ac:dyDescent="0.3">
      <c r="B114" s="2"/>
      <c r="C114" s="3"/>
      <c r="D114" s="2"/>
      <c r="AJ114" s="2"/>
      <c r="AK114" s="43"/>
      <c r="AL114" s="2"/>
      <c r="AM114" s="3"/>
    </row>
    <row r="115" spans="2:39" s="1" customFormat="1" ht="20.100000000000001" customHeight="1" x14ac:dyDescent="0.3">
      <c r="B115" s="2"/>
      <c r="C115" s="3"/>
      <c r="D115" s="2"/>
      <c r="AJ115" s="2"/>
      <c r="AK115" s="43"/>
      <c r="AL115" s="2"/>
      <c r="AM115" s="3"/>
    </row>
    <row r="116" spans="2:39" s="1" customFormat="1" ht="20.100000000000001" customHeight="1" x14ac:dyDescent="0.3">
      <c r="B116" s="2"/>
      <c r="C116" s="3"/>
      <c r="D116" s="2"/>
      <c r="AJ116" s="2"/>
      <c r="AK116" s="43"/>
      <c r="AL116" s="2"/>
      <c r="AM116" s="3"/>
    </row>
    <row r="117" spans="2:39" s="1" customFormat="1" ht="20.100000000000001" customHeight="1" x14ac:dyDescent="0.3">
      <c r="B117" s="2"/>
      <c r="C117" s="3"/>
      <c r="D117" s="2"/>
      <c r="AJ117" s="2"/>
      <c r="AK117" s="43"/>
      <c r="AL117" s="2"/>
      <c r="AM117" s="3"/>
    </row>
    <row r="118" spans="2:39" s="1" customFormat="1" ht="20.100000000000001" customHeight="1" x14ac:dyDescent="0.3">
      <c r="B118" s="2"/>
      <c r="C118" s="3"/>
      <c r="D118" s="2"/>
      <c r="AJ118" s="2"/>
      <c r="AK118" s="43"/>
      <c r="AL118" s="2"/>
      <c r="AM118" s="3"/>
    </row>
    <row r="119" spans="2:39" s="1" customFormat="1" ht="20.100000000000001" customHeight="1" x14ac:dyDescent="0.3">
      <c r="B119" s="2"/>
      <c r="C119" s="3"/>
      <c r="D119" s="2"/>
      <c r="AJ119" s="2"/>
      <c r="AK119" s="43"/>
      <c r="AL119" s="2"/>
      <c r="AM119" s="3"/>
    </row>
    <row r="120" spans="2:39" s="1" customFormat="1" ht="20.100000000000001" customHeight="1" x14ac:dyDescent="0.3">
      <c r="B120" s="2"/>
      <c r="C120" s="3"/>
      <c r="D120" s="2"/>
      <c r="AJ120" s="2"/>
      <c r="AK120" s="43"/>
      <c r="AL120" s="2"/>
      <c r="AM120" s="3"/>
    </row>
    <row r="121" spans="2:39" s="1" customFormat="1" ht="20.100000000000001" customHeight="1" x14ac:dyDescent="0.3">
      <c r="B121" s="2"/>
      <c r="C121" s="3"/>
      <c r="D121" s="2"/>
      <c r="AJ121" s="2"/>
      <c r="AK121" s="43"/>
      <c r="AL121" s="2"/>
      <c r="AM121" s="3"/>
    </row>
    <row r="122" spans="2:39" s="1" customFormat="1" ht="20.100000000000001" customHeight="1" x14ac:dyDescent="0.3">
      <c r="B122" s="2"/>
      <c r="C122" s="3"/>
      <c r="D122" s="2"/>
      <c r="AJ122" s="2"/>
      <c r="AK122" s="43"/>
      <c r="AL122" s="2"/>
      <c r="AM122" s="3"/>
    </row>
    <row r="123" spans="2:39" s="1" customFormat="1" ht="20.100000000000001" customHeight="1" x14ac:dyDescent="0.3">
      <c r="B123" s="2"/>
      <c r="C123" s="3"/>
      <c r="D123" s="2"/>
      <c r="AJ123" s="2"/>
      <c r="AK123" s="43"/>
      <c r="AL123" s="2"/>
      <c r="AM123" s="3"/>
    </row>
    <row r="124" spans="2:39" s="1" customFormat="1" ht="20.100000000000001" customHeight="1" x14ac:dyDescent="0.3">
      <c r="B124" s="2"/>
      <c r="C124" s="3"/>
      <c r="D124" s="2"/>
      <c r="AJ124" s="2"/>
      <c r="AK124" s="43"/>
      <c r="AL124" s="2"/>
      <c r="AM124" s="3"/>
    </row>
    <row r="125" spans="2:39" s="1" customFormat="1" ht="20.100000000000001" customHeight="1" x14ac:dyDescent="0.3">
      <c r="B125" s="2"/>
      <c r="C125" s="3"/>
      <c r="D125" s="2"/>
      <c r="AJ125" s="2"/>
      <c r="AK125" s="43"/>
      <c r="AL125" s="2"/>
      <c r="AM125" s="3"/>
    </row>
    <row r="126" spans="2:39" s="1" customFormat="1" ht="20.100000000000001" customHeight="1" x14ac:dyDescent="0.3">
      <c r="B126" s="2"/>
      <c r="C126" s="3"/>
      <c r="D126" s="2"/>
      <c r="AJ126" s="2"/>
      <c r="AK126" s="43"/>
      <c r="AL126" s="2"/>
      <c r="AM126" s="3"/>
    </row>
    <row r="127" spans="2:39" s="1" customFormat="1" ht="20.100000000000001" customHeight="1" x14ac:dyDescent="0.3">
      <c r="B127" s="2"/>
      <c r="C127" s="3"/>
      <c r="D127" s="2"/>
      <c r="AJ127" s="2"/>
      <c r="AK127" s="43"/>
      <c r="AL127" s="2"/>
      <c r="AM127" s="3"/>
    </row>
    <row r="128" spans="2:39" s="1" customFormat="1" ht="20.100000000000001" customHeight="1" x14ac:dyDescent="0.3">
      <c r="B128" s="2"/>
      <c r="C128" s="3"/>
      <c r="D128" s="2"/>
      <c r="AJ128" s="2"/>
      <c r="AK128" s="43"/>
      <c r="AL128" s="2"/>
      <c r="AM128" s="3"/>
    </row>
    <row r="129" spans="2:39" s="1" customFormat="1" ht="20.100000000000001" customHeight="1" x14ac:dyDescent="0.3">
      <c r="B129" s="2"/>
      <c r="C129" s="3"/>
      <c r="D129" s="2"/>
      <c r="AJ129" s="2"/>
      <c r="AK129" s="43"/>
      <c r="AL129" s="2"/>
      <c r="AM129" s="3"/>
    </row>
    <row r="130" spans="2:39" s="1" customFormat="1" ht="20.100000000000001" customHeight="1" x14ac:dyDescent="0.3">
      <c r="B130" s="2"/>
      <c r="C130" s="3"/>
      <c r="D130" s="2"/>
      <c r="AJ130" s="2"/>
      <c r="AK130" s="43"/>
      <c r="AL130" s="2"/>
      <c r="AM130" s="3"/>
    </row>
    <row r="131" spans="2:39" s="1" customFormat="1" ht="20.100000000000001" customHeight="1" x14ac:dyDescent="0.3">
      <c r="B131" s="2"/>
      <c r="C131" s="3"/>
      <c r="D131" s="2"/>
      <c r="AJ131" s="2"/>
      <c r="AK131" s="43"/>
      <c r="AL131" s="2"/>
      <c r="AM131" s="3"/>
    </row>
    <row r="132" spans="2:39" s="1" customFormat="1" ht="20.100000000000001" customHeight="1" x14ac:dyDescent="0.3">
      <c r="B132" s="2"/>
      <c r="C132" s="3"/>
      <c r="D132" s="2"/>
      <c r="AJ132" s="2"/>
      <c r="AK132" s="43"/>
      <c r="AL132" s="2"/>
      <c r="AM132" s="3"/>
    </row>
    <row r="133" spans="2:39" s="1" customFormat="1" ht="20.100000000000001" customHeight="1" x14ac:dyDescent="0.3">
      <c r="B133" s="2"/>
      <c r="C133" s="3"/>
      <c r="D133" s="2"/>
      <c r="AJ133" s="2"/>
      <c r="AK133" s="43"/>
      <c r="AL133" s="2"/>
      <c r="AM133" s="3"/>
    </row>
    <row r="134" spans="2:39" s="1" customFormat="1" ht="20.100000000000001" customHeight="1" x14ac:dyDescent="0.3">
      <c r="B134" s="2"/>
      <c r="C134" s="3"/>
      <c r="D134" s="2"/>
      <c r="AJ134" s="2"/>
      <c r="AK134" s="43"/>
      <c r="AL134" s="2"/>
      <c r="AM134" s="3"/>
    </row>
    <row r="135" spans="2:39" s="1" customFormat="1" ht="20.100000000000001" customHeight="1" x14ac:dyDescent="0.3">
      <c r="B135" s="2"/>
      <c r="C135" s="3"/>
      <c r="D135" s="2"/>
      <c r="AJ135" s="2"/>
      <c r="AK135" s="43"/>
      <c r="AL135" s="2"/>
      <c r="AM135" s="3"/>
    </row>
    <row r="136" spans="2:39" s="1" customFormat="1" ht="20.100000000000001" customHeight="1" x14ac:dyDescent="0.3">
      <c r="B136" s="2"/>
      <c r="C136" s="3"/>
      <c r="D136" s="2"/>
      <c r="AJ136" s="2"/>
      <c r="AK136" s="43"/>
      <c r="AL136" s="2"/>
      <c r="AM136" s="3"/>
    </row>
    <row r="137" spans="2:39" s="1" customFormat="1" ht="20.100000000000001" customHeight="1" x14ac:dyDescent="0.3">
      <c r="B137" s="2"/>
      <c r="C137" s="3"/>
      <c r="D137" s="2"/>
      <c r="AJ137" s="2"/>
      <c r="AK137" s="43"/>
      <c r="AL137" s="2"/>
      <c r="AM137" s="3"/>
    </row>
    <row r="138" spans="2:39" s="1" customFormat="1" ht="20.100000000000001" customHeight="1" x14ac:dyDescent="0.3">
      <c r="B138" s="2"/>
      <c r="C138" s="3"/>
      <c r="D138" s="2"/>
      <c r="AJ138" s="2"/>
      <c r="AK138" s="43"/>
      <c r="AL138" s="2"/>
      <c r="AM138" s="3"/>
    </row>
    <row r="139" spans="2:39" s="1" customFormat="1" ht="20.100000000000001" customHeight="1" x14ac:dyDescent="0.3">
      <c r="B139" s="2"/>
      <c r="C139" s="3"/>
      <c r="D139" s="2"/>
      <c r="AJ139" s="2"/>
      <c r="AK139" s="43"/>
      <c r="AL139" s="2"/>
      <c r="AM139" s="3"/>
    </row>
    <row r="140" spans="2:39" s="1" customFormat="1" ht="20.100000000000001" customHeight="1" x14ac:dyDescent="0.3">
      <c r="B140" s="2"/>
      <c r="C140" s="3"/>
      <c r="D140" s="2"/>
      <c r="AJ140" s="2"/>
      <c r="AK140" s="43"/>
      <c r="AL140" s="2"/>
      <c r="AM140" s="3"/>
    </row>
    <row r="141" spans="2:39" s="1" customFormat="1" ht="20.100000000000001" customHeight="1" x14ac:dyDescent="0.3">
      <c r="B141" s="2"/>
      <c r="C141" s="3"/>
      <c r="D141" s="2"/>
      <c r="AJ141" s="2"/>
      <c r="AK141" s="43"/>
      <c r="AL141" s="2"/>
      <c r="AM141" s="3"/>
    </row>
    <row r="142" spans="2:39" s="1" customFormat="1" ht="20.100000000000001" customHeight="1" x14ac:dyDescent="0.3">
      <c r="B142" s="2"/>
      <c r="C142" s="3"/>
      <c r="D142" s="2"/>
      <c r="AJ142" s="2"/>
      <c r="AK142" s="43"/>
      <c r="AL142" s="2"/>
      <c r="AM142" s="3"/>
    </row>
    <row r="143" spans="2:39" s="1" customFormat="1" ht="20.100000000000001" customHeight="1" x14ac:dyDescent="0.3">
      <c r="B143" s="2"/>
      <c r="C143" s="3"/>
      <c r="D143" s="2"/>
      <c r="AJ143" s="2"/>
      <c r="AK143" s="43"/>
      <c r="AL143" s="2"/>
      <c r="AM143" s="3"/>
    </row>
    <row r="144" spans="2:39" s="1" customFormat="1" ht="20.100000000000001" customHeight="1" x14ac:dyDescent="0.3">
      <c r="B144" s="2"/>
      <c r="C144" s="3"/>
      <c r="D144" s="2"/>
      <c r="AJ144" s="2"/>
      <c r="AK144" s="43"/>
      <c r="AL144" s="2"/>
      <c r="AM144" s="3"/>
    </row>
    <row r="145" spans="2:39" s="1" customFormat="1" ht="20.100000000000001" customHeight="1" x14ac:dyDescent="0.3">
      <c r="B145" s="2"/>
      <c r="C145" s="3"/>
      <c r="D145" s="2"/>
      <c r="AJ145" s="2"/>
      <c r="AK145" s="43"/>
      <c r="AL145" s="2"/>
      <c r="AM145" s="3"/>
    </row>
    <row r="146" spans="2:39" s="1" customFormat="1" ht="20.100000000000001" customHeight="1" x14ac:dyDescent="0.3">
      <c r="B146" s="2"/>
      <c r="C146" s="3"/>
      <c r="D146" s="2"/>
      <c r="AJ146" s="2"/>
      <c r="AK146" s="43"/>
      <c r="AL146" s="2"/>
      <c r="AM146" s="3"/>
    </row>
    <row r="147" spans="2:39" s="1" customFormat="1" ht="20.100000000000001" customHeight="1" x14ac:dyDescent="0.3">
      <c r="B147" s="2"/>
      <c r="C147" s="3"/>
      <c r="D147" s="2"/>
      <c r="AJ147" s="2"/>
      <c r="AK147" s="43"/>
      <c r="AL147" s="2"/>
      <c r="AM147" s="3"/>
    </row>
    <row r="148" spans="2:39" s="1" customFormat="1" ht="20.100000000000001" customHeight="1" x14ac:dyDescent="0.3">
      <c r="B148" s="2"/>
      <c r="C148" s="3"/>
      <c r="D148" s="2"/>
      <c r="AJ148" s="2"/>
      <c r="AK148" s="43"/>
      <c r="AL148" s="2"/>
      <c r="AM148" s="3"/>
    </row>
    <row r="149" spans="2:39" s="1" customFormat="1" ht="20.100000000000001" customHeight="1" x14ac:dyDescent="0.3">
      <c r="B149" s="2"/>
      <c r="C149" s="3"/>
      <c r="D149" s="2"/>
      <c r="AJ149" s="2"/>
      <c r="AK149" s="43"/>
      <c r="AL149" s="2"/>
      <c r="AM149" s="3"/>
    </row>
    <row r="150" spans="2:39" s="1" customFormat="1" ht="20.100000000000001" customHeight="1" x14ac:dyDescent="0.3">
      <c r="B150" s="2"/>
      <c r="C150" s="3"/>
      <c r="D150" s="2"/>
      <c r="AJ150" s="2"/>
      <c r="AK150" s="43"/>
      <c r="AL150" s="2"/>
      <c r="AM150" s="3"/>
    </row>
    <row r="151" spans="2:39" s="1" customFormat="1" ht="20.100000000000001" customHeight="1" x14ac:dyDescent="0.3">
      <c r="B151" s="2"/>
      <c r="C151" s="3"/>
      <c r="D151" s="2"/>
      <c r="AJ151" s="2"/>
      <c r="AK151" s="43"/>
      <c r="AL151" s="2"/>
      <c r="AM151" s="3"/>
    </row>
    <row r="152" spans="2:39" s="1" customFormat="1" ht="20.100000000000001" customHeight="1" x14ac:dyDescent="0.3">
      <c r="B152" s="2"/>
      <c r="C152" s="3"/>
      <c r="D152" s="2"/>
      <c r="AJ152" s="2"/>
      <c r="AK152" s="43"/>
      <c r="AL152" s="2"/>
      <c r="AM152" s="3"/>
    </row>
    <row r="153" spans="2:39" s="1" customFormat="1" ht="20.100000000000001" customHeight="1" x14ac:dyDescent="0.3">
      <c r="B153" s="2"/>
      <c r="C153" s="3"/>
      <c r="D153" s="2"/>
      <c r="AJ153" s="2"/>
      <c r="AK153" s="43"/>
      <c r="AL153" s="2"/>
      <c r="AM153" s="3"/>
    </row>
    <row r="154" spans="2:39" s="1" customFormat="1" ht="20.100000000000001" customHeight="1" x14ac:dyDescent="0.3">
      <c r="B154" s="2"/>
      <c r="C154" s="3"/>
      <c r="D154" s="2"/>
      <c r="AJ154" s="2"/>
      <c r="AK154" s="43"/>
      <c r="AL154" s="2"/>
      <c r="AM154" s="3"/>
    </row>
  </sheetData>
  <mergeCells count="2">
    <mergeCell ref="B4:B13"/>
    <mergeCell ref="AH3:AI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화성</vt:lpstr>
      <vt:lpstr>창원</vt:lpstr>
      <vt:lpstr>부산</vt:lpstr>
      <vt:lpstr>동부</vt:lpstr>
      <vt:lpstr>서부</vt:lpstr>
      <vt:lpstr>제주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영일1</dc:creator>
  <cp:lastModifiedBy>형철 신</cp:lastModifiedBy>
  <cp:lastPrinted>2023-12-08T08:51:04Z</cp:lastPrinted>
  <dcterms:created xsi:type="dcterms:W3CDTF">2023-05-22T06:03:34Z</dcterms:created>
  <dcterms:modified xsi:type="dcterms:W3CDTF">2025-11-20T08:52:51Z</dcterms:modified>
</cp:coreProperties>
</file>