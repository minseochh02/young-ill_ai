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HIN\Documents\1영일오엔씨\계약서\MCP서버 구축\"/>
    </mc:Choice>
  </mc:AlternateContent>
  <xr:revisionPtr revIDLastSave="0" documentId="8_{BC5F7971-A114-4DD3-B350-532800A13EE6}" xr6:coauthVersionLast="47" xr6:coauthVersionMax="47" xr10:uidLastSave="{00000000-0000-0000-0000-000000000000}"/>
  <bookViews>
    <workbookView xWindow="28680" yWindow="-180" windowWidth="29040" windowHeight="15720" tabRatio="902" activeTab="3" xr2:uid="{00000000-000D-0000-FFFF-FFFF00000000}"/>
  </bookViews>
  <sheets>
    <sheet name="미출" sheetId="10" r:id="rId1"/>
    <sheet name="양식" sheetId="94" r:id="rId2"/>
    <sheet name="양식0" sheetId="108" r:id="rId3"/>
    <sheet name="양식1 (2)" sheetId="115" r:id="rId4"/>
    <sheet name="양식1" sheetId="110" r:id="rId5"/>
    <sheet name="양식2" sheetId="109" r:id="rId6"/>
    <sheet name="수출" sheetId="113" r:id="rId7"/>
    <sheet name="수출 (2)" sheetId="114" r:id="rId8"/>
    <sheet name="화성특가_자차" sheetId="95" r:id="rId9"/>
    <sheet name="자차(대명)" sheetId="76" r:id="rId10"/>
    <sheet name="자차(경동)" sheetId="104" r:id="rId11"/>
    <sheet name="자차(유승)" sheetId="103" r:id="rId12"/>
    <sheet name="파레트 제품 리스트" sheetId="80" r:id="rId13"/>
    <sheet name="Sheet1" sheetId="92" r:id="rId14"/>
    <sheet name="Sheet3" sheetId="112" r:id="rId15"/>
  </sheets>
  <externalReferences>
    <externalReference r:id="rId16"/>
    <externalReference r:id="rId17"/>
    <externalReference r:id="rId18"/>
  </externalReferences>
  <definedNames>
    <definedName name="_xlnm._FilterDatabase" localSheetId="13" hidden="1">Sheet1!$A$34:$I$407</definedName>
    <definedName name="_xlnm._FilterDatabase" localSheetId="0" hidden="1">미출!$A$1:$I$29</definedName>
    <definedName name="_xlnm._FilterDatabase" localSheetId="6" hidden="1">수출!$A$80:$Z$80</definedName>
    <definedName name="_xlnm._FilterDatabase" localSheetId="7" hidden="1">'수출 (2)'!$A$73:$Z$73</definedName>
    <definedName name="_xlnm._FilterDatabase" localSheetId="1" hidden="1">양식!$A$79:$Z$79</definedName>
    <definedName name="_xlnm._FilterDatabase" localSheetId="2" hidden="1">양식0!$A$74:$Z$74</definedName>
    <definedName name="_xlnm._FilterDatabase" localSheetId="4" hidden="1">양식1!$A$73:$Z$73</definedName>
    <definedName name="_xlnm._FilterDatabase" localSheetId="3" hidden="1">'양식1 (2)'!$A$73:$Z$73</definedName>
    <definedName name="_xlnm._FilterDatabase" localSheetId="5" hidden="1">양식2!$A$73:$Z$73</definedName>
    <definedName name="_xlnm._FilterDatabase" localSheetId="10" hidden="1">'자차(경동)'!$D$70:$M$509</definedName>
    <definedName name="_xlnm._FilterDatabase" localSheetId="9" hidden="1">'자차(대명)'!$D$70:$M$509</definedName>
    <definedName name="_xlnm._FilterDatabase" localSheetId="11" hidden="1">'자차(유승)'!$D$70:$M$509</definedName>
    <definedName name="_xlnm._FilterDatabase" localSheetId="12" hidden="1">'파레트 제품 리스트'!$A$3:$G$617</definedName>
    <definedName name="_xlnm._FilterDatabase" localSheetId="8" hidden="1">화성특가_자차!$D$67:$M$506</definedName>
    <definedName name="_xlnm.Print_Area" localSheetId="6">수출!$A$1:$Q$38</definedName>
    <definedName name="_xlnm.Print_Area" localSheetId="7">'수출 (2)'!$A$1:$Q$30</definedName>
    <definedName name="_xlnm.Print_Area" localSheetId="1">양식!$A$1:$Q$39</definedName>
    <definedName name="_xlnm.Print_Area" localSheetId="2">양식0!$A$1:$Q$30</definedName>
    <definedName name="_xlnm.Print_Area" localSheetId="4">양식1!$A$1:$Q$30</definedName>
    <definedName name="_xlnm.Print_Area" localSheetId="3">'양식1 (2)'!$A$1:$Q$30</definedName>
    <definedName name="_xlnm.Print_Area" localSheetId="5">양식2!$A$1:$Q$30</definedName>
    <definedName name="_xlnm.Print_Area" localSheetId="10">'자차(경동)'!$A$1:$Q$30</definedName>
    <definedName name="_xlnm.Print_Area" localSheetId="9">'자차(대명)'!$A$1:$Q$30</definedName>
    <definedName name="_xlnm.Print_Area" localSheetId="11">'자차(유승)'!$A$1:$Q$30</definedName>
    <definedName name="_xlnm.Print_Area" localSheetId="8">화성특가_자차!$A$1:$Q$30</definedName>
    <definedName name="SAPBEXrevision" hidden="1">1</definedName>
    <definedName name="SAPBEXsysID" hidden="1">"W7P"</definedName>
    <definedName name="SAPBEXwbID" hidden="1">"3ZOEC0KF5B6HME8LJ92BRM0JO"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115" l="1"/>
  <c r="N17" i="115"/>
  <c r="N18" i="115"/>
  <c r="N19" i="115"/>
  <c r="N20" i="115"/>
  <c r="N21" i="115"/>
  <c r="N22" i="115"/>
  <c r="N23" i="115"/>
  <c r="N13" i="108" l="1"/>
  <c r="N14" i="108"/>
  <c r="N15" i="108"/>
  <c r="N17" i="108"/>
  <c r="N18" i="108"/>
  <c r="N19" i="108"/>
  <c r="N16" i="108"/>
  <c r="N20" i="108"/>
  <c r="N14" i="115" l="1"/>
  <c r="N13" i="115" l="1"/>
  <c r="N15" i="115"/>
  <c r="N25" i="115"/>
  <c r="N12" i="115"/>
  <c r="N24" i="115" l="1"/>
  <c r="N25" i="108" l="1"/>
  <c r="G15" i="108" l="1"/>
  <c r="V18" i="108" l="1"/>
  <c r="W18" i="108"/>
  <c r="X18" i="108"/>
  <c r="V24" i="108"/>
  <c r="W24" i="108"/>
  <c r="X24" i="108"/>
  <c r="V21" i="108"/>
  <c r="W21" i="108"/>
  <c r="X21" i="108"/>
  <c r="V19" i="108"/>
  <c r="W19" i="108"/>
  <c r="X19" i="108"/>
  <c r="V20" i="108"/>
  <c r="W20" i="108"/>
  <c r="X20" i="108"/>
  <c r="R18" i="108"/>
  <c r="S18" i="108"/>
  <c r="R24" i="108"/>
  <c r="S24" i="108"/>
  <c r="R21" i="108"/>
  <c r="S21" i="108"/>
  <c r="Z18" i="108" l="1"/>
  <c r="Z24" i="108"/>
  <c r="Z21" i="108"/>
  <c r="Z19" i="108"/>
  <c r="Z20" i="108"/>
  <c r="G24" i="108" l="1"/>
  <c r="J24" i="108"/>
  <c r="K24" i="108"/>
  <c r="M24" i="108"/>
  <c r="O24" i="108" l="1"/>
  <c r="U24" i="108" l="1"/>
  <c r="O79" i="109"/>
  <c r="O78" i="109"/>
  <c r="O77" i="109"/>
  <c r="O76" i="109"/>
  <c r="O75" i="109"/>
  <c r="O74" i="109"/>
  <c r="O79" i="110"/>
  <c r="O78" i="110"/>
  <c r="O77" i="110"/>
  <c r="O76" i="110"/>
  <c r="O75" i="110"/>
  <c r="O74" i="110"/>
  <c r="O79" i="115"/>
  <c r="O78" i="115"/>
  <c r="O77" i="115"/>
  <c r="O76" i="115"/>
  <c r="O75" i="115"/>
  <c r="O74" i="115"/>
  <c r="O80" i="108"/>
  <c r="O79" i="108"/>
  <c r="O78" i="108"/>
  <c r="O77" i="108"/>
  <c r="O76" i="108"/>
  <c r="O75" i="108"/>
  <c r="E20" i="108" l="1"/>
  <c r="E24" i="108"/>
  <c r="E23" i="108"/>
  <c r="I522" i="109" l="1"/>
  <c r="I521" i="109"/>
  <c r="I515" i="109"/>
  <c r="I514" i="109"/>
  <c r="I513" i="109"/>
  <c r="I512" i="109"/>
  <c r="I511" i="109"/>
  <c r="I510" i="109"/>
  <c r="I509" i="109"/>
  <c r="I507" i="109"/>
  <c r="I506" i="109"/>
  <c r="O503" i="109"/>
  <c r="O502" i="109"/>
  <c r="O501" i="109"/>
  <c r="O500" i="109"/>
  <c r="O499" i="109"/>
  <c r="O498" i="109"/>
  <c r="O497" i="109"/>
  <c r="O496" i="109"/>
  <c r="O495" i="109"/>
  <c r="O494" i="109"/>
  <c r="O493" i="109"/>
  <c r="O492" i="109"/>
  <c r="O491" i="109"/>
  <c r="O490" i="109"/>
  <c r="O489" i="109"/>
  <c r="O488" i="109"/>
  <c r="O487" i="109"/>
  <c r="O486" i="109"/>
  <c r="O485" i="109"/>
  <c r="O484" i="109"/>
  <c r="O483" i="109"/>
  <c r="O482" i="109"/>
  <c r="O481" i="109"/>
  <c r="O480" i="109"/>
  <c r="O479" i="109"/>
  <c r="O478" i="109"/>
  <c r="O477" i="109"/>
  <c r="O476" i="109"/>
  <c r="O475" i="109"/>
  <c r="O474" i="109"/>
  <c r="O473" i="109"/>
  <c r="O472" i="109"/>
  <c r="O471" i="109"/>
  <c r="O470" i="109"/>
  <c r="O469" i="109"/>
  <c r="O468" i="109"/>
  <c r="O467" i="109"/>
  <c r="O466" i="109"/>
  <c r="O465" i="109"/>
  <c r="O464" i="109"/>
  <c r="O463" i="109"/>
  <c r="O462" i="109"/>
  <c r="O461" i="109"/>
  <c r="O460" i="109"/>
  <c r="O459" i="109"/>
  <c r="O458" i="109"/>
  <c r="O457" i="109"/>
  <c r="O456" i="109"/>
  <c r="O455" i="109"/>
  <c r="O454" i="109"/>
  <c r="O453" i="109"/>
  <c r="O452" i="109"/>
  <c r="O451" i="109"/>
  <c r="O450" i="109"/>
  <c r="O449" i="109"/>
  <c r="O448" i="109"/>
  <c r="O447" i="109"/>
  <c r="O446" i="109"/>
  <c r="O445" i="109"/>
  <c r="O444" i="109"/>
  <c r="O443" i="109"/>
  <c r="O442" i="109"/>
  <c r="O441" i="109"/>
  <c r="O440" i="109"/>
  <c r="O439" i="109"/>
  <c r="O438" i="109"/>
  <c r="O437" i="109"/>
  <c r="O436" i="109"/>
  <c r="O435" i="109"/>
  <c r="O434" i="109"/>
  <c r="O433" i="109"/>
  <c r="O432" i="109"/>
  <c r="O431" i="109"/>
  <c r="O430" i="109"/>
  <c r="O429" i="109"/>
  <c r="O428" i="109"/>
  <c r="O427" i="109"/>
  <c r="O426" i="109"/>
  <c r="O425" i="109"/>
  <c r="O424" i="109"/>
  <c r="O423" i="109"/>
  <c r="O422" i="109"/>
  <c r="O421" i="109"/>
  <c r="O420" i="109"/>
  <c r="O419" i="109"/>
  <c r="O418" i="109"/>
  <c r="O417" i="109"/>
  <c r="O416" i="109"/>
  <c r="O415" i="109"/>
  <c r="O414" i="109"/>
  <c r="O413" i="109"/>
  <c r="O412" i="109"/>
  <c r="O411" i="109"/>
  <c r="O410" i="109"/>
  <c r="O409" i="109"/>
  <c r="O408" i="109"/>
  <c r="O407" i="109"/>
  <c r="O406" i="109"/>
  <c r="O405" i="109"/>
  <c r="O404" i="109"/>
  <c r="O403" i="109"/>
  <c r="O402" i="109"/>
  <c r="O401" i="109"/>
  <c r="O400" i="109"/>
  <c r="O399" i="109"/>
  <c r="O398" i="109"/>
  <c r="O397" i="109"/>
  <c r="O396" i="109"/>
  <c r="O395" i="109"/>
  <c r="O394" i="109"/>
  <c r="O393" i="109"/>
  <c r="O392" i="109"/>
  <c r="O391" i="109"/>
  <c r="O390" i="109"/>
  <c r="O389" i="109"/>
  <c r="O388" i="109"/>
  <c r="O387" i="109"/>
  <c r="O386" i="109"/>
  <c r="O385" i="109"/>
  <c r="O384" i="109"/>
  <c r="O383" i="109"/>
  <c r="O382" i="109"/>
  <c r="O381" i="109"/>
  <c r="O380" i="109"/>
  <c r="O379" i="109"/>
  <c r="O378" i="109"/>
  <c r="O377" i="109"/>
  <c r="O376" i="109"/>
  <c r="O375" i="109"/>
  <c r="O374" i="109"/>
  <c r="O373" i="109"/>
  <c r="O372" i="109"/>
  <c r="O371" i="109"/>
  <c r="O370" i="109"/>
  <c r="O369" i="109"/>
  <c r="O368" i="109"/>
  <c r="O367" i="109"/>
  <c r="O366" i="109"/>
  <c r="O365" i="109"/>
  <c r="O364" i="109"/>
  <c r="O363" i="109"/>
  <c r="O362" i="109"/>
  <c r="O361" i="109"/>
  <c r="O360" i="109"/>
  <c r="O359" i="109"/>
  <c r="O358" i="109"/>
  <c r="O357" i="109"/>
  <c r="O356" i="109"/>
  <c r="O355" i="109"/>
  <c r="O354" i="109"/>
  <c r="O353" i="109"/>
  <c r="O352" i="109"/>
  <c r="O351" i="109"/>
  <c r="O350" i="109"/>
  <c r="O349" i="109"/>
  <c r="O348" i="109"/>
  <c r="O347" i="109"/>
  <c r="O346" i="109"/>
  <c r="O345" i="109"/>
  <c r="O344" i="109"/>
  <c r="O343" i="109"/>
  <c r="O342" i="109"/>
  <c r="O341" i="109"/>
  <c r="O340" i="109"/>
  <c r="O339" i="109"/>
  <c r="O338" i="109"/>
  <c r="O337" i="109"/>
  <c r="O336" i="109"/>
  <c r="O335" i="109"/>
  <c r="O334" i="109"/>
  <c r="O333" i="109"/>
  <c r="O332" i="109"/>
  <c r="O331" i="109"/>
  <c r="O330" i="109"/>
  <c r="O329" i="109"/>
  <c r="O328" i="109"/>
  <c r="O327" i="109"/>
  <c r="O326" i="109"/>
  <c r="O325" i="109"/>
  <c r="O324" i="109"/>
  <c r="O323" i="109"/>
  <c r="O322" i="109"/>
  <c r="O321" i="109"/>
  <c r="O320" i="109"/>
  <c r="O319" i="109"/>
  <c r="O318" i="109"/>
  <c r="O317" i="109"/>
  <c r="O316" i="109"/>
  <c r="O315" i="109"/>
  <c r="O314" i="109"/>
  <c r="O313" i="109"/>
  <c r="O312" i="109"/>
  <c r="O311" i="109"/>
  <c r="O310" i="109"/>
  <c r="O309" i="109"/>
  <c r="O308" i="109"/>
  <c r="O307" i="109"/>
  <c r="O306" i="109"/>
  <c r="O305" i="109"/>
  <c r="O304" i="109"/>
  <c r="O303" i="109"/>
  <c r="O302" i="109"/>
  <c r="O301" i="109"/>
  <c r="O300" i="109"/>
  <c r="O299" i="109"/>
  <c r="O298" i="109"/>
  <c r="O297" i="109"/>
  <c r="O296" i="109"/>
  <c r="O295" i="109"/>
  <c r="O294" i="109"/>
  <c r="O293" i="109"/>
  <c r="O292" i="109"/>
  <c r="O291" i="109"/>
  <c r="O290" i="109"/>
  <c r="O289" i="109"/>
  <c r="O288" i="109"/>
  <c r="O287" i="109"/>
  <c r="O286" i="109"/>
  <c r="O285" i="109"/>
  <c r="O284" i="109"/>
  <c r="O283" i="109"/>
  <c r="O282" i="109"/>
  <c r="O281" i="109"/>
  <c r="O280" i="109"/>
  <c r="O279" i="109"/>
  <c r="O278" i="109"/>
  <c r="O277" i="109"/>
  <c r="O276" i="109"/>
  <c r="O275" i="109"/>
  <c r="O274" i="109"/>
  <c r="O273" i="109"/>
  <c r="O272" i="109"/>
  <c r="O271" i="109"/>
  <c r="O270" i="109"/>
  <c r="O269" i="109"/>
  <c r="O268" i="109"/>
  <c r="O267" i="109"/>
  <c r="O266" i="109"/>
  <c r="O265" i="109"/>
  <c r="O264" i="109"/>
  <c r="O263" i="109"/>
  <c r="O262" i="109"/>
  <c r="O261" i="109"/>
  <c r="O260" i="109"/>
  <c r="O259" i="109"/>
  <c r="O258" i="109"/>
  <c r="O257" i="109"/>
  <c r="O256" i="109"/>
  <c r="O255" i="109"/>
  <c r="O254" i="109"/>
  <c r="O253" i="109"/>
  <c r="O252" i="109"/>
  <c r="O251" i="109"/>
  <c r="O250" i="109"/>
  <c r="O249" i="109"/>
  <c r="O248" i="109"/>
  <c r="O247" i="109"/>
  <c r="O246" i="109"/>
  <c r="O245" i="109"/>
  <c r="O244" i="109"/>
  <c r="O243" i="109"/>
  <c r="O242" i="109"/>
  <c r="O241" i="109"/>
  <c r="O240" i="109"/>
  <c r="O239" i="109"/>
  <c r="O238" i="109"/>
  <c r="O237" i="109"/>
  <c r="O236" i="109"/>
  <c r="O235" i="109"/>
  <c r="O234" i="109"/>
  <c r="O233" i="109"/>
  <c r="O232" i="109"/>
  <c r="O231" i="109"/>
  <c r="O230" i="109"/>
  <c r="O229" i="109"/>
  <c r="O228" i="109"/>
  <c r="O227" i="109"/>
  <c r="O226" i="109"/>
  <c r="O225" i="109"/>
  <c r="O224" i="109"/>
  <c r="O223" i="109"/>
  <c r="O222" i="109"/>
  <c r="O221" i="109"/>
  <c r="O220" i="109"/>
  <c r="O219" i="109"/>
  <c r="O218" i="109"/>
  <c r="O217" i="109"/>
  <c r="O216" i="109"/>
  <c r="O215" i="109"/>
  <c r="O214" i="109"/>
  <c r="O213" i="109"/>
  <c r="O212" i="109"/>
  <c r="O211" i="109"/>
  <c r="O210" i="109"/>
  <c r="O209" i="109"/>
  <c r="O208" i="109"/>
  <c r="O207" i="109"/>
  <c r="O206" i="109"/>
  <c r="O205" i="109"/>
  <c r="O204" i="109"/>
  <c r="O203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I522" i="110"/>
  <c r="I521" i="110"/>
  <c r="I515" i="110"/>
  <c r="I514" i="110"/>
  <c r="I513" i="110"/>
  <c r="I512" i="110"/>
  <c r="I511" i="110"/>
  <c r="I510" i="110"/>
  <c r="I509" i="110"/>
  <c r="I507" i="110"/>
  <c r="I506" i="110"/>
  <c r="O503" i="110"/>
  <c r="O502" i="110"/>
  <c r="O501" i="110"/>
  <c r="O500" i="110"/>
  <c r="O499" i="110"/>
  <c r="O498" i="110"/>
  <c r="O497" i="110"/>
  <c r="O496" i="110"/>
  <c r="O495" i="110"/>
  <c r="O494" i="110"/>
  <c r="O493" i="110"/>
  <c r="O492" i="110"/>
  <c r="O491" i="110"/>
  <c r="O490" i="110"/>
  <c r="O489" i="110"/>
  <c r="O488" i="110"/>
  <c r="O487" i="110"/>
  <c r="O486" i="110"/>
  <c r="O485" i="110"/>
  <c r="O484" i="110"/>
  <c r="O483" i="110"/>
  <c r="O482" i="110"/>
  <c r="O481" i="110"/>
  <c r="O480" i="110"/>
  <c r="O479" i="110"/>
  <c r="O478" i="110"/>
  <c r="O477" i="110"/>
  <c r="O476" i="110"/>
  <c r="O475" i="110"/>
  <c r="O474" i="110"/>
  <c r="O473" i="110"/>
  <c r="O472" i="110"/>
  <c r="O471" i="110"/>
  <c r="O470" i="110"/>
  <c r="O469" i="110"/>
  <c r="O468" i="110"/>
  <c r="O467" i="110"/>
  <c r="O466" i="110"/>
  <c r="O465" i="110"/>
  <c r="O464" i="110"/>
  <c r="O463" i="110"/>
  <c r="O462" i="110"/>
  <c r="O461" i="110"/>
  <c r="O460" i="110"/>
  <c r="O459" i="110"/>
  <c r="O458" i="110"/>
  <c r="O457" i="110"/>
  <c r="O456" i="110"/>
  <c r="O455" i="110"/>
  <c r="O454" i="110"/>
  <c r="O453" i="110"/>
  <c r="O452" i="110"/>
  <c r="O451" i="110"/>
  <c r="O450" i="110"/>
  <c r="O449" i="110"/>
  <c r="O448" i="110"/>
  <c r="O447" i="110"/>
  <c r="O446" i="110"/>
  <c r="O445" i="110"/>
  <c r="O444" i="110"/>
  <c r="O443" i="110"/>
  <c r="O442" i="110"/>
  <c r="O441" i="110"/>
  <c r="O440" i="110"/>
  <c r="O439" i="110"/>
  <c r="O438" i="110"/>
  <c r="O437" i="110"/>
  <c r="O436" i="110"/>
  <c r="O435" i="110"/>
  <c r="O434" i="110"/>
  <c r="O433" i="110"/>
  <c r="O432" i="110"/>
  <c r="O431" i="110"/>
  <c r="O430" i="110"/>
  <c r="O429" i="110"/>
  <c r="O428" i="110"/>
  <c r="O427" i="110"/>
  <c r="O426" i="110"/>
  <c r="O425" i="110"/>
  <c r="O424" i="110"/>
  <c r="O423" i="110"/>
  <c r="O422" i="110"/>
  <c r="O421" i="110"/>
  <c r="O420" i="110"/>
  <c r="O419" i="110"/>
  <c r="O418" i="110"/>
  <c r="O417" i="110"/>
  <c r="O416" i="110"/>
  <c r="O415" i="110"/>
  <c r="O414" i="110"/>
  <c r="O413" i="110"/>
  <c r="O412" i="110"/>
  <c r="O411" i="110"/>
  <c r="O410" i="110"/>
  <c r="O409" i="110"/>
  <c r="O408" i="110"/>
  <c r="O407" i="110"/>
  <c r="O406" i="110"/>
  <c r="O405" i="110"/>
  <c r="O404" i="110"/>
  <c r="O403" i="110"/>
  <c r="O402" i="110"/>
  <c r="O401" i="110"/>
  <c r="O400" i="110"/>
  <c r="O399" i="110"/>
  <c r="O398" i="110"/>
  <c r="O397" i="110"/>
  <c r="O396" i="110"/>
  <c r="O395" i="110"/>
  <c r="O394" i="110"/>
  <c r="O393" i="110"/>
  <c r="O392" i="110"/>
  <c r="O391" i="110"/>
  <c r="O390" i="110"/>
  <c r="O389" i="110"/>
  <c r="O388" i="110"/>
  <c r="O387" i="110"/>
  <c r="O386" i="110"/>
  <c r="O385" i="110"/>
  <c r="O384" i="110"/>
  <c r="O383" i="110"/>
  <c r="O382" i="110"/>
  <c r="O381" i="110"/>
  <c r="O380" i="110"/>
  <c r="O379" i="110"/>
  <c r="O378" i="110"/>
  <c r="O377" i="110"/>
  <c r="O376" i="110"/>
  <c r="O375" i="110"/>
  <c r="O374" i="110"/>
  <c r="O373" i="110"/>
  <c r="O372" i="110"/>
  <c r="O371" i="110"/>
  <c r="O370" i="110"/>
  <c r="O369" i="110"/>
  <c r="O368" i="110"/>
  <c r="O367" i="110"/>
  <c r="O366" i="110"/>
  <c r="O365" i="110"/>
  <c r="O364" i="110"/>
  <c r="O363" i="110"/>
  <c r="O362" i="110"/>
  <c r="O361" i="110"/>
  <c r="O360" i="110"/>
  <c r="O359" i="110"/>
  <c r="O358" i="110"/>
  <c r="O357" i="110"/>
  <c r="O356" i="110"/>
  <c r="O355" i="110"/>
  <c r="O354" i="110"/>
  <c r="O353" i="110"/>
  <c r="O352" i="110"/>
  <c r="O351" i="110"/>
  <c r="O350" i="110"/>
  <c r="O349" i="110"/>
  <c r="O348" i="110"/>
  <c r="O347" i="110"/>
  <c r="O346" i="110"/>
  <c r="O345" i="110"/>
  <c r="O344" i="110"/>
  <c r="O343" i="110"/>
  <c r="O342" i="110"/>
  <c r="O341" i="110"/>
  <c r="O340" i="110"/>
  <c r="O339" i="110"/>
  <c r="O338" i="110"/>
  <c r="O337" i="110"/>
  <c r="O336" i="110"/>
  <c r="O335" i="110"/>
  <c r="O334" i="110"/>
  <c r="O333" i="110"/>
  <c r="O332" i="110"/>
  <c r="O331" i="110"/>
  <c r="O330" i="110"/>
  <c r="O329" i="110"/>
  <c r="O328" i="110"/>
  <c r="O327" i="110"/>
  <c r="O326" i="110"/>
  <c r="O325" i="110"/>
  <c r="O324" i="110"/>
  <c r="O323" i="110"/>
  <c r="O322" i="110"/>
  <c r="O321" i="110"/>
  <c r="O320" i="110"/>
  <c r="O319" i="110"/>
  <c r="O318" i="110"/>
  <c r="O317" i="110"/>
  <c r="O316" i="110"/>
  <c r="O315" i="110"/>
  <c r="O314" i="110"/>
  <c r="O313" i="110"/>
  <c r="O312" i="110"/>
  <c r="O311" i="110"/>
  <c r="O310" i="110"/>
  <c r="O309" i="110"/>
  <c r="O308" i="110"/>
  <c r="O307" i="110"/>
  <c r="O306" i="110"/>
  <c r="O305" i="110"/>
  <c r="O304" i="110"/>
  <c r="O303" i="110"/>
  <c r="O302" i="110"/>
  <c r="O301" i="110"/>
  <c r="O300" i="110"/>
  <c r="O299" i="110"/>
  <c r="O298" i="110"/>
  <c r="O297" i="110"/>
  <c r="O296" i="110"/>
  <c r="O295" i="110"/>
  <c r="O294" i="110"/>
  <c r="O293" i="110"/>
  <c r="O292" i="110"/>
  <c r="O291" i="110"/>
  <c r="O290" i="110"/>
  <c r="O289" i="110"/>
  <c r="O288" i="110"/>
  <c r="O287" i="110"/>
  <c r="O286" i="110"/>
  <c r="O285" i="110"/>
  <c r="O284" i="110"/>
  <c r="O283" i="110"/>
  <c r="O282" i="110"/>
  <c r="O281" i="110"/>
  <c r="O280" i="110"/>
  <c r="O279" i="110"/>
  <c r="O278" i="110"/>
  <c r="O277" i="110"/>
  <c r="O276" i="110"/>
  <c r="O275" i="110"/>
  <c r="O274" i="110"/>
  <c r="O273" i="110"/>
  <c r="O272" i="110"/>
  <c r="O271" i="110"/>
  <c r="O270" i="110"/>
  <c r="O269" i="110"/>
  <c r="O268" i="110"/>
  <c r="O267" i="110"/>
  <c r="O266" i="110"/>
  <c r="O265" i="110"/>
  <c r="O264" i="110"/>
  <c r="O263" i="110"/>
  <c r="O262" i="110"/>
  <c r="O261" i="110"/>
  <c r="O260" i="110"/>
  <c r="O259" i="110"/>
  <c r="O258" i="110"/>
  <c r="O257" i="110"/>
  <c r="O256" i="110"/>
  <c r="O255" i="110"/>
  <c r="O254" i="110"/>
  <c r="O253" i="110"/>
  <c r="O252" i="110"/>
  <c r="O251" i="110"/>
  <c r="O250" i="110"/>
  <c r="O249" i="110"/>
  <c r="O248" i="110"/>
  <c r="O247" i="110"/>
  <c r="O246" i="110"/>
  <c r="O245" i="110"/>
  <c r="O244" i="110"/>
  <c r="O243" i="110"/>
  <c r="O242" i="110"/>
  <c r="O241" i="110"/>
  <c r="O240" i="110"/>
  <c r="O239" i="110"/>
  <c r="O238" i="110"/>
  <c r="O237" i="110"/>
  <c r="O236" i="110"/>
  <c r="O235" i="110"/>
  <c r="O234" i="110"/>
  <c r="O233" i="110"/>
  <c r="O232" i="110"/>
  <c r="O231" i="110"/>
  <c r="O230" i="110"/>
  <c r="O229" i="110"/>
  <c r="O228" i="110"/>
  <c r="O227" i="110"/>
  <c r="O226" i="110"/>
  <c r="O225" i="110"/>
  <c r="O224" i="110"/>
  <c r="O223" i="110"/>
  <c r="O222" i="110"/>
  <c r="O221" i="110"/>
  <c r="O220" i="110"/>
  <c r="O219" i="110"/>
  <c r="O218" i="110"/>
  <c r="O217" i="110"/>
  <c r="O216" i="110"/>
  <c r="O215" i="110"/>
  <c r="O214" i="110"/>
  <c r="O213" i="110"/>
  <c r="O212" i="110"/>
  <c r="O211" i="110"/>
  <c r="O210" i="110"/>
  <c r="O209" i="110"/>
  <c r="O208" i="110"/>
  <c r="O207" i="110"/>
  <c r="O206" i="110"/>
  <c r="O205" i="110"/>
  <c r="O204" i="110"/>
  <c r="O203" i="110"/>
  <c r="O202" i="110"/>
  <c r="O201" i="110"/>
  <c r="O200" i="110"/>
  <c r="O199" i="110"/>
  <c r="O198" i="110"/>
  <c r="O197" i="110"/>
  <c r="O196" i="110"/>
  <c r="O195" i="110"/>
  <c r="O194" i="110"/>
  <c r="O193" i="110"/>
  <c r="O192" i="110"/>
  <c r="O191" i="110"/>
  <c r="O190" i="110"/>
  <c r="O189" i="110"/>
  <c r="O188" i="110"/>
  <c r="O187" i="110"/>
  <c r="O186" i="110"/>
  <c r="O185" i="110"/>
  <c r="O184" i="110"/>
  <c r="O183" i="110"/>
  <c r="O182" i="110"/>
  <c r="O181" i="110"/>
  <c r="O180" i="110"/>
  <c r="O179" i="110"/>
  <c r="O178" i="110"/>
  <c r="O177" i="110"/>
  <c r="O176" i="110"/>
  <c r="O175" i="110"/>
  <c r="O174" i="110"/>
  <c r="O173" i="110"/>
  <c r="O172" i="110"/>
  <c r="O171" i="110"/>
  <c r="O170" i="110"/>
  <c r="O169" i="110"/>
  <c r="O168" i="110"/>
  <c r="O167" i="110"/>
  <c r="O166" i="110"/>
  <c r="O165" i="110"/>
  <c r="O164" i="110"/>
  <c r="O163" i="110"/>
  <c r="O162" i="110"/>
  <c r="O161" i="110"/>
  <c r="O160" i="110"/>
  <c r="O159" i="110"/>
  <c r="O158" i="110"/>
  <c r="O157" i="110"/>
  <c r="O156" i="110"/>
  <c r="O155" i="110"/>
  <c r="O154" i="110"/>
  <c r="O153" i="110"/>
  <c r="O152" i="110"/>
  <c r="O151" i="110"/>
  <c r="O150" i="110"/>
  <c r="O149" i="110"/>
  <c r="O148" i="110"/>
  <c r="O147" i="110"/>
  <c r="O146" i="110"/>
  <c r="O145" i="110"/>
  <c r="O144" i="110"/>
  <c r="O143" i="110"/>
  <c r="O142" i="110"/>
  <c r="O141" i="110"/>
  <c r="O140" i="110"/>
  <c r="O139" i="110"/>
  <c r="O138" i="110"/>
  <c r="O137" i="110"/>
  <c r="O136" i="110"/>
  <c r="O135" i="110"/>
  <c r="O134" i="110"/>
  <c r="O133" i="110"/>
  <c r="O132" i="110"/>
  <c r="O131" i="110"/>
  <c r="O130" i="110"/>
  <c r="O129" i="110"/>
  <c r="O128" i="110"/>
  <c r="O127" i="110"/>
  <c r="O126" i="110"/>
  <c r="O125" i="110"/>
  <c r="O124" i="110"/>
  <c r="O123" i="110"/>
  <c r="O122" i="110"/>
  <c r="O121" i="110"/>
  <c r="O120" i="110"/>
  <c r="O119" i="110"/>
  <c r="O118" i="110"/>
  <c r="O117" i="110"/>
  <c r="O116" i="110"/>
  <c r="O115" i="110"/>
  <c r="O114" i="110"/>
  <c r="O113" i="110"/>
  <c r="O112" i="110"/>
  <c r="O111" i="110"/>
  <c r="O110" i="110"/>
  <c r="O109" i="110"/>
  <c r="O108" i="110"/>
  <c r="O107" i="110"/>
  <c r="O106" i="110"/>
  <c r="O105" i="110"/>
  <c r="O104" i="110"/>
  <c r="O103" i="110"/>
  <c r="O102" i="110"/>
  <c r="O101" i="110"/>
  <c r="O100" i="110"/>
  <c r="O99" i="110"/>
  <c r="O98" i="110"/>
  <c r="O97" i="110"/>
  <c r="O96" i="110"/>
  <c r="O95" i="110"/>
  <c r="O94" i="110"/>
  <c r="O93" i="110"/>
  <c r="O92" i="110"/>
  <c r="O91" i="110"/>
  <c r="O90" i="110"/>
  <c r="O89" i="110"/>
  <c r="I522" i="115"/>
  <c r="I521" i="115"/>
  <c r="I515" i="115"/>
  <c r="I514" i="115"/>
  <c r="I513" i="115"/>
  <c r="I512" i="115"/>
  <c r="I511" i="115"/>
  <c r="I510" i="115"/>
  <c r="I509" i="115"/>
  <c r="I507" i="115"/>
  <c r="I506" i="115"/>
  <c r="O503" i="115"/>
  <c r="O502" i="115"/>
  <c r="O501" i="115"/>
  <c r="O500" i="115"/>
  <c r="O499" i="115"/>
  <c r="O498" i="115"/>
  <c r="O497" i="115"/>
  <c r="O496" i="115"/>
  <c r="O495" i="115"/>
  <c r="O494" i="115"/>
  <c r="O493" i="115"/>
  <c r="O492" i="115"/>
  <c r="O491" i="115"/>
  <c r="O490" i="115"/>
  <c r="O489" i="115"/>
  <c r="O488" i="115"/>
  <c r="O487" i="115"/>
  <c r="O486" i="115"/>
  <c r="O485" i="115"/>
  <c r="O484" i="115"/>
  <c r="O483" i="115"/>
  <c r="O482" i="115"/>
  <c r="O481" i="115"/>
  <c r="O480" i="115"/>
  <c r="O479" i="115"/>
  <c r="O478" i="115"/>
  <c r="O477" i="115"/>
  <c r="O476" i="115"/>
  <c r="O475" i="115"/>
  <c r="O474" i="115"/>
  <c r="O473" i="115"/>
  <c r="O472" i="115"/>
  <c r="O471" i="115"/>
  <c r="O470" i="115"/>
  <c r="O469" i="115"/>
  <c r="O468" i="115"/>
  <c r="O467" i="115"/>
  <c r="O466" i="115"/>
  <c r="O465" i="115"/>
  <c r="O464" i="115"/>
  <c r="O463" i="115"/>
  <c r="O462" i="115"/>
  <c r="O461" i="115"/>
  <c r="O460" i="115"/>
  <c r="O459" i="115"/>
  <c r="O458" i="115"/>
  <c r="O457" i="115"/>
  <c r="O456" i="115"/>
  <c r="O455" i="115"/>
  <c r="O454" i="115"/>
  <c r="O453" i="115"/>
  <c r="O452" i="115"/>
  <c r="O451" i="115"/>
  <c r="O450" i="115"/>
  <c r="O449" i="115"/>
  <c r="O448" i="115"/>
  <c r="O447" i="115"/>
  <c r="O446" i="115"/>
  <c r="O445" i="115"/>
  <c r="O444" i="115"/>
  <c r="O443" i="115"/>
  <c r="O442" i="115"/>
  <c r="O441" i="115"/>
  <c r="O440" i="115"/>
  <c r="O439" i="115"/>
  <c r="O438" i="115"/>
  <c r="O437" i="115"/>
  <c r="O436" i="115"/>
  <c r="O435" i="115"/>
  <c r="O434" i="115"/>
  <c r="O433" i="115"/>
  <c r="O432" i="115"/>
  <c r="O431" i="115"/>
  <c r="O430" i="115"/>
  <c r="O429" i="115"/>
  <c r="O428" i="115"/>
  <c r="O427" i="115"/>
  <c r="O426" i="115"/>
  <c r="O425" i="115"/>
  <c r="O424" i="115"/>
  <c r="O423" i="115"/>
  <c r="O422" i="115"/>
  <c r="O421" i="115"/>
  <c r="O420" i="115"/>
  <c r="O419" i="115"/>
  <c r="O418" i="115"/>
  <c r="O417" i="115"/>
  <c r="O416" i="115"/>
  <c r="O415" i="115"/>
  <c r="O414" i="115"/>
  <c r="O413" i="115"/>
  <c r="O412" i="115"/>
  <c r="O411" i="115"/>
  <c r="O410" i="115"/>
  <c r="O409" i="115"/>
  <c r="O408" i="115"/>
  <c r="O407" i="115"/>
  <c r="O406" i="115"/>
  <c r="O405" i="115"/>
  <c r="O404" i="115"/>
  <c r="O403" i="115"/>
  <c r="O402" i="115"/>
  <c r="O401" i="115"/>
  <c r="O400" i="115"/>
  <c r="O399" i="115"/>
  <c r="O398" i="115"/>
  <c r="O397" i="115"/>
  <c r="O396" i="115"/>
  <c r="O395" i="115"/>
  <c r="O394" i="115"/>
  <c r="O393" i="115"/>
  <c r="O392" i="115"/>
  <c r="O391" i="115"/>
  <c r="O390" i="115"/>
  <c r="O389" i="115"/>
  <c r="O388" i="115"/>
  <c r="O387" i="115"/>
  <c r="O386" i="115"/>
  <c r="O385" i="115"/>
  <c r="O384" i="115"/>
  <c r="O383" i="115"/>
  <c r="O382" i="115"/>
  <c r="O381" i="115"/>
  <c r="O380" i="115"/>
  <c r="O379" i="115"/>
  <c r="O378" i="115"/>
  <c r="O377" i="115"/>
  <c r="O376" i="115"/>
  <c r="O375" i="115"/>
  <c r="O374" i="115"/>
  <c r="O373" i="115"/>
  <c r="O372" i="115"/>
  <c r="O371" i="115"/>
  <c r="O370" i="115"/>
  <c r="O369" i="115"/>
  <c r="O368" i="115"/>
  <c r="O367" i="115"/>
  <c r="O366" i="115"/>
  <c r="O365" i="115"/>
  <c r="O364" i="115"/>
  <c r="O363" i="115"/>
  <c r="O362" i="115"/>
  <c r="O361" i="115"/>
  <c r="O360" i="115"/>
  <c r="O359" i="115"/>
  <c r="O358" i="115"/>
  <c r="O357" i="115"/>
  <c r="O356" i="115"/>
  <c r="O355" i="115"/>
  <c r="O354" i="115"/>
  <c r="O353" i="115"/>
  <c r="O352" i="115"/>
  <c r="O351" i="115"/>
  <c r="O350" i="115"/>
  <c r="O349" i="115"/>
  <c r="O348" i="115"/>
  <c r="O347" i="115"/>
  <c r="O346" i="115"/>
  <c r="O345" i="115"/>
  <c r="O344" i="115"/>
  <c r="O343" i="115"/>
  <c r="O342" i="115"/>
  <c r="O341" i="115"/>
  <c r="O340" i="115"/>
  <c r="O339" i="115"/>
  <c r="O338" i="115"/>
  <c r="O337" i="115"/>
  <c r="O336" i="115"/>
  <c r="O335" i="115"/>
  <c r="O334" i="115"/>
  <c r="O333" i="115"/>
  <c r="O332" i="115"/>
  <c r="O331" i="115"/>
  <c r="O330" i="115"/>
  <c r="O329" i="115"/>
  <c r="O328" i="115"/>
  <c r="O327" i="115"/>
  <c r="O326" i="115"/>
  <c r="O325" i="115"/>
  <c r="O324" i="115"/>
  <c r="O323" i="115"/>
  <c r="O322" i="115"/>
  <c r="O321" i="115"/>
  <c r="O320" i="115"/>
  <c r="O319" i="115"/>
  <c r="O318" i="115"/>
  <c r="O317" i="115"/>
  <c r="O316" i="115"/>
  <c r="O315" i="115"/>
  <c r="O314" i="115"/>
  <c r="O313" i="115"/>
  <c r="O312" i="115"/>
  <c r="O311" i="115"/>
  <c r="O310" i="115"/>
  <c r="O309" i="115"/>
  <c r="O308" i="115"/>
  <c r="O307" i="115"/>
  <c r="O306" i="115"/>
  <c r="O305" i="115"/>
  <c r="O304" i="115"/>
  <c r="O303" i="115"/>
  <c r="O302" i="115"/>
  <c r="O301" i="115"/>
  <c r="O300" i="115"/>
  <c r="O299" i="115"/>
  <c r="O298" i="115"/>
  <c r="O297" i="115"/>
  <c r="O296" i="115"/>
  <c r="O295" i="115"/>
  <c r="O294" i="115"/>
  <c r="O293" i="115"/>
  <c r="O292" i="115"/>
  <c r="O291" i="115"/>
  <c r="O290" i="115"/>
  <c r="O289" i="115"/>
  <c r="O288" i="115"/>
  <c r="O287" i="115"/>
  <c r="O286" i="115"/>
  <c r="O285" i="115"/>
  <c r="O284" i="115"/>
  <c r="O283" i="115"/>
  <c r="O282" i="115"/>
  <c r="O281" i="115"/>
  <c r="O280" i="115"/>
  <c r="O279" i="115"/>
  <c r="O278" i="115"/>
  <c r="O277" i="115"/>
  <c r="O276" i="115"/>
  <c r="O275" i="115"/>
  <c r="O274" i="115"/>
  <c r="O273" i="115"/>
  <c r="O272" i="115"/>
  <c r="O271" i="115"/>
  <c r="O270" i="115"/>
  <c r="O269" i="115"/>
  <c r="O268" i="115"/>
  <c r="O267" i="115"/>
  <c r="O266" i="115"/>
  <c r="O265" i="115"/>
  <c r="O264" i="115"/>
  <c r="O263" i="115"/>
  <c r="O262" i="115"/>
  <c r="O261" i="115"/>
  <c r="O260" i="115"/>
  <c r="O259" i="115"/>
  <c r="O258" i="115"/>
  <c r="O257" i="115"/>
  <c r="O256" i="115"/>
  <c r="O255" i="115"/>
  <c r="O254" i="115"/>
  <c r="O253" i="115"/>
  <c r="O252" i="115"/>
  <c r="O251" i="115"/>
  <c r="O250" i="115"/>
  <c r="O249" i="115"/>
  <c r="O248" i="115"/>
  <c r="O247" i="115"/>
  <c r="O246" i="115"/>
  <c r="O245" i="115"/>
  <c r="O244" i="115"/>
  <c r="O243" i="115"/>
  <c r="O242" i="115"/>
  <c r="O241" i="115"/>
  <c r="O240" i="115"/>
  <c r="O239" i="115"/>
  <c r="O238" i="115"/>
  <c r="O237" i="115"/>
  <c r="O236" i="115"/>
  <c r="O235" i="115"/>
  <c r="O234" i="115"/>
  <c r="O233" i="115"/>
  <c r="O232" i="115"/>
  <c r="O231" i="115"/>
  <c r="O230" i="115"/>
  <c r="O229" i="115"/>
  <c r="O228" i="115"/>
  <c r="O227" i="115"/>
  <c r="O226" i="115"/>
  <c r="O225" i="115"/>
  <c r="O224" i="115"/>
  <c r="O223" i="115"/>
  <c r="O222" i="115"/>
  <c r="O221" i="115"/>
  <c r="O220" i="115"/>
  <c r="O219" i="115"/>
  <c r="O218" i="115"/>
  <c r="O217" i="115"/>
  <c r="O216" i="115"/>
  <c r="O215" i="115"/>
  <c r="O214" i="115"/>
  <c r="O213" i="115"/>
  <c r="O212" i="115"/>
  <c r="O211" i="115"/>
  <c r="O210" i="115"/>
  <c r="O209" i="115"/>
  <c r="O208" i="115"/>
  <c r="O207" i="115"/>
  <c r="O206" i="115"/>
  <c r="O205" i="115"/>
  <c r="O204" i="115"/>
  <c r="O203" i="115"/>
  <c r="O202" i="115"/>
  <c r="O201" i="115"/>
  <c r="O200" i="115"/>
  <c r="O199" i="115"/>
  <c r="O198" i="115"/>
  <c r="O197" i="115"/>
  <c r="O196" i="115"/>
  <c r="O195" i="115"/>
  <c r="O194" i="115"/>
  <c r="O193" i="115"/>
  <c r="O192" i="115"/>
  <c r="O191" i="115"/>
  <c r="O190" i="115"/>
  <c r="O189" i="115"/>
  <c r="O188" i="115"/>
  <c r="O187" i="115"/>
  <c r="O186" i="115"/>
  <c r="O185" i="115"/>
  <c r="O184" i="115"/>
  <c r="O183" i="115"/>
  <c r="O182" i="115"/>
  <c r="O181" i="115"/>
  <c r="O180" i="115"/>
  <c r="O179" i="115"/>
  <c r="O178" i="115"/>
  <c r="O177" i="115"/>
  <c r="O176" i="115"/>
  <c r="O175" i="115"/>
  <c r="O174" i="115"/>
  <c r="O173" i="115"/>
  <c r="O172" i="115"/>
  <c r="O171" i="115"/>
  <c r="O170" i="115"/>
  <c r="O169" i="115"/>
  <c r="O168" i="115"/>
  <c r="O167" i="115"/>
  <c r="O166" i="115"/>
  <c r="O165" i="115"/>
  <c r="O164" i="115"/>
  <c r="O163" i="115"/>
  <c r="O162" i="115"/>
  <c r="O161" i="115"/>
  <c r="O160" i="115"/>
  <c r="O159" i="115"/>
  <c r="O158" i="115"/>
  <c r="O157" i="115"/>
  <c r="O156" i="115"/>
  <c r="O155" i="115"/>
  <c r="O154" i="115"/>
  <c r="O153" i="115"/>
  <c r="O152" i="115"/>
  <c r="O151" i="115"/>
  <c r="O150" i="115"/>
  <c r="O149" i="115"/>
  <c r="O148" i="115"/>
  <c r="O147" i="115"/>
  <c r="O146" i="115"/>
  <c r="O145" i="115"/>
  <c r="O144" i="115"/>
  <c r="O143" i="115"/>
  <c r="O142" i="115"/>
  <c r="O141" i="115"/>
  <c r="O140" i="115"/>
  <c r="O139" i="115"/>
  <c r="O138" i="115"/>
  <c r="O137" i="115"/>
  <c r="O136" i="115"/>
  <c r="O135" i="115"/>
  <c r="O134" i="115"/>
  <c r="O133" i="115"/>
  <c r="O132" i="115"/>
  <c r="O131" i="115"/>
  <c r="O130" i="115"/>
  <c r="O129" i="115"/>
  <c r="O128" i="115"/>
  <c r="O127" i="115"/>
  <c r="O126" i="115"/>
  <c r="O125" i="115"/>
  <c r="O124" i="115"/>
  <c r="O123" i="115"/>
  <c r="O122" i="115"/>
  <c r="O121" i="115"/>
  <c r="O120" i="115"/>
  <c r="O119" i="115"/>
  <c r="O118" i="115"/>
  <c r="O117" i="115"/>
  <c r="O116" i="115"/>
  <c r="O115" i="115"/>
  <c r="O114" i="115"/>
  <c r="O113" i="115"/>
  <c r="O112" i="115"/>
  <c r="O111" i="115"/>
  <c r="O110" i="115"/>
  <c r="O109" i="115"/>
  <c r="O108" i="115"/>
  <c r="O107" i="115"/>
  <c r="O106" i="115"/>
  <c r="O105" i="115"/>
  <c r="O104" i="115"/>
  <c r="O103" i="115"/>
  <c r="O102" i="115"/>
  <c r="O101" i="115"/>
  <c r="O100" i="115"/>
  <c r="O99" i="115"/>
  <c r="O98" i="115"/>
  <c r="O97" i="115"/>
  <c r="O96" i="115"/>
  <c r="O95" i="115"/>
  <c r="O94" i="115"/>
  <c r="O93" i="115"/>
  <c r="O92" i="115"/>
  <c r="O91" i="115"/>
  <c r="O90" i="115"/>
  <c r="O89" i="115"/>
  <c r="L33" i="115" l="1"/>
  <c r="L32" i="115"/>
  <c r="O27" i="115"/>
  <c r="N27" i="115"/>
  <c r="M27" i="115"/>
  <c r="K27" i="115"/>
  <c r="J27" i="115"/>
  <c r="O26" i="115"/>
  <c r="U26" i="115" s="1"/>
  <c r="N26" i="115"/>
  <c r="M26" i="115"/>
  <c r="K26" i="115"/>
  <c r="J26" i="115"/>
  <c r="G26" i="115"/>
  <c r="S25" i="115"/>
  <c r="R25" i="115"/>
  <c r="O25" i="115"/>
  <c r="M25" i="115"/>
  <c r="K25" i="115"/>
  <c r="J25" i="115"/>
  <c r="G25" i="115"/>
  <c r="E25" i="115"/>
  <c r="S22" i="115"/>
  <c r="R22" i="115"/>
  <c r="O22" i="115"/>
  <c r="M22" i="115"/>
  <c r="K22" i="115"/>
  <c r="J22" i="115"/>
  <c r="G22" i="115"/>
  <c r="E22" i="115"/>
  <c r="S19" i="115"/>
  <c r="R19" i="115"/>
  <c r="O19" i="115"/>
  <c r="U19" i="115" s="1"/>
  <c r="M19" i="115"/>
  <c r="K19" i="115"/>
  <c r="J19" i="115"/>
  <c r="G19" i="115"/>
  <c r="E19" i="115"/>
  <c r="S21" i="115"/>
  <c r="R21" i="115"/>
  <c r="O21" i="115"/>
  <c r="U21" i="115" s="1"/>
  <c r="M21" i="115"/>
  <c r="K21" i="115"/>
  <c r="J21" i="115"/>
  <c r="G21" i="115"/>
  <c r="E21" i="115"/>
  <c r="S12" i="115"/>
  <c r="R12" i="115"/>
  <c r="O12" i="115"/>
  <c r="U12" i="115" s="1"/>
  <c r="M12" i="115"/>
  <c r="K12" i="115"/>
  <c r="J12" i="115"/>
  <c r="G12" i="115"/>
  <c r="E12" i="115"/>
  <c r="S23" i="115"/>
  <c r="R23" i="115"/>
  <c r="O23" i="115"/>
  <c r="M23" i="115"/>
  <c r="K23" i="115"/>
  <c r="J23" i="115"/>
  <c r="G23" i="115"/>
  <c r="E23" i="115"/>
  <c r="S13" i="115"/>
  <c r="R13" i="115"/>
  <c r="O13" i="115"/>
  <c r="M13" i="115"/>
  <c r="K13" i="115"/>
  <c r="J13" i="115"/>
  <c r="G13" i="115"/>
  <c r="E13" i="115"/>
  <c r="S24" i="115"/>
  <c r="R24" i="115"/>
  <c r="O24" i="115"/>
  <c r="M24" i="115"/>
  <c r="K24" i="115"/>
  <c r="J24" i="115"/>
  <c r="G24" i="115"/>
  <c r="E24" i="115"/>
  <c r="S14" i="115"/>
  <c r="R14" i="115"/>
  <c r="O14" i="115"/>
  <c r="U14" i="115" s="1"/>
  <c r="M14" i="115"/>
  <c r="K14" i="115"/>
  <c r="J14" i="115"/>
  <c r="G14" i="115"/>
  <c r="E14" i="115"/>
  <c r="S20" i="115"/>
  <c r="R20" i="115"/>
  <c r="O20" i="115"/>
  <c r="U20" i="115" s="1"/>
  <c r="M20" i="115"/>
  <c r="K20" i="115"/>
  <c r="J20" i="115"/>
  <c r="G20" i="115"/>
  <c r="E20" i="115"/>
  <c r="S16" i="115"/>
  <c r="R16" i="115"/>
  <c r="O16" i="115"/>
  <c r="U16" i="115" s="1"/>
  <c r="M16" i="115"/>
  <c r="K16" i="115"/>
  <c r="J16" i="115"/>
  <c r="G16" i="115"/>
  <c r="E16" i="115"/>
  <c r="S17" i="115"/>
  <c r="R17" i="115"/>
  <c r="O17" i="115"/>
  <c r="U17" i="115" s="1"/>
  <c r="M17" i="115"/>
  <c r="K17" i="115"/>
  <c r="J17" i="115"/>
  <c r="G17" i="115"/>
  <c r="E17" i="115"/>
  <c r="S18" i="115"/>
  <c r="R18" i="115"/>
  <c r="O18" i="115"/>
  <c r="M18" i="115"/>
  <c r="K18" i="115"/>
  <c r="J18" i="115"/>
  <c r="G18" i="115"/>
  <c r="E18" i="115"/>
  <c r="S15" i="115"/>
  <c r="R15" i="115"/>
  <c r="O15" i="115"/>
  <c r="M15" i="115"/>
  <c r="K15" i="115"/>
  <c r="J15" i="115"/>
  <c r="G15" i="115"/>
  <c r="E15" i="115"/>
  <c r="M9" i="115"/>
  <c r="O7" i="115"/>
  <c r="L7" i="115"/>
  <c r="U25" i="115" l="1"/>
  <c r="O28" i="115"/>
  <c r="O29" i="115" s="1"/>
  <c r="K28" i="115"/>
  <c r="K29" i="115" s="1"/>
  <c r="U13" i="115"/>
  <c r="U18" i="115"/>
  <c r="U24" i="115"/>
  <c r="U23" i="115"/>
  <c r="U22" i="115"/>
  <c r="L34" i="115"/>
  <c r="U15" i="115"/>
  <c r="N12" i="110" l="1"/>
  <c r="N15" i="110"/>
  <c r="N16" i="110"/>
  <c r="N17" i="110"/>
  <c r="N13" i="110" l="1"/>
  <c r="N14" i="110"/>
  <c r="N20" i="110"/>
  <c r="N21" i="110"/>
  <c r="N22" i="110"/>
  <c r="N23" i="110"/>
  <c r="N19" i="110"/>
  <c r="N24" i="110"/>
  <c r="N25" i="110"/>
  <c r="N26" i="110"/>
  <c r="K17" i="109" l="1"/>
  <c r="K18" i="109"/>
  <c r="K19" i="109"/>
  <c r="K20" i="109"/>
  <c r="K21" i="109"/>
  <c r="K22" i="109"/>
  <c r="M16" i="109"/>
  <c r="M17" i="109"/>
  <c r="M18" i="109"/>
  <c r="M19" i="109"/>
  <c r="M20" i="109"/>
  <c r="M21" i="109"/>
  <c r="M22" i="109"/>
  <c r="J16" i="109"/>
  <c r="J17" i="109"/>
  <c r="J18" i="109"/>
  <c r="J19" i="109"/>
  <c r="J20" i="109"/>
  <c r="J21" i="109"/>
  <c r="J22" i="109"/>
  <c r="E18" i="109"/>
  <c r="G18" i="109"/>
  <c r="N18" i="109"/>
  <c r="O18" i="109" s="1"/>
  <c r="U18" i="109" s="1"/>
  <c r="N17" i="109"/>
  <c r="N16" i="109"/>
  <c r="N19" i="109"/>
  <c r="E15" i="109" l="1"/>
  <c r="E16" i="109"/>
  <c r="E20" i="109"/>
  <c r="G16" i="109"/>
  <c r="K16" i="109"/>
  <c r="O16" i="109"/>
  <c r="U16" i="109" s="1"/>
  <c r="R15" i="109" l="1"/>
  <c r="S15" i="109"/>
  <c r="R16" i="109"/>
  <c r="S16" i="109"/>
  <c r="R20" i="109"/>
  <c r="S20" i="109"/>
  <c r="R21" i="109"/>
  <c r="S21" i="109"/>
  <c r="R19" i="109"/>
  <c r="S19" i="109"/>
  <c r="N12" i="109" l="1"/>
  <c r="N14" i="109"/>
  <c r="N13" i="109"/>
  <c r="M26" i="110" l="1"/>
  <c r="G26" i="110"/>
  <c r="J26" i="110"/>
  <c r="K26" i="110"/>
  <c r="O26" i="110"/>
  <c r="U26" i="110" s="1"/>
  <c r="S16" i="110"/>
  <c r="R16" i="110"/>
  <c r="O16" i="110"/>
  <c r="U16" i="110" s="1"/>
  <c r="M16" i="110"/>
  <c r="K16" i="110"/>
  <c r="J16" i="110"/>
  <c r="G16" i="110"/>
  <c r="E16" i="110"/>
  <c r="R20" i="110" l="1"/>
  <c r="S20" i="110"/>
  <c r="R21" i="110"/>
  <c r="S21" i="110"/>
  <c r="R22" i="110"/>
  <c r="S22" i="110"/>
  <c r="R23" i="110"/>
  <c r="S23" i="110"/>
  <c r="E23" i="110"/>
  <c r="G23" i="110"/>
  <c r="J23" i="110"/>
  <c r="K23" i="110"/>
  <c r="M23" i="110"/>
  <c r="E14" i="110" l="1"/>
  <c r="N16" i="94" l="1"/>
  <c r="N17" i="94"/>
  <c r="N18" i="94"/>
  <c r="N19" i="94"/>
  <c r="N20" i="94"/>
  <c r="N21" i="94"/>
  <c r="N22" i="94"/>
  <c r="G17" i="108" l="1"/>
  <c r="G18" i="108"/>
  <c r="G21" i="108"/>
  <c r="G20" i="108"/>
  <c r="G23" i="108"/>
  <c r="R17" i="110" l="1"/>
  <c r="S17" i="110"/>
  <c r="R19" i="110"/>
  <c r="S19" i="110"/>
  <c r="R12" i="110"/>
  <c r="S12" i="110"/>
  <c r="R14" i="110"/>
  <c r="S14" i="110"/>
  <c r="R13" i="110"/>
  <c r="S13" i="110"/>
  <c r="O12" i="110"/>
  <c r="M12" i="110"/>
  <c r="K12" i="110"/>
  <c r="J12" i="110"/>
  <c r="G12" i="110"/>
  <c r="E12" i="110"/>
  <c r="O23" i="110"/>
  <c r="U23" i="110" s="1"/>
  <c r="U12" i="110" l="1"/>
  <c r="E21" i="108"/>
  <c r="E25" i="108"/>
  <c r="X23" i="108"/>
  <c r="W23" i="108"/>
  <c r="V23" i="108"/>
  <c r="S23" i="108"/>
  <c r="R23" i="108"/>
  <c r="Z23" i="108"/>
  <c r="M23" i="108"/>
  <c r="K23" i="108"/>
  <c r="J23" i="108"/>
  <c r="O23" i="108" l="1"/>
  <c r="U23" i="108" s="1"/>
  <c r="S18" i="110" l="1"/>
  <c r="R18" i="110"/>
  <c r="O18" i="110"/>
  <c r="M18" i="110"/>
  <c r="K18" i="110"/>
  <c r="J18" i="110"/>
  <c r="G18" i="110"/>
  <c r="E18" i="110"/>
  <c r="E21" i="110"/>
  <c r="M21" i="110"/>
  <c r="G21" i="110"/>
  <c r="J21" i="110"/>
  <c r="K21" i="110"/>
  <c r="O21" i="110"/>
  <c r="U21" i="110" s="1"/>
  <c r="U18" i="110" l="1"/>
  <c r="O22" i="110"/>
  <c r="U22" i="110" s="1"/>
  <c r="M22" i="110"/>
  <c r="K22" i="110"/>
  <c r="J22" i="110"/>
  <c r="G22" i="110"/>
  <c r="E22" i="110"/>
  <c r="O20" i="110" l="1"/>
  <c r="U20" i="110" s="1"/>
  <c r="M20" i="110"/>
  <c r="K20" i="110"/>
  <c r="J20" i="110"/>
  <c r="G20" i="110"/>
  <c r="E20" i="110"/>
  <c r="N15" i="109" l="1"/>
  <c r="O15" i="109" s="1"/>
  <c r="U15" i="109" s="1"/>
  <c r="M15" i="109"/>
  <c r="K15" i="109"/>
  <c r="J15" i="109"/>
  <c r="G15" i="109"/>
  <c r="S13" i="109"/>
  <c r="R13" i="109"/>
  <c r="O13" i="109"/>
  <c r="U13" i="109" s="1"/>
  <c r="M13" i="109"/>
  <c r="K13" i="109"/>
  <c r="J13" i="109"/>
  <c r="G13" i="109"/>
  <c r="E13" i="109"/>
  <c r="S14" i="109"/>
  <c r="R14" i="109"/>
  <c r="O14" i="109"/>
  <c r="U14" i="109" s="1"/>
  <c r="M14" i="109"/>
  <c r="K14" i="109"/>
  <c r="J14" i="109"/>
  <c r="G14" i="109"/>
  <c r="E14" i="109"/>
  <c r="S12" i="109"/>
  <c r="R12" i="109"/>
  <c r="O12" i="109"/>
  <c r="U12" i="109" s="1"/>
  <c r="M12" i="109"/>
  <c r="K12" i="109"/>
  <c r="J12" i="109"/>
  <c r="G12" i="109"/>
  <c r="E12" i="109"/>
  <c r="S22" i="109"/>
  <c r="R22" i="109"/>
  <c r="O22" i="109"/>
  <c r="U22" i="109" s="1"/>
  <c r="G22" i="109"/>
  <c r="E22" i="109"/>
  <c r="M14" i="110" l="1"/>
  <c r="G14" i="110"/>
  <c r="J14" i="110"/>
  <c r="K14" i="110"/>
  <c r="E17" i="110" l="1"/>
  <c r="E13" i="110"/>
  <c r="O14" i="110"/>
  <c r="U14" i="110" s="1"/>
  <c r="O21" i="108" l="1"/>
  <c r="U21" i="108" s="1"/>
  <c r="M21" i="108"/>
  <c r="J21" i="108"/>
  <c r="K21" i="108"/>
  <c r="O16" i="108" l="1"/>
  <c r="U16" i="108" s="1"/>
  <c r="O20" i="108"/>
  <c r="E16" i="108"/>
  <c r="M20" i="108"/>
  <c r="J20" i="108"/>
  <c r="K20" i="108"/>
  <c r="V16" i="108"/>
  <c r="W16" i="108"/>
  <c r="X16" i="108"/>
  <c r="Z16" i="108"/>
  <c r="R16" i="108"/>
  <c r="S16" i="108"/>
  <c r="R20" i="108"/>
  <c r="S20" i="108"/>
  <c r="U20" i="108" l="1"/>
  <c r="V15" i="108"/>
  <c r="W15" i="108"/>
  <c r="X15" i="108"/>
  <c r="V13" i="108"/>
  <c r="W13" i="108"/>
  <c r="X13" i="108"/>
  <c r="V22" i="108"/>
  <c r="W22" i="108"/>
  <c r="X22" i="108"/>
  <c r="V14" i="108"/>
  <c r="W14" i="108"/>
  <c r="X14" i="108"/>
  <c r="V17" i="108"/>
  <c r="W17" i="108"/>
  <c r="X17" i="108"/>
  <c r="V25" i="108"/>
  <c r="W25" i="108"/>
  <c r="X25" i="108"/>
  <c r="V19" i="109" l="1"/>
  <c r="W19" i="109"/>
  <c r="X19" i="109"/>
  <c r="Z19" i="109"/>
  <c r="V17" i="109"/>
  <c r="W17" i="109"/>
  <c r="X17" i="109"/>
  <c r="V23" i="109"/>
  <c r="W23" i="109"/>
  <c r="X23" i="109"/>
  <c r="Z17" i="109" l="1"/>
  <c r="Z23" i="109"/>
  <c r="N25" i="109"/>
  <c r="E19" i="110" l="1"/>
  <c r="J19" i="110"/>
  <c r="K19" i="110"/>
  <c r="M19" i="110"/>
  <c r="O19" i="110"/>
  <c r="G19" i="110"/>
  <c r="U20" i="114" l="1"/>
  <c r="U21" i="114"/>
  <c r="U22" i="114"/>
  <c r="U23" i="114"/>
  <c r="U24" i="114"/>
  <c r="R15" i="114"/>
  <c r="S15" i="114"/>
  <c r="R16" i="114"/>
  <c r="S16" i="114"/>
  <c r="R17" i="114"/>
  <c r="S17" i="114"/>
  <c r="R18" i="114"/>
  <c r="S18" i="114"/>
  <c r="R19" i="114"/>
  <c r="S19" i="114"/>
  <c r="R20" i="114"/>
  <c r="S20" i="114"/>
  <c r="R21" i="114"/>
  <c r="S21" i="114"/>
  <c r="R22" i="114"/>
  <c r="S22" i="114"/>
  <c r="R23" i="114"/>
  <c r="S23" i="114"/>
  <c r="R24" i="114"/>
  <c r="S24" i="114"/>
  <c r="N15" i="114"/>
  <c r="N16" i="114"/>
  <c r="N17" i="114"/>
  <c r="N18" i="114"/>
  <c r="N19" i="114"/>
  <c r="N20" i="114"/>
  <c r="N21" i="114"/>
  <c r="N22" i="114"/>
  <c r="N731" i="114"/>
  <c r="O731" i="114" s="1"/>
  <c r="N730" i="114"/>
  <c r="O730" i="114" s="1"/>
  <c r="N716" i="114"/>
  <c r="O716" i="114" s="1"/>
  <c r="N715" i="114"/>
  <c r="O715" i="114" s="1"/>
  <c r="N714" i="114"/>
  <c r="O714" i="114" s="1"/>
  <c r="N713" i="114"/>
  <c r="O713" i="114" s="1"/>
  <c r="N712" i="114"/>
  <c r="O712" i="114" s="1"/>
  <c r="N711" i="114"/>
  <c r="O711" i="114" s="1"/>
  <c r="N710" i="114"/>
  <c r="O710" i="114" s="1"/>
  <c r="N709" i="114"/>
  <c r="O709" i="114" s="1"/>
  <c r="N708" i="114"/>
  <c r="O708" i="114" s="1"/>
  <c r="N707" i="114"/>
  <c r="O707" i="114" s="1"/>
  <c r="N706" i="114"/>
  <c r="O706" i="114" s="1"/>
  <c r="N705" i="114"/>
  <c r="O705" i="114" s="1"/>
  <c r="N704" i="114"/>
  <c r="O704" i="114" s="1"/>
  <c r="N703" i="114"/>
  <c r="O703" i="114" s="1"/>
  <c r="N702" i="114"/>
  <c r="O702" i="114" s="1"/>
  <c r="N701" i="114"/>
  <c r="O701" i="114" s="1"/>
  <c r="N700" i="114"/>
  <c r="O700" i="114" s="1"/>
  <c r="N699" i="114"/>
  <c r="O699" i="114" s="1"/>
  <c r="N698" i="114"/>
  <c r="O698" i="114" s="1"/>
  <c r="N697" i="114"/>
  <c r="O697" i="114" s="1"/>
  <c r="N696" i="114"/>
  <c r="O696" i="114" s="1"/>
  <c r="N695" i="114"/>
  <c r="O695" i="114" s="1"/>
  <c r="N694" i="114"/>
  <c r="O694" i="114" s="1"/>
  <c r="N693" i="114"/>
  <c r="O693" i="114" s="1"/>
  <c r="N692" i="114"/>
  <c r="O692" i="114" s="1"/>
  <c r="N691" i="114"/>
  <c r="O691" i="114" s="1"/>
  <c r="N690" i="114"/>
  <c r="O690" i="114" s="1"/>
  <c r="N689" i="114"/>
  <c r="O689" i="114" s="1"/>
  <c r="N688" i="114"/>
  <c r="O688" i="114" s="1"/>
  <c r="N687" i="114"/>
  <c r="O687" i="114" s="1"/>
  <c r="N686" i="114"/>
  <c r="O686" i="114" s="1"/>
  <c r="N685" i="114"/>
  <c r="O685" i="114" s="1"/>
  <c r="N684" i="114"/>
  <c r="O684" i="114" s="1"/>
  <c r="N683" i="114"/>
  <c r="O683" i="114" s="1"/>
  <c r="N682" i="114"/>
  <c r="O682" i="114" s="1"/>
  <c r="N681" i="114"/>
  <c r="O681" i="114" s="1"/>
  <c r="N680" i="114"/>
  <c r="O680" i="114" s="1"/>
  <c r="N679" i="114"/>
  <c r="O679" i="114" s="1"/>
  <c r="N678" i="114"/>
  <c r="O678" i="114" s="1"/>
  <c r="N677" i="114"/>
  <c r="O677" i="114" s="1"/>
  <c r="N676" i="114"/>
  <c r="O676" i="114" s="1"/>
  <c r="N675" i="114"/>
  <c r="O675" i="114" s="1"/>
  <c r="N674" i="114"/>
  <c r="O674" i="114" s="1"/>
  <c r="N673" i="114"/>
  <c r="O673" i="114" s="1"/>
  <c r="N672" i="114"/>
  <c r="O672" i="114" s="1"/>
  <c r="N671" i="114"/>
  <c r="O671" i="114" s="1"/>
  <c r="N670" i="114"/>
  <c r="O670" i="114" s="1"/>
  <c r="N669" i="114"/>
  <c r="O669" i="114" s="1"/>
  <c r="N668" i="114"/>
  <c r="O668" i="114" s="1"/>
  <c r="N667" i="114"/>
  <c r="O667" i="114" s="1"/>
  <c r="N666" i="114"/>
  <c r="O666" i="114" s="1"/>
  <c r="N665" i="114"/>
  <c r="O665" i="114" s="1"/>
  <c r="N664" i="114"/>
  <c r="O664" i="114" s="1"/>
  <c r="N663" i="114"/>
  <c r="O663" i="114" s="1"/>
  <c r="N662" i="114"/>
  <c r="O662" i="114" s="1"/>
  <c r="N661" i="114"/>
  <c r="O661" i="114" s="1"/>
  <c r="N660" i="114"/>
  <c r="O660" i="114" s="1"/>
  <c r="N659" i="114"/>
  <c r="O659" i="114" s="1"/>
  <c r="N658" i="114"/>
  <c r="O658" i="114" s="1"/>
  <c r="N657" i="114"/>
  <c r="O657" i="114" s="1"/>
  <c r="N656" i="114"/>
  <c r="O656" i="114" s="1"/>
  <c r="N655" i="114"/>
  <c r="O655" i="114" s="1"/>
  <c r="N654" i="114"/>
  <c r="O654" i="114" s="1"/>
  <c r="N653" i="114"/>
  <c r="O653" i="114" s="1"/>
  <c r="N652" i="114"/>
  <c r="O652" i="114" s="1"/>
  <c r="N651" i="114"/>
  <c r="O651" i="114" s="1"/>
  <c r="N650" i="114"/>
  <c r="O650" i="114" s="1"/>
  <c r="N649" i="114"/>
  <c r="O649" i="114" s="1"/>
  <c r="N648" i="114"/>
  <c r="O648" i="114" s="1"/>
  <c r="N647" i="114"/>
  <c r="O647" i="114" s="1"/>
  <c r="N646" i="114"/>
  <c r="O646" i="114" s="1"/>
  <c r="N645" i="114"/>
  <c r="O645" i="114" s="1"/>
  <c r="N644" i="114"/>
  <c r="O644" i="114" s="1"/>
  <c r="N643" i="114"/>
  <c r="O643" i="114" s="1"/>
  <c r="N642" i="114"/>
  <c r="O642" i="114" s="1"/>
  <c r="N641" i="114"/>
  <c r="O641" i="114" s="1"/>
  <c r="N640" i="114"/>
  <c r="O640" i="114" s="1"/>
  <c r="N639" i="114"/>
  <c r="O639" i="114" s="1"/>
  <c r="N638" i="114"/>
  <c r="O638" i="114" s="1"/>
  <c r="N637" i="114"/>
  <c r="O637" i="114" s="1"/>
  <c r="N636" i="114"/>
  <c r="O636" i="114" s="1"/>
  <c r="N635" i="114"/>
  <c r="O635" i="114" s="1"/>
  <c r="N634" i="114"/>
  <c r="O634" i="114" s="1"/>
  <c r="N633" i="114"/>
  <c r="O633" i="114" s="1"/>
  <c r="N632" i="114"/>
  <c r="O632" i="114" s="1"/>
  <c r="N631" i="114"/>
  <c r="O631" i="114" s="1"/>
  <c r="N630" i="114"/>
  <c r="O630" i="114" s="1"/>
  <c r="N629" i="114"/>
  <c r="O629" i="114" s="1"/>
  <c r="N628" i="114"/>
  <c r="O628" i="114" s="1"/>
  <c r="N627" i="114"/>
  <c r="O627" i="114" s="1"/>
  <c r="N626" i="114"/>
  <c r="O626" i="114" s="1"/>
  <c r="N625" i="114"/>
  <c r="O625" i="114" s="1"/>
  <c r="N624" i="114"/>
  <c r="O624" i="114" s="1"/>
  <c r="N623" i="114"/>
  <c r="O623" i="114" s="1"/>
  <c r="N622" i="114"/>
  <c r="O622" i="114" s="1"/>
  <c r="N621" i="114"/>
  <c r="O621" i="114" s="1"/>
  <c r="N620" i="114"/>
  <c r="O620" i="114" s="1"/>
  <c r="N619" i="114"/>
  <c r="O619" i="114" s="1"/>
  <c r="N618" i="114"/>
  <c r="O618" i="114" s="1"/>
  <c r="N617" i="114"/>
  <c r="O617" i="114" s="1"/>
  <c r="N616" i="114"/>
  <c r="O616" i="114" s="1"/>
  <c r="N615" i="114"/>
  <c r="O615" i="114" s="1"/>
  <c r="N614" i="114"/>
  <c r="O614" i="114" s="1"/>
  <c r="N613" i="114"/>
  <c r="O613" i="114" s="1"/>
  <c r="N612" i="114"/>
  <c r="O612" i="114" s="1"/>
  <c r="N611" i="114"/>
  <c r="O611" i="114" s="1"/>
  <c r="N610" i="114"/>
  <c r="O610" i="114" s="1"/>
  <c r="O609" i="114"/>
  <c r="O608" i="114"/>
  <c r="N607" i="114"/>
  <c r="O607" i="114" s="1"/>
  <c r="N606" i="114"/>
  <c r="O606" i="114" s="1"/>
  <c r="N605" i="114"/>
  <c r="O605" i="114" s="1"/>
  <c r="N604" i="114"/>
  <c r="O604" i="114" s="1"/>
  <c r="N603" i="114"/>
  <c r="O603" i="114" s="1"/>
  <c r="N602" i="114"/>
  <c r="O602" i="114" s="1"/>
  <c r="N601" i="114"/>
  <c r="O601" i="114" s="1"/>
  <c r="N600" i="114"/>
  <c r="O600" i="114" s="1"/>
  <c r="N599" i="114"/>
  <c r="O599" i="114" s="1"/>
  <c r="N598" i="114"/>
  <c r="O598" i="114" s="1"/>
  <c r="N597" i="114"/>
  <c r="O597" i="114" s="1"/>
  <c r="N596" i="114"/>
  <c r="O596" i="114" s="1"/>
  <c r="N595" i="114"/>
  <c r="O595" i="114" s="1"/>
  <c r="N594" i="114"/>
  <c r="O594" i="114" s="1"/>
  <c r="N593" i="114"/>
  <c r="O593" i="114" s="1"/>
  <c r="N592" i="114"/>
  <c r="O592" i="114" s="1"/>
  <c r="N591" i="114"/>
  <c r="O591" i="114" s="1"/>
  <c r="N590" i="114"/>
  <c r="O590" i="114" s="1"/>
  <c r="N589" i="114"/>
  <c r="O589" i="114" s="1"/>
  <c r="N588" i="114"/>
  <c r="O588" i="114" s="1"/>
  <c r="N587" i="114"/>
  <c r="O587" i="114" s="1"/>
  <c r="N586" i="114"/>
  <c r="O586" i="114" s="1"/>
  <c r="N585" i="114"/>
  <c r="O585" i="114" s="1"/>
  <c r="N584" i="114"/>
  <c r="O584" i="114" s="1"/>
  <c r="N583" i="114"/>
  <c r="O583" i="114" s="1"/>
  <c r="N582" i="114"/>
  <c r="O582" i="114" s="1"/>
  <c r="N581" i="114"/>
  <c r="O581" i="114" s="1"/>
  <c r="N580" i="114"/>
  <c r="O580" i="114" s="1"/>
  <c r="N579" i="114"/>
  <c r="O579" i="114" s="1"/>
  <c r="N578" i="114"/>
  <c r="O578" i="114" s="1"/>
  <c r="N577" i="114"/>
  <c r="O577" i="114" s="1"/>
  <c r="N576" i="114"/>
  <c r="O576" i="114" s="1"/>
  <c r="N575" i="114"/>
  <c r="O575" i="114" s="1"/>
  <c r="N574" i="114"/>
  <c r="O574" i="114" s="1"/>
  <c r="N573" i="114"/>
  <c r="O573" i="114" s="1"/>
  <c r="N572" i="114"/>
  <c r="O572" i="114" s="1"/>
  <c r="N571" i="114"/>
  <c r="O571" i="114" s="1"/>
  <c r="N570" i="114"/>
  <c r="O570" i="114" s="1"/>
  <c r="N569" i="114"/>
  <c r="O569" i="114" s="1"/>
  <c r="N568" i="114"/>
  <c r="O568" i="114" s="1"/>
  <c r="N567" i="114"/>
  <c r="O567" i="114" s="1"/>
  <c r="N566" i="114"/>
  <c r="O566" i="114" s="1"/>
  <c r="N565" i="114"/>
  <c r="O565" i="114" s="1"/>
  <c r="N564" i="114"/>
  <c r="O564" i="114" s="1"/>
  <c r="N563" i="114"/>
  <c r="O563" i="114" s="1"/>
  <c r="N562" i="114"/>
  <c r="O562" i="114" s="1"/>
  <c r="N561" i="114"/>
  <c r="O561" i="114" s="1"/>
  <c r="N560" i="114"/>
  <c r="O560" i="114" s="1"/>
  <c r="N559" i="114"/>
  <c r="O559" i="114" s="1"/>
  <c r="N558" i="114"/>
  <c r="O558" i="114" s="1"/>
  <c r="N557" i="114"/>
  <c r="O557" i="114" s="1"/>
  <c r="N556" i="114"/>
  <c r="O556" i="114" s="1"/>
  <c r="N555" i="114"/>
  <c r="O555" i="114" s="1"/>
  <c r="N554" i="114"/>
  <c r="O554" i="114" s="1"/>
  <c r="N553" i="114"/>
  <c r="O553" i="114" s="1"/>
  <c r="N552" i="114"/>
  <c r="O552" i="114" s="1"/>
  <c r="N551" i="114"/>
  <c r="O551" i="114" s="1"/>
  <c r="N550" i="114"/>
  <c r="O550" i="114" s="1"/>
  <c r="N549" i="114"/>
  <c r="O549" i="114" s="1"/>
  <c r="N548" i="114"/>
  <c r="O548" i="114" s="1"/>
  <c r="N547" i="114"/>
  <c r="O547" i="114" s="1"/>
  <c r="N546" i="114"/>
  <c r="O546" i="114" s="1"/>
  <c r="N545" i="114"/>
  <c r="O545" i="114" s="1"/>
  <c r="N544" i="114"/>
  <c r="O544" i="114" s="1"/>
  <c r="N543" i="114"/>
  <c r="O543" i="114" s="1"/>
  <c r="N542" i="114"/>
  <c r="O542" i="114" s="1"/>
  <c r="N541" i="114"/>
  <c r="O541" i="114" s="1"/>
  <c r="N540" i="114"/>
  <c r="O540" i="114" s="1"/>
  <c r="N539" i="114"/>
  <c r="O539" i="114" s="1"/>
  <c r="N538" i="114"/>
  <c r="O538" i="114" s="1"/>
  <c r="N537" i="114"/>
  <c r="O537" i="114" s="1"/>
  <c r="N536" i="114"/>
  <c r="O536" i="114" s="1"/>
  <c r="N535" i="114"/>
  <c r="O535" i="114" s="1"/>
  <c r="N534" i="114"/>
  <c r="O534" i="114" s="1"/>
  <c r="N533" i="114"/>
  <c r="O533" i="114" s="1"/>
  <c r="N532" i="114"/>
  <c r="O532" i="114" s="1"/>
  <c r="N531" i="114"/>
  <c r="O531" i="114" s="1"/>
  <c r="N530" i="114"/>
  <c r="O530" i="114" s="1"/>
  <c r="N529" i="114"/>
  <c r="O529" i="114" s="1"/>
  <c r="N528" i="114"/>
  <c r="O528" i="114" s="1"/>
  <c r="N527" i="114"/>
  <c r="O527" i="114" s="1"/>
  <c r="N526" i="114"/>
  <c r="O526" i="114" s="1"/>
  <c r="N525" i="114"/>
  <c r="O525" i="114" s="1"/>
  <c r="N524" i="114"/>
  <c r="O524" i="114" s="1"/>
  <c r="I515" i="114"/>
  <c r="I514" i="114"/>
  <c r="I508" i="114"/>
  <c r="I507" i="114"/>
  <c r="I506" i="114"/>
  <c r="I505" i="114"/>
  <c r="I504" i="114"/>
  <c r="I503" i="114"/>
  <c r="I502" i="114"/>
  <c r="I500" i="114"/>
  <c r="I499" i="114"/>
  <c r="O496" i="114"/>
  <c r="O495" i="114"/>
  <c r="O494" i="114"/>
  <c r="O493" i="114"/>
  <c r="O492" i="114"/>
  <c r="O491" i="114"/>
  <c r="O490" i="114"/>
  <c r="O489" i="114"/>
  <c r="O488" i="114"/>
  <c r="O487" i="114"/>
  <c r="O486" i="114"/>
  <c r="O485" i="114"/>
  <c r="O484" i="114"/>
  <c r="O483" i="114"/>
  <c r="O482" i="114"/>
  <c r="O481" i="114"/>
  <c r="O480" i="114"/>
  <c r="O479" i="114"/>
  <c r="O478" i="114"/>
  <c r="O477" i="114"/>
  <c r="O476" i="114"/>
  <c r="O475" i="114"/>
  <c r="O474" i="114"/>
  <c r="O473" i="114"/>
  <c r="O472" i="114"/>
  <c r="O471" i="114"/>
  <c r="O470" i="114"/>
  <c r="O469" i="114"/>
  <c r="O468" i="114"/>
  <c r="O467" i="114"/>
  <c r="O466" i="114"/>
  <c r="O465" i="114"/>
  <c r="O464" i="114"/>
  <c r="O463" i="114"/>
  <c r="O462" i="114"/>
  <c r="O461" i="114"/>
  <c r="O460" i="114"/>
  <c r="O459" i="114"/>
  <c r="O458" i="114"/>
  <c r="O457" i="114"/>
  <c r="O456" i="114"/>
  <c r="O455" i="114"/>
  <c r="O454" i="114"/>
  <c r="O453" i="114"/>
  <c r="O452" i="114"/>
  <c r="O451" i="114"/>
  <c r="O450" i="114"/>
  <c r="O449" i="114"/>
  <c r="O448" i="114"/>
  <c r="O447" i="114"/>
  <c r="O446" i="114"/>
  <c r="O445" i="114"/>
  <c r="O444" i="114"/>
  <c r="O443" i="114"/>
  <c r="O442" i="114"/>
  <c r="O441" i="114"/>
  <c r="O440" i="114"/>
  <c r="O439" i="114"/>
  <c r="O438" i="114"/>
  <c r="O437" i="114"/>
  <c r="O436" i="114"/>
  <c r="O435" i="114"/>
  <c r="O434" i="114"/>
  <c r="O433" i="114"/>
  <c r="O432" i="114"/>
  <c r="O431" i="114"/>
  <c r="O430" i="114"/>
  <c r="O429" i="114"/>
  <c r="O428" i="114"/>
  <c r="O427" i="114"/>
  <c r="O426" i="114"/>
  <c r="O425" i="114"/>
  <c r="O424" i="114"/>
  <c r="O423" i="114"/>
  <c r="O422" i="114"/>
  <c r="O421" i="114"/>
  <c r="O420" i="114"/>
  <c r="O419" i="114"/>
  <c r="O418" i="114"/>
  <c r="O417" i="114"/>
  <c r="O416" i="114"/>
  <c r="O415" i="114"/>
  <c r="O414" i="114"/>
  <c r="O413" i="114"/>
  <c r="O412" i="114"/>
  <c r="O411" i="114"/>
  <c r="O410" i="114"/>
  <c r="O409" i="114"/>
  <c r="O408" i="114"/>
  <c r="O407" i="114"/>
  <c r="O406" i="114"/>
  <c r="O405" i="114"/>
  <c r="O404" i="114"/>
  <c r="O403" i="114"/>
  <c r="O402" i="114"/>
  <c r="O401" i="114"/>
  <c r="O400" i="114"/>
  <c r="O399" i="114"/>
  <c r="O398" i="114"/>
  <c r="O397" i="114"/>
  <c r="O396" i="114"/>
  <c r="O395" i="114"/>
  <c r="O394" i="114"/>
  <c r="O393" i="114"/>
  <c r="O392" i="114"/>
  <c r="O391" i="114"/>
  <c r="O390" i="114"/>
  <c r="O389" i="114"/>
  <c r="O388" i="114"/>
  <c r="O387" i="114"/>
  <c r="O386" i="114"/>
  <c r="O385" i="114"/>
  <c r="O384" i="114"/>
  <c r="O383" i="114"/>
  <c r="O382" i="114"/>
  <c r="O381" i="114"/>
  <c r="O380" i="114"/>
  <c r="O379" i="114"/>
  <c r="O378" i="114"/>
  <c r="O377" i="114"/>
  <c r="O376" i="114"/>
  <c r="O375" i="114"/>
  <c r="O374" i="114"/>
  <c r="O373" i="114"/>
  <c r="O372" i="114"/>
  <c r="O371" i="114"/>
  <c r="O370" i="114"/>
  <c r="O369" i="114"/>
  <c r="O368" i="114"/>
  <c r="O367" i="114"/>
  <c r="O366" i="114"/>
  <c r="O365" i="114"/>
  <c r="O364" i="114"/>
  <c r="O363" i="114"/>
  <c r="O362" i="114"/>
  <c r="O361" i="114"/>
  <c r="O360" i="114"/>
  <c r="O359" i="114"/>
  <c r="O358" i="114"/>
  <c r="O357" i="114"/>
  <c r="O356" i="114"/>
  <c r="O355" i="114"/>
  <c r="O354" i="114"/>
  <c r="O353" i="114"/>
  <c r="O352" i="114"/>
  <c r="O351" i="114"/>
  <c r="O350" i="114"/>
  <c r="O349" i="114"/>
  <c r="O348" i="114"/>
  <c r="O347" i="114"/>
  <c r="O346" i="114"/>
  <c r="O345" i="114"/>
  <c r="O344" i="114"/>
  <c r="O343" i="114"/>
  <c r="O342" i="114"/>
  <c r="O341" i="114"/>
  <c r="O340" i="114"/>
  <c r="O339" i="114"/>
  <c r="O338" i="114"/>
  <c r="O337" i="114"/>
  <c r="O336" i="114"/>
  <c r="O335" i="114"/>
  <c r="O334" i="114"/>
  <c r="O333" i="114"/>
  <c r="O332" i="114"/>
  <c r="O331" i="114"/>
  <c r="O330" i="114"/>
  <c r="O329" i="114"/>
  <c r="O328" i="114"/>
  <c r="O327" i="114"/>
  <c r="O326" i="114"/>
  <c r="O325" i="114"/>
  <c r="O324" i="114"/>
  <c r="O323" i="114"/>
  <c r="O322" i="114"/>
  <c r="O321" i="114"/>
  <c r="O320" i="114"/>
  <c r="O319" i="114"/>
  <c r="O318" i="114"/>
  <c r="O317" i="114"/>
  <c r="O316" i="114"/>
  <c r="O315" i="114"/>
  <c r="O314" i="114"/>
  <c r="O313" i="114"/>
  <c r="O312" i="114"/>
  <c r="O311" i="114"/>
  <c r="O310" i="114"/>
  <c r="O309" i="114"/>
  <c r="O308" i="114"/>
  <c r="O307" i="114"/>
  <c r="O306" i="114"/>
  <c r="O305" i="114"/>
  <c r="O304" i="114"/>
  <c r="O303" i="114"/>
  <c r="O302" i="114"/>
  <c r="O301" i="114"/>
  <c r="O300" i="114"/>
  <c r="O299" i="114"/>
  <c r="O298" i="114"/>
  <c r="O297" i="114"/>
  <c r="O296" i="114"/>
  <c r="O295" i="114"/>
  <c r="O294" i="114"/>
  <c r="O293" i="114"/>
  <c r="O292" i="114"/>
  <c r="O291" i="114"/>
  <c r="O290" i="114"/>
  <c r="O289" i="114"/>
  <c r="O288" i="114"/>
  <c r="O287" i="114"/>
  <c r="O286" i="114"/>
  <c r="O285" i="114"/>
  <c r="O284" i="114"/>
  <c r="O283" i="114"/>
  <c r="O282" i="114"/>
  <c r="O281" i="114"/>
  <c r="O280" i="114"/>
  <c r="O279" i="114"/>
  <c r="O278" i="114"/>
  <c r="O277" i="114"/>
  <c r="O276" i="114"/>
  <c r="O275" i="114"/>
  <c r="O274" i="114"/>
  <c r="O273" i="114"/>
  <c r="O272" i="114"/>
  <c r="O271" i="114"/>
  <c r="O270" i="114"/>
  <c r="O269" i="114"/>
  <c r="O268" i="114"/>
  <c r="O267" i="114"/>
  <c r="O266" i="114"/>
  <c r="O265" i="114"/>
  <c r="O264" i="114"/>
  <c r="O263" i="114"/>
  <c r="O262" i="114"/>
  <c r="O261" i="114"/>
  <c r="O260" i="114"/>
  <c r="O259" i="114"/>
  <c r="O258" i="114"/>
  <c r="O257" i="114"/>
  <c r="O256" i="114"/>
  <c r="O255" i="114"/>
  <c r="O254" i="114"/>
  <c r="O253" i="114"/>
  <c r="O252" i="114"/>
  <c r="O251" i="114"/>
  <c r="O250" i="114"/>
  <c r="O249" i="114"/>
  <c r="O248" i="114"/>
  <c r="O247" i="114"/>
  <c r="O246" i="114"/>
  <c r="O245" i="114"/>
  <c r="O244" i="114"/>
  <c r="O243" i="114"/>
  <c r="O242" i="114"/>
  <c r="O241" i="114"/>
  <c r="O240" i="114"/>
  <c r="O239" i="114"/>
  <c r="O238" i="114"/>
  <c r="O237" i="114"/>
  <c r="O236" i="114"/>
  <c r="O235" i="114"/>
  <c r="O234" i="114"/>
  <c r="O233" i="114"/>
  <c r="O232" i="114"/>
  <c r="O231" i="114"/>
  <c r="O230" i="114"/>
  <c r="O229" i="114"/>
  <c r="O228" i="114"/>
  <c r="O227" i="114"/>
  <c r="O226" i="114"/>
  <c r="O225" i="114"/>
  <c r="O224" i="114"/>
  <c r="O223" i="114"/>
  <c r="O222" i="114"/>
  <c r="O221" i="114"/>
  <c r="O220" i="114"/>
  <c r="O219" i="114"/>
  <c r="O218" i="114"/>
  <c r="O217" i="114"/>
  <c r="O216" i="114"/>
  <c r="O215" i="114"/>
  <c r="O214" i="114"/>
  <c r="O213" i="114"/>
  <c r="O212" i="114"/>
  <c r="O211" i="114"/>
  <c r="O210" i="114"/>
  <c r="O209" i="114"/>
  <c r="O208" i="114"/>
  <c r="O207" i="114"/>
  <c r="O206" i="114"/>
  <c r="O205" i="114"/>
  <c r="O204" i="114"/>
  <c r="O203" i="114"/>
  <c r="O202" i="114"/>
  <c r="O201" i="114"/>
  <c r="O200" i="114"/>
  <c r="O199" i="114"/>
  <c r="O198" i="114"/>
  <c r="O197" i="114"/>
  <c r="O196" i="114"/>
  <c r="O195" i="114"/>
  <c r="O194" i="114"/>
  <c r="O193" i="114"/>
  <c r="O192" i="114"/>
  <c r="O191" i="114"/>
  <c r="O190" i="114"/>
  <c r="O189" i="114"/>
  <c r="O188" i="114"/>
  <c r="O187" i="114"/>
  <c r="O186" i="114"/>
  <c r="O185" i="114"/>
  <c r="O184" i="114"/>
  <c r="O183" i="114"/>
  <c r="O182" i="114"/>
  <c r="O181" i="114"/>
  <c r="O180" i="114"/>
  <c r="O179" i="114"/>
  <c r="O178" i="114"/>
  <c r="O177" i="114"/>
  <c r="O176" i="114"/>
  <c r="O175" i="114"/>
  <c r="O174" i="114"/>
  <c r="O173" i="114"/>
  <c r="O172" i="114"/>
  <c r="O171" i="114"/>
  <c r="O170" i="114"/>
  <c r="O169" i="114"/>
  <c r="O168" i="114"/>
  <c r="O167" i="114"/>
  <c r="O166" i="114"/>
  <c r="O165" i="114"/>
  <c r="O164" i="114"/>
  <c r="O163" i="114"/>
  <c r="O162" i="114"/>
  <c r="O161" i="114"/>
  <c r="O160" i="114"/>
  <c r="O159" i="114"/>
  <c r="O158" i="114"/>
  <c r="O157" i="114"/>
  <c r="O156" i="114"/>
  <c r="O155" i="114"/>
  <c r="O154" i="114"/>
  <c r="O153" i="114"/>
  <c r="O152" i="114"/>
  <c r="O151" i="114"/>
  <c r="O150" i="114"/>
  <c r="O149" i="114"/>
  <c r="O148" i="114"/>
  <c r="O147" i="114"/>
  <c r="O146" i="114"/>
  <c r="O145" i="114"/>
  <c r="O144" i="114"/>
  <c r="O143" i="114"/>
  <c r="O142" i="114"/>
  <c r="O141" i="114"/>
  <c r="O140" i="114"/>
  <c r="O139" i="114"/>
  <c r="O138" i="114"/>
  <c r="O137" i="114"/>
  <c r="O136" i="114"/>
  <c r="O135" i="114"/>
  <c r="O134" i="114"/>
  <c r="O133" i="114"/>
  <c r="O132" i="114"/>
  <c r="O131" i="114"/>
  <c r="O130" i="114"/>
  <c r="O129" i="114"/>
  <c r="O128" i="114"/>
  <c r="O127" i="114"/>
  <c r="O126" i="114"/>
  <c r="O125" i="114"/>
  <c r="O124" i="114"/>
  <c r="O123" i="114"/>
  <c r="O122" i="114"/>
  <c r="O121" i="114"/>
  <c r="O120" i="114"/>
  <c r="O119" i="114"/>
  <c r="O118" i="114"/>
  <c r="O117" i="114"/>
  <c r="O116" i="114"/>
  <c r="O115" i="114"/>
  <c r="O114" i="114"/>
  <c r="O113" i="114"/>
  <c r="O112" i="114"/>
  <c r="O111" i="114"/>
  <c r="O110" i="114"/>
  <c r="O109" i="114"/>
  <c r="O108" i="114"/>
  <c r="O107" i="114"/>
  <c r="O106" i="114"/>
  <c r="O105" i="114"/>
  <c r="O104" i="114"/>
  <c r="O103" i="114"/>
  <c r="O102" i="114"/>
  <c r="O101" i="114"/>
  <c r="O100" i="114"/>
  <c r="O99" i="114"/>
  <c r="O98" i="114"/>
  <c r="O97" i="114"/>
  <c r="O96" i="114"/>
  <c r="O95" i="114"/>
  <c r="O94" i="114"/>
  <c r="O93" i="114"/>
  <c r="O92" i="114"/>
  <c r="O91" i="114"/>
  <c r="O90" i="114"/>
  <c r="O89" i="114"/>
  <c r="O88" i="114"/>
  <c r="O87" i="114"/>
  <c r="O86" i="114"/>
  <c r="O85" i="114"/>
  <c r="O84" i="114"/>
  <c r="O83" i="114"/>
  <c r="O82" i="114"/>
  <c r="L33" i="114"/>
  <c r="L32" i="114"/>
  <c r="O27" i="114"/>
  <c r="N27" i="114"/>
  <c r="M27" i="114"/>
  <c r="K27" i="114"/>
  <c r="J27" i="114"/>
  <c r="X26" i="114"/>
  <c r="W26" i="114"/>
  <c r="V26" i="114"/>
  <c r="S26" i="114"/>
  <c r="R26" i="114"/>
  <c r="O26" i="114"/>
  <c r="U26" i="114" s="1"/>
  <c r="N26" i="114"/>
  <c r="Z26" i="114" s="1"/>
  <c r="M26" i="114"/>
  <c r="K26" i="114"/>
  <c r="J26" i="114"/>
  <c r="G26" i="114"/>
  <c r="E26" i="114"/>
  <c r="Z25" i="114"/>
  <c r="X25" i="114"/>
  <c r="W25" i="114"/>
  <c r="V25" i="114"/>
  <c r="S25" i="114"/>
  <c r="R25" i="114"/>
  <c r="O25" i="114"/>
  <c r="U25" i="114" s="1"/>
  <c r="M25" i="114"/>
  <c r="K25" i="114"/>
  <c r="J25" i="114"/>
  <c r="G25" i="114"/>
  <c r="E25" i="114"/>
  <c r="O19" i="114"/>
  <c r="U19" i="114" s="1"/>
  <c r="M19" i="114"/>
  <c r="K19" i="114"/>
  <c r="J19" i="114"/>
  <c r="G19" i="114"/>
  <c r="E19" i="114"/>
  <c r="O18" i="114"/>
  <c r="U18" i="114" s="1"/>
  <c r="M18" i="114"/>
  <c r="K18" i="114"/>
  <c r="J18" i="114"/>
  <c r="G18" i="114"/>
  <c r="E18" i="114"/>
  <c r="O17" i="114"/>
  <c r="U17" i="114" s="1"/>
  <c r="M17" i="114"/>
  <c r="K17" i="114"/>
  <c r="J17" i="114"/>
  <c r="G17" i="114"/>
  <c r="E17" i="114"/>
  <c r="O16" i="114"/>
  <c r="U16" i="114" s="1"/>
  <c r="M16" i="114"/>
  <c r="K16" i="114"/>
  <c r="J16" i="114"/>
  <c r="G16" i="114"/>
  <c r="E16" i="114"/>
  <c r="O15" i="114"/>
  <c r="U15" i="114" s="1"/>
  <c r="M15" i="114"/>
  <c r="K15" i="114"/>
  <c r="J15" i="114"/>
  <c r="G15" i="114"/>
  <c r="E15" i="114"/>
  <c r="S14" i="114"/>
  <c r="R14" i="114"/>
  <c r="N14" i="114"/>
  <c r="O14" i="114" s="1"/>
  <c r="U14" i="114" s="1"/>
  <c r="M14" i="114"/>
  <c r="K14" i="114"/>
  <c r="J14" i="114"/>
  <c r="G14" i="114"/>
  <c r="E14" i="114"/>
  <c r="X13" i="114"/>
  <c r="W13" i="114"/>
  <c r="V13" i="114"/>
  <c r="S13" i="114"/>
  <c r="R13" i="114"/>
  <c r="Z13" i="114"/>
  <c r="M13" i="114"/>
  <c r="K13" i="114"/>
  <c r="J13" i="114"/>
  <c r="G13" i="114"/>
  <c r="E13" i="114"/>
  <c r="S12" i="114"/>
  <c r="R12" i="114"/>
  <c r="O12" i="114"/>
  <c r="M12" i="114"/>
  <c r="K12" i="114"/>
  <c r="J12" i="114"/>
  <c r="G12" i="114"/>
  <c r="E12" i="114"/>
  <c r="M9" i="114"/>
  <c r="O7" i="114"/>
  <c r="L7" i="114"/>
  <c r="L34" i="114" l="1"/>
  <c r="K28" i="114"/>
  <c r="K29" i="114" s="1"/>
  <c r="U12" i="114"/>
  <c r="O13" i="114"/>
  <c r="U13" i="114" s="1"/>
  <c r="O28" i="114" l="1"/>
  <c r="O29" i="114" s="1"/>
  <c r="O13" i="110" l="1"/>
  <c r="Z22" i="108" l="1"/>
  <c r="Z14" i="108"/>
  <c r="Z15" i="108"/>
  <c r="Z13" i="108"/>
  <c r="R15" i="108" l="1"/>
  <c r="R13" i="108"/>
  <c r="R22" i="108" l="1"/>
  <c r="S22" i="108"/>
  <c r="R14" i="108"/>
  <c r="S14" i="108"/>
  <c r="S15" i="108"/>
  <c r="S13" i="108"/>
  <c r="R17" i="108"/>
  <c r="S17" i="108"/>
  <c r="R25" i="108"/>
  <c r="S25" i="108"/>
  <c r="O7" i="109" l="1"/>
  <c r="R25" i="109" l="1"/>
  <c r="S25" i="109"/>
  <c r="R23" i="109"/>
  <c r="S23" i="109"/>
  <c r="S17" i="109" l="1"/>
  <c r="R17" i="109"/>
  <c r="V25" i="109" l="1"/>
  <c r="W25" i="109"/>
  <c r="X25" i="109"/>
  <c r="V21" i="109"/>
  <c r="W21" i="109"/>
  <c r="X21" i="109"/>
  <c r="V20" i="109" l="1"/>
  <c r="W20" i="109"/>
  <c r="X20" i="109"/>
  <c r="Z17" i="108" l="1"/>
  <c r="M17" i="108"/>
  <c r="K17" i="108"/>
  <c r="J17" i="108"/>
  <c r="E17" i="108"/>
  <c r="G25" i="108"/>
  <c r="J25" i="108"/>
  <c r="K25" i="108"/>
  <c r="M25" i="108"/>
  <c r="Z25" i="108"/>
  <c r="O25" i="108"/>
  <c r="U25" i="108" s="1"/>
  <c r="O17" i="108" l="1"/>
  <c r="U17" i="108" l="1"/>
  <c r="E18" i="108"/>
  <c r="J18" i="108"/>
  <c r="K18" i="108"/>
  <c r="M18" i="108"/>
  <c r="O18" i="108"/>
  <c r="U18" i="108" s="1"/>
  <c r="O14" i="108"/>
  <c r="M14" i="108"/>
  <c r="K14" i="108"/>
  <c r="J14" i="108"/>
  <c r="G14" i="108"/>
  <c r="E14" i="108"/>
  <c r="U14" i="108" l="1"/>
  <c r="E19" i="108"/>
  <c r="E15" i="108"/>
  <c r="E13" i="108"/>
  <c r="E17" i="113" l="1"/>
  <c r="G17" i="113"/>
  <c r="J17" i="113"/>
  <c r="K17" i="113"/>
  <c r="M17" i="113"/>
  <c r="O17" i="113"/>
  <c r="U17" i="113" s="1"/>
  <c r="R17" i="113"/>
  <c r="S17" i="113"/>
  <c r="E18" i="113"/>
  <c r="G18" i="113"/>
  <c r="J18" i="113"/>
  <c r="K18" i="113"/>
  <c r="M18" i="113"/>
  <c r="N18" i="113"/>
  <c r="O18" i="113" s="1"/>
  <c r="U18" i="113" s="1"/>
  <c r="R18" i="113"/>
  <c r="S18" i="113"/>
  <c r="V18" i="113"/>
  <c r="W18" i="113"/>
  <c r="X18" i="113"/>
  <c r="E19" i="113"/>
  <c r="G19" i="113"/>
  <c r="J19" i="113"/>
  <c r="K19" i="113"/>
  <c r="M19" i="113"/>
  <c r="O19" i="113"/>
  <c r="U19" i="113" s="1"/>
  <c r="R19" i="113"/>
  <c r="S19" i="113"/>
  <c r="E20" i="113"/>
  <c r="G20" i="113"/>
  <c r="J20" i="113"/>
  <c r="K20" i="113"/>
  <c r="M20" i="113"/>
  <c r="N20" i="113"/>
  <c r="O20" i="113" s="1"/>
  <c r="U20" i="113" s="1"/>
  <c r="R20" i="113"/>
  <c r="S20" i="113"/>
  <c r="E21" i="113"/>
  <c r="G21" i="113"/>
  <c r="J21" i="113"/>
  <c r="K21" i="113"/>
  <c r="M21" i="113"/>
  <c r="N21" i="113"/>
  <c r="O21" i="113" s="1"/>
  <c r="U21" i="113" s="1"/>
  <c r="R21" i="113"/>
  <c r="S21" i="113"/>
  <c r="E22" i="113"/>
  <c r="G22" i="113"/>
  <c r="J22" i="113"/>
  <c r="K22" i="113"/>
  <c r="M22" i="113"/>
  <c r="N22" i="113"/>
  <c r="O22" i="113" s="1"/>
  <c r="U22" i="113" s="1"/>
  <c r="R22" i="113"/>
  <c r="S22" i="113"/>
  <c r="Z18" i="113" l="1"/>
  <c r="G17" i="109"/>
  <c r="E17" i="109"/>
  <c r="O17" i="109" l="1"/>
  <c r="U17" i="109" s="1"/>
  <c r="Z20" i="109"/>
  <c r="O19" i="109" l="1"/>
  <c r="U19" i="109" s="1"/>
  <c r="Z25" i="109" l="1"/>
  <c r="O25" i="109"/>
  <c r="U25" i="109" s="1"/>
  <c r="G19" i="109" l="1"/>
  <c r="E23" i="109" l="1"/>
  <c r="E19" i="109"/>
  <c r="R12" i="108" l="1"/>
  <c r="S12" i="108"/>
  <c r="O13" i="108" l="1"/>
  <c r="U13" i="108" s="1"/>
  <c r="M13" i="108"/>
  <c r="K13" i="108"/>
  <c r="J13" i="108"/>
  <c r="G13" i="108"/>
  <c r="M19" i="108"/>
  <c r="G19" i="108"/>
  <c r="J19" i="108"/>
  <c r="K19" i="108"/>
  <c r="O19" i="108"/>
  <c r="U19" i="108" l="1"/>
  <c r="V12" i="108"/>
  <c r="W12" i="108"/>
  <c r="X12" i="108"/>
  <c r="R19" i="108"/>
  <c r="S19" i="108"/>
  <c r="R26" i="108"/>
  <c r="S26" i="108"/>
  <c r="J12" i="108" l="1"/>
  <c r="K12" i="108"/>
  <c r="M12" i="108"/>
  <c r="J22" i="108"/>
  <c r="K22" i="108"/>
  <c r="M22" i="108"/>
  <c r="J16" i="108"/>
  <c r="K16" i="108"/>
  <c r="M16" i="108"/>
  <c r="J15" i="108"/>
  <c r="K15" i="108"/>
  <c r="M15" i="108"/>
  <c r="G12" i="108"/>
  <c r="G22" i="108"/>
  <c r="G16" i="108"/>
  <c r="E12" i="108"/>
  <c r="E22" i="108"/>
  <c r="O12" i="108" l="1"/>
  <c r="Z12" i="108"/>
  <c r="O15" i="108"/>
  <c r="U15" i="108" s="1"/>
  <c r="O22" i="108"/>
  <c r="U22" i="108" l="1"/>
  <c r="U12" i="108"/>
  <c r="E25" i="109" l="1"/>
  <c r="V26" i="108" l="1"/>
  <c r="W26" i="108"/>
  <c r="G21" i="109" l="1"/>
  <c r="M25" i="109" l="1"/>
  <c r="O21" i="109"/>
  <c r="O20" i="109"/>
  <c r="M23" i="109"/>
  <c r="O23" i="109"/>
  <c r="U23" i="109" s="1"/>
  <c r="E21" i="109"/>
  <c r="U20" i="109" l="1"/>
  <c r="U21" i="109"/>
  <c r="K23" i="109" l="1"/>
  <c r="J23" i="109"/>
  <c r="G23" i="109"/>
  <c r="E23" i="113" l="1"/>
  <c r="E24" i="113"/>
  <c r="E25" i="113"/>
  <c r="E26" i="113"/>
  <c r="E27" i="113"/>
  <c r="E28" i="113"/>
  <c r="E29" i="113"/>
  <c r="E30" i="113"/>
  <c r="R24" i="110" l="1"/>
  <c r="S24" i="110"/>
  <c r="R24" i="113" l="1"/>
  <c r="S24" i="113"/>
  <c r="R25" i="113"/>
  <c r="S25" i="113"/>
  <c r="R26" i="113"/>
  <c r="S26" i="113"/>
  <c r="R27" i="113"/>
  <c r="S27" i="113"/>
  <c r="R28" i="113"/>
  <c r="S28" i="113"/>
  <c r="R29" i="113"/>
  <c r="S29" i="113"/>
  <c r="R30" i="113"/>
  <c r="S30" i="113"/>
  <c r="G30" i="113"/>
  <c r="J30" i="113"/>
  <c r="K30" i="113"/>
  <c r="M30" i="113"/>
  <c r="N30" i="113"/>
  <c r="O30" i="113" s="1"/>
  <c r="U30" i="113" s="1"/>
  <c r="G29" i="113"/>
  <c r="J29" i="113"/>
  <c r="K29" i="113"/>
  <c r="M29" i="113"/>
  <c r="N29" i="113"/>
  <c r="O29" i="113" s="1"/>
  <c r="U29" i="113" s="1"/>
  <c r="G28" i="113"/>
  <c r="J28" i="113"/>
  <c r="K28" i="113"/>
  <c r="M28" i="113"/>
  <c r="O28" i="113"/>
  <c r="U28" i="113" s="1"/>
  <c r="G27" i="113"/>
  <c r="J27" i="113"/>
  <c r="K27" i="113"/>
  <c r="M27" i="113"/>
  <c r="N27" i="113"/>
  <c r="O27" i="113" s="1"/>
  <c r="U27" i="113" s="1"/>
  <c r="G26" i="113"/>
  <c r="J26" i="113"/>
  <c r="K26" i="113"/>
  <c r="M26" i="113"/>
  <c r="N26" i="113"/>
  <c r="O26" i="113" s="1"/>
  <c r="U26" i="113" s="1"/>
  <c r="G25" i="113"/>
  <c r="J25" i="113"/>
  <c r="K25" i="113"/>
  <c r="M25" i="113"/>
  <c r="N25" i="113"/>
  <c r="O25" i="113" s="1"/>
  <c r="U25" i="113" s="1"/>
  <c r="N12" i="113"/>
  <c r="M12" i="113"/>
  <c r="K12" i="113"/>
  <c r="J12" i="113"/>
  <c r="G12" i="113"/>
  <c r="N738" i="113"/>
  <c r="O738" i="113" s="1"/>
  <c r="N737" i="113"/>
  <c r="O737" i="113" s="1"/>
  <c r="N723" i="113"/>
  <c r="O723" i="113" s="1"/>
  <c r="N722" i="113"/>
  <c r="O722" i="113" s="1"/>
  <c r="N721" i="113"/>
  <c r="O721" i="113" s="1"/>
  <c r="N720" i="113"/>
  <c r="O720" i="113" s="1"/>
  <c r="N719" i="113"/>
  <c r="O719" i="113" s="1"/>
  <c r="N718" i="113"/>
  <c r="O718" i="113" s="1"/>
  <c r="N717" i="113"/>
  <c r="O717" i="113" s="1"/>
  <c r="N716" i="113"/>
  <c r="O716" i="113" s="1"/>
  <c r="N715" i="113"/>
  <c r="O715" i="113" s="1"/>
  <c r="N714" i="113"/>
  <c r="O714" i="113" s="1"/>
  <c r="N713" i="113"/>
  <c r="O713" i="113" s="1"/>
  <c r="N712" i="113"/>
  <c r="O712" i="113" s="1"/>
  <c r="N711" i="113"/>
  <c r="O711" i="113" s="1"/>
  <c r="N710" i="113"/>
  <c r="O710" i="113" s="1"/>
  <c r="N709" i="113"/>
  <c r="O709" i="113" s="1"/>
  <c r="N708" i="113"/>
  <c r="O708" i="113" s="1"/>
  <c r="N707" i="113"/>
  <c r="O707" i="113" s="1"/>
  <c r="N706" i="113"/>
  <c r="O706" i="113" s="1"/>
  <c r="N705" i="113"/>
  <c r="O705" i="113" s="1"/>
  <c r="N704" i="113"/>
  <c r="O704" i="113" s="1"/>
  <c r="N703" i="113"/>
  <c r="O703" i="113" s="1"/>
  <c r="N702" i="113"/>
  <c r="O702" i="113" s="1"/>
  <c r="N701" i="113"/>
  <c r="O701" i="113" s="1"/>
  <c r="N700" i="113"/>
  <c r="O700" i="113" s="1"/>
  <c r="N699" i="113"/>
  <c r="O699" i="113" s="1"/>
  <c r="N698" i="113"/>
  <c r="O698" i="113" s="1"/>
  <c r="N697" i="113"/>
  <c r="O697" i="113" s="1"/>
  <c r="N696" i="113"/>
  <c r="O696" i="113" s="1"/>
  <c r="N695" i="113"/>
  <c r="O695" i="113" s="1"/>
  <c r="N694" i="113"/>
  <c r="O694" i="113" s="1"/>
  <c r="N693" i="113"/>
  <c r="O693" i="113" s="1"/>
  <c r="N692" i="113"/>
  <c r="O692" i="113" s="1"/>
  <c r="N691" i="113"/>
  <c r="O691" i="113" s="1"/>
  <c r="N690" i="113"/>
  <c r="O690" i="113" s="1"/>
  <c r="N689" i="113"/>
  <c r="O689" i="113" s="1"/>
  <c r="N688" i="113"/>
  <c r="O688" i="113" s="1"/>
  <c r="N687" i="113"/>
  <c r="O687" i="113" s="1"/>
  <c r="N686" i="113"/>
  <c r="O686" i="113" s="1"/>
  <c r="N685" i="113"/>
  <c r="O685" i="113" s="1"/>
  <c r="N684" i="113"/>
  <c r="O684" i="113" s="1"/>
  <c r="N683" i="113"/>
  <c r="O683" i="113" s="1"/>
  <c r="N682" i="113"/>
  <c r="O682" i="113" s="1"/>
  <c r="N681" i="113"/>
  <c r="O681" i="113" s="1"/>
  <c r="N680" i="113"/>
  <c r="O680" i="113" s="1"/>
  <c r="N679" i="113"/>
  <c r="O679" i="113" s="1"/>
  <c r="N678" i="113"/>
  <c r="O678" i="113" s="1"/>
  <c r="N677" i="113"/>
  <c r="O677" i="113" s="1"/>
  <c r="N676" i="113"/>
  <c r="O676" i="113" s="1"/>
  <c r="N675" i="113"/>
  <c r="O675" i="113" s="1"/>
  <c r="N674" i="113"/>
  <c r="O674" i="113" s="1"/>
  <c r="N673" i="113"/>
  <c r="O673" i="113" s="1"/>
  <c r="N672" i="113"/>
  <c r="O672" i="113" s="1"/>
  <c r="N671" i="113"/>
  <c r="O671" i="113" s="1"/>
  <c r="N670" i="113"/>
  <c r="O670" i="113" s="1"/>
  <c r="N669" i="113"/>
  <c r="O669" i="113" s="1"/>
  <c r="N668" i="113"/>
  <c r="O668" i="113" s="1"/>
  <c r="N667" i="113"/>
  <c r="O667" i="113" s="1"/>
  <c r="N666" i="113"/>
  <c r="O666" i="113" s="1"/>
  <c r="N665" i="113"/>
  <c r="O665" i="113" s="1"/>
  <c r="N664" i="113"/>
  <c r="O664" i="113" s="1"/>
  <c r="N663" i="113"/>
  <c r="O663" i="113" s="1"/>
  <c r="N662" i="113"/>
  <c r="O662" i="113" s="1"/>
  <c r="N661" i="113"/>
  <c r="O661" i="113" s="1"/>
  <c r="N660" i="113"/>
  <c r="O660" i="113" s="1"/>
  <c r="N659" i="113"/>
  <c r="O659" i="113" s="1"/>
  <c r="N658" i="113"/>
  <c r="O658" i="113" s="1"/>
  <c r="N657" i="113"/>
  <c r="O657" i="113" s="1"/>
  <c r="N656" i="113"/>
  <c r="O656" i="113" s="1"/>
  <c r="N655" i="113"/>
  <c r="O655" i="113" s="1"/>
  <c r="N654" i="113"/>
  <c r="O654" i="113" s="1"/>
  <c r="N653" i="113"/>
  <c r="O653" i="113" s="1"/>
  <c r="N652" i="113"/>
  <c r="O652" i="113" s="1"/>
  <c r="N651" i="113"/>
  <c r="O651" i="113" s="1"/>
  <c r="N650" i="113"/>
  <c r="O650" i="113" s="1"/>
  <c r="N649" i="113"/>
  <c r="O649" i="113" s="1"/>
  <c r="N648" i="113"/>
  <c r="O648" i="113" s="1"/>
  <c r="N647" i="113"/>
  <c r="O647" i="113" s="1"/>
  <c r="N646" i="113"/>
  <c r="O646" i="113" s="1"/>
  <c r="N645" i="113"/>
  <c r="O645" i="113" s="1"/>
  <c r="N644" i="113"/>
  <c r="O644" i="113" s="1"/>
  <c r="N643" i="113"/>
  <c r="O643" i="113" s="1"/>
  <c r="N642" i="113"/>
  <c r="O642" i="113" s="1"/>
  <c r="N641" i="113"/>
  <c r="O641" i="113" s="1"/>
  <c r="N640" i="113"/>
  <c r="O640" i="113" s="1"/>
  <c r="N639" i="113"/>
  <c r="O639" i="113" s="1"/>
  <c r="N638" i="113"/>
  <c r="O638" i="113" s="1"/>
  <c r="N637" i="113"/>
  <c r="O637" i="113" s="1"/>
  <c r="N636" i="113"/>
  <c r="O636" i="113" s="1"/>
  <c r="N635" i="113"/>
  <c r="O635" i="113" s="1"/>
  <c r="N634" i="113"/>
  <c r="O634" i="113" s="1"/>
  <c r="N633" i="113"/>
  <c r="O633" i="113" s="1"/>
  <c r="N632" i="113"/>
  <c r="O632" i="113" s="1"/>
  <c r="N631" i="113"/>
  <c r="O631" i="113" s="1"/>
  <c r="N630" i="113"/>
  <c r="O630" i="113" s="1"/>
  <c r="N629" i="113"/>
  <c r="O629" i="113" s="1"/>
  <c r="N628" i="113"/>
  <c r="O628" i="113" s="1"/>
  <c r="N627" i="113"/>
  <c r="O627" i="113" s="1"/>
  <c r="N626" i="113"/>
  <c r="O626" i="113" s="1"/>
  <c r="N625" i="113"/>
  <c r="O625" i="113" s="1"/>
  <c r="N624" i="113"/>
  <c r="O624" i="113" s="1"/>
  <c r="N623" i="113"/>
  <c r="O623" i="113" s="1"/>
  <c r="N622" i="113"/>
  <c r="O622" i="113" s="1"/>
  <c r="N621" i="113"/>
  <c r="O621" i="113" s="1"/>
  <c r="N620" i="113"/>
  <c r="O620" i="113" s="1"/>
  <c r="N619" i="113"/>
  <c r="O619" i="113" s="1"/>
  <c r="N618" i="113"/>
  <c r="O618" i="113" s="1"/>
  <c r="N617" i="113"/>
  <c r="O617" i="113" s="1"/>
  <c r="O616" i="113"/>
  <c r="O615" i="113"/>
  <c r="N614" i="113"/>
  <c r="O614" i="113" s="1"/>
  <c r="N613" i="113"/>
  <c r="O613" i="113" s="1"/>
  <c r="N612" i="113"/>
  <c r="O612" i="113" s="1"/>
  <c r="N611" i="113"/>
  <c r="O611" i="113" s="1"/>
  <c r="N610" i="113"/>
  <c r="O610" i="113" s="1"/>
  <c r="N609" i="113"/>
  <c r="O609" i="113" s="1"/>
  <c r="N608" i="113"/>
  <c r="O608" i="113" s="1"/>
  <c r="N607" i="113"/>
  <c r="O607" i="113" s="1"/>
  <c r="N606" i="113"/>
  <c r="O606" i="113" s="1"/>
  <c r="N605" i="113"/>
  <c r="O605" i="113" s="1"/>
  <c r="N604" i="113"/>
  <c r="O604" i="113" s="1"/>
  <c r="N603" i="113"/>
  <c r="O603" i="113" s="1"/>
  <c r="N602" i="113"/>
  <c r="O602" i="113" s="1"/>
  <c r="N601" i="113"/>
  <c r="O601" i="113" s="1"/>
  <c r="N600" i="113"/>
  <c r="O600" i="113" s="1"/>
  <c r="N599" i="113"/>
  <c r="O599" i="113" s="1"/>
  <c r="N598" i="113"/>
  <c r="O598" i="113" s="1"/>
  <c r="N597" i="113"/>
  <c r="O597" i="113" s="1"/>
  <c r="N596" i="113"/>
  <c r="O596" i="113" s="1"/>
  <c r="N595" i="113"/>
  <c r="O595" i="113" s="1"/>
  <c r="N594" i="113"/>
  <c r="O594" i="113" s="1"/>
  <c r="N593" i="113"/>
  <c r="O593" i="113" s="1"/>
  <c r="N592" i="113"/>
  <c r="O592" i="113" s="1"/>
  <c r="N591" i="113"/>
  <c r="O591" i="113" s="1"/>
  <c r="N590" i="113"/>
  <c r="O590" i="113" s="1"/>
  <c r="N589" i="113"/>
  <c r="O589" i="113" s="1"/>
  <c r="N588" i="113"/>
  <c r="O588" i="113" s="1"/>
  <c r="N587" i="113"/>
  <c r="O587" i="113" s="1"/>
  <c r="N586" i="113"/>
  <c r="O586" i="113" s="1"/>
  <c r="N585" i="113"/>
  <c r="O585" i="113" s="1"/>
  <c r="N584" i="113"/>
  <c r="O584" i="113" s="1"/>
  <c r="N583" i="113"/>
  <c r="O583" i="113" s="1"/>
  <c r="N582" i="113"/>
  <c r="O582" i="113" s="1"/>
  <c r="N581" i="113"/>
  <c r="O581" i="113" s="1"/>
  <c r="N580" i="113"/>
  <c r="O580" i="113" s="1"/>
  <c r="N579" i="113"/>
  <c r="O579" i="113" s="1"/>
  <c r="N578" i="113"/>
  <c r="O578" i="113" s="1"/>
  <c r="N577" i="113"/>
  <c r="O577" i="113" s="1"/>
  <c r="N576" i="113"/>
  <c r="O576" i="113" s="1"/>
  <c r="N575" i="113"/>
  <c r="O575" i="113" s="1"/>
  <c r="N574" i="113"/>
  <c r="O574" i="113" s="1"/>
  <c r="N573" i="113"/>
  <c r="O573" i="113" s="1"/>
  <c r="N572" i="113"/>
  <c r="O572" i="113" s="1"/>
  <c r="N571" i="113"/>
  <c r="O571" i="113" s="1"/>
  <c r="N570" i="113"/>
  <c r="O570" i="113" s="1"/>
  <c r="N569" i="113"/>
  <c r="O569" i="113" s="1"/>
  <c r="N568" i="113"/>
  <c r="O568" i="113" s="1"/>
  <c r="N567" i="113"/>
  <c r="O567" i="113" s="1"/>
  <c r="N566" i="113"/>
  <c r="O566" i="113" s="1"/>
  <c r="N565" i="113"/>
  <c r="O565" i="113" s="1"/>
  <c r="N564" i="113"/>
  <c r="O564" i="113" s="1"/>
  <c r="N563" i="113"/>
  <c r="O563" i="113" s="1"/>
  <c r="N562" i="113"/>
  <c r="O562" i="113" s="1"/>
  <c r="N561" i="113"/>
  <c r="O561" i="113" s="1"/>
  <c r="N560" i="113"/>
  <c r="O560" i="113" s="1"/>
  <c r="N559" i="113"/>
  <c r="O559" i="113" s="1"/>
  <c r="N558" i="113"/>
  <c r="O558" i="113" s="1"/>
  <c r="N557" i="113"/>
  <c r="O557" i="113" s="1"/>
  <c r="N556" i="113"/>
  <c r="O556" i="113" s="1"/>
  <c r="N555" i="113"/>
  <c r="O555" i="113" s="1"/>
  <c r="N554" i="113"/>
  <c r="O554" i="113" s="1"/>
  <c r="N553" i="113"/>
  <c r="O553" i="113" s="1"/>
  <c r="N552" i="113"/>
  <c r="O552" i="113" s="1"/>
  <c r="N551" i="113"/>
  <c r="O551" i="113" s="1"/>
  <c r="N550" i="113"/>
  <c r="O550" i="113" s="1"/>
  <c r="N549" i="113"/>
  <c r="O549" i="113" s="1"/>
  <c r="N548" i="113"/>
  <c r="O548" i="113" s="1"/>
  <c r="N547" i="113"/>
  <c r="O547" i="113" s="1"/>
  <c r="N546" i="113"/>
  <c r="O546" i="113" s="1"/>
  <c r="N545" i="113"/>
  <c r="O545" i="113" s="1"/>
  <c r="N544" i="113"/>
  <c r="O544" i="113" s="1"/>
  <c r="N543" i="113"/>
  <c r="O543" i="113" s="1"/>
  <c r="N542" i="113"/>
  <c r="O542" i="113" s="1"/>
  <c r="N541" i="113"/>
  <c r="O541" i="113" s="1"/>
  <c r="N540" i="113"/>
  <c r="O540" i="113" s="1"/>
  <c r="N539" i="113"/>
  <c r="O539" i="113" s="1"/>
  <c r="N538" i="113"/>
  <c r="O538" i="113" s="1"/>
  <c r="N537" i="113"/>
  <c r="O537" i="113" s="1"/>
  <c r="N536" i="113"/>
  <c r="O536" i="113" s="1"/>
  <c r="N535" i="113"/>
  <c r="O535" i="113" s="1"/>
  <c r="N534" i="113"/>
  <c r="O534" i="113" s="1"/>
  <c r="N533" i="113"/>
  <c r="O533" i="113" s="1"/>
  <c r="N532" i="113"/>
  <c r="O532" i="113" s="1"/>
  <c r="N531" i="113"/>
  <c r="O531" i="113" s="1"/>
  <c r="R26" i="109" l="1"/>
  <c r="S26" i="109"/>
  <c r="Z26" i="108" l="1"/>
  <c r="K25" i="109" l="1"/>
  <c r="J25" i="109"/>
  <c r="G25" i="109"/>
  <c r="U19" i="110" l="1"/>
  <c r="M17" i="110"/>
  <c r="O17" i="110"/>
  <c r="J17" i="110"/>
  <c r="K17" i="110"/>
  <c r="G17" i="110"/>
  <c r="U17" i="110" l="1"/>
  <c r="E15" i="110"/>
  <c r="R15" i="110"/>
  <c r="S15" i="110"/>
  <c r="M15" i="110"/>
  <c r="G15" i="110"/>
  <c r="J15" i="110"/>
  <c r="K15" i="110"/>
  <c r="M13" i="110" l="1"/>
  <c r="O24" i="110" l="1"/>
  <c r="U13" i="110"/>
  <c r="J24" i="110"/>
  <c r="K24" i="110"/>
  <c r="J13" i="110"/>
  <c r="K13" i="110"/>
  <c r="G24" i="110"/>
  <c r="G13" i="110"/>
  <c r="M24" i="110"/>
  <c r="U24" i="110" l="1"/>
  <c r="E24" i="110"/>
  <c r="R15" i="113" l="1"/>
  <c r="S15" i="113"/>
  <c r="R23" i="113"/>
  <c r="S23" i="113"/>
  <c r="O15" i="110"/>
  <c r="U15" i="110" l="1"/>
  <c r="E16" i="113"/>
  <c r="M24" i="113" l="1"/>
  <c r="G24" i="113"/>
  <c r="J24" i="113"/>
  <c r="K24" i="113"/>
  <c r="N24" i="113"/>
  <c r="O24" i="113" s="1"/>
  <c r="U24" i="113" s="1"/>
  <c r="I522" i="113"/>
  <c r="I521" i="113"/>
  <c r="I515" i="113"/>
  <c r="I514" i="113"/>
  <c r="I513" i="113"/>
  <c r="I512" i="113"/>
  <c r="I511" i="113"/>
  <c r="I510" i="113"/>
  <c r="I509" i="113"/>
  <c r="I507" i="113"/>
  <c r="I506" i="113"/>
  <c r="O503" i="113"/>
  <c r="O502" i="113"/>
  <c r="O501" i="113"/>
  <c r="O500" i="113"/>
  <c r="O499" i="113"/>
  <c r="O498" i="113"/>
  <c r="O497" i="113"/>
  <c r="O496" i="113"/>
  <c r="O495" i="113"/>
  <c r="O494" i="113"/>
  <c r="O493" i="113"/>
  <c r="O492" i="113"/>
  <c r="O491" i="113"/>
  <c r="O490" i="113"/>
  <c r="O489" i="113"/>
  <c r="O488" i="113"/>
  <c r="O487" i="113"/>
  <c r="O486" i="113"/>
  <c r="O485" i="113"/>
  <c r="O484" i="113"/>
  <c r="O483" i="113"/>
  <c r="O482" i="113"/>
  <c r="O481" i="113"/>
  <c r="O480" i="113"/>
  <c r="O479" i="113"/>
  <c r="O478" i="113"/>
  <c r="O477" i="113"/>
  <c r="O476" i="113"/>
  <c r="O475" i="113"/>
  <c r="O474" i="113"/>
  <c r="O473" i="113"/>
  <c r="O472" i="113"/>
  <c r="O471" i="113"/>
  <c r="O470" i="113"/>
  <c r="O469" i="113"/>
  <c r="O468" i="113"/>
  <c r="O467" i="113"/>
  <c r="O466" i="113"/>
  <c r="O465" i="113"/>
  <c r="O464" i="113"/>
  <c r="O463" i="113"/>
  <c r="O462" i="113"/>
  <c r="O461" i="113"/>
  <c r="O460" i="113"/>
  <c r="O459" i="113"/>
  <c r="O458" i="113"/>
  <c r="O457" i="113"/>
  <c r="O456" i="113"/>
  <c r="O455" i="113"/>
  <c r="O454" i="113"/>
  <c r="O453" i="113"/>
  <c r="O452" i="113"/>
  <c r="O451" i="113"/>
  <c r="O450" i="113"/>
  <c r="O449" i="113"/>
  <c r="O448" i="113"/>
  <c r="O447" i="113"/>
  <c r="O446" i="113"/>
  <c r="O445" i="113"/>
  <c r="O444" i="113"/>
  <c r="O443" i="113"/>
  <c r="O442" i="113"/>
  <c r="O441" i="113"/>
  <c r="O440" i="113"/>
  <c r="O439" i="113"/>
  <c r="O438" i="113"/>
  <c r="O437" i="113"/>
  <c r="O436" i="113"/>
  <c r="O435" i="113"/>
  <c r="O434" i="113"/>
  <c r="O433" i="113"/>
  <c r="O432" i="113"/>
  <c r="O431" i="113"/>
  <c r="O430" i="113"/>
  <c r="O429" i="113"/>
  <c r="O428" i="113"/>
  <c r="O427" i="113"/>
  <c r="O426" i="113"/>
  <c r="O425" i="113"/>
  <c r="O424" i="113"/>
  <c r="O423" i="113"/>
  <c r="O422" i="113"/>
  <c r="O421" i="113"/>
  <c r="O420" i="113"/>
  <c r="O419" i="113"/>
  <c r="O418" i="113"/>
  <c r="O417" i="113"/>
  <c r="O416" i="113"/>
  <c r="O415" i="113"/>
  <c r="O414" i="113"/>
  <c r="O413" i="113"/>
  <c r="O412" i="113"/>
  <c r="O411" i="113"/>
  <c r="O410" i="113"/>
  <c r="O409" i="113"/>
  <c r="O408" i="113"/>
  <c r="O407" i="113"/>
  <c r="O406" i="113"/>
  <c r="O405" i="113"/>
  <c r="O404" i="113"/>
  <c r="O403" i="113"/>
  <c r="O402" i="113"/>
  <c r="O401" i="113"/>
  <c r="O400" i="113"/>
  <c r="O399" i="113"/>
  <c r="O398" i="113"/>
  <c r="O397" i="113"/>
  <c r="O396" i="113"/>
  <c r="O395" i="113"/>
  <c r="O394" i="113"/>
  <c r="O393" i="113"/>
  <c r="O392" i="113"/>
  <c r="O391" i="113"/>
  <c r="O390" i="113"/>
  <c r="O389" i="113"/>
  <c r="O388" i="113"/>
  <c r="O387" i="113"/>
  <c r="O386" i="113"/>
  <c r="O385" i="113"/>
  <c r="O384" i="113"/>
  <c r="O383" i="113"/>
  <c r="O382" i="113"/>
  <c r="O381" i="113"/>
  <c r="O380" i="113"/>
  <c r="O379" i="113"/>
  <c r="O378" i="113"/>
  <c r="O377" i="113"/>
  <c r="O376" i="113"/>
  <c r="O375" i="113"/>
  <c r="O374" i="113"/>
  <c r="O373" i="113"/>
  <c r="O372" i="113"/>
  <c r="O371" i="113"/>
  <c r="O370" i="113"/>
  <c r="O369" i="113"/>
  <c r="O368" i="113"/>
  <c r="O367" i="113"/>
  <c r="O366" i="113"/>
  <c r="O365" i="113"/>
  <c r="O364" i="113"/>
  <c r="O363" i="113"/>
  <c r="O362" i="113"/>
  <c r="O361" i="113"/>
  <c r="O360" i="113"/>
  <c r="O359" i="113"/>
  <c r="O358" i="113"/>
  <c r="O357" i="113"/>
  <c r="O356" i="113"/>
  <c r="O355" i="113"/>
  <c r="O354" i="113"/>
  <c r="O353" i="113"/>
  <c r="O352" i="113"/>
  <c r="O351" i="113"/>
  <c r="O350" i="113"/>
  <c r="O349" i="113"/>
  <c r="O348" i="113"/>
  <c r="O347" i="113"/>
  <c r="O346" i="113"/>
  <c r="O345" i="113"/>
  <c r="O344" i="113"/>
  <c r="O343" i="113"/>
  <c r="O342" i="113"/>
  <c r="O341" i="113"/>
  <c r="O340" i="113"/>
  <c r="O339" i="113"/>
  <c r="O338" i="113"/>
  <c r="O337" i="113"/>
  <c r="O336" i="113"/>
  <c r="O335" i="113"/>
  <c r="O334" i="113"/>
  <c r="O333" i="113"/>
  <c r="O332" i="113"/>
  <c r="O331" i="113"/>
  <c r="O330" i="113"/>
  <c r="O329" i="113"/>
  <c r="O328" i="113"/>
  <c r="O327" i="113"/>
  <c r="O326" i="113"/>
  <c r="O325" i="113"/>
  <c r="O324" i="113"/>
  <c r="O323" i="113"/>
  <c r="O322" i="113"/>
  <c r="O321" i="113"/>
  <c r="O320" i="113"/>
  <c r="O319" i="113"/>
  <c r="O318" i="113"/>
  <c r="O317" i="113"/>
  <c r="O316" i="113"/>
  <c r="O315" i="113"/>
  <c r="O314" i="113"/>
  <c r="O313" i="113"/>
  <c r="O312" i="113"/>
  <c r="O311" i="113"/>
  <c r="O310" i="113"/>
  <c r="O309" i="113"/>
  <c r="O308" i="113"/>
  <c r="O307" i="113"/>
  <c r="O306" i="113"/>
  <c r="O305" i="113"/>
  <c r="O304" i="113"/>
  <c r="O303" i="113"/>
  <c r="O302" i="113"/>
  <c r="O301" i="113"/>
  <c r="O300" i="113"/>
  <c r="O299" i="113"/>
  <c r="O298" i="113"/>
  <c r="O297" i="113"/>
  <c r="O296" i="113"/>
  <c r="O295" i="113"/>
  <c r="O294" i="113"/>
  <c r="O293" i="113"/>
  <c r="O292" i="113"/>
  <c r="O291" i="113"/>
  <c r="O290" i="113"/>
  <c r="O289" i="113"/>
  <c r="O288" i="113"/>
  <c r="O287" i="113"/>
  <c r="O286" i="113"/>
  <c r="O285" i="113"/>
  <c r="O284" i="113"/>
  <c r="O283" i="113"/>
  <c r="O282" i="113"/>
  <c r="O281" i="113"/>
  <c r="O280" i="113"/>
  <c r="O279" i="113"/>
  <c r="O278" i="113"/>
  <c r="O277" i="113"/>
  <c r="O276" i="113"/>
  <c r="O275" i="113"/>
  <c r="O274" i="113"/>
  <c r="O273" i="113"/>
  <c r="O272" i="113"/>
  <c r="O271" i="113"/>
  <c r="O270" i="113"/>
  <c r="O269" i="113"/>
  <c r="O268" i="113"/>
  <c r="O267" i="113"/>
  <c r="O266" i="113"/>
  <c r="O265" i="113"/>
  <c r="O264" i="113"/>
  <c r="O263" i="113"/>
  <c r="O262" i="113"/>
  <c r="O261" i="113"/>
  <c r="O260" i="113"/>
  <c r="O259" i="113"/>
  <c r="O258" i="113"/>
  <c r="O257" i="113"/>
  <c r="O256" i="113"/>
  <c r="O255" i="113"/>
  <c r="O254" i="113"/>
  <c r="O253" i="113"/>
  <c r="O252" i="113"/>
  <c r="O251" i="113"/>
  <c r="O250" i="113"/>
  <c r="O249" i="113"/>
  <c r="O248" i="113"/>
  <c r="O247" i="113"/>
  <c r="O246" i="113"/>
  <c r="O245" i="113"/>
  <c r="O244" i="113"/>
  <c r="O243" i="113"/>
  <c r="O242" i="113"/>
  <c r="O241" i="113"/>
  <c r="O240" i="113"/>
  <c r="O239" i="113"/>
  <c r="O238" i="113"/>
  <c r="O237" i="113"/>
  <c r="O236" i="113"/>
  <c r="O235" i="113"/>
  <c r="O234" i="113"/>
  <c r="O233" i="113"/>
  <c r="O232" i="113"/>
  <c r="O231" i="113"/>
  <c r="O230" i="113"/>
  <c r="O229" i="113"/>
  <c r="O228" i="113"/>
  <c r="O227" i="113"/>
  <c r="O226" i="113"/>
  <c r="O225" i="113"/>
  <c r="O224" i="113"/>
  <c r="O223" i="113"/>
  <c r="O222" i="113"/>
  <c r="O221" i="113"/>
  <c r="O220" i="113"/>
  <c r="O219" i="113"/>
  <c r="O218" i="113"/>
  <c r="O217" i="113"/>
  <c r="O216" i="113"/>
  <c r="O215" i="113"/>
  <c r="O214" i="113"/>
  <c r="O213" i="113"/>
  <c r="O212" i="113"/>
  <c r="O211" i="113"/>
  <c r="O210" i="113"/>
  <c r="O209" i="113"/>
  <c r="O208" i="113"/>
  <c r="O207" i="113"/>
  <c r="O206" i="113"/>
  <c r="O205" i="113"/>
  <c r="O204" i="113"/>
  <c r="O203" i="113"/>
  <c r="O202" i="113"/>
  <c r="O201" i="113"/>
  <c r="O200" i="113"/>
  <c r="O199" i="113"/>
  <c r="O198" i="113"/>
  <c r="O197" i="113"/>
  <c r="O196" i="113"/>
  <c r="O195" i="113"/>
  <c r="O194" i="113"/>
  <c r="O193" i="113"/>
  <c r="O192" i="113"/>
  <c r="O191" i="113"/>
  <c r="O190" i="113"/>
  <c r="O189" i="113"/>
  <c r="O188" i="113"/>
  <c r="O187" i="113"/>
  <c r="O186" i="113"/>
  <c r="O185" i="113"/>
  <c r="O184" i="113"/>
  <c r="O183" i="113"/>
  <c r="O182" i="113"/>
  <c r="O181" i="113"/>
  <c r="O180" i="113"/>
  <c r="O179" i="113"/>
  <c r="O178" i="113"/>
  <c r="O177" i="113"/>
  <c r="O176" i="113"/>
  <c r="O175" i="113"/>
  <c r="O174" i="113"/>
  <c r="O173" i="113"/>
  <c r="O172" i="113"/>
  <c r="O171" i="113"/>
  <c r="O170" i="113"/>
  <c r="O169" i="113"/>
  <c r="O168" i="113"/>
  <c r="O167" i="113"/>
  <c r="O166" i="113"/>
  <c r="O165" i="113"/>
  <c r="O164" i="113"/>
  <c r="O163" i="113"/>
  <c r="O162" i="113"/>
  <c r="O161" i="113"/>
  <c r="O160" i="113"/>
  <c r="O159" i="113"/>
  <c r="O158" i="113"/>
  <c r="O157" i="113"/>
  <c r="O156" i="113"/>
  <c r="O155" i="113"/>
  <c r="O154" i="113"/>
  <c r="O153" i="113"/>
  <c r="O152" i="113"/>
  <c r="O151" i="113"/>
  <c r="O150" i="113"/>
  <c r="O149" i="113"/>
  <c r="O148" i="113"/>
  <c r="O147" i="113"/>
  <c r="O146" i="113"/>
  <c r="O145" i="113"/>
  <c r="O144" i="113"/>
  <c r="O143" i="113"/>
  <c r="O142" i="113"/>
  <c r="O141" i="113"/>
  <c r="O140" i="113"/>
  <c r="O139" i="113"/>
  <c r="O138" i="113"/>
  <c r="O137" i="113"/>
  <c r="O136" i="113"/>
  <c r="O135" i="113"/>
  <c r="O134" i="113"/>
  <c r="O133" i="113"/>
  <c r="O132" i="113"/>
  <c r="O131" i="113"/>
  <c r="O130" i="113"/>
  <c r="O129" i="113"/>
  <c r="O128" i="113"/>
  <c r="O127" i="113"/>
  <c r="O126" i="113"/>
  <c r="O125" i="113"/>
  <c r="O124" i="113"/>
  <c r="O123" i="113"/>
  <c r="O122" i="113"/>
  <c r="O121" i="113"/>
  <c r="O120" i="113"/>
  <c r="O119" i="113"/>
  <c r="O118" i="113"/>
  <c r="O117" i="113"/>
  <c r="O116" i="113"/>
  <c r="O115" i="113"/>
  <c r="O114" i="113"/>
  <c r="O113" i="113"/>
  <c r="O112" i="113"/>
  <c r="O111" i="113"/>
  <c r="O110" i="113"/>
  <c r="O109" i="113"/>
  <c r="O108" i="113"/>
  <c r="O107" i="113"/>
  <c r="O106" i="113"/>
  <c r="O105" i="113"/>
  <c r="O104" i="113"/>
  <c r="O103" i="113"/>
  <c r="O102" i="113"/>
  <c r="O101" i="113"/>
  <c r="O100" i="113"/>
  <c r="O99" i="113"/>
  <c r="O98" i="113"/>
  <c r="O97" i="113"/>
  <c r="O96" i="113"/>
  <c r="O95" i="113"/>
  <c r="O94" i="113"/>
  <c r="O93" i="113"/>
  <c r="O92" i="113"/>
  <c r="O91" i="113"/>
  <c r="O90" i="113"/>
  <c r="O89" i="113"/>
  <c r="L41" i="113"/>
  <c r="L40" i="113"/>
  <c r="O35" i="113"/>
  <c r="N35" i="113"/>
  <c r="M35" i="113"/>
  <c r="K35" i="113"/>
  <c r="J35" i="113"/>
  <c r="X34" i="113"/>
  <c r="W34" i="113"/>
  <c r="V34" i="113"/>
  <c r="S34" i="113"/>
  <c r="R34" i="113"/>
  <c r="N34" i="113"/>
  <c r="Z34" i="113" s="1"/>
  <c r="M34" i="113"/>
  <c r="K34" i="113"/>
  <c r="J34" i="113"/>
  <c r="G34" i="113"/>
  <c r="E34" i="113"/>
  <c r="X33" i="113"/>
  <c r="W33" i="113"/>
  <c r="V33" i="113"/>
  <c r="S33" i="113"/>
  <c r="R33" i="113"/>
  <c r="O33" i="113"/>
  <c r="U33" i="113" s="1"/>
  <c r="M33" i="113"/>
  <c r="K33" i="113"/>
  <c r="J33" i="113"/>
  <c r="G33" i="113"/>
  <c r="E33" i="113"/>
  <c r="N23" i="113"/>
  <c r="O23" i="113" s="1"/>
  <c r="U23" i="113" s="1"/>
  <c r="M23" i="113"/>
  <c r="K23" i="113"/>
  <c r="J23" i="113"/>
  <c r="G23" i="113"/>
  <c r="N15" i="113"/>
  <c r="O15" i="113" s="1"/>
  <c r="U15" i="113" s="1"/>
  <c r="M15" i="113"/>
  <c r="K15" i="113"/>
  <c r="J15" i="113"/>
  <c r="G15" i="113"/>
  <c r="E15" i="113"/>
  <c r="S14" i="113"/>
  <c r="R14" i="113"/>
  <c r="N14" i="113"/>
  <c r="O14" i="113" s="1"/>
  <c r="U14" i="113" s="1"/>
  <c r="M14" i="113"/>
  <c r="K14" i="113"/>
  <c r="J14" i="113"/>
  <c r="G14" i="113"/>
  <c r="E14" i="113"/>
  <c r="X13" i="113"/>
  <c r="W13" i="113"/>
  <c r="V13" i="113"/>
  <c r="S13" i="113"/>
  <c r="R13" i="113"/>
  <c r="N13" i="113"/>
  <c r="O13" i="113" s="1"/>
  <c r="U13" i="113" s="1"/>
  <c r="M13" i="113"/>
  <c r="K13" i="113"/>
  <c r="J13" i="113"/>
  <c r="G13" i="113"/>
  <c r="E13" i="113"/>
  <c r="S16" i="113"/>
  <c r="R16" i="113"/>
  <c r="N16" i="113"/>
  <c r="O16" i="113" s="1"/>
  <c r="U16" i="113" s="1"/>
  <c r="M16" i="113"/>
  <c r="K16" i="113"/>
  <c r="J16" i="113"/>
  <c r="G16" i="113"/>
  <c r="S12" i="113"/>
  <c r="R12" i="113"/>
  <c r="O12" i="113"/>
  <c r="U12" i="113" s="1"/>
  <c r="E12" i="113"/>
  <c r="M9" i="113"/>
  <c r="O7" i="113"/>
  <c r="L7" i="113"/>
  <c r="K36" i="113" l="1"/>
  <c r="K37" i="113" s="1"/>
  <c r="O34" i="113"/>
  <c r="U34" i="113" s="1"/>
  <c r="L42" i="113"/>
  <c r="Z13" i="113"/>
  <c r="Z33" i="113"/>
  <c r="O36" i="113" l="1"/>
  <c r="O37" i="113" s="1"/>
  <c r="G20" i="109" l="1"/>
  <c r="N26" i="109" l="1"/>
  <c r="M25" i="110" l="1"/>
  <c r="K28" i="110" s="1"/>
  <c r="G25" i="110"/>
  <c r="R25" i="110" l="1"/>
  <c r="S25" i="110"/>
  <c r="O25" i="110"/>
  <c r="J25" i="110"/>
  <c r="K25" i="110"/>
  <c r="E25" i="110"/>
  <c r="U25" i="110" l="1"/>
  <c r="V26" i="109" l="1"/>
  <c r="N13" i="103" l="1"/>
  <c r="X26" i="108" l="1"/>
  <c r="O26" i="109" l="1"/>
  <c r="Z26" i="109"/>
  <c r="U26" i="109" l="1"/>
  <c r="E26" i="108"/>
  <c r="E33" i="94" l="1"/>
  <c r="E34" i="94"/>
  <c r="M33" i="94"/>
  <c r="N33" i="94"/>
  <c r="O33" i="94" s="1"/>
  <c r="M34" i="94"/>
  <c r="N34" i="94"/>
  <c r="O34" i="94"/>
  <c r="G33" i="94"/>
  <c r="J33" i="94"/>
  <c r="K33" i="94"/>
  <c r="G34" i="94"/>
  <c r="J34" i="94"/>
  <c r="K34" i="94"/>
  <c r="W33" i="94"/>
  <c r="E24" i="94"/>
  <c r="G24" i="94"/>
  <c r="J24" i="94"/>
  <c r="K24" i="94"/>
  <c r="M24" i="94"/>
  <c r="N24" i="94"/>
  <c r="O24" i="94" s="1"/>
  <c r="U24" i="94" s="1"/>
  <c r="R24" i="94"/>
  <c r="S24" i="94"/>
  <c r="W24" i="94"/>
  <c r="E25" i="94"/>
  <c r="G25" i="94"/>
  <c r="J25" i="94"/>
  <c r="K25" i="94"/>
  <c r="M25" i="94"/>
  <c r="N25" i="94"/>
  <c r="O25" i="94" s="1"/>
  <c r="U25" i="94" s="1"/>
  <c r="R25" i="94"/>
  <c r="S25" i="94"/>
  <c r="W25" i="94"/>
  <c r="E26" i="94"/>
  <c r="G26" i="94"/>
  <c r="J26" i="94"/>
  <c r="K26" i="94"/>
  <c r="M26" i="94"/>
  <c r="N26" i="94"/>
  <c r="O26" i="94" s="1"/>
  <c r="U26" i="94" s="1"/>
  <c r="R26" i="94"/>
  <c r="S26" i="94"/>
  <c r="V26" i="94"/>
  <c r="W26" i="94"/>
  <c r="X26" i="94"/>
  <c r="E27" i="94"/>
  <c r="G27" i="94"/>
  <c r="J27" i="94"/>
  <c r="K27" i="94"/>
  <c r="M27" i="94"/>
  <c r="N27" i="94"/>
  <c r="O27" i="94" s="1"/>
  <c r="U27" i="94" s="1"/>
  <c r="R27" i="94"/>
  <c r="S27" i="94"/>
  <c r="W27" i="94"/>
  <c r="E28" i="94"/>
  <c r="G28" i="94"/>
  <c r="J28" i="94"/>
  <c r="K28" i="94"/>
  <c r="M28" i="94"/>
  <c r="N28" i="94"/>
  <c r="O28" i="94" s="1"/>
  <c r="U28" i="94" s="1"/>
  <c r="R28" i="94"/>
  <c r="S28" i="94"/>
  <c r="W28" i="94"/>
  <c r="E29" i="94"/>
  <c r="G29" i="94"/>
  <c r="J29" i="94"/>
  <c r="K29" i="94"/>
  <c r="M29" i="94"/>
  <c r="N29" i="94"/>
  <c r="O29" i="94" s="1"/>
  <c r="U29" i="94" s="1"/>
  <c r="R29" i="94"/>
  <c r="S29" i="94"/>
  <c r="W29" i="94"/>
  <c r="E30" i="94"/>
  <c r="G30" i="94"/>
  <c r="J30" i="94"/>
  <c r="K30" i="94"/>
  <c r="M30" i="94"/>
  <c r="N30" i="94"/>
  <c r="Z30" i="94" s="1"/>
  <c r="R30" i="94"/>
  <c r="S30" i="94"/>
  <c r="V30" i="94"/>
  <c r="W30" i="94"/>
  <c r="X30" i="94"/>
  <c r="E31" i="94"/>
  <c r="G31" i="94"/>
  <c r="J31" i="94"/>
  <c r="K31" i="94"/>
  <c r="M31" i="94"/>
  <c r="N31" i="94"/>
  <c r="O31" i="94" s="1"/>
  <c r="U31" i="94" s="1"/>
  <c r="R31" i="94"/>
  <c r="S31" i="94"/>
  <c r="W31" i="94"/>
  <c r="E32" i="94"/>
  <c r="G32" i="94"/>
  <c r="J32" i="94"/>
  <c r="K32" i="94"/>
  <c r="M32" i="94"/>
  <c r="N32" i="94"/>
  <c r="O32" i="94" s="1"/>
  <c r="U32" i="94" s="1"/>
  <c r="R32" i="94"/>
  <c r="S32" i="94"/>
  <c r="W32" i="94"/>
  <c r="Z26" i="94" l="1"/>
  <c r="O30" i="94"/>
  <c r="U30" i="94" s="1"/>
  <c r="L33" i="110" l="1"/>
  <c r="L32" i="110"/>
  <c r="O27" i="110"/>
  <c r="O28" i="110" s="1"/>
  <c r="N27" i="110"/>
  <c r="M27" i="110"/>
  <c r="K27" i="110"/>
  <c r="J27" i="110"/>
  <c r="M9" i="110"/>
  <c r="O7" i="110"/>
  <c r="L7" i="110"/>
  <c r="K29" i="110" l="1"/>
  <c r="L34" i="110"/>
  <c r="O29" i="110" l="1"/>
  <c r="L33" i="109" l="1"/>
  <c r="L32" i="109"/>
  <c r="O27" i="109"/>
  <c r="O28" i="109" s="1"/>
  <c r="N27" i="109"/>
  <c r="M27" i="109"/>
  <c r="K27" i="109"/>
  <c r="J27" i="109"/>
  <c r="X26" i="109"/>
  <c r="W26" i="109"/>
  <c r="M26" i="109"/>
  <c r="K28" i="109" s="1"/>
  <c r="K26" i="109"/>
  <c r="J26" i="109"/>
  <c r="G26" i="109"/>
  <c r="E26" i="109"/>
  <c r="M9" i="109"/>
  <c r="L7" i="109"/>
  <c r="K29" i="109" l="1"/>
  <c r="L34" i="109"/>
  <c r="V17" i="94"/>
  <c r="W17" i="94"/>
  <c r="X17" i="94"/>
  <c r="V18" i="94"/>
  <c r="W18" i="94"/>
  <c r="X18" i="94"/>
  <c r="V19" i="94"/>
  <c r="W19" i="94"/>
  <c r="X19" i="94"/>
  <c r="V20" i="94"/>
  <c r="W20" i="94"/>
  <c r="X20" i="94"/>
  <c r="V21" i="94"/>
  <c r="W21" i="94"/>
  <c r="X21" i="94"/>
  <c r="V22" i="94"/>
  <c r="W22" i="94"/>
  <c r="X22" i="94"/>
  <c r="V23" i="94"/>
  <c r="W23" i="94"/>
  <c r="X23" i="94"/>
  <c r="V12" i="94"/>
  <c r="W12" i="94"/>
  <c r="X12" i="94"/>
  <c r="V34" i="94"/>
  <c r="W34" i="94"/>
  <c r="X34" i="94"/>
  <c r="I521" i="94"/>
  <c r="I520" i="94"/>
  <c r="I514" i="94"/>
  <c r="I513" i="94"/>
  <c r="I512" i="94"/>
  <c r="I511" i="94"/>
  <c r="I510" i="94"/>
  <c r="I509" i="94"/>
  <c r="I508" i="94"/>
  <c r="I506" i="94"/>
  <c r="I505" i="94"/>
  <c r="O502" i="94"/>
  <c r="O501" i="94"/>
  <c r="O500" i="94"/>
  <c r="O499" i="94"/>
  <c r="O498" i="94"/>
  <c r="O497" i="94"/>
  <c r="O496" i="94"/>
  <c r="O495" i="94"/>
  <c r="O494" i="94"/>
  <c r="O493" i="94"/>
  <c r="O492" i="94"/>
  <c r="O491" i="94"/>
  <c r="O490" i="94"/>
  <c r="O489" i="94"/>
  <c r="R17" i="94"/>
  <c r="S17" i="94"/>
  <c r="O29" i="109" l="1"/>
  <c r="G17" i="94"/>
  <c r="J17" i="94"/>
  <c r="K17" i="94"/>
  <c r="M17" i="94"/>
  <c r="G18" i="94"/>
  <c r="J18" i="94"/>
  <c r="K18" i="94"/>
  <c r="M18" i="94"/>
  <c r="G19" i="94"/>
  <c r="J19" i="94"/>
  <c r="K19" i="94"/>
  <c r="M19" i="94"/>
  <c r="G20" i="94"/>
  <c r="J20" i="94"/>
  <c r="K20" i="94"/>
  <c r="M20" i="94"/>
  <c r="G21" i="94"/>
  <c r="J21" i="94"/>
  <c r="K21" i="94"/>
  <c r="M21" i="94"/>
  <c r="G22" i="94"/>
  <c r="J22" i="94"/>
  <c r="K22" i="94"/>
  <c r="M22" i="94"/>
  <c r="G23" i="94"/>
  <c r="J23" i="94"/>
  <c r="K23" i="94"/>
  <c r="M23" i="94"/>
  <c r="N23" i="94"/>
  <c r="E17" i="94"/>
  <c r="E18" i="94"/>
  <c r="O23" i="94" l="1"/>
  <c r="U23" i="94" s="1"/>
  <c r="Z23" i="94"/>
  <c r="O20" i="94"/>
  <c r="U20" i="94" s="1"/>
  <c r="Z20" i="94"/>
  <c r="O22" i="94"/>
  <c r="U22" i="94" s="1"/>
  <c r="Z22" i="94"/>
  <c r="O19" i="94"/>
  <c r="U19" i="94" s="1"/>
  <c r="Z19" i="94"/>
  <c r="O21" i="94"/>
  <c r="U21" i="94" s="1"/>
  <c r="Z21" i="94"/>
  <c r="O18" i="94"/>
  <c r="U18" i="94" s="1"/>
  <c r="Z18" i="94"/>
  <c r="O17" i="94"/>
  <c r="U17" i="94" s="1"/>
  <c r="Z17" i="94"/>
  <c r="N13" i="94"/>
  <c r="N14" i="94"/>
  <c r="N15" i="94"/>
  <c r="N12" i="94" l="1"/>
  <c r="Z12" i="94" s="1"/>
  <c r="M12" i="94" l="1"/>
  <c r="O12" i="94"/>
  <c r="G12" i="94"/>
  <c r="J12" i="94"/>
  <c r="K12" i="94"/>
  <c r="E23" i="94"/>
  <c r="E12" i="94"/>
  <c r="R23" i="94"/>
  <c r="S23" i="94"/>
  <c r="R12" i="94"/>
  <c r="S12" i="94"/>
  <c r="R34" i="94"/>
  <c r="S34" i="94"/>
  <c r="U12" i="94" l="1"/>
  <c r="S19" i="94" l="1"/>
  <c r="R19" i="94"/>
  <c r="E19" i="94"/>
  <c r="R15" i="94"/>
  <c r="S15" i="94"/>
  <c r="V15" i="94"/>
  <c r="W15" i="94"/>
  <c r="X15" i="94"/>
  <c r="Z15" i="94"/>
  <c r="R18" i="94"/>
  <c r="S18" i="94"/>
  <c r="M15" i="94"/>
  <c r="O15" i="94"/>
  <c r="U15" i="94" s="1"/>
  <c r="O7" i="94"/>
  <c r="V14" i="94" l="1"/>
  <c r="V16" i="94"/>
  <c r="E15" i="94" l="1"/>
  <c r="E35" i="94"/>
  <c r="G15" i="94" l="1"/>
  <c r="J15" i="94"/>
  <c r="K15" i="94"/>
  <c r="N35" i="94"/>
  <c r="W14" i="94" l="1"/>
  <c r="X14" i="94"/>
  <c r="W16" i="94"/>
  <c r="X16" i="94"/>
  <c r="Z14" i="94" l="1"/>
  <c r="Z16" i="94"/>
  <c r="R14" i="94" l="1"/>
  <c r="S14" i="94"/>
  <c r="R16" i="94"/>
  <c r="S16" i="94"/>
  <c r="E16" i="94"/>
  <c r="O16" i="94"/>
  <c r="U16" i="94" s="1"/>
  <c r="M16" i="94"/>
  <c r="G16" i="94"/>
  <c r="J16" i="94"/>
  <c r="K16" i="94"/>
  <c r="U34" i="94" l="1"/>
  <c r="Z34" i="94"/>
  <c r="O477" i="94"/>
  <c r="O476" i="94"/>
  <c r="O475" i="94"/>
  <c r="O474" i="94"/>
  <c r="O473" i="94"/>
  <c r="O472" i="94"/>
  <c r="N514" i="103" l="1"/>
  <c r="O514" i="103" s="1"/>
  <c r="N513" i="103"/>
  <c r="O513" i="103" s="1"/>
  <c r="E14" i="103" l="1"/>
  <c r="E15" i="103"/>
  <c r="N511" i="103" l="1"/>
  <c r="O511" i="103" s="1"/>
  <c r="N510" i="103"/>
  <c r="O510" i="103" s="1"/>
  <c r="N509" i="103"/>
  <c r="O509" i="103" s="1"/>
  <c r="N508" i="103" l="1"/>
  <c r="O508" i="103" s="1"/>
  <c r="E13" i="103" l="1"/>
  <c r="E16" i="103"/>
  <c r="E17" i="103"/>
  <c r="E18" i="103"/>
  <c r="E19" i="103"/>
  <c r="I524" i="108" l="1"/>
  <c r="I523" i="108"/>
  <c r="I517" i="108"/>
  <c r="I516" i="108"/>
  <c r="I515" i="108"/>
  <c r="I514" i="108"/>
  <c r="I513" i="108"/>
  <c r="I512" i="108"/>
  <c r="I511" i="108"/>
  <c r="I509" i="108"/>
  <c r="I508" i="108"/>
  <c r="R13" i="94" l="1"/>
  <c r="S13" i="94"/>
  <c r="R22" i="94"/>
  <c r="S22" i="94"/>
  <c r="R20" i="94"/>
  <c r="S20" i="94"/>
  <c r="R21" i="94"/>
  <c r="S21" i="94"/>
  <c r="O13" i="94" l="1"/>
  <c r="E21" i="94"/>
  <c r="O505" i="108" l="1"/>
  <c r="O504" i="108"/>
  <c r="O503" i="108"/>
  <c r="O502" i="108"/>
  <c r="O501" i="108"/>
  <c r="O500" i="108"/>
  <c r="O499" i="108"/>
  <c r="O498" i="108"/>
  <c r="O497" i="108"/>
  <c r="O496" i="108"/>
  <c r="O495" i="108"/>
  <c r="O494" i="108"/>
  <c r="O493" i="108"/>
  <c r="O492" i="108"/>
  <c r="O491" i="108"/>
  <c r="O490" i="108"/>
  <c r="O489" i="108"/>
  <c r="O488" i="108"/>
  <c r="O487" i="108"/>
  <c r="O486" i="108"/>
  <c r="O485" i="108"/>
  <c r="O484" i="108"/>
  <c r="O483" i="108"/>
  <c r="O482" i="108"/>
  <c r="O481" i="108"/>
  <c r="O480" i="108"/>
  <c r="O479" i="108"/>
  <c r="O478" i="108"/>
  <c r="O477" i="108"/>
  <c r="O476" i="108"/>
  <c r="O475" i="108"/>
  <c r="O474" i="108"/>
  <c r="O473" i="108"/>
  <c r="O472" i="108"/>
  <c r="O471" i="108"/>
  <c r="O470" i="108"/>
  <c r="O469" i="108"/>
  <c r="O468" i="108"/>
  <c r="O467" i="108"/>
  <c r="O466" i="108"/>
  <c r="O465" i="108"/>
  <c r="O464" i="108"/>
  <c r="O463" i="108"/>
  <c r="O462" i="108"/>
  <c r="O461" i="108"/>
  <c r="O460" i="108"/>
  <c r="O459" i="108"/>
  <c r="O458" i="108"/>
  <c r="O457" i="108"/>
  <c r="O456" i="108"/>
  <c r="O455" i="108"/>
  <c r="O454" i="108"/>
  <c r="O453" i="108"/>
  <c r="O452" i="108"/>
  <c r="O451" i="108"/>
  <c r="O450" i="108"/>
  <c r="O449" i="108"/>
  <c r="O448" i="108"/>
  <c r="O447" i="108"/>
  <c r="O446" i="108"/>
  <c r="O445" i="108"/>
  <c r="O444" i="108"/>
  <c r="O443" i="108"/>
  <c r="O442" i="108"/>
  <c r="O441" i="108"/>
  <c r="O440" i="108"/>
  <c r="O439" i="108"/>
  <c r="O438" i="108"/>
  <c r="O437" i="108"/>
  <c r="O436" i="108"/>
  <c r="O435" i="108"/>
  <c r="O434" i="108"/>
  <c r="O433" i="108"/>
  <c r="O432" i="108"/>
  <c r="O431" i="108"/>
  <c r="O430" i="108"/>
  <c r="O429" i="108"/>
  <c r="O428" i="108"/>
  <c r="O427" i="108"/>
  <c r="O426" i="108"/>
  <c r="O425" i="108"/>
  <c r="O424" i="108"/>
  <c r="O423" i="108"/>
  <c r="O422" i="108"/>
  <c r="O421" i="108"/>
  <c r="O420" i="108"/>
  <c r="O419" i="108"/>
  <c r="O418" i="108"/>
  <c r="O417" i="108"/>
  <c r="O416" i="108"/>
  <c r="O415" i="108"/>
  <c r="O414" i="108"/>
  <c r="O413" i="108"/>
  <c r="O412" i="108"/>
  <c r="O411" i="108"/>
  <c r="O410" i="108"/>
  <c r="O409" i="108"/>
  <c r="O408" i="108"/>
  <c r="O407" i="108"/>
  <c r="O406" i="108"/>
  <c r="O405" i="108"/>
  <c r="O404" i="108"/>
  <c r="O403" i="108"/>
  <c r="O402" i="108"/>
  <c r="O401" i="108"/>
  <c r="O400" i="108"/>
  <c r="O399" i="108"/>
  <c r="O398" i="108"/>
  <c r="O397" i="108"/>
  <c r="O396" i="108"/>
  <c r="O395" i="108"/>
  <c r="O394" i="108"/>
  <c r="O393" i="108"/>
  <c r="O392" i="108"/>
  <c r="O391" i="108"/>
  <c r="O390" i="108"/>
  <c r="O389" i="108"/>
  <c r="O388" i="108"/>
  <c r="O387" i="108"/>
  <c r="O386" i="108"/>
  <c r="O385" i="108"/>
  <c r="O384" i="108"/>
  <c r="O383" i="108"/>
  <c r="O382" i="108"/>
  <c r="O381" i="108"/>
  <c r="O380" i="108"/>
  <c r="O379" i="108"/>
  <c r="O378" i="108"/>
  <c r="O377" i="108"/>
  <c r="O376" i="108"/>
  <c r="O375" i="108"/>
  <c r="O374" i="108"/>
  <c r="O373" i="108"/>
  <c r="O372" i="108"/>
  <c r="O371" i="108"/>
  <c r="O370" i="108"/>
  <c r="O369" i="108"/>
  <c r="O368" i="108"/>
  <c r="O367" i="108"/>
  <c r="O366" i="108"/>
  <c r="O365" i="108"/>
  <c r="O364" i="108"/>
  <c r="O363" i="108"/>
  <c r="O362" i="108"/>
  <c r="O361" i="108"/>
  <c r="O360" i="108"/>
  <c r="O359" i="108"/>
  <c r="O358" i="108"/>
  <c r="O357" i="108"/>
  <c r="O356" i="108"/>
  <c r="O355" i="108"/>
  <c r="O354" i="108"/>
  <c r="O353" i="108"/>
  <c r="O352" i="108"/>
  <c r="O351" i="108"/>
  <c r="O350" i="108"/>
  <c r="O349" i="108"/>
  <c r="O348" i="108"/>
  <c r="O347" i="108"/>
  <c r="O346" i="108"/>
  <c r="O345" i="108"/>
  <c r="O344" i="108"/>
  <c r="O343" i="108"/>
  <c r="O342" i="108"/>
  <c r="O341" i="108"/>
  <c r="O340" i="108"/>
  <c r="O339" i="108"/>
  <c r="O338" i="108"/>
  <c r="O337" i="108"/>
  <c r="O336" i="108"/>
  <c r="O335" i="108"/>
  <c r="O334" i="108"/>
  <c r="O333" i="108"/>
  <c r="O332" i="108"/>
  <c r="O331" i="108"/>
  <c r="O330" i="108"/>
  <c r="O329" i="108"/>
  <c r="O328" i="108"/>
  <c r="O327" i="108"/>
  <c r="O326" i="108"/>
  <c r="O325" i="108"/>
  <c r="O324" i="108"/>
  <c r="O323" i="108"/>
  <c r="O322" i="108"/>
  <c r="O321" i="108"/>
  <c r="O320" i="108"/>
  <c r="O319" i="108"/>
  <c r="O318" i="108"/>
  <c r="O317" i="108"/>
  <c r="O316" i="108"/>
  <c r="O315" i="108"/>
  <c r="O314" i="108"/>
  <c r="O313" i="108"/>
  <c r="O312" i="108"/>
  <c r="O311" i="108"/>
  <c r="O310" i="108"/>
  <c r="O309" i="108"/>
  <c r="O308" i="108"/>
  <c r="O307" i="108"/>
  <c r="O306" i="108"/>
  <c r="O305" i="108"/>
  <c r="O304" i="108"/>
  <c r="O303" i="108"/>
  <c r="O302" i="108"/>
  <c r="O301" i="108"/>
  <c r="O300" i="108"/>
  <c r="O299" i="108"/>
  <c r="O298" i="108"/>
  <c r="O297" i="108"/>
  <c r="O296" i="108"/>
  <c r="O295" i="108"/>
  <c r="O294" i="108"/>
  <c r="O293" i="108"/>
  <c r="O292" i="108"/>
  <c r="O291" i="108"/>
  <c r="O290" i="108"/>
  <c r="O289" i="108"/>
  <c r="O288" i="108"/>
  <c r="O287" i="108"/>
  <c r="O286" i="108"/>
  <c r="O285" i="108"/>
  <c r="O284" i="108"/>
  <c r="O283" i="108"/>
  <c r="O282" i="108"/>
  <c r="O281" i="108"/>
  <c r="O280" i="108"/>
  <c r="O279" i="108"/>
  <c r="O278" i="108"/>
  <c r="O277" i="108"/>
  <c r="O276" i="108"/>
  <c r="O275" i="108"/>
  <c r="O274" i="108"/>
  <c r="O273" i="108"/>
  <c r="O272" i="108"/>
  <c r="O271" i="108"/>
  <c r="O270" i="108"/>
  <c r="O269" i="108"/>
  <c r="O268" i="108"/>
  <c r="O267" i="108"/>
  <c r="O266" i="108"/>
  <c r="O265" i="108"/>
  <c r="O264" i="108"/>
  <c r="O263" i="108"/>
  <c r="O262" i="108"/>
  <c r="O261" i="108"/>
  <c r="O260" i="108"/>
  <c r="O259" i="108"/>
  <c r="O258" i="108"/>
  <c r="O257" i="108"/>
  <c r="O256" i="108"/>
  <c r="O255" i="108"/>
  <c r="O254" i="108"/>
  <c r="O253" i="108"/>
  <c r="O252" i="108"/>
  <c r="O251" i="108"/>
  <c r="O250" i="108"/>
  <c r="O249" i="108"/>
  <c r="O248" i="108"/>
  <c r="O247" i="108"/>
  <c r="O246" i="108"/>
  <c r="O245" i="108"/>
  <c r="O244" i="108"/>
  <c r="O243" i="108"/>
  <c r="O242" i="108"/>
  <c r="O241" i="108"/>
  <c r="O240" i="108"/>
  <c r="O239" i="108"/>
  <c r="O238" i="108"/>
  <c r="O237" i="108"/>
  <c r="O236" i="108"/>
  <c r="O235" i="108"/>
  <c r="O234" i="108"/>
  <c r="O233" i="108"/>
  <c r="O232" i="108"/>
  <c r="O231" i="108"/>
  <c r="O230" i="108"/>
  <c r="O229" i="108"/>
  <c r="O228" i="108"/>
  <c r="O227" i="108"/>
  <c r="O226" i="108"/>
  <c r="O225" i="108"/>
  <c r="O224" i="108"/>
  <c r="O223" i="108"/>
  <c r="O222" i="108"/>
  <c r="O221" i="108"/>
  <c r="O220" i="108"/>
  <c r="O219" i="108"/>
  <c r="O218" i="108"/>
  <c r="O217" i="108"/>
  <c r="O216" i="108"/>
  <c r="O215" i="108"/>
  <c r="O214" i="108"/>
  <c r="O213" i="108"/>
  <c r="O212" i="108"/>
  <c r="O211" i="108"/>
  <c r="O210" i="108"/>
  <c r="O209" i="108"/>
  <c r="O208" i="108"/>
  <c r="O207" i="108"/>
  <c r="O206" i="108"/>
  <c r="O205" i="108"/>
  <c r="O204" i="108"/>
  <c r="O203" i="108"/>
  <c r="O202" i="108"/>
  <c r="O201" i="108"/>
  <c r="O200" i="108"/>
  <c r="O199" i="108"/>
  <c r="O198" i="108"/>
  <c r="O197" i="108"/>
  <c r="O196" i="108"/>
  <c r="O195" i="108"/>
  <c r="O194" i="108"/>
  <c r="O193" i="108"/>
  <c r="O192" i="108"/>
  <c r="O191" i="108"/>
  <c r="O190" i="108"/>
  <c r="O189" i="108"/>
  <c r="O188" i="108"/>
  <c r="O187" i="108"/>
  <c r="O186" i="108"/>
  <c r="O185" i="108"/>
  <c r="O184" i="108"/>
  <c r="O183" i="108"/>
  <c r="O182" i="108"/>
  <c r="O181" i="108"/>
  <c r="O180" i="108"/>
  <c r="O179" i="108"/>
  <c r="O178" i="108"/>
  <c r="O177" i="108"/>
  <c r="O176" i="108"/>
  <c r="O175" i="108"/>
  <c r="O174" i="108"/>
  <c r="O173" i="108"/>
  <c r="O172" i="108"/>
  <c r="O171" i="108"/>
  <c r="O170" i="108"/>
  <c r="O169" i="108"/>
  <c r="O168" i="108"/>
  <c r="O167" i="108"/>
  <c r="O166" i="108"/>
  <c r="O165" i="108"/>
  <c r="O164" i="108"/>
  <c r="O163" i="108"/>
  <c r="O162" i="108"/>
  <c r="O161" i="108"/>
  <c r="O160" i="108"/>
  <c r="O159" i="108"/>
  <c r="O158" i="108"/>
  <c r="O157" i="108"/>
  <c r="O156" i="108"/>
  <c r="O155" i="108"/>
  <c r="O154" i="108"/>
  <c r="O153" i="108"/>
  <c r="O152" i="108"/>
  <c r="O151" i="108"/>
  <c r="O150" i="108"/>
  <c r="O149" i="108"/>
  <c r="O148" i="108"/>
  <c r="O147" i="108"/>
  <c r="O146" i="108"/>
  <c r="O145" i="108"/>
  <c r="O144" i="108"/>
  <c r="O143" i="108"/>
  <c r="O142" i="108"/>
  <c r="O141" i="108"/>
  <c r="O140" i="108"/>
  <c r="O139" i="108"/>
  <c r="O138" i="108"/>
  <c r="O137" i="108"/>
  <c r="O136" i="108"/>
  <c r="O135" i="108"/>
  <c r="O134" i="108"/>
  <c r="O133" i="108"/>
  <c r="O132" i="108"/>
  <c r="O131" i="108"/>
  <c r="O130" i="108"/>
  <c r="O129" i="108"/>
  <c r="O128" i="108"/>
  <c r="O127" i="108"/>
  <c r="O126" i="108"/>
  <c r="O125" i="108"/>
  <c r="O124" i="108"/>
  <c r="O123" i="108"/>
  <c r="O122" i="108"/>
  <c r="O121" i="108"/>
  <c r="O120" i="108"/>
  <c r="O119" i="108"/>
  <c r="O118" i="108"/>
  <c r="O117" i="108"/>
  <c r="O116" i="108"/>
  <c r="O115" i="108"/>
  <c r="O114" i="108"/>
  <c r="O113" i="108"/>
  <c r="O112" i="108"/>
  <c r="O111" i="108"/>
  <c r="O110" i="108"/>
  <c r="O109" i="108"/>
  <c r="O108" i="108"/>
  <c r="O107" i="108"/>
  <c r="O106" i="108"/>
  <c r="O105" i="108"/>
  <c r="O104" i="108"/>
  <c r="O103" i="108"/>
  <c r="O102" i="108"/>
  <c r="O101" i="108"/>
  <c r="O100" i="108"/>
  <c r="O99" i="108"/>
  <c r="O98" i="108"/>
  <c r="O97" i="108"/>
  <c r="O96" i="108"/>
  <c r="O95" i="108"/>
  <c r="O94" i="108"/>
  <c r="O93" i="108"/>
  <c r="O92" i="108"/>
  <c r="O91" i="108"/>
  <c r="L33" i="108"/>
  <c r="L32" i="108"/>
  <c r="O27" i="108"/>
  <c r="N27" i="108"/>
  <c r="M27" i="108"/>
  <c r="K27" i="108"/>
  <c r="J27" i="108"/>
  <c r="O26" i="108"/>
  <c r="O28" i="108" s="1"/>
  <c r="M26" i="108"/>
  <c r="K28" i="108" s="1"/>
  <c r="K26" i="108"/>
  <c r="J26" i="108"/>
  <c r="G26" i="108"/>
  <c r="M9" i="108"/>
  <c r="L7" i="108"/>
  <c r="U26" i="108" l="1"/>
  <c r="K29" i="108"/>
  <c r="L34" i="108"/>
  <c r="O29" i="108" l="1"/>
  <c r="M13" i="103" l="1"/>
  <c r="M14" i="103"/>
  <c r="M15" i="103"/>
  <c r="N507" i="103"/>
  <c r="O507" i="103" s="1"/>
  <c r="N506" i="103"/>
  <c r="O506" i="103" s="1"/>
  <c r="V13" i="94" l="1"/>
  <c r="W13" i="94"/>
  <c r="X13" i="94"/>
  <c r="S35" i="94"/>
  <c r="G14" i="94" l="1"/>
  <c r="E20" i="94" l="1"/>
  <c r="E14" i="94"/>
  <c r="E13" i="94" l="1"/>
  <c r="G13" i="94"/>
  <c r="J13" i="94"/>
  <c r="K13" i="94"/>
  <c r="M13" i="94"/>
  <c r="G35" i="94" l="1"/>
  <c r="J35" i="94"/>
  <c r="K35" i="94"/>
  <c r="M35" i="94"/>
  <c r="O35" i="94"/>
  <c r="U35" i="94" s="1"/>
  <c r="R35" i="94"/>
  <c r="V35" i="94"/>
  <c r="W35" i="94"/>
  <c r="X35" i="94"/>
  <c r="Z35" i="94" l="1"/>
  <c r="E22" i="94" l="1"/>
  <c r="U13" i="94" l="1"/>
  <c r="Z13" i="94"/>
  <c r="O14" i="94" l="1"/>
  <c r="O37" i="94" s="1"/>
  <c r="U14" i="94" l="1"/>
  <c r="J14" i="94" l="1"/>
  <c r="K14" i="94"/>
  <c r="M14" i="94"/>
  <c r="K37" i="94" s="1"/>
  <c r="I505" i="103" l="1"/>
  <c r="I504" i="103"/>
  <c r="I502" i="103"/>
  <c r="I500" i="103"/>
  <c r="I499" i="103"/>
  <c r="I498" i="103"/>
  <c r="I497" i="103"/>
  <c r="I496" i="103"/>
  <c r="I495" i="103"/>
  <c r="I494" i="103"/>
  <c r="I493" i="103"/>
  <c r="I492" i="103"/>
  <c r="I491" i="103"/>
  <c r="I490" i="103"/>
  <c r="I489" i="103"/>
  <c r="I488" i="103"/>
  <c r="I505" i="104"/>
  <c r="I504" i="104"/>
  <c r="I502" i="104"/>
  <c r="I500" i="104"/>
  <c r="I499" i="104"/>
  <c r="I498" i="104"/>
  <c r="I497" i="104"/>
  <c r="I496" i="104"/>
  <c r="I495" i="104"/>
  <c r="I494" i="104"/>
  <c r="I493" i="104"/>
  <c r="I492" i="104"/>
  <c r="I491" i="104"/>
  <c r="I490" i="104"/>
  <c r="I489" i="104"/>
  <c r="I488" i="104"/>
  <c r="I505" i="76"/>
  <c r="I504" i="76"/>
  <c r="I502" i="76"/>
  <c r="I500" i="76"/>
  <c r="I499" i="76"/>
  <c r="I498" i="76"/>
  <c r="I497" i="76"/>
  <c r="I496" i="76"/>
  <c r="I495" i="76"/>
  <c r="I494" i="76"/>
  <c r="I493" i="76"/>
  <c r="I492" i="76"/>
  <c r="I491" i="76"/>
  <c r="I490" i="76"/>
  <c r="I489" i="76"/>
  <c r="I488" i="76"/>
  <c r="I502" i="95"/>
  <c r="I501" i="95"/>
  <c r="I499" i="95"/>
  <c r="I497" i="95"/>
  <c r="I496" i="95"/>
  <c r="I495" i="95"/>
  <c r="I494" i="95"/>
  <c r="I493" i="95"/>
  <c r="I492" i="95"/>
  <c r="I491" i="95"/>
  <c r="I490" i="95"/>
  <c r="I489" i="95"/>
  <c r="I488" i="95"/>
  <c r="I487" i="95"/>
  <c r="I486" i="95"/>
  <c r="I485" i="95"/>
  <c r="N14" i="95" l="1"/>
  <c r="L7" i="95" l="1"/>
  <c r="L7" i="76" l="1"/>
  <c r="L41" i="94" l="1"/>
  <c r="L7" i="103" l="1"/>
  <c r="L42" i="94" l="1"/>
  <c r="L7" i="104" l="1"/>
  <c r="E12" i="104"/>
  <c r="L7" i="94"/>
  <c r="L43" i="94" l="1"/>
  <c r="G29" i="104" l="1"/>
  <c r="G28" i="104"/>
  <c r="O27" i="104"/>
  <c r="N27" i="104"/>
  <c r="M27" i="104"/>
  <c r="K27" i="104"/>
  <c r="J27" i="104"/>
  <c r="G27" i="104"/>
  <c r="R26" i="104"/>
  <c r="O26" i="104"/>
  <c r="S26" i="104" s="1"/>
  <c r="N26" i="104"/>
  <c r="U26" i="104" s="1"/>
  <c r="M26" i="104"/>
  <c r="K26" i="104"/>
  <c r="J26" i="104"/>
  <c r="G26" i="104"/>
  <c r="E26" i="104"/>
  <c r="R25" i="104"/>
  <c r="O25" i="104"/>
  <c r="S25" i="104" s="1"/>
  <c r="N25" i="104"/>
  <c r="U25" i="104" s="1"/>
  <c r="M25" i="104"/>
  <c r="K25" i="104"/>
  <c r="J25" i="104"/>
  <c r="G25" i="104"/>
  <c r="E25" i="104"/>
  <c r="R24" i="104"/>
  <c r="O24" i="104"/>
  <c r="S24" i="104" s="1"/>
  <c r="N24" i="104"/>
  <c r="U24" i="104" s="1"/>
  <c r="M24" i="104"/>
  <c r="K24" i="104"/>
  <c r="J24" i="104"/>
  <c r="G24" i="104"/>
  <c r="E24" i="104"/>
  <c r="R23" i="104"/>
  <c r="O23" i="104"/>
  <c r="S23" i="104" s="1"/>
  <c r="N23" i="104"/>
  <c r="U23" i="104" s="1"/>
  <c r="M23" i="104"/>
  <c r="K23" i="104"/>
  <c r="J23" i="104"/>
  <c r="G23" i="104"/>
  <c r="E23" i="104"/>
  <c r="R22" i="104"/>
  <c r="O22" i="104"/>
  <c r="S22" i="104" s="1"/>
  <c r="N22" i="104"/>
  <c r="U22" i="104" s="1"/>
  <c r="M22" i="104"/>
  <c r="K22" i="104"/>
  <c r="J22" i="104"/>
  <c r="G22" i="104"/>
  <c r="E22" i="104"/>
  <c r="R21" i="104"/>
  <c r="O21" i="104"/>
  <c r="S21" i="104" s="1"/>
  <c r="N21" i="104"/>
  <c r="U21" i="104" s="1"/>
  <c r="M21" i="104"/>
  <c r="K21" i="104"/>
  <c r="J21" i="104"/>
  <c r="G21" i="104"/>
  <c r="E21" i="104"/>
  <c r="R20" i="104"/>
  <c r="O20" i="104"/>
  <c r="S20" i="104" s="1"/>
  <c r="N20" i="104"/>
  <c r="U20" i="104" s="1"/>
  <c r="M20" i="104"/>
  <c r="K20" i="104"/>
  <c r="J20" i="104"/>
  <c r="G20" i="104"/>
  <c r="E20" i="104"/>
  <c r="R19" i="104"/>
  <c r="O19" i="104"/>
  <c r="S19" i="104" s="1"/>
  <c r="N19" i="104"/>
  <c r="U19" i="104" s="1"/>
  <c r="M19" i="104"/>
  <c r="K19" i="104"/>
  <c r="J19" i="104"/>
  <c r="G19" i="104"/>
  <c r="E19" i="104"/>
  <c r="R18" i="104"/>
  <c r="O18" i="104"/>
  <c r="S18" i="104" s="1"/>
  <c r="N18" i="104"/>
  <c r="U18" i="104" s="1"/>
  <c r="M18" i="104"/>
  <c r="K18" i="104"/>
  <c r="J18" i="104"/>
  <c r="G18" i="104"/>
  <c r="E18" i="104"/>
  <c r="R17" i="104"/>
  <c r="O17" i="104"/>
  <c r="S17" i="104" s="1"/>
  <c r="N17" i="104"/>
  <c r="U17" i="104" s="1"/>
  <c r="M17" i="104"/>
  <c r="K17" i="104"/>
  <c r="J17" i="104"/>
  <c r="G17" i="104"/>
  <c r="E17" i="104"/>
  <c r="R16" i="104"/>
  <c r="N16" i="104"/>
  <c r="U16" i="104" s="1"/>
  <c r="M16" i="104"/>
  <c r="K16" i="104"/>
  <c r="J16" i="104"/>
  <c r="G16" i="104"/>
  <c r="E16" i="104"/>
  <c r="R15" i="104"/>
  <c r="N15" i="104"/>
  <c r="U15" i="104" s="1"/>
  <c r="M15" i="104"/>
  <c r="K15" i="104"/>
  <c r="J15" i="104"/>
  <c r="G15" i="104"/>
  <c r="E15" i="104"/>
  <c r="R14" i="104"/>
  <c r="N14" i="104"/>
  <c r="U14" i="104" s="1"/>
  <c r="M14" i="104"/>
  <c r="K14" i="104"/>
  <c r="J14" i="104"/>
  <c r="G14" i="104"/>
  <c r="E14" i="104"/>
  <c r="R13" i="104"/>
  <c r="N13" i="104"/>
  <c r="U13" i="104" s="1"/>
  <c r="M13" i="104"/>
  <c r="K13" i="104"/>
  <c r="J13" i="104"/>
  <c r="G13" i="104"/>
  <c r="E13" i="104"/>
  <c r="R12" i="104"/>
  <c r="N12" i="104"/>
  <c r="U12" i="104" s="1"/>
  <c r="M12" i="104"/>
  <c r="K12" i="104"/>
  <c r="J12" i="104"/>
  <c r="G12" i="104"/>
  <c r="K28" i="104" l="1"/>
  <c r="K29" i="104" s="1"/>
  <c r="O12" i="104"/>
  <c r="O13" i="104"/>
  <c r="S13" i="104" s="1"/>
  <c r="O14" i="104"/>
  <c r="S14" i="104" s="1"/>
  <c r="O15" i="104"/>
  <c r="S15" i="104" s="1"/>
  <c r="O16" i="104"/>
  <c r="S16" i="104" s="1"/>
  <c r="O28" i="104" l="1"/>
  <c r="O29" i="104" s="1"/>
  <c r="S12" i="104"/>
  <c r="G29" i="103" l="1"/>
  <c r="G28" i="103"/>
  <c r="O27" i="103"/>
  <c r="N27" i="103"/>
  <c r="M27" i="103"/>
  <c r="K27" i="103"/>
  <c r="J27" i="103"/>
  <c r="G27" i="103"/>
  <c r="R26" i="103"/>
  <c r="O26" i="103"/>
  <c r="S26" i="103" s="1"/>
  <c r="N26" i="103"/>
  <c r="U26" i="103" s="1"/>
  <c r="M26" i="103"/>
  <c r="K26" i="103"/>
  <c r="J26" i="103"/>
  <c r="G26" i="103"/>
  <c r="E26" i="103"/>
  <c r="R25" i="103"/>
  <c r="O25" i="103"/>
  <c r="S25" i="103" s="1"/>
  <c r="N25" i="103"/>
  <c r="U25" i="103" s="1"/>
  <c r="M25" i="103"/>
  <c r="K25" i="103"/>
  <c r="J25" i="103"/>
  <c r="G25" i="103"/>
  <c r="E25" i="103"/>
  <c r="R24" i="103"/>
  <c r="O24" i="103"/>
  <c r="S24" i="103" s="1"/>
  <c r="N24" i="103"/>
  <c r="U24" i="103" s="1"/>
  <c r="M24" i="103"/>
  <c r="K24" i="103"/>
  <c r="J24" i="103"/>
  <c r="G24" i="103"/>
  <c r="E24" i="103"/>
  <c r="R23" i="103"/>
  <c r="O23" i="103"/>
  <c r="S23" i="103" s="1"/>
  <c r="N23" i="103"/>
  <c r="U23" i="103" s="1"/>
  <c r="M23" i="103"/>
  <c r="K23" i="103"/>
  <c r="J23" i="103"/>
  <c r="G23" i="103"/>
  <c r="E23" i="103"/>
  <c r="R22" i="103"/>
  <c r="O22" i="103"/>
  <c r="S22" i="103" s="1"/>
  <c r="N22" i="103"/>
  <c r="U22" i="103" s="1"/>
  <c r="M22" i="103"/>
  <c r="K22" i="103"/>
  <c r="J22" i="103"/>
  <c r="G22" i="103"/>
  <c r="E22" i="103"/>
  <c r="R21" i="103"/>
  <c r="O21" i="103"/>
  <c r="S21" i="103" s="1"/>
  <c r="N21" i="103"/>
  <c r="U21" i="103" s="1"/>
  <c r="M21" i="103"/>
  <c r="K21" i="103"/>
  <c r="J21" i="103"/>
  <c r="G21" i="103"/>
  <c r="E21" i="103"/>
  <c r="R20" i="103"/>
  <c r="O20" i="103"/>
  <c r="S20" i="103" s="1"/>
  <c r="N20" i="103"/>
  <c r="U20" i="103" s="1"/>
  <c r="M20" i="103"/>
  <c r="K20" i="103"/>
  <c r="J20" i="103"/>
  <c r="G20" i="103"/>
  <c r="E20" i="103"/>
  <c r="R19" i="103"/>
  <c r="O19" i="103"/>
  <c r="S19" i="103" s="1"/>
  <c r="N19" i="103"/>
  <c r="U19" i="103" s="1"/>
  <c r="M19" i="103"/>
  <c r="K19" i="103"/>
  <c r="J19" i="103"/>
  <c r="G19" i="103"/>
  <c r="R18" i="103"/>
  <c r="O18" i="103"/>
  <c r="S18" i="103" s="1"/>
  <c r="N18" i="103"/>
  <c r="U18" i="103" s="1"/>
  <c r="M18" i="103"/>
  <c r="K18" i="103"/>
  <c r="J18" i="103"/>
  <c r="G18" i="103"/>
  <c r="R17" i="103"/>
  <c r="N17" i="103"/>
  <c r="U17" i="103" s="1"/>
  <c r="M17" i="103"/>
  <c r="K17" i="103"/>
  <c r="J17" i="103"/>
  <c r="G17" i="103"/>
  <c r="R16" i="103"/>
  <c r="N16" i="103"/>
  <c r="U16" i="103" s="1"/>
  <c r="M16" i="103"/>
  <c r="K16" i="103"/>
  <c r="J16" i="103"/>
  <c r="G16" i="103"/>
  <c r="R15" i="103"/>
  <c r="N15" i="103"/>
  <c r="U15" i="103" s="1"/>
  <c r="K15" i="103"/>
  <c r="J15" i="103"/>
  <c r="G15" i="103"/>
  <c r="R14" i="103"/>
  <c r="N14" i="103"/>
  <c r="U14" i="103" s="1"/>
  <c r="K14" i="103"/>
  <c r="J14" i="103"/>
  <c r="G14" i="103"/>
  <c r="R13" i="103"/>
  <c r="O13" i="103"/>
  <c r="S13" i="103" s="1"/>
  <c r="K13" i="103"/>
  <c r="J13" i="103"/>
  <c r="G13" i="103"/>
  <c r="R12" i="103"/>
  <c r="M12" i="103"/>
  <c r="K12" i="103"/>
  <c r="J12" i="103"/>
  <c r="G12" i="103"/>
  <c r="E12" i="103"/>
  <c r="O17" i="103" l="1"/>
  <c r="S17" i="103" s="1"/>
  <c r="O16" i="103"/>
  <c r="S16" i="103" s="1"/>
  <c r="O15" i="103"/>
  <c r="S15" i="103" s="1"/>
  <c r="U12" i="103"/>
  <c r="K28" i="103"/>
  <c r="K29" i="103" s="1"/>
  <c r="O14" i="103"/>
  <c r="S14" i="103" s="1"/>
  <c r="U13" i="103"/>
  <c r="O12" i="103" l="1"/>
  <c r="S12" i="103" s="1"/>
  <c r="O28" i="103" l="1"/>
  <c r="O29" i="103" s="1"/>
  <c r="N506" i="95" l="1"/>
  <c r="O506" i="95" s="1"/>
  <c r="N505" i="95"/>
  <c r="O505" i="95" s="1"/>
  <c r="N504" i="95"/>
  <c r="O504" i="95" s="1"/>
  <c r="N503" i="95"/>
  <c r="O503" i="95" s="1"/>
  <c r="N502" i="95"/>
  <c r="O502" i="95" s="1"/>
  <c r="N501" i="95"/>
  <c r="O501" i="95" s="1"/>
  <c r="N500" i="95"/>
  <c r="O500" i="95" s="1"/>
  <c r="N499" i="95"/>
  <c r="O499" i="95" s="1"/>
  <c r="N498" i="95"/>
  <c r="O498" i="95" s="1"/>
  <c r="N497" i="95"/>
  <c r="O497" i="95" s="1"/>
  <c r="N496" i="95"/>
  <c r="O496" i="95" s="1"/>
  <c r="N495" i="95"/>
  <c r="O495" i="95" s="1"/>
  <c r="N494" i="95"/>
  <c r="O494" i="95" s="1"/>
  <c r="N493" i="95"/>
  <c r="O493" i="95" s="1"/>
  <c r="N492" i="95"/>
  <c r="O492" i="95" s="1"/>
  <c r="N491" i="95"/>
  <c r="O491" i="95" s="1"/>
  <c r="N490" i="95"/>
  <c r="O490" i="95" s="1"/>
  <c r="N489" i="95"/>
  <c r="O489" i="95" s="1"/>
  <c r="N488" i="95"/>
  <c r="O488" i="95" s="1"/>
  <c r="N487" i="95"/>
  <c r="O487" i="95" s="1"/>
  <c r="N486" i="95"/>
  <c r="O486" i="95" s="1"/>
  <c r="N485" i="95"/>
  <c r="O485" i="95" s="1"/>
  <c r="N484" i="95"/>
  <c r="O484" i="95" s="1"/>
  <c r="N483" i="95"/>
  <c r="O483" i="95" s="1"/>
  <c r="N482" i="95"/>
  <c r="O482" i="95" s="1"/>
  <c r="N481" i="95"/>
  <c r="O481" i="95" s="1"/>
  <c r="N480" i="95"/>
  <c r="O480" i="95" s="1"/>
  <c r="N479" i="95"/>
  <c r="O479" i="95" s="1"/>
  <c r="N478" i="95"/>
  <c r="O478" i="95" s="1"/>
  <c r="N477" i="95"/>
  <c r="O477" i="95" s="1"/>
  <c r="N476" i="95"/>
  <c r="O476" i="95" s="1"/>
  <c r="N475" i="95"/>
  <c r="O475" i="95" s="1"/>
  <c r="N474" i="95"/>
  <c r="O474" i="95" s="1"/>
  <c r="N473" i="95"/>
  <c r="O473" i="95" s="1"/>
  <c r="N472" i="95"/>
  <c r="O472" i="95" s="1"/>
  <c r="N471" i="95"/>
  <c r="O471" i="95" s="1"/>
  <c r="N470" i="95"/>
  <c r="O470" i="95" s="1"/>
  <c r="N469" i="95"/>
  <c r="O469" i="95" s="1"/>
  <c r="N468" i="95"/>
  <c r="O468" i="95" s="1"/>
  <c r="N467" i="95"/>
  <c r="O467" i="95" s="1"/>
  <c r="N466" i="95"/>
  <c r="O466" i="95" s="1"/>
  <c r="N465" i="95"/>
  <c r="O465" i="95" s="1"/>
  <c r="N464" i="95"/>
  <c r="O464" i="95" s="1"/>
  <c r="N463" i="95"/>
  <c r="O463" i="95" s="1"/>
  <c r="N462" i="95"/>
  <c r="O462" i="95" s="1"/>
  <c r="N461" i="95"/>
  <c r="O461" i="95" s="1"/>
  <c r="N460" i="95"/>
  <c r="O460" i="95" s="1"/>
  <c r="N459" i="95"/>
  <c r="O459" i="95" s="1"/>
  <c r="N458" i="95"/>
  <c r="O458" i="95" s="1"/>
  <c r="N457" i="95"/>
  <c r="O457" i="95" s="1"/>
  <c r="N456" i="95"/>
  <c r="O456" i="95" s="1"/>
  <c r="N455" i="95"/>
  <c r="O455" i="95" s="1"/>
  <c r="N454" i="95"/>
  <c r="O454" i="95" s="1"/>
  <c r="N453" i="95"/>
  <c r="O453" i="95" s="1"/>
  <c r="N452" i="95"/>
  <c r="O452" i="95" s="1"/>
  <c r="N451" i="95"/>
  <c r="O451" i="95" s="1"/>
  <c r="N450" i="95"/>
  <c r="O450" i="95" s="1"/>
  <c r="N449" i="95"/>
  <c r="O449" i="95" s="1"/>
  <c r="N448" i="95"/>
  <c r="O448" i="95" s="1"/>
  <c r="N447" i="95"/>
  <c r="O447" i="95" s="1"/>
  <c r="N446" i="95"/>
  <c r="O446" i="95" s="1"/>
  <c r="N445" i="95"/>
  <c r="O445" i="95" s="1"/>
  <c r="N444" i="95"/>
  <c r="O444" i="95" s="1"/>
  <c r="N443" i="95"/>
  <c r="O443" i="95" s="1"/>
  <c r="N442" i="95"/>
  <c r="O442" i="95" s="1"/>
  <c r="N441" i="95"/>
  <c r="O441" i="95" s="1"/>
  <c r="N440" i="95"/>
  <c r="O440" i="95" s="1"/>
  <c r="N439" i="95"/>
  <c r="O439" i="95" s="1"/>
  <c r="N438" i="95"/>
  <c r="O438" i="95" s="1"/>
  <c r="N437" i="95"/>
  <c r="O437" i="95" s="1"/>
  <c r="N436" i="95"/>
  <c r="O436" i="95" s="1"/>
  <c r="N435" i="95"/>
  <c r="O435" i="95" s="1"/>
  <c r="N434" i="95"/>
  <c r="O434" i="95" s="1"/>
  <c r="N433" i="95"/>
  <c r="O433" i="95" s="1"/>
  <c r="N432" i="95"/>
  <c r="O432" i="95" s="1"/>
  <c r="N431" i="95"/>
  <c r="O431" i="95" s="1"/>
  <c r="N430" i="95"/>
  <c r="O430" i="95" s="1"/>
  <c r="N429" i="95"/>
  <c r="O429" i="95" s="1"/>
  <c r="N428" i="95"/>
  <c r="O428" i="95" s="1"/>
  <c r="N427" i="95"/>
  <c r="O427" i="95" s="1"/>
  <c r="N426" i="95"/>
  <c r="O426" i="95" s="1"/>
  <c r="N425" i="95"/>
  <c r="O425" i="95" s="1"/>
  <c r="N424" i="95"/>
  <c r="O424" i="95" s="1"/>
  <c r="N423" i="95"/>
  <c r="O423" i="95" s="1"/>
  <c r="N422" i="95"/>
  <c r="O422" i="95" s="1"/>
  <c r="N421" i="95"/>
  <c r="O421" i="95" s="1"/>
  <c r="N420" i="95"/>
  <c r="O420" i="95" s="1"/>
  <c r="N419" i="95"/>
  <c r="O419" i="95" s="1"/>
  <c r="N418" i="95"/>
  <c r="O418" i="95" s="1"/>
  <c r="N417" i="95"/>
  <c r="O417" i="95" s="1"/>
  <c r="N416" i="95"/>
  <c r="O416" i="95" s="1"/>
  <c r="N415" i="95"/>
  <c r="O415" i="95" s="1"/>
  <c r="N414" i="95"/>
  <c r="O414" i="95" s="1"/>
  <c r="N413" i="95"/>
  <c r="O413" i="95" s="1"/>
  <c r="N412" i="95"/>
  <c r="O412" i="95" s="1"/>
  <c r="N411" i="95"/>
  <c r="O411" i="95" s="1"/>
  <c r="N410" i="95"/>
  <c r="O410" i="95" s="1"/>
  <c r="N409" i="95"/>
  <c r="O409" i="95" s="1"/>
  <c r="N408" i="95"/>
  <c r="O408" i="95" s="1"/>
  <c r="N407" i="95"/>
  <c r="O407" i="95" s="1"/>
  <c r="N406" i="95"/>
  <c r="O406" i="95" s="1"/>
  <c r="N405" i="95"/>
  <c r="O405" i="95" s="1"/>
  <c r="N404" i="95"/>
  <c r="O404" i="95" s="1"/>
  <c r="N403" i="95"/>
  <c r="O403" i="95" s="1"/>
  <c r="N402" i="95"/>
  <c r="O402" i="95" s="1"/>
  <c r="N401" i="95"/>
  <c r="O401" i="95" s="1"/>
  <c r="N400" i="95"/>
  <c r="O400" i="95" s="1"/>
  <c r="N399" i="95"/>
  <c r="O399" i="95" s="1"/>
  <c r="N398" i="95"/>
  <c r="O398" i="95" s="1"/>
  <c r="N397" i="95"/>
  <c r="O397" i="95" s="1"/>
  <c r="N396" i="95"/>
  <c r="O396" i="95" s="1"/>
  <c r="N395" i="95"/>
  <c r="O395" i="95" s="1"/>
  <c r="N394" i="95"/>
  <c r="O394" i="95" s="1"/>
  <c r="N393" i="95"/>
  <c r="O393" i="95" s="1"/>
  <c r="N392" i="95"/>
  <c r="O392" i="95" s="1"/>
  <c r="N391" i="95"/>
  <c r="O391" i="95" s="1"/>
  <c r="N390" i="95"/>
  <c r="O390" i="95" s="1"/>
  <c r="N389" i="95"/>
  <c r="O389" i="95" s="1"/>
  <c r="N388" i="95"/>
  <c r="O388" i="95" s="1"/>
  <c r="N387" i="95"/>
  <c r="O387" i="95" s="1"/>
  <c r="N386" i="95"/>
  <c r="O386" i="95" s="1"/>
  <c r="N385" i="95"/>
  <c r="O385" i="95" s="1"/>
  <c r="N384" i="95"/>
  <c r="O384" i="95" s="1"/>
  <c r="N383" i="95"/>
  <c r="O383" i="95" s="1"/>
  <c r="N382" i="95"/>
  <c r="O382" i="95" s="1"/>
  <c r="N381" i="95"/>
  <c r="O381" i="95" s="1"/>
  <c r="N380" i="95"/>
  <c r="O380" i="95" s="1"/>
  <c r="N379" i="95"/>
  <c r="O379" i="95" s="1"/>
  <c r="N378" i="95"/>
  <c r="O378" i="95" s="1"/>
  <c r="N377" i="95"/>
  <c r="O377" i="95" s="1"/>
  <c r="N376" i="95"/>
  <c r="O376" i="95" s="1"/>
  <c r="N375" i="95"/>
  <c r="O375" i="95" s="1"/>
  <c r="N374" i="95"/>
  <c r="O374" i="95" s="1"/>
  <c r="N373" i="95"/>
  <c r="O373" i="95" s="1"/>
  <c r="N372" i="95"/>
  <c r="O372" i="95" s="1"/>
  <c r="N371" i="95"/>
  <c r="O371" i="95" s="1"/>
  <c r="N370" i="95"/>
  <c r="O370" i="95" s="1"/>
  <c r="N369" i="95"/>
  <c r="O369" i="95" s="1"/>
  <c r="N368" i="95"/>
  <c r="O368" i="95" s="1"/>
  <c r="N367" i="95"/>
  <c r="O367" i="95" s="1"/>
  <c r="N366" i="95"/>
  <c r="O366" i="95" s="1"/>
  <c r="N365" i="95"/>
  <c r="O365" i="95" s="1"/>
  <c r="N364" i="95"/>
  <c r="O364" i="95" s="1"/>
  <c r="N363" i="95"/>
  <c r="O363" i="95" s="1"/>
  <c r="N362" i="95"/>
  <c r="O362" i="95" s="1"/>
  <c r="N361" i="95"/>
  <c r="O361" i="95" s="1"/>
  <c r="N360" i="95"/>
  <c r="O360" i="95" s="1"/>
  <c r="N359" i="95"/>
  <c r="O359" i="95" s="1"/>
  <c r="N358" i="95"/>
  <c r="O358" i="95" s="1"/>
  <c r="N357" i="95"/>
  <c r="O357" i="95" s="1"/>
  <c r="N356" i="95"/>
  <c r="O356" i="95" s="1"/>
  <c r="N355" i="95"/>
  <c r="O355" i="95" s="1"/>
  <c r="N354" i="95"/>
  <c r="O354" i="95" s="1"/>
  <c r="N353" i="95"/>
  <c r="O353" i="95" s="1"/>
  <c r="N352" i="95"/>
  <c r="O352" i="95" s="1"/>
  <c r="N351" i="95"/>
  <c r="O351" i="95" s="1"/>
  <c r="N350" i="95"/>
  <c r="O350" i="95" s="1"/>
  <c r="N349" i="95"/>
  <c r="O349" i="95" s="1"/>
  <c r="N348" i="95"/>
  <c r="O348" i="95" s="1"/>
  <c r="N347" i="95"/>
  <c r="O347" i="95" s="1"/>
  <c r="N346" i="95"/>
  <c r="O346" i="95" s="1"/>
  <c r="N345" i="95"/>
  <c r="O345" i="95" s="1"/>
  <c r="N344" i="95"/>
  <c r="O344" i="95" s="1"/>
  <c r="N343" i="95"/>
  <c r="O343" i="95" s="1"/>
  <c r="N342" i="95"/>
  <c r="O342" i="95" s="1"/>
  <c r="N341" i="95"/>
  <c r="O341" i="95" s="1"/>
  <c r="N340" i="95"/>
  <c r="O340" i="95" s="1"/>
  <c r="N339" i="95"/>
  <c r="O339" i="95" s="1"/>
  <c r="N338" i="95"/>
  <c r="O338" i="95" s="1"/>
  <c r="N337" i="95"/>
  <c r="O337" i="95" s="1"/>
  <c r="N336" i="95"/>
  <c r="O336" i="95" s="1"/>
  <c r="N335" i="95"/>
  <c r="O335" i="95" s="1"/>
  <c r="N334" i="95"/>
  <c r="O334" i="95" s="1"/>
  <c r="N333" i="95"/>
  <c r="O333" i="95" s="1"/>
  <c r="N332" i="95"/>
  <c r="O332" i="95" s="1"/>
  <c r="N331" i="95"/>
  <c r="O331" i="95" s="1"/>
  <c r="N330" i="95"/>
  <c r="O330" i="95" s="1"/>
  <c r="N329" i="95"/>
  <c r="O329" i="95" s="1"/>
  <c r="N328" i="95"/>
  <c r="O328" i="95" s="1"/>
  <c r="N327" i="95"/>
  <c r="O327" i="95" s="1"/>
  <c r="N326" i="95"/>
  <c r="O326" i="95" s="1"/>
  <c r="N325" i="95"/>
  <c r="O325" i="95" s="1"/>
  <c r="N324" i="95"/>
  <c r="O324" i="95" s="1"/>
  <c r="N323" i="95"/>
  <c r="O323" i="95" s="1"/>
  <c r="N322" i="95"/>
  <c r="O322" i="95" s="1"/>
  <c r="N321" i="95"/>
  <c r="O321" i="95" s="1"/>
  <c r="N320" i="95"/>
  <c r="O320" i="95" s="1"/>
  <c r="N319" i="95"/>
  <c r="O319" i="95" s="1"/>
  <c r="N318" i="95"/>
  <c r="O318" i="95" s="1"/>
  <c r="N317" i="95"/>
  <c r="O317" i="95" s="1"/>
  <c r="N316" i="95"/>
  <c r="O316" i="95" s="1"/>
  <c r="N315" i="95"/>
  <c r="O315" i="95" s="1"/>
  <c r="N314" i="95"/>
  <c r="O314" i="95" s="1"/>
  <c r="N313" i="95"/>
  <c r="O313" i="95" s="1"/>
  <c r="N312" i="95"/>
  <c r="O312" i="95" s="1"/>
  <c r="N311" i="95"/>
  <c r="O311" i="95" s="1"/>
  <c r="N310" i="95"/>
  <c r="O310" i="95" s="1"/>
  <c r="N309" i="95"/>
  <c r="O309" i="95" s="1"/>
  <c r="N308" i="95"/>
  <c r="O308" i="95" s="1"/>
  <c r="N307" i="95"/>
  <c r="O307" i="95" s="1"/>
  <c r="N306" i="95"/>
  <c r="O306" i="95" s="1"/>
  <c r="N305" i="95"/>
  <c r="O305" i="95" s="1"/>
  <c r="N304" i="95"/>
  <c r="O304" i="95" s="1"/>
  <c r="N303" i="95"/>
  <c r="O303" i="95" s="1"/>
  <c r="N302" i="95"/>
  <c r="O302" i="95" s="1"/>
  <c r="N301" i="95"/>
  <c r="O301" i="95" s="1"/>
  <c r="N300" i="95"/>
  <c r="O300" i="95" s="1"/>
  <c r="N299" i="95"/>
  <c r="O299" i="95" s="1"/>
  <c r="N298" i="95"/>
  <c r="O298" i="95" s="1"/>
  <c r="N297" i="95"/>
  <c r="O297" i="95" s="1"/>
  <c r="N296" i="95"/>
  <c r="O296" i="95" s="1"/>
  <c r="N295" i="95"/>
  <c r="O295" i="95" s="1"/>
  <c r="N294" i="95"/>
  <c r="O294" i="95" s="1"/>
  <c r="N293" i="95"/>
  <c r="O293" i="95" s="1"/>
  <c r="N292" i="95"/>
  <c r="O292" i="95" s="1"/>
  <c r="N291" i="95"/>
  <c r="O291" i="95" s="1"/>
  <c r="N290" i="95"/>
  <c r="O290" i="95" s="1"/>
  <c r="N289" i="95"/>
  <c r="O289" i="95" s="1"/>
  <c r="N288" i="95"/>
  <c r="O288" i="95" s="1"/>
  <c r="N287" i="95"/>
  <c r="O287" i="95" s="1"/>
  <c r="N286" i="95"/>
  <c r="O286" i="95" s="1"/>
  <c r="N285" i="95"/>
  <c r="O285" i="95" s="1"/>
  <c r="N284" i="95"/>
  <c r="O284" i="95" s="1"/>
  <c r="N283" i="95"/>
  <c r="O283" i="95" s="1"/>
  <c r="N282" i="95"/>
  <c r="O282" i="95" s="1"/>
  <c r="N281" i="95"/>
  <c r="O281" i="95" s="1"/>
  <c r="N280" i="95"/>
  <c r="O280" i="95" s="1"/>
  <c r="N279" i="95"/>
  <c r="O279" i="95" s="1"/>
  <c r="N278" i="95"/>
  <c r="O278" i="95" s="1"/>
  <c r="N277" i="95"/>
  <c r="O277" i="95" s="1"/>
  <c r="N276" i="95"/>
  <c r="O276" i="95" s="1"/>
  <c r="N275" i="95"/>
  <c r="O275" i="95" s="1"/>
  <c r="N274" i="95"/>
  <c r="O274" i="95" s="1"/>
  <c r="N273" i="95"/>
  <c r="O273" i="95" s="1"/>
  <c r="N272" i="95"/>
  <c r="O272" i="95" s="1"/>
  <c r="N271" i="95"/>
  <c r="O271" i="95" s="1"/>
  <c r="N270" i="95"/>
  <c r="O270" i="95" s="1"/>
  <c r="N269" i="95"/>
  <c r="O269" i="95" s="1"/>
  <c r="N268" i="95"/>
  <c r="O268" i="95" s="1"/>
  <c r="N267" i="95"/>
  <c r="O267" i="95" s="1"/>
  <c r="N266" i="95"/>
  <c r="O266" i="95" s="1"/>
  <c r="N265" i="95"/>
  <c r="O265" i="95" s="1"/>
  <c r="N264" i="95"/>
  <c r="O264" i="95" s="1"/>
  <c r="N263" i="95"/>
  <c r="O263" i="95" s="1"/>
  <c r="N262" i="95"/>
  <c r="O262" i="95" s="1"/>
  <c r="N261" i="95"/>
  <c r="O261" i="95" s="1"/>
  <c r="N260" i="95"/>
  <c r="O260" i="95" s="1"/>
  <c r="N259" i="95"/>
  <c r="O259" i="95" s="1"/>
  <c r="N258" i="95"/>
  <c r="O258" i="95" s="1"/>
  <c r="N257" i="95"/>
  <c r="O257" i="95" s="1"/>
  <c r="N256" i="95"/>
  <c r="O256" i="95" s="1"/>
  <c r="N255" i="95"/>
  <c r="O255" i="95" s="1"/>
  <c r="N254" i="95"/>
  <c r="O254" i="95" s="1"/>
  <c r="N253" i="95"/>
  <c r="O253" i="95" s="1"/>
  <c r="N252" i="95"/>
  <c r="O252" i="95" s="1"/>
  <c r="N251" i="95"/>
  <c r="O251" i="95" s="1"/>
  <c r="N250" i="95"/>
  <c r="O250" i="95" s="1"/>
  <c r="N249" i="95"/>
  <c r="O249" i="95" s="1"/>
  <c r="N248" i="95"/>
  <c r="O248" i="95" s="1"/>
  <c r="N247" i="95"/>
  <c r="O247" i="95" s="1"/>
  <c r="N246" i="95"/>
  <c r="O246" i="95" s="1"/>
  <c r="N245" i="95"/>
  <c r="O245" i="95" s="1"/>
  <c r="N244" i="95"/>
  <c r="O244" i="95" s="1"/>
  <c r="N243" i="95"/>
  <c r="O243" i="95" s="1"/>
  <c r="N242" i="95"/>
  <c r="O242" i="95" s="1"/>
  <c r="N241" i="95"/>
  <c r="O241" i="95" s="1"/>
  <c r="N240" i="95"/>
  <c r="O240" i="95" s="1"/>
  <c r="N239" i="95"/>
  <c r="O239" i="95" s="1"/>
  <c r="N238" i="95"/>
  <c r="O238" i="95" s="1"/>
  <c r="N237" i="95"/>
  <c r="O237" i="95" s="1"/>
  <c r="N236" i="95"/>
  <c r="O236" i="95" s="1"/>
  <c r="N235" i="95"/>
  <c r="O235" i="95" s="1"/>
  <c r="N234" i="95"/>
  <c r="O234" i="95" s="1"/>
  <c r="N233" i="95"/>
  <c r="O233" i="95" s="1"/>
  <c r="N232" i="95"/>
  <c r="O232" i="95" s="1"/>
  <c r="N231" i="95"/>
  <c r="O231" i="95" s="1"/>
  <c r="N230" i="95"/>
  <c r="O230" i="95" s="1"/>
  <c r="N229" i="95"/>
  <c r="O229" i="95" s="1"/>
  <c r="N228" i="95"/>
  <c r="O228" i="95" s="1"/>
  <c r="N227" i="95"/>
  <c r="O227" i="95" s="1"/>
  <c r="N226" i="95"/>
  <c r="O226" i="95" s="1"/>
  <c r="N225" i="95"/>
  <c r="O225" i="95" s="1"/>
  <c r="N224" i="95"/>
  <c r="O224" i="95" s="1"/>
  <c r="N223" i="95"/>
  <c r="O223" i="95" s="1"/>
  <c r="N222" i="95"/>
  <c r="O222" i="95" s="1"/>
  <c r="N221" i="95"/>
  <c r="O221" i="95" s="1"/>
  <c r="N220" i="95"/>
  <c r="O220" i="95" s="1"/>
  <c r="N219" i="95"/>
  <c r="O219" i="95" s="1"/>
  <c r="N218" i="95"/>
  <c r="O218" i="95" s="1"/>
  <c r="N217" i="95"/>
  <c r="O217" i="95" s="1"/>
  <c r="N216" i="95"/>
  <c r="O216" i="95" s="1"/>
  <c r="N215" i="95"/>
  <c r="O215" i="95" s="1"/>
  <c r="N214" i="95"/>
  <c r="O214" i="95" s="1"/>
  <c r="N213" i="95"/>
  <c r="O213" i="95" s="1"/>
  <c r="N212" i="95"/>
  <c r="O212" i="95" s="1"/>
  <c r="N211" i="95"/>
  <c r="O211" i="95" s="1"/>
  <c r="N210" i="95"/>
  <c r="O210" i="95" s="1"/>
  <c r="N209" i="95"/>
  <c r="O209" i="95" s="1"/>
  <c r="N208" i="95"/>
  <c r="O208" i="95" s="1"/>
  <c r="N207" i="95"/>
  <c r="O207" i="95" s="1"/>
  <c r="N206" i="95"/>
  <c r="O206" i="95" s="1"/>
  <c r="N205" i="95"/>
  <c r="O205" i="95" s="1"/>
  <c r="N204" i="95"/>
  <c r="O204" i="95" s="1"/>
  <c r="N203" i="95"/>
  <c r="O203" i="95" s="1"/>
  <c r="N202" i="95"/>
  <c r="O202" i="95" s="1"/>
  <c r="N201" i="95"/>
  <c r="O201" i="95" s="1"/>
  <c r="N200" i="95"/>
  <c r="O200" i="95" s="1"/>
  <c r="N199" i="95"/>
  <c r="O199" i="95" s="1"/>
  <c r="N198" i="95"/>
  <c r="O198" i="95" s="1"/>
  <c r="N197" i="95"/>
  <c r="O197" i="95" s="1"/>
  <c r="N196" i="95"/>
  <c r="O196" i="95" s="1"/>
  <c r="N195" i="95"/>
  <c r="O195" i="95" s="1"/>
  <c r="N194" i="95"/>
  <c r="O194" i="95" s="1"/>
  <c r="N193" i="95"/>
  <c r="O193" i="95" s="1"/>
  <c r="N192" i="95"/>
  <c r="O192" i="95" s="1"/>
  <c r="N191" i="95"/>
  <c r="O191" i="95" s="1"/>
  <c r="N190" i="95"/>
  <c r="O190" i="95" s="1"/>
  <c r="N189" i="95"/>
  <c r="O189" i="95" s="1"/>
  <c r="N188" i="95"/>
  <c r="O188" i="95" s="1"/>
  <c r="N187" i="95"/>
  <c r="O187" i="95" s="1"/>
  <c r="N186" i="95"/>
  <c r="O186" i="95" s="1"/>
  <c r="N185" i="95"/>
  <c r="O185" i="95" s="1"/>
  <c r="N184" i="95"/>
  <c r="O184" i="95" s="1"/>
  <c r="N183" i="95"/>
  <c r="O183" i="95" s="1"/>
  <c r="N182" i="95"/>
  <c r="O182" i="95" s="1"/>
  <c r="N181" i="95"/>
  <c r="O181" i="95" s="1"/>
  <c r="N180" i="95"/>
  <c r="O180" i="95" s="1"/>
  <c r="N179" i="95"/>
  <c r="O179" i="95" s="1"/>
  <c r="N178" i="95"/>
  <c r="O178" i="95" s="1"/>
  <c r="N177" i="95"/>
  <c r="O177" i="95" s="1"/>
  <c r="N176" i="95"/>
  <c r="O176" i="95" s="1"/>
  <c r="N175" i="95"/>
  <c r="O175" i="95" s="1"/>
  <c r="N174" i="95"/>
  <c r="O174" i="95" s="1"/>
  <c r="N173" i="95"/>
  <c r="O173" i="95" s="1"/>
  <c r="N172" i="95"/>
  <c r="O172" i="95" s="1"/>
  <c r="N171" i="95"/>
  <c r="O171" i="95" s="1"/>
  <c r="N170" i="95"/>
  <c r="O170" i="95" s="1"/>
  <c r="N169" i="95"/>
  <c r="O169" i="95" s="1"/>
  <c r="N168" i="95"/>
  <c r="O168" i="95" s="1"/>
  <c r="N167" i="95"/>
  <c r="O167" i="95" s="1"/>
  <c r="N166" i="95"/>
  <c r="O166" i="95" s="1"/>
  <c r="N165" i="95"/>
  <c r="O165" i="95" s="1"/>
  <c r="N164" i="95"/>
  <c r="O164" i="95" s="1"/>
  <c r="N163" i="95"/>
  <c r="O163" i="95" s="1"/>
  <c r="N162" i="95"/>
  <c r="O162" i="95" s="1"/>
  <c r="N161" i="95"/>
  <c r="O161" i="95" s="1"/>
  <c r="N160" i="95"/>
  <c r="O160" i="95" s="1"/>
  <c r="N159" i="95"/>
  <c r="O159" i="95" s="1"/>
  <c r="N158" i="95"/>
  <c r="O158" i="95" s="1"/>
  <c r="N157" i="95"/>
  <c r="O157" i="95" s="1"/>
  <c r="N156" i="95"/>
  <c r="O156" i="95" s="1"/>
  <c r="N155" i="95"/>
  <c r="O155" i="95" s="1"/>
  <c r="N154" i="95"/>
  <c r="O154" i="95" s="1"/>
  <c r="N153" i="95"/>
  <c r="O153" i="95" s="1"/>
  <c r="N152" i="95"/>
  <c r="O152" i="95" s="1"/>
  <c r="N151" i="95"/>
  <c r="O151" i="95" s="1"/>
  <c r="N150" i="95"/>
  <c r="O150" i="95" s="1"/>
  <c r="N149" i="95"/>
  <c r="O149" i="95" s="1"/>
  <c r="N148" i="95"/>
  <c r="O148" i="95" s="1"/>
  <c r="N147" i="95"/>
  <c r="O147" i="95" s="1"/>
  <c r="N146" i="95"/>
  <c r="O146" i="95" s="1"/>
  <c r="N145" i="95"/>
  <c r="O145" i="95" s="1"/>
  <c r="N144" i="95"/>
  <c r="O144" i="95" s="1"/>
  <c r="N143" i="95"/>
  <c r="O143" i="95" s="1"/>
  <c r="N142" i="95"/>
  <c r="O142" i="95" s="1"/>
  <c r="N141" i="95"/>
  <c r="O141" i="95" s="1"/>
  <c r="N140" i="95"/>
  <c r="O140" i="95" s="1"/>
  <c r="N139" i="95"/>
  <c r="O139" i="95" s="1"/>
  <c r="N138" i="95"/>
  <c r="O138" i="95" s="1"/>
  <c r="N137" i="95"/>
  <c r="O137" i="95" s="1"/>
  <c r="N136" i="95"/>
  <c r="O136" i="95" s="1"/>
  <c r="N135" i="95"/>
  <c r="O135" i="95" s="1"/>
  <c r="N134" i="95"/>
  <c r="O134" i="95" s="1"/>
  <c r="N133" i="95"/>
  <c r="O133" i="95" s="1"/>
  <c r="N132" i="95"/>
  <c r="O132" i="95" s="1"/>
  <c r="N131" i="95"/>
  <c r="O131" i="95" s="1"/>
  <c r="N130" i="95"/>
  <c r="O130" i="95" s="1"/>
  <c r="N129" i="95"/>
  <c r="O129" i="95" s="1"/>
  <c r="N128" i="95"/>
  <c r="O128" i="95" s="1"/>
  <c r="N127" i="95"/>
  <c r="O127" i="95" s="1"/>
  <c r="N126" i="95"/>
  <c r="O126" i="95" s="1"/>
  <c r="N125" i="95"/>
  <c r="O125" i="95" s="1"/>
  <c r="N124" i="95"/>
  <c r="O124" i="95" s="1"/>
  <c r="N123" i="95"/>
  <c r="O123" i="95" s="1"/>
  <c r="N122" i="95"/>
  <c r="O122" i="95" s="1"/>
  <c r="N121" i="95"/>
  <c r="O121" i="95" s="1"/>
  <c r="N120" i="95"/>
  <c r="O120" i="95" s="1"/>
  <c r="N119" i="95"/>
  <c r="O119" i="95" s="1"/>
  <c r="N118" i="95"/>
  <c r="O118" i="95" s="1"/>
  <c r="N117" i="95"/>
  <c r="O117" i="95" s="1"/>
  <c r="N116" i="95"/>
  <c r="O116" i="95" s="1"/>
  <c r="N115" i="95"/>
  <c r="O115" i="95" s="1"/>
  <c r="N114" i="95"/>
  <c r="O114" i="95" s="1"/>
  <c r="N113" i="95"/>
  <c r="O113" i="95" s="1"/>
  <c r="N112" i="95"/>
  <c r="O112" i="95" s="1"/>
  <c r="N111" i="95"/>
  <c r="O111" i="95" s="1"/>
  <c r="N110" i="95"/>
  <c r="O110" i="95" s="1"/>
  <c r="N109" i="95"/>
  <c r="O109" i="95" s="1"/>
  <c r="N108" i="95"/>
  <c r="O108" i="95" s="1"/>
  <c r="N107" i="95"/>
  <c r="O107" i="95" s="1"/>
  <c r="N106" i="95"/>
  <c r="O106" i="95" s="1"/>
  <c r="N105" i="95"/>
  <c r="O105" i="95" s="1"/>
  <c r="N104" i="95"/>
  <c r="O104" i="95" s="1"/>
  <c r="N103" i="95"/>
  <c r="O103" i="95" s="1"/>
  <c r="N102" i="95"/>
  <c r="O102" i="95" s="1"/>
  <c r="N101" i="95"/>
  <c r="O101" i="95" s="1"/>
  <c r="N100" i="95"/>
  <c r="O100" i="95" s="1"/>
  <c r="N99" i="95"/>
  <c r="O99" i="95" s="1"/>
  <c r="N98" i="95"/>
  <c r="O98" i="95" s="1"/>
  <c r="N97" i="95"/>
  <c r="O97" i="95" s="1"/>
  <c r="N96" i="95"/>
  <c r="O96" i="95" s="1"/>
  <c r="N95" i="95"/>
  <c r="O95" i="95" s="1"/>
  <c r="N94" i="95"/>
  <c r="O94" i="95" s="1"/>
  <c r="N93" i="95"/>
  <c r="O93" i="95" s="1"/>
  <c r="N92" i="95"/>
  <c r="O92" i="95" s="1"/>
  <c r="N91" i="95"/>
  <c r="O91" i="95" s="1"/>
  <c r="N90" i="95"/>
  <c r="O90" i="95" s="1"/>
  <c r="N89" i="95"/>
  <c r="O89" i="95" s="1"/>
  <c r="N88" i="95"/>
  <c r="O88" i="95" s="1"/>
  <c r="N87" i="95"/>
  <c r="O87" i="95" s="1"/>
  <c r="N86" i="95"/>
  <c r="O86" i="95" s="1"/>
  <c r="N85" i="95"/>
  <c r="O85" i="95" s="1"/>
  <c r="N84" i="95"/>
  <c r="O84" i="95" s="1"/>
  <c r="N83" i="95"/>
  <c r="O83" i="95" s="1"/>
  <c r="N82" i="95"/>
  <c r="O82" i="95" s="1"/>
  <c r="N81" i="95"/>
  <c r="O81" i="95" s="1"/>
  <c r="N80" i="95"/>
  <c r="O80" i="95" s="1"/>
  <c r="N79" i="95"/>
  <c r="O79" i="95" s="1"/>
  <c r="N78" i="95"/>
  <c r="O78" i="95" s="1"/>
  <c r="N77" i="95"/>
  <c r="O77" i="95"/>
  <c r="N76" i="95"/>
  <c r="O76" i="95" s="1"/>
  <c r="N75" i="95"/>
  <c r="O75" i="95" s="1"/>
  <c r="N74" i="95"/>
  <c r="O74" i="95" s="1"/>
  <c r="N73" i="95"/>
  <c r="O73" i="95" s="1"/>
  <c r="N72" i="95"/>
  <c r="O72" i="95" s="1"/>
  <c r="N71" i="95"/>
  <c r="O71" i="95" s="1"/>
  <c r="N70" i="95"/>
  <c r="O70" i="95" s="1"/>
  <c r="N69" i="95"/>
  <c r="O69" i="95" s="1"/>
  <c r="N68" i="95"/>
  <c r="O68" i="95" s="1"/>
  <c r="O488" i="94"/>
  <c r="O487" i="94"/>
  <c r="O486" i="94"/>
  <c r="O485" i="94"/>
  <c r="O484" i="94"/>
  <c r="O483" i="94"/>
  <c r="O482" i="94"/>
  <c r="O480" i="94"/>
  <c r="O479" i="94"/>
  <c r="O478" i="94"/>
  <c r="O471" i="94"/>
  <c r="O470" i="94"/>
  <c r="O469" i="94"/>
  <c r="O468" i="94"/>
  <c r="O467" i="94"/>
  <c r="O466" i="94"/>
  <c r="O465" i="94"/>
  <c r="O464" i="94"/>
  <c r="O463" i="94"/>
  <c r="O462" i="94"/>
  <c r="O461" i="94"/>
  <c r="O460" i="94"/>
  <c r="O459" i="94"/>
  <c r="O458" i="94"/>
  <c r="O457" i="94"/>
  <c r="O456" i="94"/>
  <c r="O455" i="94"/>
  <c r="O454" i="94"/>
  <c r="O453" i="94"/>
  <c r="O452" i="94"/>
  <c r="O451" i="94"/>
  <c r="O450" i="94"/>
  <c r="O449" i="94"/>
  <c r="O448" i="94"/>
  <c r="O447" i="94"/>
  <c r="O446" i="94"/>
  <c r="O445" i="94"/>
  <c r="O444" i="94"/>
  <c r="O443" i="94"/>
  <c r="O442" i="94"/>
  <c r="O441" i="94"/>
  <c r="O440" i="94"/>
  <c r="O439" i="94"/>
  <c r="O438" i="94"/>
  <c r="O437" i="94"/>
  <c r="O436" i="94"/>
  <c r="O435" i="94"/>
  <c r="O434" i="94"/>
  <c r="O433" i="94"/>
  <c r="O432" i="94"/>
  <c r="O431" i="94"/>
  <c r="O430" i="94"/>
  <c r="O429" i="94"/>
  <c r="O428" i="94"/>
  <c r="O427" i="94"/>
  <c r="O426" i="94"/>
  <c r="O425" i="94"/>
  <c r="O424" i="94"/>
  <c r="O423" i="94"/>
  <c r="O422" i="94"/>
  <c r="O421" i="94"/>
  <c r="O420" i="94"/>
  <c r="O419" i="94"/>
  <c r="O418" i="94"/>
  <c r="O417" i="94"/>
  <c r="O416" i="94"/>
  <c r="O415" i="94"/>
  <c r="O414" i="94"/>
  <c r="O413" i="94"/>
  <c r="O411" i="94"/>
  <c r="O410" i="94"/>
  <c r="O408" i="94"/>
  <c r="O407" i="94"/>
  <c r="O406" i="94"/>
  <c r="O405" i="94"/>
  <c r="O404" i="94"/>
  <c r="O403" i="94"/>
  <c r="O402" i="94"/>
  <c r="O401" i="94"/>
  <c r="O400" i="94"/>
  <c r="O399" i="94"/>
  <c r="O398" i="94"/>
  <c r="O397" i="94"/>
  <c r="O396" i="94"/>
  <c r="O395" i="94"/>
  <c r="O394" i="94"/>
  <c r="O393" i="94"/>
  <c r="O392" i="94"/>
  <c r="O391" i="94"/>
  <c r="O390" i="94"/>
  <c r="O389" i="94"/>
  <c r="O388" i="94"/>
  <c r="O387" i="94"/>
  <c r="O386" i="94"/>
  <c r="O385" i="94"/>
  <c r="O384" i="94"/>
  <c r="O383" i="94"/>
  <c r="O382" i="94"/>
  <c r="O381" i="94"/>
  <c r="O380" i="94"/>
  <c r="O379" i="94"/>
  <c r="O378" i="94"/>
  <c r="O377" i="94"/>
  <c r="O376" i="94"/>
  <c r="O375" i="94"/>
  <c r="O374" i="94"/>
  <c r="O373" i="94"/>
  <c r="O372" i="94"/>
  <c r="O371" i="94"/>
  <c r="O369" i="94"/>
  <c r="O368" i="94"/>
  <c r="O367" i="94"/>
  <c r="O366" i="94"/>
  <c r="O365" i="94"/>
  <c r="O364" i="94"/>
  <c r="O363" i="94"/>
  <c r="O362" i="94"/>
  <c r="O361" i="94"/>
  <c r="O359" i="94"/>
  <c r="O358" i="94"/>
  <c r="O357" i="94"/>
  <c r="O356" i="94"/>
  <c r="O355" i="94"/>
  <c r="O354" i="94"/>
  <c r="O353" i="94"/>
  <c r="O352" i="94"/>
  <c r="O351" i="94"/>
  <c r="O350" i="94"/>
  <c r="O349" i="94"/>
  <c r="O348" i="94"/>
  <c r="O347" i="94"/>
  <c r="O346" i="94"/>
  <c r="O345" i="94"/>
  <c r="O344" i="94"/>
  <c r="O343" i="94"/>
  <c r="O342" i="94"/>
  <c r="O341" i="94"/>
  <c r="O340" i="94"/>
  <c r="O338" i="94"/>
  <c r="O337" i="94"/>
  <c r="O336" i="94"/>
  <c r="O335" i="94"/>
  <c r="O334" i="94"/>
  <c r="O333" i="94"/>
  <c r="O332" i="94"/>
  <c r="O331" i="94"/>
  <c r="O330" i="94"/>
  <c r="O329" i="94"/>
  <c r="O328" i="94"/>
  <c r="O327" i="94"/>
  <c r="O326" i="94"/>
  <c r="O325" i="94"/>
  <c r="O324" i="94"/>
  <c r="O323" i="94"/>
  <c r="O322" i="94"/>
  <c r="O321" i="94"/>
  <c r="O320" i="94"/>
  <c r="O319" i="94"/>
  <c r="O318" i="94"/>
  <c r="O317" i="94"/>
  <c r="O316" i="94"/>
  <c r="O315" i="94"/>
  <c r="O313" i="94"/>
  <c r="O312" i="94"/>
  <c r="O311" i="94"/>
  <c r="O310" i="94"/>
  <c r="O309" i="94"/>
  <c r="O308" i="94"/>
  <c r="O307" i="94"/>
  <c r="O306" i="94"/>
  <c r="O305" i="94"/>
  <c r="O304" i="94"/>
  <c r="O303" i="94"/>
  <c r="O302" i="94"/>
  <c r="O301" i="94"/>
  <c r="O300" i="94"/>
  <c r="O299" i="94"/>
  <c r="O298" i="94"/>
  <c r="O297" i="94"/>
  <c r="O296" i="94"/>
  <c r="O295" i="94"/>
  <c r="O294" i="94"/>
  <c r="O293" i="94"/>
  <c r="O292" i="94"/>
  <c r="O291" i="94"/>
  <c r="O290" i="94"/>
  <c r="O289" i="94"/>
  <c r="O287" i="94"/>
  <c r="O286" i="94"/>
  <c r="O285" i="94"/>
  <c r="O284" i="94"/>
  <c r="O283" i="94"/>
  <c r="O282" i="94"/>
  <c r="O281" i="94"/>
  <c r="O280" i="94"/>
  <c r="O279" i="94"/>
  <c r="O278" i="94"/>
  <c r="O277" i="94"/>
  <c r="O276" i="94"/>
  <c r="O275" i="94"/>
  <c r="O274" i="94"/>
  <c r="O273" i="94"/>
  <c r="O272" i="94"/>
  <c r="O271" i="94"/>
  <c r="O270" i="94"/>
  <c r="O269" i="94"/>
  <c r="O268" i="94"/>
  <c r="O267" i="94"/>
  <c r="O266" i="94"/>
  <c r="O265" i="94"/>
  <c r="O264" i="94"/>
  <c r="O263" i="94"/>
  <c r="O262" i="94"/>
  <c r="O261" i="94"/>
  <c r="O260" i="94"/>
  <c r="O259" i="94"/>
  <c r="O258" i="94"/>
  <c r="O257" i="94"/>
  <c r="O256" i="94"/>
  <c r="O255" i="94"/>
  <c r="O254" i="94"/>
  <c r="O253" i="94"/>
  <c r="O252" i="94"/>
  <c r="O251" i="94"/>
  <c r="O250" i="94"/>
  <c r="O249" i="94"/>
  <c r="O248" i="94"/>
  <c r="O247" i="94"/>
  <c r="O246" i="94"/>
  <c r="O245" i="94"/>
  <c r="O244" i="94"/>
  <c r="O243" i="94"/>
  <c r="O242" i="94"/>
  <c r="O241" i="94"/>
  <c r="O240" i="94"/>
  <c r="O239" i="94"/>
  <c r="O238" i="94"/>
  <c r="O237" i="94"/>
  <c r="O236" i="94"/>
  <c r="O235" i="94"/>
  <c r="O234" i="94"/>
  <c r="O233" i="94"/>
  <c r="O232" i="94"/>
  <c r="O231" i="94"/>
  <c r="O230" i="94"/>
  <c r="O229" i="94"/>
  <c r="O228" i="94"/>
  <c r="O227" i="94"/>
  <c r="O226" i="94"/>
  <c r="O225" i="94"/>
  <c r="O224" i="94"/>
  <c r="O223" i="94"/>
  <c r="O222" i="94"/>
  <c r="O221" i="94"/>
  <c r="O220" i="94"/>
  <c r="O219" i="94"/>
  <c r="O218" i="94"/>
  <c r="O217" i="94"/>
  <c r="O216" i="94"/>
  <c r="O215" i="94"/>
  <c r="O214" i="94"/>
  <c r="O213" i="94"/>
  <c r="O212" i="94"/>
  <c r="O211" i="94"/>
  <c r="O210" i="94"/>
  <c r="O209" i="94"/>
  <c r="O208" i="94"/>
  <c r="O207" i="94"/>
  <c r="O206" i="94"/>
  <c r="O205" i="94"/>
  <c r="O204" i="94"/>
  <c r="O203" i="94"/>
  <c r="O202" i="94"/>
  <c r="O201" i="94"/>
  <c r="O200" i="94"/>
  <c r="O199" i="94"/>
  <c r="O198" i="94"/>
  <c r="O197" i="94"/>
  <c r="O196" i="94"/>
  <c r="O195" i="94"/>
  <c r="O194" i="94"/>
  <c r="O193" i="94"/>
  <c r="O192" i="94"/>
  <c r="O191" i="94"/>
  <c r="O190" i="94"/>
  <c r="O189" i="94"/>
  <c r="O188" i="94"/>
  <c r="O187" i="94"/>
  <c r="O186" i="94"/>
  <c r="O184" i="94"/>
  <c r="O183" i="94"/>
  <c r="O182" i="94"/>
  <c r="O181" i="94"/>
  <c r="O180" i="94"/>
  <c r="O179" i="94"/>
  <c r="O178" i="94"/>
  <c r="O177" i="94"/>
  <c r="O176" i="94"/>
  <c r="O175" i="94"/>
  <c r="O174" i="94"/>
  <c r="O173" i="94"/>
  <c r="O172" i="94"/>
  <c r="O171" i="94"/>
  <c r="O170" i="94"/>
  <c r="O169" i="94"/>
  <c r="O168" i="94"/>
  <c r="O167" i="94"/>
  <c r="O166" i="94"/>
  <c r="O165" i="94"/>
  <c r="O164" i="94"/>
  <c r="O163" i="94"/>
  <c r="O162" i="94"/>
  <c r="O161" i="94"/>
  <c r="O160" i="94"/>
  <c r="O159" i="94"/>
  <c r="O158" i="94"/>
  <c r="O156" i="94"/>
  <c r="O155" i="94"/>
  <c r="O154" i="94"/>
  <c r="O153" i="94"/>
  <c r="O152" i="94"/>
  <c r="O151" i="94"/>
  <c r="O150" i="94"/>
  <c r="O149" i="94"/>
  <c r="O148" i="94"/>
  <c r="O147" i="94"/>
  <c r="O146" i="94"/>
  <c r="O145" i="94"/>
  <c r="O144" i="94"/>
  <c r="O143" i="94"/>
  <c r="O142" i="94"/>
  <c r="O141" i="94"/>
  <c r="O140" i="94"/>
  <c r="O139" i="94"/>
  <c r="O138" i="94"/>
  <c r="O137" i="94"/>
  <c r="O136" i="94"/>
  <c r="O135" i="94"/>
  <c r="O134" i="94"/>
  <c r="O133" i="94"/>
  <c r="O132" i="94"/>
  <c r="O131" i="94"/>
  <c r="O130" i="94"/>
  <c r="O129" i="94"/>
  <c r="O128" i="94"/>
  <c r="O127" i="94"/>
  <c r="O126" i="94"/>
  <c r="O125" i="94"/>
  <c r="O124" i="94"/>
  <c r="O123" i="94"/>
  <c r="O122" i="94"/>
  <c r="O121" i="94"/>
  <c r="O120" i="94"/>
  <c r="O119" i="94"/>
  <c r="O118" i="94"/>
  <c r="O117" i="94"/>
  <c r="O116" i="94"/>
  <c r="O115" i="94"/>
  <c r="O114" i="94"/>
  <c r="O113" i="94"/>
  <c r="O112" i="94"/>
  <c r="O111" i="94"/>
  <c r="O110" i="94"/>
  <c r="O109" i="94"/>
  <c r="O108" i="94"/>
  <c r="O107" i="94"/>
  <c r="O106" i="94"/>
  <c r="O105" i="94"/>
  <c r="O104" i="94"/>
  <c r="O103" i="94"/>
  <c r="O102" i="94"/>
  <c r="O101" i="94"/>
  <c r="O100" i="94"/>
  <c r="O99" i="94"/>
  <c r="O98" i="94"/>
  <c r="O97" i="94"/>
  <c r="O96" i="94"/>
  <c r="O95" i="94"/>
  <c r="O94" i="94"/>
  <c r="O93" i="94"/>
  <c r="O92" i="94"/>
  <c r="O91" i="94"/>
  <c r="O90" i="94"/>
  <c r="O89" i="94"/>
  <c r="O88" i="94"/>
  <c r="O360" i="94" l="1"/>
  <c r="O409" i="94"/>
  <c r="O339" i="94"/>
  <c r="O314" i="94"/>
  <c r="O288" i="94"/>
  <c r="O481" i="94"/>
  <c r="O370" i="94"/>
  <c r="O185" i="94"/>
  <c r="O157" i="94"/>
  <c r="O412" i="94"/>
  <c r="M13" i="76" l="1"/>
  <c r="N13" i="76"/>
  <c r="M14" i="76"/>
  <c r="N14" i="76"/>
  <c r="M15" i="76"/>
  <c r="N15" i="76"/>
  <c r="M16" i="76"/>
  <c r="N16" i="76"/>
  <c r="M17" i="76"/>
  <c r="N17" i="76"/>
  <c r="M18" i="76"/>
  <c r="N18" i="76"/>
  <c r="M19" i="76"/>
  <c r="N19" i="76"/>
  <c r="M20" i="76"/>
  <c r="N20" i="76"/>
  <c r="M21" i="76"/>
  <c r="N21" i="76"/>
  <c r="M22" i="76"/>
  <c r="N22" i="76"/>
  <c r="M23" i="76"/>
  <c r="N23" i="76"/>
  <c r="M24" i="76"/>
  <c r="N24" i="76"/>
  <c r="M25" i="76"/>
  <c r="N25" i="76"/>
  <c r="M26" i="76"/>
  <c r="N26" i="76"/>
  <c r="J13" i="76"/>
  <c r="K13" i="76"/>
  <c r="J14" i="76"/>
  <c r="K14" i="76"/>
  <c r="J15" i="76"/>
  <c r="K15" i="76"/>
  <c r="J16" i="76"/>
  <c r="K16" i="76"/>
  <c r="J17" i="76"/>
  <c r="K17" i="76"/>
  <c r="J18" i="76"/>
  <c r="K18" i="76"/>
  <c r="J19" i="76"/>
  <c r="K19" i="76"/>
  <c r="J20" i="76"/>
  <c r="K20" i="76"/>
  <c r="J21" i="76"/>
  <c r="K21" i="76"/>
  <c r="J22" i="76"/>
  <c r="K22" i="76"/>
  <c r="J23" i="76"/>
  <c r="K23" i="76"/>
  <c r="J24" i="76"/>
  <c r="K24" i="76"/>
  <c r="J25" i="76"/>
  <c r="K25" i="76"/>
  <c r="J26" i="76"/>
  <c r="K26" i="76"/>
  <c r="N12" i="76"/>
  <c r="M12" i="76"/>
  <c r="K12" i="76"/>
  <c r="J12" i="76"/>
  <c r="G13" i="76"/>
  <c r="G14" i="76"/>
  <c r="G15" i="76"/>
  <c r="G16" i="76"/>
  <c r="G17" i="76"/>
  <c r="G18" i="76"/>
  <c r="G19" i="76"/>
  <c r="G20" i="76"/>
  <c r="G21" i="76"/>
  <c r="G22" i="76"/>
  <c r="G23" i="76"/>
  <c r="G24" i="76"/>
  <c r="G25" i="76"/>
  <c r="G26" i="76"/>
  <c r="G12" i="76"/>
  <c r="K28" i="76" l="1"/>
  <c r="M9" i="94" l="1"/>
  <c r="N15" i="95" l="1"/>
  <c r="N16" i="95"/>
  <c r="N17" i="95"/>
  <c r="N18" i="95"/>
  <c r="N19" i="95"/>
  <c r="N20" i="95"/>
  <c r="E12" i="95"/>
  <c r="N21" i="95" l="1"/>
  <c r="O27" i="95" l="1"/>
  <c r="N27" i="95"/>
  <c r="M27" i="95"/>
  <c r="K27" i="95"/>
  <c r="J27" i="95"/>
  <c r="X26" i="95"/>
  <c r="W26" i="95"/>
  <c r="V26" i="95"/>
  <c r="S26" i="95"/>
  <c r="R26" i="95"/>
  <c r="O26" i="95"/>
  <c r="U26" i="95" s="1"/>
  <c r="N26" i="95"/>
  <c r="Z26" i="95" s="1"/>
  <c r="M26" i="95"/>
  <c r="K26" i="95"/>
  <c r="J26" i="95"/>
  <c r="G26" i="95"/>
  <c r="E26" i="95"/>
  <c r="Z25" i="95"/>
  <c r="X25" i="95"/>
  <c r="W25" i="95"/>
  <c r="V25" i="95"/>
  <c r="S25" i="95"/>
  <c r="R25" i="95"/>
  <c r="O25" i="95"/>
  <c r="U25" i="95" s="1"/>
  <c r="M25" i="95"/>
  <c r="K25" i="95"/>
  <c r="J25" i="95"/>
  <c r="G25" i="95"/>
  <c r="E25" i="95"/>
  <c r="X24" i="95"/>
  <c r="W24" i="95"/>
  <c r="V24" i="95"/>
  <c r="S24" i="95"/>
  <c r="R24" i="95"/>
  <c r="O24" i="95"/>
  <c r="U24" i="95" s="1"/>
  <c r="N24" i="95"/>
  <c r="Z24" i="95" s="1"/>
  <c r="M24" i="95"/>
  <c r="K24" i="95"/>
  <c r="J24" i="95"/>
  <c r="G24" i="95"/>
  <c r="E24" i="95"/>
  <c r="X23" i="95"/>
  <c r="W23" i="95"/>
  <c r="V23" i="95"/>
  <c r="S23" i="95"/>
  <c r="R23" i="95"/>
  <c r="O23" i="95"/>
  <c r="U23" i="95" s="1"/>
  <c r="N23" i="95"/>
  <c r="Z23" i="95" s="1"/>
  <c r="M23" i="95"/>
  <c r="K23" i="95"/>
  <c r="J23" i="95"/>
  <c r="G23" i="95"/>
  <c r="E23" i="95"/>
  <c r="X22" i="95"/>
  <c r="W22" i="95"/>
  <c r="V22" i="95"/>
  <c r="S22" i="95"/>
  <c r="R22" i="95"/>
  <c r="N22" i="95"/>
  <c r="O22" i="95" s="1"/>
  <c r="U22" i="95" s="1"/>
  <c r="M22" i="95"/>
  <c r="K22" i="95"/>
  <c r="J22" i="95"/>
  <c r="G22" i="95"/>
  <c r="E22" i="95"/>
  <c r="Z21" i="95"/>
  <c r="X21" i="95"/>
  <c r="W21" i="95"/>
  <c r="V21" i="95"/>
  <c r="S21" i="95"/>
  <c r="R21" i="95"/>
  <c r="O21" i="95"/>
  <c r="U21" i="95" s="1"/>
  <c r="M21" i="95"/>
  <c r="K21" i="95"/>
  <c r="J21" i="95"/>
  <c r="G21" i="95"/>
  <c r="E21" i="95"/>
  <c r="Z20" i="95"/>
  <c r="X20" i="95"/>
  <c r="W20" i="95"/>
  <c r="V20" i="95"/>
  <c r="S20" i="95"/>
  <c r="R20" i="95"/>
  <c r="O20" i="95"/>
  <c r="M20" i="95"/>
  <c r="K20" i="95"/>
  <c r="J20" i="95"/>
  <c r="G20" i="95"/>
  <c r="E20" i="95"/>
  <c r="Z19" i="95"/>
  <c r="X19" i="95"/>
  <c r="W19" i="95"/>
  <c r="V19" i="95"/>
  <c r="S19" i="95"/>
  <c r="R19" i="95"/>
  <c r="O19" i="95"/>
  <c r="U19" i="95" s="1"/>
  <c r="M19" i="95"/>
  <c r="K19" i="95"/>
  <c r="J19" i="95"/>
  <c r="G19" i="95"/>
  <c r="E19" i="95"/>
  <c r="Z18" i="95"/>
  <c r="X18" i="95"/>
  <c r="W18" i="95"/>
  <c r="V18" i="95"/>
  <c r="S18" i="95"/>
  <c r="R18" i="95"/>
  <c r="O18" i="95"/>
  <c r="U18" i="95" s="1"/>
  <c r="K18" i="95"/>
  <c r="J18" i="95"/>
  <c r="G18" i="95"/>
  <c r="E18" i="95"/>
  <c r="Z17" i="95"/>
  <c r="X17" i="95"/>
  <c r="W17" i="95"/>
  <c r="V17" i="95"/>
  <c r="S17" i="95"/>
  <c r="R17" i="95"/>
  <c r="O17" i="95"/>
  <c r="M17" i="95"/>
  <c r="K17" i="95"/>
  <c r="J17" i="95"/>
  <c r="G17" i="95"/>
  <c r="E17" i="95"/>
  <c r="Z16" i="95"/>
  <c r="X16" i="95"/>
  <c r="W16" i="95"/>
  <c r="V16" i="95"/>
  <c r="S16" i="95"/>
  <c r="R16" i="95"/>
  <c r="O16" i="95"/>
  <c r="U16" i="95" s="1"/>
  <c r="M16" i="95"/>
  <c r="K16" i="95"/>
  <c r="J16" i="95"/>
  <c r="G16" i="95"/>
  <c r="E16" i="95"/>
  <c r="Z15" i="95"/>
  <c r="X15" i="95"/>
  <c r="W15" i="95"/>
  <c r="V15" i="95"/>
  <c r="S15" i="95"/>
  <c r="R15" i="95"/>
  <c r="O15" i="95"/>
  <c r="U15" i="95" s="1"/>
  <c r="M15" i="95"/>
  <c r="K15" i="95"/>
  <c r="J15" i="95"/>
  <c r="G15" i="95"/>
  <c r="E15" i="95"/>
  <c r="Z14" i="95"/>
  <c r="X14" i="95"/>
  <c r="W14" i="95"/>
  <c r="V14" i="95"/>
  <c r="S14" i="95"/>
  <c r="R14" i="95"/>
  <c r="O14" i="95"/>
  <c r="M14" i="95"/>
  <c r="K14" i="95"/>
  <c r="J14" i="95"/>
  <c r="G14" i="95"/>
  <c r="E14" i="95"/>
  <c r="Z13" i="95"/>
  <c r="X13" i="95"/>
  <c r="W13" i="95"/>
  <c r="V13" i="95"/>
  <c r="S13" i="95"/>
  <c r="R13" i="95"/>
  <c r="O13" i="95"/>
  <c r="M13" i="95"/>
  <c r="K13" i="95"/>
  <c r="J13" i="95"/>
  <c r="G13" i="95"/>
  <c r="E13" i="95"/>
  <c r="Z12" i="95"/>
  <c r="X12" i="95"/>
  <c r="W12" i="95"/>
  <c r="V12" i="95"/>
  <c r="S12" i="95"/>
  <c r="R12" i="95"/>
  <c r="O12" i="95"/>
  <c r="U12" i="95" s="1"/>
  <c r="M12" i="95"/>
  <c r="K12" i="95"/>
  <c r="J12" i="95"/>
  <c r="G12" i="95"/>
  <c r="M9" i="95"/>
  <c r="O28" i="95" l="1"/>
  <c r="O29" i="95" s="1"/>
  <c r="U14" i="95"/>
  <c r="U13" i="95"/>
  <c r="U17" i="95"/>
  <c r="U20" i="95"/>
  <c r="M18" i="95"/>
  <c r="K28" i="95" s="1"/>
  <c r="Z22" i="95"/>
  <c r="K29" i="95" l="1"/>
  <c r="O36" i="94" l="1"/>
  <c r="N36" i="94"/>
  <c r="M36" i="94"/>
  <c r="K36" i="94"/>
  <c r="J36" i="94"/>
  <c r="K38" i="94" l="1"/>
  <c r="O38" i="94" l="1"/>
  <c r="D3" i="92" l="1"/>
  <c r="D4" i="92"/>
  <c r="D5" i="92"/>
  <c r="D6" i="92"/>
  <c r="D7" i="92"/>
  <c r="D8" i="92"/>
  <c r="D9" i="92"/>
  <c r="D10" i="92"/>
  <c r="D11" i="92"/>
  <c r="D12" i="92"/>
  <c r="D13" i="92"/>
  <c r="D14" i="92"/>
  <c r="D15" i="92"/>
  <c r="D16" i="92"/>
  <c r="D17" i="92"/>
  <c r="D18" i="92"/>
  <c r="D19" i="92"/>
  <c r="D20" i="92"/>
  <c r="D21" i="92"/>
  <c r="D22" i="92"/>
  <c r="D23" i="92"/>
  <c r="D24" i="92"/>
  <c r="D25" i="92"/>
  <c r="D26" i="92"/>
  <c r="D27" i="92"/>
  <c r="D28" i="92"/>
  <c r="D2" i="92"/>
  <c r="O23" i="76" l="1"/>
  <c r="O22" i="76"/>
  <c r="O20" i="76"/>
  <c r="O19" i="76"/>
  <c r="O18" i="76"/>
  <c r="O17" i="76"/>
  <c r="O16" i="76"/>
  <c r="O15" i="76"/>
  <c r="O14" i="76"/>
  <c r="O13" i="76"/>
  <c r="O12" i="76"/>
  <c r="S12" i="76" l="1"/>
  <c r="O24" i="76"/>
  <c r="O21" i="76"/>
  <c r="R23" i="76" l="1"/>
  <c r="S23" i="76"/>
  <c r="U23" i="76"/>
  <c r="E23" i="76"/>
  <c r="E26" i="76" l="1"/>
  <c r="E13" i="76"/>
  <c r="E14" i="76"/>
  <c r="E15" i="76"/>
  <c r="E16" i="76"/>
  <c r="E17" i="76"/>
  <c r="E18" i="76"/>
  <c r="E19" i="76"/>
  <c r="E20" i="76"/>
  <c r="E21" i="76"/>
  <c r="E22" i="76"/>
  <c r="E24" i="76"/>
  <c r="E25" i="76"/>
  <c r="E12" i="76"/>
  <c r="O25" i="76" l="1"/>
  <c r="U12" i="76" l="1"/>
  <c r="R13" i="76" l="1"/>
  <c r="R14" i="76"/>
  <c r="R15" i="76"/>
  <c r="R16" i="76"/>
  <c r="R17" i="76"/>
  <c r="R18" i="76"/>
  <c r="R19" i="76"/>
  <c r="R20" i="76"/>
  <c r="R21" i="76"/>
  <c r="R22" i="76"/>
  <c r="R24" i="76"/>
  <c r="R25" i="76"/>
  <c r="R26" i="76"/>
  <c r="S21" i="76" l="1"/>
  <c r="S22" i="76"/>
  <c r="S19" i="76"/>
  <c r="S18" i="76"/>
  <c r="S16" i="76"/>
  <c r="S17" i="76"/>
  <c r="S15" i="76"/>
  <c r="S14" i="76"/>
  <c r="S13" i="76"/>
  <c r="S20" i="76" l="1"/>
  <c r="S25" i="76" l="1"/>
  <c r="S24" i="76" l="1"/>
  <c r="U21" i="76" l="1"/>
  <c r="U13" i="76"/>
  <c r="U14" i="76" l="1"/>
  <c r="U17" i="76" l="1"/>
  <c r="G29" i="76"/>
  <c r="G28" i="76"/>
  <c r="O27" i="76"/>
  <c r="N27" i="76"/>
  <c r="M27" i="76"/>
  <c r="K27" i="76"/>
  <c r="J27" i="76"/>
  <c r="G27" i="76"/>
  <c r="U26" i="76"/>
  <c r="U25" i="76"/>
  <c r="U24" i="76"/>
  <c r="U22" i="76"/>
  <c r="U20" i="76"/>
  <c r="U19" i="76"/>
  <c r="U18" i="76"/>
  <c r="U16" i="76"/>
  <c r="R12" i="76"/>
  <c r="U15" i="76"/>
  <c r="K29" i="76" l="1"/>
  <c r="O26" i="76"/>
  <c r="O28" i="76" s="1"/>
  <c r="S26" i="76" l="1"/>
  <c r="O29" i="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1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1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2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2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3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3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4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4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5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5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6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6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7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7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8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8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9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9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A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A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sjhson</author>
  </authors>
  <commentList>
    <comment ref="O7" authorId="0" shapeId="0" xr:uid="{00000000-0006-0000-0B00-000001000000}">
      <text>
        <r>
          <rPr>
            <sz val="9"/>
            <color indexed="81"/>
            <rFont val="굴림"/>
            <family val="3"/>
            <charset val="129"/>
          </rPr>
          <t>표기 월월/일일</t>
        </r>
      </text>
    </comment>
    <comment ref="P7" authorId="0" shapeId="0" xr:uid="{00000000-0006-0000-0B00-000002000000}">
      <text>
        <r>
          <rPr>
            <sz val="9"/>
            <color indexed="81"/>
            <rFont val="굴림"/>
            <family val="3"/>
            <charset val="129"/>
          </rPr>
          <t xml:space="preserve">표기 00:00
</t>
        </r>
      </text>
    </comment>
  </commentList>
</comments>
</file>

<file path=xl/sharedStrings.xml><?xml version="1.0" encoding="utf-8"?>
<sst xmlns="http://schemas.openxmlformats.org/spreadsheetml/2006/main" count="21278" uniqueCount="1082">
  <si>
    <t>CVL</t>
  </si>
  <si>
    <t>발  주  서</t>
    <phoneticPr fontId="17" type="noConversion"/>
  </si>
  <si>
    <t>발주 접수처 (엑슨모빌 중국 상하이 고객지원팀)</t>
    <phoneticPr fontId="18" type="noConversion"/>
  </si>
  <si>
    <t xml:space="preserve">· 수신부담팩스 : 00798 8521 8501 </t>
    <phoneticPr fontId="18" type="noConversion"/>
  </si>
  <si>
    <t>· 수신부담전화 : 00798 8521 8503</t>
    <phoneticPr fontId="18" type="noConversion"/>
  </si>
  <si>
    <t>대리점명</t>
    <phoneticPr fontId="17" type="noConversion"/>
  </si>
  <si>
    <t>(주)영일오엔씨</t>
    <phoneticPr fontId="17" type="noConversion"/>
  </si>
  <si>
    <t>대리점코드</t>
    <phoneticPr fontId="17" type="noConversion"/>
  </si>
  <si>
    <t>발주일</t>
    <phoneticPr fontId="17" type="noConversion"/>
  </si>
  <si>
    <t>납기일</t>
    <phoneticPr fontId="17" type="noConversion"/>
  </si>
  <si>
    <t>전화번호</t>
    <phoneticPr fontId="17" type="noConversion"/>
  </si>
  <si>
    <t>02-2693-5189</t>
    <phoneticPr fontId="17" type="noConversion"/>
  </si>
  <si>
    <t>팩스번호</t>
    <phoneticPr fontId="17" type="noConversion"/>
  </si>
  <si>
    <t>02-2693-5902</t>
    <phoneticPr fontId="17" type="noConversion"/>
  </si>
  <si>
    <t>담당자</t>
    <phoneticPr fontId="17" type="noConversion"/>
  </si>
  <si>
    <t>연락처</t>
    <phoneticPr fontId="17" type="noConversion"/>
  </si>
  <si>
    <t>주소</t>
    <phoneticPr fontId="17" type="noConversion"/>
  </si>
  <si>
    <t>납   지</t>
    <phoneticPr fontId="17" type="noConversion"/>
  </si>
  <si>
    <t>발주물량</t>
    <phoneticPr fontId="17" type="noConversion"/>
  </si>
  <si>
    <t>발주
금액</t>
    <phoneticPr fontId="17" type="noConversion"/>
  </si>
  <si>
    <t>부가세별도</t>
    <phoneticPr fontId="17" type="noConversion"/>
  </si>
  <si>
    <t>부가세포함</t>
    <phoneticPr fontId="17" type="noConversion"/>
  </si>
  <si>
    <t>발주서 기초자료</t>
    <phoneticPr fontId="17" type="noConversion"/>
  </si>
  <si>
    <t>거래처코드</t>
    <phoneticPr fontId="17" type="noConversion"/>
  </si>
  <si>
    <t>하이스코-당진</t>
  </si>
  <si>
    <t>하이스코-순천</t>
  </si>
  <si>
    <t>화성창고-하이스코</t>
  </si>
  <si>
    <t>거래처구분</t>
    <phoneticPr fontId="17" type="noConversion"/>
  </si>
  <si>
    <t>제품명</t>
    <phoneticPr fontId="17" type="noConversion"/>
  </si>
  <si>
    <t>가격</t>
    <phoneticPr fontId="17" type="noConversion"/>
  </si>
  <si>
    <t>제품코드</t>
    <phoneticPr fontId="17" type="noConversion"/>
  </si>
  <si>
    <t>포장단위</t>
    <phoneticPr fontId="17" type="noConversion"/>
  </si>
  <si>
    <t>제품라인</t>
    <phoneticPr fontId="17" type="noConversion"/>
  </si>
  <si>
    <t>단위물량</t>
    <phoneticPr fontId="17" type="noConversion"/>
  </si>
  <si>
    <t>IND</t>
  </si>
  <si>
    <t>PVL</t>
  </si>
  <si>
    <t>MOBIL SHC GREASE 460 WT DRUM 174KG</t>
  </si>
  <si>
    <t>MOBIL DTE 10 EXCEL 32 PAIL 20L</t>
  </si>
  <si>
    <t>MOBIL DTE 10 EXCEL 150 PAIL 20L</t>
  </si>
  <si>
    <t>MOBIL DTE 10 EXCEL 100 PAIL 20L</t>
  </si>
  <si>
    <t>MOBIL HYDRAULIC 10W DRUM 200L</t>
  </si>
  <si>
    <t>MOBILTEMP SHC 100 PAIL 18KG</t>
  </si>
  <si>
    <t>MOBILUBE GX-A 80W PAIL 20L</t>
  </si>
  <si>
    <t>MOBIL 1 5W30(SN) CTN 12X1L</t>
  </si>
  <si>
    <t>MOBIL ANTIFREEZE EXTRA CTN 12X1L</t>
  </si>
  <si>
    <t>MOBIL DTE 932 GT DRUM 208L</t>
  </si>
  <si>
    <t>MOBILGREASE XHP 462 PAIL 16KG</t>
  </si>
  <si>
    <t>MOBIL SHC CIBUS 460 PAIL 20L</t>
  </si>
  <si>
    <t>MOBIL FLUID LT DRUM 208L</t>
  </si>
  <si>
    <t>MOBIL BRAKE FLUID DOT4 CTN 12X0.5L</t>
  </si>
  <si>
    <t>MOBIL OUTBOARD PLUS CTN 24X0.414L</t>
  </si>
  <si>
    <t>MOBIL MULTIPURPOSE ATF DRUM 200L</t>
  </si>
  <si>
    <t>MOBIL MULTIPURPOSE ATF PAIL 20L</t>
  </si>
  <si>
    <t>MOBILUBE 1 SHC 75W-90 DRUM 208L</t>
  </si>
  <si>
    <t>MOBILUBE 1 SHC 75W-90 CTN 12X1L</t>
  </si>
  <si>
    <t>MOBILUBE GX 80W-90 DRUM 200L</t>
  </si>
  <si>
    <t>MOBILUBE GX 80W-90 PAIL 20L</t>
  </si>
  <si>
    <t>MOBILUBE HD 80W-90 DRUM 200L</t>
  </si>
  <si>
    <t>MOBILUBE HD 80W-90 PAIL 20L</t>
  </si>
  <si>
    <t>MOBILUBE HD 85W-140 DRUM 200L</t>
  </si>
  <si>
    <t>MOBILUBE HD 85W-140 PAIL 20L</t>
  </si>
  <si>
    <t>MOBILUBE LS 85W-90 DRUM 200L</t>
  </si>
  <si>
    <t>MOBILUBE LS 85W-90 PAIL 20L</t>
  </si>
  <si>
    <t>MOBILFLUID 424 DRUM 200L</t>
  </si>
  <si>
    <t>MOBILFLUID 424 PAIL 20L</t>
  </si>
  <si>
    <t>MOBIL RARUS 424 PAIL 20L</t>
  </si>
  <si>
    <t>MOBIL GARGOYLE ARCTIC SHC 230 DRUM 208L</t>
  </si>
  <si>
    <t>MOBIL ALMO 527 PAIL 20L</t>
  </si>
  <si>
    <t>MOBIL DTE OIL HEAVY PAIL 20L</t>
  </si>
  <si>
    <t>AVI</t>
  </si>
  <si>
    <t>PAIL</t>
  </si>
  <si>
    <t>DRUM</t>
  </si>
  <si>
    <t>BOLG</t>
  </si>
  <si>
    <t>BOSM</t>
  </si>
  <si>
    <t>영일-(주)엘지화학</t>
  </si>
  <si>
    <t>모빌(194637)</t>
    <phoneticPr fontId="17" type="noConversion"/>
  </si>
  <si>
    <t>거래처명</t>
    <phoneticPr fontId="17" type="noConversion"/>
  </si>
  <si>
    <t>배송지</t>
    <phoneticPr fontId="17" type="noConversion"/>
  </si>
  <si>
    <t>CVL</t>
    <phoneticPr fontId="16" type="noConversion"/>
  </si>
  <si>
    <t>PVL</t>
    <phoneticPr fontId="16" type="noConversion"/>
  </si>
  <si>
    <t>M-GREASE XHP 222 CART 40X0.39KG/13.7OZ</t>
  </si>
  <si>
    <t>MOBILGARD 450NC DRUM 200L</t>
  </si>
  <si>
    <t>MAR</t>
  </si>
  <si>
    <t>MOBIL DELVAC 1 GEAR 75W90 DRUM 200L</t>
    <phoneticPr fontId="16" type="noConversion"/>
  </si>
  <si>
    <t>MOBIL Super 3000 FP 0W30 CTN 12X1L</t>
    <phoneticPr fontId="16" type="noConversion"/>
  </si>
  <si>
    <t>MOBILUBE GX 80W-90  CTN 4X4</t>
    <phoneticPr fontId="16" type="noConversion"/>
  </si>
  <si>
    <t>MOBIL SHC RARUS 46 PAIL 20L</t>
  </si>
  <si>
    <t>Mobil Delvac Hydraulic 10W 20L</t>
    <phoneticPr fontId="16" type="noConversion"/>
  </si>
  <si>
    <t>발주처</t>
    <phoneticPr fontId="17" type="noConversion"/>
  </si>
  <si>
    <t>MOBIL SHC CHAIN 240 PAIL 20L</t>
  </si>
  <si>
    <t>MOBIL MULTIPURPOSE ATF CTN 12X1L:KR</t>
  </si>
  <si>
    <t>조윤석 팀장</t>
  </si>
  <si>
    <t>031-8059-5151</t>
    <phoneticPr fontId="16" type="noConversion"/>
  </si>
  <si>
    <t>오더번호</t>
    <phoneticPr fontId="17" type="noConversion"/>
  </si>
  <si>
    <t>MB GRAO SAE 75W-90 MB 235.8 20LT:KR</t>
  </si>
  <si>
    <t>MB GEO SAE 10W-40 MB 228.5 200LT:KR</t>
  </si>
  <si>
    <t>MB GEO SAE 10W-40 MB 228.51 200LT:KR</t>
  </si>
  <si>
    <t>MOBILGREASE 28, 16KG/35.2LB</t>
  </si>
  <si>
    <t>MB GEO SAE 10W-40 MB 228.5 4X5LT:KR</t>
  </si>
  <si>
    <t>MB GGO SAE 80W MB 235.1 PAIL 20LT:KR</t>
  </si>
  <si>
    <t>MOBIL 1 0W-40(SN) CTN 12X1L</t>
    <phoneticPr fontId="16" type="noConversion"/>
  </si>
  <si>
    <t>M-DEL MX ADV CITY LOG 5W-40 DRUM 200L</t>
  </si>
  <si>
    <t>MOBILUBE 1 SHC 75W-90 PAIL 20L:KR</t>
    <phoneticPr fontId="16" type="noConversion"/>
  </si>
  <si>
    <t>DRUM</t>
    <phoneticPr fontId="16" type="noConversion"/>
  </si>
  <si>
    <t>MOBIL SPECIAL PLUS 5W-30 DRUM 200L</t>
    <phoneticPr fontId="16" type="noConversion"/>
  </si>
  <si>
    <t>MB GGO SAE 75W-90 MB 235.11 PAIL 20LT:KR</t>
  </si>
  <si>
    <t>MOBIL 1 0W-40 DRUM 200L: KR</t>
  </si>
  <si>
    <t>MOBILGREASE 33, 16KG PAIL</t>
  </si>
  <si>
    <t>제품명
(Product Name)</t>
  </si>
  <si>
    <t>제품코드
(P-Code)</t>
  </si>
  <si>
    <t>MOBIL DTE 26 ULTRA DRUM 200L:KR</t>
  </si>
  <si>
    <t>MOBIL DTE 25 ULTRA DRUM 200L:KR</t>
  </si>
  <si>
    <t>MOBIL DTE 25 ULTRA PAIL 20L:KR</t>
  </si>
  <si>
    <t>MOBIL DTE 24 ULTRA DRUM 200L:KR</t>
  </si>
  <si>
    <t>MOBIL DTE 24 ULTRA PAIL 20L:KR</t>
  </si>
  <si>
    <t>MOBIL DTE 22 ULTRA DRUM 200L:KR</t>
  </si>
  <si>
    <t>MOBIL DTE 22 ULTRA PAIL 20L:KR</t>
  </si>
  <si>
    <t>MOBIL DELVAC XHP ESP S 10W-40 DM 200L:KR</t>
    <phoneticPr fontId="16" type="noConversion"/>
  </si>
  <si>
    <t>MOBIL JET OIL II,55GA(208LT),DRUM,METAL</t>
  </si>
  <si>
    <t>M-SHC GREASE 681 WT DRUM 174 KG/383.6 LB</t>
  </si>
  <si>
    <t>M DELVAC 1 GO 75W90 PAIL 20L:KR</t>
  </si>
  <si>
    <t>M-PYROTEC HFD 46B DRUM-R 230KG</t>
  </si>
  <si>
    <t>MOBIL PEGASUS 605 ULTRA 40 DRUM 208L:SG</t>
  </si>
  <si>
    <t>중복</t>
    <phoneticPr fontId="16" type="noConversion"/>
  </si>
  <si>
    <t>M-DELVAC 1 GO 75W90 PAIL 35LB</t>
  </si>
  <si>
    <t>MOBIL PEGASUS 1105, 208L DRUM</t>
  </si>
  <si>
    <t>MOBILUX EP 2 PAIL 16KG:SG</t>
  </si>
  <si>
    <t>MOBILUX EP 0 DRUM 180KG:SG</t>
  </si>
  <si>
    <t>코드</t>
  </si>
  <si>
    <t>MOBIL UNIVIS N 46 PAIL 20L:KR</t>
  </si>
  <si>
    <t>MOBIL SHC 632,55GA</t>
  </si>
  <si>
    <t>M DV MODERN 10W-40 CP DRUM 200L:KR</t>
  </si>
  <si>
    <t>MOBIL DELVAC 1 TF 75W-80 PAIL 20L</t>
  </si>
  <si>
    <t>MOBIL SUPER 3000 XE1 5W-30 CTN 12X1L:KR</t>
  </si>
  <si>
    <t>MOBIL DTE 732 M2 DR 208L:KR</t>
  </si>
  <si>
    <t>M DV LEGEND 1340 DRUM 200L:KR</t>
  </si>
  <si>
    <t>M DV LEGEND 1330 DRUM 200L:KR</t>
  </si>
  <si>
    <t>MOBIL HYDRAULIC 10W PAIL 20L:KR</t>
  </si>
  <si>
    <t>PEP: (P) 표시</t>
  </si>
  <si>
    <t>PCI</t>
  </si>
  <si>
    <t>제품명</t>
  </si>
  <si>
    <t>Package</t>
  </si>
  <si>
    <t>Pallet type</t>
  </si>
  <si>
    <t>발주단위 (EA)</t>
  </si>
  <si>
    <t>MOBIL MULTIPURPOSE ATF, 20LT PAIL</t>
  </si>
  <si>
    <t>FULL</t>
  </si>
  <si>
    <t>MOBIL ATF 660 PAIL 20L:KR</t>
  </si>
  <si>
    <t>FULL (P)</t>
  </si>
  <si>
    <t>MOBIL SUPER 3000 F P 0W30 CTN 12X1L:KR</t>
  </si>
  <si>
    <t>1L BTL</t>
  </si>
  <si>
    <t>MINI</t>
  </si>
  <si>
    <t>MIX</t>
  </si>
  <si>
    <t>M SUPER 3000 F M 5W-40 12X1L CTN:KR</t>
  </si>
  <si>
    <t>MIX (P)</t>
  </si>
  <si>
    <t>M SUP TP SMART PLUS PRO 0W20 CTN12X1L:KR</t>
  </si>
  <si>
    <t>M SUP TP TURBO GDI PRO 5W-30 CTN12X1L:KR</t>
  </si>
  <si>
    <t>M SUP EP C2 5W-30 CTN 12X1L:KR</t>
  </si>
  <si>
    <t>M SUP EP C2 5W-30 CTN 3X6L:KR</t>
  </si>
  <si>
    <t>6L BTL</t>
  </si>
  <si>
    <t>MINI (P)</t>
  </si>
  <si>
    <t>M SPECIAL PLUS DIESEL 5W-30 CTN 3X6L:KR</t>
  </si>
  <si>
    <t>M SUP TP TURBO 0W-30 CTN 12X1L:KR</t>
  </si>
  <si>
    <t>M SUP EP 5W-20 CTN 4X4L:KR</t>
  </si>
  <si>
    <t>4L BTL</t>
  </si>
  <si>
    <t>M SUP EP 5W-30 CTN 4X4L:KR</t>
  </si>
  <si>
    <t>MOBIL SPECIAL PLUS 5W-30 CTN 4X4L:KR</t>
  </si>
  <si>
    <t>MOBIL FD LUBE SPECIAL 75W-85 PAIL 20L:KR</t>
  </si>
  <si>
    <t>MOBIL 1 0W-40 CTN 12X1L: KR</t>
  </si>
  <si>
    <t>MOBIL 1 ESP 5W30 CTN 12X1L:KR</t>
  </si>
  <si>
    <t>M SUP EP C3 5W-30 CTN 12X1L:KR</t>
  </si>
  <si>
    <t>M SUP EP 5W-20 CTN 12X1L:KR</t>
  </si>
  <si>
    <t>MOBIL SUPER MOTO 10W-40 CTN 12X1L:KR</t>
  </si>
  <si>
    <t>M SUP EP C3 5W-30 CTN 3X6L:KR</t>
  </si>
  <si>
    <t>MOBIL ATF 660 CTN 12X1L:KR</t>
  </si>
  <si>
    <t>MOBIL BRAKE FLUID DOT 4, 12X0.5LT CTN</t>
  </si>
  <si>
    <t>OTHER CTN</t>
  </si>
  <si>
    <t>MOBIL ANTIFREEZE EXTRA, 12X1LT CTN</t>
  </si>
  <si>
    <t>MOBIL ATF LT 71141, 20LT PAIL</t>
  </si>
  <si>
    <t>MOBIL OUTBOARD PLUS CTN 24X0.414L:KR</t>
  </si>
  <si>
    <t>M-FD LUBE SPECIAL 75W-85 CTN 12X1L:KR</t>
  </si>
  <si>
    <t>M-1 ESP X2 0W20 GSP 12X1L EU-ML</t>
  </si>
  <si>
    <t>MOBIL 1 5W-30 CTN 12X1L:KR</t>
  </si>
  <si>
    <t>M SUPER 3000 F D1 5W30 CTN 12X1L:KR(N)</t>
  </si>
  <si>
    <t>MOBIL 1 HYBRID 0W-20 CTN 12X1L:KR</t>
  </si>
  <si>
    <t>M-1 SYN LV ATF HP, 6X1 UQL, CASE</t>
  </si>
  <si>
    <t>MOBIL SUPER 3000 XE2 0W20 CTN 12X1L:KR</t>
  </si>
  <si>
    <t>MOBIL 1 0W20 CTN 12X1L:KR</t>
  </si>
  <si>
    <t>MOBIL 1 ESP X3 0W40 CTN 12X1L:KR</t>
  </si>
  <si>
    <t>MOBIL 1 ESP LV 0W30 CTN 12X1L:KR</t>
  </si>
  <si>
    <t>MOBIL 1 ESP X2 0W20 CTN 12X1L:KR</t>
  </si>
  <si>
    <t>M SUP TP SMART PLUS PRO 0W-20 CTN4X4L:KR</t>
  </si>
  <si>
    <t>M SUP TP TURBO GDI PRO 5W-30 CTN 4X4L:KR</t>
  </si>
  <si>
    <t>M SUP EP C2 5W-30 CTN 4X4L:KR</t>
  </si>
  <si>
    <t>M SPECIAL PLUS DIESEL 5W-30 CTN 4X4L:KR</t>
  </si>
  <si>
    <t>DELVAC MX 15W40 Pail 20L</t>
  </si>
  <si>
    <t>MOBILUBE GX 80W-90 PAIL 20L:KR</t>
  </si>
  <si>
    <t>MOBILFLUID 424 PAIL 20L:KR</t>
  </si>
  <si>
    <t>M-DEL MX ADV CITY LOG 5W-40 CTN 3X6L</t>
  </si>
  <si>
    <t>MOBIL DELVAC MX ESP K 10W-40 20LT:KR</t>
  </si>
  <si>
    <t>M DV MODERN 10W-40 AP PAIL 20L:KR</t>
  </si>
  <si>
    <t>M DV MODERN 15W-40 FP PAIL 20L:KR</t>
  </si>
  <si>
    <t>M DV MODERN 10W-40 CP PAIL 20L:KR</t>
  </si>
  <si>
    <t>MOBIL DELVAC MX ESP K 10W-40 4X4L:KR</t>
  </si>
  <si>
    <t>M DV MODERN 10W-40 AP CTN 4X4L:KR</t>
  </si>
  <si>
    <t>M DV MODERN 10W-40 CP CTN 4X4L:KR</t>
  </si>
  <si>
    <t>MOBILUBE 1 SHC 75W-90 PAIL 20L:KR</t>
  </si>
  <si>
    <t>M DV MODERN 15W-40 CP PAIL 20L:KR</t>
  </si>
  <si>
    <t>LUBE HD 80W90 Pail 20L</t>
  </si>
  <si>
    <t>LUBE HD 85W140 Pail 20L</t>
  </si>
  <si>
    <t>MOBILUBE LS 85W90-PL20L</t>
  </si>
  <si>
    <t>MOBIL DELVAC 1 ESP 5W-40 PAIL 20L:KR</t>
  </si>
  <si>
    <t>M DV LEGEND 1330 PAIL 20L:KR</t>
  </si>
  <si>
    <t>M DV LEGEND 1340 PAIL 20L:KR</t>
  </si>
  <si>
    <t>MOBILUBE GX 80W-90 CTN 4X4L:KR</t>
  </si>
  <si>
    <t>M-DEL MX ADV CITY LOG 5W-40 CTN 12X1L</t>
  </si>
  <si>
    <t>LUBE 1 SHC 75W90 GSP 12X1L EU-SW</t>
  </si>
  <si>
    <t>MOBILUBE GX-A 80W, 20LT PAIL</t>
  </si>
  <si>
    <t>MOBIL DELVAC 1 ESP 5W-40 CTN 4X4L:KR</t>
  </si>
  <si>
    <t>M-DELVAC 1 GO 80W140 PAIL 35LB</t>
  </si>
  <si>
    <t>MOBIL DELVAC XHP ESP S 10W-40 PL 20L:KR</t>
  </si>
  <si>
    <t>M-DELVAC 1 TF 75W80 PAIL 20L*</t>
  </si>
  <si>
    <t>M DV ULTRA 5W-30 UP PAIL 20L:KR</t>
  </si>
  <si>
    <t>M DV MODERN 15W-40 FP CTN 4X4L:KR</t>
  </si>
  <si>
    <t>M DV MODERN 15W-40 CP CTN 4X4L:KR</t>
  </si>
  <si>
    <t>M DV ULTRA 5W-30 UP CTN 4X4L:KR</t>
  </si>
  <si>
    <t>MOBIL VELOCITE 6, 20LT, PAIL</t>
  </si>
  <si>
    <t>MOBIL VACTRA OIL NO 2 PAIL 20L:KR</t>
  </si>
  <si>
    <t>MOBILGEAR 600 XP 220 PAIL 20L:KR</t>
  </si>
  <si>
    <t>NUTO H 46 PAIL 20L:KR</t>
  </si>
  <si>
    <t>NEXKOMP SCM 46 PAIL 20L:KR</t>
  </si>
  <si>
    <t>MOBIL UNIVIS N 46 HORYONG PL 20L:KR</t>
  </si>
  <si>
    <t>MOBIL DTE 26 ULTRA PAIL 20L:KR</t>
  </si>
  <si>
    <t>MOBIL VACUOLINE 1409 PAIL 20L</t>
  </si>
  <si>
    <t>MOBIL DTE OIL LIGHT PAIL 20L:KR</t>
  </si>
  <si>
    <t>MOBIL VACTRA OIL NO 4 PAIL 20L:KR</t>
  </si>
  <si>
    <t>MOBIL VELOCITE NO 3 PAIL 20L</t>
  </si>
  <si>
    <t>MOBIL VACTRA NO 2 SLC PAIL 20L:KR</t>
  </si>
  <si>
    <t>MOBILGEAR 600 XP 150 PAIL 20L:KR</t>
  </si>
  <si>
    <t>MOBIL RARUS 427 P20LT</t>
  </si>
  <si>
    <t>MOBIL RARUS 425-PL20L</t>
  </si>
  <si>
    <t>NUTO H 68-PL20L</t>
  </si>
  <si>
    <t>MOBIL DTE 10 EXCEL 46 PAIL 20L</t>
  </si>
  <si>
    <t>MOBIL DTE OIL HEAVY MEDIUM PAIL 20L:KR</t>
  </si>
  <si>
    <t>MOBIL VACTRA OIL NO 1 PAIL 20L:KR</t>
  </si>
  <si>
    <t>MOBILGEAR 600 XP 68 PAIL 20L:KR</t>
  </si>
  <si>
    <t>MOBILGEAR 600 XP 100 PAIL 20L:KR</t>
  </si>
  <si>
    <t>MOBILGEAR 600 XP 320 PAIL 20L:KR</t>
  </si>
  <si>
    <t>MOBILGEAR 600 XP 460 PAIL 20L:KR</t>
  </si>
  <si>
    <t>NUTO H 32 PAIL 20L:KR</t>
  </si>
  <si>
    <t>SPARTAN EP 150 PAIL 20L:KR</t>
  </si>
  <si>
    <t>SPARTAN EP 220 PAIL 20L:KR</t>
  </si>
  <si>
    <t>SPARTAN EP 320 PAIL 20L:KR</t>
  </si>
  <si>
    <t>SPARTAN EP 460 PAIL 20L:KR</t>
  </si>
  <si>
    <t>MOBILGREASE XHP 222,40X400GRAMS/14.1OZ</t>
  </si>
  <si>
    <t>MOBILARMA 798,5GA (16.70KG/18.93LT),PAIL</t>
  </si>
  <si>
    <t>MOBIL TAC 375NC 38LB(17.2 KG) PAIL</t>
  </si>
  <si>
    <t>EAL ARCTIC 100,5GA(18.9LT),PAIL,METAL</t>
  </si>
  <si>
    <t>EAL ARCTIC 32 5GA(18.9LT) PAIL METAL</t>
  </si>
  <si>
    <t>EAL ARCTIC 46,5GA(18.9LT),PAIL,METAL</t>
  </si>
  <si>
    <t>MOBIL EAL ARCTIC 68 5GA(18.9LT) PAIL</t>
  </si>
  <si>
    <t>MOBILITH SHC 007, 16KG/35.2LB PAIL</t>
  </si>
  <si>
    <t>MOBIL GARGOYLE ARCTIC SHC 226E,20LT,PAIL</t>
  </si>
  <si>
    <t>VACUOLINE 1405, 20LT, PAIL</t>
  </si>
  <si>
    <t>VACUUM PUMP OIL, 20LT, PAIL</t>
  </si>
  <si>
    <t>VELOCITE 10, 20LT, PAIL</t>
  </si>
  <si>
    <t>MOBIL GARGOYLE ARCTIC SHC 230, 20LT PAIL</t>
  </si>
  <si>
    <t>M-PEGASUS 1 PAIL 20L</t>
  </si>
  <si>
    <t>RONEX MP, 35LB(15.8KG),PAIL</t>
  </si>
  <si>
    <t>MOBIL POLYREX EM, 16KG/35LB, PAIL</t>
  </si>
  <si>
    <t>MOBIL ZERICE S 68, PL20L</t>
  </si>
  <si>
    <t>MOBILGREASE FM 222, 16KG/35.2LB</t>
  </si>
  <si>
    <t>MOBIL ZERICE S100, 20LT PAIL</t>
  </si>
  <si>
    <t>MOBILITH SHC 220, 16KG/35.2LB PAIL</t>
  </si>
  <si>
    <t>MOBILITH SHC 460, 16KG/35.2LB PAIL</t>
  </si>
  <si>
    <t>MOBILITH SHC 1500, 16KG/35.2LB PAIL</t>
  </si>
  <si>
    <t>MOBILITH SHC PM 460, 35.2LB PAIL</t>
  </si>
  <si>
    <t>MOBILITH SHC 100, 16 KG/35.2 LB PAIL</t>
  </si>
  <si>
    <t>GREASE XHP 222 SPECIAL 16KG/35.2LB PAIL</t>
  </si>
  <si>
    <t>MOBILTEMP SHC 460 SPECIAL, 18KG PAIL</t>
  </si>
  <si>
    <t>MOBILGREASE XHP 222 PAIL 18KG</t>
  </si>
  <si>
    <t>MOBILGREASE XHP 220, 35.2LB PAIL</t>
  </si>
  <si>
    <t>MOBIL VELOCITE HP 24, 20LT PAIL</t>
  </si>
  <si>
    <t>MOBIL DTE 10 EXCEL 15, 20L PAIL</t>
  </si>
  <si>
    <t>MOBIL SHC GREASE 460 WT, 16KG/35.2LB</t>
  </si>
  <si>
    <t>MOBILTEMP SHC 32,35LB PAIL</t>
  </si>
  <si>
    <t>BEACON 325, 35LB PAIL</t>
  </si>
  <si>
    <t>MOBIL GARGOYLE ARCTIC SHC 228, 20LT PAIL</t>
  </si>
  <si>
    <t>MOBIL GARGOYLE ARCTIC SHC 224,5GA PAIL</t>
  </si>
  <si>
    <t>MOBIL SHC 525, 5GA PAIL</t>
  </si>
  <si>
    <t>MOBIL GLYGOYLE 460, 20LT PAIL</t>
  </si>
  <si>
    <t>MOBIL SHC CIBUS 220, 20LT PAIL</t>
  </si>
  <si>
    <t>MOBIL SHC CIBUS 32, 20LT PAIL</t>
  </si>
  <si>
    <t>MOBIL SHC CIBUS 46, 20LT PAIL</t>
  </si>
  <si>
    <t>MOBIL SHC CIBUS 68, 20LT PAIL</t>
  </si>
  <si>
    <t>MOBIL SHC CIBUS 150, 20LT PAIL</t>
  </si>
  <si>
    <t>MOBIL SHC CIBUS 320, 20LT PAIL</t>
  </si>
  <si>
    <t>MOBIL RARUS 827,5GA</t>
  </si>
  <si>
    <t>SHC POLYREX 462,16KG/35.2LB.</t>
  </si>
  <si>
    <t>MOBIL SHC 630,5GA</t>
  </si>
  <si>
    <t>MOBIL SHC 632,5GA</t>
  </si>
  <si>
    <t>M-SHC GEAR 6800,48X1LB.</t>
  </si>
  <si>
    <t>MOBIL SHC 624,5GA</t>
  </si>
  <si>
    <t>MOBIL SHC 626,5GA</t>
  </si>
  <si>
    <t>MOBIL SHC 629,5GA</t>
  </si>
  <si>
    <t>MOBIL SHC 634,5GA</t>
  </si>
  <si>
    <t>MOBIL SHC 636,5GA</t>
  </si>
  <si>
    <t>MOBIL SHC 639,5GA</t>
  </si>
  <si>
    <t>MOBIL VACUO 533-PL20L</t>
  </si>
  <si>
    <t>MOBIL EAL ARCTIC 220,20LT PAIL</t>
  </si>
  <si>
    <t>M-GREASE XHP 461 PAIL 16KG</t>
  </si>
  <si>
    <t>GREASE XHP 222, 6X2KG - EXPORT</t>
  </si>
  <si>
    <t>M-CENTAUR XHP 461 PAIL 16KG</t>
  </si>
  <si>
    <t>M-CENTAUR XHP 462 PAIL 16KG</t>
  </si>
  <si>
    <t>MOBIL DTE 10 EXCEL 68 PAIL 20L</t>
  </si>
  <si>
    <t>MOBILGREASE XHP 223 PAIL 18KG</t>
  </si>
  <si>
    <t>MOBILMET 424 PAIL 20L:KR</t>
  </si>
  <si>
    <t>MOBILCUT 100 PAIL 20L:KR</t>
  </si>
  <si>
    <t>MOBILCUT 140 PAIL 20L:KR</t>
  </si>
  <si>
    <t>MOBILCUT 250 PAIL 20L:KR</t>
  </si>
  <si>
    <t>MOBILCUT 320 PAIL 20L:KR</t>
  </si>
  <si>
    <t>MOBILUX EP 023 PAIL 15KG:KR</t>
  </si>
  <si>
    <t>MOBILUX EP 3 PAIL 15KG:KR</t>
  </si>
  <si>
    <t>MOBIL SHC GEAR 150 PAIL 20L:KR</t>
  </si>
  <si>
    <t>MOBIL SHC GEAR 220 PAIL 20L:KR</t>
  </si>
  <si>
    <t>MOBIL VACUOLINE 528 PAIL 20L:KR</t>
  </si>
  <si>
    <t>MOBIL DTE 732 PAIL 20L:KR</t>
  </si>
  <si>
    <t>MOBIL DTE 746 PAIL 20L:KR</t>
  </si>
  <si>
    <t>MOBIL DTE 768 PAIL 20L:KR</t>
  </si>
  <si>
    <t>MOBIL GARGOYLE ARCTIC 155 PAIL 20L:KR</t>
  </si>
  <si>
    <t>MOBIL GARGOYLE ARCTIC 300 PAIL 20L:KR</t>
  </si>
  <si>
    <t>M-GARGOYLE ARCTIC C HEAVY PAIL 20L:KR</t>
  </si>
  <si>
    <t>M-600W SUPER CYLINDER OIL PAIL 18.9L:KR</t>
  </si>
  <si>
    <t>MOBIL DTE OIL MEDIUM PAIL 20L:KR</t>
  </si>
  <si>
    <t>MOBIL EAL ARCTIC 22 PAIL 18.9L:KR</t>
  </si>
  <si>
    <t>MOBIL GLYGOYLE 22 PAIL 20L:KR</t>
  </si>
  <si>
    <t>MOBIL GLYGOYLE 30 PAIL 20L:KR</t>
  </si>
  <si>
    <t>MOBIL RARUS 829 PAIL 20L:KR</t>
  </si>
  <si>
    <t>MOBIL SHC 524 PAIL 20L:KR</t>
  </si>
  <si>
    <t>MOBIL SHC 526 PAIL 20L:KR</t>
  </si>
  <si>
    <t>MOBIL VACUOLINE 537 PAIL 20L:KR</t>
  </si>
  <si>
    <t>MOBILTHERM 603 PAIL 20L:KR</t>
  </si>
  <si>
    <t>M-SYNTHETIC OVEN LUBE 1090 PAIL 20L:KR</t>
  </si>
  <si>
    <t>MOBILTHERM 605 PAIL 20L:KR</t>
  </si>
  <si>
    <t>MOBILGEAR SHC XMP 320 PAIL 20L:KR</t>
  </si>
  <si>
    <t>MOBILGEAR SHC XMP 460 PAIL 20L:KR</t>
  </si>
  <si>
    <t>MOBILGEAR 600 XP 680 PAIL 20L:KR</t>
  </si>
  <si>
    <t>NUTO H 100 PAIL 20L:KR</t>
  </si>
  <si>
    <t>MOBIL VELOCITE HP 32 PAIL 20L:KR</t>
  </si>
  <si>
    <t>MOBIL VELOCITE HP 46 PAIL 20L:KR</t>
  </si>
  <si>
    <t>MOBIL SHC GEAR 320WT PAIL 20L:KR</t>
  </si>
  <si>
    <t>MOBILUX EP 2 PAIL 15KG:KR</t>
  </si>
  <si>
    <t>MOBILUX EP 1 PAIL 15KG:KR</t>
  </si>
  <si>
    <t>MOBILUX EP 0 PAIL 15KG:KR</t>
  </si>
  <si>
    <t>MOBIL VACUOLINE 546 PAIL 20L:KR</t>
  </si>
  <si>
    <t>MOBIL RARUS 424J PAIL 20L:KR</t>
  </si>
  <si>
    <t>MOBIL SHC RARUS 32 PAIL 20L</t>
  </si>
  <si>
    <t>MOBIL SHC RARUS 68 PAIL 20L</t>
  </si>
  <si>
    <t>M-GREASE FM 222 CART 40X0.39KG/13.7OZ</t>
  </si>
  <si>
    <t>M-RARUS SHC 1024 PAIL 20L:KR</t>
  </si>
  <si>
    <t>M-RARUS SHC 1025 PAIL 20L:KR</t>
  </si>
  <si>
    <t>M-RARUS SHC 1026 PAIL 20L:KR</t>
  </si>
  <si>
    <t>NUTO H 150 PAIL 20L:KR</t>
  </si>
  <si>
    <t>M-SHC RARUS 32 PAIL 5USG</t>
  </si>
  <si>
    <t>M-SHC RARUS 46 PAIL 5USG</t>
  </si>
  <si>
    <t>M-SHC RARUS 68 PAIL 5USG</t>
  </si>
  <si>
    <t>MOBILGREASE XHP 222 TUB 1KG:SG</t>
  </si>
  <si>
    <t>MOBILGREASE XHP 222 TUB 1.8KGX6:SG</t>
  </si>
  <si>
    <t>MOBILGREASE XHP 220 PAIL 16KG:SG</t>
  </si>
  <si>
    <t>MOBILGREASE XHP 221 PAIL 16KG:SG</t>
  </si>
  <si>
    <t>MOBILGREASE XHP 222 PAIL 16KG:SG</t>
  </si>
  <si>
    <t>MOBILGREASE XHP 222 SPECIAL PAIL 16KG:SG</t>
  </si>
  <si>
    <t>MOBILGREASE XHP 223 PAIL 16KG:SG</t>
  </si>
  <si>
    <t>MOBILGREASE XHP 322 MINE PAIL 16KG:SG</t>
  </si>
  <si>
    <t>MOBILGREASE XHP 461 PAIL 16KG:SG</t>
  </si>
  <si>
    <t>MOBILGREASE XHP 462 PAIL 16KG:SG</t>
  </si>
  <si>
    <t>MOBILITH SHC 100 PAIL 16KG:SG</t>
  </si>
  <si>
    <t>MOBILITH SHC 1500 PAIL 16KG:SG</t>
  </si>
  <si>
    <t>MOBILITH SHC 220 PAIL 16KG:SG</t>
  </si>
  <si>
    <t>MOBILITH SHC 460 PAIL 16KG:SG</t>
  </si>
  <si>
    <t>MOBILITH SHC PM 220 PAIL 16KG:SG</t>
  </si>
  <si>
    <t>MOBILITH SHC PM 460 PAIL 16KG:SG</t>
  </si>
  <si>
    <t>MOBILUX EP 0 PAIL 16KG:SG</t>
  </si>
  <si>
    <t>MOBILUX EP 023 PAIL 16KG:SG</t>
  </si>
  <si>
    <t>MOBILUX EP 1 PAIL 16KG:SG</t>
  </si>
  <si>
    <t>MOBILUX EP 3 PAIL 16KG:SG</t>
  </si>
  <si>
    <t>M-GREASE XHP 322 MINE PAIL 18KG</t>
  </si>
  <si>
    <t>MOBIL DTE 732 M PAIL 20L:KR</t>
  </si>
  <si>
    <t>MOBIL RARUS 824 PAIL 20L:KR</t>
  </si>
  <si>
    <t>MOBIL RARUS 32 EXCEL 20LT:KR</t>
  </si>
  <si>
    <t>MOBIL RARUS 46 EXCEL 20LT:KR</t>
  </si>
  <si>
    <t>MOBIL RARUS 68 EXCEL 20LT:KR</t>
  </si>
  <si>
    <t>M-SHC GREASE 681 WT PAIL 16KG</t>
  </si>
  <si>
    <t>MOBIL DTE 732 M2 PAIL 20L:KR</t>
  </si>
  <si>
    <t>MOBIL POLYREX EM, 16KG PAIL</t>
  </si>
  <si>
    <t>MOBIL DTE HFP 46 PAIL 20L:KR</t>
  </si>
  <si>
    <t>MOBIL DTE HFP 68 PAIL 20L:KR</t>
  </si>
  <si>
    <t>MOBIL VACUO 146-PL20L:KR</t>
  </si>
  <si>
    <t>M-RARUS SHC 1024 PAIL 20L:KR GTL</t>
  </si>
  <si>
    <t>발주단위</t>
    <phoneticPr fontId="17" type="noConversion"/>
  </si>
  <si>
    <t>금액(포함)</t>
  </si>
  <si>
    <t>단가</t>
  </si>
  <si>
    <t>확인</t>
  </si>
  <si>
    <t>미출수량</t>
  </si>
  <si>
    <t>중복</t>
  </si>
  <si>
    <t>전일발주수량</t>
  </si>
  <si>
    <t>제품군
(Lob)</t>
    <phoneticPr fontId="17" type="noConversion"/>
  </si>
  <si>
    <t>수량
(Quanty)</t>
    <phoneticPr fontId="17" type="noConversion"/>
  </si>
  <si>
    <t>단가
(Unit Price)</t>
    <phoneticPr fontId="17" type="noConversion"/>
  </si>
  <si>
    <t>거래처명
(Ship to)</t>
    <phoneticPr fontId="17" type="noConversion"/>
  </si>
  <si>
    <t>코드번호
(Child Code)</t>
    <phoneticPr fontId="17" type="noConversion"/>
  </si>
  <si>
    <t>규격
(Package)</t>
    <phoneticPr fontId="17" type="noConversion"/>
  </si>
  <si>
    <t>물량/리터
(Volume)</t>
    <phoneticPr fontId="17" type="noConversion"/>
  </si>
  <si>
    <t>금액(별도)
(Amounts)</t>
    <phoneticPr fontId="17" type="noConversion"/>
  </si>
  <si>
    <t>리터(Liter)</t>
    <phoneticPr fontId="17" type="noConversion"/>
  </si>
  <si>
    <t>드럼(Drum)</t>
    <phoneticPr fontId="17" type="noConversion"/>
  </si>
  <si>
    <t>순번
(No.)</t>
    <phoneticPr fontId="17" type="noConversion"/>
  </si>
  <si>
    <r>
      <t>· 부서메일주소 : koreadcp@exxonmobil.com</t>
    </r>
    <r>
      <rPr>
        <sz val="10"/>
        <rFont val="Arial"/>
        <family val="2"/>
      </rPr>
      <t/>
    </r>
    <phoneticPr fontId="18" type="noConversion"/>
  </si>
  <si>
    <t>기준수량</t>
  </si>
  <si>
    <t>* MIX 및 MIX(P)의 경우 서로 다른 제품으로 기준 수량을 맞춰 발주할 수 있음.</t>
  </si>
  <si>
    <t>UNIVIS HVI 26,208LT,DRUM</t>
  </si>
  <si>
    <t>MOBIL SHC 630,55GA</t>
  </si>
  <si>
    <t>MOBIL DTE 846 DRUM 208L:KR</t>
  </si>
  <si>
    <t>2021년 6월22일</t>
  </si>
  <si>
    <t>DTE PM 220 , BULK</t>
  </si>
  <si>
    <t>BULK</t>
  </si>
  <si>
    <t>VACUOLINE 148 BULK</t>
  </si>
  <si>
    <t>NUTO H 68 BULK</t>
  </si>
  <si>
    <t>NUTO H 32 BULK</t>
  </si>
  <si>
    <t>NUTO H 46 BULK</t>
  </si>
  <si>
    <t>SPARTAN EP 150 BULK</t>
  </si>
  <si>
    <t>SPARTAN EP 220 BULK</t>
  </si>
  <si>
    <t>SPARTAN EP 320 BULK</t>
  </si>
  <si>
    <t>SPARTAN EP 460 BULK</t>
  </si>
  <si>
    <t>MOBIL GARGOYLE ARCTIC OIL 300, 208LT DR</t>
  </si>
  <si>
    <t>GARGOYLE ARCTIC C HEAVY,208LT</t>
  </si>
  <si>
    <t>GARGOYLE ARCTIC 155,208LT,DRUM,METAL</t>
  </si>
  <si>
    <t>MOBIL DTE 846,BULK</t>
  </si>
  <si>
    <t>MOBIL PEGASUS 710, 208LT  DR</t>
  </si>
  <si>
    <t>MOBIL RARUS 827 208LT DRUM METAL</t>
  </si>
  <si>
    <t>SHC 524,208LT,DRUM,METAL</t>
  </si>
  <si>
    <t>DTE HEAVY MEDIUM BULK</t>
  </si>
  <si>
    <t>DTE HEAVY BULK</t>
  </si>
  <si>
    <t>DTE LIGHT BULK</t>
  </si>
  <si>
    <t>DTE MEDIUM BULK</t>
  </si>
  <si>
    <t>MOBIL VACUOLINE 525, BULK</t>
  </si>
  <si>
    <t>MOBIL VACUOLINE 546,BULK</t>
  </si>
  <si>
    <t>WYROL H 15, 208LT, DR</t>
  </si>
  <si>
    <t>MOBIL GARGOYLE ARCTIC SHC 226E D208L</t>
  </si>
  <si>
    <t>PEGASUS 1 208LT DRM METAL NEW-TGT HD PR</t>
  </si>
  <si>
    <t>MOBIL DELVAC 1640, 208LT, DR</t>
  </si>
  <si>
    <t>MOBILGEAR SHC XMP 460, 208LT, DR</t>
  </si>
  <si>
    <t>MOBIL PEGASUS 805,BULK</t>
  </si>
  <si>
    <t>MOBIL DTE 832 BULK</t>
  </si>
  <si>
    <t>MOBIL SHC 824,55GA(208LT),DRUM,METAL</t>
  </si>
  <si>
    <t>MOBIL VACUOLINE 528, BULK</t>
  </si>
  <si>
    <t>VACUOLINE 537 BULK</t>
  </si>
  <si>
    <t>MOBIL VACUOLINE 533,BULK</t>
  </si>
  <si>
    <t>RARUS 824, 208L, DRUM, METAL</t>
  </si>
  <si>
    <t>PYROTEC HFD 46, 230KG, DR</t>
  </si>
  <si>
    <t>MOBIL SHC PM 220, 55GA DRUM</t>
  </si>
  <si>
    <t>ZERICE S 100 DRUM-M 208L</t>
  </si>
  <si>
    <t>RONEX MP,400LB(181KG),DRUM,METAL</t>
  </si>
  <si>
    <t>M-PEGASUS 1 DRUM 208L</t>
  </si>
  <si>
    <t>MOBIL GLYGOYLE 150 D208LT</t>
  </si>
  <si>
    <t>MOBIL GLYGOYLE 220 D208LT</t>
  </si>
  <si>
    <t>MOBIL GLYGOYLE 320, 208 LT DRUM</t>
  </si>
  <si>
    <t>MOBILITH SHC PM 460, 174KG/383.6LB</t>
  </si>
  <si>
    <t>MOBILGREASE XHP 222, 180KG/396.8LB, DR</t>
  </si>
  <si>
    <t>MOBILGEAR 600 XP 100, BULK</t>
  </si>
  <si>
    <t>MOBILGEAR 600 XP 150, BULK</t>
  </si>
  <si>
    <t>MOBILGEAR 600 XP 220, BULK</t>
  </si>
  <si>
    <t>MOBILGEAR 600 XP 320, BULK</t>
  </si>
  <si>
    <t>MOBILGEAR 600 XP 460, BULK</t>
  </si>
  <si>
    <t>MOBILGEAR 600 XP 680, BULK</t>
  </si>
  <si>
    <t>MOBIL GLYGOYLE 460, 208LT DRUM</t>
  </si>
  <si>
    <t>M-EAL ARC 100 DRUM 208L</t>
  </si>
  <si>
    <t>MOBIL GAS COMPRESSOR OIL, 216KG DRUM</t>
  </si>
  <si>
    <t>MOBIL GLYGOYLE 100, 208LT DRUM</t>
  </si>
  <si>
    <t>MOBIL DTE 732, BULK</t>
  </si>
  <si>
    <t>MOBIL DTE 746, BULK</t>
  </si>
  <si>
    <t>MOBIL DTE 768, BULK</t>
  </si>
  <si>
    <t>MOBIL SHC 526, 55GA DRUM</t>
  </si>
  <si>
    <t>MOBIL DTE 10 EXCEL 32, BULK</t>
  </si>
  <si>
    <t>MOBIL DTE 10 EXCEL 46, BULK</t>
  </si>
  <si>
    <t>MOBIL DTE 10 EXCEL 68, BULK</t>
  </si>
  <si>
    <t>MOBIL DTE 10 EXCEL 100, BULK</t>
  </si>
  <si>
    <t>M-GLYGOYLE 68 Drum-U 208.198L</t>
  </si>
  <si>
    <t>MOBIL GARGOYLE ARCTIC SHC 224, 55GA DRUM</t>
  </si>
  <si>
    <t>MOBILITH SHC 1500, 174KG DRUM</t>
  </si>
  <si>
    <t>MOBIL GLYGOYLE 22, 208LT DRUM</t>
  </si>
  <si>
    <t>MOBIL GLYGOYLE 30, 208LT DRUM</t>
  </si>
  <si>
    <t>MOBIL SHC CIBUS 32, 208LT DRUM</t>
  </si>
  <si>
    <t>MOBIL SHC CIBUS 46, 208LT DRUM</t>
  </si>
  <si>
    <t>MOBIL SHC CIBUS 68, 208LT DRUM</t>
  </si>
  <si>
    <t>MOBIL SHC CIBUS 220, 208LT DRUM</t>
  </si>
  <si>
    <t>MOBIL SHC CIBUS 320, 208LT DRUM</t>
  </si>
  <si>
    <t>MOBIL SHC CIBUS 460, 208LT DRUM</t>
  </si>
  <si>
    <t>MOBIL SHC CIBUS 150, 208LT DRUM</t>
  </si>
  <si>
    <t>MOBILGREASE XHP 462, 180KG DRUM</t>
  </si>
  <si>
    <t>MOBIL RARUS 829, 55GA DRUM</t>
  </si>
  <si>
    <t>MOBIL SHC GEAR 320 WT DRUM-M 208L</t>
  </si>
  <si>
    <t>MOBIL SHC GEAR 150,390LB.</t>
  </si>
  <si>
    <t>MOBIL SHC GEAR 220,390LB.</t>
  </si>
  <si>
    <t>M-SHC GEAR 460,390LB.</t>
  </si>
  <si>
    <t>MOBIL SHC GEAR 680,390LB.</t>
  </si>
  <si>
    <t>MOBIL SHC 627,55GA</t>
  </si>
  <si>
    <t>MOBIL SHC 634,55GA</t>
  </si>
  <si>
    <t>MOBIL SHC GEAR 3200,390LB.</t>
  </si>
  <si>
    <t>MOBIL SHC GEAR 6800,390LB.</t>
  </si>
  <si>
    <t>M-SHC GEAR 46M,390LB.</t>
  </si>
  <si>
    <t>MOBIL SHC 624,55GA</t>
  </si>
  <si>
    <t>MOBIL SHC 626,55GA</t>
  </si>
  <si>
    <t>MOBIL SHC 629,55GA</t>
  </si>
  <si>
    <t>MOBIL SHC 636,55GA</t>
  </si>
  <si>
    <t>MOBIL SHC 639,55GA</t>
  </si>
  <si>
    <t>NYVAC FR 200D, D/225KG</t>
  </si>
  <si>
    <t>MOBIL VACTRA NO.1 - DR200L</t>
  </si>
  <si>
    <t>M-GREASE XHP 461 ST DRUM 180KG</t>
  </si>
  <si>
    <t>M-RARUS PE KPL 201 DRUM-M 208L</t>
  </si>
  <si>
    <t>MOBIL DTE 10 EXCEL 15, BULK</t>
  </si>
  <si>
    <t>MOBIL DTE 732 M-DR208L</t>
  </si>
  <si>
    <t>M-CENTAUR XHP 461 DRUM 180KG</t>
  </si>
  <si>
    <t>M-CENTAUR XHP 462 DRUM 180KG</t>
  </si>
  <si>
    <t>MOBIL TAC 325 NC DR 400LB(A)</t>
  </si>
  <si>
    <t>POLYREX EM,180KG/396.8LB.</t>
  </si>
  <si>
    <t>M-GEAR SHC XMP 320 ST DRUM 55USG</t>
  </si>
  <si>
    <t>PEGASUS 805, 200LT, DR</t>
  </si>
  <si>
    <t>MOBIL DTE 832-DR208L</t>
  </si>
  <si>
    <t>MOBILGRIND 24 DRUM 55USG EXPORT</t>
  </si>
  <si>
    <t>MOBILTHERM 603 BULK</t>
  </si>
  <si>
    <t>MOBIL DTE PM 150 BULK</t>
  </si>
  <si>
    <t>MOBIL VACUOLINE 137 BULK</t>
  </si>
  <si>
    <t>MOBIL VACUOLINE 146 BULK</t>
  </si>
  <si>
    <t>MOBIL FAXAM 32 BULK</t>
  </si>
  <si>
    <t>MOBIL VACUOLINE 548 BULK</t>
  </si>
  <si>
    <t>MOBIL ATF 660 DRUM 200L:KR</t>
  </si>
  <si>
    <t>MOBIL MULTIPURPOSE ATF DRUM 200L:KR</t>
  </si>
  <si>
    <t>MOBIL HYDRAULIC 10W DRUM 200L:KR</t>
  </si>
  <si>
    <t>MOBIL FLUID LT DRUM 208L:KR</t>
  </si>
  <si>
    <t>MOBIL DELVAC 1330 DRUM 200L:KR</t>
  </si>
  <si>
    <t>MOBIL DELVAC 1340 DRUM 200L:KR</t>
  </si>
  <si>
    <t>MOBIL DELVAC MX 15W-40 DRUM 200L:KR</t>
  </si>
  <si>
    <t>MOBIL DELVAC MX 15W-40 CTN 4X4L:KR</t>
  </si>
  <si>
    <t>PEP로 곧 변경 예정</t>
  </si>
  <si>
    <t>MOBILUBE GX 80W-90 DRUM 200L:KR</t>
  </si>
  <si>
    <t>4L BTL(P)</t>
  </si>
  <si>
    <t>MOBILUBE HD 80W-90 DRUM 200L:KR</t>
  </si>
  <si>
    <t>MOBILUBE HD 85W-140 DRUM 200L:KR</t>
  </si>
  <si>
    <t>MOBILUBE LS 85W-90 DRUM 200L:KR</t>
  </si>
  <si>
    <t>MOBILFLUID 424 DRUM 200L:KR</t>
  </si>
  <si>
    <t>MOBIL DELVAC MX 10W-30 DRUM 200L:KR</t>
  </si>
  <si>
    <t>MOBIL DTE 10 EXCEL 32 DRUM 200L:KR</t>
  </si>
  <si>
    <t>MOBIL DTE 10 EXCEL 46 DRUM 200L:KR</t>
  </si>
  <si>
    <t>MOBIL DTE 10 EXCEL 68 DRUM 200L:KR</t>
  </si>
  <si>
    <t>MOBIL DTE 10 EXCEL 15 DRUM 200L:KR</t>
  </si>
  <si>
    <t>MOBIL DTE 10 EXCEL 100 DRUM 200L:KR</t>
  </si>
  <si>
    <t>MOBIL DTE 10 EXCEL 150 DRUM 200L:KR</t>
  </si>
  <si>
    <t>MOBIL DTE 10 EXCEL 150 BULK</t>
  </si>
  <si>
    <t>MOBILMET 763 DRUM 200L:KR</t>
  </si>
  <si>
    <t>MOBILMET 766 DRUM 200L:KR</t>
  </si>
  <si>
    <t>MOBILMET 423 DRUM 200L:KR</t>
  </si>
  <si>
    <t>MOBILMET 426 DRUM 200L:KR</t>
  </si>
  <si>
    <t>MOBILMET 424 DRUM 200L:KR</t>
  </si>
  <si>
    <t>MOBILCUT 100 DRUM 200L:KR</t>
  </si>
  <si>
    <t>MOBILCUT 140 DRUM 208L:KR</t>
  </si>
  <si>
    <t>MOBILCUT 250 DRUM 208L:KR</t>
  </si>
  <si>
    <t>MOBILCUT 320 DRUM 208L:KR</t>
  </si>
  <si>
    <t>MOBILUX EP 0 DRUM 180KG:KR</t>
  </si>
  <si>
    <t>MOBILUX EP 3 DRUM 180KG:KR</t>
  </si>
  <si>
    <t>MOBIL VACUOLINE 546 DRUM 200L:KR</t>
  </si>
  <si>
    <t>MOBIL RARUS PE R-C 220 BULK</t>
  </si>
  <si>
    <t>MOBIL VACUOLINE 133 DRUM 200L:KR</t>
  </si>
  <si>
    <t>MOBIL VACUOLINE 146 DRUM 200L:KR</t>
  </si>
  <si>
    <t>MOBIL VACUOLINE 548 DRUM 200L:KR</t>
  </si>
  <si>
    <t>MOBIL VACTRA NO 2 SLC DRUM 200L:KR</t>
  </si>
  <si>
    <t>MOBIL VACUOLINE 528 DRUM 200L:KR</t>
  </si>
  <si>
    <t>MOBIL RARUS 424 DRUM 200L:KR</t>
  </si>
  <si>
    <t>MOBIL DTE 732 DRUM 200L:KR</t>
  </si>
  <si>
    <t>MOBIL DTE 746 DRUM 200L:KR</t>
  </si>
  <si>
    <t>MOBIL DTE 768 DRUM 200L:KR</t>
  </si>
  <si>
    <t>MOBIL DTE 932 GT BULK:KR</t>
  </si>
  <si>
    <t>MOBIL DTE 732 M BULK:KR</t>
  </si>
  <si>
    <t>MOBIL ALMO 527 DRUM 200L:KR</t>
  </si>
  <si>
    <t>MOBIL DTE PM 150 DRUM 200L:KR</t>
  </si>
  <si>
    <t>MOBIL DTE PM 220 DRUM 200L:KR</t>
  </si>
  <si>
    <t>MOBIL DTE OIL HEAVY MEDIUM DRUM 200L:KR</t>
  </si>
  <si>
    <t>MOBIL DTE OIL HEAVY DRUM 200L:KR</t>
  </si>
  <si>
    <t>MOBIL DTE OIL LIGHT DRUM 200L:KR</t>
  </si>
  <si>
    <t>MOBIL DTE OIL MEDIUM DRUM 200L:KR</t>
  </si>
  <si>
    <t>MOBIL EAL ARCTIC 220 DRUM 208L:KR</t>
  </si>
  <si>
    <t>MOBIL RARUS 424J DRUM 200L:KR</t>
  </si>
  <si>
    <t>MOBIL RARUS 425 DRUM 200L:KR</t>
  </si>
  <si>
    <t>MOBIL RARUS 427 DRUM 200L:KR</t>
  </si>
  <si>
    <t>MOBIL VACTRA OIL NO 2 DRUM 200L:KR</t>
  </si>
  <si>
    <t>MOBIL VACTRA OIL NO 4 DRUM 200L:KR</t>
  </si>
  <si>
    <t>MOBIL VACUOLINE 137 DRUM 200L:KR</t>
  </si>
  <si>
    <t>MOBIL VACUOLINE 1405 DRUM 200L:KR</t>
  </si>
  <si>
    <t>MOBIL VACUOLINE 1409 DRUM 200L:KR</t>
  </si>
  <si>
    <t>MOBIL VACUOLINE 148 DRUM 200L:KR</t>
  </si>
  <si>
    <t>MOBIL VACUOLINE 525 DRUM 200L:KR</t>
  </si>
  <si>
    <t>MOBIL VACUOLINE 537 DRUM 200L:KR</t>
  </si>
  <si>
    <t>MOBIL VACUUM PUMP OIL DRUM 200L:KR</t>
  </si>
  <si>
    <t>MOBIL VELOCITE NO 10 DRUM 200L:KR</t>
  </si>
  <si>
    <t>MOBIL VELOCITE NO 3 DRUM 200L:KR</t>
  </si>
  <si>
    <t>MOBIL VELOCITE NO 6 DRUM 200L:KR</t>
  </si>
  <si>
    <t>MOBILTHERM 603 DRUM 200L:KR</t>
  </si>
  <si>
    <t>MOBIL PEGASUS 610 DRUM 200L:KR</t>
  </si>
  <si>
    <t>MOBILTHERM 605 DRUM 200L:KR</t>
  </si>
  <si>
    <t>MOBIL VACUOLINE 533 DRUM 200L:KR</t>
  </si>
  <si>
    <t>MOBILGEAR MS 460 DRUM 200L:KR</t>
  </si>
  <si>
    <t>MOBILGEAR MS 320 DRUM 200L:KR</t>
  </si>
  <si>
    <t>MOBILGEAR MS 100 DRUM 200L:KR</t>
  </si>
  <si>
    <t>MOBILGEAR 600 XP 68 DRUM 200L:KR</t>
  </si>
  <si>
    <t>MOBILGEAR 600 XP 100 DRUM 200L:KR</t>
  </si>
  <si>
    <t>MOBILGEAR 600 XP 150 DRUM 200L:KR</t>
  </si>
  <si>
    <t>MOBILGEAR 600 XP 220 DRUM 200L:KR</t>
  </si>
  <si>
    <t>MOBILGEAR 600 XP 320 DRUM 200L:KR</t>
  </si>
  <si>
    <t>MOBILGEAR 600 XP 460 DRUM 200L:KR</t>
  </si>
  <si>
    <t>MOBILGEAR 600 XP 680 DRUM 200L:KR</t>
  </si>
  <si>
    <t>NUTO H 32 DRUM 200L:KR</t>
  </si>
  <si>
    <t>NUTO H 46 DRUM 200L:KR</t>
  </si>
  <si>
    <t>NUTO H 68 DRUM 200L:KR</t>
  </si>
  <si>
    <t>NUTO H 100 DRUM 200L:KR</t>
  </si>
  <si>
    <t>SPARTAN EP 150 DRUM 200L:KR</t>
  </si>
  <si>
    <t>SPARTAN EP 220 DRUM 200L:KR</t>
  </si>
  <si>
    <t>SPARTAN EP 320 DRUM 200L:KR</t>
  </si>
  <si>
    <t>SPARTAN EP 460 DRUM 200L:KR</t>
  </si>
  <si>
    <t>MOBIL VELOCITE HP 24 DRUM 200L:KR</t>
  </si>
  <si>
    <t>MOBIL VELOCITE HP 32 DRUM 200L:KR</t>
  </si>
  <si>
    <t>MOBIL VELOCITE HP 46 DRUM 200L:KR</t>
  </si>
  <si>
    <t>MOBIL FAXAM 32 DRUM 200L:KR</t>
  </si>
  <si>
    <t>MOBIL RARUS PE R-B 220 BULK:KR</t>
  </si>
  <si>
    <t>MOBIL RARUS PE R 220 BULK:KR</t>
  </si>
  <si>
    <t>GAS SEAL OIL 5300 BULK:KR</t>
  </si>
  <si>
    <t>MOBIL VACUOLINE 133 BULK</t>
  </si>
  <si>
    <t>MOBILUX EP 2 DRUM 180KG:KR</t>
  </si>
  <si>
    <t>MOBILUX EP 1 DRUM 180KG:KR</t>
  </si>
  <si>
    <t>MOBIL SHC RARUS 32 DRUM-M 208L</t>
  </si>
  <si>
    <t>MOBIL SHC RARUS 46 DRUM-M 208L</t>
  </si>
  <si>
    <t>MOBIL SHC RARUS 68 DRUM-M 208L</t>
  </si>
  <si>
    <t>MOBIL GEO 10W-40 DRUM 200L:KR</t>
  </si>
  <si>
    <t>M-RARUS SHC 1024 DRUM-M 208L</t>
  </si>
  <si>
    <t>M-RARUS SHC 1025 DRUM-M 208L</t>
  </si>
  <si>
    <t>M-RARUS SHC 1026 DRUM-M 208L</t>
  </si>
  <si>
    <t>NUTO H 150,BULK:KR</t>
  </si>
  <si>
    <t>NUTO H 150 DRUM 200L:KR</t>
  </si>
  <si>
    <t>M-SHC RARUS 32 DRUM 55USG</t>
  </si>
  <si>
    <t>M-SHC RARUS 68 DRUM 55USG</t>
  </si>
  <si>
    <t>M-SHC RARUS 46 DRUM 55USG</t>
  </si>
  <si>
    <t>MOBIL SUPER 3000 F P 0W30 DR 200L:KR</t>
  </si>
  <si>
    <t>MOBILGREASE XHP 221 DRUM 180KG:SG</t>
  </si>
  <si>
    <t>MOBILGREASE XHP 222 DRUM 180KG:SG</t>
  </si>
  <si>
    <t>MOBILGREASE XHP 222SPECIAL DRUM 180KG:SG</t>
  </si>
  <si>
    <t>MOBILGREASE XHP 223 DRUM 180KG:SG</t>
  </si>
  <si>
    <t>MOBILGREASE XHP 320 MINE DRUM 180KG:SG</t>
  </si>
  <si>
    <t>MOBILGREASE XHP 321 MINE DRUM 180KG:SG</t>
  </si>
  <si>
    <t>MOBILGREASE XHP 322 MINE DRUM 180KG:SG</t>
  </si>
  <si>
    <t>MOBILGREASE XHP 461 DRUM 180KG:SG</t>
  </si>
  <si>
    <t>MOBILGREASE XHP 462 DRUM 180KG:SG</t>
  </si>
  <si>
    <t>MOBILITH SHC 100 DRUM 174KG:SG</t>
  </si>
  <si>
    <t>MOBILITH SHC 1500 DRUM 174KG:SG</t>
  </si>
  <si>
    <t>MOBILITH SHC 220 DRUM 174KG:SG</t>
  </si>
  <si>
    <t>MOBILITH SHC 460 DRUM 174KG:SG</t>
  </si>
  <si>
    <t>MOBILITH SHC PM 220 DRUM 174KG:SG</t>
  </si>
  <si>
    <t>MOBILITH SHC PM 460 DRUM 174KG:SG</t>
  </si>
  <si>
    <t>MOBILUX EP 023 DRUM 180KG:SG</t>
  </si>
  <si>
    <t>MOBILUX EP 1 DRUM 180KG:SG</t>
  </si>
  <si>
    <t>MOBILUX EP 2 DRUM 180KG:SG</t>
  </si>
  <si>
    <t>MOBILUX EP 3 DRUM 180KG:SG</t>
  </si>
  <si>
    <t>M-DELVAC 1 GO 75W90 DRUM-M 208L</t>
  </si>
  <si>
    <t>M-SHC HYDRAULIC EAL 32 DRUM 208L</t>
  </si>
  <si>
    <t>M-SHC HYDRAULIC EAL 46 DRUM 208L</t>
  </si>
  <si>
    <t>M-SHC HYDRAULIC EAL 68 DRUM 208L</t>
  </si>
  <si>
    <t>MOBIL DELVAC 1 ESP 5W-40 DRUM 55USG</t>
  </si>
  <si>
    <t>M-DELVAC 1 GO 75W90 DRUM 375LB</t>
  </si>
  <si>
    <t>M-DELVAC 1 GO 80W140 DRUM 375LB</t>
  </si>
  <si>
    <t>MOBIL RARUS 32 EXCEL 200LT:KR</t>
  </si>
  <si>
    <t>MOBIL RARUS 46 EXCEL 200LT:KR</t>
  </si>
  <si>
    <t>MOBIL RARUS 68 EXCEL 200LT:KR</t>
  </si>
  <si>
    <t>MOBIL 1 5W-30 DRUM 200L:KR</t>
  </si>
  <si>
    <t>단종 예정</t>
  </si>
  <si>
    <t>MOBIL DELVAC MX ESP K 10W-40 200LT:KR</t>
  </si>
  <si>
    <t>M-PEGASUS 1107 DRUM-M 208L</t>
  </si>
  <si>
    <t>MOBIL RARUS PE KPL 220, BULK</t>
  </si>
  <si>
    <t>MOBIL DELVAC 1 ESP 5W-30 DRUM 55USG</t>
  </si>
  <si>
    <t>MOBIL DTE 732 M2 BULK</t>
  </si>
  <si>
    <t>POLYREX EM,180KG/396.8LB</t>
  </si>
  <si>
    <t>MOBIL SPECIAL PLUS 5W-30 DRUM 200L:KR</t>
  </si>
  <si>
    <t>MOBIL DTE HFP 46 BULK</t>
  </si>
  <si>
    <t>MOBIL DTE HFP 46 DRUM 200L:KR</t>
  </si>
  <si>
    <t>MOBIL DTE HFP 68 BULK</t>
  </si>
  <si>
    <t>MOBIL DTE HFP 68 DRUM 200L:KR</t>
  </si>
  <si>
    <t>MOBIL SUPER 3000 F D1 5W30-DR 200L:KR</t>
  </si>
  <si>
    <t>MOBILMET 423 DRUM 200L: KR</t>
  </si>
  <si>
    <t>MOBILMET 426 DRUM 200L: KR</t>
  </si>
  <si>
    <t>MOBIL DTE 24 ULTRA BULK</t>
  </si>
  <si>
    <t>MOBIL DTE 25 ULTRA BULK</t>
  </si>
  <si>
    <t>MOBIL DTE 26 ULTRA BULK</t>
  </si>
  <si>
    <t>MOBIL SUPER 3000 XE1 5W-30 DRUM 200L:KR</t>
  </si>
  <si>
    <t>M-RARUS SHC 1024, DRUM-M 208L</t>
  </si>
  <si>
    <t>M-1 ESP LV 0W30 DRUM-M 208L</t>
  </si>
  <si>
    <t>M-1 0W-20 DRUM 55USG</t>
  </si>
  <si>
    <t>MOBIL DELVAC XHP ESP S 10W-40 DM 200L:KR</t>
  </si>
  <si>
    <t>MOBIL SUPER 3000 XE2 0W20 DRUM 200L:KR</t>
  </si>
  <si>
    <t>MOBILTHERM 610 BULK</t>
  </si>
  <si>
    <t>MOBILTHERM 610 DRUM 200L:KR</t>
  </si>
  <si>
    <t>MOBIL SHC 918 EE BULK</t>
  </si>
  <si>
    <t>MOBIL SHC 918 EE DRUM 200L:KR</t>
  </si>
  <si>
    <t>MOBIL UNIVIS N 46 HORYONG DR 200L:KR</t>
  </si>
  <si>
    <t>MOBIL 1 ESP X2 0W-20 DRUM 208L:SG</t>
  </si>
  <si>
    <t>MOBIL SUPER 3000 F M 5W-40 DR 200L:KR</t>
  </si>
  <si>
    <t>M SUP TP SMART PLUS PRO 0W-20 DR 200L:KR</t>
  </si>
  <si>
    <t>M SUP TP TURBO GDI PRO 5W-30 DR 200L:KR</t>
  </si>
  <si>
    <t>M SUP EP C2 5W-30 DR 200L:KR</t>
  </si>
  <si>
    <t>M SUP EP C3 5W-30 DR 200L:KR</t>
  </si>
  <si>
    <t>M SUP EP 5W-20 DR 200L:KR</t>
  </si>
  <si>
    <t>M SUP EP 5W-30 DR 200L:KR</t>
  </si>
  <si>
    <t>M SUP EP 10W-40 DR 200L:KR</t>
  </si>
  <si>
    <t>M SPECIAL PLUS DIESEL 5W-30 DR 200L:KR</t>
  </si>
  <si>
    <t>FULL(P)</t>
  </si>
  <si>
    <t>M DV ULTRA 5W-30 UP DRUM 208L:KR</t>
  </si>
  <si>
    <t>M DV MODERN 10W-40 AP DRUM 200L:KR</t>
  </si>
  <si>
    <t>M DV MODERN 15W-40 FP DRUM 200L:KR</t>
  </si>
  <si>
    <t>M DV MODERN 15W-40 CP DRUM 200L:KR</t>
  </si>
  <si>
    <t>MOBILMET 766 DRUM 200L:KR-N</t>
  </si>
  <si>
    <t>MOBILMET 763 DRUM 200L:KR-N</t>
  </si>
  <si>
    <t>MOBILMET 762 DRUM 200L:KR-N</t>
  </si>
  <si>
    <t>M SUP TP TURBO 0W-30 DR 200L:KR</t>
  </si>
  <si>
    <t>MIX (14)</t>
    <phoneticPr fontId="40" type="noConversion"/>
  </si>
  <si>
    <t>MIX (12)</t>
    <phoneticPr fontId="40" type="noConversion"/>
  </si>
  <si>
    <t>MINI(P,36)</t>
    <phoneticPr fontId="40" type="noConversion"/>
  </si>
  <si>
    <t>MIX(P,12)</t>
    <phoneticPr fontId="40" type="noConversion"/>
  </si>
  <si>
    <t>MIX (1)</t>
    <phoneticPr fontId="40" type="noConversion"/>
  </si>
  <si>
    <t>MIX (28)</t>
    <phoneticPr fontId="40" type="noConversion"/>
  </si>
  <si>
    <t>MIX (10)</t>
    <phoneticPr fontId="40" type="noConversion"/>
  </si>
  <si>
    <t>M-DEL MX CITY LOGISTICS 10W-30 DRUM 200L</t>
    <phoneticPr fontId="16" type="noConversion"/>
  </si>
  <si>
    <t>MBK 1L*12</t>
    <phoneticPr fontId="16" type="noConversion"/>
  </si>
  <si>
    <t>MBK 4L*5</t>
    <phoneticPr fontId="16" type="noConversion"/>
  </si>
  <si>
    <t>SAMKWANG-YI</t>
  </si>
  <si>
    <t>MOBILCUT 100, 208LT DR (N)</t>
  </si>
  <si>
    <t>MOBIL ATF 220 CTN 12X1L:TW</t>
  </si>
  <si>
    <t>MBK</t>
    <phoneticPr fontId="17" type="noConversion"/>
  </si>
  <si>
    <t>MOBIL SHC 632 PAIL 20L:SG</t>
  </si>
  <si>
    <t>MOBIL SHC 629 PAIL 20L:SG</t>
  </si>
  <si>
    <t>MOBIL HYDRAULIC AW 46 DRUM 200L:KR</t>
  </si>
  <si>
    <t>MOBIL HYDRAULIC AW 46 PAIL 20L:KR</t>
  </si>
  <si>
    <t>M DV ULTRA 5W-40 UP V1 CTN 4X4L</t>
  </si>
  <si>
    <t>MOBIL SHC 632 DRUM 208L:SG</t>
  </si>
  <si>
    <t>MOBIL HYDRAULIC AW 32 DRUM 200L:KR</t>
  </si>
  <si>
    <t>MOBIL SHC 629 DRUM 208L:SG</t>
  </si>
  <si>
    <t>MOBIL HYDRAULIC AW 32 PAIL 20L:KR</t>
  </si>
  <si>
    <t>MOBIL HYDRAULIC AW 68 PAIL 20L:KR</t>
  </si>
  <si>
    <t>MOBIL HYDRAULIC AW 68 DRUM 200L:KR</t>
  </si>
  <si>
    <t>화성창고-화성에너지</t>
  </si>
  <si>
    <t>MOBIL DTE 10 EXCEL 46 DRUM 200L:KR(N)</t>
  </si>
  <si>
    <t>MOBIL DTE 10 EXCEL 32 PAIL 20L:KR</t>
  </si>
  <si>
    <t>MOBIL SHC 630 PAIL 20L:SG</t>
  </si>
  <si>
    <t>화성창고-MBK</t>
  </si>
  <si>
    <t>MOBIL DTE 10 EXCEL 15 PAIL 20L:KR(N)</t>
  </si>
  <si>
    <t>화성창고-아주지오텍</t>
  </si>
  <si>
    <t>JET OIL 254 24X1QT CTN/CANS METAL</t>
  </si>
  <si>
    <t>BOX</t>
  </si>
  <si>
    <t>MOBIL JET OIL II,24X1QT,CTN/CANS,METAL</t>
  </si>
  <si>
    <t>MOBIL AERO HF, 55GA DRUM</t>
  </si>
  <si>
    <t>HYJET V, 5GA PAIL</t>
  </si>
  <si>
    <t>MOBIL GARGOYLE ARCTIC 300, 208LT DR</t>
  </si>
  <si>
    <t>AERO HF, 5GA(18.9LT), METAL</t>
  </si>
  <si>
    <t>MOBIL SHC GEAR 320 WT PAIL 20L:KR</t>
  </si>
  <si>
    <t>MOBILITH SHC 007 PAIL 16KG:SG</t>
  </si>
  <si>
    <t>MOBIL SHC 630 DRUM 208L:SG</t>
  </si>
  <si>
    <t>MOBIL SHC 634 DRUM 208L:SG</t>
  </si>
  <si>
    <t>MOBIL SHC 634 PAIL 20L:SG</t>
  </si>
  <si>
    <t>MOBIL SHC 636 DRUM 208L:SG</t>
  </si>
  <si>
    <t>MOBIL SHC 636 PAIL 20L:SG</t>
  </si>
  <si>
    <t>MOBIL DTE 10 EXCEL 15 DRUM 200L:KR(N)</t>
  </si>
  <si>
    <t>MOBIL DTE 10 EXCEL 32 DRUM 200L:KR(N)</t>
  </si>
  <si>
    <t>MOBIL DTE 10 EXCEL 46 PAIL 20L:KR(N)</t>
  </si>
  <si>
    <t>MOBIL DTE 10 EXCEL 68 PAIL 20L:KR(N)</t>
  </si>
  <si>
    <t>MOBIL DTE 10 EXCEL 68 DRUM 200L:KR(N)</t>
  </si>
  <si>
    <t>MOBIL DTE 10 EXCEL 100 PAIL 20L:KR(N)</t>
  </si>
  <si>
    <t>MOBIL DTE 10 EXCEL 100 DRUM 200L:KR(N)</t>
  </si>
  <si>
    <t>MOBIL DTE 10 EXCEL 150 PAIL 20L:KR(N)</t>
  </si>
  <si>
    <t>MOBIL DTE 10 EXCEL 150 DRUM 200L:KR(N)</t>
  </si>
  <si>
    <t>MIX (12)</t>
    <phoneticPr fontId="40" type="noConversion"/>
  </si>
  <si>
    <t>화성창고-AUTO AL</t>
  </si>
  <si>
    <t>화성창고-위아</t>
  </si>
  <si>
    <t>화성창고-korail</t>
  </si>
  <si>
    <t>화성창고-두산</t>
  </si>
  <si>
    <t>화성창고-SEW</t>
  </si>
  <si>
    <t>삼광상사-일반가</t>
  </si>
  <si>
    <t>울산광역시 북구 죽전로 2 (효문동)</t>
  </si>
  <si>
    <t>영일-화성(AL)</t>
  </si>
  <si>
    <t>경기도 화성시 향남읍 구문천1길 43-9</t>
  </si>
  <si>
    <t>영일오앤씨 - 대리점 가격</t>
  </si>
  <si>
    <t>영일-현대제철(화성창고)</t>
  </si>
  <si>
    <t>영일-현대제철(당진)</t>
  </si>
  <si>
    <t>충남 당진시 송악읍 북부산업로 1480</t>
  </si>
  <si>
    <t>영일-현대제철(순천)</t>
  </si>
  <si>
    <t>전남 순천시 해룡면 선월리 인덕로 300</t>
  </si>
  <si>
    <t>영일 - 아주지오텍(화성창고)</t>
  </si>
  <si>
    <t>영일 - 위아(화성창고)</t>
  </si>
  <si>
    <t>영일 - 화성(에너지)</t>
  </si>
  <si>
    <t>영일-코레일-화성창고</t>
  </si>
  <si>
    <t>영일 - MBK (화성)</t>
  </si>
  <si>
    <t>영일 화성-두산</t>
  </si>
  <si>
    <t>영일-SEW-화성창고</t>
  </si>
  <si>
    <t>화성창고-하이스코</t>
    <phoneticPr fontId="16" type="noConversion"/>
  </si>
  <si>
    <t>티센크루프엘리베이터코리아(주)</t>
  </si>
  <si>
    <t>영일-신라정밀-화성창고</t>
  </si>
  <si>
    <t>영일-현대건설-화성</t>
  </si>
  <si>
    <t>영일 - 롯데케미칼 화성창고</t>
  </si>
  <si>
    <t>영일 - LG 화학 - 화성</t>
  </si>
  <si>
    <t>화성창고- LG Chemical</t>
  </si>
  <si>
    <t>화성창고-LG화학</t>
  </si>
  <si>
    <t>화성창고-SHILLA</t>
  </si>
  <si>
    <t>화성창고-KORAIL-iL</t>
  </si>
  <si>
    <t>화성창고-HYUNDAI E&amp;C</t>
  </si>
  <si>
    <t>화성창고-티센</t>
    <phoneticPr fontId="16" type="noConversion"/>
  </si>
  <si>
    <t>충청남도 서산시 대산읍 독곶1로 54</t>
  </si>
  <si>
    <t>향남읍 구문천1길 43-9</t>
  </si>
  <si>
    <r>
      <t>· 부서메일주소 : koreadcp@exxonmobil.com</t>
    </r>
    <r>
      <rPr>
        <sz val="10"/>
        <rFont val="Arial"/>
        <family val="2"/>
      </rPr>
      <t/>
    </r>
    <phoneticPr fontId="18" type="noConversion"/>
  </si>
  <si>
    <r>
      <t xml:space="preserve">순번
</t>
    </r>
    <r>
      <rPr>
        <b/>
        <sz val="10"/>
        <rFont val="돋움"/>
        <family val="3"/>
        <charset val="129"/>
      </rPr>
      <t>(No.)</t>
    </r>
    <phoneticPr fontId="17" type="noConversion"/>
  </si>
  <si>
    <r>
      <t xml:space="preserve">거래처명
</t>
    </r>
    <r>
      <rPr>
        <b/>
        <sz val="10"/>
        <rFont val="돋움"/>
        <family val="3"/>
        <charset val="129"/>
      </rPr>
      <t>(Ship to)</t>
    </r>
    <phoneticPr fontId="17" type="noConversion"/>
  </si>
  <si>
    <r>
      <t xml:space="preserve">코드번호
</t>
    </r>
    <r>
      <rPr>
        <b/>
        <sz val="10"/>
        <rFont val="돋움"/>
        <family val="3"/>
        <charset val="129"/>
      </rPr>
      <t>(Child Code)</t>
    </r>
    <phoneticPr fontId="17" type="noConversion"/>
  </si>
  <si>
    <r>
      <t xml:space="preserve">규격
</t>
    </r>
    <r>
      <rPr>
        <b/>
        <sz val="10"/>
        <rFont val="돋움"/>
        <family val="3"/>
        <charset val="129"/>
      </rPr>
      <t>(Package)</t>
    </r>
    <phoneticPr fontId="17" type="noConversion"/>
  </si>
  <si>
    <r>
      <t xml:space="preserve">제품군
</t>
    </r>
    <r>
      <rPr>
        <b/>
        <sz val="10"/>
        <rFont val="돋움"/>
        <family val="3"/>
        <charset val="129"/>
      </rPr>
      <t>(Lob)</t>
    </r>
    <phoneticPr fontId="17" type="noConversion"/>
  </si>
  <si>
    <r>
      <t xml:space="preserve">수량
</t>
    </r>
    <r>
      <rPr>
        <b/>
        <sz val="10"/>
        <rFont val="돋움"/>
        <family val="3"/>
        <charset val="129"/>
      </rPr>
      <t>(Quanty)</t>
    </r>
    <phoneticPr fontId="17" type="noConversion"/>
  </si>
  <si>
    <r>
      <t xml:space="preserve">물량/리터
</t>
    </r>
    <r>
      <rPr>
        <b/>
        <sz val="10"/>
        <rFont val="돋움"/>
        <family val="3"/>
        <charset val="129"/>
      </rPr>
      <t>(Volume)</t>
    </r>
    <phoneticPr fontId="17" type="noConversion"/>
  </si>
  <si>
    <r>
      <t xml:space="preserve">단가
</t>
    </r>
    <r>
      <rPr>
        <b/>
        <sz val="10"/>
        <rFont val="돋움"/>
        <family val="3"/>
        <charset val="129"/>
      </rPr>
      <t>(Unit Price)</t>
    </r>
    <phoneticPr fontId="17" type="noConversion"/>
  </si>
  <si>
    <r>
      <t xml:space="preserve">금액(별도)
</t>
    </r>
    <r>
      <rPr>
        <b/>
        <sz val="10"/>
        <rFont val="돋움"/>
        <family val="3"/>
        <charset val="129"/>
      </rPr>
      <t>(Amounts)</t>
    </r>
    <phoneticPr fontId="17" type="noConversion"/>
  </si>
  <si>
    <r>
      <t>리터</t>
    </r>
    <r>
      <rPr>
        <b/>
        <sz val="10"/>
        <rFont val="돋움"/>
        <family val="3"/>
        <charset val="129"/>
      </rPr>
      <t>(Liter)</t>
    </r>
    <phoneticPr fontId="17" type="noConversion"/>
  </si>
  <si>
    <r>
      <t>드럼</t>
    </r>
    <r>
      <rPr>
        <b/>
        <sz val="10"/>
        <rFont val="돋움"/>
        <family val="3"/>
        <charset val="129"/>
      </rPr>
      <t>(Drum)</t>
    </r>
    <phoneticPr fontId="17" type="noConversion"/>
  </si>
  <si>
    <t>화성창고-MBK</t>
    <phoneticPr fontId="16" type="noConversion"/>
  </si>
  <si>
    <t>화성창고-롯데케미칼</t>
    <phoneticPr fontId="16" type="noConversion"/>
  </si>
  <si>
    <t>제품명</t>
    <phoneticPr fontId="162" type="noConversion"/>
  </si>
  <si>
    <t>Package</t>
    <phoneticPr fontId="162" type="noConversion"/>
  </si>
  <si>
    <t>MOBIL SHC 630,5GA</t>
    <phoneticPr fontId="162" type="noConversion"/>
  </si>
  <si>
    <t>MB GEO SAE 5W-40 MB 229.5 208LT:KR</t>
  </si>
  <si>
    <t>MB GEO SAE 5W-30 MB 229.52 208LT:KR</t>
  </si>
  <si>
    <t>MB GEO SAE 5W-30 MB 229.51 208LT:KR</t>
  </si>
  <si>
    <t>화성창고-롯데엠씨씨</t>
    <phoneticPr fontId="16" type="noConversion"/>
  </si>
  <si>
    <t>롯데엠씨씨(238419)</t>
    <phoneticPr fontId="16" type="noConversion"/>
  </si>
  <si>
    <t>향남읍 구문천1길 43-9</t>
    <phoneticPr fontId="16" type="noConversion"/>
  </si>
  <si>
    <t>MOBIL PEGASUS 605 ULTRA 40 DRUM 200L:KR</t>
  </si>
  <si>
    <t>영일-화성</t>
  </si>
  <si>
    <t>영일-화성</t>
    <phoneticPr fontId="16" type="noConversion"/>
  </si>
  <si>
    <t>발주물량</t>
    <phoneticPr fontId="17" type="noConversion"/>
  </si>
  <si>
    <t>ARAPEN RB 320 DR400LB</t>
  </si>
  <si>
    <t>영일-대한유화-온산</t>
  </si>
  <si>
    <t>영일-롯데(내포신도시)</t>
  </si>
  <si>
    <t>영일-SK인천석유화학</t>
    <phoneticPr fontId="16" type="noConversion"/>
  </si>
  <si>
    <t>영일-통영EPC</t>
    <phoneticPr fontId="16" type="noConversion"/>
  </si>
  <si>
    <t>경상남도 통영시 광도면 안정리</t>
    <phoneticPr fontId="16" type="noConversion"/>
  </si>
  <si>
    <t>모빌대명광유</t>
    <phoneticPr fontId="16" type="noConversion"/>
  </si>
  <si>
    <t>유승오일</t>
    <phoneticPr fontId="16" type="noConversion"/>
  </si>
  <si>
    <t>1톤차량</t>
    <phoneticPr fontId="16" type="noConversion"/>
  </si>
  <si>
    <t>MB GENUINE ATF FE ATF MB 236.15 12X1LT</t>
  </si>
  <si>
    <t>경동입차</t>
    <phoneticPr fontId="16" type="noConversion"/>
  </si>
  <si>
    <t>영동모빌</t>
    <phoneticPr fontId="16" type="noConversion"/>
  </si>
  <si>
    <t>MB GEO SAE 10W-40 MB 228.51 4X5LT:KR</t>
  </si>
  <si>
    <t>MB HGO SAE 80W-90 MB 235.20 PAIL 20LT:KR</t>
  </si>
  <si>
    <t>`</t>
    <phoneticPr fontId="16" type="noConversion"/>
  </si>
  <si>
    <t>MB GEO SAE 5W-30 MB 229.52 12X1LT:KR</t>
  </si>
  <si>
    <t>M-GREASE XHP 222 CART 12X0.39KG/13.7OZ</t>
    <phoneticPr fontId="16" type="noConversion"/>
  </si>
  <si>
    <t>YOUNGIL O &amp; C-GP</t>
  </si>
  <si>
    <t>YOUNGIL O&amp;C-DP</t>
  </si>
  <si>
    <t>수입일정확인</t>
  </si>
  <si>
    <t>재고있음</t>
  </si>
  <si>
    <t>MB AMG HPEO SAE 0W-40 MB 229.5 12X1LT</t>
  </si>
  <si>
    <t>MOBIL 1 ESP X2 0W20 for MB229.</t>
  </si>
  <si>
    <t>MB GEO SAE 0W-20 MB 229.71 12X1LT</t>
  </si>
  <si>
    <t>MB GAT Fluid FE 236.15 12x1LT</t>
  </si>
  <si>
    <t>MBK</t>
    <phoneticPr fontId="16" type="noConversion"/>
  </si>
  <si>
    <t>D/M</t>
  </si>
  <si>
    <t>re-packing예정</t>
  </si>
  <si>
    <t>Sales_Document</t>
  </si>
  <si>
    <t>Name_1</t>
  </si>
  <si>
    <t>Ship-to</t>
  </si>
  <si>
    <t>Material</t>
  </si>
  <si>
    <t>Description</t>
  </si>
  <si>
    <t>Open_orders_quantity</t>
  </si>
  <si>
    <t>Created_On</t>
  </si>
  <si>
    <t>Requested_delivdate</t>
  </si>
  <si>
    <t>Remark</t>
  </si>
  <si>
    <t>화성창고-보창</t>
    <phoneticPr fontId="16" type="noConversion"/>
  </si>
  <si>
    <t>04/25(목)생산예상</t>
  </si>
  <si>
    <t>생산대기</t>
  </si>
  <si>
    <t>생산일정확인</t>
  </si>
  <si>
    <t>24.04.2024</t>
  </si>
  <si>
    <t>29.04.2024</t>
  </si>
  <si>
    <t>HW20240424</t>
  </si>
  <si>
    <t>13.02.2024</t>
  </si>
  <si>
    <t>22.05.2024</t>
  </si>
  <si>
    <t>HW20240213</t>
  </si>
  <si>
    <t xml:space="preserve">화성창고-B2B MOP </t>
    <phoneticPr fontId="16" type="noConversion"/>
  </si>
  <si>
    <t>영일-현대건설</t>
    <phoneticPr fontId="16" type="noConversion"/>
  </si>
  <si>
    <t>화성창고-AW(SP2)</t>
    <phoneticPr fontId="16" type="noConversion"/>
  </si>
  <si>
    <t>화성창고-심팩</t>
    <phoneticPr fontId="16" type="noConversion"/>
  </si>
  <si>
    <t>화성창고-AW(SP1)</t>
    <phoneticPr fontId="16" type="noConversion"/>
  </si>
  <si>
    <t xml:space="preserve">영일-세아창원특수강 WH </t>
    <phoneticPr fontId="16" type="noConversion"/>
  </si>
  <si>
    <t>MOBIL SYN GEAR OIL 75W90 DRUM 208L</t>
  </si>
  <si>
    <t>M SUP EP C2 5W-30 CTN 1LX12:KR</t>
  </si>
  <si>
    <t>MOBIL GEAR 600 XP 150 PAIL 20L:KR</t>
  </si>
  <si>
    <t>MOBIL DTE LIGHT PAIL 20L:KR</t>
  </si>
  <si>
    <t>MOBIL VACUOLINE 1409 PAIL 20L:KR(L)</t>
  </si>
  <si>
    <t>MOBIL RARUS 424 PAIL 20L:KR</t>
  </si>
  <si>
    <t>MOBIL VACTRA NO 4 PAIL 20L:KR</t>
  </si>
  <si>
    <t>MOBIL VELOCITE NO 3 PAIL 20L:KR</t>
  </si>
  <si>
    <t>MOBIL GEAR 600 XP 220 PAIL 20L:KR</t>
  </si>
  <si>
    <t>MOBIL NUTO H 46 PAIL 20L:KR</t>
  </si>
  <si>
    <t>MOBIL VACTRA NO 2 PAIL 20L:KR</t>
  </si>
  <si>
    <t>MOBIL VELOCITE NO 6 PAIL 20L:KR</t>
  </si>
  <si>
    <t>Full</t>
  </si>
  <si>
    <t>MB GAT Fluid FE 236.15 12X1LT</t>
    <phoneticPr fontId="16" type="noConversion"/>
  </si>
  <si>
    <t>M SUP AIOP V 5W30 CTN 12X1L:KR</t>
  </si>
  <si>
    <t>M SUP TP SMART PLUS PRO 0W20 CTN1LX12:KR</t>
  </si>
  <si>
    <t>M DV MODERN 10W-40 FP PAIL 20L</t>
  </si>
  <si>
    <t>CVL</t>
    <phoneticPr fontId="16" type="noConversion"/>
  </si>
  <si>
    <t>M DV MODERN 10W-40 FP CTN 4X4L</t>
  </si>
  <si>
    <t>CVL</t>
    <phoneticPr fontId="16" type="noConversion"/>
  </si>
  <si>
    <t>PVL</t>
    <phoneticPr fontId="16" type="noConversion"/>
  </si>
  <si>
    <t>MOBIL UNIVIS N 46 HR E&amp;I DR 200L:KR</t>
    <phoneticPr fontId="16" type="noConversion"/>
  </si>
  <si>
    <t>IND</t>
    <phoneticPr fontId="16" type="noConversion"/>
  </si>
  <si>
    <t>영일-맥 테크</t>
    <phoneticPr fontId="16" type="noConversion"/>
  </si>
  <si>
    <t>영일-EPC-부산</t>
  </si>
  <si>
    <t>영일-EPC-부산</t>
    <phoneticPr fontId="16" type="noConversion"/>
  </si>
  <si>
    <t>제품코드</t>
  </si>
  <si>
    <t>LOB</t>
  </si>
  <si>
    <t>Q'ty/pallet</t>
  </si>
  <si>
    <t>M LUBE HD 80W90 PAIL 20L</t>
  </si>
  <si>
    <t>AL</t>
  </si>
  <si>
    <t>Mini</t>
  </si>
  <si>
    <t>M FD LUBE SPECIAL 75W-85 PAIL 20L:KR</t>
  </si>
  <si>
    <t>IL</t>
  </si>
  <si>
    <t>M DV MODERN 10W-40 CP V1 CTN 4X4L:KR</t>
  </si>
  <si>
    <t>M SUP AIOP V 0W30 CTN 12X1L:KR</t>
  </si>
  <si>
    <t>M ATF HK8 PAIL 20L:KR (N)</t>
  </si>
  <si>
    <t>M DV MODERN 10W-40 FP PAIL 20L:KR</t>
  </si>
  <si>
    <t>M SPECIAL PLUS 5W-30 CTN 4X4L:KR (N)</t>
  </si>
  <si>
    <t>M HYD AW 46 (OFF-HIGHWAY) PAIL 20L:KR</t>
  </si>
  <si>
    <t>M DV MODERN 10W-40 CP V1 PAIL 20L:KR</t>
  </si>
  <si>
    <t>M DV LEGEND 10W40 PROTECTION PAIL 20L:KR</t>
  </si>
  <si>
    <t>M SUP TP 0W-30 CTN 12X1L:KR (N)</t>
  </si>
  <si>
    <t>M DV MX ADV CITY LOG 5W-40 CTN 3X6L</t>
  </si>
  <si>
    <t>M FLUID 424 PAIL 20L:KR</t>
  </si>
  <si>
    <t>M LUBE GX 80W-90 PAIL 20L:KR</t>
  </si>
  <si>
    <t>M MULTIPURPOSE ATF, 20LT PAIL</t>
  </si>
  <si>
    <t xml:space="preserve">영일-세아특수강 WH </t>
    <phoneticPr fontId="16" type="noConversion"/>
  </si>
  <si>
    <t>91자5660</t>
    <phoneticPr fontId="16" type="noConversion"/>
  </si>
  <si>
    <t>울산90자2064/한창용</t>
    <phoneticPr fontId="16" type="noConversion"/>
  </si>
  <si>
    <r>
      <rPr>
        <sz val="12"/>
        <color rgb="FF333333"/>
        <rFont val="돋움"/>
        <family val="3"/>
        <charset val="129"/>
      </rPr>
      <t>영일</t>
    </r>
    <r>
      <rPr>
        <sz val="12"/>
        <color rgb="FF333333"/>
        <rFont val="EMprint"/>
        <family val="2"/>
      </rPr>
      <t>-</t>
    </r>
    <r>
      <rPr>
        <sz val="12"/>
        <color rgb="FF333333"/>
        <rFont val="돋움"/>
        <family val="3"/>
        <charset val="129"/>
      </rPr>
      <t>수산중공업</t>
    </r>
    <phoneticPr fontId="162" type="noConversion"/>
  </si>
  <si>
    <t>화성창고-수산중공업</t>
    <phoneticPr fontId="16" type="noConversion"/>
  </si>
  <si>
    <t xml:space="preserve">화성창고-세아창원특수강 WH </t>
    <phoneticPr fontId="16" type="noConversion"/>
  </si>
  <si>
    <t>MOBILGREASE XTC, PAIL 35LB</t>
    <phoneticPr fontId="16" type="noConversion"/>
  </si>
  <si>
    <r>
      <t>영일</t>
    </r>
    <r>
      <rPr>
        <sz val="11"/>
        <color rgb="FF1F497D"/>
        <rFont val="EMprint"/>
        <family val="2"/>
      </rPr>
      <t>-</t>
    </r>
    <r>
      <rPr>
        <sz val="11"/>
        <color rgb="FF1F497D"/>
        <rFont val="Arial"/>
        <family val="2"/>
      </rPr>
      <t>세아특수강</t>
    </r>
    <r>
      <rPr>
        <sz val="11"/>
        <color rgb="FF1F497D"/>
        <rFont val="EMprint"/>
        <family val="2"/>
      </rPr>
      <t> WH</t>
    </r>
  </si>
  <si>
    <t>화성창고-일반가</t>
  </si>
  <si>
    <t>MOBIL DELVAC MX 15W-40 PAIL 20L</t>
  </si>
  <si>
    <t>MOBIL ATF LT 71141 PAIL 20L</t>
  </si>
  <si>
    <t>MOBIL ATF 660 PAIL 20L</t>
  </si>
  <si>
    <t>MOBIL ATF HK8 DR 200L:KR</t>
  </si>
  <si>
    <t>DRUM</t>
    <phoneticPr fontId="16" type="noConversion"/>
  </si>
  <si>
    <t>PVL</t>
    <phoneticPr fontId="16" type="noConversion"/>
  </si>
  <si>
    <t>MOBIL DELVAC 1 ESP 5W-40 PAIL 20L</t>
  </si>
  <si>
    <t>MOBIL DELVAC MX 15W-40 DRUM 200L</t>
  </si>
  <si>
    <t>MOBIL DELVAC MX 15W-40 CTN 4X4L</t>
  </si>
  <si>
    <t>MOBILUBE GX 80W-90  CTN 4X4</t>
  </si>
  <si>
    <t>MOBIL DELVAC MX 10W-30 PAIL 20L</t>
  </si>
  <si>
    <t>MOBIL DELVAC MX 10W30-CT3X6L</t>
  </si>
  <si>
    <t>M-DEL MX CITY LOGISTICS 10W-30 DRUM 200L</t>
  </si>
  <si>
    <t>M-DEL MX CITY LOGISTICS 10W-30 CTN 3X6L</t>
  </si>
  <si>
    <t>MOBIL Super 3000 FP 0W30 CTN 12X1L</t>
  </si>
  <si>
    <t>M-DELVAC 1 GEAR OIL 75W90 DR-M 208L</t>
    <phoneticPr fontId="16" type="noConversion"/>
  </si>
  <si>
    <t>MOBIL DELVAC 1 ESP 5W-40 55GADRUM 200L</t>
  </si>
  <si>
    <t>M DELVAC 1 GEAR OIL 75W-90 PAIL 20L:SG</t>
  </si>
  <si>
    <t>MOBIL 1 0W-40(SN) CTN 12X1L</t>
  </si>
  <si>
    <t>M DELVAC MX ESP K 10W40-CT4LX4</t>
  </si>
  <si>
    <t>PVL</t>
    <phoneticPr fontId="16" type="noConversion"/>
  </si>
  <si>
    <t>PVL</t>
    <phoneticPr fontId="16" type="noConversion"/>
  </si>
  <si>
    <t>MOBIL SPECIAL PLUS 5W-30 DRUM 200L</t>
  </si>
  <si>
    <t>M-1 C40 GT 0W-40 12X1L ML</t>
  </si>
  <si>
    <t>BOSM</t>
    <phoneticPr fontId="16" type="noConversion"/>
  </si>
  <si>
    <t>BOSM</t>
    <phoneticPr fontId="16" type="noConversion"/>
  </si>
  <si>
    <t>M SUPER 3000 F M 5W-40 1LX12 CTN:KR</t>
  </si>
  <si>
    <t>MOBIL 1 ESP 5W-30 CTN 12X1L</t>
    <phoneticPr fontId="16" type="noConversion"/>
  </si>
  <si>
    <t>MOBIL 1 0W-40 (PORSCHE) DRUM200L:KR</t>
  </si>
  <si>
    <t>MOBIL 1 0W-40 (PORSCHE) 12X1L:KR</t>
  </si>
  <si>
    <t>MOBIL 1 ESP 5W-30 (PORSCHE) 12X1L:KR</t>
  </si>
  <si>
    <t>MOBIL 1 0W40(CADILLAC) CTN 12X1L</t>
  </si>
  <si>
    <t>MOBIL 1 5W30(CADILLAC) CTN 12X1L</t>
  </si>
  <si>
    <t>MOBIL 1 0W20 (CADILLAC) CTN 12X1L:KR</t>
    <phoneticPr fontId="16" type="noConversion"/>
  </si>
  <si>
    <t>M SUP TP TURBO GDI PRO 5W-30 CTN1LX12:KR</t>
  </si>
  <si>
    <t>M SUP EP 5W-20 CTN 1LX12:KR</t>
  </si>
  <si>
    <t>M SUP TP SMART PLUS PRO 0W-20 CTN4LX4:KR</t>
  </si>
  <si>
    <t>M SUP TP TURBO GDI PRO 5W-30 CTN 4LX4:KR</t>
  </si>
  <si>
    <t>M SUP EP C2 5W-30 CTN 4LX4:KR</t>
  </si>
  <si>
    <t>M SUP EP C3 5W-30 CTN 4X4L:KR</t>
  </si>
  <si>
    <t>M SUP EP 5W-20 CTN 4LX4:KR</t>
  </si>
  <si>
    <t>M SPECIAL PLUS DIESEL 5W-30 CTN 4LX4:KR</t>
  </si>
  <si>
    <t>CVL</t>
    <phoneticPr fontId="16" type="noConversion"/>
  </si>
  <si>
    <t>M DV ULTRA 5W-40 UP V1 PAIL 20L</t>
  </si>
  <si>
    <t>M DV ULTRA 5W-40 UP V1 DRUM 208L</t>
  </si>
  <si>
    <t>MOBIL SUPER MOTO 10W-40 CTN 12X1L:KR (구 EXTRA 4T)</t>
  </si>
  <si>
    <t>M DV MODERN 5W-30 FE PLUS V1 CTN 4X4L:KR</t>
  </si>
  <si>
    <t>M DV MODERN 5W-30 FE PLUS V1 PAIL 20L:KR</t>
  </si>
  <si>
    <t>M DV MODERN 5W-30 FE PLUS V1 DRUM200L:KR</t>
  </si>
  <si>
    <t>M DV MODERN 10W-40 CP V1 DRUM 200L:KR</t>
  </si>
  <si>
    <t>M-1 ESP X3 0W40 GSP 12X1L ML-CU</t>
  </si>
  <si>
    <t>MOBIL 1 ESP X3 0W-40 (PORSCHE) 12X1L:KR</t>
  </si>
  <si>
    <t>MOBIL 1 ESP X2 0W-20 (PORSCHE) 12X1L:KR</t>
    <phoneticPr fontId="16" type="noConversion"/>
  </si>
  <si>
    <t>M SUP TP TURBO 0W-30 CTN 12X1L:KR</t>
  </si>
  <si>
    <t>M SUP AIOP V 0W20 CTN 12X1L:KR</t>
  </si>
  <si>
    <t>M SUP AIOP V 0W20 DR 200L:KR</t>
  </si>
  <si>
    <t>M DV MODERN 10W-40 FP DRUM 200L</t>
  </si>
  <si>
    <t>CVL</t>
    <phoneticPr fontId="16" type="noConversion"/>
  </si>
  <si>
    <t>MOBIL 1 ESP 0W-30(PORSCHE) CTN 12X1L:KR</t>
  </si>
  <si>
    <t>MOBIL ATF 8LV PAIL 20L:KR</t>
  </si>
  <si>
    <t>ATF</t>
    <phoneticPr fontId="16" type="noConversion"/>
  </si>
  <si>
    <t>MOBIL ATF HK8 PAIL 20L:KR</t>
  </si>
  <si>
    <t>MOBIL ATF HK8 CTN 12X1L:KR</t>
  </si>
  <si>
    <t>MOBIL ATF 8LV CTN 12X1L:KR</t>
  </si>
  <si>
    <t>M SUP AIOP V 0W30 DRUM 200L:KR</t>
  </si>
  <si>
    <t>M SUP AIOP V 5W30 DRUM 200L:KR</t>
  </si>
  <si>
    <t>M DV LEGEND 10W-40 PROTECTION DR 200L:KR</t>
  </si>
  <si>
    <t>M-DELVAC 1 ATF PAIL 20L</t>
  </si>
  <si>
    <t>M SUP TP HIGHWAY 5W-40 CTN 12X1L:KR</t>
  </si>
  <si>
    <t>M SUP TP HIGHWAY 5W-40 DR 200L:KR</t>
  </si>
  <si>
    <t>M DV LEGEND 10W40 PROTECTION CTN 4X4L:KR</t>
  </si>
  <si>
    <t>M SUP EP 10W-40 CTN 4X4L:KR</t>
    <phoneticPr fontId="16" type="noConversion"/>
  </si>
  <si>
    <t>M-HYD AW 46 (OFF-HIGHWAY) PAIL 20L:KR</t>
    <phoneticPr fontId="16" type="noConversion"/>
  </si>
  <si>
    <t>MOBIL SPECIAL PLUS 5W-30 CTN 4X4L:KR (N)</t>
  </si>
  <si>
    <t>MOBIL SPECIAL PLUS 5W-30 DRUM 200L:KR (N)</t>
  </si>
  <si>
    <t>MOBIL 1 0W20 (CADILLAC) CTN 12X1L:KR</t>
  </si>
  <si>
    <t>MOBIL 1 ESP 5W-30 (SP) CTN 12X1L:KR</t>
  </si>
  <si>
    <t>MOBIL 1 0W40 (SP)(CADILLAC) CTN 12X1L:KR</t>
  </si>
  <si>
    <t>MOBILUBE GX-A 80W PAIL 20L:KR</t>
    <phoneticPr fontId="16" type="noConversion"/>
  </si>
  <si>
    <t>MOBILUBE GX-A 80W DRUM 200L:KR</t>
    <phoneticPr fontId="16" type="noConversion"/>
  </si>
  <si>
    <t>DRUM</t>
    <phoneticPr fontId="16" type="noConversion"/>
  </si>
  <si>
    <t>MOBIL ATF HK8 PAIL 20L:KR</t>
    <phoneticPr fontId="16" type="noConversion"/>
  </si>
  <si>
    <t>PAIL</t>
    <phoneticPr fontId="16" type="noConversion"/>
  </si>
  <si>
    <t>M DV ULTRA 5W-40 UP V1 PAIL 20L</t>
    <phoneticPr fontId="16" type="noConversion"/>
  </si>
  <si>
    <t xml:space="preserve">M SUPER AIOP X3 5W40 12X1L </t>
    <phoneticPr fontId="162" type="noConversion"/>
  </si>
  <si>
    <t>MOBIL 1 ESP X2 0W20 CTN 12X1L:KR</t>
    <phoneticPr fontId="162" type="noConversion"/>
  </si>
  <si>
    <t>GM FLUID A/TRANS CTN 12X1L</t>
    <phoneticPr fontId="162" type="noConversion"/>
  </si>
  <si>
    <t xml:space="preserve">M DV ULTRA 5W-40 UP V1 CTN 4X4L  </t>
    <phoneticPr fontId="16" type="noConversion"/>
  </si>
  <si>
    <t>MOBIL 1 ESP X2 0W20(PORSCHE) DR 200L:KR</t>
  </si>
  <si>
    <t>M DV MODERN 5W30 EP PAIL 20L:KR</t>
    <phoneticPr fontId="16" type="noConversion"/>
  </si>
  <si>
    <t>M DV MODERN 5W30 EP DRUM 200L:K</t>
    <phoneticPr fontId="16" type="noConversion"/>
  </si>
  <si>
    <t>M DV MODERN 5W30 EP 4X4L:KR</t>
    <phoneticPr fontId="16" type="noConversion"/>
  </si>
  <si>
    <t xml:space="preserve"> MOBIL 1 ESP X4 0W40 CTN 12X1L:KR</t>
  </si>
  <si>
    <t>MOBIL 1 ESP X4 0W40(PORSCHE) CTN 12X1L:KR</t>
  </si>
  <si>
    <t>M SUP TP TURBO 0W-30 DR 200L:KR</t>
    <phoneticPr fontId="16" type="noConversion"/>
  </si>
  <si>
    <t>MOBIL ATF 3309 CTN 12X1L:KR</t>
  </si>
  <si>
    <t>MOBIL SUPER AIOP V 0W20 CTN 12X1L(KIA)</t>
  </si>
  <si>
    <t>MOBIL SUPER TP SMART PLUS PRO 0W20 CTN 12X1L(KIA)</t>
    <phoneticPr fontId="16" type="noConversion"/>
  </si>
  <si>
    <t>MOBIL SUPER TP TURBO GDI PRO 5W30 CTN 12X1L(KIA)</t>
  </si>
  <si>
    <t>MOBIL SUPER TP TURBO 0W30 CTN 12X1L(KIA)</t>
  </si>
  <si>
    <t>영일-현대건설-부산CY</t>
  </si>
  <si>
    <t>영일-현대건설-부산CY</t>
    <phoneticPr fontId="16" type="noConversion"/>
  </si>
  <si>
    <t xml:space="preserve">MOBIL SHC 846 ULTRA DURM-M 200L  </t>
  </si>
  <si>
    <t>MB GEO SAE 0W20 MB229.71 CTN12X1L:KR(N)</t>
    <phoneticPr fontId="16" type="noConversion"/>
  </si>
  <si>
    <t>MB GEO SAE 0W20 MB229.71 DR 208L:KR(N)</t>
    <phoneticPr fontId="16" type="noConversion"/>
  </si>
  <si>
    <r>
      <rPr>
        <sz val="11"/>
        <color rgb="FF1F497D"/>
        <rFont val="돋움"/>
        <family val="3"/>
        <charset val="129"/>
      </rPr>
      <t>영일</t>
    </r>
    <r>
      <rPr>
        <sz val="11"/>
        <color rgb="FF1F497D"/>
        <rFont val="Arial"/>
        <family val="2"/>
      </rPr>
      <t>-EPC-</t>
    </r>
    <r>
      <rPr>
        <sz val="11"/>
        <color rgb="FF1F497D"/>
        <rFont val="돋움"/>
        <family val="3"/>
        <charset val="129"/>
      </rPr>
      <t>진해</t>
    </r>
    <phoneticPr fontId="16" type="noConversion"/>
  </si>
  <si>
    <t>영일-EPC-진해</t>
  </si>
  <si>
    <t>M-HYJET V CASE 6X1USG</t>
    <phoneticPr fontId="16" type="noConversion"/>
  </si>
  <si>
    <t>BOSM</t>
    <phoneticPr fontId="16" type="noConversion"/>
  </si>
  <si>
    <t>AVI</t>
    <phoneticPr fontId="16" type="noConversion"/>
  </si>
  <si>
    <t>영일-SK머티리얼즈</t>
    <phoneticPr fontId="16" type="noConversion"/>
  </si>
  <si>
    <t>파레트요청</t>
    <phoneticPr fontId="16" type="noConversion"/>
  </si>
  <si>
    <t>남부지사</t>
    <phoneticPr fontId="16" type="noConversion"/>
  </si>
  <si>
    <t>동부상사</t>
    <phoneticPr fontId="16" type="noConversion"/>
  </si>
  <si>
    <t>화성창고-티센</t>
  </si>
  <si>
    <t>효진상사</t>
    <phoneticPr fontId="16" type="noConversion"/>
  </si>
  <si>
    <t>한화토탈에너지</t>
    <phoneticPr fontId="16" type="noConversion"/>
  </si>
  <si>
    <t>빠라베에사</t>
    <phoneticPr fontId="16" type="noConversion"/>
  </si>
  <si>
    <t>서부산업</t>
    <phoneticPr fontId="16" type="noConversion"/>
  </si>
  <si>
    <t>MOBIL UNIVIS N 46 HR E&amp;I DR 200L:KR</t>
  </si>
  <si>
    <t>CVL</t>
    <phoneticPr fontId="16" type="noConversion"/>
  </si>
  <si>
    <t>극동오일</t>
    <phoneticPr fontId="16" type="noConversion"/>
  </si>
  <si>
    <t>석문에너지</t>
    <phoneticPr fontId="16" type="noConversion"/>
  </si>
  <si>
    <t>아이마켓</t>
    <phoneticPr fontId="16" type="noConversion"/>
  </si>
  <si>
    <t>소분</t>
    <phoneticPr fontId="16" type="noConversion"/>
  </si>
  <si>
    <t>조성호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</si>
</sst>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3" formatCode="_-* #,##0.00_-;\-* #,##0.00_-;_-* &quot;-&quot;??_-;_-@_-"/>
    <numFmt numFmtId="176" formatCode="yyyy&quot;년&quot;\ m&quot;월&quot;\ d&quot;일&quot;;@"/>
    <numFmt numFmtId="177" formatCode="m&quot;월&quot;\ d&quot;일&quot;;@"/>
    <numFmt numFmtId="178" formatCode="[$-412]AM/PM\ h:mm;@"/>
    <numFmt numFmtId="179" formatCode="_-* #,##0.0_-;\-* #,##0.0_-;_-* &quot;-&quot;_-;_-@_-"/>
    <numFmt numFmtId="180" formatCode="_(* #,##0_);_(* \(#,##0\);_(* &quot;-&quot;??_);_(@_)"/>
    <numFmt numFmtId="181" formatCode="_(* #,##0.00_);_(* \(#,##0.00\);_(* &quot;-&quot;??_);_(@_)"/>
    <numFmt numFmtId="182" formatCode="_(* #,##0_);_(* \(#,##0\);_(* &quot;-&quot;_);_(@_)"/>
    <numFmt numFmtId="183" formatCode="_(&quot;$&quot;* #,##0.00_);_(&quot;$&quot;* \(#,##0.00\);_(&quot;$&quot;* &quot;-&quot;??_);_(@_)"/>
    <numFmt numFmtId="184" formatCode="_ * #,##0.00_ ;_ * \-#,##0.00_ ;_ * &quot;-&quot;??_ ;_ @_ "/>
    <numFmt numFmtId="185" formatCode="#,##0_);[Red]\(#,##0\)"/>
    <numFmt numFmtId="186" formatCode="_-* #,##0_-;\-* #,##0_-;_-* &quot;-&quot;?_-;_-@_-"/>
    <numFmt numFmtId="187" formatCode="0_ "/>
  </numFmts>
  <fonts count="197">
    <font>
      <sz val="11"/>
      <name val="돋움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  <font>
      <sz val="8"/>
      <name val="BatangChe"/>
      <family val="1"/>
      <charset val="129"/>
    </font>
    <font>
      <sz val="8"/>
      <name val="Arial"/>
      <family val="2"/>
    </font>
    <font>
      <sz val="10"/>
      <name val="Arial"/>
      <family val="2"/>
    </font>
    <font>
      <b/>
      <sz val="11"/>
      <name val="돋움"/>
      <family val="3"/>
    </font>
    <font>
      <b/>
      <sz val="20"/>
      <color indexed="9"/>
      <name val="돋움"/>
      <family val="3"/>
    </font>
    <font>
      <b/>
      <sz val="10"/>
      <name val="돋움"/>
      <family val="3"/>
    </font>
    <font>
      <b/>
      <sz val="14"/>
      <name val="돋움"/>
      <family val="3"/>
    </font>
    <font>
      <sz val="9"/>
      <color indexed="81"/>
      <name val="굴림"/>
      <family val="3"/>
      <charset val="129"/>
    </font>
    <font>
      <b/>
      <sz val="18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  <font>
      <b/>
      <sz val="16"/>
      <name val="돋움"/>
      <family val="3"/>
      <charset val="129"/>
    </font>
    <font>
      <sz val="12"/>
      <name val="돋움"/>
      <family val="3"/>
      <charset val="129"/>
    </font>
    <font>
      <sz val="11"/>
      <name val="돋움"/>
      <family val="3"/>
    </font>
    <font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돋움"/>
      <family val="2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2"/>
      <name val="宋体"/>
      <family val="3"/>
      <charset val="129"/>
    </font>
    <font>
      <sz val="11"/>
      <color rgb="FF9C6500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name val="Helv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b/>
      <sz val="11"/>
      <color indexed="52"/>
      <name val="맑은 고딕"/>
      <family val="2"/>
      <charset val="129"/>
      <scheme val="minor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charset val="129"/>
    </font>
    <font>
      <sz val="11"/>
      <color theme="1"/>
      <name val="맑은 고딕"/>
      <family val="3"/>
      <charset val="129"/>
      <scheme val="minor"/>
    </font>
    <font>
      <sz val="12"/>
      <name val="宋体"/>
    </font>
    <font>
      <sz val="11"/>
      <name val="Arial Unicode MS"/>
      <family val="2"/>
    </font>
    <font>
      <sz val="12"/>
      <name val="宋体"/>
      <family val="3"/>
      <charset val="134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맑은 고딕"/>
      <family val="2"/>
      <charset val="129"/>
      <scheme val="minor"/>
    </font>
    <font>
      <b/>
      <sz val="15"/>
      <color indexed="62"/>
      <name val="Calibri"/>
      <family val="2"/>
    </font>
    <font>
      <b/>
      <sz val="13"/>
      <color indexed="56"/>
      <name val="맑은 고딕"/>
      <family val="2"/>
      <charset val="129"/>
      <scheme val="minor"/>
    </font>
    <font>
      <b/>
      <sz val="13"/>
      <color indexed="62"/>
      <name val="Calibri"/>
      <family val="2"/>
    </font>
    <font>
      <b/>
      <sz val="11"/>
      <color indexed="56"/>
      <name val="맑은 고딕"/>
      <family val="2"/>
      <charset val="129"/>
      <scheme val="minor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맑은 고딕"/>
      <family val="2"/>
      <charset val="129"/>
      <scheme val="minor"/>
    </font>
    <font>
      <sz val="11"/>
      <color indexed="53"/>
      <name val="Calibri"/>
      <family val="2"/>
    </font>
    <font>
      <sz val="11"/>
      <color indexed="60"/>
      <name val="맑은 고딕"/>
      <family val="2"/>
      <charset val="129"/>
      <scheme val="minor"/>
    </font>
    <font>
      <sz val="11"/>
      <color indexed="60"/>
      <name val="Calibri"/>
      <family val="2"/>
    </font>
    <font>
      <sz val="9"/>
      <color theme="1"/>
      <name val="Calibri"/>
      <family val="2"/>
    </font>
    <font>
      <sz val="10"/>
      <name val="Tahoma"/>
      <family val="2"/>
    </font>
    <font>
      <sz val="11"/>
      <color theme="1"/>
      <name val="맑은 고딕"/>
      <family val="2"/>
      <charset val="129"/>
    </font>
    <font>
      <sz val="11"/>
      <color theme="1"/>
      <name val="Arial"/>
      <family val="2"/>
    </font>
    <font>
      <b/>
      <sz val="11"/>
      <color indexed="63"/>
      <name val="Calibri"/>
      <family val="2"/>
    </font>
    <font>
      <b/>
      <sz val="16"/>
      <color indexed="23"/>
      <name val="Arial"/>
      <family val="2"/>
    </font>
    <font>
      <sz val="11"/>
      <name val="明朝"/>
      <family val="3"/>
      <charset val="134"/>
    </font>
    <font>
      <b/>
      <sz val="18"/>
      <color indexed="56"/>
      <name val="맑은 고딕"/>
      <family val="2"/>
      <charset val="129"/>
      <scheme val="major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60"/>
      <name val="新細明體"/>
      <family val="1"/>
      <charset val="136"/>
    </font>
    <font>
      <sz val="12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theme="1"/>
      <name val="맑은 고딕"/>
      <family val="2"/>
      <charset val="134"/>
      <scheme val="minor"/>
    </font>
    <font>
      <sz val="9"/>
      <name val="ＭＳ Ｐゴシック"/>
      <family val="2"/>
      <charset val="128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rgb="FF000000"/>
      <name val="맑은 고딕"/>
      <family val="3"/>
      <charset val="129"/>
      <scheme val="minor"/>
    </font>
    <font>
      <sz val="11"/>
      <name val="굴림"/>
      <family val="3"/>
      <charset val="129"/>
    </font>
    <font>
      <sz val="18"/>
      <color theme="3"/>
      <name val="맑은 고딕"/>
      <family val="2"/>
      <scheme val="major"/>
    </font>
    <font>
      <sz val="10"/>
      <name val="돋움"/>
      <family val="3"/>
    </font>
    <font>
      <sz val="10"/>
      <color theme="1"/>
      <name val="돋움"/>
      <family val="3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indexed="9"/>
      <name val="돋움"/>
      <family val="3"/>
      <charset val="129"/>
    </font>
    <font>
      <sz val="10"/>
      <color rgb="FFFF0000"/>
      <name val="돋움"/>
      <family val="3"/>
      <charset val="129"/>
    </font>
    <font>
      <b/>
      <sz val="26"/>
      <name val="돋움"/>
      <family val="3"/>
      <charset val="129"/>
    </font>
    <font>
      <b/>
      <sz val="13"/>
      <name val="돋움"/>
      <family val="3"/>
      <charset val="129"/>
    </font>
    <font>
      <sz val="1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2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10"/>
      <color indexed="8"/>
      <name val="맑은 고딕"/>
      <family val="2"/>
      <charset val="129"/>
      <scheme val="minor"/>
    </font>
    <font>
      <sz val="10"/>
      <color theme="1"/>
      <name val="Calibri"/>
      <family val="2"/>
    </font>
    <font>
      <sz val="10"/>
      <color indexed="8"/>
      <name val="맑은 고딕"/>
      <family val="2"/>
      <scheme val="minor"/>
    </font>
    <font>
      <b/>
      <sz val="10"/>
      <name val="돋움"/>
      <family val="3"/>
      <charset val="129"/>
    </font>
    <font>
      <b/>
      <sz val="10"/>
      <name val="Gulim"/>
      <family val="3"/>
      <charset val="129"/>
    </font>
    <font>
      <b/>
      <sz val="16"/>
      <name val="돋움"/>
      <family val="3"/>
    </font>
    <font>
      <b/>
      <sz val="10"/>
      <color theme="1"/>
      <name val="Calibri"/>
      <family val="2"/>
    </font>
    <font>
      <sz val="10"/>
      <color rgb="FFFF0000"/>
      <name val="맑은 고딕"/>
      <family val="3"/>
      <charset val="129"/>
      <scheme val="minor"/>
    </font>
    <font>
      <b/>
      <sz val="11.5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1"/>
      <color rgb="FF000000"/>
      <name val="Calibri"/>
      <family val="2"/>
    </font>
    <font>
      <b/>
      <sz val="10"/>
      <color indexed="9"/>
      <name val="돋움"/>
      <family val="3"/>
    </font>
    <font>
      <b/>
      <sz val="10"/>
      <color indexed="9"/>
      <name val="돋움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5"/>
      <name val="돋움"/>
      <family val="3"/>
      <charset val="129"/>
    </font>
    <font>
      <sz val="15"/>
      <name val="돋움"/>
      <family val="3"/>
      <charset val="129"/>
    </font>
    <font>
      <b/>
      <sz val="10"/>
      <color rgb="FFFF0000"/>
      <name val="돋움"/>
      <family val="3"/>
      <charset val="129"/>
    </font>
    <font>
      <b/>
      <sz val="11"/>
      <color theme="1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name val="맑은 고딕"/>
      <family val="2"/>
      <scheme val="minor"/>
    </font>
    <font>
      <b/>
      <sz val="11"/>
      <color theme="0" tint="-0.249977111117893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0"/>
      <color rgb="FF0000FF"/>
      <name val="돋움"/>
      <family val="3"/>
      <charset val="129"/>
    </font>
    <font>
      <b/>
      <sz val="10"/>
      <color rgb="FF0000FF"/>
      <name val="돋움"/>
      <family val="3"/>
      <charset val="129"/>
    </font>
    <font>
      <b/>
      <sz val="11"/>
      <color theme="0" tint="-0.34998626667073579"/>
      <name val="돋움"/>
      <family val="3"/>
      <charset val="129"/>
    </font>
    <font>
      <sz val="12"/>
      <color rgb="FF333333"/>
      <name val="EMprint"/>
      <family val="2"/>
    </font>
    <font>
      <sz val="12"/>
      <color rgb="FF333333"/>
      <name val="돋움"/>
      <family val="3"/>
      <charset val="129"/>
    </font>
    <font>
      <sz val="11"/>
      <color rgb="FF1F497D"/>
      <name val="Arial"/>
      <family val="2"/>
    </font>
    <font>
      <sz val="11"/>
      <color rgb="FF1F497D"/>
      <name val="EMprint"/>
      <family val="2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sz val="11"/>
      <color rgb="FF1F497D"/>
      <name val="돋움"/>
      <family val="3"/>
      <charset val="129"/>
    </font>
    <font>
      <b/>
      <sz val="12"/>
      <color rgb="FFFF0000"/>
      <name val="돋움"/>
      <family val="3"/>
      <charset val="129"/>
    </font>
  </fonts>
  <fills count="10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35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55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54"/>
      </patternFill>
    </fill>
    <fill>
      <patternFill patternType="solid">
        <fgColor indexed="23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8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 diagonalDown="1"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391">
    <xf numFmtId="0" fontId="0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4" fontId="14" fillId="7" borderId="1" applyNumberFormat="0" applyProtection="0">
      <alignment vertical="center"/>
    </xf>
    <xf numFmtId="4" fontId="34" fillId="8" borderId="1" applyNumberFormat="0" applyProtection="0">
      <alignment vertical="center"/>
    </xf>
    <xf numFmtId="4" fontId="14" fillId="8" borderId="1" applyNumberFormat="0" applyProtection="0">
      <alignment horizontal="left" vertical="center" indent="1"/>
    </xf>
    <xf numFmtId="0" fontId="14" fillId="8" borderId="1" applyNumberFormat="0" applyProtection="0">
      <alignment horizontal="left" vertical="top" indent="1"/>
    </xf>
    <xf numFmtId="4" fontId="14" fillId="9" borderId="0" applyNumberFormat="0" applyProtection="0">
      <alignment horizontal="left" vertical="center" indent="1"/>
    </xf>
    <xf numFmtId="4" fontId="15" fillId="2" borderId="1" applyNumberFormat="0" applyProtection="0">
      <alignment horizontal="right" vertical="center"/>
    </xf>
    <xf numFmtId="4" fontId="15" fillId="3" borderId="1" applyNumberFormat="0" applyProtection="0">
      <alignment horizontal="right" vertical="center"/>
    </xf>
    <xf numFmtId="4" fontId="15" fillId="10" borderId="1" applyNumberFormat="0" applyProtection="0">
      <alignment horizontal="right" vertical="center"/>
    </xf>
    <xf numFmtId="4" fontId="15" fillId="5" borderId="1" applyNumberFormat="0" applyProtection="0">
      <alignment horizontal="right" vertical="center"/>
    </xf>
    <xf numFmtId="4" fontId="15" fillId="6" borderId="1" applyNumberFormat="0" applyProtection="0">
      <alignment horizontal="right" vertical="center"/>
    </xf>
    <xf numFmtId="4" fontId="15" fillId="11" borderId="1" applyNumberFormat="0" applyProtection="0">
      <alignment horizontal="right" vertical="center"/>
    </xf>
    <xf numFmtId="4" fontId="15" fillId="12" borderId="1" applyNumberFormat="0" applyProtection="0">
      <alignment horizontal="right" vertical="center"/>
    </xf>
    <xf numFmtId="4" fontId="15" fillId="13" borderId="1" applyNumberFormat="0" applyProtection="0">
      <alignment horizontal="right" vertical="center"/>
    </xf>
    <xf numFmtId="4" fontId="15" fillId="4" borderId="1" applyNumberFormat="0" applyProtection="0">
      <alignment horizontal="right" vertical="center"/>
    </xf>
    <xf numFmtId="4" fontId="14" fillId="14" borderId="2" applyNumberFormat="0" applyProtection="0">
      <alignment horizontal="left" vertical="center" indent="1"/>
    </xf>
    <xf numFmtId="4" fontId="15" fillId="15" borderId="0" applyNumberFormat="0" applyProtection="0">
      <alignment horizontal="left" vertical="center" indent="1"/>
    </xf>
    <xf numFmtId="4" fontId="35" fillId="16" borderId="0" applyNumberFormat="0" applyProtection="0">
      <alignment horizontal="left" vertical="center" indent="1"/>
    </xf>
    <xf numFmtId="4" fontId="15" fillId="17" borderId="1" applyNumberFormat="0" applyProtection="0">
      <alignment horizontal="right" vertical="center"/>
    </xf>
    <xf numFmtId="4" fontId="15" fillId="15" borderId="0" applyNumberFormat="0" applyProtection="0">
      <alignment horizontal="left" vertical="center" indent="1"/>
    </xf>
    <xf numFmtId="4" fontId="15" fillId="9" borderId="0" applyNumberFormat="0" applyProtection="0">
      <alignment horizontal="left" vertical="center" indent="1"/>
    </xf>
    <xf numFmtId="0" fontId="19" fillId="16" borderId="1" applyNumberFormat="0" applyProtection="0">
      <alignment horizontal="left" vertical="center" indent="1"/>
    </xf>
    <xf numFmtId="0" fontId="19" fillId="16" borderId="1" applyNumberFormat="0" applyProtection="0">
      <alignment horizontal="left" vertical="top" indent="1"/>
    </xf>
    <xf numFmtId="0" fontId="19" fillId="9" borderId="1" applyNumberFormat="0" applyProtection="0">
      <alignment horizontal="left" vertical="center" indent="1"/>
    </xf>
    <xf numFmtId="0" fontId="19" fillId="9" borderId="1" applyNumberFormat="0" applyProtection="0">
      <alignment horizontal="left" vertical="top" indent="1"/>
    </xf>
    <xf numFmtId="0" fontId="19" fillId="18" borderId="1" applyNumberFormat="0" applyProtection="0">
      <alignment horizontal="left" vertical="center" indent="1"/>
    </xf>
    <xf numFmtId="0" fontId="19" fillId="18" borderId="1" applyNumberFormat="0" applyProtection="0">
      <alignment horizontal="left" vertical="top" indent="1"/>
    </xf>
    <xf numFmtId="0" fontId="19" fillId="19" borderId="1" applyNumberFormat="0" applyProtection="0">
      <alignment horizontal="left" vertical="center" indent="1"/>
    </xf>
    <xf numFmtId="0" fontId="19" fillId="19" borderId="1" applyNumberFormat="0" applyProtection="0">
      <alignment horizontal="left" vertical="top" indent="1"/>
    </xf>
    <xf numFmtId="4" fontId="15" fillId="20" borderId="1" applyNumberFormat="0" applyProtection="0">
      <alignment vertical="center"/>
    </xf>
    <xf numFmtId="4" fontId="36" fillId="20" borderId="1" applyNumberFormat="0" applyProtection="0">
      <alignment vertical="center"/>
    </xf>
    <xf numFmtId="4" fontId="15" fillId="20" borderId="1" applyNumberFormat="0" applyProtection="0">
      <alignment horizontal="left" vertical="center" indent="1"/>
    </xf>
    <xf numFmtId="0" fontId="15" fillId="20" borderId="1" applyNumberFormat="0" applyProtection="0">
      <alignment horizontal="left" vertical="top" indent="1"/>
    </xf>
    <xf numFmtId="4" fontId="15" fillId="15" borderId="1" applyNumberFormat="0" applyProtection="0">
      <alignment horizontal="right" vertical="center"/>
    </xf>
    <xf numFmtId="4" fontId="36" fillId="15" borderId="1" applyNumberFormat="0" applyProtection="0">
      <alignment horizontal="right" vertical="center"/>
    </xf>
    <xf numFmtId="4" fontId="15" fillId="17" borderId="1" applyNumberFormat="0" applyProtection="0">
      <alignment horizontal="left" vertical="center" indent="1"/>
    </xf>
    <xf numFmtId="0" fontId="15" fillId="9" borderId="1" applyNumberFormat="0" applyProtection="0">
      <alignment horizontal="left" vertical="top" indent="1"/>
    </xf>
    <xf numFmtId="4" fontId="37" fillId="21" borderId="0" applyNumberFormat="0" applyProtection="0">
      <alignment horizontal="left" vertical="center" indent="1"/>
    </xf>
    <xf numFmtId="4" fontId="38" fillId="15" borderId="1" applyNumberFormat="0" applyProtection="0">
      <alignment horizontal="right" vertical="center"/>
    </xf>
    <xf numFmtId="43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19" fillId="0" borderId="0"/>
    <xf numFmtId="0" fontId="41" fillId="0" borderId="0"/>
    <xf numFmtId="0" fontId="41" fillId="0" borderId="0"/>
    <xf numFmtId="0" fontId="41" fillId="0" borderId="0"/>
    <xf numFmtId="181" fontId="19" fillId="0" borderId="0" applyFont="0" applyFill="0" applyBorder="0" applyAlignment="0" applyProtection="0"/>
    <xf numFmtId="0" fontId="42" fillId="0" borderId="0"/>
    <xf numFmtId="0" fontId="59" fillId="28" borderId="0" applyNumberFormat="0" applyBorder="0" applyAlignment="0" applyProtection="0"/>
    <xf numFmtId="0" fontId="60" fillId="29" borderId="0" applyNumberFormat="0" applyBorder="0" applyAlignment="0" applyProtection="0"/>
    <xf numFmtId="0" fontId="61" fillId="33" borderId="59" applyNumberFormat="0" applyAlignment="0" applyProtection="0"/>
    <xf numFmtId="43" fontId="63" fillId="0" borderId="0" applyFont="0" applyFill="0" applyBorder="0" applyAlignment="0" applyProtection="0">
      <alignment vertical="center"/>
    </xf>
    <xf numFmtId="0" fontId="63" fillId="0" borderId="0"/>
    <xf numFmtId="0" fontId="64" fillId="30" borderId="0" applyNumberFormat="0" applyBorder="0" applyAlignment="0" applyProtection="0"/>
    <xf numFmtId="0" fontId="76" fillId="0" borderId="0"/>
    <xf numFmtId="0" fontId="19" fillId="0" borderId="0"/>
    <xf numFmtId="0" fontId="76" fillId="0" borderId="0"/>
    <xf numFmtId="0" fontId="19" fillId="0" borderId="62" quotePrefix="1">
      <alignment horizontal="justify" vertical="justify" textRotation="127" wrapText="1" justifyLastLine="1"/>
      <protection hidden="1"/>
    </xf>
    <xf numFmtId="0" fontId="77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7" fillId="0" borderId="0"/>
    <xf numFmtId="0" fontId="19" fillId="0" borderId="62" quotePrefix="1">
      <alignment horizontal="justify" vertical="justify" textRotation="127" wrapText="1" justifyLastLine="1"/>
      <protection hidden="1"/>
    </xf>
    <xf numFmtId="0" fontId="19" fillId="0" borderId="0"/>
    <xf numFmtId="0" fontId="12" fillId="59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12" fillId="59" borderId="0" applyNumberFormat="0" applyBorder="0" applyAlignment="0" applyProtection="0"/>
    <xf numFmtId="0" fontId="12" fillId="36" borderId="0" applyNumberFormat="0" applyBorder="0" applyAlignment="0" applyProtection="0"/>
    <xf numFmtId="0" fontId="78" fillId="59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78" fillId="59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2" fillId="2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12" fillId="2" borderId="0" applyNumberFormat="0" applyBorder="0" applyAlignment="0" applyProtection="0"/>
    <xf numFmtId="0" fontId="12" fillId="40" borderId="0" applyNumberFormat="0" applyBorder="0" applyAlignment="0" applyProtection="0"/>
    <xf numFmtId="0" fontId="78" fillId="3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78" fillId="3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2" fillId="60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12" fillId="60" borderId="0" applyNumberFormat="0" applyBorder="0" applyAlignment="0" applyProtection="0"/>
    <xf numFmtId="0" fontId="12" fillId="44" borderId="0" applyNumberFormat="0" applyBorder="0" applyAlignment="0" applyProtection="0"/>
    <xf numFmtId="0" fontId="78" fillId="6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78" fillId="61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12" fillId="6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12" fillId="62" borderId="0" applyNumberFormat="0" applyBorder="0" applyAlignment="0" applyProtection="0"/>
    <xf numFmtId="0" fontId="12" fillId="48" borderId="0" applyNumberFormat="0" applyBorder="0" applyAlignment="0" applyProtection="0"/>
    <xf numFmtId="0" fontId="78" fillId="63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>
      <alignment vertical="center"/>
    </xf>
    <xf numFmtId="0" fontId="78" fillId="63" borderId="0" applyNumberFormat="0" applyBorder="0" applyAlignment="0" applyProtection="0"/>
    <xf numFmtId="0" fontId="12" fillId="48" borderId="0" applyNumberFormat="0" applyBorder="0" applyAlignment="0" applyProtection="0">
      <alignment vertical="center"/>
    </xf>
    <xf numFmtId="0" fontId="12" fillId="52" borderId="0" applyNumberFormat="0" applyBorder="0" applyAlignment="0" applyProtection="0"/>
    <xf numFmtId="0" fontId="41" fillId="52" borderId="0" applyNumberFormat="0" applyBorder="0" applyAlignment="0" applyProtection="0"/>
    <xf numFmtId="0" fontId="41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>
      <alignment vertical="center"/>
    </xf>
    <xf numFmtId="0" fontId="78" fillId="59" borderId="0" applyNumberFormat="0" applyBorder="0" applyAlignment="0" applyProtection="0"/>
    <xf numFmtId="0" fontId="12" fillId="52" borderId="0" applyNumberFormat="0" applyBorder="0" applyAlignment="0" applyProtection="0">
      <alignment vertical="center"/>
    </xf>
    <xf numFmtId="0" fontId="78" fillId="59" borderId="0" applyNumberFormat="0" applyBorder="0" applyAlignment="0" applyProtection="0"/>
    <xf numFmtId="0" fontId="12" fillId="64" borderId="0" applyNumberFormat="0" applyBorder="0" applyAlignment="0" applyProtection="0"/>
    <xf numFmtId="0" fontId="41" fillId="56" borderId="0" applyNumberFormat="0" applyBorder="0" applyAlignment="0" applyProtection="0"/>
    <xf numFmtId="0" fontId="41" fillId="56" borderId="0" applyNumberFormat="0" applyBorder="0" applyAlignment="0" applyProtection="0"/>
    <xf numFmtId="0" fontId="12" fillId="64" borderId="0" applyNumberFormat="0" applyBorder="0" applyAlignment="0" applyProtection="0"/>
    <xf numFmtId="0" fontId="12" fillId="56" borderId="0" applyNumberFormat="0" applyBorder="0" applyAlignment="0" applyProtection="0"/>
    <xf numFmtId="0" fontId="78" fillId="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>
      <alignment vertical="center"/>
    </xf>
    <xf numFmtId="0" fontId="78" fillId="2" borderId="0" applyNumberFormat="0" applyBorder="0" applyAlignment="0" applyProtection="0"/>
    <xf numFmtId="0" fontId="12" fillId="56" borderId="0" applyNumberFormat="0" applyBorder="0" applyAlignment="0" applyProtection="0">
      <alignment vertical="center"/>
    </xf>
    <xf numFmtId="0" fontId="79" fillId="59" borderId="0" applyNumberFormat="0" applyBorder="0" applyAlignment="0" applyProtection="0">
      <alignment vertical="center"/>
    </xf>
    <xf numFmtId="0" fontId="79" fillId="2" borderId="0" applyNumberFormat="0" applyBorder="0" applyAlignment="0" applyProtection="0">
      <alignment vertical="center"/>
    </xf>
    <xf numFmtId="0" fontId="79" fillId="60" borderId="0" applyNumberFormat="0" applyBorder="0" applyAlignment="0" applyProtection="0">
      <alignment vertical="center"/>
    </xf>
    <xf numFmtId="0" fontId="79" fillId="62" borderId="0" applyNumberFormat="0" applyBorder="0" applyAlignment="0" applyProtection="0">
      <alignment vertical="center"/>
    </xf>
    <xf numFmtId="0" fontId="79" fillId="65" borderId="0" applyNumberFormat="0" applyBorder="0" applyAlignment="0" applyProtection="0">
      <alignment vertical="center"/>
    </xf>
    <xf numFmtId="0" fontId="79" fillId="66" borderId="0" applyNumberFormat="0" applyBorder="0" applyAlignment="0" applyProtection="0">
      <alignment vertical="center"/>
    </xf>
    <xf numFmtId="0" fontId="12" fillId="6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12" fillId="67" borderId="0" applyNumberFormat="0" applyBorder="0" applyAlignment="0" applyProtection="0"/>
    <xf numFmtId="0" fontId="12" fillId="37" borderId="0" applyNumberFormat="0" applyBorder="0" applyAlignment="0" applyProtection="0"/>
    <xf numFmtId="0" fontId="78" fillId="68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78" fillId="68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78" fillId="3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78" fillId="3" borderId="0" applyNumberFormat="0" applyBorder="0" applyAlignment="0" applyProtection="0"/>
    <xf numFmtId="0" fontId="12" fillId="4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12" fillId="4" borderId="0" applyNumberFormat="0" applyBorder="0" applyAlignment="0" applyProtection="0"/>
    <xf numFmtId="0" fontId="12" fillId="45" borderId="0" applyNumberFormat="0" applyBorder="0" applyAlignment="0" applyProtection="0"/>
    <xf numFmtId="0" fontId="78" fillId="1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78" fillId="12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12" fillId="62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12" fillId="62" borderId="0" applyNumberFormat="0" applyBorder="0" applyAlignment="0" applyProtection="0"/>
    <xf numFmtId="0" fontId="12" fillId="49" borderId="0" applyNumberFormat="0" applyBorder="0" applyAlignment="0" applyProtection="0"/>
    <xf numFmtId="0" fontId="78" fillId="64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>
      <alignment vertical="center"/>
    </xf>
    <xf numFmtId="0" fontId="78" fillId="64" borderId="0" applyNumberFormat="0" applyBorder="0" applyAlignment="0" applyProtection="0"/>
    <xf numFmtId="0" fontId="12" fillId="49" borderId="0" applyNumberFormat="0" applyBorder="0" applyAlignment="0" applyProtection="0">
      <alignment vertical="center"/>
    </xf>
    <xf numFmtId="0" fontId="12" fillId="67" borderId="0" applyNumberFormat="0" applyBorder="0" applyAlignment="0" applyProtection="0"/>
    <xf numFmtId="0" fontId="41" fillId="53" borderId="0" applyNumberFormat="0" applyBorder="0" applyAlignment="0" applyProtection="0"/>
    <xf numFmtId="0" fontId="41" fillId="53" borderId="0" applyNumberFormat="0" applyBorder="0" applyAlignment="0" applyProtection="0"/>
    <xf numFmtId="0" fontId="12" fillId="67" borderId="0" applyNumberFormat="0" applyBorder="0" applyAlignment="0" applyProtection="0"/>
    <xf numFmtId="0" fontId="12" fillId="53" borderId="0" applyNumberFormat="0" applyBorder="0" applyAlignment="0" applyProtection="0"/>
    <xf numFmtId="0" fontId="78" fillId="68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>
      <alignment vertical="center"/>
    </xf>
    <xf numFmtId="0" fontId="78" fillId="68" borderId="0" applyNumberFormat="0" applyBorder="0" applyAlignment="0" applyProtection="0"/>
    <xf numFmtId="0" fontId="12" fillId="53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41" fillId="57" borderId="0" applyNumberFormat="0" applyBorder="0" applyAlignment="0" applyProtection="0"/>
    <xf numFmtId="0" fontId="41" fillId="57" borderId="0" applyNumberFormat="0" applyBorder="0" applyAlignment="0" applyProtection="0"/>
    <xf numFmtId="0" fontId="12" fillId="5" borderId="0" applyNumberFormat="0" applyBorder="0" applyAlignment="0" applyProtection="0"/>
    <xf numFmtId="0" fontId="12" fillId="57" borderId="0" applyNumberFormat="0" applyBorder="0" applyAlignment="0" applyProtection="0"/>
    <xf numFmtId="0" fontId="78" fillId="66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>
      <alignment vertical="center"/>
    </xf>
    <xf numFmtId="0" fontId="78" fillId="66" borderId="0" applyNumberFormat="0" applyBorder="0" applyAlignment="0" applyProtection="0"/>
    <xf numFmtId="0" fontId="12" fillId="57" borderId="0" applyNumberFormat="0" applyBorder="0" applyAlignment="0" applyProtection="0">
      <alignment vertical="center"/>
    </xf>
    <xf numFmtId="0" fontId="79" fillId="67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62" borderId="0" applyNumberFormat="0" applyBorder="0" applyAlignment="0" applyProtection="0">
      <alignment vertical="center"/>
    </xf>
    <xf numFmtId="0" fontId="79" fillId="67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58" fillId="69" borderId="0" applyNumberFormat="0" applyBorder="0" applyAlignment="0" applyProtection="0"/>
    <xf numFmtId="0" fontId="75" fillId="38" borderId="0" applyNumberFormat="0" applyBorder="0" applyAlignment="0" applyProtection="0"/>
    <xf numFmtId="0" fontId="58" fillId="69" borderId="0" applyNumberFormat="0" applyBorder="0" applyAlignment="0" applyProtection="0"/>
    <xf numFmtId="0" fontId="58" fillId="38" borderId="0" applyNumberFormat="0" applyBorder="0" applyAlignment="0" applyProtection="0"/>
    <xf numFmtId="0" fontId="80" fillId="68" borderId="0" applyNumberFormat="0" applyBorder="0" applyAlignment="0" applyProtection="0"/>
    <xf numFmtId="0" fontId="58" fillId="38" borderId="0" applyNumberFormat="0" applyBorder="0" applyAlignment="0" applyProtection="0"/>
    <xf numFmtId="0" fontId="58" fillId="38" borderId="0" applyNumberFormat="0" applyBorder="0" applyAlignment="0" applyProtection="0">
      <alignment vertical="center"/>
    </xf>
    <xf numFmtId="0" fontId="80" fillId="68" borderId="0" applyNumberFormat="0" applyBorder="0" applyAlignment="0" applyProtection="0"/>
    <xf numFmtId="0" fontId="58" fillId="38" borderId="0" applyNumberFormat="0" applyBorder="0" applyAlignment="0" applyProtection="0">
      <alignment vertical="center"/>
    </xf>
    <xf numFmtId="0" fontId="58" fillId="3" borderId="0" applyNumberFormat="0" applyBorder="0" applyAlignment="0" applyProtection="0"/>
    <xf numFmtId="0" fontId="75" fillId="42" borderId="0" applyNumberFormat="0" applyBorder="0" applyAlignment="0" applyProtection="0"/>
    <xf numFmtId="0" fontId="58" fillId="3" borderId="0" applyNumberFormat="0" applyBorder="0" applyAlignment="0" applyProtection="0"/>
    <xf numFmtId="0" fontId="58" fillId="42" borderId="0" applyNumberFormat="0" applyBorder="0" applyAlignment="0" applyProtection="0"/>
    <xf numFmtId="0" fontId="80" fillId="3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>
      <alignment vertical="center"/>
    </xf>
    <xf numFmtId="0" fontId="80" fillId="3" borderId="0" applyNumberFormat="0" applyBorder="0" applyAlignment="0" applyProtection="0"/>
    <xf numFmtId="0" fontId="58" fillId="42" borderId="0" applyNumberFormat="0" applyBorder="0" applyAlignment="0" applyProtection="0">
      <alignment vertical="center"/>
    </xf>
    <xf numFmtId="0" fontId="58" fillId="4" borderId="0" applyNumberFormat="0" applyBorder="0" applyAlignment="0" applyProtection="0"/>
    <xf numFmtId="0" fontId="75" fillId="46" borderId="0" applyNumberFormat="0" applyBorder="0" applyAlignment="0" applyProtection="0"/>
    <xf numFmtId="0" fontId="58" fillId="4" borderId="0" applyNumberFormat="0" applyBorder="0" applyAlignment="0" applyProtection="0"/>
    <xf numFmtId="0" fontId="58" fillId="46" borderId="0" applyNumberFormat="0" applyBorder="0" applyAlignment="0" applyProtection="0"/>
    <xf numFmtId="0" fontId="80" fillId="12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>
      <alignment vertical="center"/>
    </xf>
    <xf numFmtId="0" fontId="80" fillId="12" borderId="0" applyNumberFormat="0" applyBorder="0" applyAlignment="0" applyProtection="0"/>
    <xf numFmtId="0" fontId="58" fillId="46" borderId="0" applyNumberFormat="0" applyBorder="0" applyAlignment="0" applyProtection="0">
      <alignment vertical="center"/>
    </xf>
    <xf numFmtId="0" fontId="58" fillId="70" borderId="0" applyNumberFormat="0" applyBorder="0" applyAlignment="0" applyProtection="0"/>
    <xf numFmtId="0" fontId="75" fillId="50" borderId="0" applyNumberFormat="0" applyBorder="0" applyAlignment="0" applyProtection="0"/>
    <xf numFmtId="0" fontId="58" fillId="70" borderId="0" applyNumberFormat="0" applyBorder="0" applyAlignment="0" applyProtection="0"/>
    <xf numFmtId="0" fontId="58" fillId="50" borderId="0" applyNumberFormat="0" applyBorder="0" applyAlignment="0" applyProtection="0"/>
    <xf numFmtId="0" fontId="80" fillId="64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>
      <alignment vertical="center"/>
    </xf>
    <xf numFmtId="0" fontId="80" fillId="64" borderId="0" applyNumberFormat="0" applyBorder="0" applyAlignment="0" applyProtection="0"/>
    <xf numFmtId="0" fontId="58" fillId="50" borderId="0" applyNumberFormat="0" applyBorder="0" applyAlignment="0" applyProtection="0">
      <alignment vertical="center"/>
    </xf>
    <xf numFmtId="0" fontId="58" fillId="71" borderId="0" applyNumberFormat="0" applyBorder="0" applyAlignment="0" applyProtection="0"/>
    <xf numFmtId="0" fontId="75" fillId="54" borderId="0" applyNumberFormat="0" applyBorder="0" applyAlignment="0" applyProtection="0"/>
    <xf numFmtId="0" fontId="58" fillId="71" borderId="0" applyNumberFormat="0" applyBorder="0" applyAlignment="0" applyProtection="0"/>
    <xf numFmtId="0" fontId="58" fillId="54" borderId="0" applyNumberFormat="0" applyBorder="0" applyAlignment="0" applyProtection="0"/>
    <xf numFmtId="0" fontId="80" fillId="71" borderId="0" applyNumberFormat="0" applyBorder="0" applyAlignment="0" applyProtection="0"/>
    <xf numFmtId="0" fontId="58" fillId="54" borderId="0" applyNumberFormat="0" applyBorder="0" applyAlignment="0" applyProtection="0"/>
    <xf numFmtId="0" fontId="58" fillId="54" borderId="0" applyNumberFormat="0" applyBorder="0" applyAlignment="0" applyProtection="0">
      <alignment vertical="center"/>
    </xf>
    <xf numFmtId="0" fontId="80" fillId="71" borderId="0" applyNumberFormat="0" applyBorder="0" applyAlignment="0" applyProtection="0"/>
    <xf numFmtId="0" fontId="58" fillId="54" borderId="0" applyNumberFormat="0" applyBorder="0" applyAlignment="0" applyProtection="0">
      <alignment vertical="center"/>
    </xf>
    <xf numFmtId="0" fontId="58" fillId="6" borderId="0" applyNumberFormat="0" applyBorder="0" applyAlignment="0" applyProtection="0"/>
    <xf numFmtId="0" fontId="75" fillId="58" borderId="0" applyNumberFormat="0" applyBorder="0" applyAlignment="0" applyProtection="0"/>
    <xf numFmtId="0" fontId="58" fillId="6" borderId="0" applyNumberFormat="0" applyBorder="0" applyAlignment="0" applyProtection="0"/>
    <xf numFmtId="0" fontId="58" fillId="58" borderId="0" applyNumberFormat="0" applyBorder="0" applyAlignment="0" applyProtection="0"/>
    <xf numFmtId="0" fontId="80" fillId="66" borderId="0" applyNumberFormat="0" applyBorder="0" applyAlignment="0" applyProtection="0"/>
    <xf numFmtId="0" fontId="58" fillId="58" borderId="0" applyNumberFormat="0" applyBorder="0" applyAlignment="0" applyProtection="0"/>
    <xf numFmtId="0" fontId="58" fillId="58" borderId="0" applyNumberFormat="0" applyBorder="0" applyAlignment="0" applyProtection="0">
      <alignment vertical="center"/>
    </xf>
    <xf numFmtId="0" fontId="80" fillId="66" borderId="0" applyNumberFormat="0" applyBorder="0" applyAlignment="0" applyProtection="0"/>
    <xf numFmtId="0" fontId="58" fillId="58" borderId="0" applyNumberFormat="0" applyBorder="0" applyAlignment="0" applyProtection="0">
      <alignment vertical="center"/>
    </xf>
    <xf numFmtId="0" fontId="81" fillId="69" borderId="0" applyNumberFormat="0" applyBorder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70" borderId="0" applyNumberFormat="0" applyBorder="0" applyAlignment="0" applyProtection="0">
      <alignment vertical="center"/>
    </xf>
    <xf numFmtId="0" fontId="81" fillId="71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58" fillId="72" borderId="0" applyNumberFormat="0" applyBorder="0" applyAlignment="0" applyProtection="0"/>
    <xf numFmtId="0" fontId="75" fillId="35" borderId="0" applyNumberFormat="0" applyBorder="0" applyAlignment="0" applyProtection="0"/>
    <xf numFmtId="0" fontId="58" fillId="72" borderId="0" applyNumberFormat="0" applyBorder="0" applyAlignment="0" applyProtection="0"/>
    <xf numFmtId="0" fontId="58" fillId="35" borderId="0" applyNumberFormat="0" applyBorder="0" applyAlignment="0" applyProtection="0"/>
    <xf numFmtId="0" fontId="80" fillId="71" borderId="0" applyNumberFormat="0" applyBorder="0" applyAlignment="0" applyProtection="0"/>
    <xf numFmtId="0" fontId="58" fillId="35" borderId="0" applyNumberFormat="0" applyBorder="0" applyAlignment="0" applyProtection="0"/>
    <xf numFmtId="0" fontId="58" fillId="35" borderId="0" applyNumberFormat="0" applyBorder="0" applyAlignment="0" applyProtection="0">
      <alignment vertical="center"/>
    </xf>
    <xf numFmtId="0" fontId="80" fillId="71" borderId="0" applyNumberFormat="0" applyBorder="0" applyAlignment="0" applyProtection="0"/>
    <xf numFmtId="0" fontId="58" fillId="35" borderId="0" applyNumberFormat="0" applyBorder="0" applyAlignment="0" applyProtection="0">
      <alignment vertical="center"/>
    </xf>
    <xf numFmtId="0" fontId="58" fillId="10" borderId="0" applyNumberFormat="0" applyBorder="0" applyAlignment="0" applyProtection="0"/>
    <xf numFmtId="0" fontId="75" fillId="39" borderId="0" applyNumberFormat="0" applyBorder="0" applyAlignment="0" applyProtection="0"/>
    <xf numFmtId="0" fontId="58" fillId="10" borderId="0" applyNumberFormat="0" applyBorder="0" applyAlignment="0" applyProtection="0"/>
    <xf numFmtId="0" fontId="58" fillId="39" borderId="0" applyNumberFormat="0" applyBorder="0" applyAlignment="0" applyProtection="0"/>
    <xf numFmtId="0" fontId="80" fillId="10" borderId="0" applyNumberFormat="0" applyBorder="0" applyAlignment="0" applyProtection="0"/>
    <xf numFmtId="0" fontId="58" fillId="39" borderId="0" applyNumberFormat="0" applyBorder="0" applyAlignment="0" applyProtection="0"/>
    <xf numFmtId="0" fontId="58" fillId="39" borderId="0" applyNumberFormat="0" applyBorder="0" applyAlignment="0" applyProtection="0">
      <alignment vertical="center"/>
    </xf>
    <xf numFmtId="0" fontId="80" fillId="10" borderId="0" applyNumberFormat="0" applyBorder="0" applyAlignment="0" applyProtection="0"/>
    <xf numFmtId="0" fontId="58" fillId="39" borderId="0" applyNumberFormat="0" applyBorder="0" applyAlignment="0" applyProtection="0">
      <alignment vertical="center"/>
    </xf>
    <xf numFmtId="0" fontId="58" fillId="12" borderId="0" applyNumberFormat="0" applyBorder="0" applyAlignment="0" applyProtection="0"/>
    <xf numFmtId="0" fontId="75" fillId="43" borderId="0" applyNumberFormat="0" applyBorder="0" applyAlignment="0" applyProtection="0"/>
    <xf numFmtId="0" fontId="58" fillId="12" borderId="0" applyNumberFormat="0" applyBorder="0" applyAlignment="0" applyProtection="0"/>
    <xf numFmtId="0" fontId="58" fillId="43" borderId="0" applyNumberFormat="0" applyBorder="0" applyAlignment="0" applyProtection="0"/>
    <xf numFmtId="0" fontId="80" fillId="12" borderId="0" applyNumberFormat="0" applyBorder="0" applyAlignment="0" applyProtection="0"/>
    <xf numFmtId="0" fontId="58" fillId="43" borderId="0" applyNumberFormat="0" applyBorder="0" applyAlignment="0" applyProtection="0"/>
    <xf numFmtId="0" fontId="58" fillId="43" borderId="0" applyNumberFormat="0" applyBorder="0" applyAlignment="0" applyProtection="0">
      <alignment vertical="center"/>
    </xf>
    <xf numFmtId="0" fontId="80" fillId="12" borderId="0" applyNumberFormat="0" applyBorder="0" applyAlignment="0" applyProtection="0"/>
    <xf numFmtId="0" fontId="58" fillId="43" borderId="0" applyNumberFormat="0" applyBorder="0" applyAlignment="0" applyProtection="0">
      <alignment vertical="center"/>
    </xf>
    <xf numFmtId="0" fontId="58" fillId="70" borderId="0" applyNumberFormat="0" applyBorder="0" applyAlignment="0" applyProtection="0"/>
    <xf numFmtId="0" fontId="75" fillId="47" borderId="0" applyNumberFormat="0" applyBorder="0" applyAlignment="0" applyProtection="0"/>
    <xf numFmtId="0" fontId="58" fillId="70" borderId="0" applyNumberFormat="0" applyBorder="0" applyAlignment="0" applyProtection="0"/>
    <xf numFmtId="0" fontId="58" fillId="47" borderId="0" applyNumberFormat="0" applyBorder="0" applyAlignment="0" applyProtection="0"/>
    <xf numFmtId="0" fontId="80" fillId="73" borderId="0" applyNumberFormat="0" applyBorder="0" applyAlignment="0" applyProtection="0"/>
    <xf numFmtId="0" fontId="58" fillId="47" borderId="0" applyNumberFormat="0" applyBorder="0" applyAlignment="0" applyProtection="0"/>
    <xf numFmtId="0" fontId="58" fillId="47" borderId="0" applyNumberFormat="0" applyBorder="0" applyAlignment="0" applyProtection="0">
      <alignment vertical="center"/>
    </xf>
    <xf numFmtId="0" fontId="80" fillId="73" borderId="0" applyNumberFormat="0" applyBorder="0" applyAlignment="0" applyProtection="0"/>
    <xf numFmtId="0" fontId="58" fillId="47" borderId="0" applyNumberFormat="0" applyBorder="0" applyAlignment="0" applyProtection="0">
      <alignment vertical="center"/>
    </xf>
    <xf numFmtId="0" fontId="58" fillId="51" borderId="0" applyNumberFormat="0" applyBorder="0" applyAlignment="0" applyProtection="0"/>
    <xf numFmtId="0" fontId="75" fillId="51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>
      <alignment vertical="center"/>
    </xf>
    <xf numFmtId="0" fontId="80" fillId="71" borderId="0" applyNumberFormat="0" applyBorder="0" applyAlignment="0" applyProtection="0"/>
    <xf numFmtId="0" fontId="58" fillId="51" borderId="0" applyNumberFormat="0" applyBorder="0" applyAlignment="0" applyProtection="0">
      <alignment vertical="center"/>
    </xf>
    <xf numFmtId="0" fontId="80" fillId="71" borderId="0" applyNumberFormat="0" applyBorder="0" applyAlignment="0" applyProtection="0"/>
    <xf numFmtId="0" fontId="58" fillId="55" borderId="0" applyNumberFormat="0" applyBorder="0" applyAlignment="0" applyProtection="0"/>
    <xf numFmtId="0" fontId="75" fillId="55" borderId="0" applyNumberFormat="0" applyBorder="0" applyAlignment="0" applyProtection="0"/>
    <xf numFmtId="0" fontId="58" fillId="11" borderId="0" applyNumberFormat="0" applyBorder="0" applyAlignment="0" applyProtection="0"/>
    <xf numFmtId="0" fontId="58" fillId="55" borderId="0" applyNumberFormat="0" applyBorder="0" applyAlignment="0" applyProtection="0"/>
    <xf numFmtId="0" fontId="80" fillId="5" borderId="0" applyNumberFormat="0" applyBorder="0" applyAlignment="0" applyProtection="0"/>
    <xf numFmtId="0" fontId="58" fillId="55" borderId="0" applyNumberFormat="0" applyBorder="0" applyAlignment="0" applyProtection="0"/>
    <xf numFmtId="0" fontId="58" fillId="55" borderId="0" applyNumberFormat="0" applyBorder="0" applyAlignment="0" applyProtection="0">
      <alignment vertical="center"/>
    </xf>
    <xf numFmtId="0" fontId="80" fillId="5" borderId="0" applyNumberFormat="0" applyBorder="0" applyAlignment="0" applyProtection="0"/>
    <xf numFmtId="0" fontId="58" fillId="55" borderId="0" applyNumberFormat="0" applyBorder="0" applyAlignment="0" applyProtection="0">
      <alignment vertical="center"/>
    </xf>
    <xf numFmtId="0" fontId="48" fillId="2" borderId="0" applyNumberFormat="0" applyBorder="0" applyAlignment="0" applyProtection="0"/>
    <xf numFmtId="0" fontId="60" fillId="29" borderId="0" applyNumberFormat="0" applyBorder="0" applyAlignment="0" applyProtection="0"/>
    <xf numFmtId="0" fontId="48" fillId="2" borderId="0" applyNumberFormat="0" applyBorder="0" applyAlignment="0" applyProtection="0"/>
    <xf numFmtId="0" fontId="48" fillId="29" borderId="0" applyNumberFormat="0" applyBorder="0" applyAlignment="0" applyProtection="0"/>
    <xf numFmtId="0" fontId="82" fillId="62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>
      <alignment vertical="center"/>
    </xf>
    <xf numFmtId="0" fontId="82" fillId="62" borderId="0" applyNumberFormat="0" applyBorder="0" applyAlignment="0" applyProtection="0"/>
    <xf numFmtId="0" fontId="48" fillId="29" borderId="0" applyNumberFormat="0" applyBorder="0" applyAlignment="0" applyProtection="0">
      <alignment vertical="center"/>
    </xf>
    <xf numFmtId="0" fontId="83" fillId="64" borderId="56" applyNumberFormat="0" applyAlignment="0" applyProtection="0"/>
    <xf numFmtId="0" fontId="71" fillId="32" borderId="56" applyNumberFormat="0" applyAlignment="0" applyProtection="0"/>
    <xf numFmtId="0" fontId="83" fillId="64" borderId="56" applyNumberFormat="0" applyAlignment="0" applyProtection="0"/>
    <xf numFmtId="0" fontId="52" fillId="32" borderId="56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52" fillId="32" borderId="56" applyNumberFormat="0" applyAlignment="0" applyProtection="0"/>
    <xf numFmtId="0" fontId="52" fillId="32" borderId="56" applyNumberFormat="0" applyAlignment="0" applyProtection="0">
      <alignment vertical="center"/>
    </xf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52" fillId="32" borderId="56" applyNumberFormat="0" applyAlignment="0" applyProtection="0">
      <alignment vertical="center"/>
    </xf>
    <xf numFmtId="0" fontId="54" fillId="33" borderId="59" applyNumberFormat="0" applyAlignment="0" applyProtection="0"/>
    <xf numFmtId="0" fontId="61" fillId="33" borderId="59" applyNumberFormat="0" applyAlignment="0" applyProtection="0"/>
    <xf numFmtId="0" fontId="54" fillId="33" borderId="59" applyNumberFormat="0" applyAlignment="0" applyProtection="0"/>
    <xf numFmtId="0" fontId="54" fillId="33" borderId="59" applyNumberFormat="0" applyAlignment="0" applyProtection="0">
      <alignment vertical="center"/>
    </xf>
    <xf numFmtId="0" fontId="85" fillId="74" borderId="64" applyNumberFormat="0" applyAlignment="0" applyProtection="0"/>
    <xf numFmtId="0" fontId="54" fillId="33" borderId="59" applyNumberFormat="0" applyAlignment="0" applyProtection="0">
      <alignment vertical="center"/>
    </xf>
    <xf numFmtId="0" fontId="85" fillId="74" borderId="64" applyNumberFormat="0" applyAlignment="0" applyProtection="0"/>
    <xf numFmtId="182" fontId="19" fillId="0" borderId="0" applyFont="0" applyFill="0" applyBorder="0" applyAlignment="0" applyProtection="0"/>
    <xf numFmtId="41" fontId="86" fillId="0" borderId="0" applyFont="0" applyFill="0" applyBorder="0" applyAlignment="0" applyProtection="0"/>
    <xf numFmtId="182" fontId="19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86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182" fontId="41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181" fontId="18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87" fillId="0" borderId="0" applyFont="0" applyFill="0" applyBorder="0" applyAlignment="0" applyProtection="0"/>
    <xf numFmtId="181" fontId="87" fillId="0" borderId="0" applyFont="0" applyFill="0" applyBorder="0" applyAlignment="0" applyProtection="0"/>
    <xf numFmtId="181" fontId="88" fillId="0" borderId="0" applyFont="0" applyFill="0" applyBorder="0" applyAlignment="0" applyProtection="0">
      <alignment vertical="center"/>
    </xf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12" fillId="0" borderId="0" applyFont="0" applyFill="0" applyBorder="0" applyAlignment="0" applyProtection="0">
      <alignment vertical="center"/>
    </xf>
    <xf numFmtId="181" fontId="89" fillId="0" borderId="0" applyFont="0" applyFill="0" applyBorder="0" applyAlignment="0" applyProtection="0">
      <alignment vertical="center"/>
    </xf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41" fillId="0" borderId="0" applyFont="0" applyFill="0" applyBorder="0" applyAlignment="0" applyProtection="0"/>
    <xf numFmtId="43" fontId="63" fillId="0" borderId="0" applyFont="0" applyFill="0" applyBorder="0" applyAlignment="0" applyProtection="0">
      <alignment vertical="center"/>
    </xf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181" fontId="19" fillId="0" borderId="0" applyFont="0" applyFill="0" applyBorder="0" applyAlignment="0" applyProtection="0"/>
    <xf numFmtId="181" fontId="90" fillId="0" borderId="0" applyFont="0" applyFill="0" applyBorder="0" applyAlignment="0" applyProtection="0">
      <alignment vertical="center"/>
    </xf>
    <xf numFmtId="18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18" fillId="0" borderId="0" applyFont="0" applyFill="0" applyBorder="0" applyAlignment="0" applyProtection="0"/>
    <xf numFmtId="183" fontId="19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/>
    <xf numFmtId="0" fontId="47" fillId="60" borderId="0" applyNumberFormat="0" applyBorder="0" applyAlignment="0" applyProtection="0"/>
    <xf numFmtId="0" fontId="59" fillId="28" borderId="0" applyNumberFormat="0" applyBorder="0" applyAlignment="0" applyProtection="0"/>
    <xf numFmtId="0" fontId="47" fillId="60" borderId="0" applyNumberFormat="0" applyBorder="0" applyAlignment="0" applyProtection="0"/>
    <xf numFmtId="0" fontId="47" fillId="28" borderId="0" applyNumberFormat="0" applyBorder="0" applyAlignment="0" applyProtection="0"/>
    <xf numFmtId="0" fontId="92" fillId="13" borderId="0" applyNumberFormat="0" applyBorder="0" applyAlignment="0" applyProtection="0"/>
    <xf numFmtId="0" fontId="47" fillId="28" borderId="0" applyNumberFormat="0" applyBorder="0" applyAlignment="0" applyProtection="0"/>
    <xf numFmtId="0" fontId="47" fillId="28" borderId="0" applyNumberFormat="0" applyBorder="0" applyAlignment="0" applyProtection="0">
      <alignment vertical="center"/>
    </xf>
    <xf numFmtId="0" fontId="92" fillId="13" borderId="0" applyNumberFormat="0" applyBorder="0" applyAlignment="0" applyProtection="0"/>
    <xf numFmtId="0" fontId="47" fillId="28" borderId="0" applyNumberFormat="0" applyBorder="0" applyAlignment="0" applyProtection="0">
      <alignment vertical="center"/>
    </xf>
    <xf numFmtId="0" fontId="93" fillId="0" borderId="65" applyNumberFormat="0" applyFill="0" applyAlignment="0" applyProtection="0"/>
    <xf numFmtId="0" fontId="66" fillId="0" borderId="53" applyNumberFormat="0" applyFill="0" applyAlignment="0" applyProtection="0"/>
    <xf numFmtId="0" fontId="93" fillId="0" borderId="65" applyNumberFormat="0" applyFill="0" applyAlignment="0" applyProtection="0"/>
    <xf numFmtId="0" fontId="44" fillId="0" borderId="53" applyNumberFormat="0" applyFill="0" applyAlignment="0" applyProtection="0"/>
    <xf numFmtId="0" fontId="94" fillId="0" borderId="66" applyNumberFormat="0" applyFill="0" applyAlignment="0" applyProtection="0"/>
    <xf numFmtId="0" fontId="44" fillId="0" borderId="53" applyNumberFormat="0" applyFill="0" applyAlignment="0" applyProtection="0"/>
    <xf numFmtId="0" fontId="44" fillId="0" borderId="53" applyNumberFormat="0" applyFill="0" applyAlignment="0" applyProtection="0">
      <alignment vertical="center"/>
    </xf>
    <xf numFmtId="0" fontId="94" fillId="0" borderId="66" applyNumberFormat="0" applyFill="0" applyAlignment="0" applyProtection="0"/>
    <xf numFmtId="0" fontId="44" fillId="0" borderId="53" applyNumberFormat="0" applyFill="0" applyAlignment="0" applyProtection="0">
      <alignment vertical="center"/>
    </xf>
    <xf numFmtId="0" fontId="95" fillId="0" borderId="67" applyNumberFormat="0" applyFill="0" applyAlignment="0" applyProtection="0"/>
    <xf numFmtId="0" fontId="67" fillId="0" borderId="54" applyNumberFormat="0" applyFill="0" applyAlignment="0" applyProtection="0"/>
    <xf numFmtId="0" fontId="95" fillId="0" borderId="67" applyNumberFormat="0" applyFill="0" applyAlignment="0" applyProtection="0"/>
    <xf numFmtId="0" fontId="45" fillId="0" borderId="54" applyNumberFormat="0" applyFill="0" applyAlignment="0" applyProtection="0"/>
    <xf numFmtId="0" fontId="96" fillId="0" borderId="68" applyNumberFormat="0" applyFill="0" applyAlignment="0" applyProtection="0"/>
    <xf numFmtId="0" fontId="45" fillId="0" borderId="54" applyNumberFormat="0" applyFill="0" applyAlignment="0" applyProtection="0"/>
    <xf numFmtId="0" fontId="45" fillId="0" borderId="54" applyNumberFormat="0" applyFill="0" applyAlignment="0" applyProtection="0">
      <alignment vertical="center"/>
    </xf>
    <xf numFmtId="0" fontId="96" fillId="0" borderId="68" applyNumberFormat="0" applyFill="0" applyAlignment="0" applyProtection="0"/>
    <xf numFmtId="0" fontId="45" fillId="0" borderId="54" applyNumberFormat="0" applyFill="0" applyAlignment="0" applyProtection="0">
      <alignment vertical="center"/>
    </xf>
    <xf numFmtId="0" fontId="97" fillId="0" borderId="69" applyNumberFormat="0" applyFill="0" applyAlignment="0" applyProtection="0"/>
    <xf numFmtId="0" fontId="68" fillId="0" borderId="55" applyNumberFormat="0" applyFill="0" applyAlignment="0" applyProtection="0"/>
    <xf numFmtId="0" fontId="97" fillId="0" borderId="69" applyNumberFormat="0" applyFill="0" applyAlignment="0" applyProtection="0"/>
    <xf numFmtId="0" fontId="46" fillId="0" borderId="55" applyNumberFormat="0" applyFill="0" applyAlignment="0" applyProtection="0"/>
    <xf numFmtId="0" fontId="98" fillId="0" borderId="70" applyNumberFormat="0" applyFill="0" applyAlignment="0" applyProtection="0"/>
    <xf numFmtId="0" fontId="46" fillId="0" borderId="55" applyNumberFormat="0" applyFill="0" applyAlignment="0" applyProtection="0"/>
    <xf numFmtId="0" fontId="46" fillId="0" borderId="55" applyNumberFormat="0" applyFill="0" applyAlignment="0" applyProtection="0">
      <alignment vertical="center"/>
    </xf>
    <xf numFmtId="0" fontId="98" fillId="0" borderId="70" applyNumberFormat="0" applyFill="0" applyAlignment="0" applyProtection="0"/>
    <xf numFmtId="0" fontId="46" fillId="0" borderId="55" applyNumberFormat="0" applyFill="0" applyAlignment="0" applyProtection="0">
      <alignment vertical="center"/>
    </xf>
    <xf numFmtId="0" fontId="9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top"/>
      <protection locked="0"/>
    </xf>
    <xf numFmtId="0" fontId="50" fillId="64" borderId="56" applyNumberFormat="0" applyAlignment="0" applyProtection="0"/>
    <xf numFmtId="0" fontId="69" fillId="31" borderId="56" applyNumberFormat="0" applyAlignment="0" applyProtection="0"/>
    <xf numFmtId="0" fontId="50" fillId="64" borderId="56" applyNumberFormat="0" applyAlignment="0" applyProtection="0"/>
    <xf numFmtId="0" fontId="50" fillId="31" borderId="56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50" fillId="31" borderId="56" applyNumberFormat="0" applyAlignment="0" applyProtection="0"/>
    <xf numFmtId="0" fontId="50" fillId="31" borderId="56" applyNumberFormat="0" applyAlignment="0" applyProtection="0">
      <alignment vertical="center"/>
    </xf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50" fillId="31" borderId="56" applyNumberFormat="0" applyAlignment="0" applyProtection="0">
      <alignment vertical="center"/>
    </xf>
    <xf numFmtId="0" fontId="101" fillId="0" borderId="71" applyNumberFormat="0" applyFill="0" applyAlignment="0" applyProtection="0"/>
    <xf numFmtId="0" fontId="72" fillId="0" borderId="58" applyNumberFormat="0" applyFill="0" applyAlignment="0" applyProtection="0"/>
    <xf numFmtId="0" fontId="101" fillId="0" borderId="71" applyNumberFormat="0" applyFill="0" applyAlignment="0" applyProtection="0"/>
    <xf numFmtId="0" fontId="53" fillId="0" borderId="58" applyNumberFormat="0" applyFill="0" applyAlignment="0" applyProtection="0"/>
    <xf numFmtId="0" fontId="102" fillId="0" borderId="72" applyNumberFormat="0" applyFill="0" applyAlignment="0" applyProtection="0"/>
    <xf numFmtId="0" fontId="53" fillId="0" borderId="58" applyNumberFormat="0" applyFill="0" applyAlignment="0" applyProtection="0"/>
    <xf numFmtId="0" fontId="53" fillId="0" borderId="58" applyNumberFormat="0" applyFill="0" applyAlignment="0" applyProtection="0">
      <alignment vertical="center"/>
    </xf>
    <xf numFmtId="0" fontId="102" fillId="0" borderId="72" applyNumberFormat="0" applyFill="0" applyAlignment="0" applyProtection="0"/>
    <xf numFmtId="0" fontId="53" fillId="0" borderId="58" applyNumberFormat="0" applyFill="0" applyAlignment="0" applyProtection="0">
      <alignment vertical="center"/>
    </xf>
    <xf numFmtId="0" fontId="103" fillId="30" borderId="0" applyNumberFormat="0" applyBorder="0" applyAlignment="0" applyProtection="0"/>
    <xf numFmtId="0" fontId="64" fillId="30" borderId="0" applyNumberFormat="0" applyBorder="0" applyAlignment="0" applyProtection="0"/>
    <xf numFmtId="0" fontId="103" fillId="30" borderId="0" applyNumberFormat="0" applyBorder="0" applyAlignment="0" applyProtection="0"/>
    <xf numFmtId="0" fontId="49" fillId="30" borderId="0" applyNumberFormat="0" applyBorder="0" applyAlignment="0" applyProtection="0"/>
    <xf numFmtId="0" fontId="104" fillId="7" borderId="0" applyNumberFormat="0" applyBorder="0" applyAlignment="0" applyProtection="0"/>
    <xf numFmtId="0" fontId="49" fillId="30" borderId="0" applyNumberFormat="0" applyBorder="0" applyAlignment="0" applyProtection="0"/>
    <xf numFmtId="0" fontId="49" fillId="30" borderId="0" applyNumberFormat="0" applyBorder="0" applyAlignment="0" applyProtection="0">
      <alignment vertical="center"/>
    </xf>
    <xf numFmtId="0" fontId="104" fillId="7" borderId="0" applyNumberFormat="0" applyBorder="0" applyAlignment="0" applyProtection="0"/>
    <xf numFmtId="0" fontId="49" fillId="30" borderId="0" applyNumberFormat="0" applyBorder="0" applyAlignment="0" applyProtection="0">
      <alignment vertical="center"/>
    </xf>
    <xf numFmtId="0" fontId="19" fillId="0" borderId="0"/>
    <xf numFmtId="0" fontId="41" fillId="0" borderId="0"/>
    <xf numFmtId="0" fontId="18" fillId="0" borderId="0"/>
    <xf numFmtId="0" fontId="41" fillId="0" borderId="0"/>
    <xf numFmtId="0" fontId="105" fillId="0" borderId="0"/>
    <xf numFmtId="0" fontId="18" fillId="0" borderId="0"/>
    <xf numFmtId="0" fontId="18" fillId="0" borderId="0"/>
    <xf numFmtId="0" fontId="77" fillId="0" borderId="0"/>
    <xf numFmtId="0" fontId="89" fillId="0" borderId="0">
      <alignment vertical="center"/>
    </xf>
    <xf numFmtId="0" fontId="41" fillId="0" borderId="0"/>
    <xf numFmtId="0" fontId="63" fillId="0" borderId="0">
      <alignment vertical="center"/>
    </xf>
    <xf numFmtId="0" fontId="41" fillId="0" borderId="0"/>
    <xf numFmtId="0" fontId="41" fillId="0" borderId="0"/>
    <xf numFmtId="0" fontId="12" fillId="0" borderId="0"/>
    <xf numFmtId="0" fontId="41" fillId="0" borderId="0"/>
    <xf numFmtId="0" fontId="41" fillId="0" borderId="0"/>
    <xf numFmtId="0" fontId="19" fillId="0" borderId="0"/>
    <xf numFmtId="0" fontId="87" fillId="0" borderId="0"/>
    <xf numFmtId="0" fontId="87" fillId="0" borderId="0"/>
    <xf numFmtId="0" fontId="41" fillId="0" borderId="0"/>
    <xf numFmtId="0" fontId="8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88" fillId="0" borderId="0" applyNumberFormat="0" applyFill="0" applyBorder="0" applyAlignment="0" applyProtection="0"/>
    <xf numFmtId="0" fontId="41" fillId="0" borderId="0"/>
    <xf numFmtId="0" fontId="88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06" fillId="0" borderId="0"/>
    <xf numFmtId="0" fontId="19" fillId="0" borderId="0"/>
    <xf numFmtId="0" fontId="12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12" fillId="0" borderId="0">
      <alignment vertical="center"/>
    </xf>
    <xf numFmtId="0" fontId="12" fillId="0" borderId="0">
      <alignment vertical="center"/>
    </xf>
    <xf numFmtId="0" fontId="107" fillId="0" borderId="0">
      <alignment vertical="center"/>
    </xf>
    <xf numFmtId="0" fontId="41" fillId="0" borderId="0"/>
    <xf numFmtId="0" fontId="88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2" fillId="0" borderId="0"/>
    <xf numFmtId="0" fontId="19" fillId="0" borderId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19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9" fillId="0" borderId="0"/>
    <xf numFmtId="0" fontId="41" fillId="0" borderId="0"/>
    <xf numFmtId="0" fontId="41" fillId="0" borderId="0"/>
    <xf numFmtId="0" fontId="19" fillId="0" borderId="0"/>
    <xf numFmtId="0" fontId="88" fillId="0" borderId="62" quotePrefix="1">
      <alignment horizontal="justify" vertical="justify" textRotation="127" wrapText="1" justifyLastLine="1"/>
      <protection hidden="1"/>
    </xf>
    <xf numFmtId="0" fontId="108" fillId="0" borderId="0"/>
    <xf numFmtId="0" fontId="18" fillId="0" borderId="0"/>
    <xf numFmtId="0" fontId="18" fillId="0" borderId="0"/>
    <xf numFmtId="0" fontId="18" fillId="0" borderId="0"/>
    <xf numFmtId="0" fontId="86" fillId="34" borderId="60" applyNumberFormat="0" applyFont="0" applyAlignment="0" applyProtection="0"/>
    <xf numFmtId="0" fontId="41" fillId="34" borderId="60" applyNumberFormat="0" applyFont="0" applyAlignment="0" applyProtection="0"/>
    <xf numFmtId="0" fontId="41" fillId="34" borderId="60" applyNumberFormat="0" applyFont="0" applyAlignment="0" applyProtection="0"/>
    <xf numFmtId="0" fontId="86" fillId="34" borderId="60" applyNumberFormat="0" applyFont="0" applyAlignment="0" applyProtection="0"/>
    <xf numFmtId="0" fontId="12" fillId="34" borderId="60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2" fillId="34" borderId="60" applyNumberFormat="0" applyFont="0" applyAlignment="0" applyProtection="0"/>
    <xf numFmtId="0" fontId="12" fillId="34" borderId="60" applyNumberFormat="0" applyFont="0" applyAlignment="0" applyProtection="0">
      <alignment vertical="center"/>
    </xf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2" fillId="34" borderId="60" applyNumberFormat="0" applyFont="0" applyAlignment="0" applyProtection="0">
      <alignment vertical="center"/>
    </xf>
    <xf numFmtId="0" fontId="51" fillId="64" borderId="57" applyNumberFormat="0" applyAlignment="0" applyProtection="0"/>
    <xf numFmtId="0" fontId="70" fillId="32" borderId="57" applyNumberFormat="0" applyAlignment="0" applyProtection="0"/>
    <xf numFmtId="0" fontId="51" fillId="64" borderId="57" applyNumberFormat="0" applyAlignment="0" applyProtection="0"/>
    <xf numFmtId="0" fontId="51" fillId="32" borderId="57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51" fillId="32" borderId="57" applyNumberFormat="0" applyAlignment="0" applyProtection="0"/>
    <xf numFmtId="0" fontId="51" fillId="32" borderId="57" applyNumberFormat="0" applyAlignment="0" applyProtection="0">
      <alignment vertical="center"/>
    </xf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51" fillId="32" borderId="57" applyNumberFormat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8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90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1" fillId="0" borderId="0" applyFont="0" applyFill="0" applyBorder="0" applyAlignment="0" applyProtection="0"/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4" fillId="8" borderId="1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4" fillId="9" borderId="0" applyNumberFormat="0" applyProtection="0">
      <alignment horizontal="left" vertical="center" indent="1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5" fillId="85" borderId="74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5" fillId="9" borderId="1" applyNumberFormat="0" applyProtection="0">
      <alignment horizontal="left" vertical="top" indent="1"/>
    </xf>
    <xf numFmtId="0" fontId="110" fillId="0" borderId="0"/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0" fontId="19" fillId="0" borderId="0"/>
    <xf numFmtId="0" fontId="111" fillId="0" borderId="0"/>
    <xf numFmtId="0" fontId="19" fillId="0" borderId="62" quotePrefix="1">
      <alignment horizontal="justify" vertical="justify" textRotation="127" wrapText="1" justifyLastLine="1"/>
      <protection hidden="1"/>
    </xf>
    <xf numFmtId="0" fontId="11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62" fillId="0" borderId="61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61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57" fillId="0" borderId="61" applyNumberFormat="0" applyFill="0" applyAlignment="0" applyProtection="0"/>
    <xf numFmtId="0" fontId="57" fillId="0" borderId="61" applyNumberFormat="0" applyFill="0" applyAlignment="0" applyProtection="0">
      <alignment vertical="center"/>
    </xf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57" fillId="0" borderId="61" applyNumberFormat="0" applyFill="0" applyAlignment="0" applyProtection="0">
      <alignment vertical="center"/>
    </xf>
    <xf numFmtId="0" fontId="55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/>
    <xf numFmtId="181" fontId="41" fillId="0" borderId="0" applyFont="0" applyFill="0" applyBorder="0" applyAlignment="0" applyProtection="0"/>
    <xf numFmtId="0" fontId="12" fillId="0" borderId="0">
      <alignment vertical="center"/>
    </xf>
    <xf numFmtId="0" fontId="19" fillId="0" borderId="0"/>
    <xf numFmtId="0" fontId="63" fillId="0" borderId="0">
      <alignment vertical="center"/>
    </xf>
    <xf numFmtId="0" fontId="116" fillId="7" borderId="0" applyNumberFormat="0" applyBorder="0" applyAlignment="0" applyProtection="0">
      <alignment vertical="center"/>
    </xf>
    <xf numFmtId="0" fontId="117" fillId="61" borderId="77" applyNumberFormat="0" applyFont="0" applyAlignment="0" applyProtection="0">
      <alignment vertical="center"/>
    </xf>
    <xf numFmtId="182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118" fillId="0" borderId="75" applyNumberFormat="0" applyFill="0" applyAlignment="0" applyProtection="0">
      <alignment vertical="center"/>
    </xf>
    <xf numFmtId="0" fontId="119" fillId="2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41" fillId="0" borderId="0"/>
    <xf numFmtId="0" fontId="19" fillId="0" borderId="0"/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32" fillId="0" borderId="0"/>
    <xf numFmtId="0" fontId="88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9" fillId="0" borderId="0"/>
    <xf numFmtId="0" fontId="122" fillId="0" borderId="0"/>
    <xf numFmtId="0" fontId="123" fillId="0" borderId="0" applyNumberFormat="0" applyFill="0" applyBorder="0" applyAlignment="0" applyProtection="0">
      <alignment vertical="center"/>
    </xf>
    <xf numFmtId="0" fontId="124" fillId="0" borderId="65" applyNumberFormat="0" applyFill="0" applyAlignment="0" applyProtection="0">
      <alignment vertical="center"/>
    </xf>
    <xf numFmtId="0" fontId="125" fillId="0" borderId="67" applyNumberFormat="0" applyFill="0" applyAlignment="0" applyProtection="0">
      <alignment vertical="center"/>
    </xf>
    <xf numFmtId="0" fontId="126" fillId="0" borderId="69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68" borderId="64" applyNumberFormat="0" applyAlignment="0" applyProtection="0">
      <alignment vertical="center"/>
    </xf>
    <xf numFmtId="9" fontId="19" fillId="0" borderId="0" applyFont="0" applyFill="0" applyBorder="0" applyAlignment="0" applyProtection="0"/>
    <xf numFmtId="0" fontId="128" fillId="64" borderId="63" applyNumberFormat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3" fontId="88" fillId="0" borderId="0" applyFont="0" applyFill="0" applyBorder="0" applyAlignment="0" applyProtection="0">
      <alignment vertical="center"/>
    </xf>
    <xf numFmtId="0" fontId="81" fillId="72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70" borderId="0" applyNumberFormat="0" applyBorder="0" applyAlignment="0" applyProtection="0">
      <alignment vertical="center"/>
    </xf>
    <xf numFmtId="0" fontId="81" fillId="71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131" fillId="66" borderId="63" applyNumberFormat="0" applyAlignment="0" applyProtection="0">
      <alignment vertical="center"/>
    </xf>
    <xf numFmtId="0" fontId="132" fillId="64" borderId="73" applyNumberFormat="0" applyAlignment="0" applyProtection="0">
      <alignment vertical="center"/>
    </xf>
    <xf numFmtId="0" fontId="133" fillId="0" borderId="71" applyNumberFormat="0" applyFill="0" applyAlignment="0" applyProtection="0">
      <alignment vertical="center"/>
    </xf>
    <xf numFmtId="0" fontId="75" fillId="51" borderId="0" applyNumberFormat="0" applyBorder="0" applyAlignment="0" applyProtection="0"/>
    <xf numFmtId="0" fontId="65" fillId="0" borderId="0" applyNumberFormat="0" applyFill="0" applyBorder="0" applyAlignment="0" applyProtection="0"/>
    <xf numFmtId="0" fontId="66" fillId="0" borderId="53" applyNumberFormat="0" applyFill="0" applyAlignment="0" applyProtection="0"/>
    <xf numFmtId="0" fontId="67" fillId="0" borderId="54" applyNumberFormat="0" applyFill="0" applyAlignment="0" applyProtection="0"/>
    <xf numFmtId="0" fontId="68" fillId="0" borderId="55" applyNumberFormat="0" applyFill="0" applyAlignment="0" applyProtection="0"/>
    <xf numFmtId="0" fontId="68" fillId="0" borderId="0" applyNumberFormat="0" applyFill="0" applyBorder="0" applyAlignment="0" applyProtection="0"/>
    <xf numFmtId="0" fontId="69" fillId="31" borderId="56" applyNumberFormat="0" applyAlignment="0" applyProtection="0"/>
    <xf numFmtId="0" fontId="70" fillId="32" borderId="57" applyNumberFormat="0" applyAlignment="0" applyProtection="0"/>
    <xf numFmtId="0" fontId="71" fillId="32" borderId="56" applyNumberFormat="0" applyAlignment="0" applyProtection="0"/>
    <xf numFmtId="0" fontId="72" fillId="0" borderId="58" applyNumberFormat="0" applyFill="0" applyAlignment="0" applyProtection="0"/>
    <xf numFmtId="0" fontId="73" fillId="0" borderId="0" applyNumberFormat="0" applyFill="0" applyBorder="0" applyAlignment="0" applyProtection="0"/>
    <xf numFmtId="0" fontId="41" fillId="34" borderId="60" applyNumberFormat="0" applyFont="0" applyAlignment="0" applyProtection="0"/>
    <xf numFmtId="0" fontId="74" fillId="0" borderId="0" applyNumberFormat="0" applyFill="0" applyBorder="0" applyAlignment="0" applyProtection="0"/>
    <xf numFmtId="0" fontId="62" fillId="0" borderId="61" applyNumberFormat="0" applyFill="0" applyAlignment="0" applyProtection="0"/>
    <xf numFmtId="0" fontId="75" fillId="35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75" fillId="38" borderId="0" applyNumberFormat="0" applyBorder="0" applyAlignment="0" applyProtection="0"/>
    <xf numFmtId="0" fontId="75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75" fillId="42" borderId="0" applyNumberFormat="0" applyBorder="0" applyAlignment="0" applyProtection="0"/>
    <xf numFmtId="0" fontId="75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75" fillId="46" borderId="0" applyNumberFormat="0" applyBorder="0" applyAlignment="0" applyProtection="0"/>
    <xf numFmtId="0" fontId="75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75" fillId="50" borderId="0" applyNumberFormat="0" applyBorder="0" applyAlignment="0" applyProtection="0"/>
    <xf numFmtId="0" fontId="41" fillId="52" borderId="0" applyNumberFormat="0" applyBorder="0" applyAlignment="0" applyProtection="0"/>
    <xf numFmtId="0" fontId="41" fillId="53" borderId="0" applyNumberFormat="0" applyBorder="0" applyAlignment="0" applyProtection="0"/>
    <xf numFmtId="0" fontId="75" fillId="54" borderId="0" applyNumberFormat="0" applyBorder="0" applyAlignment="0" applyProtection="0"/>
    <xf numFmtId="0" fontId="75" fillId="55" borderId="0" applyNumberFormat="0" applyBorder="0" applyAlignment="0" applyProtection="0"/>
    <xf numFmtId="0" fontId="41" fillId="56" borderId="0" applyNumberFormat="0" applyBorder="0" applyAlignment="0" applyProtection="0"/>
    <xf numFmtId="0" fontId="41" fillId="57" borderId="0" applyNumberFormat="0" applyBorder="0" applyAlignment="0" applyProtection="0"/>
    <xf numFmtId="0" fontId="75" fillId="58" borderId="0" applyNumberFormat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34" fillId="0" borderId="0">
      <alignment vertical="center"/>
    </xf>
    <xf numFmtId="0" fontId="135" fillId="0" borderId="0">
      <alignment vertical="center"/>
    </xf>
    <xf numFmtId="0" fontId="136" fillId="0" borderId="0" applyNumberFormat="0" applyFill="0" applyBorder="0" applyAlignment="0" applyProtection="0"/>
    <xf numFmtId="41" fontId="41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" borderId="0" applyNumberFormat="0" applyBorder="0" applyAlignment="0" applyProtection="0"/>
    <xf numFmtId="0" fontId="12" fillId="2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64" borderId="0" applyNumberFormat="0" applyBorder="0" applyAlignment="0" applyProtection="0"/>
    <xf numFmtId="0" fontId="12" fillId="64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>
      <alignment vertical="center"/>
    </xf>
    <xf numFmtId="0" fontId="12" fillId="56" borderId="0" applyNumberFormat="0" applyBorder="0" applyAlignment="0" applyProtection="0">
      <alignment vertical="center"/>
    </xf>
    <xf numFmtId="0" fontId="12" fillId="67" borderId="0" applyNumberFormat="0" applyBorder="0" applyAlignment="0" applyProtection="0"/>
    <xf numFmtId="0" fontId="12" fillId="6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67" borderId="0" applyNumberFormat="0" applyBorder="0" applyAlignment="0" applyProtection="0"/>
    <xf numFmtId="0" fontId="12" fillId="67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7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181" fontId="63" fillId="0" borderId="0" applyFont="0" applyFill="0" applyBorder="0" applyAlignment="0" applyProtection="0">
      <alignment vertical="center"/>
    </xf>
    <xf numFmtId="181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2" fillId="0" borderId="0"/>
    <xf numFmtId="0" fontId="63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3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63" fillId="0" borderId="62" quotePrefix="1">
      <alignment horizontal="justify" vertical="justify" textRotation="127" wrapText="1" justifyLastLine="1"/>
      <protection hidden="1"/>
    </xf>
    <xf numFmtId="0" fontId="12" fillId="34" borderId="60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2" fillId="34" borderId="60" applyNumberFormat="0" applyFont="0" applyAlignment="0" applyProtection="0"/>
    <xf numFmtId="0" fontId="12" fillId="34" borderId="60" applyNumberFormat="0" applyFont="0" applyAlignment="0" applyProtection="0">
      <alignment vertical="center"/>
    </xf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2" fillId="34" borderId="60" applyNumberFormat="0" applyFont="0" applyAlignment="0" applyProtection="0">
      <alignment vertical="center"/>
    </xf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2" fillId="0" borderId="0">
      <alignment vertical="center"/>
    </xf>
    <xf numFmtId="0" fontId="117" fillId="61" borderId="77" applyNumberFormat="0" applyFont="0" applyAlignment="0" applyProtection="0">
      <alignment vertical="center"/>
    </xf>
    <xf numFmtId="0" fontId="118" fillId="0" borderId="75" applyNumberFormat="0" applyFill="0" applyAlignment="0" applyProtection="0">
      <alignment vertical="center"/>
    </xf>
    <xf numFmtId="0" fontId="63" fillId="0" borderId="0">
      <alignment vertical="center"/>
    </xf>
    <xf numFmtId="0" fontId="128" fillId="64" borderId="63" applyNumberFormat="0" applyAlignment="0" applyProtection="0">
      <alignment vertical="center"/>
    </xf>
    <xf numFmtId="183" fontId="63" fillId="0" borderId="0" applyFont="0" applyFill="0" applyBorder="0" applyAlignment="0" applyProtection="0">
      <alignment vertical="center"/>
    </xf>
    <xf numFmtId="0" fontId="131" fillId="66" borderId="63" applyNumberFormat="0" applyAlignment="0" applyProtection="0">
      <alignment vertical="center"/>
    </xf>
    <xf numFmtId="0" fontId="132" fillId="64" borderId="73" applyNumberFormat="0" applyAlignment="0" applyProtection="0">
      <alignment vertical="center"/>
    </xf>
    <xf numFmtId="43" fontId="63" fillId="0" borderId="0" applyFont="0" applyFill="0" applyBorder="0" applyAlignment="0" applyProtection="0">
      <alignment vertical="center"/>
    </xf>
    <xf numFmtId="0" fontId="63" fillId="0" borderId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2" fillId="34" borderId="60" applyNumberFormat="0" applyFont="0" applyAlignment="0" applyProtection="0"/>
    <xf numFmtId="0" fontId="63" fillId="0" borderId="62" quotePrefix="1">
      <alignment horizontal="justify" vertical="justify" textRotation="127" wrapText="1" justifyLastLine="1"/>
      <protection hidden="1"/>
    </xf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2" borderId="0" applyNumberFormat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2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62" borderId="0" applyNumberFormat="0" applyBorder="0" applyAlignment="0" applyProtection="0"/>
    <xf numFmtId="0" fontId="12" fillId="0" borderId="0"/>
    <xf numFmtId="0" fontId="12" fillId="62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64" borderId="0" applyNumberFormat="0" applyBorder="0" applyAlignment="0" applyProtection="0"/>
    <xf numFmtId="0" fontId="63" fillId="0" borderId="0">
      <alignment vertical="center"/>
    </xf>
    <xf numFmtId="0" fontId="12" fillId="64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56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67" borderId="0" applyNumberFormat="0" applyBorder="0" applyAlignment="0" applyProtection="0"/>
    <xf numFmtId="0" fontId="63" fillId="0" borderId="0" applyNumberFormat="0" applyFill="0" applyBorder="0" applyAlignment="0" applyProtection="0"/>
    <xf numFmtId="0" fontId="12" fillId="6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>
      <alignment vertical="center"/>
    </xf>
    <xf numFmtId="0" fontId="63" fillId="0" borderId="0"/>
    <xf numFmtId="0" fontId="12" fillId="49" borderId="0" applyNumberFormat="0" applyBorder="0" applyAlignment="0" applyProtection="0">
      <alignment vertical="center"/>
    </xf>
    <xf numFmtId="0" fontId="12" fillId="67" borderId="0" applyNumberFormat="0" applyBorder="0" applyAlignment="0" applyProtection="0"/>
    <xf numFmtId="0" fontId="12" fillId="67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/>
    <xf numFmtId="0" fontId="12" fillId="53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7" borderId="0" applyNumberFormat="0" applyBorder="0" applyAlignment="0" applyProtection="0"/>
    <xf numFmtId="0" fontId="12" fillId="0" borderId="0"/>
    <xf numFmtId="0" fontId="12" fillId="57" borderId="0" applyNumberFormat="0" applyBorder="0" applyAlignment="0" applyProtection="0"/>
    <xf numFmtId="0" fontId="12" fillId="57" borderId="0" applyNumberFormat="0" applyBorder="0" applyAlignment="0" applyProtection="0">
      <alignment vertical="center"/>
    </xf>
    <xf numFmtId="0" fontId="12" fillId="57" borderId="0" applyNumberFormat="0" applyBorder="0" applyAlignment="0" applyProtection="0">
      <alignment vertical="center"/>
    </xf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43" fontId="12" fillId="0" borderId="0" applyFont="0" applyFill="0" applyBorder="0" applyAlignment="0" applyProtection="0"/>
    <xf numFmtId="43" fontId="63" fillId="0" borderId="0" applyFont="0" applyFill="0" applyBorder="0" applyAlignment="0" applyProtection="0">
      <alignment vertical="center"/>
    </xf>
    <xf numFmtId="181" fontId="12" fillId="0" borderId="0" applyFont="0" applyFill="0" applyBorder="0" applyAlignment="0" applyProtection="0">
      <alignment vertical="center"/>
    </xf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181" fontId="63" fillId="0" borderId="0" applyFont="0" applyFill="0" applyBorder="0" applyAlignment="0" applyProtection="0">
      <alignment vertical="center"/>
    </xf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181" fontId="63" fillId="0" borderId="0" applyFont="0" applyFill="0" applyBorder="0" applyAlignment="0" applyProtection="0">
      <alignment vertical="center"/>
    </xf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181" fontId="12" fillId="0" borderId="0" applyFont="0" applyFill="0" applyBorder="0" applyAlignment="0" applyProtection="0">
      <alignment vertical="center"/>
    </xf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43" fontId="63" fillId="0" borderId="0" applyFont="0" applyFill="0" applyBorder="0" applyAlignment="0" applyProtection="0">
      <alignment vertical="center"/>
    </xf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43" fontId="12" fillId="0" borderId="0" applyFont="0" applyFill="0" applyBorder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84" fillId="63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100" fillId="66" borderId="63" applyNumberFormat="0" applyAlignment="0" applyProtection="0"/>
    <xf numFmtId="0" fontId="63" fillId="0" borderId="0">
      <alignment vertical="center"/>
    </xf>
    <xf numFmtId="0" fontId="12" fillId="0" borderId="0"/>
    <xf numFmtId="0" fontId="63" fillId="0" borderId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3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57" borderId="0" applyNumberFormat="0" applyBorder="0" applyAlignment="0" applyProtection="0">
      <alignment vertical="center"/>
    </xf>
    <xf numFmtId="0" fontId="63" fillId="0" borderId="62" quotePrefix="1">
      <alignment horizontal="justify" vertical="justify" textRotation="127" wrapText="1" justifyLastLine="1"/>
      <protection hidden="1"/>
    </xf>
    <xf numFmtId="0" fontId="12" fillId="57" borderId="0" applyNumberFormat="0" applyBorder="0" applyAlignment="0" applyProtection="0">
      <alignment vertical="center"/>
    </xf>
    <xf numFmtId="0" fontId="12" fillId="57" borderId="0" applyNumberFormat="0" applyBorder="0" applyAlignment="0" applyProtection="0"/>
    <xf numFmtId="0" fontId="12" fillId="57" borderId="0" applyNumberFormat="0" applyBorder="0" applyAlignment="0" applyProtection="0"/>
    <xf numFmtId="0" fontId="12" fillId="5" borderId="0" applyNumberFormat="0" applyBorder="0" applyAlignment="0" applyProtection="0"/>
    <xf numFmtId="0" fontId="12" fillId="34" borderId="60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2" fillId="34" borderId="60" applyNumberFormat="0" applyFont="0" applyAlignment="0" applyProtection="0"/>
    <xf numFmtId="0" fontId="12" fillId="34" borderId="60" applyNumberFormat="0" applyFont="0" applyAlignment="0" applyProtection="0">
      <alignment vertical="center"/>
    </xf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2" fillId="34" borderId="60" applyNumberFormat="0" applyFont="0" applyAlignment="0" applyProtection="0">
      <alignment vertical="center"/>
    </xf>
    <xf numFmtId="0" fontId="12" fillId="5" borderId="0" applyNumberFormat="0" applyBorder="0" applyAlignment="0" applyProtection="0"/>
    <xf numFmtId="0" fontId="12" fillId="53" borderId="0" applyNumberFormat="0" applyBorder="0" applyAlignment="0" applyProtection="0">
      <alignment vertical="center"/>
    </xf>
    <xf numFmtId="0" fontId="12" fillId="53" borderId="0" applyNumberFormat="0" applyBorder="0" applyAlignment="0" applyProtection="0">
      <alignment vertical="center"/>
    </xf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2" fillId="53" borderId="0" applyNumberFormat="0" applyBorder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2" fillId="53" borderId="0" applyNumberFormat="0" applyBorder="0" applyAlignment="0" applyProtection="0"/>
    <xf numFmtId="0" fontId="12" fillId="67" borderId="0" applyNumberFormat="0" applyBorder="0" applyAlignment="0" applyProtection="0"/>
    <xf numFmtId="0" fontId="12" fillId="67" borderId="0" applyNumberFormat="0" applyBorder="0" applyAlignment="0" applyProtection="0"/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62" borderId="0" applyNumberFormat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62" borderId="0" applyNumberFormat="0" applyBorder="0" applyAlignment="0" applyProtection="0"/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5" borderId="0" applyNumberFormat="0" applyBorder="0" applyAlignment="0" applyProtection="0"/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0" fontId="12" fillId="45" borderId="0" applyNumberFormat="0" applyBorder="0" applyAlignment="0" applyProtection="0"/>
    <xf numFmtId="0" fontId="12" fillId="4" borderId="0" applyNumberFormat="0" applyBorder="0" applyAlignment="0" applyProtection="0"/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2" fillId="4" borderId="0" applyNumberFormat="0" applyBorder="0" applyAlignment="0" applyProtection="0"/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7" borderId="0" applyNumberFormat="0" applyBorder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12" fillId="37" borderId="0" applyNumberFormat="0" applyBorder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12" fillId="67" borderId="0" applyNumberFormat="0" applyBorder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2" fillId="67" borderId="0" applyNumberFormat="0" applyBorder="0" applyAlignment="0" applyProtection="0"/>
    <xf numFmtId="0" fontId="12" fillId="56" borderId="0" applyNumberFormat="0" applyBorder="0" applyAlignment="0" applyProtection="0">
      <alignment vertical="center"/>
    </xf>
    <xf numFmtId="0" fontId="63" fillId="0" borderId="0"/>
    <xf numFmtId="0" fontId="12" fillId="0" borderId="0">
      <alignment vertical="center"/>
    </xf>
    <xf numFmtId="43" fontId="63" fillId="0" borderId="0" applyFont="0" applyFill="0" applyBorder="0" applyAlignment="0" applyProtection="0">
      <alignment vertical="center"/>
    </xf>
    <xf numFmtId="0" fontId="117" fillId="61" borderId="77" applyNumberFormat="0" applyFont="0" applyAlignment="0" applyProtection="0">
      <alignment vertical="center"/>
    </xf>
    <xf numFmtId="0" fontId="118" fillId="0" borderId="75" applyNumberFormat="0" applyFill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48" borderId="0" applyNumberFormat="0" applyBorder="0" applyAlignment="0" applyProtection="0"/>
    <xf numFmtId="0" fontId="12" fillId="62" borderId="0" applyNumberFormat="0" applyBorder="0" applyAlignment="0" applyProtection="0"/>
    <xf numFmtId="0" fontId="12" fillId="62" borderId="0" applyNumberFormat="0" applyBorder="0" applyAlignment="0" applyProtection="0"/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2" borderId="0" applyNumberFormat="0" applyBorder="0" applyAlignment="0" applyProtection="0"/>
    <xf numFmtId="0" fontId="63" fillId="0" borderId="0">
      <alignment vertical="center"/>
    </xf>
    <xf numFmtId="0" fontId="12" fillId="2" borderId="0" applyNumberFormat="0" applyBorder="0" applyAlignment="0" applyProtection="0"/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8" fillId="64" borderId="63" applyNumberFormat="0" applyAlignment="0" applyProtection="0">
      <alignment vertical="center"/>
    </xf>
    <xf numFmtId="0" fontId="12" fillId="64" borderId="0" applyNumberFormat="0" applyBorder="0" applyAlignment="0" applyProtection="0"/>
    <xf numFmtId="183" fontId="63" fillId="0" borderId="0" applyFont="0" applyFill="0" applyBorder="0" applyAlignment="0" applyProtection="0">
      <alignment vertical="center"/>
    </xf>
    <xf numFmtId="0" fontId="12" fillId="52" borderId="0" applyNumberFormat="0" applyBorder="0" applyAlignment="0" applyProtection="0"/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8" borderId="0" applyNumberFormat="0" applyBorder="0" applyAlignment="0" applyProtection="0"/>
    <xf numFmtId="0" fontId="131" fillId="66" borderId="63" applyNumberFormat="0" applyAlignment="0" applyProtection="0">
      <alignment vertical="center"/>
    </xf>
    <xf numFmtId="0" fontId="132" fillId="64" borderId="73" applyNumberFormat="0" applyAlignment="0" applyProtection="0">
      <alignment vertical="center"/>
    </xf>
    <xf numFmtId="0" fontId="12" fillId="52" borderId="0" applyNumberFormat="0" applyBorder="0" applyAlignment="0" applyProtection="0">
      <alignment vertical="center"/>
    </xf>
    <xf numFmtId="0" fontId="12" fillId="56" borderId="0" applyNumberFormat="0" applyBorder="0" applyAlignment="0" applyProtection="0"/>
    <xf numFmtId="0" fontId="12" fillId="52" borderId="0" applyNumberFormat="0" applyBorder="0" applyAlignment="0" applyProtection="0"/>
    <xf numFmtId="0" fontId="12" fillId="0" borderId="0">
      <alignment vertical="center"/>
    </xf>
    <xf numFmtId="0" fontId="12" fillId="56" borderId="0" applyNumberFormat="0" applyBorder="0" applyAlignment="0" applyProtection="0">
      <alignment vertical="center"/>
    </xf>
    <xf numFmtId="0" fontId="63" fillId="0" borderId="0">
      <alignment vertical="center"/>
    </xf>
    <xf numFmtId="0" fontId="12" fillId="56" borderId="0" applyNumberFormat="0" applyBorder="0" applyAlignment="0" applyProtection="0"/>
    <xf numFmtId="0" fontId="12" fillId="64" borderId="0" applyNumberFormat="0" applyBorder="0" applyAlignment="0" applyProtection="0"/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2" fillId="34" borderId="60" applyNumberFormat="0" applyFont="0" applyAlignment="0" applyProtection="0"/>
    <xf numFmtId="0" fontId="12" fillId="34" borderId="60" applyNumberFormat="0" applyFont="0" applyAlignment="0" applyProtection="0">
      <alignment vertical="center"/>
    </xf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9" fillId="61" borderId="63" applyNumberFormat="0" applyFont="0" applyAlignment="0" applyProtection="0"/>
    <xf numFmtId="0" fontId="12" fillId="34" borderId="60" applyNumberFormat="0" applyFont="0" applyAlignment="0" applyProtection="0">
      <alignment vertical="center"/>
    </xf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0" fontId="109" fillId="63" borderId="7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15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36" fillId="8" borderId="73" applyNumberFormat="0" applyProtection="0">
      <alignment vertical="center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4" fontId="15" fillId="8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6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7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8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79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23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0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1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2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5" fillId="83" borderId="73" applyNumberFormat="0" applyProtection="0">
      <alignment horizontal="right" vertical="center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4" fontId="14" fillId="84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5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4" fontId="15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6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87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24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15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36" fillId="20" borderId="73" applyNumberFormat="0" applyProtection="0">
      <alignment vertical="center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20" borderId="73" applyNumberFormat="0" applyProtection="0">
      <alignment horizontal="left" vertical="center" indent="1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15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4" fontId="36" fillId="85" borderId="73" applyNumberFormat="0" applyProtection="0">
      <alignment horizontal="right" vertical="center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5" fillId="9" borderId="1" applyNumberFormat="0" applyProtection="0">
      <alignment horizontal="left" vertical="top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0" fontId="19" fillId="75" borderId="73" applyNumberFormat="0" applyProtection="0">
      <alignment horizontal="left" vertical="center" indent="1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4" fontId="38" fillId="85" borderId="73" applyNumberFormat="0" applyProtection="0">
      <alignment horizontal="right" vertical="center"/>
    </xf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57" fillId="0" borderId="75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14" fillId="0" borderId="76" applyNumberFormat="0" applyFill="0" applyAlignment="0" applyProtection="0"/>
    <xf numFmtId="0" fontId="12" fillId="0" borderId="0">
      <alignment vertical="center"/>
    </xf>
    <xf numFmtId="0" fontId="117" fillId="61" borderId="77" applyNumberFormat="0" applyFont="0" applyAlignment="0" applyProtection="0">
      <alignment vertical="center"/>
    </xf>
    <xf numFmtId="0" fontId="118" fillId="0" borderId="75" applyNumberFormat="0" applyFill="0" applyAlignment="0" applyProtection="0">
      <alignment vertical="center"/>
    </xf>
    <xf numFmtId="0" fontId="63" fillId="0" borderId="0">
      <alignment vertical="center"/>
    </xf>
    <xf numFmtId="0" fontId="128" fillId="64" borderId="63" applyNumberFormat="0" applyAlignment="0" applyProtection="0">
      <alignment vertical="center"/>
    </xf>
    <xf numFmtId="183" fontId="63" fillId="0" borderId="0" applyFont="0" applyFill="0" applyBorder="0" applyAlignment="0" applyProtection="0">
      <alignment vertical="center"/>
    </xf>
    <xf numFmtId="0" fontId="131" fillId="66" borderId="63" applyNumberFormat="0" applyAlignment="0" applyProtection="0">
      <alignment vertical="center"/>
    </xf>
    <xf numFmtId="0" fontId="132" fillId="64" borderId="73" applyNumberFormat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41" fillId="0" borderId="0"/>
    <xf numFmtId="0" fontId="11" fillId="0" borderId="0">
      <alignment vertical="center"/>
    </xf>
    <xf numFmtId="0" fontId="1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46" fillId="0" borderId="0">
      <alignment vertical="center"/>
    </xf>
    <xf numFmtId="41" fontId="146" fillId="0" borderId="0">
      <alignment vertical="center"/>
    </xf>
    <xf numFmtId="0" fontId="6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3" fillId="0" borderId="0"/>
    <xf numFmtId="181" fontId="3" fillId="0" borderId="0" applyFont="0" applyFill="0" applyBorder="0" applyAlignment="0" applyProtection="0"/>
    <xf numFmtId="0" fontId="41" fillId="0" borderId="0"/>
    <xf numFmtId="41" fontId="41" fillId="0" borderId="0" applyFont="0" applyFill="0" applyBorder="0" applyAlignment="0" applyProtection="0"/>
    <xf numFmtId="0" fontId="2" fillId="0" borderId="0"/>
    <xf numFmtId="18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0" fontId="136" fillId="0" borderId="0" applyNumberFormat="0" applyFill="0" applyBorder="0" applyAlignment="0" applyProtection="0"/>
    <xf numFmtId="0" fontId="165" fillId="0" borderId="0" applyBorder="0"/>
  </cellStyleXfs>
  <cellXfs count="6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>
      <alignment vertical="center"/>
    </xf>
    <xf numFmtId="0" fontId="22" fillId="0" borderId="0" xfId="0" applyFont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0" fontId="32" fillId="0" borderId="0" xfId="0" applyFont="1">
      <alignment vertical="center"/>
    </xf>
    <xf numFmtId="41" fontId="25" fillId="0" borderId="0" xfId="41" applyFont="1" applyAlignment="1">
      <alignment vertical="center" wrapText="1"/>
    </xf>
    <xf numFmtId="41" fontId="25" fillId="0" borderId="0" xfId="41" applyFont="1" applyBorder="1" applyAlignment="1">
      <alignment vertical="center" wrapText="1"/>
    </xf>
    <xf numFmtId="41" fontId="20" fillId="0" borderId="0" xfId="41" applyFont="1">
      <alignment vertical="center"/>
    </xf>
    <xf numFmtId="41" fontId="0" fillId="0" borderId="0" xfId="41" applyFont="1">
      <alignment vertical="center"/>
    </xf>
    <xf numFmtId="41" fontId="0" fillId="0" borderId="6" xfId="41" applyFont="1" applyBorder="1">
      <alignment vertical="center"/>
    </xf>
    <xf numFmtId="41" fontId="20" fillId="0" borderId="0" xfId="41" applyFont="1" applyAlignment="1">
      <alignment horizontal="center" vertical="center"/>
    </xf>
    <xf numFmtId="41" fontId="0" fillId="0" borderId="0" xfId="41" applyFont="1" applyAlignment="1">
      <alignment horizontal="center" vertical="center"/>
    </xf>
    <xf numFmtId="41" fontId="0" fillId="0" borderId="6" xfId="41" applyFont="1" applyBorder="1" applyAlignment="1">
      <alignment horizontal="center" vertical="center"/>
    </xf>
    <xf numFmtId="41" fontId="25" fillId="0" borderId="0" xfId="41" applyFont="1" applyAlignment="1">
      <alignment horizontal="center" vertical="center" wrapText="1"/>
    </xf>
    <xf numFmtId="41" fontId="25" fillId="0" borderId="0" xfId="41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137" fillId="0" borderId="0" xfId="0" applyFont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27" fillId="24" borderId="10" xfId="0" applyFont="1" applyFill="1" applyBorder="1" applyAlignment="1">
      <alignment horizontal="center" vertical="center"/>
    </xf>
    <xf numFmtId="0" fontId="141" fillId="25" borderId="7" xfId="0" applyFont="1" applyFill="1" applyBorder="1" applyAlignment="1">
      <alignment horizontal="center" vertical="center"/>
    </xf>
    <xf numFmtId="41" fontId="27" fillId="19" borderId="7" xfId="41" applyFont="1" applyFill="1" applyBorder="1" applyAlignment="1">
      <alignment horizontal="center" vertical="center"/>
    </xf>
    <xf numFmtId="41" fontId="27" fillId="24" borderId="7" xfId="41" applyFont="1" applyFill="1" applyBorder="1" applyAlignment="1">
      <alignment horizontal="center" vertical="center"/>
    </xf>
    <xf numFmtId="0" fontId="27" fillId="24" borderId="7" xfId="0" applyFont="1" applyFill="1" applyBorder="1" applyAlignment="1">
      <alignment horizontal="center" vertical="center"/>
    </xf>
    <xf numFmtId="0" fontId="33" fillId="0" borderId="0" xfId="0" applyFont="1">
      <alignment vertical="center"/>
    </xf>
    <xf numFmtId="41" fontId="33" fillId="0" borderId="0" xfId="41" applyFont="1">
      <alignment vertical="center"/>
    </xf>
    <xf numFmtId="0" fontId="138" fillId="88" borderId="29" xfId="0" applyFont="1" applyFill="1" applyBorder="1">
      <alignment vertical="center"/>
    </xf>
    <xf numFmtId="0" fontId="138" fillId="88" borderId="12" xfId="0" applyFont="1" applyFill="1" applyBorder="1">
      <alignment vertical="center"/>
    </xf>
    <xf numFmtId="0" fontId="138" fillId="0" borderId="78" xfId="0" applyFont="1" applyBorder="1" applyAlignment="1">
      <alignment horizontal="center" vertical="center"/>
    </xf>
    <xf numFmtId="0" fontId="138" fillId="0" borderId="78" xfId="41" applyNumberFormat="1" applyFont="1" applyFill="1" applyBorder="1" applyAlignment="1">
      <alignment horizontal="center" vertical="center"/>
    </xf>
    <xf numFmtId="0" fontId="138" fillId="88" borderId="79" xfId="0" applyFont="1" applyFill="1" applyBorder="1">
      <alignment vertical="center"/>
    </xf>
    <xf numFmtId="0" fontId="138" fillId="88" borderId="80" xfId="0" applyFont="1" applyFill="1" applyBorder="1">
      <alignment vertical="center"/>
    </xf>
    <xf numFmtId="41" fontId="138" fillId="19" borderId="7" xfId="41" applyFont="1" applyFill="1" applyBorder="1" applyAlignment="1">
      <alignment horizontal="center" vertical="center"/>
    </xf>
    <xf numFmtId="0" fontId="138" fillId="88" borderId="90" xfId="0" applyFont="1" applyFill="1" applyBorder="1" applyAlignment="1">
      <alignment horizontal="left" vertical="center"/>
    </xf>
    <xf numFmtId="0" fontId="138" fillId="0" borderId="78" xfId="43" applyFont="1" applyBorder="1" applyAlignment="1">
      <alignment horizontal="center" vertical="center"/>
    </xf>
    <xf numFmtId="0" fontId="138" fillId="0" borderId="78" xfId="44" applyFont="1" applyBorder="1" applyAlignment="1">
      <alignment horizontal="center" vertical="center"/>
    </xf>
    <xf numFmtId="0" fontId="26" fillId="0" borderId="0" xfId="0" applyFont="1">
      <alignment vertical="center"/>
    </xf>
    <xf numFmtId="0" fontId="30" fillId="0" borderId="0" xfId="0" applyFont="1">
      <alignment vertical="center"/>
    </xf>
    <xf numFmtId="41" fontId="137" fillId="0" borderId="0" xfId="41" applyFont="1">
      <alignment vertical="center"/>
    </xf>
    <xf numFmtId="0" fontId="137" fillId="0" borderId="0" xfId="0" applyFont="1">
      <alignment vertical="center"/>
    </xf>
    <xf numFmtId="41" fontId="33" fillId="0" borderId="0" xfId="41" applyFont="1" applyFill="1" applyAlignment="1">
      <alignment horizontal="left" vertical="center"/>
    </xf>
    <xf numFmtId="41" fontId="137" fillId="0" borderId="6" xfId="41" applyFont="1" applyBorder="1">
      <alignment vertical="center"/>
    </xf>
    <xf numFmtId="0" fontId="144" fillId="22" borderId="14" xfId="0" applyFont="1" applyFill="1" applyBorder="1">
      <alignment vertical="center"/>
    </xf>
    <xf numFmtId="0" fontId="144" fillId="22" borderId="4" xfId="0" applyFont="1" applyFill="1" applyBorder="1" applyAlignment="1">
      <alignment horizontal="center" vertical="center"/>
    </xf>
    <xf numFmtId="177" fontId="144" fillId="8" borderId="17" xfId="0" applyNumberFormat="1" applyFont="1" applyFill="1" applyBorder="1" applyAlignment="1" applyProtection="1">
      <alignment horizontal="center" vertical="center"/>
      <protection locked="0"/>
    </xf>
    <xf numFmtId="178" fontId="144" fillId="8" borderId="18" xfId="0" applyNumberFormat="1" applyFont="1" applyFill="1" applyBorder="1" applyAlignment="1" applyProtection="1">
      <alignment horizontal="center" vertical="center"/>
      <protection locked="0"/>
    </xf>
    <xf numFmtId="0" fontId="144" fillId="22" borderId="13" xfId="0" applyFont="1" applyFill="1" applyBorder="1">
      <alignment vertical="center"/>
    </xf>
    <xf numFmtId="0" fontId="144" fillId="22" borderId="19" xfId="0" applyFont="1" applyFill="1" applyBorder="1" applyAlignment="1">
      <alignment horizontal="center" vertical="center"/>
    </xf>
    <xf numFmtId="0" fontId="144" fillId="22" borderId="7" xfId="0" applyFont="1" applyFill="1" applyBorder="1" applyAlignment="1">
      <alignment horizontal="center" vertical="center"/>
    </xf>
    <xf numFmtId="0" fontId="144" fillId="22" borderId="20" xfId="0" applyFont="1" applyFill="1" applyBorder="1" applyAlignment="1">
      <alignment horizontal="center" vertical="center"/>
    </xf>
    <xf numFmtId="0" fontId="28" fillId="0" borderId="0" xfId="0" applyFont="1" applyProtection="1">
      <alignment vertical="center"/>
      <protection locked="0"/>
    </xf>
    <xf numFmtId="41" fontId="145" fillId="0" borderId="0" xfId="41" applyFont="1" applyFill="1">
      <alignment vertical="center"/>
    </xf>
    <xf numFmtId="0" fontId="137" fillId="0" borderId="6" xfId="0" applyFont="1" applyBorder="1" applyAlignment="1">
      <alignment horizontal="center" vertical="center"/>
    </xf>
    <xf numFmtId="41" fontId="33" fillId="0" borderId="0" xfId="0" applyNumberFormat="1" applyFon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27" fillId="0" borderId="0" xfId="0" applyFont="1">
      <alignment vertical="center"/>
    </xf>
    <xf numFmtId="0" fontId="148" fillId="0" borderId="78" xfId="0" applyFont="1" applyBorder="1">
      <alignment vertical="center"/>
    </xf>
    <xf numFmtId="41" fontId="137" fillId="0" borderId="0" xfId="41" applyFont="1" applyAlignment="1">
      <alignment horizontal="center" vertical="center"/>
    </xf>
    <xf numFmtId="41" fontId="138" fillId="19" borderId="78" xfId="41" applyFont="1" applyFill="1" applyBorder="1" applyAlignment="1">
      <alignment horizontal="center" vertical="center"/>
    </xf>
    <xf numFmtId="0" fontId="148" fillId="92" borderId="78" xfId="5382" applyFont="1" applyFill="1" applyBorder="1" applyAlignment="1">
      <alignment horizontal="center" vertical="center"/>
    </xf>
    <xf numFmtId="0" fontId="148" fillId="92" borderId="78" xfId="5382" applyFont="1" applyFill="1" applyBorder="1" applyAlignment="1">
      <alignment vertical="center"/>
    </xf>
    <xf numFmtId="0" fontId="148" fillId="90" borderId="78" xfId="5382" applyFont="1" applyFill="1" applyBorder="1" applyAlignment="1">
      <alignment horizontal="center" vertical="center"/>
    </xf>
    <xf numFmtId="0" fontId="148" fillId="90" borderId="78" xfId="5382" applyFont="1" applyFill="1" applyBorder="1" applyAlignment="1">
      <alignment vertical="center"/>
    </xf>
    <xf numFmtId="0" fontId="148" fillId="93" borderId="78" xfId="5382" applyFont="1" applyFill="1" applyBorder="1" applyAlignment="1">
      <alignment horizontal="center" vertical="center"/>
    </xf>
    <xf numFmtId="0" fontId="148" fillId="93" borderId="78" xfId="5382" applyFont="1" applyFill="1" applyBorder="1" applyAlignment="1">
      <alignment vertical="center"/>
    </xf>
    <xf numFmtId="0" fontId="139" fillId="93" borderId="78" xfId="5382" applyFont="1" applyFill="1" applyBorder="1" applyAlignment="1">
      <alignment horizontal="center" vertical="center"/>
    </xf>
    <xf numFmtId="0" fontId="139" fillId="93" borderId="78" xfId="5382" applyFont="1" applyFill="1" applyBorder="1" applyAlignment="1">
      <alignment vertical="center"/>
    </xf>
    <xf numFmtId="0" fontId="139" fillId="90" borderId="78" xfId="5382" applyFont="1" applyFill="1" applyBorder="1" applyAlignment="1">
      <alignment horizontal="center" vertical="center"/>
    </xf>
    <xf numFmtId="0" fontId="139" fillId="90" borderId="78" xfId="5382" applyFont="1" applyFill="1" applyBorder="1" applyAlignment="1">
      <alignment vertical="center"/>
    </xf>
    <xf numFmtId="0" fontId="148" fillId="0" borderId="0" xfId="5384" applyFont="1" applyAlignment="1">
      <alignment vertical="center"/>
    </xf>
    <xf numFmtId="0" fontId="147" fillId="0" borderId="0" xfId="5384" applyFont="1" applyAlignment="1">
      <alignment vertical="center" wrapText="1"/>
    </xf>
    <xf numFmtId="0" fontId="33" fillId="27" borderId="99" xfId="0" applyFont="1" applyFill="1" applyBorder="1" applyAlignment="1" applyProtection="1">
      <alignment horizontal="center" vertical="center"/>
      <protection locked="0"/>
    </xf>
    <xf numFmtId="0" fontId="33" fillId="27" borderId="100" xfId="0" applyFont="1" applyFill="1" applyBorder="1" applyAlignment="1" applyProtection="1">
      <alignment horizontal="center" vertical="center"/>
      <protection locked="0"/>
    </xf>
    <xf numFmtId="185" fontId="33" fillId="0" borderId="0" xfId="0" applyNumberFormat="1" applyFont="1" applyAlignment="1">
      <alignment horizontal="center" vertical="center"/>
    </xf>
    <xf numFmtId="185" fontId="33" fillId="0" borderId="106" xfId="0" applyNumberFormat="1" applyFont="1" applyBorder="1" applyAlignment="1">
      <alignment horizontal="center" vertical="center"/>
    </xf>
    <xf numFmtId="185" fontId="33" fillId="0" borderId="106" xfId="0" applyNumberFormat="1" applyFont="1" applyBorder="1">
      <alignment vertical="center"/>
    </xf>
    <xf numFmtId="0" fontId="33" fillId="0" borderId="107" xfId="0" applyFont="1" applyBorder="1">
      <alignment vertical="center"/>
    </xf>
    <xf numFmtId="0" fontId="137" fillId="0" borderId="6" xfId="0" applyFont="1" applyBorder="1">
      <alignment vertical="center"/>
    </xf>
    <xf numFmtId="0" fontId="27" fillId="27" borderId="22" xfId="0" applyFont="1" applyFill="1" applyBorder="1" applyProtection="1">
      <alignment vertical="center"/>
      <protection locked="0"/>
    </xf>
    <xf numFmtId="0" fontId="27" fillId="27" borderId="23" xfId="0" applyFont="1" applyFill="1" applyBorder="1" applyAlignment="1" applyProtection="1">
      <alignment horizontal="center" vertical="center"/>
      <protection locked="0"/>
    </xf>
    <xf numFmtId="41" fontId="27" fillId="0" borderId="22" xfId="41" applyFont="1" applyFill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41" fontId="27" fillId="27" borderId="22" xfId="1" applyFont="1" applyFill="1" applyBorder="1" applyAlignment="1" applyProtection="1">
      <alignment horizontal="center" vertical="center"/>
      <protection locked="0"/>
    </xf>
    <xf numFmtId="180" fontId="27" fillId="0" borderId="22" xfId="0" applyNumberFormat="1" applyFont="1" applyBorder="1">
      <alignment vertical="center"/>
    </xf>
    <xf numFmtId="41" fontId="27" fillId="0" borderId="22" xfId="1" applyFont="1" applyBorder="1" applyAlignment="1">
      <alignment vertical="center"/>
    </xf>
    <xf numFmtId="41" fontId="27" fillId="0" borderId="22" xfId="1" applyFont="1" applyBorder="1">
      <alignment vertical="center"/>
    </xf>
    <xf numFmtId="0" fontId="27" fillId="27" borderId="81" xfId="0" applyFont="1" applyFill="1" applyBorder="1" applyProtection="1">
      <alignment vertical="center"/>
      <protection locked="0"/>
    </xf>
    <xf numFmtId="41" fontId="27" fillId="0" borderId="81" xfId="41" applyFont="1" applyFill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41" fontId="27" fillId="27" borderId="81" xfId="1" applyFont="1" applyFill="1" applyBorder="1" applyAlignment="1" applyProtection="1">
      <alignment horizontal="center" vertical="center"/>
      <protection locked="0"/>
    </xf>
    <xf numFmtId="180" fontId="27" fillId="0" borderId="81" xfId="0" applyNumberFormat="1" applyFont="1" applyBorder="1">
      <alignment vertical="center"/>
    </xf>
    <xf numFmtId="41" fontId="27" fillId="0" borderId="81" xfId="1" applyFont="1" applyBorder="1" applyAlignment="1">
      <alignment vertical="center"/>
    </xf>
    <xf numFmtId="41" fontId="27" fillId="0" borderId="81" xfId="1" applyFont="1" applyBorder="1">
      <alignment vertical="center"/>
    </xf>
    <xf numFmtId="0" fontId="25" fillId="0" borderId="0" xfId="0" applyFont="1" applyAlignment="1">
      <alignment horizontal="center" vertical="center" wrapText="1"/>
    </xf>
    <xf numFmtId="0" fontId="155" fillId="22" borderId="103" xfId="0" applyFont="1" applyFill="1" applyBorder="1" applyAlignment="1">
      <alignment horizontal="center" vertical="center" wrapText="1"/>
    </xf>
    <xf numFmtId="0" fontId="155" fillId="22" borderId="104" xfId="0" applyFont="1" applyFill="1" applyBorder="1" applyAlignment="1">
      <alignment horizontal="center" vertical="center" wrapText="1"/>
    </xf>
    <xf numFmtId="0" fontId="155" fillId="0" borderId="0" xfId="0" applyFont="1">
      <alignment vertical="center"/>
    </xf>
    <xf numFmtId="0" fontId="156" fillId="19" borderId="0" xfId="0" applyFont="1" applyFill="1" applyProtection="1">
      <alignment vertical="center"/>
      <protection locked="0"/>
    </xf>
    <xf numFmtId="0" fontId="155" fillId="19" borderId="0" xfId="0" applyFont="1" applyFill="1" applyProtection="1">
      <alignment vertical="center"/>
      <protection locked="0"/>
    </xf>
    <xf numFmtId="0" fontId="155" fillId="0" borderId="0" xfId="0" applyFont="1" applyAlignment="1">
      <alignment horizontal="left" indent="1"/>
    </xf>
    <xf numFmtId="0" fontId="27" fillId="27" borderId="82" xfId="0" applyFont="1" applyFill="1" applyBorder="1" applyAlignment="1" applyProtection="1">
      <alignment horizontal="center" vertical="center"/>
      <protection locked="0"/>
    </xf>
    <xf numFmtId="0" fontId="155" fillId="0" borderId="0" xfId="0" applyFont="1" applyAlignment="1">
      <alignment horizontal="center" vertical="center"/>
    </xf>
    <xf numFmtId="41" fontId="155" fillId="0" borderId="16" xfId="41" applyFont="1" applyBorder="1" applyAlignment="1">
      <alignment horizontal="center" vertical="center"/>
    </xf>
    <xf numFmtId="41" fontId="155" fillId="0" borderId="27" xfId="1" applyFont="1" applyBorder="1" applyAlignment="1">
      <alignment horizontal="center" vertical="center"/>
    </xf>
    <xf numFmtId="0" fontId="155" fillId="0" borderId="27" xfId="0" applyFont="1" applyBorder="1" applyAlignment="1">
      <alignment horizontal="center" vertical="center"/>
    </xf>
    <xf numFmtId="41" fontId="155" fillId="0" borderId="28" xfId="41" applyFont="1" applyBorder="1" applyAlignment="1">
      <alignment horizontal="center" vertical="center"/>
    </xf>
    <xf numFmtId="179" fontId="155" fillId="0" borderId="5" xfId="1" applyNumberFormat="1" applyFont="1" applyBorder="1" applyAlignment="1">
      <alignment horizontal="center" vertical="center"/>
    </xf>
    <xf numFmtId="0" fontId="155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55" fillId="0" borderId="0" xfId="0" applyFont="1" applyAlignment="1">
      <alignment vertical="center" wrapText="1"/>
    </xf>
    <xf numFmtId="41" fontId="155" fillId="0" borderId="0" xfId="41" applyFont="1" applyBorder="1" applyAlignment="1">
      <alignment vertical="center" wrapText="1"/>
    </xf>
    <xf numFmtId="41" fontId="155" fillId="0" borderId="0" xfId="41" applyFont="1" applyBorder="1" applyAlignment="1">
      <alignment horizontal="center" vertical="center" wrapText="1"/>
    </xf>
    <xf numFmtId="0" fontId="22" fillId="0" borderId="0" xfId="0" quotePrefix="1" applyFont="1" applyAlignment="1">
      <alignment horizontal="center" vertical="center"/>
    </xf>
    <xf numFmtId="41" fontId="22" fillId="0" borderId="0" xfId="41" applyFont="1">
      <alignment vertical="center"/>
    </xf>
    <xf numFmtId="41" fontId="22" fillId="0" borderId="0" xfId="41" applyFont="1" applyAlignment="1">
      <alignment horizontal="center" vertical="center"/>
    </xf>
    <xf numFmtId="0" fontId="155" fillId="22" borderId="14" xfId="0" applyFont="1" applyFill="1" applyBorder="1" applyAlignment="1">
      <alignment horizontal="center" vertical="center"/>
    </xf>
    <xf numFmtId="41" fontId="155" fillId="0" borderId="0" xfId="41" applyFont="1" applyAlignment="1">
      <alignment horizontal="center" vertical="center"/>
    </xf>
    <xf numFmtId="0" fontId="155" fillId="22" borderId="3" xfId="0" applyFont="1" applyFill="1" applyBorder="1" applyAlignment="1">
      <alignment horizontal="center" vertical="center"/>
    </xf>
    <xf numFmtId="0" fontId="155" fillId="22" borderId="4" xfId="0" applyFont="1" applyFill="1" applyBorder="1" applyAlignment="1">
      <alignment horizontal="center" vertical="center"/>
    </xf>
    <xf numFmtId="177" fontId="155" fillId="8" borderId="17" xfId="0" applyNumberFormat="1" applyFont="1" applyFill="1" applyBorder="1" applyAlignment="1" applyProtection="1">
      <alignment horizontal="center" vertical="center"/>
      <protection locked="0"/>
    </xf>
    <xf numFmtId="178" fontId="155" fillId="8" borderId="18" xfId="0" applyNumberFormat="1" applyFont="1" applyFill="1" applyBorder="1" applyAlignment="1" applyProtection="1">
      <alignment horizontal="center" vertical="center"/>
      <protection locked="0"/>
    </xf>
    <xf numFmtId="0" fontId="155" fillId="22" borderId="13" xfId="0" applyFont="1" applyFill="1" applyBorder="1" applyAlignment="1">
      <alignment horizontal="center" vertical="center"/>
    </xf>
    <xf numFmtId="0" fontId="155" fillId="22" borderId="19" xfId="0" applyFont="1" applyFill="1" applyBorder="1" applyAlignment="1">
      <alignment horizontal="center" vertical="center"/>
    </xf>
    <xf numFmtId="0" fontId="155" fillId="22" borderId="7" xfId="0" applyFont="1" applyFill="1" applyBorder="1" applyAlignment="1">
      <alignment horizontal="center" vertical="center"/>
    </xf>
    <xf numFmtId="0" fontId="155" fillId="22" borderId="20" xfId="0" applyFont="1" applyFill="1" applyBorder="1" applyAlignment="1">
      <alignment horizontal="center" vertical="center"/>
    </xf>
    <xf numFmtId="0" fontId="155" fillId="8" borderId="21" xfId="0" applyFont="1" applyFill="1" applyBorder="1" applyProtection="1">
      <alignment vertical="center"/>
      <protection locked="0"/>
    </xf>
    <xf numFmtId="0" fontId="155" fillId="0" borderId="0" xfId="0" applyFont="1" applyProtection="1">
      <alignment vertical="center"/>
      <protection locked="0"/>
    </xf>
    <xf numFmtId="0" fontId="155" fillId="0" borderId="0" xfId="0" applyFont="1" applyAlignment="1">
      <alignment horizontal="left" vertical="center"/>
    </xf>
    <xf numFmtId="41" fontId="155" fillId="0" borderId="0" xfId="41" applyFont="1">
      <alignment vertical="center"/>
    </xf>
    <xf numFmtId="0" fontId="141" fillId="25" borderId="10" xfId="0" applyFont="1" applyFill="1" applyBorder="1" applyAlignment="1">
      <alignment horizontal="center" vertical="center"/>
    </xf>
    <xf numFmtId="0" fontId="148" fillId="0" borderId="0" xfId="0" applyFont="1">
      <alignment vertical="center"/>
    </xf>
    <xf numFmtId="0" fontId="148" fillId="0" borderId="0" xfId="0" applyFont="1" applyAlignment="1">
      <alignment horizontal="center" vertical="center"/>
    </xf>
    <xf numFmtId="0" fontId="149" fillId="0" borderId="0" xfId="0" applyFont="1">
      <alignment vertical="center"/>
    </xf>
    <xf numFmtId="0" fontId="62" fillId="0" borderId="0" xfId="0" applyFont="1">
      <alignment vertical="center"/>
    </xf>
    <xf numFmtId="3" fontId="152" fillId="92" borderId="78" xfId="0" applyNumberFormat="1" applyFont="1" applyFill="1" applyBorder="1" applyAlignment="1">
      <alignment horizontal="center" vertical="center"/>
    </xf>
    <xf numFmtId="0" fontId="148" fillId="92" borderId="78" xfId="0" applyFont="1" applyFill="1" applyBorder="1" applyAlignment="1">
      <alignment horizontal="center" vertical="center"/>
    </xf>
    <xf numFmtId="3" fontId="152" fillId="90" borderId="78" xfId="0" applyNumberFormat="1" applyFont="1" applyFill="1" applyBorder="1" applyAlignment="1">
      <alignment horizontal="center" vertical="center"/>
    </xf>
    <xf numFmtId="0" fontId="148" fillId="90" borderId="78" xfId="0" applyFont="1" applyFill="1" applyBorder="1" applyAlignment="1">
      <alignment horizontal="center" vertical="center"/>
    </xf>
    <xf numFmtId="3" fontId="152" fillId="93" borderId="78" xfId="0" applyNumberFormat="1" applyFont="1" applyFill="1" applyBorder="1" applyAlignment="1">
      <alignment horizontal="center" vertical="center"/>
    </xf>
    <xf numFmtId="0" fontId="148" fillId="93" borderId="78" xfId="0" applyFont="1" applyFill="1" applyBorder="1" applyAlignment="1">
      <alignment horizontal="center" vertical="center"/>
    </xf>
    <xf numFmtId="3" fontId="154" fillId="93" borderId="78" xfId="0" applyNumberFormat="1" applyFont="1" applyFill="1" applyBorder="1" applyAlignment="1">
      <alignment horizontal="center" vertical="center"/>
    </xf>
    <xf numFmtId="0" fontId="148" fillId="92" borderId="78" xfId="0" applyFont="1" applyFill="1" applyBorder="1">
      <alignment vertical="center"/>
    </xf>
    <xf numFmtId="0" fontId="148" fillId="90" borderId="78" xfId="0" applyFont="1" applyFill="1" applyBorder="1">
      <alignment vertical="center"/>
    </xf>
    <xf numFmtId="0" fontId="139" fillId="90" borderId="78" xfId="0" applyFont="1" applyFill="1" applyBorder="1" applyAlignment="1">
      <alignment horizontal="center" vertical="center"/>
    </xf>
    <xf numFmtId="0" fontId="139" fillId="90" borderId="78" xfId="0" applyFont="1" applyFill="1" applyBorder="1">
      <alignment vertical="center"/>
    </xf>
    <xf numFmtId="3" fontId="154" fillId="90" borderId="78" xfId="0" applyNumberFormat="1" applyFont="1" applyFill="1" applyBorder="1" applyAlignment="1">
      <alignment horizontal="center" vertical="center"/>
    </xf>
    <xf numFmtId="0" fontId="148" fillId="93" borderId="78" xfId="0" applyFont="1" applyFill="1" applyBorder="1">
      <alignment vertical="center"/>
    </xf>
    <xf numFmtId="0" fontId="147" fillId="94" borderId="31" xfId="0" applyFont="1" applyFill="1" applyBorder="1" applyAlignment="1">
      <alignment vertical="center" wrapText="1"/>
    </xf>
    <xf numFmtId="0" fontId="148" fillId="94" borderId="108" xfId="0" applyFont="1" applyFill="1" applyBorder="1" applyAlignment="1">
      <alignment horizontal="center" vertical="center"/>
    </xf>
    <xf numFmtId="0" fontId="148" fillId="94" borderId="109" xfId="0" applyFont="1" applyFill="1" applyBorder="1" applyAlignment="1">
      <alignment horizontal="center" vertical="center"/>
    </xf>
    <xf numFmtId="0" fontId="148" fillId="94" borderId="110" xfId="0" applyFont="1" applyFill="1" applyBorder="1" applyAlignment="1">
      <alignment horizontal="center" vertical="center"/>
    </xf>
    <xf numFmtId="0" fontId="147" fillId="94" borderId="111" xfId="0" applyFont="1" applyFill="1" applyBorder="1" applyAlignment="1">
      <alignment vertical="center" wrapText="1"/>
    </xf>
    <xf numFmtId="0" fontId="148" fillId="0" borderId="36" xfId="0" applyFont="1" applyBorder="1" applyAlignment="1">
      <alignment horizontal="center" vertical="center"/>
    </xf>
    <xf numFmtId="0" fontId="148" fillId="95" borderId="15" xfId="0" applyFont="1" applyFill="1" applyBorder="1" applyAlignment="1">
      <alignment horizontal="center" vertical="center"/>
    </xf>
    <xf numFmtId="0" fontId="148" fillId="0" borderId="15" xfId="0" applyFont="1" applyBorder="1" applyAlignment="1">
      <alignment horizontal="center" vertical="center"/>
    </xf>
    <xf numFmtId="0" fontId="148" fillId="0" borderId="16" xfId="0" applyFont="1" applyBorder="1" applyAlignment="1">
      <alignment horizontal="center" vertical="center"/>
    </xf>
    <xf numFmtId="0" fontId="147" fillId="94" borderId="112" xfId="0" applyFont="1" applyFill="1" applyBorder="1" applyAlignment="1">
      <alignment vertical="center" wrapText="1"/>
    </xf>
    <xf numFmtId="0" fontId="148" fillId="95" borderId="40" xfId="0" applyFont="1" applyFill="1" applyBorder="1" applyAlignment="1">
      <alignment horizontal="center" vertical="center"/>
    </xf>
    <xf numFmtId="0" fontId="148" fillId="0" borderId="78" xfId="0" applyFont="1" applyBorder="1" applyAlignment="1">
      <alignment horizontal="center" vertical="center"/>
    </xf>
    <xf numFmtId="0" fontId="148" fillId="95" borderId="78" xfId="0" applyFont="1" applyFill="1" applyBorder="1" applyAlignment="1">
      <alignment horizontal="center" vertical="center"/>
    </xf>
    <xf numFmtId="0" fontId="148" fillId="95" borderId="41" xfId="0" applyFont="1" applyFill="1" applyBorder="1" applyAlignment="1">
      <alignment horizontal="center" vertical="center"/>
    </xf>
    <xf numFmtId="0" fontId="148" fillId="0" borderId="41" xfId="0" applyFont="1" applyBorder="1" applyAlignment="1">
      <alignment horizontal="center" vertical="center"/>
    </xf>
    <xf numFmtId="0" fontId="148" fillId="0" borderId="40" xfId="0" applyFont="1" applyBorder="1" applyAlignment="1">
      <alignment horizontal="center" vertical="center"/>
    </xf>
    <xf numFmtId="0" fontId="147" fillId="94" borderId="45" xfId="0" applyFont="1" applyFill="1" applyBorder="1" applyAlignment="1">
      <alignment vertical="center" wrapText="1"/>
    </xf>
    <xf numFmtId="0" fontId="148" fillId="95" borderId="43" xfId="0" applyFont="1" applyFill="1" applyBorder="1" applyAlignment="1">
      <alignment horizontal="center" vertical="center"/>
    </xf>
    <xf numFmtId="0" fontId="148" fillId="0" borderId="97" xfId="0" applyFont="1" applyBorder="1" applyAlignment="1">
      <alignment horizontal="center" vertical="center"/>
    </xf>
    <xf numFmtId="0" fontId="148" fillId="95" borderId="97" xfId="0" applyFont="1" applyFill="1" applyBorder="1" applyAlignment="1">
      <alignment horizontal="center" vertical="center"/>
    </xf>
    <xf numFmtId="0" fontId="148" fillId="95" borderId="28" xfId="0" applyFont="1" applyFill="1" applyBorder="1" applyAlignment="1">
      <alignment horizontal="center" vertical="center"/>
    </xf>
    <xf numFmtId="0" fontId="150" fillId="0" borderId="0" xfId="0" applyFont="1">
      <alignment vertical="center"/>
    </xf>
    <xf numFmtId="181" fontId="148" fillId="0" borderId="0" xfId="1667" applyFont="1" applyAlignment="1">
      <alignment vertical="center"/>
    </xf>
    <xf numFmtId="0" fontId="147" fillId="89" borderId="78" xfId="0" applyFont="1" applyFill="1" applyBorder="1" applyAlignment="1">
      <alignment horizontal="center" vertical="center" wrapText="1"/>
    </xf>
    <xf numFmtId="0" fontId="151" fillId="89" borderId="78" xfId="0" applyFont="1" applyFill="1" applyBorder="1" applyAlignment="1">
      <alignment horizontal="center" vertical="center" wrapText="1"/>
    </xf>
    <xf numFmtId="0" fontId="147" fillId="0" borderId="0" xfId="0" applyFont="1" applyAlignment="1">
      <alignment vertical="center" wrapText="1"/>
    </xf>
    <xf numFmtId="3" fontId="152" fillId="0" borderId="78" xfId="0" applyNumberFormat="1" applyFont="1" applyBorder="1" applyAlignment="1">
      <alignment horizontal="center" vertical="center"/>
    </xf>
    <xf numFmtId="0" fontId="148" fillId="0" borderId="78" xfId="5382" applyFont="1" applyBorder="1" applyAlignment="1">
      <alignment horizontal="center" vertical="center"/>
    </xf>
    <xf numFmtId="0" fontId="148" fillId="0" borderId="78" xfId="5382" applyFont="1" applyBorder="1" applyAlignment="1">
      <alignment vertical="center"/>
    </xf>
    <xf numFmtId="180" fontId="148" fillId="0" borderId="78" xfId="1667" applyNumberFormat="1" applyFont="1" applyBorder="1" applyAlignment="1">
      <alignment vertical="center"/>
    </xf>
    <xf numFmtId="180" fontId="148" fillId="0" borderId="78" xfId="1667" applyNumberFormat="1" applyFont="1" applyFill="1" applyBorder="1" applyAlignment="1">
      <alignment horizontal="center" vertical="center"/>
    </xf>
    <xf numFmtId="180" fontId="148" fillId="93" borderId="78" xfId="1667" applyNumberFormat="1" applyFont="1" applyFill="1" applyBorder="1" applyAlignment="1">
      <alignment horizontal="center" vertical="center"/>
    </xf>
    <xf numFmtId="180" fontId="148" fillId="93" borderId="78" xfId="1667" applyNumberFormat="1" applyFont="1" applyFill="1" applyBorder="1" applyAlignment="1">
      <alignment vertical="center"/>
    </xf>
    <xf numFmtId="3" fontId="154" fillId="88" borderId="78" xfId="0" applyNumberFormat="1" applyFont="1" applyFill="1" applyBorder="1" applyAlignment="1">
      <alignment horizontal="center" vertical="center"/>
    </xf>
    <xf numFmtId="0" fontId="139" fillId="88" borderId="78" xfId="5382" applyFont="1" applyFill="1" applyBorder="1" applyAlignment="1">
      <alignment horizontal="center" vertical="center"/>
    </xf>
    <xf numFmtId="0" fontId="139" fillId="88" borderId="78" xfId="5382" applyFont="1" applyFill="1" applyBorder="1" applyAlignment="1">
      <alignment vertical="center"/>
    </xf>
    <xf numFmtId="180" fontId="139" fillId="88" borderId="78" xfId="1667" applyNumberFormat="1" applyFont="1" applyFill="1" applyBorder="1" applyAlignment="1">
      <alignment vertical="center"/>
    </xf>
    <xf numFmtId="180" fontId="139" fillId="88" borderId="78" xfId="1667" applyNumberFormat="1" applyFont="1" applyFill="1" applyBorder="1" applyAlignment="1">
      <alignment horizontal="center" vertical="center"/>
    </xf>
    <xf numFmtId="0" fontId="139" fillId="88" borderId="78" xfId="0" applyFont="1" applyFill="1" applyBorder="1" applyAlignment="1">
      <alignment horizontal="center" vertical="center"/>
    </xf>
    <xf numFmtId="0" fontId="139" fillId="88" borderId="78" xfId="0" applyFont="1" applyFill="1" applyBorder="1">
      <alignment vertical="center"/>
    </xf>
    <xf numFmtId="180" fontId="139" fillId="90" borderId="78" xfId="1667" applyNumberFormat="1" applyFont="1" applyFill="1" applyBorder="1" applyAlignment="1">
      <alignment vertical="center"/>
    </xf>
    <xf numFmtId="180" fontId="139" fillId="90" borderId="78" xfId="1667" applyNumberFormat="1" applyFont="1" applyFill="1" applyBorder="1" applyAlignment="1">
      <alignment horizontal="center" vertical="center"/>
    </xf>
    <xf numFmtId="180" fontId="148" fillId="90" borderId="78" xfId="1667" applyNumberFormat="1" applyFont="1" applyFill="1" applyBorder="1" applyAlignment="1">
      <alignment horizontal="center" vertical="center"/>
    </xf>
    <xf numFmtId="180" fontId="148" fillId="90" borderId="78" xfId="1667" applyNumberFormat="1" applyFont="1" applyFill="1" applyBorder="1" applyAlignment="1">
      <alignment vertical="center"/>
    </xf>
    <xf numFmtId="180" fontId="148" fillId="92" borderId="78" xfId="1667" applyNumberFormat="1" applyFont="1" applyFill="1" applyBorder="1" applyAlignment="1">
      <alignment horizontal="center" vertical="center"/>
    </xf>
    <xf numFmtId="180" fontId="148" fillId="92" borderId="78" xfId="1667" applyNumberFormat="1" applyFont="1" applyFill="1" applyBorder="1" applyAlignment="1">
      <alignment vertical="center"/>
    </xf>
    <xf numFmtId="3" fontId="152" fillId="91" borderId="78" xfId="0" applyNumberFormat="1" applyFont="1" applyFill="1" applyBorder="1" applyAlignment="1">
      <alignment horizontal="center" vertical="center"/>
    </xf>
    <xf numFmtId="0" fontId="148" fillId="91" borderId="78" xfId="5382" applyFont="1" applyFill="1" applyBorder="1" applyAlignment="1">
      <alignment horizontal="center" vertical="center"/>
    </xf>
    <xf numFmtId="0" fontId="148" fillId="91" borderId="78" xfId="5382" applyFont="1" applyFill="1" applyBorder="1" applyAlignment="1">
      <alignment vertical="center"/>
    </xf>
    <xf numFmtId="180" fontId="148" fillId="91" borderId="78" xfId="1667" applyNumberFormat="1" applyFont="1" applyFill="1" applyBorder="1" applyAlignment="1">
      <alignment vertical="center"/>
    </xf>
    <xf numFmtId="0" fontId="148" fillId="91" borderId="0" xfId="0" applyFont="1" applyFill="1">
      <alignment vertical="center"/>
    </xf>
    <xf numFmtId="180" fontId="139" fillId="93" borderId="78" xfId="1667" applyNumberFormat="1" applyFont="1" applyFill="1" applyBorder="1" applyAlignment="1">
      <alignment vertical="center"/>
    </xf>
    <xf numFmtId="0" fontId="158" fillId="92" borderId="78" xfId="0" applyFont="1" applyFill="1" applyBorder="1" applyAlignment="1">
      <alignment horizontal="center" vertical="center"/>
    </xf>
    <xf numFmtId="0" fontId="158" fillId="92" borderId="78" xfId="0" applyFont="1" applyFill="1" applyBorder="1">
      <alignment vertical="center"/>
    </xf>
    <xf numFmtId="0" fontId="153" fillId="88" borderId="78" xfId="0" applyFont="1" applyFill="1" applyBorder="1" applyAlignment="1">
      <alignment horizontal="center" vertical="center"/>
    </xf>
    <xf numFmtId="0" fontId="153" fillId="88" borderId="78" xfId="0" applyFont="1" applyFill="1" applyBorder="1">
      <alignment vertical="center"/>
    </xf>
    <xf numFmtId="3" fontId="159" fillId="88" borderId="78" xfId="0" applyNumberFormat="1" applyFont="1" applyFill="1" applyBorder="1" applyAlignment="1">
      <alignment horizontal="center" vertical="center"/>
    </xf>
    <xf numFmtId="3" fontId="159" fillId="92" borderId="78" xfId="0" applyNumberFormat="1" applyFont="1" applyFill="1" applyBorder="1" applyAlignment="1">
      <alignment horizontal="center" vertical="center"/>
    </xf>
    <xf numFmtId="3" fontId="159" fillId="90" borderId="78" xfId="0" applyNumberFormat="1" applyFont="1" applyFill="1" applyBorder="1" applyAlignment="1">
      <alignment horizontal="center" vertical="center"/>
    </xf>
    <xf numFmtId="3" fontId="159" fillId="93" borderId="78" xfId="0" applyNumberFormat="1" applyFont="1" applyFill="1" applyBorder="1" applyAlignment="1">
      <alignment horizontal="center" vertical="center"/>
    </xf>
    <xf numFmtId="3" fontId="159" fillId="0" borderId="78" xfId="0" applyNumberFormat="1" applyFont="1" applyBorder="1" applyAlignment="1">
      <alignment horizontal="center" vertical="center"/>
    </xf>
    <xf numFmtId="180" fontId="159" fillId="0" borderId="78" xfId="1667" applyNumberFormat="1" applyFont="1" applyFill="1" applyBorder="1" applyAlignment="1">
      <alignment horizontal="center" vertical="center"/>
    </xf>
    <xf numFmtId="180" fontId="159" fillId="88" borderId="78" xfId="1667" applyNumberFormat="1" applyFont="1" applyFill="1" applyBorder="1" applyAlignment="1">
      <alignment horizontal="center" vertical="center"/>
    </xf>
    <xf numFmtId="180" fontId="159" fillId="92" borderId="78" xfId="1667" applyNumberFormat="1" applyFont="1" applyFill="1" applyBorder="1" applyAlignment="1">
      <alignment horizontal="center" vertical="center"/>
    </xf>
    <xf numFmtId="180" fontId="159" fillId="90" borderId="78" xfId="1667" applyNumberFormat="1" applyFont="1" applyFill="1" applyBorder="1" applyAlignment="1">
      <alignment horizontal="center" vertical="center"/>
    </xf>
    <xf numFmtId="180" fontId="159" fillId="93" borderId="78" xfId="1667" applyNumberFormat="1" applyFont="1" applyFill="1" applyBorder="1" applyAlignment="1">
      <alignment horizontal="center" vertical="center"/>
    </xf>
    <xf numFmtId="3" fontId="159" fillId="91" borderId="78" xfId="0" applyNumberFormat="1" applyFont="1" applyFill="1" applyBorder="1" applyAlignment="1">
      <alignment horizontal="center" vertical="center"/>
    </xf>
    <xf numFmtId="181" fontId="148" fillId="0" borderId="0" xfId="1667" applyFont="1" applyFill="1" applyAlignment="1">
      <alignment vertical="center"/>
    </xf>
    <xf numFmtId="0" fontId="155" fillId="22" borderId="92" xfId="0" applyFont="1" applyFill="1" applyBorder="1" applyAlignment="1">
      <alignment horizontal="center" vertical="center" wrapText="1"/>
    </xf>
    <xf numFmtId="0" fontId="155" fillId="22" borderId="96" xfId="0" applyFont="1" applyFill="1" applyBorder="1" applyAlignment="1">
      <alignment horizontal="center" vertical="center" wrapText="1"/>
    </xf>
    <xf numFmtId="0" fontId="27" fillId="0" borderId="86" xfId="0" applyFont="1" applyBorder="1" applyAlignment="1">
      <alignment horizontal="center" vertical="center"/>
    </xf>
    <xf numFmtId="0" fontId="27" fillId="0" borderId="22" xfId="0" applyFont="1" applyBorder="1" applyProtection="1">
      <alignment vertical="center"/>
      <protection locked="0"/>
    </xf>
    <xf numFmtId="0" fontId="27" fillId="0" borderId="81" xfId="0" applyFont="1" applyBorder="1" applyProtection="1">
      <alignment vertical="center"/>
      <protection locked="0"/>
    </xf>
    <xf numFmtId="0" fontId="27" fillId="0" borderId="23" xfId="0" applyFont="1" applyBorder="1">
      <alignment vertical="center"/>
    </xf>
    <xf numFmtId="0" fontId="27" fillId="0" borderId="24" xfId="0" applyFont="1" applyBorder="1" applyProtection="1">
      <alignment vertical="center"/>
      <protection locked="0"/>
    </xf>
    <xf numFmtId="0" fontId="27" fillId="0" borderId="25" xfId="0" applyFont="1" applyBorder="1" applyProtection="1">
      <alignment vertical="center"/>
      <protection locked="0"/>
    </xf>
    <xf numFmtId="0" fontId="27" fillId="0" borderId="82" xfId="0" applyFont="1" applyBorder="1">
      <alignment vertical="center"/>
    </xf>
    <xf numFmtId="0" fontId="27" fillId="0" borderId="83" xfId="0" applyFont="1" applyBorder="1" applyProtection="1">
      <alignment vertical="center"/>
      <protection locked="0"/>
    </xf>
    <xf numFmtId="0" fontId="27" fillId="0" borderId="84" xfId="0" applyFont="1" applyBorder="1" applyProtection="1">
      <alignment vertical="center"/>
      <protection locked="0"/>
    </xf>
    <xf numFmtId="0" fontId="27" fillId="0" borderId="85" xfId="0" applyFont="1" applyBorder="1" applyProtection="1">
      <alignment vertical="center"/>
      <protection locked="0"/>
    </xf>
    <xf numFmtId="0" fontId="27" fillId="0" borderId="26" xfId="0" applyFont="1" applyBorder="1" applyProtection="1">
      <alignment vertical="center"/>
      <protection locked="0"/>
    </xf>
    <xf numFmtId="0" fontId="0" fillId="24" borderId="30" xfId="0" applyFill="1" applyBorder="1" applyAlignment="1">
      <alignment horizontal="center" vertical="center"/>
    </xf>
    <xf numFmtId="0" fontId="0" fillId="24" borderId="42" xfId="0" applyFill="1" applyBorder="1" applyAlignment="1">
      <alignment horizontal="center" vertical="center"/>
    </xf>
    <xf numFmtId="0" fontId="27" fillId="25" borderId="7" xfId="0" applyFont="1" applyFill="1" applyBorder="1" applyAlignment="1">
      <alignment horizontal="center" vertical="center"/>
    </xf>
    <xf numFmtId="0" fontId="33" fillId="27" borderId="78" xfId="5384" applyFont="1" applyFill="1" applyBorder="1" applyAlignment="1" applyProtection="1">
      <alignment horizontal="center" vertical="center"/>
      <protection locked="0"/>
    </xf>
    <xf numFmtId="0" fontId="138" fillId="0" borderId="90" xfId="5384" applyFont="1" applyBorder="1" applyAlignment="1">
      <alignment horizontal="left" vertical="center"/>
    </xf>
    <xf numFmtId="0" fontId="138" fillId="0" borderId="79" xfId="5384" applyFont="1" applyBorder="1" applyAlignment="1">
      <alignment horizontal="left" vertical="center"/>
    </xf>
    <xf numFmtId="0" fontId="138" fillId="0" borderId="80" xfId="5384" applyFont="1" applyBorder="1" applyAlignment="1">
      <alignment horizontal="left" vertical="center"/>
    </xf>
    <xf numFmtId="41" fontId="138" fillId="19" borderId="78" xfId="5388" applyFont="1" applyFill="1" applyBorder="1" applyAlignment="1">
      <alignment horizontal="left" vertical="center"/>
    </xf>
    <xf numFmtId="0" fontId="138" fillId="0" borderId="78" xfId="5388" applyNumberFormat="1" applyFont="1" applyFill="1" applyBorder="1" applyAlignment="1">
      <alignment horizontal="center" vertical="center"/>
    </xf>
    <xf numFmtId="0" fontId="138" fillId="0" borderId="78" xfId="5384" applyFont="1" applyBorder="1" applyAlignment="1">
      <alignment horizontal="center" vertical="center"/>
    </xf>
    <xf numFmtId="0" fontId="138" fillId="0" borderId="78" xfId="5388" applyNumberFormat="1" applyFont="1" applyFill="1" applyBorder="1" applyAlignment="1">
      <alignment horizontal="center"/>
    </xf>
    <xf numFmtId="0" fontId="138" fillId="0" borderId="90" xfId="5364" applyFont="1" applyBorder="1" applyAlignment="1">
      <alignment horizontal="left" vertical="center"/>
    </xf>
    <xf numFmtId="0" fontId="138" fillId="0" borderId="79" xfId="5384" applyFont="1" applyBorder="1" applyAlignment="1" applyProtection="1">
      <alignment horizontal="left" vertical="center"/>
      <protection locked="0"/>
    </xf>
    <xf numFmtId="0" fontId="138" fillId="0" borderId="80" xfId="5384" applyFont="1" applyBorder="1" applyAlignment="1" applyProtection="1">
      <alignment horizontal="left" vertical="center"/>
      <protection locked="0"/>
    </xf>
    <xf numFmtId="0" fontId="33" fillId="0" borderId="90" xfId="5384" applyFont="1" applyBorder="1" applyAlignment="1">
      <alignment horizontal="left" vertical="center"/>
    </xf>
    <xf numFmtId="0" fontId="33" fillId="0" borderId="79" xfId="5384" applyFont="1" applyBorder="1" applyAlignment="1" applyProtection="1">
      <alignment horizontal="left" vertical="center"/>
      <protection locked="0"/>
    </xf>
    <xf numFmtId="0" fontId="33" fillId="0" borderId="80" xfId="5384" applyFont="1" applyBorder="1" applyAlignment="1" applyProtection="1">
      <alignment horizontal="left" vertical="center"/>
      <protection locked="0"/>
    </xf>
    <xf numFmtId="0" fontId="33" fillId="0" borderId="78" xfId="5384" applyFont="1" applyBorder="1" applyAlignment="1">
      <alignment horizontal="center" vertical="center"/>
    </xf>
    <xf numFmtId="0" fontId="138" fillId="0" borderId="78" xfId="5384" applyFont="1" applyBorder="1" applyAlignment="1" applyProtection="1">
      <alignment horizontal="center" vertical="center"/>
      <protection locked="0"/>
    </xf>
    <xf numFmtId="0" fontId="138" fillId="0" borderId="90" xfId="0" applyFont="1" applyBorder="1" applyAlignment="1">
      <alignment horizontal="left" vertical="center"/>
    </xf>
    <xf numFmtId="0" fontId="138" fillId="0" borderId="79" xfId="0" applyFont="1" applyBorder="1" applyAlignment="1">
      <alignment horizontal="left" vertical="center"/>
    </xf>
    <xf numFmtId="0" fontId="138" fillId="0" borderId="80" xfId="0" applyFont="1" applyBorder="1" applyAlignment="1">
      <alignment horizontal="left" vertical="center"/>
    </xf>
    <xf numFmtId="0" fontId="33" fillId="0" borderId="7" xfId="0" applyFont="1" applyBorder="1" applyProtection="1">
      <alignment vertical="center"/>
      <protection locked="0"/>
    </xf>
    <xf numFmtId="0" fontId="33" fillId="0" borderId="78" xfId="0" applyFont="1" applyBorder="1" applyProtection="1">
      <alignment vertical="center"/>
      <protection locked="0"/>
    </xf>
    <xf numFmtId="185" fontId="137" fillId="0" borderId="0" xfId="41" applyNumberFormat="1" applyFont="1" applyAlignment="1">
      <alignment horizontal="center" vertical="center"/>
    </xf>
    <xf numFmtId="185" fontId="33" fillId="0" borderId="0" xfId="41" applyNumberFormat="1" applyFont="1" applyAlignment="1">
      <alignment horizontal="center" vertical="center"/>
    </xf>
    <xf numFmtId="185" fontId="33" fillId="0" borderId="6" xfId="41" applyNumberFormat="1" applyFont="1" applyBorder="1" applyAlignment="1">
      <alignment horizontal="center" vertical="center"/>
    </xf>
    <xf numFmtId="0" fontId="0" fillId="24" borderId="78" xfId="0" applyFill="1" applyBorder="1" applyAlignment="1">
      <alignment horizontal="center" vertical="center"/>
    </xf>
    <xf numFmtId="41" fontId="0" fillId="0" borderId="0" xfId="41" applyFont="1" applyFill="1">
      <alignment vertical="center"/>
    </xf>
    <xf numFmtId="41" fontId="0" fillId="0" borderId="0" xfId="41" applyFont="1" applyFill="1" applyAlignment="1">
      <alignment horizontal="center" vertical="center"/>
    </xf>
    <xf numFmtId="0" fontId="0" fillId="0" borderId="78" xfId="0" applyBorder="1">
      <alignment vertical="center"/>
    </xf>
    <xf numFmtId="0" fontId="0" fillId="0" borderId="78" xfId="0" applyBorder="1" applyAlignment="1">
      <alignment horizontal="center" vertical="center"/>
    </xf>
    <xf numFmtId="0" fontId="39" fillId="0" borderId="78" xfId="0" applyFont="1" applyBorder="1">
      <alignment vertical="center"/>
    </xf>
    <xf numFmtId="41" fontId="32" fillId="0" borderId="78" xfId="41" applyFont="1" applyFill="1" applyBorder="1" applyAlignment="1" applyProtection="1">
      <alignment vertical="center"/>
      <protection locked="0"/>
    </xf>
    <xf numFmtId="41" fontId="32" fillId="0" borderId="78" xfId="41" applyFont="1" applyFill="1" applyBorder="1" applyAlignment="1" applyProtection="1">
      <alignment horizontal="center" vertical="center"/>
      <protection locked="0"/>
    </xf>
    <xf numFmtId="0" fontId="32" fillId="0" borderId="78" xfId="0" applyFont="1" applyBorder="1" applyProtection="1">
      <alignment vertical="center"/>
      <protection locked="0"/>
    </xf>
    <xf numFmtId="0" fontId="0" fillId="0" borderId="78" xfId="0" applyBorder="1" applyProtection="1">
      <alignment vertical="center"/>
      <protection locked="0"/>
    </xf>
    <xf numFmtId="0" fontId="21" fillId="0" borderId="0" xfId="0" applyFont="1" applyAlignment="1">
      <alignment horizontal="center" vertical="center"/>
    </xf>
    <xf numFmtId="185" fontId="137" fillId="0" borderId="0" xfId="41" applyNumberFormat="1" applyFont="1" applyFill="1" applyAlignment="1">
      <alignment horizontal="center" vertical="center"/>
    </xf>
    <xf numFmtId="41" fontId="0" fillId="0" borderId="78" xfId="41" applyFont="1" applyFill="1" applyBorder="1">
      <alignment vertical="center"/>
    </xf>
    <xf numFmtId="41" fontId="0" fillId="0" borderId="78" xfId="41" applyFont="1" applyFill="1" applyBorder="1" applyAlignment="1">
      <alignment horizontal="center" vertical="center"/>
    </xf>
    <xf numFmtId="0" fontId="32" fillId="0" borderId="78" xfId="0" applyFont="1" applyBorder="1" applyAlignment="1" applyProtection="1">
      <alignment horizontal="center" vertical="center"/>
      <protection locked="0"/>
    </xf>
    <xf numFmtId="0" fontId="0" fillId="24" borderId="78" xfId="0" applyFill="1" applyBorder="1">
      <alignment vertical="center"/>
    </xf>
    <xf numFmtId="41" fontId="33" fillId="0" borderId="7" xfId="41" applyFont="1" applyFill="1" applyBorder="1" applyAlignment="1" applyProtection="1">
      <alignment vertical="center"/>
      <protection locked="0"/>
    </xf>
    <xf numFmtId="41" fontId="33" fillId="0" borderId="7" xfId="41" applyFont="1" applyFill="1" applyBorder="1" applyAlignment="1" applyProtection="1">
      <alignment horizontal="center" vertical="center"/>
      <protection locked="0"/>
    </xf>
    <xf numFmtId="41" fontId="33" fillId="0" borderId="0" xfId="41" applyFont="1" applyFill="1">
      <alignment vertical="center"/>
    </xf>
    <xf numFmtId="41" fontId="33" fillId="0" borderId="0" xfId="41" applyFont="1" applyFill="1" applyAlignment="1">
      <alignment horizontal="center" vertical="center"/>
    </xf>
    <xf numFmtId="0" fontId="33" fillId="0" borderId="7" xfId="0" applyFont="1" applyBorder="1" applyAlignment="1" applyProtection="1">
      <alignment horizontal="center" vertical="center"/>
      <protection locked="0"/>
    </xf>
    <xf numFmtId="0" fontId="0" fillId="24" borderId="113" xfId="0" applyFill="1" applyBorder="1" applyAlignment="1">
      <alignment horizontal="center" vertical="center"/>
    </xf>
    <xf numFmtId="0" fontId="137" fillId="0" borderId="78" xfId="0" applyFont="1" applyBorder="1">
      <alignment vertical="center"/>
    </xf>
    <xf numFmtId="0" fontId="33" fillId="0" borderId="78" xfId="0" applyFont="1" applyBorder="1" applyAlignment="1">
      <alignment horizontal="center" vertical="center"/>
    </xf>
    <xf numFmtId="0" fontId="33" fillId="0" borderId="78" xfId="0" applyFont="1" applyBorder="1">
      <alignment vertical="center"/>
    </xf>
    <xf numFmtId="0" fontId="138" fillId="0" borderId="78" xfId="0" applyFont="1" applyBorder="1">
      <alignment vertical="center"/>
    </xf>
    <xf numFmtId="41" fontId="137" fillId="0" borderId="0" xfId="41" applyFont="1" applyFill="1">
      <alignment vertical="center"/>
    </xf>
    <xf numFmtId="0" fontId="0" fillId="24" borderId="114" xfId="0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19" borderId="0" xfId="0" applyFont="1" applyFill="1" applyProtection="1">
      <alignment vertical="center"/>
      <protection locked="0"/>
    </xf>
    <xf numFmtId="0" fontId="27" fillId="0" borderId="0" xfId="0" applyFont="1" applyAlignment="1">
      <alignment horizontal="left" indent="1"/>
    </xf>
    <xf numFmtId="0" fontId="27" fillId="0" borderId="0" xfId="0" quotePrefix="1" applyFont="1">
      <alignment vertical="center"/>
    </xf>
    <xf numFmtId="41" fontId="27" fillId="0" borderId="0" xfId="41" applyFont="1">
      <alignment vertical="center"/>
    </xf>
    <xf numFmtId="41" fontId="27" fillId="0" borderId="0" xfId="41" applyFont="1" applyAlignment="1">
      <alignment horizontal="center" vertical="center"/>
    </xf>
    <xf numFmtId="41" fontId="144" fillId="0" borderId="0" xfId="41" applyFont="1" applyAlignment="1">
      <alignment horizontal="center" vertical="center"/>
    </xf>
    <xf numFmtId="0" fontId="144" fillId="22" borderId="3" xfId="0" applyFont="1" applyFill="1" applyBorder="1" applyAlignment="1">
      <alignment horizontal="center" vertical="center"/>
    </xf>
    <xf numFmtId="0" fontId="27" fillId="22" borderId="91" xfId="0" applyFont="1" applyFill="1" applyBorder="1" applyAlignment="1">
      <alignment horizontal="center" vertical="center" wrapText="1"/>
    </xf>
    <xf numFmtId="0" fontId="27" fillId="22" borderId="92" xfId="0" applyFont="1" applyFill="1" applyBorder="1" applyAlignment="1">
      <alignment horizontal="center" vertical="center" wrapText="1"/>
    </xf>
    <xf numFmtId="0" fontId="27" fillId="22" borderId="93" xfId="0" applyFont="1" applyFill="1" applyBorder="1" applyAlignment="1">
      <alignment horizontal="center" vertical="center" wrapText="1"/>
    </xf>
    <xf numFmtId="41" fontId="27" fillId="22" borderId="92" xfId="41" applyFont="1" applyFill="1" applyBorder="1" applyAlignment="1">
      <alignment horizontal="center" vertical="center" wrapText="1"/>
    </xf>
    <xf numFmtId="0" fontId="27" fillId="22" borderId="96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41" fontId="27" fillId="0" borderId="16" xfId="41" applyFont="1" applyBorder="1" applyAlignment="1">
      <alignment horizontal="center" vertical="center"/>
    </xf>
    <xf numFmtId="41" fontId="27" fillId="0" borderId="27" xfId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1" fontId="27" fillId="0" borderId="28" xfId="41" applyFont="1" applyBorder="1" applyAlignment="1">
      <alignment horizontal="center" vertical="center"/>
    </xf>
    <xf numFmtId="179" fontId="27" fillId="0" borderId="5" xfId="1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147" fillId="96" borderId="78" xfId="0" applyFont="1" applyFill="1" applyBorder="1" applyAlignment="1">
      <alignment horizontal="center" vertical="center"/>
    </xf>
    <xf numFmtId="0" fontId="140" fillId="97" borderId="78" xfId="0" applyFont="1" applyFill="1" applyBorder="1" applyAlignment="1">
      <alignment horizontal="center" vertical="center"/>
    </xf>
    <xf numFmtId="0" fontId="140" fillId="97" borderId="78" xfId="0" applyFont="1" applyFill="1" applyBorder="1">
      <alignment vertical="center"/>
    </xf>
    <xf numFmtId="180" fontId="140" fillId="97" borderId="78" xfId="40" applyNumberFormat="1" applyFont="1" applyFill="1" applyBorder="1" applyAlignment="1">
      <alignment horizontal="center" vertical="center"/>
    </xf>
    <xf numFmtId="0" fontId="163" fillId="97" borderId="78" xfId="0" applyFont="1" applyFill="1" applyBorder="1" applyAlignment="1">
      <alignment horizontal="center" vertical="center"/>
    </xf>
    <xf numFmtId="0" fontId="163" fillId="97" borderId="78" xfId="0" applyFont="1" applyFill="1" applyBorder="1" applyAlignment="1">
      <alignment horizontal="left" vertical="center"/>
    </xf>
    <xf numFmtId="0" fontId="140" fillId="97" borderId="78" xfId="0" applyFont="1" applyFill="1" applyBorder="1" applyAlignment="1">
      <alignment horizontal="center"/>
    </xf>
    <xf numFmtId="0" fontId="164" fillId="97" borderId="78" xfId="0" applyFont="1" applyFill="1" applyBorder="1" applyAlignment="1">
      <alignment horizontal="center" vertical="center"/>
    </xf>
    <xf numFmtId="0" fontId="164" fillId="97" borderId="78" xfId="0" applyFont="1" applyFill="1" applyBorder="1">
      <alignment vertical="center"/>
    </xf>
    <xf numFmtId="180" fontId="164" fillId="97" borderId="78" xfId="40" applyNumberFormat="1" applyFont="1" applyFill="1" applyBorder="1" applyAlignment="1">
      <alignment horizontal="center" vertical="center"/>
    </xf>
    <xf numFmtId="0" fontId="164" fillId="89" borderId="78" xfId="0" applyFont="1" applyFill="1" applyBorder="1" applyAlignment="1">
      <alignment horizontal="center" vertical="center"/>
    </xf>
    <xf numFmtId="0" fontId="164" fillId="89" borderId="78" xfId="0" applyFont="1" applyFill="1" applyBorder="1">
      <alignment vertical="center"/>
    </xf>
    <xf numFmtId="180" fontId="164" fillId="89" borderId="78" xfId="40" applyNumberFormat="1" applyFont="1" applyFill="1" applyBorder="1" applyAlignment="1">
      <alignment horizontal="center" vertical="center"/>
    </xf>
    <xf numFmtId="0" fontId="138" fillId="0" borderId="29" xfId="5384" applyFont="1" applyBorder="1" applyAlignment="1">
      <alignment horizontal="left" vertical="center"/>
    </xf>
    <xf numFmtId="0" fontId="138" fillId="0" borderId="29" xfId="5384" applyFont="1" applyBorder="1" applyAlignment="1" applyProtection="1">
      <alignment horizontal="left" vertical="center"/>
      <protection locked="0"/>
    </xf>
    <xf numFmtId="0" fontId="138" fillId="0" borderId="12" xfId="5384" applyFont="1" applyBorder="1" applyAlignment="1">
      <alignment horizontal="left" vertical="center"/>
    </xf>
    <xf numFmtId="0" fontId="138" fillId="0" borderId="12" xfId="5384" applyFont="1" applyBorder="1" applyAlignment="1" applyProtection="1">
      <alignment horizontal="left" vertical="center"/>
      <protection locked="0"/>
    </xf>
    <xf numFmtId="41" fontId="138" fillId="19" borderId="7" xfId="5388" applyFont="1" applyFill="1" applyBorder="1" applyAlignment="1">
      <alignment horizontal="left" vertical="center"/>
    </xf>
    <xf numFmtId="41" fontId="138" fillId="19" borderId="78" xfId="41" applyFont="1" applyFill="1" applyBorder="1" applyAlignment="1" applyProtection="1">
      <alignment horizontal="center" vertical="center"/>
      <protection locked="0"/>
    </xf>
    <xf numFmtId="41" fontId="27" fillId="27" borderId="115" xfId="1" applyFont="1" applyFill="1" applyBorder="1" applyAlignment="1" applyProtection="1">
      <alignment horizontal="center" vertical="center"/>
      <protection locked="0"/>
    </xf>
    <xf numFmtId="41" fontId="155" fillId="22" borderId="102" xfId="41" applyFont="1" applyFill="1" applyBorder="1" applyAlignment="1">
      <alignment horizontal="center" vertical="center" wrapText="1"/>
    </xf>
    <xf numFmtId="41" fontId="33" fillId="0" borderId="105" xfId="41" applyFont="1" applyFill="1" applyBorder="1">
      <alignment vertical="center"/>
    </xf>
    <xf numFmtId="0" fontId="166" fillId="25" borderId="10" xfId="0" applyFont="1" applyFill="1" applyBorder="1">
      <alignment vertical="center"/>
    </xf>
    <xf numFmtId="0" fontId="155" fillId="24" borderId="10" xfId="0" applyFont="1" applyFill="1" applyBorder="1" applyAlignment="1">
      <alignment horizontal="center" vertical="center"/>
    </xf>
    <xf numFmtId="0" fontId="167" fillId="25" borderId="7" xfId="0" applyFont="1" applyFill="1" applyBorder="1" applyAlignment="1">
      <alignment horizontal="center" vertical="center"/>
    </xf>
    <xf numFmtId="0" fontId="155" fillId="25" borderId="7" xfId="0" applyFont="1" applyFill="1" applyBorder="1" applyAlignment="1">
      <alignment horizontal="center" vertical="center"/>
    </xf>
    <xf numFmtId="41" fontId="155" fillId="19" borderId="7" xfId="41" applyFont="1" applyFill="1" applyBorder="1" applyAlignment="1">
      <alignment horizontal="center" vertical="center"/>
    </xf>
    <xf numFmtId="41" fontId="155" fillId="24" borderId="7" xfId="41" applyFont="1" applyFill="1" applyBorder="1" applyAlignment="1">
      <alignment horizontal="center" vertical="center"/>
    </xf>
    <xf numFmtId="0" fontId="155" fillId="24" borderId="7" xfId="0" applyFont="1" applyFill="1" applyBorder="1" applyAlignment="1">
      <alignment horizontal="center" vertical="center"/>
    </xf>
    <xf numFmtId="0" fontId="27" fillId="27" borderId="116" xfId="0" applyFont="1" applyFill="1" applyBorder="1" applyAlignment="1" applyProtection="1">
      <alignment horizontal="center" vertical="center"/>
      <protection locked="0"/>
    </xf>
    <xf numFmtId="0" fontId="27" fillId="0" borderId="115" xfId="0" applyFont="1" applyBorder="1" applyProtection="1">
      <alignment vertical="center"/>
      <protection locked="0"/>
    </xf>
    <xf numFmtId="0" fontId="27" fillId="27" borderId="115" xfId="0" applyFont="1" applyFill="1" applyBorder="1" applyProtection="1">
      <alignment vertical="center"/>
      <protection locked="0"/>
    </xf>
    <xf numFmtId="0" fontId="27" fillId="0" borderId="115" xfId="0" applyFont="1" applyBorder="1" applyAlignment="1">
      <alignment horizontal="center" vertical="center"/>
    </xf>
    <xf numFmtId="0" fontId="27" fillId="0" borderId="116" xfId="0" applyFont="1" applyBorder="1">
      <alignment vertical="center"/>
    </xf>
    <xf numFmtId="0" fontId="27" fillId="0" borderId="117" xfId="0" applyFont="1" applyBorder="1" applyProtection="1">
      <alignment vertical="center"/>
      <protection locked="0"/>
    </xf>
    <xf numFmtId="0" fontId="27" fillId="0" borderId="118" xfId="0" applyFont="1" applyBorder="1" applyProtection="1">
      <alignment vertical="center"/>
      <protection locked="0"/>
    </xf>
    <xf numFmtId="41" fontId="27" fillId="0" borderId="115" xfId="41" applyFont="1" applyFill="1" applyBorder="1" applyAlignment="1">
      <alignment horizontal="center" vertical="center"/>
    </xf>
    <xf numFmtId="180" fontId="27" fillId="0" borderId="115" xfId="0" applyNumberFormat="1" applyFont="1" applyBorder="1">
      <alignment vertical="center"/>
    </xf>
    <xf numFmtId="41" fontId="27" fillId="0" borderId="115" xfId="1" applyFont="1" applyBorder="1" applyAlignment="1">
      <alignment vertical="center"/>
    </xf>
    <xf numFmtId="41" fontId="27" fillId="0" borderId="115" xfId="1" applyFont="1" applyBorder="1">
      <alignment vertical="center"/>
    </xf>
    <xf numFmtId="0" fontId="27" fillId="0" borderId="119" xfId="0" applyFont="1" applyBorder="1" applyProtection="1">
      <alignment vertical="center"/>
      <protection locked="0"/>
    </xf>
    <xf numFmtId="0" fontId="161" fillId="27" borderId="116" xfId="0" applyFont="1" applyFill="1" applyBorder="1" applyAlignment="1" applyProtection="1">
      <alignment horizontal="center" vertical="center"/>
      <protection locked="0"/>
    </xf>
    <xf numFmtId="0" fontId="155" fillId="22" borderId="93" xfId="0" applyFont="1" applyFill="1" applyBorder="1" applyAlignment="1">
      <alignment horizontal="center" vertical="center" wrapText="1"/>
    </xf>
    <xf numFmtId="0" fontId="155" fillId="0" borderId="0" xfId="0" applyFont="1" applyAlignment="1">
      <alignment horizontal="center" vertical="center" wrapText="1"/>
    </xf>
    <xf numFmtId="0" fontId="168" fillId="0" borderId="0" xfId="5365" applyFont="1" applyAlignment="1">
      <alignment horizontal="center" vertical="center"/>
    </xf>
    <xf numFmtId="0" fontId="168" fillId="0" borderId="0" xfId="5365" applyFont="1" applyAlignment="1">
      <alignment horizontal="left" vertical="center"/>
    </xf>
    <xf numFmtId="185" fontId="168" fillId="0" borderId="0" xfId="5365" applyNumberFormat="1" applyFont="1" applyAlignment="1">
      <alignment horizontal="center" vertical="center"/>
    </xf>
    <xf numFmtId="14" fontId="168" fillId="0" borderId="0" xfId="5365" applyNumberFormat="1" applyFont="1" applyAlignment="1">
      <alignment horizontal="center" vertical="center"/>
    </xf>
    <xf numFmtId="0" fontId="27" fillId="0" borderId="89" xfId="0" applyFont="1" applyBorder="1" applyAlignment="1">
      <alignment horizontal="center" vertical="center"/>
    </xf>
    <xf numFmtId="41" fontId="142" fillId="0" borderId="0" xfId="41" applyFont="1">
      <alignment vertical="center"/>
    </xf>
    <xf numFmtId="0" fontId="27" fillId="0" borderId="22" xfId="0" applyFont="1" applyBorder="1" applyAlignment="1" applyProtection="1">
      <alignment horizontal="center" vertical="center"/>
      <protection locked="0"/>
    </xf>
    <xf numFmtId="0" fontId="155" fillId="22" borderId="78" xfId="0" applyFont="1" applyFill="1" applyBorder="1" applyAlignment="1">
      <alignment horizontal="center" vertical="center"/>
    </xf>
    <xf numFmtId="0" fontId="168" fillId="0" borderId="0" xfId="5365" applyFont="1">
      <alignment vertical="center"/>
    </xf>
    <xf numFmtId="0" fontId="140" fillId="0" borderId="78" xfId="0" applyFont="1" applyBorder="1" applyAlignment="1">
      <alignment horizontal="center" vertical="center"/>
    </xf>
    <xf numFmtId="0" fontId="140" fillId="0" borderId="78" xfId="0" applyFont="1" applyBorder="1">
      <alignment vertical="center"/>
    </xf>
    <xf numFmtId="41" fontId="137" fillId="0" borderId="0" xfId="0" applyNumberFormat="1" applyFont="1" applyAlignment="1">
      <alignment horizontal="center" vertical="center"/>
    </xf>
    <xf numFmtId="0" fontId="0" fillId="98" borderId="0" xfId="0" applyFill="1" applyAlignment="1">
      <alignment horizontal="center" vertical="center"/>
    </xf>
    <xf numFmtId="0" fontId="155" fillId="0" borderId="22" xfId="0" applyFont="1" applyBorder="1" applyProtection="1">
      <alignment vertical="center"/>
      <protection locked="0"/>
    </xf>
    <xf numFmtId="0" fontId="140" fillId="0" borderId="0" xfId="0" applyFont="1">
      <alignment vertical="center"/>
    </xf>
    <xf numFmtId="0" fontId="155" fillId="0" borderId="6" xfId="0" applyFont="1" applyBorder="1" applyAlignment="1">
      <alignment horizontal="center" vertical="center"/>
    </xf>
    <xf numFmtId="185" fontId="173" fillId="0" borderId="106" xfId="0" applyNumberFormat="1" applyFont="1" applyBorder="1" applyAlignment="1">
      <alignment horizontal="center" vertical="center"/>
    </xf>
    <xf numFmtId="0" fontId="176" fillId="22" borderId="92" xfId="0" applyFont="1" applyFill="1" applyBorder="1" applyAlignment="1">
      <alignment horizontal="center" vertical="center" wrapText="1"/>
    </xf>
    <xf numFmtId="0" fontId="176" fillId="22" borderId="93" xfId="0" applyFont="1" applyFill="1" applyBorder="1" applyAlignment="1">
      <alignment horizontal="center" vertical="center" wrapText="1"/>
    </xf>
    <xf numFmtId="0" fontId="176" fillId="22" borderId="96" xfId="0" applyFont="1" applyFill="1" applyBorder="1" applyAlignment="1">
      <alignment horizontal="center" vertical="center" wrapText="1"/>
    </xf>
    <xf numFmtId="0" fontId="177" fillId="22" borderId="91" xfId="0" applyFont="1" applyFill="1" applyBorder="1" applyAlignment="1">
      <alignment horizontal="center" vertical="center" wrapText="1"/>
    </xf>
    <xf numFmtId="0" fontId="178" fillId="0" borderId="0" xfId="0" applyFont="1" applyAlignment="1">
      <alignment horizontal="center" vertical="center"/>
    </xf>
    <xf numFmtId="0" fontId="178" fillId="0" borderId="0" xfId="0" applyFont="1" applyAlignment="1">
      <alignment horizontal="left" vertical="center"/>
    </xf>
    <xf numFmtId="41" fontId="178" fillId="0" borderId="0" xfId="41" applyFont="1">
      <alignment vertical="center"/>
    </xf>
    <xf numFmtId="41" fontId="178" fillId="0" borderId="0" xfId="41" applyFont="1" applyAlignment="1">
      <alignment horizontal="center" vertical="center"/>
    </xf>
    <xf numFmtId="0" fontId="178" fillId="0" borderId="0" xfId="0" applyFont="1">
      <alignment vertical="center"/>
    </xf>
    <xf numFmtId="41" fontId="177" fillId="22" borderId="92" xfId="41" applyFont="1" applyFill="1" applyBorder="1" applyAlignment="1">
      <alignment horizontal="center" vertical="center" wrapText="1"/>
    </xf>
    <xf numFmtId="0" fontId="169" fillId="0" borderId="78" xfId="0" applyFont="1" applyBorder="1" applyAlignment="1">
      <alignment horizontal="center" vertical="center"/>
    </xf>
    <xf numFmtId="0" fontId="179" fillId="27" borderId="78" xfId="5384" applyFont="1" applyFill="1" applyBorder="1" applyAlignment="1" applyProtection="1">
      <alignment horizontal="center" vertical="center"/>
      <protection locked="0"/>
    </xf>
    <xf numFmtId="0" fontId="169" fillId="88" borderId="90" xfId="0" applyFont="1" applyFill="1" applyBorder="1" applyAlignment="1">
      <alignment horizontal="left" vertical="center"/>
    </xf>
    <xf numFmtId="0" fontId="169" fillId="88" borderId="29" xfId="0" applyFont="1" applyFill="1" applyBorder="1">
      <alignment vertical="center"/>
    </xf>
    <xf numFmtId="0" fontId="169" fillId="88" borderId="12" xfId="0" applyFont="1" applyFill="1" applyBorder="1">
      <alignment vertical="center"/>
    </xf>
    <xf numFmtId="41" fontId="169" fillId="19" borderId="7" xfId="41" applyFont="1" applyFill="1" applyBorder="1" applyAlignment="1">
      <alignment horizontal="center" vertical="center"/>
    </xf>
    <xf numFmtId="0" fontId="169" fillId="0" borderId="78" xfId="41" applyNumberFormat="1" applyFont="1" applyFill="1" applyBorder="1" applyAlignment="1">
      <alignment horizontal="center" vertical="center"/>
    </xf>
    <xf numFmtId="0" fontId="169" fillId="88" borderId="90" xfId="5364" applyFont="1" applyFill="1" applyBorder="1" applyAlignment="1">
      <alignment horizontal="left" vertical="center"/>
    </xf>
    <xf numFmtId="0" fontId="169" fillId="88" borderId="29" xfId="0" applyFont="1" applyFill="1" applyBorder="1" applyAlignment="1" applyProtection="1">
      <alignment horizontal="left" vertical="center"/>
      <protection locked="0"/>
    </xf>
    <xf numFmtId="0" fontId="169" fillId="88" borderId="12" xfId="0" applyFont="1" applyFill="1" applyBorder="1" applyAlignment="1" applyProtection="1">
      <alignment horizontal="left" vertical="center"/>
      <protection locked="0"/>
    </xf>
    <xf numFmtId="0" fontId="179" fillId="22" borderId="90" xfId="0" applyFont="1" applyFill="1" applyBorder="1" applyAlignment="1">
      <alignment horizontal="left" vertical="center"/>
    </xf>
    <xf numFmtId="0" fontId="179" fillId="22" borderId="29" xfId="0" applyFont="1" applyFill="1" applyBorder="1" applyAlignment="1" applyProtection="1">
      <alignment horizontal="left" vertical="center"/>
      <protection locked="0"/>
    </xf>
    <xf numFmtId="0" fontId="179" fillId="22" borderId="12" xfId="0" applyFont="1" applyFill="1" applyBorder="1" applyAlignment="1" applyProtection="1">
      <alignment horizontal="left" vertical="center"/>
      <protection locked="0"/>
    </xf>
    <xf numFmtId="0" fontId="179" fillId="0" borderId="78" xfId="41" applyNumberFormat="1" applyFont="1" applyBorder="1" applyAlignment="1">
      <alignment horizontal="center" vertical="center"/>
    </xf>
    <xf numFmtId="0" fontId="179" fillId="0" borderId="78" xfId="0" applyFont="1" applyBorder="1" applyAlignment="1">
      <alignment horizontal="center" vertical="center"/>
    </xf>
    <xf numFmtId="0" fontId="169" fillId="0" borderId="78" xfId="44" applyFont="1" applyBorder="1" applyAlignment="1">
      <alignment horizontal="center" vertical="center"/>
    </xf>
    <xf numFmtId="0" fontId="169" fillId="0" borderId="78" xfId="43" applyFont="1" applyBorder="1" applyAlignment="1">
      <alignment horizontal="center" vertical="center"/>
    </xf>
    <xf numFmtId="0" fontId="169" fillId="0" borderId="90" xfId="5384" applyFont="1" applyBorder="1" applyAlignment="1">
      <alignment horizontal="left" vertical="center"/>
    </xf>
    <xf numFmtId="0" fontId="169" fillId="0" borderId="79" xfId="5384" applyFont="1" applyBorder="1" applyAlignment="1">
      <alignment horizontal="left" vertical="center"/>
    </xf>
    <xf numFmtId="0" fontId="169" fillId="0" borderId="80" xfId="5384" applyFont="1" applyBorder="1" applyAlignment="1">
      <alignment horizontal="left" vertical="center"/>
    </xf>
    <xf numFmtId="0" fontId="169" fillId="0" borderId="78" xfId="5388" applyNumberFormat="1" applyFont="1" applyFill="1" applyBorder="1" applyAlignment="1">
      <alignment horizontal="center" vertical="center"/>
    </xf>
    <xf numFmtId="0" fontId="169" fillId="0" borderId="78" xfId="5384" applyFont="1" applyBorder="1" applyAlignment="1">
      <alignment horizontal="center" vertical="center"/>
    </xf>
    <xf numFmtId="0" fontId="169" fillId="0" borderId="90" xfId="5364" applyFont="1" applyBorder="1" applyAlignment="1">
      <alignment horizontal="left" vertical="center"/>
    </xf>
    <xf numFmtId="0" fontId="169" fillId="0" borderId="79" xfId="5384" applyFont="1" applyBorder="1" applyAlignment="1" applyProtection="1">
      <alignment horizontal="left" vertical="center"/>
      <protection locked="0"/>
    </xf>
    <xf numFmtId="0" fontId="169" fillId="0" borderId="80" xfId="5384" applyFont="1" applyBorder="1" applyAlignment="1" applyProtection="1">
      <alignment horizontal="left" vertical="center"/>
      <protection locked="0"/>
    </xf>
    <xf numFmtId="0" fontId="179" fillId="0" borderId="90" xfId="5384" applyFont="1" applyBorder="1" applyAlignment="1">
      <alignment horizontal="left" vertical="center"/>
    </xf>
    <xf numFmtId="0" fontId="179" fillId="0" borderId="79" xfId="5384" applyFont="1" applyBorder="1" applyAlignment="1" applyProtection="1">
      <alignment horizontal="left" vertical="center"/>
      <protection locked="0"/>
    </xf>
    <xf numFmtId="0" fontId="179" fillId="0" borderId="80" xfId="5384" applyFont="1" applyBorder="1" applyAlignment="1" applyProtection="1">
      <alignment horizontal="left" vertical="center"/>
      <protection locked="0"/>
    </xf>
    <xf numFmtId="0" fontId="179" fillId="0" borderId="78" xfId="5384" applyFont="1" applyBorder="1" applyAlignment="1">
      <alignment horizontal="center" vertical="center"/>
    </xf>
    <xf numFmtId="0" fontId="169" fillId="0" borderId="78" xfId="5384" applyFont="1" applyBorder="1" applyAlignment="1" applyProtection="1">
      <alignment horizontal="center" vertical="center"/>
      <protection locked="0"/>
    </xf>
    <xf numFmtId="0" fontId="169" fillId="0" borderId="90" xfId="0" applyFont="1" applyBorder="1" applyAlignment="1">
      <alignment horizontal="left" vertical="center"/>
    </xf>
    <xf numFmtId="0" fontId="169" fillId="0" borderId="79" xfId="0" applyFont="1" applyBorder="1" applyAlignment="1">
      <alignment horizontal="left" vertical="center"/>
    </xf>
    <xf numFmtId="0" fontId="169" fillId="0" borderId="80" xfId="0" applyFont="1" applyBorder="1" applyAlignment="1">
      <alignment horizontal="left" vertical="center"/>
    </xf>
    <xf numFmtId="0" fontId="180" fillId="27" borderId="78" xfId="5384" applyFont="1" applyFill="1" applyBorder="1" applyAlignment="1" applyProtection="1">
      <alignment horizontal="center" vertical="center"/>
      <protection locked="0"/>
    </xf>
    <xf numFmtId="0" fontId="174" fillId="0" borderId="83" xfId="0" applyFont="1" applyBorder="1" applyProtection="1">
      <alignment vertical="center"/>
      <protection locked="0"/>
    </xf>
    <xf numFmtId="0" fontId="174" fillId="0" borderId="84" xfId="0" applyFont="1" applyBorder="1" applyProtection="1">
      <alignment vertical="center"/>
      <protection locked="0"/>
    </xf>
    <xf numFmtId="41" fontId="174" fillId="0" borderId="81" xfId="41" applyFont="1" applyFill="1" applyBorder="1" applyAlignment="1">
      <alignment horizontal="center" vertical="center"/>
    </xf>
    <xf numFmtId="0" fontId="174" fillId="0" borderId="81" xfId="0" applyFont="1" applyBorder="1" applyAlignment="1">
      <alignment horizontal="center" vertical="center"/>
    </xf>
    <xf numFmtId="180" fontId="174" fillId="0" borderId="81" xfId="0" applyNumberFormat="1" applyFont="1" applyBorder="1">
      <alignment vertical="center"/>
    </xf>
    <xf numFmtId="0" fontId="181" fillId="24" borderId="78" xfId="0" applyFont="1" applyFill="1" applyBorder="1" applyAlignment="1">
      <alignment horizontal="center" vertical="center"/>
    </xf>
    <xf numFmtId="0" fontId="181" fillId="24" borderId="78" xfId="0" applyFont="1" applyFill="1" applyBorder="1">
      <alignment vertical="center"/>
    </xf>
    <xf numFmtId="0" fontId="175" fillId="24" borderId="78" xfId="0" applyFont="1" applyFill="1" applyBorder="1" applyAlignment="1">
      <alignment horizontal="center" vertical="center" wrapText="1"/>
    </xf>
    <xf numFmtId="0" fontId="175" fillId="24" borderId="78" xfId="0" applyFont="1" applyFill="1" applyBorder="1" applyAlignment="1">
      <alignment horizontal="left" vertical="center" wrapText="1"/>
    </xf>
    <xf numFmtId="0" fontId="175" fillId="0" borderId="78" xfId="0" applyFont="1" applyBorder="1" applyAlignment="1">
      <alignment horizontal="center" vertical="center"/>
    </xf>
    <xf numFmtId="0" fontId="175" fillId="0" borderId="78" xfId="0" applyFont="1" applyBorder="1">
      <alignment vertical="center"/>
    </xf>
    <xf numFmtId="3" fontId="175" fillId="0" borderId="78" xfId="0" applyNumberFormat="1" applyFont="1" applyBorder="1" applyAlignment="1">
      <alignment horizontal="center" vertical="center"/>
    </xf>
    <xf numFmtId="14" fontId="175" fillId="0" borderId="78" xfId="0" applyNumberFormat="1" applyFont="1" applyBorder="1" applyAlignment="1">
      <alignment horizontal="center" vertical="center"/>
    </xf>
    <xf numFmtId="3" fontId="175" fillId="0" borderId="78" xfId="0" applyNumberFormat="1" applyFont="1" applyBorder="1" applyAlignment="1">
      <alignment horizontal="left" vertical="center"/>
    </xf>
    <xf numFmtId="0" fontId="170" fillId="0" borderId="78" xfId="0" applyFont="1" applyBorder="1" applyAlignment="1">
      <alignment horizontal="center" vertical="center"/>
    </xf>
    <xf numFmtId="0" fontId="170" fillId="0" borderId="78" xfId="0" applyFont="1" applyBorder="1">
      <alignment vertical="center"/>
    </xf>
    <xf numFmtId="14" fontId="170" fillId="0" borderId="78" xfId="0" applyNumberFormat="1" applyFont="1" applyBorder="1" applyAlignment="1">
      <alignment horizontal="center" vertical="center"/>
    </xf>
    <xf numFmtId="3" fontId="170" fillId="0" borderId="78" xfId="0" applyNumberFormat="1" applyFont="1" applyBorder="1" applyAlignment="1">
      <alignment horizontal="center" vertical="center"/>
    </xf>
    <xf numFmtId="0" fontId="175" fillId="94" borderId="78" xfId="0" applyFont="1" applyFill="1" applyBorder="1" applyAlignment="1">
      <alignment horizontal="center" vertical="center"/>
    </xf>
    <xf numFmtId="0" fontId="175" fillId="94" borderId="78" xfId="0" applyFont="1" applyFill="1" applyBorder="1">
      <alignment vertical="center"/>
    </xf>
    <xf numFmtId="3" fontId="175" fillId="94" borderId="78" xfId="0" applyNumberFormat="1" applyFont="1" applyFill="1" applyBorder="1" applyAlignment="1">
      <alignment horizontal="center" vertical="center"/>
    </xf>
    <xf numFmtId="14" fontId="175" fillId="94" borderId="78" xfId="0" applyNumberFormat="1" applyFont="1" applyFill="1" applyBorder="1" applyAlignment="1">
      <alignment horizontal="center" vertical="center"/>
    </xf>
    <xf numFmtId="3" fontId="175" fillId="94" borderId="78" xfId="0" applyNumberFormat="1" applyFont="1" applyFill="1" applyBorder="1" applyAlignment="1">
      <alignment horizontal="left" vertical="center"/>
    </xf>
    <xf numFmtId="0" fontId="155" fillId="0" borderId="81" xfId="0" applyFont="1" applyBorder="1" applyProtection="1">
      <alignment vertical="center"/>
      <protection locked="0"/>
    </xf>
    <xf numFmtId="0" fontId="33" fillId="0" borderId="113" xfId="0" applyFont="1" applyBorder="1">
      <alignment vertical="center"/>
    </xf>
    <xf numFmtId="41" fontId="33" fillId="0" borderId="78" xfId="41" applyFont="1" applyFill="1" applyBorder="1" applyAlignment="1" applyProtection="1">
      <alignment vertical="center"/>
      <protection locked="0"/>
    </xf>
    <xf numFmtId="0" fontId="33" fillId="0" borderId="78" xfId="0" applyFont="1" applyBorder="1" applyAlignment="1" applyProtection="1">
      <alignment horizontal="center" vertical="center"/>
      <protection locked="0"/>
    </xf>
    <xf numFmtId="0" fontId="27" fillId="27" borderId="22" xfId="0" applyFont="1" applyFill="1" applyBorder="1" applyAlignment="1" applyProtection="1">
      <alignment horizontal="center" vertical="center"/>
      <protection locked="0"/>
    </xf>
    <xf numFmtId="0" fontId="138" fillId="0" borderId="0" xfId="0" applyFont="1">
      <alignment vertical="center"/>
    </xf>
    <xf numFmtId="41" fontId="33" fillId="0" borderId="0" xfId="41" applyFont="1" applyFill="1" applyBorder="1" applyAlignment="1" applyProtection="1">
      <alignment vertical="center"/>
      <protection locked="0"/>
    </xf>
    <xf numFmtId="41" fontId="33" fillId="0" borderId="0" xfId="41" applyFont="1" applyFill="1" applyBorder="1" applyAlignment="1" applyProtection="1">
      <alignment horizontal="center" vertical="center"/>
      <protection locked="0"/>
    </xf>
    <xf numFmtId="0" fontId="33" fillId="0" borderId="0" xfId="0" applyFont="1" applyProtection="1">
      <alignment vertical="center"/>
      <protection locked="0"/>
    </xf>
    <xf numFmtId="41" fontId="33" fillId="0" borderId="78" xfId="41" applyFont="1" applyFill="1" applyBorder="1" applyAlignment="1" applyProtection="1">
      <alignment horizontal="center" vertical="center"/>
      <protection locked="0"/>
    </xf>
    <xf numFmtId="0" fontId="155" fillId="0" borderId="115" xfId="0" applyFont="1" applyBorder="1" applyProtection="1">
      <alignment vertical="center"/>
      <protection locked="0"/>
    </xf>
    <xf numFmtId="0" fontId="27" fillId="27" borderId="115" xfId="0" applyFont="1" applyFill="1" applyBorder="1" applyAlignment="1" applyProtection="1">
      <alignment horizontal="center" vertical="center"/>
      <protection locked="0"/>
    </xf>
    <xf numFmtId="0" fontId="27" fillId="0" borderId="121" xfId="0" applyFont="1" applyBorder="1" applyAlignment="1">
      <alignment horizontal="center" vertical="center"/>
    </xf>
    <xf numFmtId="0" fontId="33" fillId="8" borderId="78" xfId="0" applyFont="1" applyFill="1" applyBorder="1" applyProtection="1">
      <alignment vertical="center"/>
      <protection locked="0"/>
    </xf>
    <xf numFmtId="185" fontId="137" fillId="0" borderId="0" xfId="0" applyNumberFormat="1" applyFont="1">
      <alignment vertical="center"/>
    </xf>
    <xf numFmtId="186" fontId="182" fillId="0" borderId="119" xfId="0" applyNumberFormat="1" applyFont="1" applyBorder="1" applyProtection="1">
      <alignment vertical="center"/>
      <protection locked="0"/>
    </xf>
    <xf numFmtId="186" fontId="182" fillId="0" borderId="85" xfId="0" applyNumberFormat="1" applyFont="1" applyBorder="1" applyProtection="1">
      <alignment vertical="center"/>
      <protection locked="0"/>
    </xf>
    <xf numFmtId="0" fontId="138" fillId="88" borderId="123" xfId="0" applyFont="1" applyFill="1" applyBorder="1">
      <alignment vertical="center"/>
    </xf>
    <xf numFmtId="0" fontId="138" fillId="88" borderId="122" xfId="0" applyFont="1" applyFill="1" applyBorder="1">
      <alignment vertical="center"/>
    </xf>
    <xf numFmtId="0" fontId="139" fillId="98" borderId="78" xfId="0" applyFont="1" applyFill="1" applyBorder="1" applyAlignment="1">
      <alignment horizontal="center" vertical="center"/>
    </xf>
    <xf numFmtId="0" fontId="139" fillId="98" borderId="78" xfId="0" applyFont="1" applyFill="1" applyBorder="1">
      <alignment vertical="center"/>
    </xf>
    <xf numFmtId="0" fontId="33" fillId="99" borderId="7" xfId="0" applyFont="1" applyFill="1" applyBorder="1" applyProtection="1">
      <alignment vertical="center"/>
      <protection locked="0"/>
    </xf>
    <xf numFmtId="0" fontId="33" fillId="99" borderId="78" xfId="0" applyFont="1" applyFill="1" applyBorder="1" applyProtection="1">
      <alignment vertical="center"/>
      <protection locked="0"/>
    </xf>
    <xf numFmtId="41" fontId="138" fillId="88" borderId="90" xfId="41" applyFont="1" applyFill="1" applyBorder="1" applyAlignment="1">
      <alignment horizontal="left" vertical="center"/>
    </xf>
    <xf numFmtId="0" fontId="27" fillId="27" borderId="81" xfId="0" applyFont="1" applyFill="1" applyBorder="1" applyAlignment="1" applyProtection="1">
      <alignment horizontal="center" vertical="center"/>
      <protection locked="0"/>
    </xf>
    <xf numFmtId="0" fontId="169" fillId="0" borderId="123" xfId="5384" applyFont="1" applyBorder="1" applyAlignment="1">
      <alignment horizontal="left" vertical="center"/>
    </xf>
    <xf numFmtId="0" fontId="169" fillId="0" borderId="122" xfId="5384" applyFont="1" applyBorder="1" applyAlignment="1">
      <alignment horizontal="left" vertical="center"/>
    </xf>
    <xf numFmtId="41" fontId="169" fillId="19" borderId="78" xfId="41" applyFont="1" applyFill="1" applyBorder="1" applyAlignment="1">
      <alignment horizontal="center" vertical="center"/>
    </xf>
    <xf numFmtId="0" fontId="169" fillId="0" borderId="123" xfId="5384" applyFont="1" applyBorder="1" applyAlignment="1" applyProtection="1">
      <alignment horizontal="left" vertical="center"/>
      <protection locked="0"/>
    </xf>
    <xf numFmtId="0" fontId="169" fillId="0" borderId="122" xfId="5384" applyFont="1" applyBorder="1" applyAlignment="1" applyProtection="1">
      <alignment horizontal="left" vertical="center"/>
      <protection locked="0"/>
    </xf>
    <xf numFmtId="0" fontId="183" fillId="27" borderId="22" xfId="0" applyFont="1" applyFill="1" applyBorder="1" applyAlignment="1" applyProtection="1">
      <alignment horizontal="center" vertical="center"/>
      <protection locked="0"/>
    </xf>
    <xf numFmtId="41" fontId="183" fillId="27" borderId="22" xfId="1" applyFont="1" applyFill="1" applyBorder="1" applyAlignment="1" applyProtection="1">
      <alignment horizontal="center" vertical="center"/>
      <protection locked="0"/>
    </xf>
    <xf numFmtId="0" fontId="184" fillId="0" borderId="0" xfId="0" applyFont="1">
      <alignment vertical="center"/>
    </xf>
    <xf numFmtId="0" fontId="183" fillId="0" borderId="86" xfId="0" applyFont="1" applyBorder="1" applyAlignment="1">
      <alignment horizontal="center" vertical="center"/>
    </xf>
    <xf numFmtId="0" fontId="185" fillId="0" borderId="22" xfId="0" applyFont="1" applyBorder="1" applyProtection="1">
      <alignment vertical="center"/>
      <protection locked="0"/>
    </xf>
    <xf numFmtId="0" fontId="183" fillId="27" borderId="22" xfId="0" applyFont="1" applyFill="1" applyBorder="1" applyProtection="1">
      <alignment vertical="center"/>
      <protection locked="0"/>
    </xf>
    <xf numFmtId="0" fontId="183" fillId="0" borderId="22" xfId="0" applyFont="1" applyBorder="1" applyAlignment="1">
      <alignment horizontal="center" vertical="center"/>
    </xf>
    <xf numFmtId="0" fontId="183" fillId="27" borderId="115" xfId="0" applyFont="1" applyFill="1" applyBorder="1" applyAlignment="1" applyProtection="1">
      <alignment horizontal="center" vertical="center"/>
      <protection locked="0"/>
    </xf>
    <xf numFmtId="0" fontId="183" fillId="0" borderId="23" xfId="0" applyFont="1" applyBorder="1">
      <alignment vertical="center"/>
    </xf>
    <xf numFmtId="0" fontId="183" fillId="0" borderId="24" xfId="0" applyFont="1" applyBorder="1" applyProtection="1">
      <alignment vertical="center"/>
      <protection locked="0"/>
    </xf>
    <xf numFmtId="0" fontId="183" fillId="0" borderId="25" xfId="0" applyFont="1" applyBorder="1" applyProtection="1">
      <alignment vertical="center"/>
      <protection locked="0"/>
    </xf>
    <xf numFmtId="41" fontId="183" fillId="0" borderId="22" xfId="41" applyFont="1" applyFill="1" applyBorder="1" applyAlignment="1">
      <alignment horizontal="center" vertical="center"/>
    </xf>
    <xf numFmtId="180" fontId="183" fillId="0" borderId="22" xfId="0" applyNumberFormat="1" applyFont="1" applyBorder="1">
      <alignment vertical="center"/>
    </xf>
    <xf numFmtId="41" fontId="183" fillId="0" borderId="22" xfId="1" applyFont="1" applyBorder="1" applyAlignment="1">
      <alignment vertical="center"/>
    </xf>
    <xf numFmtId="41" fontId="183" fillId="0" borderId="22" xfId="1" applyFont="1" applyBorder="1">
      <alignment vertical="center"/>
    </xf>
    <xf numFmtId="186" fontId="183" fillId="0" borderId="119" xfId="0" applyNumberFormat="1" applyFont="1" applyBorder="1" applyProtection="1">
      <alignment vertical="center"/>
      <protection locked="0"/>
    </xf>
    <xf numFmtId="0" fontId="184" fillId="27" borderId="99" xfId="0" applyFont="1" applyFill="1" applyBorder="1" applyAlignment="1" applyProtection="1">
      <alignment horizontal="center" vertical="center"/>
      <protection locked="0"/>
    </xf>
    <xf numFmtId="0" fontId="184" fillId="27" borderId="100" xfId="0" applyFont="1" applyFill="1" applyBorder="1" applyAlignment="1" applyProtection="1">
      <alignment horizontal="center" vertical="center"/>
      <protection locked="0"/>
    </xf>
    <xf numFmtId="41" fontId="184" fillId="0" borderId="105" xfId="41" applyFont="1" applyFill="1" applyBorder="1">
      <alignment vertical="center"/>
    </xf>
    <xf numFmtId="185" fontId="185" fillId="0" borderId="106" xfId="0" applyNumberFormat="1" applyFont="1" applyBorder="1" applyAlignment="1">
      <alignment horizontal="center" vertical="center"/>
    </xf>
    <xf numFmtId="185" fontId="184" fillId="0" borderId="106" xfId="0" applyNumberFormat="1" applyFont="1" applyBorder="1" applyAlignment="1">
      <alignment horizontal="center" vertical="center"/>
    </xf>
    <xf numFmtId="185" fontId="184" fillId="0" borderId="106" xfId="0" applyNumberFormat="1" applyFont="1" applyBorder="1">
      <alignment vertical="center"/>
    </xf>
    <xf numFmtId="0" fontId="184" fillId="0" borderId="107" xfId="0" applyFont="1" applyBorder="1">
      <alignment vertical="center"/>
    </xf>
    <xf numFmtId="0" fontId="185" fillId="0" borderId="115" xfId="0" applyFont="1" applyBorder="1" applyProtection="1">
      <alignment vertical="center"/>
      <protection locked="0"/>
    </xf>
    <xf numFmtId="0" fontId="183" fillId="0" borderId="116" xfId="0" applyFont="1" applyBorder="1">
      <alignment vertical="center"/>
    </xf>
    <xf numFmtId="0" fontId="183" fillId="0" borderId="117" xfId="0" applyFont="1" applyBorder="1" applyProtection="1">
      <alignment vertical="center"/>
      <protection locked="0"/>
    </xf>
    <xf numFmtId="0" fontId="183" fillId="0" borderId="118" xfId="0" applyFont="1" applyBorder="1" applyProtection="1">
      <alignment vertical="center"/>
      <protection locked="0"/>
    </xf>
    <xf numFmtId="41" fontId="183" fillId="0" borderId="115" xfId="41" applyFont="1" applyFill="1" applyBorder="1" applyAlignment="1">
      <alignment horizontal="center" vertical="center"/>
    </xf>
    <xf numFmtId="0" fontId="183" fillId="0" borderId="115" xfId="0" applyFont="1" applyBorder="1" applyAlignment="1">
      <alignment horizontal="center" vertical="center"/>
    </xf>
    <xf numFmtId="41" fontId="183" fillId="27" borderId="115" xfId="1" applyFont="1" applyFill="1" applyBorder="1" applyAlignment="1" applyProtection="1">
      <alignment horizontal="center" vertical="center"/>
      <protection locked="0"/>
    </xf>
    <xf numFmtId="180" fontId="183" fillId="0" borderId="115" xfId="0" applyNumberFormat="1" applyFont="1" applyBorder="1">
      <alignment vertical="center"/>
    </xf>
    <xf numFmtId="41" fontId="183" fillId="0" borderId="115" xfId="1" applyFont="1" applyBorder="1">
      <alignment vertical="center"/>
    </xf>
    <xf numFmtId="0" fontId="183" fillId="27" borderId="115" xfId="0" applyFont="1" applyFill="1" applyBorder="1" applyProtection="1">
      <alignment vertical="center"/>
      <protection locked="0"/>
    </xf>
    <xf numFmtId="41" fontId="183" fillId="0" borderId="115" xfId="1" applyFont="1" applyBorder="1" applyAlignment="1">
      <alignment vertical="center"/>
    </xf>
    <xf numFmtId="0" fontId="183" fillId="0" borderId="121" xfId="0" applyFont="1" applyBorder="1" applyAlignment="1">
      <alignment horizontal="center" vertical="center"/>
    </xf>
    <xf numFmtId="186" fontId="27" fillId="0" borderId="119" xfId="0" applyNumberFormat="1" applyFont="1" applyBorder="1" applyProtection="1">
      <alignment vertical="center"/>
      <protection locked="0"/>
    </xf>
    <xf numFmtId="185" fontId="155" fillId="0" borderId="106" xfId="0" applyNumberFormat="1" applyFont="1" applyBorder="1" applyAlignment="1">
      <alignment horizontal="center" vertical="center"/>
    </xf>
    <xf numFmtId="0" fontId="186" fillId="0" borderId="26" xfId="0" applyFont="1" applyBorder="1" applyProtection="1">
      <alignment vertical="center"/>
      <protection locked="0"/>
    </xf>
    <xf numFmtId="0" fontId="186" fillId="0" borderId="119" xfId="0" applyFont="1" applyBorder="1" applyProtection="1">
      <alignment vertical="center"/>
      <protection locked="0"/>
    </xf>
    <xf numFmtId="0" fontId="174" fillId="27" borderId="81" xfId="0" applyFont="1" applyFill="1" applyBorder="1" applyAlignment="1" applyProtection="1">
      <alignment horizontal="center" vertical="center"/>
      <protection locked="0"/>
    </xf>
    <xf numFmtId="41" fontId="174" fillId="27" borderId="81" xfId="1" applyFont="1" applyFill="1" applyBorder="1" applyAlignment="1" applyProtection="1">
      <alignment horizontal="center" vertical="center"/>
      <protection locked="0"/>
    </xf>
    <xf numFmtId="0" fontId="0" fillId="0" borderId="0" xfId="0" applyAlignment="1"/>
    <xf numFmtId="0" fontId="0" fillId="0" borderId="0" xfId="0" applyAlignment="1">
      <alignment horizontal="center"/>
    </xf>
    <xf numFmtId="187" fontId="179" fillId="0" borderId="0" xfId="1669" applyNumberFormat="1" applyFont="1" applyAlignment="1">
      <alignment horizontal="center" vertical="top"/>
    </xf>
    <xf numFmtId="0" fontId="187" fillId="0" borderId="0" xfId="0" applyFont="1" applyAlignment="1"/>
    <xf numFmtId="0" fontId="26" fillId="27" borderId="23" xfId="0" applyFont="1" applyFill="1" applyBorder="1" applyAlignment="1" applyProtection="1">
      <alignment horizontal="center" vertical="center"/>
      <protection locked="0"/>
    </xf>
    <xf numFmtId="41" fontId="26" fillId="27" borderId="22" xfId="5374" applyFont="1" applyFill="1" applyBorder="1" applyAlignment="1" applyProtection="1">
      <alignment horizontal="center" vertical="center"/>
      <protection locked="0"/>
    </xf>
    <xf numFmtId="41" fontId="161" fillId="27" borderId="81" xfId="1" applyFont="1" applyFill="1" applyBorder="1" applyAlignment="1" applyProtection="1">
      <alignment horizontal="center" vertical="center"/>
      <protection locked="0"/>
    </xf>
    <xf numFmtId="0" fontId="161" fillId="27" borderId="81" xfId="0" applyFont="1" applyFill="1" applyBorder="1" applyAlignment="1" applyProtection="1">
      <alignment horizontal="center" vertical="center"/>
      <protection locked="0"/>
    </xf>
    <xf numFmtId="0" fontId="189" fillId="0" borderId="0" xfId="0" applyFont="1">
      <alignment vertical="center"/>
    </xf>
    <xf numFmtId="0" fontId="174" fillId="0" borderId="82" xfId="0" applyFont="1" applyBorder="1">
      <alignment vertical="center"/>
    </xf>
    <xf numFmtId="41" fontId="174" fillId="0" borderId="81" xfId="1" applyFont="1" applyBorder="1" applyAlignment="1">
      <alignment vertical="center"/>
    </xf>
    <xf numFmtId="0" fontId="26" fillId="27" borderId="116" xfId="0" applyFont="1" applyFill="1" applyBorder="1" applyAlignment="1" applyProtection="1">
      <alignment horizontal="center" vertical="center"/>
      <protection locked="0"/>
    </xf>
    <xf numFmtId="0" fontId="138" fillId="88" borderId="123" xfId="0" applyFont="1" applyFill="1" applyBorder="1" applyAlignment="1" applyProtection="1">
      <alignment horizontal="left" vertical="center"/>
      <protection locked="0"/>
    </xf>
    <xf numFmtId="0" fontId="138" fillId="88" borderId="122" xfId="0" applyFont="1" applyFill="1" applyBorder="1" applyAlignment="1" applyProtection="1">
      <alignment horizontal="left" vertical="center"/>
      <protection locked="0"/>
    </xf>
    <xf numFmtId="0" fontId="138" fillId="88" borderId="90" xfId="5364" applyFont="1" applyFill="1" applyBorder="1" applyAlignment="1">
      <alignment horizontal="left" vertical="center"/>
    </xf>
    <xf numFmtId="0" fontId="191" fillId="91" borderId="125" xfId="5382" applyFont="1" applyFill="1" applyBorder="1" applyAlignment="1">
      <alignment horizontal="center" vertical="center"/>
    </xf>
    <xf numFmtId="0" fontId="175" fillId="0" borderId="122" xfId="5382" applyFont="1" applyBorder="1" applyAlignment="1">
      <alignment horizontal="left" vertical="center" indent="1"/>
    </xf>
    <xf numFmtId="182" fontId="192" fillId="91" borderId="126" xfId="0" applyNumberFormat="1" applyFont="1" applyFill="1" applyBorder="1" applyAlignment="1">
      <alignment horizontal="center" vertical="center"/>
    </xf>
    <xf numFmtId="0" fontId="191" fillId="0" borderId="125" xfId="5382" applyFont="1" applyBorder="1" applyAlignment="1">
      <alignment horizontal="center" vertical="center"/>
    </xf>
    <xf numFmtId="3" fontId="193" fillId="0" borderId="78" xfId="0" applyNumberFormat="1" applyFont="1" applyBorder="1" applyAlignment="1">
      <alignment horizontal="center" vertical="center"/>
    </xf>
    <xf numFmtId="0" fontId="194" fillId="0" borderId="127" xfId="42" applyFont="1" applyBorder="1" applyAlignment="1">
      <alignment horizontal="center" vertical="center" wrapText="1"/>
    </xf>
    <xf numFmtId="41" fontId="194" fillId="0" borderId="127" xfId="5383" applyFont="1" applyFill="1" applyBorder="1" applyAlignment="1">
      <alignment vertical="center" wrapText="1"/>
    </xf>
    <xf numFmtId="41" fontId="161" fillId="0" borderId="22" xfId="1" applyFont="1" applyBorder="1" applyAlignment="1">
      <alignment vertical="center"/>
    </xf>
    <xf numFmtId="41" fontId="161" fillId="0" borderId="115" xfId="1" applyFont="1" applyBorder="1" applyAlignment="1">
      <alignment vertical="center"/>
    </xf>
    <xf numFmtId="0" fontId="27" fillId="0" borderId="128" xfId="0" applyFont="1" applyBorder="1" applyAlignment="1">
      <alignment horizontal="center" vertical="center"/>
    </xf>
    <xf numFmtId="0" fontId="155" fillId="0" borderId="129" xfId="0" applyFont="1" applyBorder="1" applyProtection="1">
      <alignment vertical="center"/>
      <protection locked="0"/>
    </xf>
    <xf numFmtId="0" fontId="27" fillId="27" borderId="129" xfId="0" applyFont="1" applyFill="1" applyBorder="1" applyProtection="1">
      <alignment vertical="center"/>
      <protection locked="0"/>
    </xf>
    <xf numFmtId="0" fontId="27" fillId="0" borderId="129" xfId="0" applyFont="1" applyBorder="1" applyAlignment="1">
      <alignment horizontal="center" vertical="center"/>
    </xf>
    <xf numFmtId="0" fontId="27" fillId="27" borderId="129" xfId="0" applyFont="1" applyFill="1" applyBorder="1" applyAlignment="1" applyProtection="1">
      <alignment horizontal="center" vertical="center"/>
      <protection locked="0"/>
    </xf>
    <xf numFmtId="0" fontId="27" fillId="0" borderId="130" xfId="0" applyFont="1" applyBorder="1">
      <alignment vertical="center"/>
    </xf>
    <xf numFmtId="0" fontId="27" fillId="0" borderId="131" xfId="0" applyFont="1" applyBorder="1" applyProtection="1">
      <alignment vertical="center"/>
      <protection locked="0"/>
    </xf>
    <xf numFmtId="0" fontId="27" fillId="0" borderId="132" xfId="0" applyFont="1" applyBorder="1" applyProtection="1">
      <alignment vertical="center"/>
      <protection locked="0"/>
    </xf>
    <xf numFmtId="41" fontId="27" fillId="0" borderId="129" xfId="41" applyFont="1" applyFill="1" applyBorder="1" applyAlignment="1">
      <alignment horizontal="center" vertical="center"/>
    </xf>
    <xf numFmtId="41" fontId="27" fillId="27" borderId="129" xfId="1" applyFont="1" applyFill="1" applyBorder="1" applyAlignment="1" applyProtection="1">
      <alignment horizontal="center" vertical="center"/>
      <protection locked="0"/>
    </xf>
    <xf numFmtId="180" fontId="27" fillId="0" borderId="129" xfId="0" applyNumberFormat="1" applyFont="1" applyBorder="1">
      <alignment vertical="center"/>
    </xf>
    <xf numFmtId="41" fontId="27" fillId="0" borderId="129" xfId="1" applyFont="1" applyBorder="1" applyAlignment="1">
      <alignment vertical="center"/>
    </xf>
    <xf numFmtId="41" fontId="27" fillId="0" borderId="129" xfId="1" applyFont="1" applyBorder="1">
      <alignment vertical="center"/>
    </xf>
    <xf numFmtId="186" fontId="182" fillId="0" borderId="133" xfId="0" applyNumberFormat="1" applyFont="1" applyBorder="1" applyProtection="1">
      <alignment vertical="center"/>
      <protection locked="0"/>
    </xf>
    <xf numFmtId="186" fontId="182" fillId="0" borderId="119" xfId="0" applyNumberFormat="1" applyFont="1" applyBorder="1" applyAlignment="1" applyProtection="1">
      <alignment horizontal="right" vertical="center"/>
      <protection locked="0"/>
    </xf>
    <xf numFmtId="186" fontId="182" fillId="0" borderId="85" xfId="0" applyNumberFormat="1" applyFont="1" applyBorder="1" applyAlignment="1" applyProtection="1">
      <alignment horizontal="right" vertical="center"/>
      <protection locked="0"/>
    </xf>
    <xf numFmtId="0" fontId="161" fillId="27" borderId="115" xfId="0" applyFont="1" applyFill="1" applyBorder="1" applyAlignment="1" applyProtection="1">
      <alignment horizontal="center" vertical="center"/>
      <protection locked="0"/>
    </xf>
    <xf numFmtId="41" fontId="161" fillId="27" borderId="115" xfId="1" applyFont="1" applyFill="1" applyBorder="1" applyAlignment="1" applyProtection="1">
      <alignment horizontal="center" vertical="center"/>
      <protection locked="0"/>
    </xf>
    <xf numFmtId="0" fontId="196" fillId="27" borderId="23" xfId="0" applyFont="1" applyFill="1" applyBorder="1" applyAlignment="1" applyProtection="1">
      <alignment horizontal="center" vertical="center"/>
      <protection locked="0"/>
    </xf>
    <xf numFmtId="41" fontId="196" fillId="27" borderId="22" xfId="5374" applyFont="1" applyFill="1" applyBorder="1" applyAlignment="1" applyProtection="1">
      <alignment horizontal="center" vertical="center"/>
      <protection locked="0"/>
    </xf>
    <xf numFmtId="41" fontId="161" fillId="27" borderId="22" xfId="1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0" fontId="33" fillId="0" borderId="134" xfId="0" applyFont="1" applyBorder="1" applyProtection="1">
      <alignment vertical="center"/>
      <protection locked="0"/>
    </xf>
    <xf numFmtId="0" fontId="179" fillId="27" borderId="134" xfId="5384" applyFont="1" applyFill="1" applyBorder="1" applyAlignment="1" applyProtection="1">
      <alignment horizontal="center" vertical="center"/>
      <protection locked="0"/>
    </xf>
    <xf numFmtId="0" fontId="169" fillId="0" borderId="135" xfId="5384" applyFont="1" applyBorder="1" applyAlignment="1">
      <alignment horizontal="left" vertical="center"/>
    </xf>
    <xf numFmtId="0" fontId="169" fillId="0" borderId="136" xfId="5384" applyFont="1" applyBorder="1" applyAlignment="1">
      <alignment horizontal="left" vertical="center"/>
    </xf>
    <xf numFmtId="0" fontId="169" fillId="0" borderId="137" xfId="5384" applyFont="1" applyBorder="1" applyAlignment="1">
      <alignment horizontal="left" vertical="center"/>
    </xf>
    <xf numFmtId="41" fontId="169" fillId="19" borderId="134" xfId="41" applyFont="1" applyFill="1" applyBorder="1" applyAlignment="1">
      <alignment horizontal="center" vertical="center"/>
    </xf>
    <xf numFmtId="0" fontId="169" fillId="0" borderId="134" xfId="5388" applyNumberFormat="1" applyFont="1" applyFill="1" applyBorder="1" applyAlignment="1">
      <alignment horizontal="center" vertical="center"/>
    </xf>
    <xf numFmtId="0" fontId="137" fillId="0" borderId="134" xfId="0" applyFont="1" applyBorder="1">
      <alignment vertical="center"/>
    </xf>
    <xf numFmtId="0" fontId="138" fillId="0" borderId="134" xfId="0" applyFont="1" applyBorder="1">
      <alignment vertical="center"/>
    </xf>
    <xf numFmtId="41" fontId="33" fillId="0" borderId="134" xfId="41" applyFont="1" applyFill="1" applyBorder="1" applyAlignment="1" applyProtection="1">
      <alignment vertical="center"/>
      <protection locked="0"/>
    </xf>
    <xf numFmtId="41" fontId="33" fillId="0" borderId="134" xfId="41" applyFont="1" applyFill="1" applyBorder="1" applyAlignment="1" applyProtection="1">
      <alignment horizontal="center" vertical="center"/>
      <protection locked="0"/>
    </xf>
    <xf numFmtId="41" fontId="174" fillId="0" borderId="115" xfId="1" applyFont="1" applyBorder="1" applyAlignment="1">
      <alignment vertical="center"/>
    </xf>
    <xf numFmtId="0" fontId="155" fillId="22" borderId="43" xfId="0" applyFont="1" applyFill="1" applyBorder="1">
      <alignment vertical="center"/>
    </xf>
    <xf numFmtId="0" fontId="155" fillId="22" borderId="44" xfId="0" applyFont="1" applyFill="1" applyBorder="1">
      <alignment vertical="center"/>
    </xf>
    <xf numFmtId="0" fontId="155" fillId="0" borderId="45" xfId="0" applyFont="1" applyBorder="1" applyAlignment="1" applyProtection="1">
      <alignment horizontal="center" vertical="center"/>
      <protection locked="0"/>
    </xf>
    <xf numFmtId="0" fontId="155" fillId="0" borderId="44" xfId="0" applyFont="1" applyBorder="1" applyAlignment="1" applyProtection="1">
      <alignment horizontal="center" vertical="center"/>
      <protection locked="0"/>
    </xf>
    <xf numFmtId="0" fontId="155" fillId="0" borderId="5" xfId="0" applyFont="1" applyBorder="1" applyAlignment="1" applyProtection="1">
      <alignment horizontal="center" vertical="center"/>
      <protection locked="0"/>
    </xf>
    <xf numFmtId="0" fontId="155" fillId="0" borderId="21" xfId="0" applyFont="1" applyBorder="1" applyAlignment="1">
      <alignment horizontal="center" vertical="center"/>
    </xf>
    <xf numFmtId="0" fontId="155" fillId="0" borderId="46" xfId="0" applyFont="1" applyBorder="1" applyAlignment="1">
      <alignment horizontal="center" vertical="center"/>
    </xf>
    <xf numFmtId="0" fontId="155" fillId="0" borderId="47" xfId="0" applyFont="1" applyBorder="1" applyAlignment="1">
      <alignment horizontal="center" vertical="center"/>
    </xf>
    <xf numFmtId="0" fontId="157" fillId="0" borderId="31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0" fontId="155" fillId="0" borderId="0" xfId="0" applyFont="1" applyAlignment="1">
      <alignment horizontal="center" vertical="center" wrapText="1"/>
    </xf>
    <xf numFmtId="0" fontId="137" fillId="0" borderId="0" xfId="0" applyFont="1">
      <alignment vertical="center"/>
    </xf>
    <xf numFmtId="0" fontId="155" fillId="22" borderId="36" xfId="0" applyFont="1" applyFill="1" applyBorder="1">
      <alignment vertical="center"/>
    </xf>
    <xf numFmtId="0" fontId="155" fillId="22" borderId="37" xfId="0" applyFont="1" applyFill="1" applyBorder="1">
      <alignment vertical="center"/>
    </xf>
    <xf numFmtId="0" fontId="155" fillId="0" borderId="36" xfId="0" applyFont="1" applyBorder="1" applyAlignment="1" applyProtection="1">
      <alignment horizontal="center" vertical="center"/>
      <protection locked="0"/>
    </xf>
    <xf numFmtId="0" fontId="155" fillId="0" borderId="15" xfId="0" applyFont="1" applyBorder="1" applyAlignment="1" applyProtection="1">
      <alignment horizontal="center" vertical="center"/>
      <protection locked="0"/>
    </xf>
    <xf numFmtId="0" fontId="155" fillId="0" borderId="14" xfId="0" applyFont="1" applyBorder="1" applyAlignment="1" applyProtection="1">
      <alignment horizontal="center" vertical="center"/>
      <protection locked="0"/>
    </xf>
    <xf numFmtId="0" fontId="155" fillId="0" borderId="37" xfId="0" applyFont="1" applyBorder="1" applyAlignment="1" applyProtection="1">
      <alignment horizontal="center" vertical="center"/>
      <protection locked="0"/>
    </xf>
    <xf numFmtId="0" fontId="155" fillId="0" borderId="27" xfId="0" applyFont="1" applyBorder="1" applyAlignment="1" applyProtection="1">
      <alignment horizontal="center" vertical="center"/>
      <protection locked="0"/>
    </xf>
    <xf numFmtId="176" fontId="155" fillId="0" borderId="38" xfId="0" applyNumberFormat="1" applyFont="1" applyBorder="1" applyAlignment="1">
      <alignment horizontal="center" vertical="center"/>
    </xf>
    <xf numFmtId="176" fontId="155" fillId="0" borderId="39" xfId="0" applyNumberFormat="1" applyFont="1" applyBorder="1" applyAlignment="1">
      <alignment horizontal="center" vertical="center"/>
    </xf>
    <xf numFmtId="0" fontId="155" fillId="22" borderId="40" xfId="0" applyFont="1" applyFill="1" applyBorder="1">
      <alignment vertical="center"/>
    </xf>
    <xf numFmtId="0" fontId="155" fillId="22" borderId="29" xfId="0" applyFont="1" applyFill="1" applyBorder="1">
      <alignment vertical="center"/>
    </xf>
    <xf numFmtId="0" fontId="155" fillId="0" borderId="40" xfId="0" applyFont="1" applyBorder="1" applyAlignment="1" applyProtection="1">
      <alignment horizontal="center" vertical="center"/>
      <protection locked="0"/>
    </xf>
    <xf numFmtId="0" fontId="155" fillId="0" borderId="7" xfId="0" applyFont="1" applyBorder="1" applyAlignment="1" applyProtection="1">
      <alignment horizontal="center" vertical="center"/>
      <protection locked="0"/>
    </xf>
    <xf numFmtId="0" fontId="155" fillId="0" borderId="41" xfId="0" applyFont="1" applyBorder="1" applyAlignment="1" applyProtection="1">
      <alignment horizontal="center" vertical="center"/>
      <protection locked="0"/>
    </xf>
    <xf numFmtId="0" fontId="155" fillId="8" borderId="11" xfId="0" applyFont="1" applyFill="1" applyBorder="1" applyAlignment="1" applyProtection="1">
      <alignment horizontal="center" vertical="center"/>
      <protection locked="0"/>
    </xf>
    <xf numFmtId="0" fontId="155" fillId="8" borderId="42" xfId="0" applyFont="1" applyFill="1" applyBorder="1" applyAlignment="1" applyProtection="1">
      <alignment horizontal="center" vertical="center"/>
      <protection locked="0"/>
    </xf>
    <xf numFmtId="0" fontId="155" fillId="0" borderId="90" xfId="0" applyFont="1" applyBorder="1" applyAlignment="1">
      <alignment horizontal="center" vertical="center"/>
    </xf>
    <xf numFmtId="0" fontId="155" fillId="0" borderId="120" xfId="0" applyFont="1" applyBorder="1" applyAlignment="1">
      <alignment horizontal="center" vertical="center"/>
    </xf>
    <xf numFmtId="0" fontId="21" fillId="26" borderId="31" xfId="0" applyFont="1" applyFill="1" applyBorder="1" applyAlignment="1">
      <alignment horizontal="center" vertical="center"/>
    </xf>
    <xf numFmtId="0" fontId="21" fillId="26" borderId="32" xfId="0" applyFont="1" applyFill="1" applyBorder="1" applyAlignment="1">
      <alignment horizontal="center" vertical="center"/>
    </xf>
    <xf numFmtId="0" fontId="21" fillId="26" borderId="33" xfId="0" applyFont="1" applyFill="1" applyBorder="1" applyAlignment="1">
      <alignment horizontal="center" vertical="center"/>
    </xf>
    <xf numFmtId="0" fontId="21" fillId="26" borderId="34" xfId="0" applyFont="1" applyFill="1" applyBorder="1" applyAlignment="1">
      <alignment horizontal="center" vertical="center"/>
    </xf>
    <xf numFmtId="0" fontId="21" fillId="26" borderId="6" xfId="0" applyFont="1" applyFill="1" applyBorder="1" applyAlignment="1">
      <alignment horizontal="center" vertical="center"/>
    </xf>
    <xf numFmtId="0" fontId="21" fillId="26" borderId="35" xfId="0" applyFont="1" applyFill="1" applyBorder="1" applyAlignment="1">
      <alignment horizontal="center" vertical="center"/>
    </xf>
    <xf numFmtId="0" fontId="23" fillId="23" borderId="49" xfId="0" applyFont="1" applyFill="1" applyBorder="1" applyAlignment="1">
      <alignment horizontal="center" vertical="center"/>
    </xf>
    <xf numFmtId="0" fontId="23" fillId="23" borderId="9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176" fillId="22" borderId="93" xfId="0" applyFont="1" applyFill="1" applyBorder="1" applyAlignment="1">
      <alignment horizontal="center" vertical="center" wrapText="1"/>
    </xf>
    <xf numFmtId="0" fontId="176" fillId="22" borderId="94" xfId="0" applyFont="1" applyFill="1" applyBorder="1" applyAlignment="1">
      <alignment horizontal="center" vertical="center" wrapText="1"/>
    </xf>
    <xf numFmtId="0" fontId="176" fillId="22" borderId="95" xfId="0" applyFont="1" applyFill="1" applyBorder="1" applyAlignment="1">
      <alignment horizontal="center" vertical="center" wrapText="1"/>
    </xf>
    <xf numFmtId="0" fontId="155" fillId="22" borderId="98" xfId="0" applyFont="1" applyFill="1" applyBorder="1" applyAlignment="1">
      <alignment horizontal="center" vertical="center" wrapText="1"/>
    </xf>
    <xf numFmtId="0" fontId="155" fillId="22" borderId="101" xfId="0" applyFont="1" applyFill="1" applyBorder="1" applyAlignment="1">
      <alignment horizontal="center" vertical="center" wrapText="1"/>
    </xf>
    <xf numFmtId="41" fontId="155" fillId="22" borderId="36" xfId="41" applyFont="1" applyFill="1" applyBorder="1" applyAlignment="1">
      <alignment horizontal="center" vertical="center"/>
    </xf>
    <xf numFmtId="41" fontId="155" fillId="22" borderId="43" xfId="41" applyFont="1" applyFill="1" applyBorder="1" applyAlignment="1">
      <alignment horizontal="center" vertical="center"/>
    </xf>
    <xf numFmtId="0" fontId="155" fillId="22" borderId="50" xfId="0" applyFont="1" applyFill="1" applyBorder="1" applyAlignment="1">
      <alignment horizontal="center" vertical="center" wrapText="1"/>
    </xf>
    <xf numFmtId="0" fontId="155" fillId="22" borderId="51" xfId="0" applyFont="1" applyFill="1" applyBorder="1" applyAlignment="1">
      <alignment horizontal="center" vertical="center"/>
    </xf>
    <xf numFmtId="41" fontId="155" fillId="0" borderId="52" xfId="0" applyNumberFormat="1" applyFont="1" applyBorder="1" applyAlignment="1">
      <alignment horizontal="center" vertical="center"/>
    </xf>
    <xf numFmtId="0" fontId="155" fillId="0" borderId="16" xfId="0" applyFont="1" applyBorder="1" applyAlignment="1">
      <alignment horizontal="center" vertical="center"/>
    </xf>
    <xf numFmtId="41" fontId="155" fillId="0" borderId="87" xfId="0" applyNumberFormat="1" applyFont="1" applyBorder="1" applyAlignment="1">
      <alignment horizontal="center" vertical="center"/>
    </xf>
    <xf numFmtId="0" fontId="155" fillId="0" borderId="88" xfId="0" applyFont="1" applyBorder="1" applyAlignment="1">
      <alignment horizontal="center" vertical="center"/>
    </xf>
    <xf numFmtId="41" fontId="155" fillId="22" borderId="108" xfId="41" applyFont="1" applyFill="1" applyBorder="1" applyAlignment="1">
      <alignment horizontal="center" vertical="center"/>
    </xf>
    <xf numFmtId="41" fontId="155" fillId="22" borderId="124" xfId="41" applyFont="1" applyFill="1" applyBorder="1" applyAlignment="1">
      <alignment horizontal="center" vertical="center"/>
    </xf>
    <xf numFmtId="0" fontId="194" fillId="0" borderId="90" xfId="42" applyFont="1" applyBorder="1" applyAlignment="1">
      <alignment horizontal="left" vertical="center" wrapText="1"/>
    </xf>
    <xf numFmtId="0" fontId="194" fillId="0" borderId="123" xfId="42" applyFont="1" applyBorder="1" applyAlignment="1">
      <alignment horizontal="left" vertical="center" wrapText="1"/>
    </xf>
    <xf numFmtId="0" fontId="194" fillId="0" borderId="122" xfId="42" applyFont="1" applyBorder="1" applyAlignment="1">
      <alignment horizontal="left" vertical="center" wrapText="1"/>
    </xf>
    <xf numFmtId="0" fontId="155" fillId="0" borderId="13" xfId="0" applyFont="1" applyBorder="1" applyAlignment="1">
      <alignment horizontal="center" vertical="center"/>
    </xf>
    <xf numFmtId="0" fontId="155" fillId="0" borderId="12" xfId="0" applyFont="1" applyBorder="1" applyAlignment="1">
      <alignment horizontal="center" vertical="center"/>
    </xf>
    <xf numFmtId="0" fontId="155" fillId="22" borderId="93" xfId="0" applyFont="1" applyFill="1" applyBorder="1" applyAlignment="1">
      <alignment horizontal="center" vertical="center" wrapText="1"/>
    </xf>
    <xf numFmtId="0" fontId="155" fillId="22" borderId="94" xfId="0" applyFont="1" applyFill="1" applyBorder="1" applyAlignment="1">
      <alignment horizontal="center" vertical="center" wrapText="1"/>
    </xf>
    <xf numFmtId="0" fontId="155" fillId="22" borderId="95" xfId="0" applyFont="1" applyFill="1" applyBorder="1" applyAlignment="1">
      <alignment horizontal="center" vertical="center" wrapText="1"/>
    </xf>
    <xf numFmtId="0" fontId="144" fillId="0" borderId="13" xfId="0" applyFont="1" applyBorder="1" applyAlignment="1">
      <alignment horizontal="center" vertical="center"/>
    </xf>
    <xf numFmtId="0" fontId="144" fillId="0" borderId="12" xfId="0" applyFont="1" applyBorder="1" applyAlignment="1">
      <alignment horizontal="center" vertical="center"/>
    </xf>
    <xf numFmtId="0" fontId="160" fillId="0" borderId="21" xfId="0" applyFont="1" applyBorder="1" applyAlignment="1">
      <alignment horizontal="center" vertical="center" wrapText="1"/>
    </xf>
    <xf numFmtId="0" fontId="160" fillId="0" borderId="46" xfId="0" applyFont="1" applyBorder="1" applyAlignment="1">
      <alignment horizontal="center" vertical="center" wrapText="1"/>
    </xf>
    <xf numFmtId="0" fontId="160" fillId="0" borderId="47" xfId="0" applyFont="1" applyBorder="1" applyAlignment="1">
      <alignment horizontal="center" vertical="center" wrapText="1"/>
    </xf>
    <xf numFmtId="0" fontId="144" fillId="22" borderId="43" xfId="0" applyFont="1" applyFill="1" applyBorder="1">
      <alignment vertical="center"/>
    </xf>
    <xf numFmtId="0" fontId="144" fillId="22" borderId="44" xfId="0" applyFont="1" applyFill="1" applyBorder="1">
      <alignment vertical="center"/>
    </xf>
    <xf numFmtId="0" fontId="144" fillId="0" borderId="45" xfId="0" applyFont="1" applyBorder="1" applyAlignment="1" applyProtection="1">
      <alignment horizontal="center" vertical="center"/>
      <protection locked="0"/>
    </xf>
    <xf numFmtId="0" fontId="144" fillId="0" borderId="44" xfId="0" applyFont="1" applyBorder="1" applyAlignment="1" applyProtection="1">
      <alignment horizontal="center" vertical="center"/>
      <protection locked="0"/>
    </xf>
    <xf numFmtId="0" fontId="144" fillId="0" borderId="5" xfId="0" applyFont="1" applyBorder="1" applyAlignment="1" applyProtection="1">
      <alignment horizontal="center" vertical="center"/>
      <protection locked="0"/>
    </xf>
    <xf numFmtId="0" fontId="143" fillId="0" borderId="31" xfId="0" applyFont="1" applyBorder="1" applyAlignment="1">
      <alignment horizontal="center" vertical="center"/>
    </xf>
    <xf numFmtId="0" fontId="143" fillId="0" borderId="32" xfId="0" applyFont="1" applyBorder="1" applyAlignment="1">
      <alignment horizontal="center" vertical="center"/>
    </xf>
    <xf numFmtId="0" fontId="143" fillId="0" borderId="33" xfId="0" applyFont="1" applyBorder="1" applyAlignment="1">
      <alignment horizontal="center" vertical="center"/>
    </xf>
    <xf numFmtId="0" fontId="143" fillId="0" borderId="34" xfId="0" applyFont="1" applyBorder="1" applyAlignment="1">
      <alignment horizontal="center" vertical="center"/>
    </xf>
    <xf numFmtId="0" fontId="143" fillId="0" borderId="6" xfId="0" applyFont="1" applyBorder="1" applyAlignment="1">
      <alignment horizontal="center" vertical="center"/>
    </xf>
    <xf numFmtId="0" fontId="143" fillId="0" borderId="35" xfId="0" applyFont="1" applyBorder="1" applyAlignment="1">
      <alignment horizontal="center" vertical="center"/>
    </xf>
    <xf numFmtId="0" fontId="171" fillId="0" borderId="0" xfId="0" applyFont="1" applyAlignment="1">
      <alignment horizontal="center" vertical="center" wrapText="1"/>
    </xf>
    <xf numFmtId="0" fontId="172" fillId="0" borderId="0" xfId="0" applyFont="1">
      <alignment vertical="center"/>
    </xf>
    <xf numFmtId="0" fontId="144" fillId="22" borderId="36" xfId="0" applyFont="1" applyFill="1" applyBorder="1">
      <alignment vertical="center"/>
    </xf>
    <xf numFmtId="0" fontId="144" fillId="22" borderId="37" xfId="0" applyFont="1" applyFill="1" applyBorder="1">
      <alignment vertical="center"/>
    </xf>
    <xf numFmtId="0" fontId="144" fillId="0" borderId="36" xfId="0" applyFont="1" applyBorder="1" applyAlignment="1" applyProtection="1">
      <alignment horizontal="center" vertical="center"/>
      <protection locked="0"/>
    </xf>
    <xf numFmtId="0" fontId="144" fillId="0" borderId="15" xfId="0" applyFont="1" applyBorder="1" applyAlignment="1" applyProtection="1">
      <alignment horizontal="center" vertical="center"/>
      <protection locked="0"/>
    </xf>
    <xf numFmtId="0" fontId="144" fillId="0" borderId="14" xfId="0" applyFont="1" applyBorder="1" applyAlignment="1" applyProtection="1">
      <alignment horizontal="center" vertical="center"/>
      <protection locked="0"/>
    </xf>
    <xf numFmtId="0" fontId="144" fillId="0" borderId="37" xfId="0" applyFont="1" applyBorder="1" applyAlignment="1" applyProtection="1">
      <alignment horizontal="center" vertical="center"/>
      <protection locked="0"/>
    </xf>
    <xf numFmtId="0" fontId="144" fillId="0" borderId="27" xfId="0" applyFont="1" applyBorder="1" applyAlignment="1" applyProtection="1">
      <alignment horizontal="center" vertical="center"/>
      <protection locked="0"/>
    </xf>
    <xf numFmtId="176" fontId="144" fillId="0" borderId="38" xfId="0" applyNumberFormat="1" applyFont="1" applyBorder="1" applyAlignment="1">
      <alignment horizontal="center" vertical="center"/>
    </xf>
    <xf numFmtId="176" fontId="144" fillId="0" borderId="39" xfId="0" applyNumberFormat="1" applyFont="1" applyBorder="1" applyAlignment="1">
      <alignment horizontal="center" vertical="center"/>
    </xf>
    <xf numFmtId="0" fontId="144" fillId="22" borderId="40" xfId="0" applyFont="1" applyFill="1" applyBorder="1">
      <alignment vertical="center"/>
    </xf>
    <xf numFmtId="0" fontId="144" fillId="22" borderId="29" xfId="0" applyFont="1" applyFill="1" applyBorder="1">
      <alignment vertical="center"/>
    </xf>
    <xf numFmtId="0" fontId="144" fillId="0" borderId="40" xfId="0" applyFont="1" applyBorder="1" applyAlignment="1" applyProtection="1">
      <alignment horizontal="center" vertical="center"/>
      <protection locked="0"/>
    </xf>
    <xf numFmtId="0" fontId="144" fillId="0" borderId="7" xfId="0" applyFont="1" applyBorder="1" applyAlignment="1" applyProtection="1">
      <alignment horizontal="center" vertical="center"/>
      <protection locked="0"/>
    </xf>
    <xf numFmtId="0" fontId="144" fillId="0" borderId="41" xfId="0" applyFont="1" applyBorder="1" applyAlignment="1" applyProtection="1">
      <alignment horizontal="center" vertical="center"/>
      <protection locked="0"/>
    </xf>
    <xf numFmtId="0" fontId="144" fillId="8" borderId="11" xfId="0" applyFont="1" applyFill="1" applyBorder="1" applyAlignment="1" applyProtection="1">
      <alignment horizontal="center" vertical="center"/>
      <protection locked="0"/>
    </xf>
    <xf numFmtId="0" fontId="144" fillId="8" borderId="42" xfId="0" applyFont="1" applyFill="1" applyBorder="1" applyAlignment="1" applyProtection="1">
      <alignment horizontal="center" vertical="center"/>
      <protection locked="0"/>
    </xf>
    <xf numFmtId="0" fontId="27" fillId="0" borderId="48" xfId="0" applyFont="1" applyBorder="1" applyAlignment="1">
      <alignment horizontal="center" vertical="center"/>
    </xf>
    <xf numFmtId="0" fontId="27" fillId="22" borderId="93" xfId="0" applyFont="1" applyFill="1" applyBorder="1" applyAlignment="1">
      <alignment horizontal="center" vertical="center" wrapText="1"/>
    </xf>
    <xf numFmtId="0" fontId="27" fillId="22" borderId="94" xfId="0" applyFont="1" applyFill="1" applyBorder="1" applyAlignment="1">
      <alignment horizontal="center" vertical="center" wrapText="1"/>
    </xf>
    <xf numFmtId="0" fontId="27" fillId="22" borderId="95" xfId="0" applyFont="1" applyFill="1" applyBorder="1" applyAlignment="1">
      <alignment horizontal="center" vertical="center" wrapText="1"/>
    </xf>
    <xf numFmtId="41" fontId="27" fillId="22" borderId="36" xfId="41" applyFont="1" applyFill="1" applyBorder="1" applyAlignment="1">
      <alignment horizontal="center" vertical="center"/>
    </xf>
    <xf numFmtId="41" fontId="27" fillId="22" borderId="43" xfId="41" applyFont="1" applyFill="1" applyBorder="1" applyAlignment="1">
      <alignment horizontal="center" vertical="center"/>
    </xf>
    <xf numFmtId="0" fontId="27" fillId="22" borderId="50" xfId="0" applyFont="1" applyFill="1" applyBorder="1" applyAlignment="1">
      <alignment horizontal="center" vertical="center" wrapText="1"/>
    </xf>
    <xf numFmtId="0" fontId="27" fillId="22" borderId="51" xfId="0" applyFont="1" applyFill="1" applyBorder="1" applyAlignment="1">
      <alignment horizontal="center" vertical="center"/>
    </xf>
    <xf numFmtId="41" fontId="27" fillId="0" borderId="52" xfId="0" applyNumberFormat="1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41" fontId="27" fillId="0" borderId="8" xfId="0" applyNumberFormat="1" applyFont="1" applyBorder="1" applyAlignment="1">
      <alignment horizontal="center" vertical="center"/>
    </xf>
    <xf numFmtId="41" fontId="27" fillId="0" borderId="9" xfId="0" applyNumberFormat="1" applyFont="1" applyBorder="1" applyAlignment="1">
      <alignment horizontal="center" vertical="center"/>
    </xf>
  </cellXfs>
  <cellStyles count="5391">
    <cellStyle name="_~2763479" xfId="58" xr:uid="{00000000-0005-0000-0000-000000000000}"/>
    <cellStyle name="_~4401328" xfId="59" xr:uid="{00000000-0005-0000-0000-000001000000}"/>
    <cellStyle name="_~9451138" xfId="60" xr:uid="{00000000-0005-0000-0000-000002000000}"/>
    <cellStyle name="_04.Sales Report YTD Apr 2010 - Autolubes East(undone) (version 1)" xfId="61" xr:uid="{00000000-0005-0000-0000-000003000000}"/>
    <cellStyle name="_2011 China Stretch Target Area Split_V2" xfId="62" xr:uid="{00000000-0005-0000-0000-000004000000}"/>
    <cellStyle name="_57954-57976" xfId="63" xr:uid="{00000000-0005-0000-0000-000005000000}"/>
    <cellStyle name="_60704-60719" xfId="64" xr:uid="{00000000-0005-0000-0000-000006000000}"/>
    <cellStyle name="_61940-61941" xfId="65" xr:uid="{00000000-0005-0000-0000-000007000000}"/>
    <cellStyle name="_62433-62461" xfId="66" xr:uid="{00000000-0005-0000-0000-000008000000}"/>
    <cellStyle name="_64330-64331" xfId="67" xr:uid="{00000000-0005-0000-0000-000009000000}"/>
    <cellStyle name="_67060-67063" xfId="68" xr:uid="{00000000-0005-0000-0000-00000A000000}"/>
    <cellStyle name="_68125" xfId="69" xr:uid="{00000000-0005-0000-0000-00000B000000}"/>
    <cellStyle name="_69506-69516" xfId="70" xr:uid="{00000000-0005-0000-0000-00000C000000}"/>
    <cellStyle name="_70393-70403" xfId="71" xr:uid="{00000000-0005-0000-0000-00000D000000}"/>
    <cellStyle name="_70985" xfId="72" xr:uid="{00000000-0005-0000-0000-00000E000000}"/>
    <cellStyle name="_73693-73699" xfId="73" xr:uid="{00000000-0005-0000-0000-00000F000000}"/>
    <cellStyle name="_79153" xfId="74" xr:uid="{00000000-0005-0000-0000-000010000000}"/>
    <cellStyle name="_79522-79528" xfId="75" xr:uid="{00000000-0005-0000-0000-000011000000}"/>
    <cellStyle name="_80595-80629" xfId="76" xr:uid="{00000000-0005-0000-0000-000012000000}"/>
    <cellStyle name="_81071-81088" xfId="77" xr:uid="{00000000-0005-0000-0000-000013000000}"/>
    <cellStyle name="_DBD-Account List_update" xfId="78" xr:uid="{00000000-0005-0000-0000-000014000000}"/>
    <cellStyle name="_SKU list Mar 16" xfId="79" xr:uid="{00000000-0005-0000-0000-000015000000}"/>
    <cellStyle name="=C:\WINNT\SYSTEM32\COMMAND.COM" xfId="80" xr:uid="{00000000-0005-0000-0000-000016000000}"/>
    <cellStyle name="20% - Accent1 2" xfId="81" xr:uid="{00000000-0005-0000-0000-000017000000}"/>
    <cellStyle name="20% - Accent1 2 2" xfId="82" xr:uid="{00000000-0005-0000-0000-000018000000}"/>
    <cellStyle name="20% - Accent1 2 3" xfId="83" xr:uid="{00000000-0005-0000-0000-000019000000}"/>
    <cellStyle name="20% - Accent1 2 4" xfId="84" xr:uid="{00000000-0005-0000-0000-00001A000000}"/>
    <cellStyle name="20% - Accent1 2 4 2" xfId="1780" xr:uid="{00000000-0005-0000-0000-00001B000000}"/>
    <cellStyle name="20% - Accent1 2 4 3" xfId="2983" xr:uid="{00000000-0005-0000-0000-00001C000000}"/>
    <cellStyle name="20% - Accent1 2 4 4" xfId="4304" xr:uid="{00000000-0005-0000-0000-00001D000000}"/>
    <cellStyle name="20% - Accent1 2 5" xfId="1779" xr:uid="{00000000-0005-0000-0000-00001E000000}"/>
    <cellStyle name="20% - Accent1 2 6" xfId="2982" xr:uid="{00000000-0005-0000-0000-00001F000000}"/>
    <cellStyle name="20% - Accent1 2 7" xfId="4305" xr:uid="{00000000-0005-0000-0000-000020000000}"/>
    <cellStyle name="20% - Accent1 3" xfId="85" xr:uid="{00000000-0005-0000-0000-000021000000}"/>
    <cellStyle name="20% - Accent1 3 2" xfId="86" xr:uid="{00000000-0005-0000-0000-000022000000}"/>
    <cellStyle name="20% - Accent1 3 3" xfId="87" xr:uid="{00000000-0005-0000-0000-000023000000}"/>
    <cellStyle name="20% - Accent1 3 3 2" xfId="1782" xr:uid="{00000000-0005-0000-0000-000024000000}"/>
    <cellStyle name="20% - Accent1 3 3 3" xfId="2985" xr:uid="{00000000-0005-0000-0000-000025000000}"/>
    <cellStyle name="20% - Accent1 3 3 4" xfId="4302" xr:uid="{00000000-0005-0000-0000-000026000000}"/>
    <cellStyle name="20% - Accent1 3 4" xfId="1781" xr:uid="{00000000-0005-0000-0000-000027000000}"/>
    <cellStyle name="20% - Accent1 3 5" xfId="2984" xr:uid="{00000000-0005-0000-0000-000028000000}"/>
    <cellStyle name="20% - Accent1 3 6" xfId="4303" xr:uid="{00000000-0005-0000-0000-000029000000}"/>
    <cellStyle name="20% - Accent1 4" xfId="88" xr:uid="{00000000-0005-0000-0000-00002A000000}"/>
    <cellStyle name="20% - Accent1 4 2" xfId="89" xr:uid="{00000000-0005-0000-0000-00002B000000}"/>
    <cellStyle name="20% - Accent1 4 3" xfId="90" xr:uid="{00000000-0005-0000-0000-00002C000000}"/>
    <cellStyle name="20% - Accent1 4 3 2" xfId="1784" xr:uid="{00000000-0005-0000-0000-00002D000000}"/>
    <cellStyle name="20% - Accent1 4 3 3" xfId="2987" xr:uid="{00000000-0005-0000-0000-00002E000000}"/>
    <cellStyle name="20% - Accent1 4 3 4" xfId="4300" xr:uid="{00000000-0005-0000-0000-00002F000000}"/>
    <cellStyle name="20% - Accent1 4 4" xfId="1783" xr:uid="{00000000-0005-0000-0000-000030000000}"/>
    <cellStyle name="20% - Accent1 4 5" xfId="2986" xr:uid="{00000000-0005-0000-0000-000031000000}"/>
    <cellStyle name="20% - Accent1 4 6" xfId="4301" xr:uid="{00000000-0005-0000-0000-000032000000}"/>
    <cellStyle name="20% - Accent2 2" xfId="91" xr:uid="{00000000-0005-0000-0000-000033000000}"/>
    <cellStyle name="20% - Accent2 2 2" xfId="92" xr:uid="{00000000-0005-0000-0000-000034000000}"/>
    <cellStyle name="20% - Accent2 2 3" xfId="93" xr:uid="{00000000-0005-0000-0000-000035000000}"/>
    <cellStyle name="20% - Accent2 2 4" xfId="94" xr:uid="{00000000-0005-0000-0000-000036000000}"/>
    <cellStyle name="20% - Accent2 2 4 2" xfId="1786" xr:uid="{00000000-0005-0000-0000-000037000000}"/>
    <cellStyle name="20% - Accent2 2 4 3" xfId="2991" xr:uid="{00000000-0005-0000-0000-000038000000}"/>
    <cellStyle name="20% - Accent2 2 4 4" xfId="4297" xr:uid="{00000000-0005-0000-0000-000039000000}"/>
    <cellStyle name="20% - Accent2 2 5" xfId="1785" xr:uid="{00000000-0005-0000-0000-00003A000000}"/>
    <cellStyle name="20% - Accent2 2 6" xfId="2988" xr:uid="{00000000-0005-0000-0000-00003B000000}"/>
    <cellStyle name="20% - Accent2 2 7" xfId="4299" xr:uid="{00000000-0005-0000-0000-00003C000000}"/>
    <cellStyle name="20% - Accent2 3" xfId="95" xr:uid="{00000000-0005-0000-0000-00003D000000}"/>
    <cellStyle name="20% - Accent2 3 2" xfId="96" xr:uid="{00000000-0005-0000-0000-00003E000000}"/>
    <cellStyle name="20% - Accent2 3 3" xfId="97" xr:uid="{00000000-0005-0000-0000-00003F000000}"/>
    <cellStyle name="20% - Accent2 3 3 2" xfId="1788" xr:uid="{00000000-0005-0000-0000-000040000000}"/>
    <cellStyle name="20% - Accent2 3 3 3" xfId="2993" xr:uid="{00000000-0005-0000-0000-000041000000}"/>
    <cellStyle name="20% - Accent2 3 3 4" xfId="4295" xr:uid="{00000000-0005-0000-0000-000042000000}"/>
    <cellStyle name="20% - Accent2 3 4" xfId="1787" xr:uid="{00000000-0005-0000-0000-000043000000}"/>
    <cellStyle name="20% - Accent2 3 5" xfId="2992" xr:uid="{00000000-0005-0000-0000-000044000000}"/>
    <cellStyle name="20% - Accent2 3 6" xfId="4296" xr:uid="{00000000-0005-0000-0000-000045000000}"/>
    <cellStyle name="20% - Accent2 4" xfId="98" xr:uid="{00000000-0005-0000-0000-000046000000}"/>
    <cellStyle name="20% - Accent2 4 2" xfId="99" xr:uid="{00000000-0005-0000-0000-000047000000}"/>
    <cellStyle name="20% - Accent2 4 3" xfId="100" xr:uid="{00000000-0005-0000-0000-000048000000}"/>
    <cellStyle name="20% - Accent2 4 3 2" xfId="1790" xr:uid="{00000000-0005-0000-0000-000049000000}"/>
    <cellStyle name="20% - Accent2 4 3 3" xfId="2995" xr:uid="{00000000-0005-0000-0000-00004A000000}"/>
    <cellStyle name="20% - Accent2 4 3 4" xfId="4293" xr:uid="{00000000-0005-0000-0000-00004B000000}"/>
    <cellStyle name="20% - Accent2 4 4" xfId="1789" xr:uid="{00000000-0005-0000-0000-00004C000000}"/>
    <cellStyle name="20% - Accent2 4 5" xfId="2994" xr:uid="{00000000-0005-0000-0000-00004D000000}"/>
    <cellStyle name="20% - Accent2 4 6" xfId="4294" xr:uid="{00000000-0005-0000-0000-00004E000000}"/>
    <cellStyle name="20% - Accent3 2" xfId="101" xr:uid="{00000000-0005-0000-0000-00004F000000}"/>
    <cellStyle name="20% - Accent3 2 2" xfId="102" xr:uid="{00000000-0005-0000-0000-000050000000}"/>
    <cellStyle name="20% - Accent3 2 3" xfId="103" xr:uid="{00000000-0005-0000-0000-000051000000}"/>
    <cellStyle name="20% - Accent3 2 4" xfId="104" xr:uid="{00000000-0005-0000-0000-000052000000}"/>
    <cellStyle name="20% - Accent3 2 4 2" xfId="1792" xr:uid="{00000000-0005-0000-0000-000053000000}"/>
    <cellStyle name="20% - Accent3 2 4 3" xfId="2997" xr:uid="{00000000-0005-0000-0000-000054000000}"/>
    <cellStyle name="20% - Accent3 2 4 4" xfId="4291" xr:uid="{00000000-0005-0000-0000-000055000000}"/>
    <cellStyle name="20% - Accent3 2 5" xfId="1791" xr:uid="{00000000-0005-0000-0000-000056000000}"/>
    <cellStyle name="20% - Accent3 2 6" xfId="2996" xr:uid="{00000000-0005-0000-0000-000057000000}"/>
    <cellStyle name="20% - Accent3 2 7" xfId="4292" xr:uid="{00000000-0005-0000-0000-000058000000}"/>
    <cellStyle name="20% - Accent3 3" xfId="105" xr:uid="{00000000-0005-0000-0000-000059000000}"/>
    <cellStyle name="20% - Accent3 3 2" xfId="106" xr:uid="{00000000-0005-0000-0000-00005A000000}"/>
    <cellStyle name="20% - Accent3 3 3" xfId="107" xr:uid="{00000000-0005-0000-0000-00005B000000}"/>
    <cellStyle name="20% - Accent3 3 3 2" xfId="1794" xr:uid="{00000000-0005-0000-0000-00005C000000}"/>
    <cellStyle name="20% - Accent3 3 3 3" xfId="2999" xr:uid="{00000000-0005-0000-0000-00005D000000}"/>
    <cellStyle name="20% - Accent3 3 3 4" xfId="4289" xr:uid="{00000000-0005-0000-0000-00005E000000}"/>
    <cellStyle name="20% - Accent3 3 4" xfId="1793" xr:uid="{00000000-0005-0000-0000-00005F000000}"/>
    <cellStyle name="20% - Accent3 3 5" xfId="2998" xr:uid="{00000000-0005-0000-0000-000060000000}"/>
    <cellStyle name="20% - Accent3 3 6" xfId="4290" xr:uid="{00000000-0005-0000-0000-000061000000}"/>
    <cellStyle name="20% - Accent3 4" xfId="108" xr:uid="{00000000-0005-0000-0000-000062000000}"/>
    <cellStyle name="20% - Accent3 4 2" xfId="109" xr:uid="{00000000-0005-0000-0000-000063000000}"/>
    <cellStyle name="20% - Accent3 4 3" xfId="110" xr:uid="{00000000-0005-0000-0000-000064000000}"/>
    <cellStyle name="20% - Accent3 4 3 2" xfId="1796" xr:uid="{00000000-0005-0000-0000-000065000000}"/>
    <cellStyle name="20% - Accent3 4 3 3" xfId="3001" xr:uid="{00000000-0005-0000-0000-000066000000}"/>
    <cellStyle name="20% - Accent3 4 3 4" xfId="4287" xr:uid="{00000000-0005-0000-0000-000067000000}"/>
    <cellStyle name="20% - Accent3 4 4" xfId="1795" xr:uid="{00000000-0005-0000-0000-000068000000}"/>
    <cellStyle name="20% - Accent3 4 5" xfId="3000" xr:uid="{00000000-0005-0000-0000-000069000000}"/>
    <cellStyle name="20% - Accent3 4 6" xfId="4288" xr:uid="{00000000-0005-0000-0000-00006A000000}"/>
    <cellStyle name="20% - Accent4 2" xfId="111" xr:uid="{00000000-0005-0000-0000-00006B000000}"/>
    <cellStyle name="20% - Accent4 2 2" xfId="112" xr:uid="{00000000-0005-0000-0000-00006C000000}"/>
    <cellStyle name="20% - Accent4 2 3" xfId="113" xr:uid="{00000000-0005-0000-0000-00006D000000}"/>
    <cellStyle name="20% - Accent4 2 4" xfId="114" xr:uid="{00000000-0005-0000-0000-00006E000000}"/>
    <cellStyle name="20% - Accent4 2 4 2" xfId="1798" xr:uid="{00000000-0005-0000-0000-00006F000000}"/>
    <cellStyle name="20% - Accent4 2 4 3" xfId="3004" xr:uid="{00000000-0005-0000-0000-000070000000}"/>
    <cellStyle name="20% - Accent4 2 4 4" xfId="4285" xr:uid="{00000000-0005-0000-0000-000071000000}"/>
    <cellStyle name="20% - Accent4 2 5" xfId="1797" xr:uid="{00000000-0005-0000-0000-000072000000}"/>
    <cellStyle name="20% - Accent4 2 6" xfId="3002" xr:uid="{00000000-0005-0000-0000-000073000000}"/>
    <cellStyle name="20% - Accent4 2 7" xfId="4286" xr:uid="{00000000-0005-0000-0000-000074000000}"/>
    <cellStyle name="20% - Accent4 3" xfId="115" xr:uid="{00000000-0005-0000-0000-000075000000}"/>
    <cellStyle name="20% - Accent4 3 2" xfId="116" xr:uid="{00000000-0005-0000-0000-000076000000}"/>
    <cellStyle name="20% - Accent4 3 3" xfId="117" xr:uid="{00000000-0005-0000-0000-000077000000}"/>
    <cellStyle name="20% - Accent4 3 3 2" xfId="1800" xr:uid="{00000000-0005-0000-0000-000078000000}"/>
    <cellStyle name="20% - Accent4 3 3 3" xfId="3006" xr:uid="{00000000-0005-0000-0000-000079000000}"/>
    <cellStyle name="20% - Accent4 3 3 4" xfId="4312" xr:uid="{00000000-0005-0000-0000-00007A000000}"/>
    <cellStyle name="20% - Accent4 3 4" xfId="1799" xr:uid="{00000000-0005-0000-0000-00007B000000}"/>
    <cellStyle name="20% - Accent4 3 5" xfId="3005" xr:uid="{00000000-0005-0000-0000-00007C000000}"/>
    <cellStyle name="20% - Accent4 3 6" xfId="4284" xr:uid="{00000000-0005-0000-0000-00007D000000}"/>
    <cellStyle name="20% - Accent4 4" xfId="118" xr:uid="{00000000-0005-0000-0000-00007E000000}"/>
    <cellStyle name="20% - Accent4 4 2" xfId="119" xr:uid="{00000000-0005-0000-0000-00007F000000}"/>
    <cellStyle name="20% - Accent4 4 3" xfId="120" xr:uid="{00000000-0005-0000-0000-000080000000}"/>
    <cellStyle name="20% - Accent4 4 3 2" xfId="1802" xr:uid="{00000000-0005-0000-0000-000081000000}"/>
    <cellStyle name="20% - Accent4 4 3 3" xfId="3008" xr:uid="{00000000-0005-0000-0000-000082000000}"/>
    <cellStyle name="20% - Accent4 4 3 4" xfId="4310" xr:uid="{00000000-0005-0000-0000-000083000000}"/>
    <cellStyle name="20% - Accent4 4 4" xfId="1801" xr:uid="{00000000-0005-0000-0000-000084000000}"/>
    <cellStyle name="20% - Accent4 4 5" xfId="3007" xr:uid="{00000000-0005-0000-0000-000085000000}"/>
    <cellStyle name="20% - Accent4 4 6" xfId="4311" xr:uid="{00000000-0005-0000-0000-000086000000}"/>
    <cellStyle name="20% - Accent5 2" xfId="121" xr:uid="{00000000-0005-0000-0000-000087000000}"/>
    <cellStyle name="20% - Accent5 2 2" xfId="122" xr:uid="{00000000-0005-0000-0000-000088000000}"/>
    <cellStyle name="20% - Accent5 2 3" xfId="123" xr:uid="{00000000-0005-0000-0000-000089000000}"/>
    <cellStyle name="20% - Accent5 2 4" xfId="124" xr:uid="{00000000-0005-0000-0000-00008A000000}"/>
    <cellStyle name="20% - Accent5 2 4 2" xfId="1804" xr:uid="{00000000-0005-0000-0000-00008B000000}"/>
    <cellStyle name="20% - Accent5 2 4 3" xfId="3010" xr:uid="{00000000-0005-0000-0000-00008C000000}"/>
    <cellStyle name="20% - Accent5 2 4 4" xfId="4317" xr:uid="{00000000-0005-0000-0000-00008D000000}"/>
    <cellStyle name="20% - Accent5 2 5" xfId="1803" xr:uid="{00000000-0005-0000-0000-00008E000000}"/>
    <cellStyle name="20% - Accent5 2 6" xfId="3009" xr:uid="{00000000-0005-0000-0000-00008F000000}"/>
    <cellStyle name="20% - Accent5 2 7" xfId="4309" xr:uid="{00000000-0005-0000-0000-000090000000}"/>
    <cellStyle name="20% - Accent5 3" xfId="125" xr:uid="{00000000-0005-0000-0000-000091000000}"/>
    <cellStyle name="20% - Accent5 3 2" xfId="126" xr:uid="{00000000-0005-0000-0000-000092000000}"/>
    <cellStyle name="20% - Accent5 3 3" xfId="127" xr:uid="{00000000-0005-0000-0000-000093000000}"/>
    <cellStyle name="20% - Accent5 3 3 2" xfId="1806" xr:uid="{00000000-0005-0000-0000-000094000000}"/>
    <cellStyle name="20% - Accent5 3 3 3" xfId="3012" xr:uid="{00000000-0005-0000-0000-000095000000}"/>
    <cellStyle name="20% - Accent5 3 3 4" xfId="4283" xr:uid="{00000000-0005-0000-0000-000096000000}"/>
    <cellStyle name="20% - Accent5 3 4" xfId="1805" xr:uid="{00000000-0005-0000-0000-000097000000}"/>
    <cellStyle name="20% - Accent5 3 5" xfId="3011" xr:uid="{00000000-0005-0000-0000-000098000000}"/>
    <cellStyle name="20% - Accent5 3 6" xfId="4315" xr:uid="{00000000-0005-0000-0000-000099000000}"/>
    <cellStyle name="20% - Accent5 4" xfId="128" xr:uid="{00000000-0005-0000-0000-00009A000000}"/>
    <cellStyle name="20% - Accent6 2" xfId="129" xr:uid="{00000000-0005-0000-0000-00009B000000}"/>
    <cellStyle name="20% - Accent6 2 2" xfId="130" xr:uid="{00000000-0005-0000-0000-00009C000000}"/>
    <cellStyle name="20% - Accent6 2 3" xfId="131" xr:uid="{00000000-0005-0000-0000-00009D000000}"/>
    <cellStyle name="20% - Accent6 2 4" xfId="132" xr:uid="{00000000-0005-0000-0000-00009E000000}"/>
    <cellStyle name="20% - Accent6 2 4 2" xfId="1808" xr:uid="{00000000-0005-0000-0000-00009F000000}"/>
    <cellStyle name="20% - Accent6 2 4 3" xfId="3015" xr:uid="{00000000-0005-0000-0000-0000A0000000}"/>
    <cellStyle name="20% - Accent6 2 4 4" xfId="4322" xr:uid="{00000000-0005-0000-0000-0000A1000000}"/>
    <cellStyle name="20% - Accent6 2 5" xfId="1807" xr:uid="{00000000-0005-0000-0000-0000A2000000}"/>
    <cellStyle name="20% - Accent6 2 6" xfId="3013" xr:uid="{00000000-0005-0000-0000-0000A3000000}"/>
    <cellStyle name="20% - Accent6 2 7" xfId="4307" xr:uid="{00000000-0005-0000-0000-0000A4000000}"/>
    <cellStyle name="20% - Accent6 3" xfId="133" xr:uid="{00000000-0005-0000-0000-0000A5000000}"/>
    <cellStyle name="20% - Accent6 3 2" xfId="134" xr:uid="{00000000-0005-0000-0000-0000A6000000}"/>
    <cellStyle name="20% - Accent6 3 3" xfId="135" xr:uid="{00000000-0005-0000-0000-0000A7000000}"/>
    <cellStyle name="20% - Accent6 3 3 2" xfId="1810" xr:uid="{00000000-0005-0000-0000-0000A8000000}"/>
    <cellStyle name="20% - Accent6 3 3 3" xfId="3017" xr:uid="{00000000-0005-0000-0000-0000A9000000}"/>
    <cellStyle name="20% - Accent6 3 3 4" xfId="4321" xr:uid="{00000000-0005-0000-0000-0000AA000000}"/>
    <cellStyle name="20% - Accent6 3 4" xfId="1809" xr:uid="{00000000-0005-0000-0000-0000AB000000}"/>
    <cellStyle name="20% - Accent6 3 5" xfId="3016" xr:uid="{00000000-0005-0000-0000-0000AC000000}"/>
    <cellStyle name="20% - Accent6 3 6" xfId="4316" xr:uid="{00000000-0005-0000-0000-0000AD000000}"/>
    <cellStyle name="20% - Accent6 4" xfId="136" xr:uid="{00000000-0005-0000-0000-0000AE000000}"/>
    <cellStyle name="20% - Accent6 4 2" xfId="137" xr:uid="{00000000-0005-0000-0000-0000AF000000}"/>
    <cellStyle name="20% - Accent6 4 3" xfId="138" xr:uid="{00000000-0005-0000-0000-0000B0000000}"/>
    <cellStyle name="20% - Accent6 4 3 2" xfId="1812" xr:uid="{00000000-0005-0000-0000-0000B1000000}"/>
    <cellStyle name="20% - Accent6 4 3 3" xfId="3020" xr:uid="{00000000-0005-0000-0000-0000B2000000}"/>
    <cellStyle name="20% - Accent6 4 3 4" xfId="4277" xr:uid="{00000000-0005-0000-0000-0000B3000000}"/>
    <cellStyle name="20% - Accent6 4 4" xfId="1811" xr:uid="{00000000-0005-0000-0000-0000B4000000}"/>
    <cellStyle name="20% - Accent6 4 5" xfId="3018" xr:uid="{00000000-0005-0000-0000-0000B5000000}"/>
    <cellStyle name="20% - Accent6 4 6" xfId="4319" xr:uid="{00000000-0005-0000-0000-0000B6000000}"/>
    <cellStyle name="20% - 강조색1 2" xfId="1750" xr:uid="{00000000-0005-0000-0000-0000B7000000}"/>
    <cellStyle name="20% - 강조색2 2" xfId="1754" xr:uid="{00000000-0005-0000-0000-0000B8000000}"/>
    <cellStyle name="20% - 강조색3 2" xfId="1758" xr:uid="{00000000-0005-0000-0000-0000B9000000}"/>
    <cellStyle name="20% - 강조색4 2" xfId="1762" xr:uid="{00000000-0005-0000-0000-0000BA000000}"/>
    <cellStyle name="20% - 강조색5 2" xfId="1765" xr:uid="{00000000-0005-0000-0000-0000BB000000}"/>
    <cellStyle name="20% - 강조색6 2" xfId="1769" xr:uid="{00000000-0005-0000-0000-0000BC000000}"/>
    <cellStyle name="20% - 輔色1" xfId="139" xr:uid="{00000000-0005-0000-0000-0000BD000000}"/>
    <cellStyle name="20% - 輔色2" xfId="140" xr:uid="{00000000-0005-0000-0000-0000BE000000}"/>
    <cellStyle name="20% - 輔色3" xfId="141" xr:uid="{00000000-0005-0000-0000-0000BF000000}"/>
    <cellStyle name="20% - 輔色4" xfId="142" xr:uid="{00000000-0005-0000-0000-0000C0000000}"/>
    <cellStyle name="20% - 輔色5" xfId="143" xr:uid="{00000000-0005-0000-0000-0000C1000000}"/>
    <cellStyle name="20% - 輔色6" xfId="144" xr:uid="{00000000-0005-0000-0000-0000C2000000}"/>
    <cellStyle name="40% - Accent1 2" xfId="145" xr:uid="{00000000-0005-0000-0000-0000C3000000}"/>
    <cellStyle name="40% - Accent1 2 2" xfId="146" xr:uid="{00000000-0005-0000-0000-0000C4000000}"/>
    <cellStyle name="40% - Accent1 2 3" xfId="147" xr:uid="{00000000-0005-0000-0000-0000C5000000}"/>
    <cellStyle name="40% - Accent1 2 4" xfId="148" xr:uid="{00000000-0005-0000-0000-0000C6000000}"/>
    <cellStyle name="40% - Accent1 2 4 2" xfId="1814" xr:uid="{00000000-0005-0000-0000-0000C7000000}"/>
    <cellStyle name="40% - Accent1 2 4 3" xfId="3027" xr:uid="{00000000-0005-0000-0000-0000C8000000}"/>
    <cellStyle name="40% - Accent1 2 4 4" xfId="4249" xr:uid="{00000000-0005-0000-0000-0000C9000000}"/>
    <cellStyle name="40% - Accent1 2 5" xfId="1813" xr:uid="{00000000-0005-0000-0000-0000CA000000}"/>
    <cellStyle name="40% - Accent1 2 6" xfId="3025" xr:uid="{00000000-0005-0000-0000-0000CB000000}"/>
    <cellStyle name="40% - Accent1 2 7" xfId="4276" xr:uid="{00000000-0005-0000-0000-0000CC000000}"/>
    <cellStyle name="40% - Accent1 3" xfId="149" xr:uid="{00000000-0005-0000-0000-0000CD000000}"/>
    <cellStyle name="40% - Accent1 3 2" xfId="150" xr:uid="{00000000-0005-0000-0000-0000CE000000}"/>
    <cellStyle name="40% - Accent1 3 3" xfId="151" xr:uid="{00000000-0005-0000-0000-0000CF000000}"/>
    <cellStyle name="40% - Accent1 3 3 2" xfId="1816" xr:uid="{00000000-0005-0000-0000-0000D0000000}"/>
    <cellStyle name="40% - Accent1 3 3 3" xfId="3029" xr:uid="{00000000-0005-0000-0000-0000D1000000}"/>
    <cellStyle name="40% - Accent1 3 3 4" xfId="4219" xr:uid="{00000000-0005-0000-0000-0000D2000000}"/>
    <cellStyle name="40% - Accent1 3 4" xfId="1815" xr:uid="{00000000-0005-0000-0000-0000D3000000}"/>
    <cellStyle name="40% - Accent1 3 5" xfId="3028" xr:uid="{00000000-0005-0000-0000-0000D4000000}"/>
    <cellStyle name="40% - Accent1 3 6" xfId="4228" xr:uid="{00000000-0005-0000-0000-0000D5000000}"/>
    <cellStyle name="40% - Accent1 4" xfId="152" xr:uid="{00000000-0005-0000-0000-0000D6000000}"/>
    <cellStyle name="40% - Accent1 4 2" xfId="153" xr:uid="{00000000-0005-0000-0000-0000D7000000}"/>
    <cellStyle name="40% - Accent1 4 3" xfId="154" xr:uid="{00000000-0005-0000-0000-0000D8000000}"/>
    <cellStyle name="40% - Accent1 4 3 2" xfId="1818" xr:uid="{00000000-0005-0000-0000-0000D9000000}"/>
    <cellStyle name="40% - Accent1 4 3 3" xfId="3031" xr:uid="{00000000-0005-0000-0000-0000DA000000}"/>
    <cellStyle name="40% - Accent1 4 3 4" xfId="4217" xr:uid="{00000000-0005-0000-0000-0000DB000000}"/>
    <cellStyle name="40% - Accent1 4 4" xfId="1817" xr:uid="{00000000-0005-0000-0000-0000DC000000}"/>
    <cellStyle name="40% - Accent1 4 5" xfId="3030" xr:uid="{00000000-0005-0000-0000-0000DD000000}"/>
    <cellStyle name="40% - Accent1 4 6" xfId="4218" xr:uid="{00000000-0005-0000-0000-0000DE000000}"/>
    <cellStyle name="40% - Accent2 2" xfId="155" xr:uid="{00000000-0005-0000-0000-0000DF000000}"/>
    <cellStyle name="40% - Accent2 2 2" xfId="156" xr:uid="{00000000-0005-0000-0000-0000E0000000}"/>
    <cellStyle name="40% - Accent2 2 3" xfId="157" xr:uid="{00000000-0005-0000-0000-0000E1000000}"/>
    <cellStyle name="40% - Accent2 2 4" xfId="158" xr:uid="{00000000-0005-0000-0000-0000E2000000}"/>
    <cellStyle name="40% - Accent2 2 4 2" xfId="1820" xr:uid="{00000000-0005-0000-0000-0000E3000000}"/>
    <cellStyle name="40% - Accent2 2 4 3" xfId="3033" xr:uid="{00000000-0005-0000-0000-0000E4000000}"/>
    <cellStyle name="40% - Accent2 2 4 4" xfId="4215" xr:uid="{00000000-0005-0000-0000-0000E5000000}"/>
    <cellStyle name="40% - Accent2 2 5" xfId="1819" xr:uid="{00000000-0005-0000-0000-0000E6000000}"/>
    <cellStyle name="40% - Accent2 2 6" xfId="3032" xr:uid="{00000000-0005-0000-0000-0000E7000000}"/>
    <cellStyle name="40% - Accent2 2 7" xfId="4216" xr:uid="{00000000-0005-0000-0000-0000E8000000}"/>
    <cellStyle name="40% - Accent2 3" xfId="159" xr:uid="{00000000-0005-0000-0000-0000E9000000}"/>
    <cellStyle name="40% - Accent2 3 2" xfId="160" xr:uid="{00000000-0005-0000-0000-0000EA000000}"/>
    <cellStyle name="40% - Accent2 3 3" xfId="161" xr:uid="{00000000-0005-0000-0000-0000EB000000}"/>
    <cellStyle name="40% - Accent2 3 3 2" xfId="1822" xr:uid="{00000000-0005-0000-0000-0000EC000000}"/>
    <cellStyle name="40% - Accent2 3 3 3" xfId="3035" xr:uid="{00000000-0005-0000-0000-0000ED000000}"/>
    <cellStyle name="40% - Accent2 3 3 4" xfId="4213" xr:uid="{00000000-0005-0000-0000-0000EE000000}"/>
    <cellStyle name="40% - Accent2 3 4" xfId="1821" xr:uid="{00000000-0005-0000-0000-0000EF000000}"/>
    <cellStyle name="40% - Accent2 3 5" xfId="3034" xr:uid="{00000000-0005-0000-0000-0000F0000000}"/>
    <cellStyle name="40% - Accent2 3 6" xfId="4214" xr:uid="{00000000-0005-0000-0000-0000F1000000}"/>
    <cellStyle name="40% - Accent2 4" xfId="162" xr:uid="{00000000-0005-0000-0000-0000F2000000}"/>
    <cellStyle name="40% - Accent3 2" xfId="163" xr:uid="{00000000-0005-0000-0000-0000F3000000}"/>
    <cellStyle name="40% - Accent3 2 2" xfId="164" xr:uid="{00000000-0005-0000-0000-0000F4000000}"/>
    <cellStyle name="40% - Accent3 2 3" xfId="165" xr:uid="{00000000-0005-0000-0000-0000F5000000}"/>
    <cellStyle name="40% - Accent3 2 4" xfId="166" xr:uid="{00000000-0005-0000-0000-0000F6000000}"/>
    <cellStyle name="40% - Accent3 2 4 2" xfId="1824" xr:uid="{00000000-0005-0000-0000-0000F7000000}"/>
    <cellStyle name="40% - Accent3 2 4 3" xfId="3037" xr:uid="{00000000-0005-0000-0000-0000F8000000}"/>
    <cellStyle name="40% - Accent3 2 4 4" xfId="3678" xr:uid="{00000000-0005-0000-0000-0000F9000000}"/>
    <cellStyle name="40% - Accent3 2 5" xfId="1823" xr:uid="{00000000-0005-0000-0000-0000FA000000}"/>
    <cellStyle name="40% - Accent3 2 6" xfId="3036" xr:uid="{00000000-0005-0000-0000-0000FB000000}"/>
    <cellStyle name="40% - Accent3 2 7" xfId="4186" xr:uid="{00000000-0005-0000-0000-0000FC000000}"/>
    <cellStyle name="40% - Accent3 3" xfId="167" xr:uid="{00000000-0005-0000-0000-0000FD000000}"/>
    <cellStyle name="40% - Accent3 3 2" xfId="168" xr:uid="{00000000-0005-0000-0000-0000FE000000}"/>
    <cellStyle name="40% - Accent3 3 3" xfId="169" xr:uid="{00000000-0005-0000-0000-0000FF000000}"/>
    <cellStyle name="40% - Accent3 3 3 2" xfId="1826" xr:uid="{00000000-0005-0000-0000-000000010000}"/>
    <cellStyle name="40% - Accent3 3 3 3" xfId="3039" xr:uid="{00000000-0005-0000-0000-000001010000}"/>
    <cellStyle name="40% - Accent3 3 3 4" xfId="3286" xr:uid="{00000000-0005-0000-0000-000002010000}"/>
    <cellStyle name="40% - Accent3 3 4" xfId="1825" xr:uid="{00000000-0005-0000-0000-000003010000}"/>
    <cellStyle name="40% - Accent3 3 5" xfId="3038" xr:uid="{00000000-0005-0000-0000-000004010000}"/>
    <cellStyle name="40% - Accent3 3 6" xfId="3677" xr:uid="{00000000-0005-0000-0000-000005010000}"/>
    <cellStyle name="40% - Accent3 4" xfId="170" xr:uid="{00000000-0005-0000-0000-000006010000}"/>
    <cellStyle name="40% - Accent3 4 2" xfId="171" xr:uid="{00000000-0005-0000-0000-000007010000}"/>
    <cellStyle name="40% - Accent3 4 3" xfId="172" xr:uid="{00000000-0005-0000-0000-000008010000}"/>
    <cellStyle name="40% - Accent3 4 3 2" xfId="1828" xr:uid="{00000000-0005-0000-0000-000009010000}"/>
    <cellStyle name="40% - Accent3 4 3 3" xfId="3041" xr:uid="{00000000-0005-0000-0000-00000A010000}"/>
    <cellStyle name="40% - Accent3 4 3 4" xfId="3284" xr:uid="{00000000-0005-0000-0000-00000B010000}"/>
    <cellStyle name="40% - Accent3 4 4" xfId="1827" xr:uid="{00000000-0005-0000-0000-00000C010000}"/>
    <cellStyle name="40% - Accent3 4 5" xfId="3040" xr:uid="{00000000-0005-0000-0000-00000D010000}"/>
    <cellStyle name="40% - Accent3 4 6" xfId="3285" xr:uid="{00000000-0005-0000-0000-00000E010000}"/>
    <cellStyle name="40% - Accent4 2" xfId="173" xr:uid="{00000000-0005-0000-0000-00000F010000}"/>
    <cellStyle name="40% - Accent4 2 2" xfId="174" xr:uid="{00000000-0005-0000-0000-000010010000}"/>
    <cellStyle name="40% - Accent4 2 3" xfId="175" xr:uid="{00000000-0005-0000-0000-000011010000}"/>
    <cellStyle name="40% - Accent4 2 4" xfId="176" xr:uid="{00000000-0005-0000-0000-000012010000}"/>
    <cellStyle name="40% - Accent4 2 4 2" xfId="1830" xr:uid="{00000000-0005-0000-0000-000013010000}"/>
    <cellStyle name="40% - Accent4 2 4 3" xfId="3043" xr:uid="{00000000-0005-0000-0000-000014010000}"/>
    <cellStyle name="40% - Accent4 2 4 4" xfId="3279" xr:uid="{00000000-0005-0000-0000-000015010000}"/>
    <cellStyle name="40% - Accent4 2 5" xfId="1829" xr:uid="{00000000-0005-0000-0000-000016010000}"/>
    <cellStyle name="40% - Accent4 2 6" xfId="3042" xr:uid="{00000000-0005-0000-0000-000017010000}"/>
    <cellStyle name="40% - Accent4 2 7" xfId="3283" xr:uid="{00000000-0005-0000-0000-000018010000}"/>
    <cellStyle name="40% - Accent4 3" xfId="177" xr:uid="{00000000-0005-0000-0000-000019010000}"/>
    <cellStyle name="40% - Accent4 3 2" xfId="178" xr:uid="{00000000-0005-0000-0000-00001A010000}"/>
    <cellStyle name="40% - Accent4 3 3" xfId="179" xr:uid="{00000000-0005-0000-0000-00001B010000}"/>
    <cellStyle name="40% - Accent4 3 3 2" xfId="1832" xr:uid="{00000000-0005-0000-0000-00001C010000}"/>
    <cellStyle name="40% - Accent4 3 3 3" xfId="3045" xr:uid="{00000000-0005-0000-0000-00001D010000}"/>
    <cellStyle name="40% - Accent4 3 3 4" xfId="3277" xr:uid="{00000000-0005-0000-0000-00001E010000}"/>
    <cellStyle name="40% - Accent4 3 4" xfId="1831" xr:uid="{00000000-0005-0000-0000-00001F010000}"/>
    <cellStyle name="40% - Accent4 3 5" xfId="3044" xr:uid="{00000000-0005-0000-0000-000020010000}"/>
    <cellStyle name="40% - Accent4 3 6" xfId="3278" xr:uid="{00000000-0005-0000-0000-000021010000}"/>
    <cellStyle name="40% - Accent4 4" xfId="180" xr:uid="{00000000-0005-0000-0000-000022010000}"/>
    <cellStyle name="40% - Accent4 4 2" xfId="181" xr:uid="{00000000-0005-0000-0000-000023010000}"/>
    <cellStyle name="40% - Accent4 4 3" xfId="182" xr:uid="{00000000-0005-0000-0000-000024010000}"/>
    <cellStyle name="40% - Accent4 4 3 2" xfId="1834" xr:uid="{00000000-0005-0000-0000-000025010000}"/>
    <cellStyle name="40% - Accent4 4 3 3" xfId="3048" xr:uid="{00000000-0005-0000-0000-000026010000}"/>
    <cellStyle name="40% - Accent4 4 3 4" xfId="3275" xr:uid="{00000000-0005-0000-0000-000027010000}"/>
    <cellStyle name="40% - Accent4 4 4" xfId="1833" xr:uid="{00000000-0005-0000-0000-000028010000}"/>
    <cellStyle name="40% - Accent4 4 5" xfId="3046" xr:uid="{00000000-0005-0000-0000-000029010000}"/>
    <cellStyle name="40% - Accent4 4 6" xfId="3276" xr:uid="{00000000-0005-0000-0000-00002A010000}"/>
    <cellStyle name="40% - Accent5 2" xfId="183" xr:uid="{00000000-0005-0000-0000-00002B010000}"/>
    <cellStyle name="40% - Accent5 2 2" xfId="184" xr:uid="{00000000-0005-0000-0000-00002C010000}"/>
    <cellStyle name="40% - Accent5 2 3" xfId="185" xr:uid="{00000000-0005-0000-0000-00002D010000}"/>
    <cellStyle name="40% - Accent5 2 4" xfId="186" xr:uid="{00000000-0005-0000-0000-00002E010000}"/>
    <cellStyle name="40% - Accent5 2 4 2" xfId="1836" xr:uid="{00000000-0005-0000-0000-00002F010000}"/>
    <cellStyle name="40% - Accent5 2 4 3" xfId="3050" xr:uid="{00000000-0005-0000-0000-000030010000}"/>
    <cellStyle name="40% - Accent5 2 4 4" xfId="3273" xr:uid="{00000000-0005-0000-0000-000031010000}"/>
    <cellStyle name="40% - Accent5 2 5" xfId="1835" xr:uid="{00000000-0005-0000-0000-000032010000}"/>
    <cellStyle name="40% - Accent5 2 6" xfId="3049" xr:uid="{00000000-0005-0000-0000-000033010000}"/>
    <cellStyle name="40% - Accent5 2 7" xfId="3274" xr:uid="{00000000-0005-0000-0000-000034010000}"/>
    <cellStyle name="40% - Accent5 3" xfId="187" xr:uid="{00000000-0005-0000-0000-000035010000}"/>
    <cellStyle name="40% - Accent5 3 2" xfId="188" xr:uid="{00000000-0005-0000-0000-000036010000}"/>
    <cellStyle name="40% - Accent5 3 3" xfId="189" xr:uid="{00000000-0005-0000-0000-000037010000}"/>
    <cellStyle name="40% - Accent5 3 3 2" xfId="1838" xr:uid="{00000000-0005-0000-0000-000038010000}"/>
    <cellStyle name="40% - Accent5 3 3 3" xfId="3052" xr:uid="{00000000-0005-0000-0000-000039010000}"/>
    <cellStyle name="40% - Accent5 3 3 4" xfId="3258" xr:uid="{00000000-0005-0000-0000-00003A010000}"/>
    <cellStyle name="40% - Accent5 3 4" xfId="1837" xr:uid="{00000000-0005-0000-0000-00003B010000}"/>
    <cellStyle name="40% - Accent5 3 5" xfId="3051" xr:uid="{00000000-0005-0000-0000-00003C010000}"/>
    <cellStyle name="40% - Accent5 3 6" xfId="3272" xr:uid="{00000000-0005-0000-0000-00003D010000}"/>
    <cellStyle name="40% - Accent5 4" xfId="190" xr:uid="{00000000-0005-0000-0000-00003E010000}"/>
    <cellStyle name="40% - Accent5 4 2" xfId="191" xr:uid="{00000000-0005-0000-0000-00003F010000}"/>
    <cellStyle name="40% - Accent5 4 3" xfId="192" xr:uid="{00000000-0005-0000-0000-000040010000}"/>
    <cellStyle name="40% - Accent5 4 3 2" xfId="1840" xr:uid="{00000000-0005-0000-0000-000041010000}"/>
    <cellStyle name="40% - Accent5 4 3 3" xfId="3054" xr:uid="{00000000-0005-0000-0000-000042010000}"/>
    <cellStyle name="40% - Accent5 4 3 4" xfId="3243" xr:uid="{00000000-0005-0000-0000-000043010000}"/>
    <cellStyle name="40% - Accent5 4 4" xfId="1839" xr:uid="{00000000-0005-0000-0000-000044010000}"/>
    <cellStyle name="40% - Accent5 4 5" xfId="3053" xr:uid="{00000000-0005-0000-0000-000045010000}"/>
    <cellStyle name="40% - Accent5 4 6" xfId="3244" xr:uid="{00000000-0005-0000-0000-000046010000}"/>
    <cellStyle name="40% - Accent6 2" xfId="193" xr:uid="{00000000-0005-0000-0000-000047010000}"/>
    <cellStyle name="40% - Accent6 2 2" xfId="194" xr:uid="{00000000-0005-0000-0000-000048010000}"/>
    <cellStyle name="40% - Accent6 2 3" xfId="195" xr:uid="{00000000-0005-0000-0000-000049010000}"/>
    <cellStyle name="40% - Accent6 2 4" xfId="196" xr:uid="{00000000-0005-0000-0000-00004A010000}"/>
    <cellStyle name="40% - Accent6 2 4 2" xfId="1842" xr:uid="{00000000-0005-0000-0000-00004B010000}"/>
    <cellStyle name="40% - Accent6 2 4 3" xfId="3056" xr:uid="{00000000-0005-0000-0000-00004C010000}"/>
    <cellStyle name="40% - Accent6 2 4 4" xfId="3209" xr:uid="{00000000-0005-0000-0000-00004D010000}"/>
    <cellStyle name="40% - Accent6 2 5" xfId="1841" xr:uid="{00000000-0005-0000-0000-00004E010000}"/>
    <cellStyle name="40% - Accent6 2 6" xfId="3055" xr:uid="{00000000-0005-0000-0000-00004F010000}"/>
    <cellStyle name="40% - Accent6 2 7" xfId="3242" xr:uid="{00000000-0005-0000-0000-000050010000}"/>
    <cellStyle name="40% - Accent6 3" xfId="197" xr:uid="{00000000-0005-0000-0000-000051010000}"/>
    <cellStyle name="40% - Accent6 3 2" xfId="198" xr:uid="{00000000-0005-0000-0000-000052010000}"/>
    <cellStyle name="40% - Accent6 3 3" xfId="199" xr:uid="{00000000-0005-0000-0000-000053010000}"/>
    <cellStyle name="40% - Accent6 3 3 2" xfId="1844" xr:uid="{00000000-0005-0000-0000-000054010000}"/>
    <cellStyle name="40% - Accent6 3 3 3" xfId="3059" xr:uid="{00000000-0005-0000-0000-000055010000}"/>
    <cellStyle name="40% - Accent6 3 3 4" xfId="3207" xr:uid="{00000000-0005-0000-0000-000056010000}"/>
    <cellStyle name="40% - Accent6 3 4" xfId="1843" xr:uid="{00000000-0005-0000-0000-000057010000}"/>
    <cellStyle name="40% - Accent6 3 5" xfId="3057" xr:uid="{00000000-0005-0000-0000-000058010000}"/>
    <cellStyle name="40% - Accent6 3 6" xfId="3208" xr:uid="{00000000-0005-0000-0000-000059010000}"/>
    <cellStyle name="40% - Accent6 4" xfId="200" xr:uid="{00000000-0005-0000-0000-00005A010000}"/>
    <cellStyle name="40% - Accent6 4 2" xfId="201" xr:uid="{00000000-0005-0000-0000-00005B010000}"/>
    <cellStyle name="40% - Accent6 4 3" xfId="202" xr:uid="{00000000-0005-0000-0000-00005C010000}"/>
    <cellStyle name="40% - Accent6 4 3 2" xfId="1846" xr:uid="{00000000-0005-0000-0000-00005D010000}"/>
    <cellStyle name="40% - Accent6 4 3 3" xfId="3061" xr:uid="{00000000-0005-0000-0000-00005E010000}"/>
    <cellStyle name="40% - Accent6 4 3 4" xfId="3204" xr:uid="{00000000-0005-0000-0000-00005F010000}"/>
    <cellStyle name="40% - Accent6 4 4" xfId="1845" xr:uid="{00000000-0005-0000-0000-000060010000}"/>
    <cellStyle name="40% - Accent6 4 5" xfId="3060" xr:uid="{00000000-0005-0000-0000-000061010000}"/>
    <cellStyle name="40% - Accent6 4 6" xfId="3206" xr:uid="{00000000-0005-0000-0000-000062010000}"/>
    <cellStyle name="40% - 강조색1 2" xfId="1751" xr:uid="{00000000-0005-0000-0000-000063010000}"/>
    <cellStyle name="40% - 강조색2 2" xfId="1755" xr:uid="{00000000-0005-0000-0000-000064010000}"/>
    <cellStyle name="40% - 강조색3 2" xfId="1759" xr:uid="{00000000-0005-0000-0000-000065010000}"/>
    <cellStyle name="40% - 강조색4 2" xfId="1763" xr:uid="{00000000-0005-0000-0000-000066010000}"/>
    <cellStyle name="40% - 강조색5 2" xfId="1766" xr:uid="{00000000-0005-0000-0000-000067010000}"/>
    <cellStyle name="40% - 강조색6 2" xfId="1770" xr:uid="{00000000-0005-0000-0000-000068010000}"/>
    <cellStyle name="40% - 輔色1" xfId="203" xr:uid="{00000000-0005-0000-0000-000069010000}"/>
    <cellStyle name="40% - 輔色2" xfId="204" xr:uid="{00000000-0005-0000-0000-00006A010000}"/>
    <cellStyle name="40% - 輔色3" xfId="205" xr:uid="{00000000-0005-0000-0000-00006B010000}"/>
    <cellStyle name="40% - 輔色4" xfId="206" xr:uid="{00000000-0005-0000-0000-00006C010000}"/>
    <cellStyle name="40% - 輔色5" xfId="207" xr:uid="{00000000-0005-0000-0000-00006D010000}"/>
    <cellStyle name="40% - 輔色6" xfId="208" xr:uid="{00000000-0005-0000-0000-00006E010000}"/>
    <cellStyle name="60% - Accent1 2" xfId="209" xr:uid="{00000000-0005-0000-0000-00006F010000}"/>
    <cellStyle name="60% - Accent1 2 2" xfId="210" xr:uid="{00000000-0005-0000-0000-000070010000}"/>
    <cellStyle name="60% - Accent1 2 3" xfId="211" xr:uid="{00000000-0005-0000-0000-000071010000}"/>
    <cellStyle name="60% - Accent1 3" xfId="212" xr:uid="{00000000-0005-0000-0000-000072010000}"/>
    <cellStyle name="60% - Accent1 3 2" xfId="213" xr:uid="{00000000-0005-0000-0000-000073010000}"/>
    <cellStyle name="60% - Accent1 3 3" xfId="214" xr:uid="{00000000-0005-0000-0000-000074010000}"/>
    <cellStyle name="60% - Accent1 4" xfId="215" xr:uid="{00000000-0005-0000-0000-000075010000}"/>
    <cellStyle name="60% - Accent1 4 2" xfId="216" xr:uid="{00000000-0005-0000-0000-000076010000}"/>
    <cellStyle name="60% - Accent1 4 3" xfId="217" xr:uid="{00000000-0005-0000-0000-000077010000}"/>
    <cellStyle name="60% - Accent2 2" xfId="218" xr:uid="{00000000-0005-0000-0000-000078010000}"/>
    <cellStyle name="60% - Accent2 2 2" xfId="219" xr:uid="{00000000-0005-0000-0000-000079010000}"/>
    <cellStyle name="60% - Accent2 2 3" xfId="220" xr:uid="{00000000-0005-0000-0000-00007A010000}"/>
    <cellStyle name="60% - Accent2 3" xfId="221" xr:uid="{00000000-0005-0000-0000-00007B010000}"/>
    <cellStyle name="60% - Accent2 3 2" xfId="222" xr:uid="{00000000-0005-0000-0000-00007C010000}"/>
    <cellStyle name="60% - Accent2 3 3" xfId="223" xr:uid="{00000000-0005-0000-0000-00007D010000}"/>
    <cellStyle name="60% - Accent2 4" xfId="224" xr:uid="{00000000-0005-0000-0000-00007E010000}"/>
    <cellStyle name="60% - Accent2 4 2" xfId="225" xr:uid="{00000000-0005-0000-0000-00007F010000}"/>
    <cellStyle name="60% - Accent2 4 3" xfId="226" xr:uid="{00000000-0005-0000-0000-000080010000}"/>
    <cellStyle name="60% - Accent3 2" xfId="227" xr:uid="{00000000-0005-0000-0000-000081010000}"/>
    <cellStyle name="60% - Accent3 2 2" xfId="228" xr:uid="{00000000-0005-0000-0000-000082010000}"/>
    <cellStyle name="60% - Accent3 2 3" xfId="229" xr:uid="{00000000-0005-0000-0000-000083010000}"/>
    <cellStyle name="60% - Accent3 3" xfId="230" xr:uid="{00000000-0005-0000-0000-000084010000}"/>
    <cellStyle name="60% - Accent3 3 2" xfId="231" xr:uid="{00000000-0005-0000-0000-000085010000}"/>
    <cellStyle name="60% - Accent3 3 3" xfId="232" xr:uid="{00000000-0005-0000-0000-000086010000}"/>
    <cellStyle name="60% - Accent3 4" xfId="233" xr:uid="{00000000-0005-0000-0000-000087010000}"/>
    <cellStyle name="60% - Accent3 4 2" xfId="234" xr:uid="{00000000-0005-0000-0000-000088010000}"/>
    <cellStyle name="60% - Accent3 4 3" xfId="235" xr:uid="{00000000-0005-0000-0000-000089010000}"/>
    <cellStyle name="60% - Accent4 2" xfId="236" xr:uid="{00000000-0005-0000-0000-00008A010000}"/>
    <cellStyle name="60% - Accent4 2 2" xfId="237" xr:uid="{00000000-0005-0000-0000-00008B010000}"/>
    <cellStyle name="60% - Accent4 2 3" xfId="238" xr:uid="{00000000-0005-0000-0000-00008C010000}"/>
    <cellStyle name="60% - Accent4 3" xfId="239" xr:uid="{00000000-0005-0000-0000-00008D010000}"/>
    <cellStyle name="60% - Accent4 3 2" xfId="240" xr:uid="{00000000-0005-0000-0000-00008E010000}"/>
    <cellStyle name="60% - Accent4 3 3" xfId="241" xr:uid="{00000000-0005-0000-0000-00008F010000}"/>
    <cellStyle name="60% - Accent4 4" xfId="242" xr:uid="{00000000-0005-0000-0000-000090010000}"/>
    <cellStyle name="60% - Accent4 4 2" xfId="243" xr:uid="{00000000-0005-0000-0000-000091010000}"/>
    <cellStyle name="60% - Accent4 4 3" xfId="244" xr:uid="{00000000-0005-0000-0000-000092010000}"/>
    <cellStyle name="60% - Accent5 2" xfId="245" xr:uid="{00000000-0005-0000-0000-000093010000}"/>
    <cellStyle name="60% - Accent5 2 2" xfId="246" xr:uid="{00000000-0005-0000-0000-000094010000}"/>
    <cellStyle name="60% - Accent5 2 3" xfId="247" xr:uid="{00000000-0005-0000-0000-000095010000}"/>
    <cellStyle name="60% - Accent5 3" xfId="248" xr:uid="{00000000-0005-0000-0000-000096010000}"/>
    <cellStyle name="60% - Accent5 3 2" xfId="249" xr:uid="{00000000-0005-0000-0000-000097010000}"/>
    <cellStyle name="60% - Accent5 3 3" xfId="250" xr:uid="{00000000-0005-0000-0000-000098010000}"/>
    <cellStyle name="60% - Accent5 4" xfId="251" xr:uid="{00000000-0005-0000-0000-000099010000}"/>
    <cellStyle name="60% - Accent5 4 2" xfId="252" xr:uid="{00000000-0005-0000-0000-00009A010000}"/>
    <cellStyle name="60% - Accent5 4 3" xfId="253" xr:uid="{00000000-0005-0000-0000-00009B010000}"/>
    <cellStyle name="60% - Accent6 2" xfId="254" xr:uid="{00000000-0005-0000-0000-00009C010000}"/>
    <cellStyle name="60% - Accent6 2 2" xfId="255" xr:uid="{00000000-0005-0000-0000-00009D010000}"/>
    <cellStyle name="60% - Accent6 2 3" xfId="256" xr:uid="{00000000-0005-0000-0000-00009E010000}"/>
    <cellStyle name="60% - Accent6 3" xfId="257" xr:uid="{00000000-0005-0000-0000-00009F010000}"/>
    <cellStyle name="60% - Accent6 3 2" xfId="258" xr:uid="{00000000-0005-0000-0000-0000A0010000}"/>
    <cellStyle name="60% - Accent6 3 3" xfId="259" xr:uid="{00000000-0005-0000-0000-0000A1010000}"/>
    <cellStyle name="60% - Accent6 4" xfId="260" xr:uid="{00000000-0005-0000-0000-0000A2010000}"/>
    <cellStyle name="60% - Accent6 4 2" xfId="261" xr:uid="{00000000-0005-0000-0000-0000A3010000}"/>
    <cellStyle name="60% - Accent6 4 3" xfId="262" xr:uid="{00000000-0005-0000-0000-0000A4010000}"/>
    <cellStyle name="60% - 강조색1 2" xfId="1752" xr:uid="{00000000-0005-0000-0000-0000A5010000}"/>
    <cellStyle name="60% - 강조색2 2" xfId="1756" xr:uid="{00000000-0005-0000-0000-0000A6010000}"/>
    <cellStyle name="60% - 강조색3 2" xfId="1760" xr:uid="{00000000-0005-0000-0000-0000A7010000}"/>
    <cellStyle name="60% - 강조색4 2" xfId="1764" xr:uid="{00000000-0005-0000-0000-0000A8010000}"/>
    <cellStyle name="60% - 강조색5 2" xfId="1767" xr:uid="{00000000-0005-0000-0000-0000A9010000}"/>
    <cellStyle name="60% - 강조색6 2" xfId="1771" xr:uid="{00000000-0005-0000-0000-0000AA010000}"/>
    <cellStyle name="60% - 輔色1" xfId="263" xr:uid="{00000000-0005-0000-0000-0000AB010000}"/>
    <cellStyle name="60% - 輔色2" xfId="264" xr:uid="{00000000-0005-0000-0000-0000AC010000}"/>
    <cellStyle name="60% - 輔色3" xfId="265" xr:uid="{00000000-0005-0000-0000-0000AD010000}"/>
    <cellStyle name="60% - 輔色4" xfId="266" xr:uid="{00000000-0005-0000-0000-0000AE010000}"/>
    <cellStyle name="60% - 輔色5" xfId="267" xr:uid="{00000000-0005-0000-0000-0000AF010000}"/>
    <cellStyle name="60% - 輔色6" xfId="268" xr:uid="{00000000-0005-0000-0000-0000B0010000}"/>
    <cellStyle name="Accent1 2" xfId="269" xr:uid="{00000000-0005-0000-0000-0000B1010000}"/>
    <cellStyle name="Accent1 2 2" xfId="270" xr:uid="{00000000-0005-0000-0000-0000B2010000}"/>
    <cellStyle name="Accent1 2 3" xfId="271" xr:uid="{00000000-0005-0000-0000-0000B3010000}"/>
    <cellStyle name="Accent1 3" xfId="272" xr:uid="{00000000-0005-0000-0000-0000B4010000}"/>
    <cellStyle name="Accent1 3 2" xfId="273" xr:uid="{00000000-0005-0000-0000-0000B5010000}"/>
    <cellStyle name="Accent1 3 3" xfId="274" xr:uid="{00000000-0005-0000-0000-0000B6010000}"/>
    <cellStyle name="Accent1 4" xfId="275" xr:uid="{00000000-0005-0000-0000-0000B7010000}"/>
    <cellStyle name="Accent1 4 2" xfId="276" xr:uid="{00000000-0005-0000-0000-0000B8010000}"/>
    <cellStyle name="Accent1 4 3" xfId="277" xr:uid="{00000000-0005-0000-0000-0000B9010000}"/>
    <cellStyle name="Accent2 2" xfId="278" xr:uid="{00000000-0005-0000-0000-0000BA010000}"/>
    <cellStyle name="Accent2 2 2" xfId="279" xr:uid="{00000000-0005-0000-0000-0000BB010000}"/>
    <cellStyle name="Accent2 2 3" xfId="280" xr:uid="{00000000-0005-0000-0000-0000BC010000}"/>
    <cellStyle name="Accent2 3" xfId="281" xr:uid="{00000000-0005-0000-0000-0000BD010000}"/>
    <cellStyle name="Accent2 3 2" xfId="282" xr:uid="{00000000-0005-0000-0000-0000BE010000}"/>
    <cellStyle name="Accent2 3 3" xfId="283" xr:uid="{00000000-0005-0000-0000-0000BF010000}"/>
    <cellStyle name="Accent2 4" xfId="284" xr:uid="{00000000-0005-0000-0000-0000C0010000}"/>
    <cellStyle name="Accent2 4 2" xfId="285" xr:uid="{00000000-0005-0000-0000-0000C1010000}"/>
    <cellStyle name="Accent2 4 3" xfId="286" xr:uid="{00000000-0005-0000-0000-0000C2010000}"/>
    <cellStyle name="Accent3 2" xfId="287" xr:uid="{00000000-0005-0000-0000-0000C3010000}"/>
    <cellStyle name="Accent3 2 2" xfId="288" xr:uid="{00000000-0005-0000-0000-0000C4010000}"/>
    <cellStyle name="Accent3 2 3" xfId="289" xr:uid="{00000000-0005-0000-0000-0000C5010000}"/>
    <cellStyle name="Accent3 3" xfId="290" xr:uid="{00000000-0005-0000-0000-0000C6010000}"/>
    <cellStyle name="Accent3 3 2" xfId="291" xr:uid="{00000000-0005-0000-0000-0000C7010000}"/>
    <cellStyle name="Accent3 3 3" xfId="292" xr:uid="{00000000-0005-0000-0000-0000C8010000}"/>
    <cellStyle name="Accent3 4" xfId="293" xr:uid="{00000000-0005-0000-0000-0000C9010000}"/>
    <cellStyle name="Accent3 4 2" xfId="294" xr:uid="{00000000-0005-0000-0000-0000CA010000}"/>
    <cellStyle name="Accent3 4 3" xfId="295" xr:uid="{00000000-0005-0000-0000-0000CB010000}"/>
    <cellStyle name="Accent4 2" xfId="296" xr:uid="{00000000-0005-0000-0000-0000CC010000}"/>
    <cellStyle name="Accent4 2 2" xfId="297" xr:uid="{00000000-0005-0000-0000-0000CD010000}"/>
    <cellStyle name="Accent4 2 3" xfId="298" xr:uid="{00000000-0005-0000-0000-0000CE010000}"/>
    <cellStyle name="Accent4 3" xfId="299" xr:uid="{00000000-0005-0000-0000-0000CF010000}"/>
    <cellStyle name="Accent4 3 2" xfId="300" xr:uid="{00000000-0005-0000-0000-0000D0010000}"/>
    <cellStyle name="Accent4 3 3" xfId="301" xr:uid="{00000000-0005-0000-0000-0000D1010000}"/>
    <cellStyle name="Accent4 4" xfId="302" xr:uid="{00000000-0005-0000-0000-0000D2010000}"/>
    <cellStyle name="Accent4 4 2" xfId="303" xr:uid="{00000000-0005-0000-0000-0000D3010000}"/>
    <cellStyle name="Accent4 4 3" xfId="304" xr:uid="{00000000-0005-0000-0000-0000D4010000}"/>
    <cellStyle name="Accent5 2" xfId="305" xr:uid="{00000000-0005-0000-0000-0000D5010000}"/>
    <cellStyle name="Accent5 2 2" xfId="306" xr:uid="{00000000-0005-0000-0000-0000D6010000}"/>
    <cellStyle name="Accent5 2 3" xfId="307" xr:uid="{00000000-0005-0000-0000-0000D7010000}"/>
    <cellStyle name="Accent5 3" xfId="308" xr:uid="{00000000-0005-0000-0000-0000D8010000}"/>
    <cellStyle name="Accent5 3 2" xfId="309" xr:uid="{00000000-0005-0000-0000-0000D9010000}"/>
    <cellStyle name="Accent5 3 3" xfId="310" xr:uid="{00000000-0005-0000-0000-0000DA010000}"/>
    <cellStyle name="Accent5 4" xfId="311" xr:uid="{00000000-0005-0000-0000-0000DB010000}"/>
    <cellStyle name="Accent6 2" xfId="312" xr:uid="{00000000-0005-0000-0000-0000DC010000}"/>
    <cellStyle name="Accent6 2 2" xfId="313" xr:uid="{00000000-0005-0000-0000-0000DD010000}"/>
    <cellStyle name="Accent6 2 3" xfId="314" xr:uid="{00000000-0005-0000-0000-0000DE010000}"/>
    <cellStyle name="Accent6 3" xfId="315" xr:uid="{00000000-0005-0000-0000-0000DF010000}"/>
    <cellStyle name="Accent6 3 2" xfId="316" xr:uid="{00000000-0005-0000-0000-0000E0010000}"/>
    <cellStyle name="Accent6 3 3" xfId="317" xr:uid="{00000000-0005-0000-0000-0000E1010000}"/>
    <cellStyle name="Accent6 4" xfId="318" xr:uid="{00000000-0005-0000-0000-0000E2010000}"/>
    <cellStyle name="Accent6 4 2" xfId="319" xr:uid="{00000000-0005-0000-0000-0000E3010000}"/>
    <cellStyle name="Accent6 4 3" xfId="320" xr:uid="{00000000-0005-0000-0000-0000E4010000}"/>
    <cellStyle name="Bad 2" xfId="321" xr:uid="{00000000-0005-0000-0000-0000E5010000}"/>
    <cellStyle name="Bad 2 2" xfId="322" xr:uid="{00000000-0005-0000-0000-0000E6010000}"/>
    <cellStyle name="Bad 2 3" xfId="323" xr:uid="{00000000-0005-0000-0000-0000E7010000}"/>
    <cellStyle name="Bad 3" xfId="324" xr:uid="{00000000-0005-0000-0000-0000E8010000}"/>
    <cellStyle name="Bad 3 2" xfId="325" xr:uid="{00000000-0005-0000-0000-0000E9010000}"/>
    <cellStyle name="Bad 3 3" xfId="326" xr:uid="{00000000-0005-0000-0000-0000EA010000}"/>
    <cellStyle name="Bad 4" xfId="327" xr:uid="{00000000-0005-0000-0000-0000EB010000}"/>
    <cellStyle name="Bad 4 2" xfId="328" xr:uid="{00000000-0005-0000-0000-0000EC010000}"/>
    <cellStyle name="Bad 4 3" xfId="329" xr:uid="{00000000-0005-0000-0000-0000ED010000}"/>
    <cellStyle name="Calculation 2" xfId="330" xr:uid="{00000000-0005-0000-0000-0000EE010000}"/>
    <cellStyle name="Calculation 2 2" xfId="331" xr:uid="{00000000-0005-0000-0000-0000EF010000}"/>
    <cellStyle name="Calculation 2 3" xfId="332" xr:uid="{00000000-0005-0000-0000-0000F0010000}"/>
    <cellStyle name="Calculation 3" xfId="333" xr:uid="{00000000-0005-0000-0000-0000F1010000}"/>
    <cellStyle name="Calculation 3 2" xfId="334" xr:uid="{00000000-0005-0000-0000-0000F2010000}"/>
    <cellStyle name="Calculation 3 2 10" xfId="335" xr:uid="{00000000-0005-0000-0000-0000F3010000}"/>
    <cellStyle name="Calculation 3 2 10 2" xfId="1848" xr:uid="{00000000-0005-0000-0000-0000F4010000}"/>
    <cellStyle name="Calculation 3 2 10 3" xfId="3094" xr:uid="{00000000-0005-0000-0000-0000F5010000}"/>
    <cellStyle name="Calculation 3 2 10 4" xfId="3159" xr:uid="{00000000-0005-0000-0000-0000F6010000}"/>
    <cellStyle name="Calculation 3 2 11" xfId="336" xr:uid="{00000000-0005-0000-0000-0000F7010000}"/>
    <cellStyle name="Calculation 3 2 11 2" xfId="1849" xr:uid="{00000000-0005-0000-0000-0000F8010000}"/>
    <cellStyle name="Calculation 3 2 11 3" xfId="3095" xr:uid="{00000000-0005-0000-0000-0000F9010000}"/>
    <cellStyle name="Calculation 3 2 11 4" xfId="3158" xr:uid="{00000000-0005-0000-0000-0000FA010000}"/>
    <cellStyle name="Calculation 3 2 12" xfId="337" xr:uid="{00000000-0005-0000-0000-0000FB010000}"/>
    <cellStyle name="Calculation 3 2 12 2" xfId="1850" xr:uid="{00000000-0005-0000-0000-0000FC010000}"/>
    <cellStyle name="Calculation 3 2 12 3" xfId="3096" xr:uid="{00000000-0005-0000-0000-0000FD010000}"/>
    <cellStyle name="Calculation 3 2 12 4" xfId="3157" xr:uid="{00000000-0005-0000-0000-0000FE010000}"/>
    <cellStyle name="Calculation 3 2 13" xfId="338" xr:uid="{00000000-0005-0000-0000-0000FF010000}"/>
    <cellStyle name="Calculation 3 2 13 2" xfId="1851" xr:uid="{00000000-0005-0000-0000-000000020000}"/>
    <cellStyle name="Calculation 3 2 13 3" xfId="3097" xr:uid="{00000000-0005-0000-0000-000001020000}"/>
    <cellStyle name="Calculation 3 2 13 4" xfId="3156" xr:uid="{00000000-0005-0000-0000-000002020000}"/>
    <cellStyle name="Calculation 3 2 14" xfId="339" xr:uid="{00000000-0005-0000-0000-000003020000}"/>
    <cellStyle name="Calculation 3 2 14 2" xfId="1852" xr:uid="{00000000-0005-0000-0000-000004020000}"/>
    <cellStyle name="Calculation 3 2 14 3" xfId="3098" xr:uid="{00000000-0005-0000-0000-000005020000}"/>
    <cellStyle name="Calculation 3 2 14 4" xfId="3155" xr:uid="{00000000-0005-0000-0000-000006020000}"/>
    <cellStyle name="Calculation 3 2 15" xfId="1847" xr:uid="{00000000-0005-0000-0000-000007020000}"/>
    <cellStyle name="Calculation 3 2 16" xfId="3093" xr:uid="{00000000-0005-0000-0000-000008020000}"/>
    <cellStyle name="Calculation 3 2 17" xfId="3160" xr:uid="{00000000-0005-0000-0000-000009020000}"/>
    <cellStyle name="Calculation 3 2 2" xfId="340" xr:uid="{00000000-0005-0000-0000-00000A020000}"/>
    <cellStyle name="Calculation 3 2 2 2" xfId="1853" xr:uid="{00000000-0005-0000-0000-00000B020000}"/>
    <cellStyle name="Calculation 3 2 2 3" xfId="3099" xr:uid="{00000000-0005-0000-0000-00000C020000}"/>
    <cellStyle name="Calculation 3 2 2 4" xfId="3154" xr:uid="{00000000-0005-0000-0000-00000D020000}"/>
    <cellStyle name="Calculation 3 2 3" xfId="341" xr:uid="{00000000-0005-0000-0000-00000E020000}"/>
    <cellStyle name="Calculation 3 2 3 2" xfId="1854" xr:uid="{00000000-0005-0000-0000-00000F020000}"/>
    <cellStyle name="Calculation 3 2 3 3" xfId="3100" xr:uid="{00000000-0005-0000-0000-000010020000}"/>
    <cellStyle name="Calculation 3 2 3 4" xfId="3153" xr:uid="{00000000-0005-0000-0000-000011020000}"/>
    <cellStyle name="Calculation 3 2 4" xfId="342" xr:uid="{00000000-0005-0000-0000-000012020000}"/>
    <cellStyle name="Calculation 3 2 4 2" xfId="1855" xr:uid="{00000000-0005-0000-0000-000013020000}"/>
    <cellStyle name="Calculation 3 2 4 3" xfId="3101" xr:uid="{00000000-0005-0000-0000-000014020000}"/>
    <cellStyle name="Calculation 3 2 4 4" xfId="3152" xr:uid="{00000000-0005-0000-0000-000015020000}"/>
    <cellStyle name="Calculation 3 2 5" xfId="343" xr:uid="{00000000-0005-0000-0000-000016020000}"/>
    <cellStyle name="Calculation 3 2 5 2" xfId="1856" xr:uid="{00000000-0005-0000-0000-000017020000}"/>
    <cellStyle name="Calculation 3 2 5 3" xfId="3102" xr:uid="{00000000-0005-0000-0000-000018020000}"/>
    <cellStyle name="Calculation 3 2 5 4" xfId="3151" xr:uid="{00000000-0005-0000-0000-000019020000}"/>
    <cellStyle name="Calculation 3 2 6" xfId="344" xr:uid="{00000000-0005-0000-0000-00001A020000}"/>
    <cellStyle name="Calculation 3 2 6 2" xfId="1857" xr:uid="{00000000-0005-0000-0000-00001B020000}"/>
    <cellStyle name="Calculation 3 2 6 3" xfId="3103" xr:uid="{00000000-0005-0000-0000-00001C020000}"/>
    <cellStyle name="Calculation 3 2 6 4" xfId="3149" xr:uid="{00000000-0005-0000-0000-00001D020000}"/>
    <cellStyle name="Calculation 3 2 7" xfId="345" xr:uid="{00000000-0005-0000-0000-00001E020000}"/>
    <cellStyle name="Calculation 3 2 7 2" xfId="1858" xr:uid="{00000000-0005-0000-0000-00001F020000}"/>
    <cellStyle name="Calculation 3 2 7 3" xfId="3104" xr:uid="{00000000-0005-0000-0000-000020020000}"/>
    <cellStyle name="Calculation 3 2 7 4" xfId="3148" xr:uid="{00000000-0005-0000-0000-000021020000}"/>
    <cellStyle name="Calculation 3 2 8" xfId="346" xr:uid="{00000000-0005-0000-0000-000022020000}"/>
    <cellStyle name="Calculation 3 2 8 2" xfId="1859" xr:uid="{00000000-0005-0000-0000-000023020000}"/>
    <cellStyle name="Calculation 3 2 8 3" xfId="3105" xr:uid="{00000000-0005-0000-0000-000024020000}"/>
    <cellStyle name="Calculation 3 2 8 4" xfId="3147" xr:uid="{00000000-0005-0000-0000-000025020000}"/>
    <cellStyle name="Calculation 3 2 9" xfId="347" xr:uid="{00000000-0005-0000-0000-000026020000}"/>
    <cellStyle name="Calculation 3 2 9 2" xfId="1860" xr:uid="{00000000-0005-0000-0000-000027020000}"/>
    <cellStyle name="Calculation 3 2 9 3" xfId="3106" xr:uid="{00000000-0005-0000-0000-000028020000}"/>
    <cellStyle name="Calculation 3 2 9 4" xfId="3146" xr:uid="{00000000-0005-0000-0000-000029020000}"/>
    <cellStyle name="Calculation 3 3" xfId="348" xr:uid="{00000000-0005-0000-0000-00002A020000}"/>
    <cellStyle name="Calculation 4" xfId="349" xr:uid="{00000000-0005-0000-0000-00002B020000}"/>
    <cellStyle name="Calculation 4 2" xfId="350" xr:uid="{00000000-0005-0000-0000-00002C020000}"/>
    <cellStyle name="Calculation 4 2 10" xfId="351" xr:uid="{00000000-0005-0000-0000-00002D020000}"/>
    <cellStyle name="Calculation 4 2 10 2" xfId="1862" xr:uid="{00000000-0005-0000-0000-00002E020000}"/>
    <cellStyle name="Calculation 4 2 10 3" xfId="3109" xr:uid="{00000000-0005-0000-0000-00002F020000}"/>
    <cellStyle name="Calculation 4 2 10 4" xfId="3143" xr:uid="{00000000-0005-0000-0000-000030020000}"/>
    <cellStyle name="Calculation 4 2 11" xfId="352" xr:uid="{00000000-0005-0000-0000-000031020000}"/>
    <cellStyle name="Calculation 4 2 11 2" xfId="1863" xr:uid="{00000000-0005-0000-0000-000032020000}"/>
    <cellStyle name="Calculation 4 2 11 3" xfId="3110" xr:uid="{00000000-0005-0000-0000-000033020000}"/>
    <cellStyle name="Calculation 4 2 11 4" xfId="3142" xr:uid="{00000000-0005-0000-0000-000034020000}"/>
    <cellStyle name="Calculation 4 2 12" xfId="353" xr:uid="{00000000-0005-0000-0000-000035020000}"/>
    <cellStyle name="Calculation 4 2 12 2" xfId="1864" xr:uid="{00000000-0005-0000-0000-000036020000}"/>
    <cellStyle name="Calculation 4 2 12 3" xfId="3111" xr:uid="{00000000-0005-0000-0000-000037020000}"/>
    <cellStyle name="Calculation 4 2 12 4" xfId="3141" xr:uid="{00000000-0005-0000-0000-000038020000}"/>
    <cellStyle name="Calculation 4 2 13" xfId="354" xr:uid="{00000000-0005-0000-0000-000039020000}"/>
    <cellStyle name="Calculation 4 2 13 2" xfId="1865" xr:uid="{00000000-0005-0000-0000-00003A020000}"/>
    <cellStyle name="Calculation 4 2 13 3" xfId="3112" xr:uid="{00000000-0005-0000-0000-00003B020000}"/>
    <cellStyle name="Calculation 4 2 13 4" xfId="3140" xr:uid="{00000000-0005-0000-0000-00003C020000}"/>
    <cellStyle name="Calculation 4 2 14" xfId="355" xr:uid="{00000000-0005-0000-0000-00003D020000}"/>
    <cellStyle name="Calculation 4 2 14 2" xfId="1866" xr:uid="{00000000-0005-0000-0000-00003E020000}"/>
    <cellStyle name="Calculation 4 2 14 3" xfId="3113" xr:uid="{00000000-0005-0000-0000-00003F020000}"/>
    <cellStyle name="Calculation 4 2 14 4" xfId="3139" xr:uid="{00000000-0005-0000-0000-000040020000}"/>
    <cellStyle name="Calculation 4 2 15" xfId="1861" xr:uid="{00000000-0005-0000-0000-000041020000}"/>
    <cellStyle name="Calculation 4 2 16" xfId="3108" xr:uid="{00000000-0005-0000-0000-000042020000}"/>
    <cellStyle name="Calculation 4 2 17" xfId="3144" xr:uid="{00000000-0005-0000-0000-000043020000}"/>
    <cellStyle name="Calculation 4 2 2" xfId="356" xr:uid="{00000000-0005-0000-0000-000044020000}"/>
    <cellStyle name="Calculation 4 2 2 2" xfId="1867" xr:uid="{00000000-0005-0000-0000-000045020000}"/>
    <cellStyle name="Calculation 4 2 2 3" xfId="3114" xr:uid="{00000000-0005-0000-0000-000046020000}"/>
    <cellStyle name="Calculation 4 2 2 4" xfId="3138" xr:uid="{00000000-0005-0000-0000-000047020000}"/>
    <cellStyle name="Calculation 4 2 3" xfId="357" xr:uid="{00000000-0005-0000-0000-000048020000}"/>
    <cellStyle name="Calculation 4 2 3 2" xfId="1868" xr:uid="{00000000-0005-0000-0000-000049020000}"/>
    <cellStyle name="Calculation 4 2 3 3" xfId="3115" xr:uid="{00000000-0005-0000-0000-00004A020000}"/>
    <cellStyle name="Calculation 4 2 3 4" xfId="3137" xr:uid="{00000000-0005-0000-0000-00004B020000}"/>
    <cellStyle name="Calculation 4 2 4" xfId="358" xr:uid="{00000000-0005-0000-0000-00004C020000}"/>
    <cellStyle name="Calculation 4 2 4 2" xfId="1869" xr:uid="{00000000-0005-0000-0000-00004D020000}"/>
    <cellStyle name="Calculation 4 2 4 3" xfId="3116" xr:uid="{00000000-0005-0000-0000-00004E020000}"/>
    <cellStyle name="Calculation 4 2 4 4" xfId="3135" xr:uid="{00000000-0005-0000-0000-00004F020000}"/>
    <cellStyle name="Calculation 4 2 5" xfId="359" xr:uid="{00000000-0005-0000-0000-000050020000}"/>
    <cellStyle name="Calculation 4 2 5 2" xfId="1870" xr:uid="{00000000-0005-0000-0000-000051020000}"/>
    <cellStyle name="Calculation 4 2 5 3" xfId="3117" xr:uid="{00000000-0005-0000-0000-000052020000}"/>
    <cellStyle name="Calculation 4 2 5 4" xfId="3134" xr:uid="{00000000-0005-0000-0000-000053020000}"/>
    <cellStyle name="Calculation 4 2 6" xfId="360" xr:uid="{00000000-0005-0000-0000-000054020000}"/>
    <cellStyle name="Calculation 4 2 6 2" xfId="1871" xr:uid="{00000000-0005-0000-0000-000055020000}"/>
    <cellStyle name="Calculation 4 2 6 3" xfId="3118" xr:uid="{00000000-0005-0000-0000-000056020000}"/>
    <cellStyle name="Calculation 4 2 6 4" xfId="3133" xr:uid="{00000000-0005-0000-0000-000057020000}"/>
    <cellStyle name="Calculation 4 2 7" xfId="361" xr:uid="{00000000-0005-0000-0000-000058020000}"/>
    <cellStyle name="Calculation 4 2 7 2" xfId="1872" xr:uid="{00000000-0005-0000-0000-000059020000}"/>
    <cellStyle name="Calculation 4 2 7 3" xfId="3119" xr:uid="{00000000-0005-0000-0000-00005A020000}"/>
    <cellStyle name="Calculation 4 2 7 4" xfId="3132" xr:uid="{00000000-0005-0000-0000-00005B020000}"/>
    <cellStyle name="Calculation 4 2 8" xfId="362" xr:uid="{00000000-0005-0000-0000-00005C020000}"/>
    <cellStyle name="Calculation 4 2 8 2" xfId="1873" xr:uid="{00000000-0005-0000-0000-00005D020000}"/>
    <cellStyle name="Calculation 4 2 8 3" xfId="3120" xr:uid="{00000000-0005-0000-0000-00005E020000}"/>
    <cellStyle name="Calculation 4 2 8 4" xfId="3131" xr:uid="{00000000-0005-0000-0000-00005F020000}"/>
    <cellStyle name="Calculation 4 2 9" xfId="363" xr:uid="{00000000-0005-0000-0000-000060020000}"/>
    <cellStyle name="Calculation 4 2 9 2" xfId="1874" xr:uid="{00000000-0005-0000-0000-000061020000}"/>
    <cellStyle name="Calculation 4 2 9 3" xfId="3121" xr:uid="{00000000-0005-0000-0000-000062020000}"/>
    <cellStyle name="Calculation 4 2 9 4" xfId="3130" xr:uid="{00000000-0005-0000-0000-000063020000}"/>
    <cellStyle name="Calculation 4 3" xfId="364" xr:uid="{00000000-0005-0000-0000-000064020000}"/>
    <cellStyle name="Check Cell 2" xfId="365" xr:uid="{00000000-0005-0000-0000-000065020000}"/>
    <cellStyle name="Check Cell 2 2" xfId="366" xr:uid="{00000000-0005-0000-0000-000066020000}"/>
    <cellStyle name="Check Cell 2 3" xfId="367" xr:uid="{00000000-0005-0000-0000-000067020000}"/>
    <cellStyle name="Check Cell 3" xfId="368" xr:uid="{00000000-0005-0000-0000-000068020000}"/>
    <cellStyle name="Check Cell 3 2" xfId="369" xr:uid="{00000000-0005-0000-0000-000069020000}"/>
    <cellStyle name="Check Cell 3 3" xfId="370" xr:uid="{00000000-0005-0000-0000-00006A020000}"/>
    <cellStyle name="Check Cell 4" xfId="371" xr:uid="{00000000-0005-0000-0000-00006B020000}"/>
    <cellStyle name="Comma [0] 2" xfId="1" xr:uid="{00000000-0005-0000-0000-00006C020000}"/>
    <cellStyle name="Comma [0] 2 2" xfId="372" xr:uid="{00000000-0005-0000-0000-00006D020000}"/>
    <cellStyle name="Comma [0] 2 2 2" xfId="373" xr:uid="{00000000-0005-0000-0000-00006E020000}"/>
    <cellStyle name="Comma [0] 2 3" xfId="374" xr:uid="{00000000-0005-0000-0000-00006F020000}"/>
    <cellStyle name="Comma [0] 2 4" xfId="375" xr:uid="{00000000-0005-0000-0000-000070020000}"/>
    <cellStyle name="Comma [0] 2 5" xfId="376" xr:uid="{00000000-0005-0000-0000-000071020000}"/>
    <cellStyle name="Comma [0] 2 6" xfId="377" xr:uid="{00000000-0005-0000-0000-000072020000}"/>
    <cellStyle name="Comma [0] 2 6 2" xfId="1875" xr:uid="{00000000-0005-0000-0000-000073020000}"/>
    <cellStyle name="Comma [0] 2 6 3" xfId="3124" xr:uid="{00000000-0005-0000-0000-000074020000}"/>
    <cellStyle name="Comma [0] 2 6 4" xfId="4324" xr:uid="{00000000-0005-0000-0000-000075020000}"/>
    <cellStyle name="Comma [0] 2 7" xfId="5374" xr:uid="{00000000-0005-0000-0000-000076020000}"/>
    <cellStyle name="Comma [0] 2 8" xfId="5383" xr:uid="{00000000-0005-0000-0000-000077020000}"/>
    <cellStyle name="Comma [0] 2 9" xfId="5386" xr:uid="{00000000-0005-0000-0000-000078020000}"/>
    <cellStyle name="Comma [0] 3" xfId="378" xr:uid="{00000000-0005-0000-0000-000079020000}"/>
    <cellStyle name="Comma [0] 3 2" xfId="379" xr:uid="{00000000-0005-0000-0000-00007A020000}"/>
    <cellStyle name="Comma [0] 3 2 2" xfId="1877" xr:uid="{00000000-0005-0000-0000-00007B020000}"/>
    <cellStyle name="Comma [0] 3 2 3" xfId="3126" xr:uid="{00000000-0005-0000-0000-00007C020000}"/>
    <cellStyle name="Comma [0] 3 2 4" xfId="3123" xr:uid="{00000000-0005-0000-0000-00007D020000}"/>
    <cellStyle name="Comma [0] 3 3" xfId="1876" xr:uid="{00000000-0005-0000-0000-00007E020000}"/>
    <cellStyle name="Comma [0] 3 4" xfId="3125" xr:uid="{00000000-0005-0000-0000-00007F020000}"/>
    <cellStyle name="Comma [0] 3 5" xfId="3127" xr:uid="{00000000-0005-0000-0000-000080020000}"/>
    <cellStyle name="Comma [0] 4" xfId="380" xr:uid="{00000000-0005-0000-0000-000081020000}"/>
    <cellStyle name="Comma [0] 5" xfId="381" xr:uid="{00000000-0005-0000-0000-000082020000}"/>
    <cellStyle name="Comma [0] 5 2" xfId="1878" xr:uid="{00000000-0005-0000-0000-000083020000}"/>
    <cellStyle name="Comma [0] 5 3" xfId="3128" xr:uid="{00000000-0005-0000-0000-000084020000}"/>
    <cellStyle name="Comma [0] 5 4" xfId="3122" xr:uid="{00000000-0005-0000-0000-000085020000}"/>
    <cellStyle name="Comma [0] 6" xfId="1772" xr:uid="{00000000-0005-0000-0000-000086020000}"/>
    <cellStyle name="Comma [0] 7" xfId="1773" xr:uid="{00000000-0005-0000-0000-000087020000}"/>
    <cellStyle name="Comma [0] 8" xfId="1778" xr:uid="{00000000-0005-0000-0000-000088020000}"/>
    <cellStyle name="Comma 10" xfId="382" xr:uid="{00000000-0005-0000-0000-000089020000}"/>
    <cellStyle name="Comma 2" xfId="50" xr:uid="{00000000-0005-0000-0000-00008A020000}"/>
    <cellStyle name="Comma 2 10" xfId="2970" xr:uid="{00000000-0005-0000-0000-00008B020000}"/>
    <cellStyle name="Comma 2 11" xfId="4280" xr:uid="{00000000-0005-0000-0000-00008C020000}"/>
    <cellStyle name="Comma 2 2" xfId="55" xr:uid="{00000000-0005-0000-0000-00008D020000}"/>
    <cellStyle name="Comma 2 2 2" xfId="383" xr:uid="{00000000-0005-0000-0000-00008E020000}"/>
    <cellStyle name="Comma 2 3" xfId="384" xr:uid="{00000000-0005-0000-0000-00008F020000}"/>
    <cellStyle name="Comma 2 3 2" xfId="385" xr:uid="{00000000-0005-0000-0000-000090020000}"/>
    <cellStyle name="Comma 2 3 3" xfId="386" xr:uid="{00000000-0005-0000-0000-000091020000}"/>
    <cellStyle name="Comma 2 4" xfId="387" xr:uid="{00000000-0005-0000-0000-000092020000}"/>
    <cellStyle name="Comma 2 5" xfId="388" xr:uid="{00000000-0005-0000-0000-000093020000}"/>
    <cellStyle name="Comma 2 6" xfId="389" xr:uid="{00000000-0005-0000-0000-000094020000}"/>
    <cellStyle name="Comma 2 7" xfId="390" xr:uid="{00000000-0005-0000-0000-000095020000}"/>
    <cellStyle name="Comma 2 8" xfId="391" xr:uid="{00000000-0005-0000-0000-000096020000}"/>
    <cellStyle name="Comma 2 9" xfId="392" xr:uid="{00000000-0005-0000-0000-000097020000}"/>
    <cellStyle name="Comma 3" xfId="393" xr:uid="{00000000-0005-0000-0000-000098020000}"/>
    <cellStyle name="Comma 3 10" xfId="3129" xr:uid="{00000000-0005-0000-0000-000099020000}"/>
    <cellStyle name="Comma 3 11" xfId="3107" xr:uid="{00000000-0005-0000-0000-00009A020000}"/>
    <cellStyle name="Comma 3 2" xfId="394" xr:uid="{00000000-0005-0000-0000-00009B020000}"/>
    <cellStyle name="Comma 3 3" xfId="395" xr:uid="{00000000-0005-0000-0000-00009C020000}"/>
    <cellStyle name="Comma 3 4" xfId="396" xr:uid="{00000000-0005-0000-0000-00009D020000}"/>
    <cellStyle name="Comma 3 5" xfId="397" xr:uid="{00000000-0005-0000-0000-00009E020000}"/>
    <cellStyle name="Comma 3 6" xfId="398" xr:uid="{00000000-0005-0000-0000-00009F020000}"/>
    <cellStyle name="Comma 3 7" xfId="399" xr:uid="{00000000-0005-0000-0000-0000A0020000}"/>
    <cellStyle name="Comma 3 8" xfId="400" xr:uid="{00000000-0005-0000-0000-0000A1020000}"/>
    <cellStyle name="Comma 3 8 2" xfId="1880" xr:uid="{00000000-0005-0000-0000-0000A2020000}"/>
    <cellStyle name="Comma 3 8 3" xfId="3136" xr:uid="{00000000-0005-0000-0000-0000A3020000}"/>
    <cellStyle name="Comma 3 8 4" xfId="3092" xr:uid="{00000000-0005-0000-0000-0000A4020000}"/>
    <cellStyle name="Comma 3 9" xfId="1879" xr:uid="{00000000-0005-0000-0000-0000A5020000}"/>
    <cellStyle name="Comma 4" xfId="401" xr:uid="{00000000-0005-0000-0000-0000A6020000}"/>
    <cellStyle name="Comma 4 2" xfId="402" xr:uid="{00000000-0005-0000-0000-0000A7020000}"/>
    <cellStyle name="Comma 4 2 2" xfId="403" xr:uid="{00000000-0005-0000-0000-0000A8020000}"/>
    <cellStyle name="Comma 4 3" xfId="404" xr:uid="{00000000-0005-0000-0000-0000A9020000}"/>
    <cellStyle name="Comma 4 4" xfId="405" xr:uid="{00000000-0005-0000-0000-0000AA020000}"/>
    <cellStyle name="Comma 5" xfId="406" xr:uid="{00000000-0005-0000-0000-0000AB020000}"/>
    <cellStyle name="Comma 5 2" xfId="407" xr:uid="{00000000-0005-0000-0000-0000AC020000}"/>
    <cellStyle name="Comma 5 3" xfId="408" xr:uid="{00000000-0005-0000-0000-0000AD020000}"/>
    <cellStyle name="Comma 6" xfId="409" xr:uid="{00000000-0005-0000-0000-0000AE020000}"/>
    <cellStyle name="Comma 6 2" xfId="410" xr:uid="{00000000-0005-0000-0000-0000AF020000}"/>
    <cellStyle name="Comma 6 3" xfId="411" xr:uid="{00000000-0005-0000-0000-0000B0020000}"/>
    <cellStyle name="Comma 6 4" xfId="3145" xr:uid="{00000000-0005-0000-0000-0000B1020000}"/>
    <cellStyle name="Comma 6 5" xfId="3091" xr:uid="{00000000-0005-0000-0000-0000B2020000}"/>
    <cellStyle name="Comma 7" xfId="412" xr:uid="{00000000-0005-0000-0000-0000B3020000}"/>
    <cellStyle name="Comma 7 2" xfId="413" xr:uid="{00000000-0005-0000-0000-0000B4020000}"/>
    <cellStyle name="Comma 7 3" xfId="414" xr:uid="{00000000-0005-0000-0000-0000B5020000}"/>
    <cellStyle name="Comma 7 4" xfId="415" xr:uid="{00000000-0005-0000-0000-0000B6020000}"/>
    <cellStyle name="Comma 8" xfId="416" xr:uid="{00000000-0005-0000-0000-0000B7020000}"/>
    <cellStyle name="Comma 8 2" xfId="1881" xr:uid="{00000000-0005-0000-0000-0000B8020000}"/>
    <cellStyle name="Comma 8 3" xfId="3150" xr:uid="{00000000-0005-0000-0000-0000B9020000}"/>
    <cellStyle name="Comma 8 4" xfId="3090" xr:uid="{00000000-0005-0000-0000-0000BA020000}"/>
    <cellStyle name="Comma 9" xfId="417" xr:uid="{00000000-0005-0000-0000-0000BB020000}"/>
    <cellStyle name="Currency 2" xfId="418" xr:uid="{00000000-0005-0000-0000-0000BC020000}"/>
    <cellStyle name="Explanatory Text 2" xfId="419" xr:uid="{00000000-0005-0000-0000-0000BD020000}"/>
    <cellStyle name="Explanatory Text 2 2" xfId="420" xr:uid="{00000000-0005-0000-0000-0000BE020000}"/>
    <cellStyle name="Explanatory Text 2 3" xfId="421" xr:uid="{00000000-0005-0000-0000-0000BF020000}"/>
    <cellStyle name="Explanatory Text 3" xfId="422" xr:uid="{00000000-0005-0000-0000-0000C0020000}"/>
    <cellStyle name="Explanatory Text 3 2" xfId="423" xr:uid="{00000000-0005-0000-0000-0000C1020000}"/>
    <cellStyle name="Explanatory Text 3 3" xfId="424" xr:uid="{00000000-0005-0000-0000-0000C2020000}"/>
    <cellStyle name="Explanatory Text 4" xfId="425" xr:uid="{00000000-0005-0000-0000-0000C3020000}"/>
    <cellStyle name="Good 2" xfId="426" xr:uid="{00000000-0005-0000-0000-0000C4020000}"/>
    <cellStyle name="Good 2 2" xfId="427" xr:uid="{00000000-0005-0000-0000-0000C5020000}"/>
    <cellStyle name="Good 2 3" xfId="428" xr:uid="{00000000-0005-0000-0000-0000C6020000}"/>
    <cellStyle name="Good 3" xfId="429" xr:uid="{00000000-0005-0000-0000-0000C7020000}"/>
    <cellStyle name="Good 3 2" xfId="430" xr:uid="{00000000-0005-0000-0000-0000C8020000}"/>
    <cellStyle name="Good 3 3" xfId="431" xr:uid="{00000000-0005-0000-0000-0000C9020000}"/>
    <cellStyle name="Good 4" xfId="432" xr:uid="{00000000-0005-0000-0000-0000CA020000}"/>
    <cellStyle name="Good 4 2" xfId="433" xr:uid="{00000000-0005-0000-0000-0000CB020000}"/>
    <cellStyle name="Good 4 3" xfId="434" xr:uid="{00000000-0005-0000-0000-0000CC020000}"/>
    <cellStyle name="Heading 1 2" xfId="435" xr:uid="{00000000-0005-0000-0000-0000CD020000}"/>
    <cellStyle name="Heading 1 2 2" xfId="436" xr:uid="{00000000-0005-0000-0000-0000CE020000}"/>
    <cellStyle name="Heading 1 2 3" xfId="437" xr:uid="{00000000-0005-0000-0000-0000CF020000}"/>
    <cellStyle name="Heading 1 3" xfId="438" xr:uid="{00000000-0005-0000-0000-0000D0020000}"/>
    <cellStyle name="Heading 1 3 2" xfId="439" xr:uid="{00000000-0005-0000-0000-0000D1020000}"/>
    <cellStyle name="Heading 1 3 3" xfId="440" xr:uid="{00000000-0005-0000-0000-0000D2020000}"/>
    <cellStyle name="Heading 1 4" xfId="441" xr:uid="{00000000-0005-0000-0000-0000D3020000}"/>
    <cellStyle name="Heading 1 4 2" xfId="442" xr:uid="{00000000-0005-0000-0000-0000D4020000}"/>
    <cellStyle name="Heading 1 4 3" xfId="443" xr:uid="{00000000-0005-0000-0000-0000D5020000}"/>
    <cellStyle name="Heading 2 2" xfId="444" xr:uid="{00000000-0005-0000-0000-0000D6020000}"/>
    <cellStyle name="Heading 2 2 2" xfId="445" xr:uid="{00000000-0005-0000-0000-0000D7020000}"/>
    <cellStyle name="Heading 2 2 3" xfId="446" xr:uid="{00000000-0005-0000-0000-0000D8020000}"/>
    <cellStyle name="Heading 2 3" xfId="447" xr:uid="{00000000-0005-0000-0000-0000D9020000}"/>
    <cellStyle name="Heading 2 3 2" xfId="448" xr:uid="{00000000-0005-0000-0000-0000DA020000}"/>
    <cellStyle name="Heading 2 3 3" xfId="449" xr:uid="{00000000-0005-0000-0000-0000DB020000}"/>
    <cellStyle name="Heading 2 4" xfId="450" xr:uid="{00000000-0005-0000-0000-0000DC020000}"/>
    <cellStyle name="Heading 2 4 2" xfId="451" xr:uid="{00000000-0005-0000-0000-0000DD020000}"/>
    <cellStyle name="Heading 2 4 3" xfId="452" xr:uid="{00000000-0005-0000-0000-0000DE020000}"/>
    <cellStyle name="Heading 3 2" xfId="453" xr:uid="{00000000-0005-0000-0000-0000DF020000}"/>
    <cellStyle name="Heading 3 2 2" xfId="454" xr:uid="{00000000-0005-0000-0000-0000E0020000}"/>
    <cellStyle name="Heading 3 2 3" xfId="455" xr:uid="{00000000-0005-0000-0000-0000E1020000}"/>
    <cellStyle name="Heading 3 3" xfId="456" xr:uid="{00000000-0005-0000-0000-0000E2020000}"/>
    <cellStyle name="Heading 3 3 2" xfId="457" xr:uid="{00000000-0005-0000-0000-0000E3020000}"/>
    <cellStyle name="Heading 3 3 3" xfId="458" xr:uid="{00000000-0005-0000-0000-0000E4020000}"/>
    <cellStyle name="Heading 3 4" xfId="459" xr:uid="{00000000-0005-0000-0000-0000E5020000}"/>
    <cellStyle name="Heading 3 4 2" xfId="460" xr:uid="{00000000-0005-0000-0000-0000E6020000}"/>
    <cellStyle name="Heading 3 4 3" xfId="461" xr:uid="{00000000-0005-0000-0000-0000E7020000}"/>
    <cellStyle name="Heading 4 2" xfId="462" xr:uid="{00000000-0005-0000-0000-0000E8020000}"/>
    <cellStyle name="Heading 4 2 2" xfId="463" xr:uid="{00000000-0005-0000-0000-0000E9020000}"/>
    <cellStyle name="Heading 4 2 3" xfId="464" xr:uid="{00000000-0005-0000-0000-0000EA020000}"/>
    <cellStyle name="Heading 4 3" xfId="465" xr:uid="{00000000-0005-0000-0000-0000EB020000}"/>
    <cellStyle name="Heading 4 3 2" xfId="466" xr:uid="{00000000-0005-0000-0000-0000EC020000}"/>
    <cellStyle name="Heading 4 3 3" xfId="467" xr:uid="{00000000-0005-0000-0000-0000ED020000}"/>
    <cellStyle name="Heading 4 4" xfId="468" xr:uid="{00000000-0005-0000-0000-0000EE020000}"/>
    <cellStyle name="Heading 4 4 2" xfId="469" xr:uid="{00000000-0005-0000-0000-0000EF020000}"/>
    <cellStyle name="Heading 4 4 3" xfId="470" xr:uid="{00000000-0005-0000-0000-0000F0020000}"/>
    <cellStyle name="Hyperlink 2" xfId="471" xr:uid="{00000000-0005-0000-0000-0000F1020000}"/>
    <cellStyle name="Input 2" xfId="472" xr:uid="{00000000-0005-0000-0000-0000F2020000}"/>
    <cellStyle name="Input 2 2" xfId="473" xr:uid="{00000000-0005-0000-0000-0000F3020000}"/>
    <cellStyle name="Input 2 3" xfId="474" xr:uid="{00000000-0005-0000-0000-0000F4020000}"/>
    <cellStyle name="Input 3" xfId="475" xr:uid="{00000000-0005-0000-0000-0000F5020000}"/>
    <cellStyle name="Input 3 2" xfId="476" xr:uid="{00000000-0005-0000-0000-0000F6020000}"/>
    <cellStyle name="Input 3 2 10" xfId="477" xr:uid="{00000000-0005-0000-0000-0000F7020000}"/>
    <cellStyle name="Input 3 2 10 2" xfId="1883" xr:uid="{00000000-0005-0000-0000-0000F8020000}"/>
    <cellStyle name="Input 3 2 10 3" xfId="3162" xr:uid="{00000000-0005-0000-0000-0000F9020000}"/>
    <cellStyle name="Input 3 2 10 4" xfId="3088" xr:uid="{00000000-0005-0000-0000-0000FA020000}"/>
    <cellStyle name="Input 3 2 11" xfId="478" xr:uid="{00000000-0005-0000-0000-0000FB020000}"/>
    <cellStyle name="Input 3 2 11 2" xfId="1884" xr:uid="{00000000-0005-0000-0000-0000FC020000}"/>
    <cellStyle name="Input 3 2 11 3" xfId="3163" xr:uid="{00000000-0005-0000-0000-0000FD020000}"/>
    <cellStyle name="Input 3 2 11 4" xfId="3087" xr:uid="{00000000-0005-0000-0000-0000FE020000}"/>
    <cellStyle name="Input 3 2 12" xfId="479" xr:uid="{00000000-0005-0000-0000-0000FF020000}"/>
    <cellStyle name="Input 3 2 12 2" xfId="1885" xr:uid="{00000000-0005-0000-0000-000000030000}"/>
    <cellStyle name="Input 3 2 12 3" xfId="3164" xr:uid="{00000000-0005-0000-0000-000001030000}"/>
    <cellStyle name="Input 3 2 12 4" xfId="3086" xr:uid="{00000000-0005-0000-0000-000002030000}"/>
    <cellStyle name="Input 3 2 13" xfId="480" xr:uid="{00000000-0005-0000-0000-000003030000}"/>
    <cellStyle name="Input 3 2 13 2" xfId="1886" xr:uid="{00000000-0005-0000-0000-000004030000}"/>
    <cellStyle name="Input 3 2 13 3" xfId="3165" xr:uid="{00000000-0005-0000-0000-000005030000}"/>
    <cellStyle name="Input 3 2 13 4" xfId="3085" xr:uid="{00000000-0005-0000-0000-000006030000}"/>
    <cellStyle name="Input 3 2 14" xfId="481" xr:uid="{00000000-0005-0000-0000-000007030000}"/>
    <cellStyle name="Input 3 2 14 2" xfId="1887" xr:uid="{00000000-0005-0000-0000-000008030000}"/>
    <cellStyle name="Input 3 2 14 3" xfId="3166" xr:uid="{00000000-0005-0000-0000-000009030000}"/>
    <cellStyle name="Input 3 2 14 4" xfId="3084" xr:uid="{00000000-0005-0000-0000-00000A030000}"/>
    <cellStyle name="Input 3 2 15" xfId="1882" xr:uid="{00000000-0005-0000-0000-00000B030000}"/>
    <cellStyle name="Input 3 2 16" xfId="3161" xr:uid="{00000000-0005-0000-0000-00000C030000}"/>
    <cellStyle name="Input 3 2 17" xfId="3089" xr:uid="{00000000-0005-0000-0000-00000D030000}"/>
    <cellStyle name="Input 3 2 2" xfId="482" xr:uid="{00000000-0005-0000-0000-00000E030000}"/>
    <cellStyle name="Input 3 2 2 2" xfId="1888" xr:uid="{00000000-0005-0000-0000-00000F030000}"/>
    <cellStyle name="Input 3 2 2 3" xfId="3167" xr:uid="{00000000-0005-0000-0000-000010030000}"/>
    <cellStyle name="Input 3 2 2 4" xfId="3083" xr:uid="{00000000-0005-0000-0000-000011030000}"/>
    <cellStyle name="Input 3 2 3" xfId="483" xr:uid="{00000000-0005-0000-0000-000012030000}"/>
    <cellStyle name="Input 3 2 3 2" xfId="1889" xr:uid="{00000000-0005-0000-0000-000013030000}"/>
    <cellStyle name="Input 3 2 3 3" xfId="3168" xr:uid="{00000000-0005-0000-0000-000014030000}"/>
    <cellStyle name="Input 3 2 3 4" xfId="3082" xr:uid="{00000000-0005-0000-0000-000015030000}"/>
    <cellStyle name="Input 3 2 4" xfId="484" xr:uid="{00000000-0005-0000-0000-000016030000}"/>
    <cellStyle name="Input 3 2 4 2" xfId="1890" xr:uid="{00000000-0005-0000-0000-000017030000}"/>
    <cellStyle name="Input 3 2 4 3" xfId="3169" xr:uid="{00000000-0005-0000-0000-000018030000}"/>
    <cellStyle name="Input 3 2 4 4" xfId="3081" xr:uid="{00000000-0005-0000-0000-000019030000}"/>
    <cellStyle name="Input 3 2 5" xfId="485" xr:uid="{00000000-0005-0000-0000-00001A030000}"/>
    <cellStyle name="Input 3 2 5 2" xfId="1891" xr:uid="{00000000-0005-0000-0000-00001B030000}"/>
    <cellStyle name="Input 3 2 5 3" xfId="3170" xr:uid="{00000000-0005-0000-0000-00001C030000}"/>
    <cellStyle name="Input 3 2 5 4" xfId="3080" xr:uid="{00000000-0005-0000-0000-00001D030000}"/>
    <cellStyle name="Input 3 2 6" xfId="486" xr:uid="{00000000-0005-0000-0000-00001E030000}"/>
    <cellStyle name="Input 3 2 6 2" xfId="1892" xr:uid="{00000000-0005-0000-0000-00001F030000}"/>
    <cellStyle name="Input 3 2 6 3" xfId="3171" xr:uid="{00000000-0005-0000-0000-000020030000}"/>
    <cellStyle name="Input 3 2 6 4" xfId="3079" xr:uid="{00000000-0005-0000-0000-000021030000}"/>
    <cellStyle name="Input 3 2 7" xfId="487" xr:uid="{00000000-0005-0000-0000-000022030000}"/>
    <cellStyle name="Input 3 2 7 2" xfId="1893" xr:uid="{00000000-0005-0000-0000-000023030000}"/>
    <cellStyle name="Input 3 2 7 3" xfId="3172" xr:uid="{00000000-0005-0000-0000-000024030000}"/>
    <cellStyle name="Input 3 2 7 4" xfId="3078" xr:uid="{00000000-0005-0000-0000-000025030000}"/>
    <cellStyle name="Input 3 2 8" xfId="488" xr:uid="{00000000-0005-0000-0000-000026030000}"/>
    <cellStyle name="Input 3 2 8 2" xfId="1894" xr:uid="{00000000-0005-0000-0000-000027030000}"/>
    <cellStyle name="Input 3 2 8 3" xfId="3173" xr:uid="{00000000-0005-0000-0000-000028030000}"/>
    <cellStyle name="Input 3 2 8 4" xfId="3077" xr:uid="{00000000-0005-0000-0000-000029030000}"/>
    <cellStyle name="Input 3 2 9" xfId="489" xr:uid="{00000000-0005-0000-0000-00002A030000}"/>
    <cellStyle name="Input 3 2 9 2" xfId="1895" xr:uid="{00000000-0005-0000-0000-00002B030000}"/>
    <cellStyle name="Input 3 2 9 3" xfId="3174" xr:uid="{00000000-0005-0000-0000-00002C030000}"/>
    <cellStyle name="Input 3 2 9 4" xfId="3076" xr:uid="{00000000-0005-0000-0000-00002D030000}"/>
    <cellStyle name="Input 3 3" xfId="490" xr:uid="{00000000-0005-0000-0000-00002E030000}"/>
    <cellStyle name="Input 4" xfId="491" xr:uid="{00000000-0005-0000-0000-00002F030000}"/>
    <cellStyle name="Input 4 2" xfId="492" xr:uid="{00000000-0005-0000-0000-000030030000}"/>
    <cellStyle name="Input 4 2 10" xfId="493" xr:uid="{00000000-0005-0000-0000-000031030000}"/>
    <cellStyle name="Input 4 2 10 2" xfId="1897" xr:uid="{00000000-0005-0000-0000-000032030000}"/>
    <cellStyle name="Input 4 2 10 3" xfId="3176" xr:uid="{00000000-0005-0000-0000-000033030000}"/>
    <cellStyle name="Input 4 2 10 4" xfId="3074" xr:uid="{00000000-0005-0000-0000-000034030000}"/>
    <cellStyle name="Input 4 2 11" xfId="494" xr:uid="{00000000-0005-0000-0000-000035030000}"/>
    <cellStyle name="Input 4 2 11 2" xfId="1898" xr:uid="{00000000-0005-0000-0000-000036030000}"/>
    <cellStyle name="Input 4 2 11 3" xfId="3177" xr:uid="{00000000-0005-0000-0000-000037030000}"/>
    <cellStyle name="Input 4 2 11 4" xfId="3073" xr:uid="{00000000-0005-0000-0000-000038030000}"/>
    <cellStyle name="Input 4 2 12" xfId="495" xr:uid="{00000000-0005-0000-0000-000039030000}"/>
    <cellStyle name="Input 4 2 12 2" xfId="1899" xr:uid="{00000000-0005-0000-0000-00003A030000}"/>
    <cellStyle name="Input 4 2 12 3" xfId="3178" xr:uid="{00000000-0005-0000-0000-00003B030000}"/>
    <cellStyle name="Input 4 2 12 4" xfId="3072" xr:uid="{00000000-0005-0000-0000-00003C030000}"/>
    <cellStyle name="Input 4 2 13" xfId="496" xr:uid="{00000000-0005-0000-0000-00003D030000}"/>
    <cellStyle name="Input 4 2 13 2" xfId="1900" xr:uid="{00000000-0005-0000-0000-00003E030000}"/>
    <cellStyle name="Input 4 2 13 3" xfId="3179" xr:uid="{00000000-0005-0000-0000-00003F030000}"/>
    <cellStyle name="Input 4 2 13 4" xfId="3071" xr:uid="{00000000-0005-0000-0000-000040030000}"/>
    <cellStyle name="Input 4 2 14" xfId="497" xr:uid="{00000000-0005-0000-0000-000041030000}"/>
    <cellStyle name="Input 4 2 14 2" xfId="1901" xr:uid="{00000000-0005-0000-0000-000042030000}"/>
    <cellStyle name="Input 4 2 14 3" xfId="3180" xr:uid="{00000000-0005-0000-0000-000043030000}"/>
    <cellStyle name="Input 4 2 14 4" xfId="3070" xr:uid="{00000000-0005-0000-0000-000044030000}"/>
    <cellStyle name="Input 4 2 15" xfId="1896" xr:uid="{00000000-0005-0000-0000-000045030000}"/>
    <cellStyle name="Input 4 2 16" xfId="3175" xr:uid="{00000000-0005-0000-0000-000046030000}"/>
    <cellStyle name="Input 4 2 17" xfId="3075" xr:uid="{00000000-0005-0000-0000-000047030000}"/>
    <cellStyle name="Input 4 2 2" xfId="498" xr:uid="{00000000-0005-0000-0000-000048030000}"/>
    <cellStyle name="Input 4 2 2 2" xfId="1902" xr:uid="{00000000-0005-0000-0000-000049030000}"/>
    <cellStyle name="Input 4 2 2 3" xfId="3181" xr:uid="{00000000-0005-0000-0000-00004A030000}"/>
    <cellStyle name="Input 4 2 2 4" xfId="3069" xr:uid="{00000000-0005-0000-0000-00004B030000}"/>
    <cellStyle name="Input 4 2 3" xfId="499" xr:uid="{00000000-0005-0000-0000-00004C030000}"/>
    <cellStyle name="Input 4 2 3 2" xfId="1903" xr:uid="{00000000-0005-0000-0000-00004D030000}"/>
    <cellStyle name="Input 4 2 3 3" xfId="3182" xr:uid="{00000000-0005-0000-0000-00004E030000}"/>
    <cellStyle name="Input 4 2 3 4" xfId="3068" xr:uid="{00000000-0005-0000-0000-00004F030000}"/>
    <cellStyle name="Input 4 2 4" xfId="500" xr:uid="{00000000-0005-0000-0000-000050030000}"/>
    <cellStyle name="Input 4 2 4 2" xfId="1904" xr:uid="{00000000-0005-0000-0000-000051030000}"/>
    <cellStyle name="Input 4 2 4 3" xfId="3183" xr:uid="{00000000-0005-0000-0000-000052030000}"/>
    <cellStyle name="Input 4 2 4 4" xfId="3067" xr:uid="{00000000-0005-0000-0000-000053030000}"/>
    <cellStyle name="Input 4 2 5" xfId="501" xr:uid="{00000000-0005-0000-0000-000054030000}"/>
    <cellStyle name="Input 4 2 5 2" xfId="1905" xr:uid="{00000000-0005-0000-0000-000055030000}"/>
    <cellStyle name="Input 4 2 5 3" xfId="3184" xr:uid="{00000000-0005-0000-0000-000056030000}"/>
    <cellStyle name="Input 4 2 5 4" xfId="3066" xr:uid="{00000000-0005-0000-0000-000057030000}"/>
    <cellStyle name="Input 4 2 6" xfId="502" xr:uid="{00000000-0005-0000-0000-000058030000}"/>
    <cellStyle name="Input 4 2 6 2" xfId="1906" xr:uid="{00000000-0005-0000-0000-000059030000}"/>
    <cellStyle name="Input 4 2 6 3" xfId="3185" xr:uid="{00000000-0005-0000-0000-00005A030000}"/>
    <cellStyle name="Input 4 2 6 4" xfId="3065" xr:uid="{00000000-0005-0000-0000-00005B030000}"/>
    <cellStyle name="Input 4 2 7" xfId="503" xr:uid="{00000000-0005-0000-0000-00005C030000}"/>
    <cellStyle name="Input 4 2 7 2" xfId="1907" xr:uid="{00000000-0005-0000-0000-00005D030000}"/>
    <cellStyle name="Input 4 2 7 3" xfId="3186" xr:uid="{00000000-0005-0000-0000-00005E030000}"/>
    <cellStyle name="Input 4 2 7 4" xfId="3064" xr:uid="{00000000-0005-0000-0000-00005F030000}"/>
    <cellStyle name="Input 4 2 8" xfId="504" xr:uid="{00000000-0005-0000-0000-000060030000}"/>
    <cellStyle name="Input 4 2 8 2" xfId="1908" xr:uid="{00000000-0005-0000-0000-000061030000}"/>
    <cellStyle name="Input 4 2 8 3" xfId="3187" xr:uid="{00000000-0005-0000-0000-000062030000}"/>
    <cellStyle name="Input 4 2 8 4" xfId="3063" xr:uid="{00000000-0005-0000-0000-000063030000}"/>
    <cellStyle name="Input 4 2 9" xfId="505" xr:uid="{00000000-0005-0000-0000-000064030000}"/>
    <cellStyle name="Input 4 2 9 2" xfId="1909" xr:uid="{00000000-0005-0000-0000-000065030000}"/>
    <cellStyle name="Input 4 2 9 3" xfId="3188" xr:uid="{00000000-0005-0000-0000-000066030000}"/>
    <cellStyle name="Input 4 2 9 4" xfId="3062" xr:uid="{00000000-0005-0000-0000-000067030000}"/>
    <cellStyle name="Input 4 3" xfId="506" xr:uid="{00000000-0005-0000-0000-000068030000}"/>
    <cellStyle name="Linked Cell 2" xfId="507" xr:uid="{00000000-0005-0000-0000-000069030000}"/>
    <cellStyle name="Linked Cell 2 2" xfId="508" xr:uid="{00000000-0005-0000-0000-00006A030000}"/>
    <cellStyle name="Linked Cell 2 3" xfId="509" xr:uid="{00000000-0005-0000-0000-00006B030000}"/>
    <cellStyle name="Linked Cell 3" xfId="510" xr:uid="{00000000-0005-0000-0000-00006C030000}"/>
    <cellStyle name="Linked Cell 3 2" xfId="511" xr:uid="{00000000-0005-0000-0000-00006D030000}"/>
    <cellStyle name="Linked Cell 3 3" xfId="512" xr:uid="{00000000-0005-0000-0000-00006E030000}"/>
    <cellStyle name="Linked Cell 4" xfId="513" xr:uid="{00000000-0005-0000-0000-00006F030000}"/>
    <cellStyle name="Linked Cell 4 2" xfId="514" xr:uid="{00000000-0005-0000-0000-000070030000}"/>
    <cellStyle name="Linked Cell 4 3" xfId="515" xr:uid="{00000000-0005-0000-0000-000071030000}"/>
    <cellStyle name="Neutral 2" xfId="516" xr:uid="{00000000-0005-0000-0000-000072030000}"/>
    <cellStyle name="Neutral 2 2" xfId="517" xr:uid="{00000000-0005-0000-0000-000073030000}"/>
    <cellStyle name="Neutral 2 3" xfId="518" xr:uid="{00000000-0005-0000-0000-000074030000}"/>
    <cellStyle name="Neutral 3" xfId="519" xr:uid="{00000000-0005-0000-0000-000075030000}"/>
    <cellStyle name="Neutral 3 2" xfId="520" xr:uid="{00000000-0005-0000-0000-000076030000}"/>
    <cellStyle name="Neutral 3 3" xfId="521" xr:uid="{00000000-0005-0000-0000-000077030000}"/>
    <cellStyle name="Neutral 4" xfId="522" xr:uid="{00000000-0005-0000-0000-000078030000}"/>
    <cellStyle name="Neutral 4 2" xfId="523" xr:uid="{00000000-0005-0000-0000-000079030000}"/>
    <cellStyle name="Neutral 4 3" xfId="524" xr:uid="{00000000-0005-0000-0000-00007A030000}"/>
    <cellStyle name="Normal 10" xfId="525" xr:uid="{00000000-0005-0000-0000-00007B030000}"/>
    <cellStyle name="Normal 10 2" xfId="526" xr:uid="{00000000-0005-0000-0000-00007C030000}"/>
    <cellStyle name="Normal 10 3" xfId="527" xr:uid="{00000000-0005-0000-0000-00007D030000}"/>
    <cellStyle name="Normal 10 4" xfId="528" xr:uid="{00000000-0005-0000-0000-00007E030000}"/>
    <cellStyle name="Normal 11" xfId="529" xr:uid="{00000000-0005-0000-0000-00007F030000}"/>
    <cellStyle name="Normal 11 2" xfId="530" xr:uid="{00000000-0005-0000-0000-000080030000}"/>
    <cellStyle name="Normal 11 3" xfId="531" xr:uid="{00000000-0005-0000-0000-000081030000}"/>
    <cellStyle name="Normal 12" xfId="532" xr:uid="{00000000-0005-0000-0000-000082030000}"/>
    <cellStyle name="Normal 13" xfId="533" xr:uid="{00000000-0005-0000-0000-000083030000}"/>
    <cellStyle name="Normal 14" xfId="534" xr:uid="{00000000-0005-0000-0000-000084030000}"/>
    <cellStyle name="Normal 15" xfId="535" xr:uid="{00000000-0005-0000-0000-000085030000}"/>
    <cellStyle name="Normal 15 2" xfId="3189" xr:uid="{00000000-0005-0000-0000-000086030000}"/>
    <cellStyle name="Normal 15 3" xfId="4320" xr:uid="{00000000-0005-0000-0000-000087030000}"/>
    <cellStyle name="Normal 16" xfId="536" xr:uid="{00000000-0005-0000-0000-000088030000}"/>
    <cellStyle name="Normal 17" xfId="537" xr:uid="{00000000-0005-0000-0000-000089030000}"/>
    <cellStyle name="Normal 18" xfId="538" xr:uid="{00000000-0005-0000-0000-00008A030000}"/>
    <cellStyle name="Normal 18 2" xfId="1910" xr:uid="{00000000-0005-0000-0000-00008B030000}"/>
    <cellStyle name="Normal 18 3" xfId="3190" xr:uid="{00000000-0005-0000-0000-00008C030000}"/>
    <cellStyle name="Normal 18 4" xfId="3058" xr:uid="{00000000-0005-0000-0000-00008D030000}"/>
    <cellStyle name="Normal 19" xfId="539" xr:uid="{00000000-0005-0000-0000-00008E030000}"/>
    <cellStyle name="Normal 2" xfId="46" xr:uid="{00000000-0005-0000-0000-00008F030000}"/>
    <cellStyle name="Normal 2 10" xfId="2971" xr:uid="{00000000-0005-0000-0000-000090030000}"/>
    <cellStyle name="Normal 2 11" xfId="4278" xr:uid="{00000000-0005-0000-0000-000091030000}"/>
    <cellStyle name="Normal 2 12" xfId="5390" xr:uid="{00000000-0005-0000-0000-000092030000}"/>
    <cellStyle name="Normal 2 2" xfId="56" xr:uid="{00000000-0005-0000-0000-000093030000}"/>
    <cellStyle name="Normal 2 2 2" xfId="540" xr:uid="{00000000-0005-0000-0000-000094030000}"/>
    <cellStyle name="Normal 2 2 2 2" xfId="541" xr:uid="{00000000-0005-0000-0000-000095030000}"/>
    <cellStyle name="Normal 2 2 3" xfId="542" xr:uid="{00000000-0005-0000-0000-000096030000}"/>
    <cellStyle name="Normal 2 2 4" xfId="543" xr:uid="{00000000-0005-0000-0000-000097030000}"/>
    <cellStyle name="Normal 2 3" xfId="544" xr:uid="{00000000-0005-0000-0000-000098030000}"/>
    <cellStyle name="Normal 2 3 2" xfId="545" xr:uid="{00000000-0005-0000-0000-000099030000}"/>
    <cellStyle name="Normal 2 3 2 2" xfId="1911" xr:uid="{00000000-0005-0000-0000-00009A030000}"/>
    <cellStyle name="Normal 2 3 2 3" xfId="3191" xr:uid="{00000000-0005-0000-0000-00009B030000}"/>
    <cellStyle name="Normal 2 3 2 4" xfId="3047" xr:uid="{00000000-0005-0000-0000-00009C030000}"/>
    <cellStyle name="Normal 2 3 3" xfId="546" xr:uid="{00000000-0005-0000-0000-00009D030000}"/>
    <cellStyle name="Normal 2 4" xfId="547" xr:uid="{00000000-0005-0000-0000-00009E030000}"/>
    <cellStyle name="Normal 2 4 2" xfId="548" xr:uid="{00000000-0005-0000-0000-00009F030000}"/>
    <cellStyle name="Normal 2 4 2 2" xfId="549" xr:uid="{00000000-0005-0000-0000-0000A0030000}"/>
    <cellStyle name="Normal 2 4 3" xfId="550" xr:uid="{00000000-0005-0000-0000-0000A1030000}"/>
    <cellStyle name="Normal 2 5" xfId="551" xr:uid="{00000000-0005-0000-0000-0000A2030000}"/>
    <cellStyle name="Normal 2 5 2" xfId="552" xr:uid="{00000000-0005-0000-0000-0000A3030000}"/>
    <cellStyle name="Normal 2 5 2 2" xfId="553" xr:uid="{00000000-0005-0000-0000-0000A4030000}"/>
    <cellStyle name="Normal 2 5 3" xfId="554" xr:uid="{00000000-0005-0000-0000-0000A5030000}"/>
    <cellStyle name="Normal 2 5 3 2" xfId="555" xr:uid="{00000000-0005-0000-0000-0000A6030000}"/>
    <cellStyle name="Normal 2 5 4" xfId="556" xr:uid="{00000000-0005-0000-0000-0000A7030000}"/>
    <cellStyle name="Normal 2 5 5" xfId="557" xr:uid="{00000000-0005-0000-0000-0000A8030000}"/>
    <cellStyle name="Normal 2 6" xfId="558" xr:uid="{00000000-0005-0000-0000-0000A9030000}"/>
    <cellStyle name="Normal 2 6 2" xfId="559" xr:uid="{00000000-0005-0000-0000-0000AA030000}"/>
    <cellStyle name="Normal 2 6 2 2" xfId="1912" xr:uid="{00000000-0005-0000-0000-0000AB030000}"/>
    <cellStyle name="Normal 2 6 2 3" xfId="3192" xr:uid="{00000000-0005-0000-0000-0000AC030000}"/>
    <cellStyle name="Normal 2 6 2 4" xfId="3026" xr:uid="{00000000-0005-0000-0000-0000AD030000}"/>
    <cellStyle name="Normal 2 6 3" xfId="560" xr:uid="{00000000-0005-0000-0000-0000AE030000}"/>
    <cellStyle name="Normal 2 7" xfId="561" xr:uid="{00000000-0005-0000-0000-0000AF030000}"/>
    <cellStyle name="Normal 2 7 2" xfId="1913" xr:uid="{00000000-0005-0000-0000-0000B0030000}"/>
    <cellStyle name="Normal 2 7 3" xfId="3193" xr:uid="{00000000-0005-0000-0000-0000B1030000}"/>
    <cellStyle name="Normal 2 7 4" xfId="3024" xr:uid="{00000000-0005-0000-0000-0000B2030000}"/>
    <cellStyle name="Normal 2 8" xfId="562" xr:uid="{00000000-0005-0000-0000-0000B3030000}"/>
    <cellStyle name="Normal 2 8 2" xfId="1914" xr:uid="{00000000-0005-0000-0000-0000B4030000}"/>
    <cellStyle name="Normal 2 8 3" xfId="3194" xr:uid="{00000000-0005-0000-0000-0000B5030000}"/>
    <cellStyle name="Normal 2 8 4" xfId="3023" xr:uid="{00000000-0005-0000-0000-0000B6030000}"/>
    <cellStyle name="Normal 2 9" xfId="563" xr:uid="{00000000-0005-0000-0000-0000B7030000}"/>
    <cellStyle name="Normal 2 9 2" xfId="1915" xr:uid="{00000000-0005-0000-0000-0000B8030000}"/>
    <cellStyle name="Normal 2 9 3" xfId="3195" xr:uid="{00000000-0005-0000-0000-0000B9030000}"/>
    <cellStyle name="Normal 2 9 4" xfId="3022" xr:uid="{00000000-0005-0000-0000-0000BA030000}"/>
    <cellStyle name="Normal 20" xfId="564" xr:uid="{00000000-0005-0000-0000-0000BB030000}"/>
    <cellStyle name="Normal 20 2" xfId="1916" xr:uid="{00000000-0005-0000-0000-0000BC030000}"/>
    <cellStyle name="Normal 20 3" xfId="3196" xr:uid="{00000000-0005-0000-0000-0000BD030000}"/>
    <cellStyle name="Normal 20 4" xfId="3021" xr:uid="{00000000-0005-0000-0000-0000BE030000}"/>
    <cellStyle name="Normal 3" xfId="565" xr:uid="{00000000-0005-0000-0000-0000BF030000}"/>
    <cellStyle name="Normal 3 2" xfId="51" xr:uid="{00000000-0005-0000-0000-0000C0030000}"/>
    <cellStyle name="Normal 3 2 2" xfId="566" xr:uid="{00000000-0005-0000-0000-0000C1030000}"/>
    <cellStyle name="Normal 3 2 2 2" xfId="567" xr:uid="{00000000-0005-0000-0000-0000C2030000}"/>
    <cellStyle name="Normal 3 2 2 3" xfId="3197" xr:uid="{00000000-0005-0000-0000-0000C3030000}"/>
    <cellStyle name="Normal 3 2 2 4" xfId="4323" xr:uid="{00000000-0005-0000-0000-0000C4030000}"/>
    <cellStyle name="Normal 3 3" xfId="568" xr:uid="{00000000-0005-0000-0000-0000C5030000}"/>
    <cellStyle name="Normal 3 3 2" xfId="569" xr:uid="{00000000-0005-0000-0000-0000C6030000}"/>
    <cellStyle name="Normal 3 4" xfId="49" xr:uid="{00000000-0005-0000-0000-0000C7030000}"/>
    <cellStyle name="Normal 3 5" xfId="570" xr:uid="{00000000-0005-0000-0000-0000C8030000}"/>
    <cellStyle name="Normal 3 6" xfId="571" xr:uid="{00000000-0005-0000-0000-0000C9030000}"/>
    <cellStyle name="Normal 3 6 2" xfId="1917" xr:uid="{00000000-0005-0000-0000-0000CA030000}"/>
    <cellStyle name="Normal 3 6 3" xfId="3198" xr:uid="{00000000-0005-0000-0000-0000CB030000}"/>
    <cellStyle name="Normal 3 6 4" xfId="4318" xr:uid="{00000000-0005-0000-0000-0000CC030000}"/>
    <cellStyle name="Normal 3 7" xfId="572" xr:uid="{00000000-0005-0000-0000-0000CD030000}"/>
    <cellStyle name="Normal 3 7 2" xfId="1918" xr:uid="{00000000-0005-0000-0000-0000CE030000}"/>
    <cellStyle name="Normal 3 7 3" xfId="3199" xr:uid="{00000000-0005-0000-0000-0000CF030000}"/>
    <cellStyle name="Normal 3 7 4" xfId="3019" xr:uid="{00000000-0005-0000-0000-0000D0030000}"/>
    <cellStyle name="Normal 3 8" xfId="573" xr:uid="{00000000-0005-0000-0000-0000D1030000}"/>
    <cellStyle name="Normal 36 2" xfId="5364" xr:uid="{00000000-0005-0000-0000-0000D2030000}"/>
    <cellStyle name="Normal 4" xfId="574" xr:uid="{00000000-0005-0000-0000-0000D3030000}"/>
    <cellStyle name="Normal 4 2" xfId="575" xr:uid="{00000000-0005-0000-0000-0000D4030000}"/>
    <cellStyle name="Normal 4 2 2" xfId="576" xr:uid="{00000000-0005-0000-0000-0000D5030000}"/>
    <cellStyle name="Normal 4 2 2 2" xfId="577" xr:uid="{00000000-0005-0000-0000-0000D6030000}"/>
    <cellStyle name="Normal 4 2 3" xfId="1919" xr:uid="{00000000-0005-0000-0000-0000D7030000}"/>
    <cellStyle name="Normal 4 2 4" xfId="3200" xr:uid="{00000000-0005-0000-0000-0000D8030000}"/>
    <cellStyle name="Normal 4 2 5" xfId="3014" xr:uid="{00000000-0005-0000-0000-0000D9030000}"/>
    <cellStyle name="Normal 4 3" xfId="578" xr:uid="{00000000-0005-0000-0000-0000DA030000}"/>
    <cellStyle name="Normal 4 3 2" xfId="579" xr:uid="{00000000-0005-0000-0000-0000DB030000}"/>
    <cellStyle name="Normal 4 4" xfId="580" xr:uid="{00000000-0005-0000-0000-0000DC030000}"/>
    <cellStyle name="Normal 4 5" xfId="581" xr:uid="{00000000-0005-0000-0000-0000DD030000}"/>
    <cellStyle name="Normal 4 6" xfId="582" xr:uid="{00000000-0005-0000-0000-0000DE030000}"/>
    <cellStyle name="Normal 4 7" xfId="583" xr:uid="{00000000-0005-0000-0000-0000DF030000}"/>
    <cellStyle name="Normal 4 7 2" xfId="1920" xr:uid="{00000000-0005-0000-0000-0000E0030000}"/>
    <cellStyle name="Normal 4 7 3" xfId="3201" xr:uid="{00000000-0005-0000-0000-0000E1030000}"/>
    <cellStyle name="Normal 4 7 4" xfId="3003" xr:uid="{00000000-0005-0000-0000-0000E2030000}"/>
    <cellStyle name="Normal 5" xfId="584" xr:uid="{00000000-0005-0000-0000-0000E3030000}"/>
    <cellStyle name="Normal 5 2" xfId="585" xr:uid="{00000000-0005-0000-0000-0000E4030000}"/>
    <cellStyle name="Normal 5 2 2" xfId="586" xr:uid="{00000000-0005-0000-0000-0000E5030000}"/>
    <cellStyle name="Normal 5 3" xfId="587" xr:uid="{00000000-0005-0000-0000-0000E6030000}"/>
    <cellStyle name="Normal 5 3 2" xfId="588" xr:uid="{00000000-0005-0000-0000-0000E7030000}"/>
    <cellStyle name="Normal 5 4" xfId="589" xr:uid="{00000000-0005-0000-0000-0000E8030000}"/>
    <cellStyle name="Normal 5 5" xfId="590" xr:uid="{00000000-0005-0000-0000-0000E9030000}"/>
    <cellStyle name="Normal 5 5 2" xfId="1921" xr:uid="{00000000-0005-0000-0000-0000EA030000}"/>
    <cellStyle name="Normal 5 5 3" xfId="3202" xr:uid="{00000000-0005-0000-0000-0000EB030000}"/>
    <cellStyle name="Normal 5 5 4" xfId="2990" xr:uid="{00000000-0005-0000-0000-0000EC030000}"/>
    <cellStyle name="Normal 5 6" xfId="591" xr:uid="{00000000-0005-0000-0000-0000ED030000}"/>
    <cellStyle name="Normal 5 6 2" xfId="1922" xr:uid="{00000000-0005-0000-0000-0000EE030000}"/>
    <cellStyle name="Normal 5 6 3" xfId="3203" xr:uid="{00000000-0005-0000-0000-0000EF030000}"/>
    <cellStyle name="Normal 5 6 4" xfId="2989" xr:uid="{00000000-0005-0000-0000-0000F0030000}"/>
    <cellStyle name="Normal 6" xfId="592" xr:uid="{00000000-0005-0000-0000-0000F1030000}"/>
    <cellStyle name="Normal 6 2" xfId="593" xr:uid="{00000000-0005-0000-0000-0000F2030000}"/>
    <cellStyle name="Normal 6 2 2" xfId="594" xr:uid="{00000000-0005-0000-0000-0000F3030000}"/>
    <cellStyle name="Normal 6 3" xfId="595" xr:uid="{00000000-0005-0000-0000-0000F4030000}"/>
    <cellStyle name="Normal 6 4" xfId="596" xr:uid="{00000000-0005-0000-0000-0000F5030000}"/>
    <cellStyle name="Normal 7" xfId="597" xr:uid="{00000000-0005-0000-0000-0000F6030000}"/>
    <cellStyle name="Normal 7 2" xfId="598" xr:uid="{00000000-0005-0000-0000-0000F7030000}"/>
    <cellStyle name="Normal 7 3" xfId="599" xr:uid="{00000000-0005-0000-0000-0000F8030000}"/>
    <cellStyle name="Normal 8" xfId="600" xr:uid="{00000000-0005-0000-0000-0000F9030000}"/>
    <cellStyle name="Normal 8 2" xfId="601" xr:uid="{00000000-0005-0000-0000-0000FA030000}"/>
    <cellStyle name="Normal 8 2 2" xfId="1923" xr:uid="{00000000-0005-0000-0000-0000FB030000}"/>
    <cellStyle name="Normal 8 2 3" xfId="3205" xr:uid="{00000000-0005-0000-0000-0000FC030000}"/>
    <cellStyle name="Normal 8 2 4" xfId="2981" xr:uid="{00000000-0005-0000-0000-0000FD030000}"/>
    <cellStyle name="Normal 9" xfId="602" xr:uid="{00000000-0005-0000-0000-0000FE030000}"/>
    <cellStyle name="Normal 9 2" xfId="603" xr:uid="{00000000-0005-0000-0000-0000FF030000}"/>
    <cellStyle name="Normal 9 2 2" xfId="5382" xr:uid="{00000000-0005-0000-0000-000000040000}"/>
    <cellStyle name="Normal 9 3" xfId="604" xr:uid="{00000000-0005-0000-0000-000001040000}"/>
    <cellStyle name="Normal 9 4" xfId="605" xr:uid="{00000000-0005-0000-0000-000002040000}"/>
    <cellStyle name="Note 2" xfId="606" xr:uid="{00000000-0005-0000-0000-000003040000}"/>
    <cellStyle name="Note 2 2" xfId="607" xr:uid="{00000000-0005-0000-0000-000004040000}"/>
    <cellStyle name="Note 2 3" xfId="608" xr:uid="{00000000-0005-0000-0000-000005040000}"/>
    <cellStyle name="Note 2 4" xfId="609" xr:uid="{00000000-0005-0000-0000-000006040000}"/>
    <cellStyle name="Note 3" xfId="610" xr:uid="{00000000-0005-0000-0000-000007040000}"/>
    <cellStyle name="Note 3 2" xfId="611" xr:uid="{00000000-0005-0000-0000-000008040000}"/>
    <cellStyle name="Note 3 2 10" xfId="612" xr:uid="{00000000-0005-0000-0000-000009040000}"/>
    <cellStyle name="Note 3 2 10 2" xfId="1926" xr:uid="{00000000-0005-0000-0000-00000A040000}"/>
    <cellStyle name="Note 3 2 10 3" xfId="3212" xr:uid="{00000000-0005-0000-0000-00000B040000}"/>
    <cellStyle name="Note 3 2 10 4" xfId="2978" xr:uid="{00000000-0005-0000-0000-00000C040000}"/>
    <cellStyle name="Note 3 2 11" xfId="613" xr:uid="{00000000-0005-0000-0000-00000D040000}"/>
    <cellStyle name="Note 3 2 11 2" xfId="1927" xr:uid="{00000000-0005-0000-0000-00000E040000}"/>
    <cellStyle name="Note 3 2 11 3" xfId="3213" xr:uid="{00000000-0005-0000-0000-00000F040000}"/>
    <cellStyle name="Note 3 2 11 4" xfId="2977" xr:uid="{00000000-0005-0000-0000-000010040000}"/>
    <cellStyle name="Note 3 2 12" xfId="614" xr:uid="{00000000-0005-0000-0000-000011040000}"/>
    <cellStyle name="Note 3 2 12 2" xfId="1928" xr:uid="{00000000-0005-0000-0000-000012040000}"/>
    <cellStyle name="Note 3 2 12 3" xfId="3214" xr:uid="{00000000-0005-0000-0000-000013040000}"/>
    <cellStyle name="Note 3 2 12 4" xfId="2976" xr:uid="{00000000-0005-0000-0000-000014040000}"/>
    <cellStyle name="Note 3 2 13" xfId="615" xr:uid="{00000000-0005-0000-0000-000015040000}"/>
    <cellStyle name="Note 3 2 13 2" xfId="1929" xr:uid="{00000000-0005-0000-0000-000016040000}"/>
    <cellStyle name="Note 3 2 13 3" xfId="3215" xr:uid="{00000000-0005-0000-0000-000017040000}"/>
    <cellStyle name="Note 3 2 13 4" xfId="2975" xr:uid="{00000000-0005-0000-0000-000018040000}"/>
    <cellStyle name="Note 3 2 14" xfId="616" xr:uid="{00000000-0005-0000-0000-000019040000}"/>
    <cellStyle name="Note 3 2 14 2" xfId="1930" xr:uid="{00000000-0005-0000-0000-00001A040000}"/>
    <cellStyle name="Note 3 2 14 3" xfId="3216" xr:uid="{00000000-0005-0000-0000-00001B040000}"/>
    <cellStyle name="Note 3 2 14 4" xfId="2974" xr:uid="{00000000-0005-0000-0000-00001C040000}"/>
    <cellStyle name="Note 3 2 15" xfId="1925" xr:uid="{00000000-0005-0000-0000-00001D040000}"/>
    <cellStyle name="Note 3 2 16" xfId="3211" xr:uid="{00000000-0005-0000-0000-00001E040000}"/>
    <cellStyle name="Note 3 2 17" xfId="2979" xr:uid="{00000000-0005-0000-0000-00001F040000}"/>
    <cellStyle name="Note 3 2 2" xfId="617" xr:uid="{00000000-0005-0000-0000-000020040000}"/>
    <cellStyle name="Note 3 2 2 2" xfId="1931" xr:uid="{00000000-0005-0000-0000-000021040000}"/>
    <cellStyle name="Note 3 2 2 3" xfId="3217" xr:uid="{00000000-0005-0000-0000-000022040000}"/>
    <cellStyle name="Note 3 2 2 4" xfId="2973" xr:uid="{00000000-0005-0000-0000-000023040000}"/>
    <cellStyle name="Note 3 2 3" xfId="618" xr:uid="{00000000-0005-0000-0000-000024040000}"/>
    <cellStyle name="Note 3 2 3 2" xfId="1932" xr:uid="{00000000-0005-0000-0000-000025040000}"/>
    <cellStyle name="Note 3 2 3 3" xfId="3218" xr:uid="{00000000-0005-0000-0000-000026040000}"/>
    <cellStyle name="Note 3 2 3 4" xfId="2972" xr:uid="{00000000-0005-0000-0000-000027040000}"/>
    <cellStyle name="Note 3 2 4" xfId="619" xr:uid="{00000000-0005-0000-0000-000028040000}"/>
    <cellStyle name="Note 3 2 4 2" xfId="1933" xr:uid="{00000000-0005-0000-0000-000029040000}"/>
    <cellStyle name="Note 3 2 4 3" xfId="3219" xr:uid="{00000000-0005-0000-0000-00002A040000}"/>
    <cellStyle name="Note 3 2 4 4" xfId="4326" xr:uid="{00000000-0005-0000-0000-00002B040000}"/>
    <cellStyle name="Note 3 2 5" xfId="620" xr:uid="{00000000-0005-0000-0000-00002C040000}"/>
    <cellStyle name="Note 3 2 5 2" xfId="1934" xr:uid="{00000000-0005-0000-0000-00002D040000}"/>
    <cellStyle name="Note 3 2 5 3" xfId="3220" xr:uid="{00000000-0005-0000-0000-00002E040000}"/>
    <cellStyle name="Note 3 2 5 4" xfId="4327" xr:uid="{00000000-0005-0000-0000-00002F040000}"/>
    <cellStyle name="Note 3 2 6" xfId="621" xr:uid="{00000000-0005-0000-0000-000030040000}"/>
    <cellStyle name="Note 3 2 6 2" xfId="1935" xr:uid="{00000000-0005-0000-0000-000031040000}"/>
    <cellStyle name="Note 3 2 6 3" xfId="3221" xr:uid="{00000000-0005-0000-0000-000032040000}"/>
    <cellStyle name="Note 3 2 6 4" xfId="4328" xr:uid="{00000000-0005-0000-0000-000033040000}"/>
    <cellStyle name="Note 3 2 7" xfId="622" xr:uid="{00000000-0005-0000-0000-000034040000}"/>
    <cellStyle name="Note 3 2 7 2" xfId="1936" xr:uid="{00000000-0005-0000-0000-000035040000}"/>
    <cellStyle name="Note 3 2 7 3" xfId="3222" xr:uid="{00000000-0005-0000-0000-000036040000}"/>
    <cellStyle name="Note 3 2 7 4" xfId="4329" xr:uid="{00000000-0005-0000-0000-000037040000}"/>
    <cellStyle name="Note 3 2 8" xfId="623" xr:uid="{00000000-0005-0000-0000-000038040000}"/>
    <cellStyle name="Note 3 2 8 2" xfId="1937" xr:uid="{00000000-0005-0000-0000-000039040000}"/>
    <cellStyle name="Note 3 2 8 3" xfId="3223" xr:uid="{00000000-0005-0000-0000-00003A040000}"/>
    <cellStyle name="Note 3 2 8 4" xfId="4330" xr:uid="{00000000-0005-0000-0000-00003B040000}"/>
    <cellStyle name="Note 3 2 9" xfId="624" xr:uid="{00000000-0005-0000-0000-00003C040000}"/>
    <cellStyle name="Note 3 2 9 2" xfId="1938" xr:uid="{00000000-0005-0000-0000-00003D040000}"/>
    <cellStyle name="Note 3 2 9 3" xfId="3224" xr:uid="{00000000-0005-0000-0000-00003E040000}"/>
    <cellStyle name="Note 3 2 9 4" xfId="4331" xr:uid="{00000000-0005-0000-0000-00003F040000}"/>
    <cellStyle name="Note 3 3" xfId="625" xr:uid="{00000000-0005-0000-0000-000040040000}"/>
    <cellStyle name="Note 3 3 2" xfId="1939" xr:uid="{00000000-0005-0000-0000-000041040000}"/>
    <cellStyle name="Note 3 3 3" xfId="3225" xr:uid="{00000000-0005-0000-0000-000042040000}"/>
    <cellStyle name="Note 3 3 4" xfId="4332" xr:uid="{00000000-0005-0000-0000-000043040000}"/>
    <cellStyle name="Note 3 4" xfId="1924" xr:uid="{00000000-0005-0000-0000-000044040000}"/>
    <cellStyle name="Note 3 5" xfId="3210" xr:uid="{00000000-0005-0000-0000-000045040000}"/>
    <cellStyle name="Note 3 6" xfId="2980" xr:uid="{00000000-0005-0000-0000-000046040000}"/>
    <cellStyle name="Note 4" xfId="626" xr:uid="{00000000-0005-0000-0000-000047040000}"/>
    <cellStyle name="Note 4 2" xfId="627" xr:uid="{00000000-0005-0000-0000-000048040000}"/>
    <cellStyle name="Note 4 2 10" xfId="628" xr:uid="{00000000-0005-0000-0000-000049040000}"/>
    <cellStyle name="Note 4 2 10 2" xfId="1942" xr:uid="{00000000-0005-0000-0000-00004A040000}"/>
    <cellStyle name="Note 4 2 10 3" xfId="3228" xr:uid="{00000000-0005-0000-0000-00004B040000}"/>
    <cellStyle name="Note 4 2 10 4" xfId="4335" xr:uid="{00000000-0005-0000-0000-00004C040000}"/>
    <cellStyle name="Note 4 2 11" xfId="629" xr:uid="{00000000-0005-0000-0000-00004D040000}"/>
    <cellStyle name="Note 4 2 11 2" xfId="1943" xr:uid="{00000000-0005-0000-0000-00004E040000}"/>
    <cellStyle name="Note 4 2 11 3" xfId="3229" xr:uid="{00000000-0005-0000-0000-00004F040000}"/>
    <cellStyle name="Note 4 2 11 4" xfId="4336" xr:uid="{00000000-0005-0000-0000-000050040000}"/>
    <cellStyle name="Note 4 2 12" xfId="630" xr:uid="{00000000-0005-0000-0000-000051040000}"/>
    <cellStyle name="Note 4 2 12 2" xfId="1944" xr:uid="{00000000-0005-0000-0000-000052040000}"/>
    <cellStyle name="Note 4 2 12 3" xfId="3230" xr:uid="{00000000-0005-0000-0000-000053040000}"/>
    <cellStyle name="Note 4 2 12 4" xfId="4337" xr:uid="{00000000-0005-0000-0000-000054040000}"/>
    <cellStyle name="Note 4 2 13" xfId="631" xr:uid="{00000000-0005-0000-0000-000055040000}"/>
    <cellStyle name="Note 4 2 13 2" xfId="1945" xr:uid="{00000000-0005-0000-0000-000056040000}"/>
    <cellStyle name="Note 4 2 13 3" xfId="3231" xr:uid="{00000000-0005-0000-0000-000057040000}"/>
    <cellStyle name="Note 4 2 13 4" xfId="4338" xr:uid="{00000000-0005-0000-0000-000058040000}"/>
    <cellStyle name="Note 4 2 14" xfId="632" xr:uid="{00000000-0005-0000-0000-000059040000}"/>
    <cellStyle name="Note 4 2 14 2" xfId="1946" xr:uid="{00000000-0005-0000-0000-00005A040000}"/>
    <cellStyle name="Note 4 2 14 3" xfId="3232" xr:uid="{00000000-0005-0000-0000-00005B040000}"/>
    <cellStyle name="Note 4 2 14 4" xfId="4339" xr:uid="{00000000-0005-0000-0000-00005C040000}"/>
    <cellStyle name="Note 4 2 15" xfId="1941" xr:uid="{00000000-0005-0000-0000-00005D040000}"/>
    <cellStyle name="Note 4 2 16" xfId="3227" xr:uid="{00000000-0005-0000-0000-00005E040000}"/>
    <cellStyle name="Note 4 2 17" xfId="4334" xr:uid="{00000000-0005-0000-0000-00005F040000}"/>
    <cellStyle name="Note 4 2 2" xfId="633" xr:uid="{00000000-0005-0000-0000-000060040000}"/>
    <cellStyle name="Note 4 2 2 2" xfId="1947" xr:uid="{00000000-0005-0000-0000-000061040000}"/>
    <cellStyle name="Note 4 2 2 3" xfId="3233" xr:uid="{00000000-0005-0000-0000-000062040000}"/>
    <cellStyle name="Note 4 2 2 4" xfId="4340" xr:uid="{00000000-0005-0000-0000-000063040000}"/>
    <cellStyle name="Note 4 2 3" xfId="634" xr:uid="{00000000-0005-0000-0000-000064040000}"/>
    <cellStyle name="Note 4 2 3 2" xfId="1948" xr:uid="{00000000-0005-0000-0000-000065040000}"/>
    <cellStyle name="Note 4 2 3 3" xfId="3234" xr:uid="{00000000-0005-0000-0000-000066040000}"/>
    <cellStyle name="Note 4 2 3 4" xfId="4341" xr:uid="{00000000-0005-0000-0000-000067040000}"/>
    <cellStyle name="Note 4 2 4" xfId="635" xr:uid="{00000000-0005-0000-0000-000068040000}"/>
    <cellStyle name="Note 4 2 4 2" xfId="1949" xr:uid="{00000000-0005-0000-0000-000069040000}"/>
    <cellStyle name="Note 4 2 4 3" xfId="3235" xr:uid="{00000000-0005-0000-0000-00006A040000}"/>
    <cellStyle name="Note 4 2 4 4" xfId="4342" xr:uid="{00000000-0005-0000-0000-00006B040000}"/>
    <cellStyle name="Note 4 2 5" xfId="636" xr:uid="{00000000-0005-0000-0000-00006C040000}"/>
    <cellStyle name="Note 4 2 5 2" xfId="1950" xr:uid="{00000000-0005-0000-0000-00006D040000}"/>
    <cellStyle name="Note 4 2 5 3" xfId="3236" xr:uid="{00000000-0005-0000-0000-00006E040000}"/>
    <cellStyle name="Note 4 2 5 4" xfId="4343" xr:uid="{00000000-0005-0000-0000-00006F040000}"/>
    <cellStyle name="Note 4 2 6" xfId="637" xr:uid="{00000000-0005-0000-0000-000070040000}"/>
    <cellStyle name="Note 4 2 6 2" xfId="1951" xr:uid="{00000000-0005-0000-0000-000071040000}"/>
    <cellStyle name="Note 4 2 6 3" xfId="3237" xr:uid="{00000000-0005-0000-0000-000072040000}"/>
    <cellStyle name="Note 4 2 6 4" xfId="4344" xr:uid="{00000000-0005-0000-0000-000073040000}"/>
    <cellStyle name="Note 4 2 7" xfId="638" xr:uid="{00000000-0005-0000-0000-000074040000}"/>
    <cellStyle name="Note 4 2 7 2" xfId="1952" xr:uid="{00000000-0005-0000-0000-000075040000}"/>
    <cellStyle name="Note 4 2 7 3" xfId="3238" xr:uid="{00000000-0005-0000-0000-000076040000}"/>
    <cellStyle name="Note 4 2 7 4" xfId="4345" xr:uid="{00000000-0005-0000-0000-000077040000}"/>
    <cellStyle name="Note 4 2 8" xfId="639" xr:uid="{00000000-0005-0000-0000-000078040000}"/>
    <cellStyle name="Note 4 2 8 2" xfId="1953" xr:uid="{00000000-0005-0000-0000-000079040000}"/>
    <cellStyle name="Note 4 2 8 3" xfId="3239" xr:uid="{00000000-0005-0000-0000-00007A040000}"/>
    <cellStyle name="Note 4 2 8 4" xfId="4346" xr:uid="{00000000-0005-0000-0000-00007B040000}"/>
    <cellStyle name="Note 4 2 9" xfId="640" xr:uid="{00000000-0005-0000-0000-00007C040000}"/>
    <cellStyle name="Note 4 2 9 2" xfId="1954" xr:uid="{00000000-0005-0000-0000-00007D040000}"/>
    <cellStyle name="Note 4 2 9 3" xfId="3240" xr:uid="{00000000-0005-0000-0000-00007E040000}"/>
    <cellStyle name="Note 4 2 9 4" xfId="4347" xr:uid="{00000000-0005-0000-0000-00007F040000}"/>
    <cellStyle name="Note 4 3" xfId="641" xr:uid="{00000000-0005-0000-0000-000080040000}"/>
    <cellStyle name="Note 4 3 2" xfId="1955" xr:uid="{00000000-0005-0000-0000-000081040000}"/>
    <cellStyle name="Note 4 3 3" xfId="3241" xr:uid="{00000000-0005-0000-0000-000082040000}"/>
    <cellStyle name="Note 4 3 4" xfId="4348" xr:uid="{00000000-0005-0000-0000-000083040000}"/>
    <cellStyle name="Note 4 4" xfId="1940" xr:uid="{00000000-0005-0000-0000-000084040000}"/>
    <cellStyle name="Note 4 5" xfId="3226" xr:uid="{00000000-0005-0000-0000-000085040000}"/>
    <cellStyle name="Note 4 6" xfId="4333" xr:uid="{00000000-0005-0000-0000-000086040000}"/>
    <cellStyle name="Output 2" xfId="642" xr:uid="{00000000-0005-0000-0000-000087040000}"/>
    <cellStyle name="Output 2 2" xfId="643" xr:uid="{00000000-0005-0000-0000-000088040000}"/>
    <cellStyle name="Output 2 3" xfId="644" xr:uid="{00000000-0005-0000-0000-000089040000}"/>
    <cellStyle name="Output 3" xfId="645" xr:uid="{00000000-0005-0000-0000-00008A040000}"/>
    <cellStyle name="Output 3 2" xfId="646" xr:uid="{00000000-0005-0000-0000-00008B040000}"/>
    <cellStyle name="Output 3 2 10" xfId="647" xr:uid="{00000000-0005-0000-0000-00008C040000}"/>
    <cellStyle name="Output 3 2 10 2" xfId="1957" xr:uid="{00000000-0005-0000-0000-00008D040000}"/>
    <cellStyle name="Output 3 2 10 3" xfId="3246" xr:uid="{00000000-0005-0000-0000-00008E040000}"/>
    <cellStyle name="Output 3 2 10 4" xfId="4350" xr:uid="{00000000-0005-0000-0000-00008F040000}"/>
    <cellStyle name="Output 3 2 11" xfId="648" xr:uid="{00000000-0005-0000-0000-000090040000}"/>
    <cellStyle name="Output 3 2 11 2" xfId="1958" xr:uid="{00000000-0005-0000-0000-000091040000}"/>
    <cellStyle name="Output 3 2 11 3" xfId="3247" xr:uid="{00000000-0005-0000-0000-000092040000}"/>
    <cellStyle name="Output 3 2 11 4" xfId="4351" xr:uid="{00000000-0005-0000-0000-000093040000}"/>
    <cellStyle name="Output 3 2 12" xfId="649" xr:uid="{00000000-0005-0000-0000-000094040000}"/>
    <cellStyle name="Output 3 2 12 2" xfId="1959" xr:uid="{00000000-0005-0000-0000-000095040000}"/>
    <cellStyle name="Output 3 2 12 3" xfId="3248" xr:uid="{00000000-0005-0000-0000-000096040000}"/>
    <cellStyle name="Output 3 2 12 4" xfId="4352" xr:uid="{00000000-0005-0000-0000-000097040000}"/>
    <cellStyle name="Output 3 2 13" xfId="650" xr:uid="{00000000-0005-0000-0000-000098040000}"/>
    <cellStyle name="Output 3 2 13 2" xfId="1960" xr:uid="{00000000-0005-0000-0000-000099040000}"/>
    <cellStyle name="Output 3 2 13 3" xfId="3249" xr:uid="{00000000-0005-0000-0000-00009A040000}"/>
    <cellStyle name="Output 3 2 13 4" xfId="4353" xr:uid="{00000000-0005-0000-0000-00009B040000}"/>
    <cellStyle name="Output 3 2 14" xfId="1956" xr:uid="{00000000-0005-0000-0000-00009C040000}"/>
    <cellStyle name="Output 3 2 15" xfId="3245" xr:uid="{00000000-0005-0000-0000-00009D040000}"/>
    <cellStyle name="Output 3 2 16" xfId="4349" xr:uid="{00000000-0005-0000-0000-00009E040000}"/>
    <cellStyle name="Output 3 2 2" xfId="651" xr:uid="{00000000-0005-0000-0000-00009F040000}"/>
    <cellStyle name="Output 3 2 2 2" xfId="1961" xr:uid="{00000000-0005-0000-0000-0000A0040000}"/>
    <cellStyle name="Output 3 2 2 3" xfId="3250" xr:uid="{00000000-0005-0000-0000-0000A1040000}"/>
    <cellStyle name="Output 3 2 2 4" xfId="4354" xr:uid="{00000000-0005-0000-0000-0000A2040000}"/>
    <cellStyle name="Output 3 2 3" xfId="652" xr:uid="{00000000-0005-0000-0000-0000A3040000}"/>
    <cellStyle name="Output 3 2 3 2" xfId="1962" xr:uid="{00000000-0005-0000-0000-0000A4040000}"/>
    <cellStyle name="Output 3 2 3 3" xfId="3251" xr:uid="{00000000-0005-0000-0000-0000A5040000}"/>
    <cellStyle name="Output 3 2 3 4" xfId="4355" xr:uid="{00000000-0005-0000-0000-0000A6040000}"/>
    <cellStyle name="Output 3 2 4" xfId="653" xr:uid="{00000000-0005-0000-0000-0000A7040000}"/>
    <cellStyle name="Output 3 2 4 2" xfId="1963" xr:uid="{00000000-0005-0000-0000-0000A8040000}"/>
    <cellStyle name="Output 3 2 4 3" xfId="3252" xr:uid="{00000000-0005-0000-0000-0000A9040000}"/>
    <cellStyle name="Output 3 2 4 4" xfId="4356" xr:uid="{00000000-0005-0000-0000-0000AA040000}"/>
    <cellStyle name="Output 3 2 5" xfId="654" xr:uid="{00000000-0005-0000-0000-0000AB040000}"/>
    <cellStyle name="Output 3 2 5 2" xfId="1964" xr:uid="{00000000-0005-0000-0000-0000AC040000}"/>
    <cellStyle name="Output 3 2 5 3" xfId="3253" xr:uid="{00000000-0005-0000-0000-0000AD040000}"/>
    <cellStyle name="Output 3 2 5 4" xfId="4357" xr:uid="{00000000-0005-0000-0000-0000AE040000}"/>
    <cellStyle name="Output 3 2 6" xfId="655" xr:uid="{00000000-0005-0000-0000-0000AF040000}"/>
    <cellStyle name="Output 3 2 6 2" xfId="1965" xr:uid="{00000000-0005-0000-0000-0000B0040000}"/>
    <cellStyle name="Output 3 2 6 3" xfId="3254" xr:uid="{00000000-0005-0000-0000-0000B1040000}"/>
    <cellStyle name="Output 3 2 6 4" xfId="4358" xr:uid="{00000000-0005-0000-0000-0000B2040000}"/>
    <cellStyle name="Output 3 2 7" xfId="656" xr:uid="{00000000-0005-0000-0000-0000B3040000}"/>
    <cellStyle name="Output 3 2 7 2" xfId="1966" xr:uid="{00000000-0005-0000-0000-0000B4040000}"/>
    <cellStyle name="Output 3 2 7 3" xfId="3255" xr:uid="{00000000-0005-0000-0000-0000B5040000}"/>
    <cellStyle name="Output 3 2 7 4" xfId="4359" xr:uid="{00000000-0005-0000-0000-0000B6040000}"/>
    <cellStyle name="Output 3 2 8" xfId="657" xr:uid="{00000000-0005-0000-0000-0000B7040000}"/>
    <cellStyle name="Output 3 2 8 2" xfId="1967" xr:uid="{00000000-0005-0000-0000-0000B8040000}"/>
    <cellStyle name="Output 3 2 8 3" xfId="3256" xr:uid="{00000000-0005-0000-0000-0000B9040000}"/>
    <cellStyle name="Output 3 2 8 4" xfId="4360" xr:uid="{00000000-0005-0000-0000-0000BA040000}"/>
    <cellStyle name="Output 3 2 9" xfId="658" xr:uid="{00000000-0005-0000-0000-0000BB040000}"/>
    <cellStyle name="Output 3 2 9 2" xfId="1968" xr:uid="{00000000-0005-0000-0000-0000BC040000}"/>
    <cellStyle name="Output 3 2 9 3" xfId="3257" xr:uid="{00000000-0005-0000-0000-0000BD040000}"/>
    <cellStyle name="Output 3 2 9 4" xfId="4361" xr:uid="{00000000-0005-0000-0000-0000BE040000}"/>
    <cellStyle name="Output 3 3" xfId="659" xr:uid="{00000000-0005-0000-0000-0000BF040000}"/>
    <cellStyle name="Output 4" xfId="660" xr:uid="{00000000-0005-0000-0000-0000C0040000}"/>
    <cellStyle name="Output 4 2" xfId="661" xr:uid="{00000000-0005-0000-0000-0000C1040000}"/>
    <cellStyle name="Output 4 2 10" xfId="662" xr:uid="{00000000-0005-0000-0000-0000C2040000}"/>
    <cellStyle name="Output 4 2 10 2" xfId="1970" xr:uid="{00000000-0005-0000-0000-0000C3040000}"/>
    <cellStyle name="Output 4 2 10 3" xfId="3260" xr:uid="{00000000-0005-0000-0000-0000C4040000}"/>
    <cellStyle name="Output 4 2 10 4" xfId="4363" xr:uid="{00000000-0005-0000-0000-0000C5040000}"/>
    <cellStyle name="Output 4 2 11" xfId="663" xr:uid="{00000000-0005-0000-0000-0000C6040000}"/>
    <cellStyle name="Output 4 2 11 2" xfId="1971" xr:uid="{00000000-0005-0000-0000-0000C7040000}"/>
    <cellStyle name="Output 4 2 11 3" xfId="3261" xr:uid="{00000000-0005-0000-0000-0000C8040000}"/>
    <cellStyle name="Output 4 2 11 4" xfId="4364" xr:uid="{00000000-0005-0000-0000-0000C9040000}"/>
    <cellStyle name="Output 4 2 12" xfId="664" xr:uid="{00000000-0005-0000-0000-0000CA040000}"/>
    <cellStyle name="Output 4 2 12 2" xfId="1972" xr:uid="{00000000-0005-0000-0000-0000CB040000}"/>
    <cellStyle name="Output 4 2 12 3" xfId="3262" xr:uid="{00000000-0005-0000-0000-0000CC040000}"/>
    <cellStyle name="Output 4 2 12 4" xfId="4365" xr:uid="{00000000-0005-0000-0000-0000CD040000}"/>
    <cellStyle name="Output 4 2 13" xfId="665" xr:uid="{00000000-0005-0000-0000-0000CE040000}"/>
    <cellStyle name="Output 4 2 13 2" xfId="1973" xr:uid="{00000000-0005-0000-0000-0000CF040000}"/>
    <cellStyle name="Output 4 2 13 3" xfId="3263" xr:uid="{00000000-0005-0000-0000-0000D0040000}"/>
    <cellStyle name="Output 4 2 13 4" xfId="4366" xr:uid="{00000000-0005-0000-0000-0000D1040000}"/>
    <cellStyle name="Output 4 2 14" xfId="1969" xr:uid="{00000000-0005-0000-0000-0000D2040000}"/>
    <cellStyle name="Output 4 2 15" xfId="3259" xr:uid="{00000000-0005-0000-0000-0000D3040000}"/>
    <cellStyle name="Output 4 2 16" xfId="4362" xr:uid="{00000000-0005-0000-0000-0000D4040000}"/>
    <cellStyle name="Output 4 2 2" xfId="666" xr:uid="{00000000-0005-0000-0000-0000D5040000}"/>
    <cellStyle name="Output 4 2 2 2" xfId="1974" xr:uid="{00000000-0005-0000-0000-0000D6040000}"/>
    <cellStyle name="Output 4 2 2 3" xfId="3264" xr:uid="{00000000-0005-0000-0000-0000D7040000}"/>
    <cellStyle name="Output 4 2 2 4" xfId="4367" xr:uid="{00000000-0005-0000-0000-0000D8040000}"/>
    <cellStyle name="Output 4 2 3" xfId="667" xr:uid="{00000000-0005-0000-0000-0000D9040000}"/>
    <cellStyle name="Output 4 2 3 2" xfId="1975" xr:uid="{00000000-0005-0000-0000-0000DA040000}"/>
    <cellStyle name="Output 4 2 3 3" xfId="3265" xr:uid="{00000000-0005-0000-0000-0000DB040000}"/>
    <cellStyle name="Output 4 2 3 4" xfId="4368" xr:uid="{00000000-0005-0000-0000-0000DC040000}"/>
    <cellStyle name="Output 4 2 4" xfId="668" xr:uid="{00000000-0005-0000-0000-0000DD040000}"/>
    <cellStyle name="Output 4 2 4 2" xfId="1976" xr:uid="{00000000-0005-0000-0000-0000DE040000}"/>
    <cellStyle name="Output 4 2 4 3" xfId="3266" xr:uid="{00000000-0005-0000-0000-0000DF040000}"/>
    <cellStyle name="Output 4 2 4 4" xfId="4369" xr:uid="{00000000-0005-0000-0000-0000E0040000}"/>
    <cellStyle name="Output 4 2 5" xfId="669" xr:uid="{00000000-0005-0000-0000-0000E1040000}"/>
    <cellStyle name="Output 4 2 5 2" xfId="1977" xr:uid="{00000000-0005-0000-0000-0000E2040000}"/>
    <cellStyle name="Output 4 2 5 3" xfId="3267" xr:uid="{00000000-0005-0000-0000-0000E3040000}"/>
    <cellStyle name="Output 4 2 5 4" xfId="4370" xr:uid="{00000000-0005-0000-0000-0000E4040000}"/>
    <cellStyle name="Output 4 2 6" xfId="670" xr:uid="{00000000-0005-0000-0000-0000E5040000}"/>
    <cellStyle name="Output 4 2 6 2" xfId="1978" xr:uid="{00000000-0005-0000-0000-0000E6040000}"/>
    <cellStyle name="Output 4 2 6 3" xfId="3268" xr:uid="{00000000-0005-0000-0000-0000E7040000}"/>
    <cellStyle name="Output 4 2 6 4" xfId="4371" xr:uid="{00000000-0005-0000-0000-0000E8040000}"/>
    <cellStyle name="Output 4 2 7" xfId="671" xr:uid="{00000000-0005-0000-0000-0000E9040000}"/>
    <cellStyle name="Output 4 2 7 2" xfId="1979" xr:uid="{00000000-0005-0000-0000-0000EA040000}"/>
    <cellStyle name="Output 4 2 7 3" xfId="3269" xr:uid="{00000000-0005-0000-0000-0000EB040000}"/>
    <cellStyle name="Output 4 2 7 4" xfId="4372" xr:uid="{00000000-0005-0000-0000-0000EC040000}"/>
    <cellStyle name="Output 4 2 8" xfId="672" xr:uid="{00000000-0005-0000-0000-0000ED040000}"/>
    <cellStyle name="Output 4 2 8 2" xfId="1980" xr:uid="{00000000-0005-0000-0000-0000EE040000}"/>
    <cellStyle name="Output 4 2 8 3" xfId="3270" xr:uid="{00000000-0005-0000-0000-0000EF040000}"/>
    <cellStyle name="Output 4 2 8 4" xfId="4373" xr:uid="{00000000-0005-0000-0000-0000F0040000}"/>
    <cellStyle name="Output 4 2 9" xfId="673" xr:uid="{00000000-0005-0000-0000-0000F1040000}"/>
    <cellStyle name="Output 4 2 9 2" xfId="1981" xr:uid="{00000000-0005-0000-0000-0000F2040000}"/>
    <cellStyle name="Output 4 2 9 3" xfId="3271" xr:uid="{00000000-0005-0000-0000-0000F3040000}"/>
    <cellStyle name="Output 4 2 9 4" xfId="4374" xr:uid="{00000000-0005-0000-0000-0000F4040000}"/>
    <cellStyle name="Output 4 3" xfId="674" xr:uid="{00000000-0005-0000-0000-0000F5040000}"/>
    <cellStyle name="Percent 2" xfId="675" xr:uid="{00000000-0005-0000-0000-0000F6040000}"/>
    <cellStyle name="Percent 2 2" xfId="676" xr:uid="{00000000-0005-0000-0000-0000F7040000}"/>
    <cellStyle name="Percent 2 2 2" xfId="677" xr:uid="{00000000-0005-0000-0000-0000F8040000}"/>
    <cellStyle name="Percent 2 3" xfId="678" xr:uid="{00000000-0005-0000-0000-0000F9040000}"/>
    <cellStyle name="Percent 2 4" xfId="679" xr:uid="{00000000-0005-0000-0000-0000FA040000}"/>
    <cellStyle name="Percent 3" xfId="680" xr:uid="{00000000-0005-0000-0000-0000FB040000}"/>
    <cellStyle name="Percent 3 2" xfId="681" xr:uid="{00000000-0005-0000-0000-0000FC040000}"/>
    <cellStyle name="Percent 3 3" xfId="682" xr:uid="{00000000-0005-0000-0000-0000FD040000}"/>
    <cellStyle name="Percent 3 4" xfId="683" xr:uid="{00000000-0005-0000-0000-0000FE040000}"/>
    <cellStyle name="Percent 3 5" xfId="684" xr:uid="{00000000-0005-0000-0000-0000FF040000}"/>
    <cellStyle name="Percent 4" xfId="685" xr:uid="{00000000-0005-0000-0000-000000050000}"/>
    <cellStyle name="Percent 4 2" xfId="686" xr:uid="{00000000-0005-0000-0000-000001050000}"/>
    <cellStyle name="Percent 4 3" xfId="687" xr:uid="{00000000-0005-0000-0000-000002050000}"/>
    <cellStyle name="Percent 4 3 2" xfId="1982" xr:uid="{00000000-0005-0000-0000-000003050000}"/>
    <cellStyle name="Percent 4 3 3" xfId="3280" xr:uid="{00000000-0005-0000-0000-000004050000}"/>
    <cellStyle name="Percent 4 3 4" xfId="4375" xr:uid="{00000000-0005-0000-0000-000005050000}"/>
    <cellStyle name="Percent 4 4" xfId="688" xr:uid="{00000000-0005-0000-0000-000006050000}"/>
    <cellStyle name="Percent 4 4 2" xfId="1983" xr:uid="{00000000-0005-0000-0000-000007050000}"/>
    <cellStyle name="Percent 4 4 3" xfId="3281" xr:uid="{00000000-0005-0000-0000-000008050000}"/>
    <cellStyle name="Percent 4 4 4" xfId="4376" xr:uid="{00000000-0005-0000-0000-000009050000}"/>
    <cellStyle name="Percent 5" xfId="689" xr:uid="{00000000-0005-0000-0000-00000A050000}"/>
    <cellStyle name="Percent 5 2" xfId="690" xr:uid="{00000000-0005-0000-0000-00000B050000}"/>
    <cellStyle name="Percent 5 3" xfId="691" xr:uid="{00000000-0005-0000-0000-00000C050000}"/>
    <cellStyle name="Percent 5 4" xfId="692" xr:uid="{00000000-0005-0000-0000-00000D050000}"/>
    <cellStyle name="Percent 5 5" xfId="1984" xr:uid="{00000000-0005-0000-0000-00000E050000}"/>
    <cellStyle name="Percent 5 6" xfId="3282" xr:uid="{00000000-0005-0000-0000-00000F050000}"/>
    <cellStyle name="Percent 5 7" xfId="4377" xr:uid="{00000000-0005-0000-0000-000010050000}"/>
    <cellStyle name="Percent 6" xfId="693" xr:uid="{00000000-0005-0000-0000-000011050000}"/>
    <cellStyle name="Percent 6 2" xfId="694" xr:uid="{00000000-0005-0000-0000-000012050000}"/>
    <cellStyle name="Percent 6 3" xfId="695" xr:uid="{00000000-0005-0000-0000-000013050000}"/>
    <cellStyle name="SAPBEXaggData" xfId="2" xr:uid="{00000000-0005-0000-0000-000014050000}"/>
    <cellStyle name="SAPBEXaggData 10" xfId="697" xr:uid="{00000000-0005-0000-0000-000015050000}"/>
    <cellStyle name="SAPBEXaggData 10 2" xfId="1986" xr:uid="{00000000-0005-0000-0000-000016050000}"/>
    <cellStyle name="SAPBEXaggData 10 3" xfId="3288" xr:uid="{00000000-0005-0000-0000-000017050000}"/>
    <cellStyle name="SAPBEXaggData 10 4" xfId="4379" xr:uid="{00000000-0005-0000-0000-000018050000}"/>
    <cellStyle name="SAPBEXaggData 11" xfId="698" xr:uid="{00000000-0005-0000-0000-000019050000}"/>
    <cellStyle name="SAPBEXaggData 11 2" xfId="1987" xr:uid="{00000000-0005-0000-0000-00001A050000}"/>
    <cellStyle name="SAPBEXaggData 11 3" xfId="3289" xr:uid="{00000000-0005-0000-0000-00001B050000}"/>
    <cellStyle name="SAPBEXaggData 11 4" xfId="4380" xr:uid="{00000000-0005-0000-0000-00001C050000}"/>
    <cellStyle name="SAPBEXaggData 12" xfId="699" xr:uid="{00000000-0005-0000-0000-00001D050000}"/>
    <cellStyle name="SAPBEXaggData 12 2" xfId="1988" xr:uid="{00000000-0005-0000-0000-00001E050000}"/>
    <cellStyle name="SAPBEXaggData 12 3" xfId="3290" xr:uid="{00000000-0005-0000-0000-00001F050000}"/>
    <cellStyle name="SAPBEXaggData 12 4" xfId="4381" xr:uid="{00000000-0005-0000-0000-000020050000}"/>
    <cellStyle name="SAPBEXaggData 13" xfId="700" xr:uid="{00000000-0005-0000-0000-000021050000}"/>
    <cellStyle name="SAPBEXaggData 13 2" xfId="1989" xr:uid="{00000000-0005-0000-0000-000022050000}"/>
    <cellStyle name="SAPBEXaggData 13 3" xfId="3291" xr:uid="{00000000-0005-0000-0000-000023050000}"/>
    <cellStyle name="SAPBEXaggData 13 4" xfId="4382" xr:uid="{00000000-0005-0000-0000-000024050000}"/>
    <cellStyle name="SAPBEXaggData 14" xfId="701" xr:uid="{00000000-0005-0000-0000-000025050000}"/>
    <cellStyle name="SAPBEXaggData 14 2" xfId="1990" xr:uid="{00000000-0005-0000-0000-000026050000}"/>
    <cellStyle name="SAPBEXaggData 14 3" xfId="3292" xr:uid="{00000000-0005-0000-0000-000027050000}"/>
    <cellStyle name="SAPBEXaggData 14 4" xfId="4383" xr:uid="{00000000-0005-0000-0000-000028050000}"/>
    <cellStyle name="SAPBEXaggData 15" xfId="1985" xr:uid="{00000000-0005-0000-0000-000029050000}"/>
    <cellStyle name="SAPBEXaggData 16" xfId="3287" xr:uid="{00000000-0005-0000-0000-00002A050000}"/>
    <cellStyle name="SAPBEXaggData 17" xfId="4378" xr:uid="{00000000-0005-0000-0000-00002B050000}"/>
    <cellStyle name="SAPBEXaggData 2" xfId="696" xr:uid="{00000000-0005-0000-0000-00002C050000}"/>
    <cellStyle name="SAPBEXaggData 2 10" xfId="702" xr:uid="{00000000-0005-0000-0000-00002D050000}"/>
    <cellStyle name="SAPBEXaggData 2 10 2" xfId="1992" xr:uid="{00000000-0005-0000-0000-00002E050000}"/>
    <cellStyle name="SAPBEXaggData 2 10 3" xfId="3294" xr:uid="{00000000-0005-0000-0000-00002F050000}"/>
    <cellStyle name="SAPBEXaggData 2 10 4" xfId="4385" xr:uid="{00000000-0005-0000-0000-000030050000}"/>
    <cellStyle name="SAPBEXaggData 2 11" xfId="703" xr:uid="{00000000-0005-0000-0000-000031050000}"/>
    <cellStyle name="SAPBEXaggData 2 11 2" xfId="1993" xr:uid="{00000000-0005-0000-0000-000032050000}"/>
    <cellStyle name="SAPBEXaggData 2 11 3" xfId="3295" xr:uid="{00000000-0005-0000-0000-000033050000}"/>
    <cellStyle name="SAPBEXaggData 2 11 4" xfId="4386" xr:uid="{00000000-0005-0000-0000-000034050000}"/>
    <cellStyle name="SAPBEXaggData 2 12" xfId="704" xr:uid="{00000000-0005-0000-0000-000035050000}"/>
    <cellStyle name="SAPBEXaggData 2 12 2" xfId="1994" xr:uid="{00000000-0005-0000-0000-000036050000}"/>
    <cellStyle name="SAPBEXaggData 2 12 3" xfId="3296" xr:uid="{00000000-0005-0000-0000-000037050000}"/>
    <cellStyle name="SAPBEXaggData 2 12 4" xfId="4387" xr:uid="{00000000-0005-0000-0000-000038050000}"/>
    <cellStyle name="SAPBEXaggData 2 13" xfId="705" xr:uid="{00000000-0005-0000-0000-000039050000}"/>
    <cellStyle name="SAPBEXaggData 2 13 2" xfId="1995" xr:uid="{00000000-0005-0000-0000-00003A050000}"/>
    <cellStyle name="SAPBEXaggData 2 13 3" xfId="3297" xr:uid="{00000000-0005-0000-0000-00003B050000}"/>
    <cellStyle name="SAPBEXaggData 2 13 4" xfId="4388" xr:uid="{00000000-0005-0000-0000-00003C050000}"/>
    <cellStyle name="SAPBEXaggData 2 14" xfId="1991" xr:uid="{00000000-0005-0000-0000-00003D050000}"/>
    <cellStyle name="SAPBEXaggData 2 15" xfId="3293" xr:uid="{00000000-0005-0000-0000-00003E050000}"/>
    <cellStyle name="SAPBEXaggData 2 16" xfId="4384" xr:uid="{00000000-0005-0000-0000-00003F050000}"/>
    <cellStyle name="SAPBEXaggData 2 2" xfId="706" xr:uid="{00000000-0005-0000-0000-000040050000}"/>
    <cellStyle name="SAPBEXaggData 2 2 2" xfId="1996" xr:uid="{00000000-0005-0000-0000-000041050000}"/>
    <cellStyle name="SAPBEXaggData 2 2 3" xfId="3298" xr:uid="{00000000-0005-0000-0000-000042050000}"/>
    <cellStyle name="SAPBEXaggData 2 2 4" xfId="4389" xr:uid="{00000000-0005-0000-0000-000043050000}"/>
    <cellStyle name="SAPBEXaggData 2 3" xfId="707" xr:uid="{00000000-0005-0000-0000-000044050000}"/>
    <cellStyle name="SAPBEXaggData 2 3 2" xfId="1997" xr:uid="{00000000-0005-0000-0000-000045050000}"/>
    <cellStyle name="SAPBEXaggData 2 3 3" xfId="3299" xr:uid="{00000000-0005-0000-0000-000046050000}"/>
    <cellStyle name="SAPBEXaggData 2 3 4" xfId="4390" xr:uid="{00000000-0005-0000-0000-000047050000}"/>
    <cellStyle name="SAPBEXaggData 2 4" xfId="708" xr:uid="{00000000-0005-0000-0000-000048050000}"/>
    <cellStyle name="SAPBEXaggData 2 4 2" xfId="1998" xr:uid="{00000000-0005-0000-0000-000049050000}"/>
    <cellStyle name="SAPBEXaggData 2 4 3" xfId="3300" xr:uid="{00000000-0005-0000-0000-00004A050000}"/>
    <cellStyle name="SAPBEXaggData 2 4 4" xfId="4391" xr:uid="{00000000-0005-0000-0000-00004B050000}"/>
    <cellStyle name="SAPBEXaggData 2 5" xfId="709" xr:uid="{00000000-0005-0000-0000-00004C050000}"/>
    <cellStyle name="SAPBEXaggData 2 5 2" xfId="1999" xr:uid="{00000000-0005-0000-0000-00004D050000}"/>
    <cellStyle name="SAPBEXaggData 2 5 3" xfId="3301" xr:uid="{00000000-0005-0000-0000-00004E050000}"/>
    <cellStyle name="SAPBEXaggData 2 5 4" xfId="4392" xr:uid="{00000000-0005-0000-0000-00004F050000}"/>
    <cellStyle name="SAPBEXaggData 2 6" xfId="710" xr:uid="{00000000-0005-0000-0000-000050050000}"/>
    <cellStyle name="SAPBEXaggData 2 6 2" xfId="2000" xr:uid="{00000000-0005-0000-0000-000051050000}"/>
    <cellStyle name="SAPBEXaggData 2 6 3" xfId="3302" xr:uid="{00000000-0005-0000-0000-000052050000}"/>
    <cellStyle name="SAPBEXaggData 2 6 4" xfId="4393" xr:uid="{00000000-0005-0000-0000-000053050000}"/>
    <cellStyle name="SAPBEXaggData 2 7" xfId="711" xr:uid="{00000000-0005-0000-0000-000054050000}"/>
    <cellStyle name="SAPBEXaggData 2 7 2" xfId="2001" xr:uid="{00000000-0005-0000-0000-000055050000}"/>
    <cellStyle name="SAPBEXaggData 2 7 3" xfId="3303" xr:uid="{00000000-0005-0000-0000-000056050000}"/>
    <cellStyle name="SAPBEXaggData 2 7 4" xfId="4394" xr:uid="{00000000-0005-0000-0000-000057050000}"/>
    <cellStyle name="SAPBEXaggData 2 8" xfId="712" xr:uid="{00000000-0005-0000-0000-000058050000}"/>
    <cellStyle name="SAPBEXaggData 2 8 2" xfId="2002" xr:uid="{00000000-0005-0000-0000-000059050000}"/>
    <cellStyle name="SAPBEXaggData 2 8 3" xfId="3304" xr:uid="{00000000-0005-0000-0000-00005A050000}"/>
    <cellStyle name="SAPBEXaggData 2 8 4" xfId="4395" xr:uid="{00000000-0005-0000-0000-00005B050000}"/>
    <cellStyle name="SAPBEXaggData 2 9" xfId="713" xr:uid="{00000000-0005-0000-0000-00005C050000}"/>
    <cellStyle name="SAPBEXaggData 2 9 2" xfId="2003" xr:uid="{00000000-0005-0000-0000-00005D050000}"/>
    <cellStyle name="SAPBEXaggData 2 9 3" xfId="3305" xr:uid="{00000000-0005-0000-0000-00005E050000}"/>
    <cellStyle name="SAPBEXaggData 2 9 4" xfId="4396" xr:uid="{00000000-0005-0000-0000-00005F050000}"/>
    <cellStyle name="SAPBEXaggData 3" xfId="714" xr:uid="{00000000-0005-0000-0000-000060050000}"/>
    <cellStyle name="SAPBEXaggData 3 2" xfId="2004" xr:uid="{00000000-0005-0000-0000-000061050000}"/>
    <cellStyle name="SAPBEXaggData 3 3" xfId="3306" xr:uid="{00000000-0005-0000-0000-000062050000}"/>
    <cellStyle name="SAPBEXaggData 3 4" xfId="4397" xr:uid="{00000000-0005-0000-0000-000063050000}"/>
    <cellStyle name="SAPBEXaggData 4" xfId="715" xr:uid="{00000000-0005-0000-0000-000064050000}"/>
    <cellStyle name="SAPBEXaggData 4 2" xfId="2005" xr:uid="{00000000-0005-0000-0000-000065050000}"/>
    <cellStyle name="SAPBEXaggData 4 3" xfId="3307" xr:uid="{00000000-0005-0000-0000-000066050000}"/>
    <cellStyle name="SAPBEXaggData 4 4" xfId="4398" xr:uid="{00000000-0005-0000-0000-000067050000}"/>
    <cellStyle name="SAPBEXaggData 5" xfId="716" xr:uid="{00000000-0005-0000-0000-000068050000}"/>
    <cellStyle name="SAPBEXaggData 5 2" xfId="2006" xr:uid="{00000000-0005-0000-0000-000069050000}"/>
    <cellStyle name="SAPBEXaggData 5 3" xfId="3308" xr:uid="{00000000-0005-0000-0000-00006A050000}"/>
    <cellStyle name="SAPBEXaggData 5 4" xfId="4399" xr:uid="{00000000-0005-0000-0000-00006B050000}"/>
    <cellStyle name="SAPBEXaggData 6" xfId="717" xr:uid="{00000000-0005-0000-0000-00006C050000}"/>
    <cellStyle name="SAPBEXaggData 6 2" xfId="2007" xr:uid="{00000000-0005-0000-0000-00006D050000}"/>
    <cellStyle name="SAPBEXaggData 6 3" xfId="3309" xr:uid="{00000000-0005-0000-0000-00006E050000}"/>
    <cellStyle name="SAPBEXaggData 6 4" xfId="4400" xr:uid="{00000000-0005-0000-0000-00006F050000}"/>
    <cellStyle name="SAPBEXaggData 7" xfId="718" xr:uid="{00000000-0005-0000-0000-000070050000}"/>
    <cellStyle name="SAPBEXaggData 7 2" xfId="2008" xr:uid="{00000000-0005-0000-0000-000071050000}"/>
    <cellStyle name="SAPBEXaggData 7 3" xfId="3310" xr:uid="{00000000-0005-0000-0000-000072050000}"/>
    <cellStyle name="SAPBEXaggData 7 4" xfId="4401" xr:uid="{00000000-0005-0000-0000-000073050000}"/>
    <cellStyle name="SAPBEXaggData 8" xfId="719" xr:uid="{00000000-0005-0000-0000-000074050000}"/>
    <cellStyle name="SAPBEXaggData 8 2" xfId="2009" xr:uid="{00000000-0005-0000-0000-000075050000}"/>
    <cellStyle name="SAPBEXaggData 8 3" xfId="3311" xr:uid="{00000000-0005-0000-0000-000076050000}"/>
    <cellStyle name="SAPBEXaggData 8 4" xfId="4402" xr:uid="{00000000-0005-0000-0000-000077050000}"/>
    <cellStyle name="SAPBEXaggData 9" xfId="720" xr:uid="{00000000-0005-0000-0000-000078050000}"/>
    <cellStyle name="SAPBEXaggData 9 2" xfId="2010" xr:uid="{00000000-0005-0000-0000-000079050000}"/>
    <cellStyle name="SAPBEXaggData 9 3" xfId="3312" xr:uid="{00000000-0005-0000-0000-00007A050000}"/>
    <cellStyle name="SAPBEXaggData 9 4" xfId="4403" xr:uid="{00000000-0005-0000-0000-00007B050000}"/>
    <cellStyle name="SAPBEXaggDataEmph" xfId="3" xr:uid="{00000000-0005-0000-0000-00007C050000}"/>
    <cellStyle name="SAPBEXaggDataEmph 10" xfId="722" xr:uid="{00000000-0005-0000-0000-00007D050000}"/>
    <cellStyle name="SAPBEXaggDataEmph 10 2" xfId="2012" xr:uid="{00000000-0005-0000-0000-00007E050000}"/>
    <cellStyle name="SAPBEXaggDataEmph 10 3" xfId="3314" xr:uid="{00000000-0005-0000-0000-00007F050000}"/>
    <cellStyle name="SAPBEXaggDataEmph 10 4" xfId="4405" xr:uid="{00000000-0005-0000-0000-000080050000}"/>
    <cellStyle name="SAPBEXaggDataEmph 11" xfId="723" xr:uid="{00000000-0005-0000-0000-000081050000}"/>
    <cellStyle name="SAPBEXaggDataEmph 11 2" xfId="2013" xr:uid="{00000000-0005-0000-0000-000082050000}"/>
    <cellStyle name="SAPBEXaggDataEmph 11 3" xfId="3315" xr:uid="{00000000-0005-0000-0000-000083050000}"/>
    <cellStyle name="SAPBEXaggDataEmph 11 4" xfId="4406" xr:uid="{00000000-0005-0000-0000-000084050000}"/>
    <cellStyle name="SAPBEXaggDataEmph 12" xfId="724" xr:uid="{00000000-0005-0000-0000-000085050000}"/>
    <cellStyle name="SAPBEXaggDataEmph 12 2" xfId="2014" xr:uid="{00000000-0005-0000-0000-000086050000}"/>
    <cellStyle name="SAPBEXaggDataEmph 12 3" xfId="3316" xr:uid="{00000000-0005-0000-0000-000087050000}"/>
    <cellStyle name="SAPBEXaggDataEmph 12 4" xfId="4407" xr:uid="{00000000-0005-0000-0000-000088050000}"/>
    <cellStyle name="SAPBEXaggDataEmph 13" xfId="725" xr:uid="{00000000-0005-0000-0000-000089050000}"/>
    <cellStyle name="SAPBEXaggDataEmph 13 2" xfId="2015" xr:uid="{00000000-0005-0000-0000-00008A050000}"/>
    <cellStyle name="SAPBEXaggDataEmph 13 3" xfId="3317" xr:uid="{00000000-0005-0000-0000-00008B050000}"/>
    <cellStyle name="SAPBEXaggDataEmph 13 4" xfId="4408" xr:uid="{00000000-0005-0000-0000-00008C050000}"/>
    <cellStyle name="SAPBEXaggDataEmph 14" xfId="726" xr:uid="{00000000-0005-0000-0000-00008D050000}"/>
    <cellStyle name="SAPBEXaggDataEmph 14 2" xfId="2016" xr:uid="{00000000-0005-0000-0000-00008E050000}"/>
    <cellStyle name="SAPBEXaggDataEmph 14 3" xfId="3318" xr:uid="{00000000-0005-0000-0000-00008F050000}"/>
    <cellStyle name="SAPBEXaggDataEmph 14 4" xfId="4409" xr:uid="{00000000-0005-0000-0000-000090050000}"/>
    <cellStyle name="SAPBEXaggDataEmph 15" xfId="2011" xr:uid="{00000000-0005-0000-0000-000091050000}"/>
    <cellStyle name="SAPBEXaggDataEmph 16" xfId="3313" xr:uid="{00000000-0005-0000-0000-000092050000}"/>
    <cellStyle name="SAPBEXaggDataEmph 17" xfId="4404" xr:uid="{00000000-0005-0000-0000-000093050000}"/>
    <cellStyle name="SAPBEXaggDataEmph 2" xfId="721" xr:uid="{00000000-0005-0000-0000-000094050000}"/>
    <cellStyle name="SAPBEXaggDataEmph 2 10" xfId="727" xr:uid="{00000000-0005-0000-0000-000095050000}"/>
    <cellStyle name="SAPBEXaggDataEmph 2 10 2" xfId="2018" xr:uid="{00000000-0005-0000-0000-000096050000}"/>
    <cellStyle name="SAPBEXaggDataEmph 2 10 3" xfId="3320" xr:uid="{00000000-0005-0000-0000-000097050000}"/>
    <cellStyle name="SAPBEXaggDataEmph 2 10 4" xfId="4411" xr:uid="{00000000-0005-0000-0000-000098050000}"/>
    <cellStyle name="SAPBEXaggDataEmph 2 11" xfId="728" xr:uid="{00000000-0005-0000-0000-000099050000}"/>
    <cellStyle name="SAPBEXaggDataEmph 2 11 2" xfId="2019" xr:uid="{00000000-0005-0000-0000-00009A050000}"/>
    <cellStyle name="SAPBEXaggDataEmph 2 11 3" xfId="3321" xr:uid="{00000000-0005-0000-0000-00009B050000}"/>
    <cellStyle name="SAPBEXaggDataEmph 2 11 4" xfId="4412" xr:uid="{00000000-0005-0000-0000-00009C050000}"/>
    <cellStyle name="SAPBEXaggDataEmph 2 12" xfId="729" xr:uid="{00000000-0005-0000-0000-00009D050000}"/>
    <cellStyle name="SAPBEXaggDataEmph 2 12 2" xfId="2020" xr:uid="{00000000-0005-0000-0000-00009E050000}"/>
    <cellStyle name="SAPBEXaggDataEmph 2 12 3" xfId="3322" xr:uid="{00000000-0005-0000-0000-00009F050000}"/>
    <cellStyle name="SAPBEXaggDataEmph 2 12 4" xfId="4413" xr:uid="{00000000-0005-0000-0000-0000A0050000}"/>
    <cellStyle name="SAPBEXaggDataEmph 2 13" xfId="730" xr:uid="{00000000-0005-0000-0000-0000A1050000}"/>
    <cellStyle name="SAPBEXaggDataEmph 2 13 2" xfId="2021" xr:uid="{00000000-0005-0000-0000-0000A2050000}"/>
    <cellStyle name="SAPBEXaggDataEmph 2 13 3" xfId="3323" xr:uid="{00000000-0005-0000-0000-0000A3050000}"/>
    <cellStyle name="SAPBEXaggDataEmph 2 13 4" xfId="4414" xr:uid="{00000000-0005-0000-0000-0000A4050000}"/>
    <cellStyle name="SAPBEXaggDataEmph 2 14" xfId="2017" xr:uid="{00000000-0005-0000-0000-0000A5050000}"/>
    <cellStyle name="SAPBEXaggDataEmph 2 15" xfId="3319" xr:uid="{00000000-0005-0000-0000-0000A6050000}"/>
    <cellStyle name="SAPBEXaggDataEmph 2 16" xfId="4410" xr:uid="{00000000-0005-0000-0000-0000A7050000}"/>
    <cellStyle name="SAPBEXaggDataEmph 2 2" xfId="731" xr:uid="{00000000-0005-0000-0000-0000A8050000}"/>
    <cellStyle name="SAPBEXaggDataEmph 2 2 2" xfId="2022" xr:uid="{00000000-0005-0000-0000-0000A9050000}"/>
    <cellStyle name="SAPBEXaggDataEmph 2 2 3" xfId="3324" xr:uid="{00000000-0005-0000-0000-0000AA050000}"/>
    <cellStyle name="SAPBEXaggDataEmph 2 2 4" xfId="4415" xr:uid="{00000000-0005-0000-0000-0000AB050000}"/>
    <cellStyle name="SAPBEXaggDataEmph 2 3" xfId="732" xr:uid="{00000000-0005-0000-0000-0000AC050000}"/>
    <cellStyle name="SAPBEXaggDataEmph 2 3 2" xfId="2023" xr:uid="{00000000-0005-0000-0000-0000AD050000}"/>
    <cellStyle name="SAPBEXaggDataEmph 2 3 3" xfId="3325" xr:uid="{00000000-0005-0000-0000-0000AE050000}"/>
    <cellStyle name="SAPBEXaggDataEmph 2 3 4" xfId="4416" xr:uid="{00000000-0005-0000-0000-0000AF050000}"/>
    <cellStyle name="SAPBEXaggDataEmph 2 4" xfId="733" xr:uid="{00000000-0005-0000-0000-0000B0050000}"/>
    <cellStyle name="SAPBEXaggDataEmph 2 4 2" xfId="2024" xr:uid="{00000000-0005-0000-0000-0000B1050000}"/>
    <cellStyle name="SAPBEXaggDataEmph 2 4 3" xfId="3326" xr:uid="{00000000-0005-0000-0000-0000B2050000}"/>
    <cellStyle name="SAPBEXaggDataEmph 2 4 4" xfId="4417" xr:uid="{00000000-0005-0000-0000-0000B3050000}"/>
    <cellStyle name="SAPBEXaggDataEmph 2 5" xfId="734" xr:uid="{00000000-0005-0000-0000-0000B4050000}"/>
    <cellStyle name="SAPBEXaggDataEmph 2 5 2" xfId="2025" xr:uid="{00000000-0005-0000-0000-0000B5050000}"/>
    <cellStyle name="SAPBEXaggDataEmph 2 5 3" xfId="3327" xr:uid="{00000000-0005-0000-0000-0000B6050000}"/>
    <cellStyle name="SAPBEXaggDataEmph 2 5 4" xfId="4418" xr:uid="{00000000-0005-0000-0000-0000B7050000}"/>
    <cellStyle name="SAPBEXaggDataEmph 2 6" xfId="735" xr:uid="{00000000-0005-0000-0000-0000B8050000}"/>
    <cellStyle name="SAPBEXaggDataEmph 2 6 2" xfId="2026" xr:uid="{00000000-0005-0000-0000-0000B9050000}"/>
    <cellStyle name="SAPBEXaggDataEmph 2 6 3" xfId="3328" xr:uid="{00000000-0005-0000-0000-0000BA050000}"/>
    <cellStyle name="SAPBEXaggDataEmph 2 6 4" xfId="4419" xr:uid="{00000000-0005-0000-0000-0000BB050000}"/>
    <cellStyle name="SAPBEXaggDataEmph 2 7" xfId="736" xr:uid="{00000000-0005-0000-0000-0000BC050000}"/>
    <cellStyle name="SAPBEXaggDataEmph 2 7 2" xfId="2027" xr:uid="{00000000-0005-0000-0000-0000BD050000}"/>
    <cellStyle name="SAPBEXaggDataEmph 2 7 3" xfId="3329" xr:uid="{00000000-0005-0000-0000-0000BE050000}"/>
    <cellStyle name="SAPBEXaggDataEmph 2 7 4" xfId="4420" xr:uid="{00000000-0005-0000-0000-0000BF050000}"/>
    <cellStyle name="SAPBEXaggDataEmph 2 8" xfId="737" xr:uid="{00000000-0005-0000-0000-0000C0050000}"/>
    <cellStyle name="SAPBEXaggDataEmph 2 8 2" xfId="2028" xr:uid="{00000000-0005-0000-0000-0000C1050000}"/>
    <cellStyle name="SAPBEXaggDataEmph 2 8 3" xfId="3330" xr:uid="{00000000-0005-0000-0000-0000C2050000}"/>
    <cellStyle name="SAPBEXaggDataEmph 2 8 4" xfId="4421" xr:uid="{00000000-0005-0000-0000-0000C3050000}"/>
    <cellStyle name="SAPBEXaggDataEmph 2 9" xfId="738" xr:uid="{00000000-0005-0000-0000-0000C4050000}"/>
    <cellStyle name="SAPBEXaggDataEmph 2 9 2" xfId="2029" xr:uid="{00000000-0005-0000-0000-0000C5050000}"/>
    <cellStyle name="SAPBEXaggDataEmph 2 9 3" xfId="3331" xr:uid="{00000000-0005-0000-0000-0000C6050000}"/>
    <cellStyle name="SAPBEXaggDataEmph 2 9 4" xfId="4422" xr:uid="{00000000-0005-0000-0000-0000C7050000}"/>
    <cellStyle name="SAPBEXaggDataEmph 3" xfId="739" xr:uid="{00000000-0005-0000-0000-0000C8050000}"/>
    <cellStyle name="SAPBEXaggDataEmph 3 2" xfId="2030" xr:uid="{00000000-0005-0000-0000-0000C9050000}"/>
    <cellStyle name="SAPBEXaggDataEmph 3 3" xfId="3332" xr:uid="{00000000-0005-0000-0000-0000CA050000}"/>
    <cellStyle name="SAPBEXaggDataEmph 3 4" xfId="4423" xr:uid="{00000000-0005-0000-0000-0000CB050000}"/>
    <cellStyle name="SAPBEXaggDataEmph 4" xfId="740" xr:uid="{00000000-0005-0000-0000-0000CC050000}"/>
    <cellStyle name="SAPBEXaggDataEmph 4 2" xfId="2031" xr:uid="{00000000-0005-0000-0000-0000CD050000}"/>
    <cellStyle name="SAPBEXaggDataEmph 4 3" xfId="3333" xr:uid="{00000000-0005-0000-0000-0000CE050000}"/>
    <cellStyle name="SAPBEXaggDataEmph 4 4" xfId="4424" xr:uid="{00000000-0005-0000-0000-0000CF050000}"/>
    <cellStyle name="SAPBEXaggDataEmph 5" xfId="741" xr:uid="{00000000-0005-0000-0000-0000D0050000}"/>
    <cellStyle name="SAPBEXaggDataEmph 5 2" xfId="2032" xr:uid="{00000000-0005-0000-0000-0000D1050000}"/>
    <cellStyle name="SAPBEXaggDataEmph 5 3" xfId="3334" xr:uid="{00000000-0005-0000-0000-0000D2050000}"/>
    <cellStyle name="SAPBEXaggDataEmph 5 4" xfId="4425" xr:uid="{00000000-0005-0000-0000-0000D3050000}"/>
    <cellStyle name="SAPBEXaggDataEmph 6" xfId="742" xr:uid="{00000000-0005-0000-0000-0000D4050000}"/>
    <cellStyle name="SAPBEXaggDataEmph 6 2" xfId="2033" xr:uid="{00000000-0005-0000-0000-0000D5050000}"/>
    <cellStyle name="SAPBEXaggDataEmph 6 3" xfId="3335" xr:uid="{00000000-0005-0000-0000-0000D6050000}"/>
    <cellStyle name="SAPBEXaggDataEmph 6 4" xfId="4426" xr:uid="{00000000-0005-0000-0000-0000D7050000}"/>
    <cellStyle name="SAPBEXaggDataEmph 7" xfId="743" xr:uid="{00000000-0005-0000-0000-0000D8050000}"/>
    <cellStyle name="SAPBEXaggDataEmph 7 2" xfId="2034" xr:uid="{00000000-0005-0000-0000-0000D9050000}"/>
    <cellStyle name="SAPBEXaggDataEmph 7 3" xfId="3336" xr:uid="{00000000-0005-0000-0000-0000DA050000}"/>
    <cellStyle name="SAPBEXaggDataEmph 7 4" xfId="4427" xr:uid="{00000000-0005-0000-0000-0000DB050000}"/>
    <cellStyle name="SAPBEXaggDataEmph 8" xfId="744" xr:uid="{00000000-0005-0000-0000-0000DC050000}"/>
    <cellStyle name="SAPBEXaggDataEmph 8 2" xfId="2035" xr:uid="{00000000-0005-0000-0000-0000DD050000}"/>
    <cellStyle name="SAPBEXaggDataEmph 8 3" xfId="3337" xr:uid="{00000000-0005-0000-0000-0000DE050000}"/>
    <cellStyle name="SAPBEXaggDataEmph 8 4" xfId="4428" xr:uid="{00000000-0005-0000-0000-0000DF050000}"/>
    <cellStyle name="SAPBEXaggDataEmph 9" xfId="745" xr:uid="{00000000-0005-0000-0000-0000E0050000}"/>
    <cellStyle name="SAPBEXaggDataEmph 9 2" xfId="2036" xr:uid="{00000000-0005-0000-0000-0000E1050000}"/>
    <cellStyle name="SAPBEXaggDataEmph 9 3" xfId="3338" xr:uid="{00000000-0005-0000-0000-0000E2050000}"/>
    <cellStyle name="SAPBEXaggDataEmph 9 4" xfId="4429" xr:uid="{00000000-0005-0000-0000-0000E3050000}"/>
    <cellStyle name="SAPBEXaggItem" xfId="4" xr:uid="{00000000-0005-0000-0000-0000E4050000}"/>
    <cellStyle name="SAPBEXaggItem 10" xfId="747" xr:uid="{00000000-0005-0000-0000-0000E5050000}"/>
    <cellStyle name="SAPBEXaggItem 10 2" xfId="2038" xr:uid="{00000000-0005-0000-0000-0000E6050000}"/>
    <cellStyle name="SAPBEXaggItem 10 3" xfId="3340" xr:uid="{00000000-0005-0000-0000-0000E7050000}"/>
    <cellStyle name="SAPBEXaggItem 10 4" xfId="4431" xr:uid="{00000000-0005-0000-0000-0000E8050000}"/>
    <cellStyle name="SAPBEXaggItem 11" xfId="748" xr:uid="{00000000-0005-0000-0000-0000E9050000}"/>
    <cellStyle name="SAPBEXaggItem 11 2" xfId="2039" xr:uid="{00000000-0005-0000-0000-0000EA050000}"/>
    <cellStyle name="SAPBEXaggItem 11 3" xfId="3341" xr:uid="{00000000-0005-0000-0000-0000EB050000}"/>
    <cellStyle name="SAPBEXaggItem 11 4" xfId="4432" xr:uid="{00000000-0005-0000-0000-0000EC050000}"/>
    <cellStyle name="SAPBEXaggItem 12" xfId="749" xr:uid="{00000000-0005-0000-0000-0000ED050000}"/>
    <cellStyle name="SAPBEXaggItem 12 2" xfId="2040" xr:uid="{00000000-0005-0000-0000-0000EE050000}"/>
    <cellStyle name="SAPBEXaggItem 12 3" xfId="3342" xr:uid="{00000000-0005-0000-0000-0000EF050000}"/>
    <cellStyle name="SAPBEXaggItem 12 4" xfId="4433" xr:uid="{00000000-0005-0000-0000-0000F0050000}"/>
    <cellStyle name="SAPBEXaggItem 13" xfId="750" xr:uid="{00000000-0005-0000-0000-0000F1050000}"/>
    <cellStyle name="SAPBEXaggItem 13 2" xfId="2041" xr:uid="{00000000-0005-0000-0000-0000F2050000}"/>
    <cellStyle name="SAPBEXaggItem 13 3" xfId="3343" xr:uid="{00000000-0005-0000-0000-0000F3050000}"/>
    <cellStyle name="SAPBEXaggItem 13 4" xfId="4434" xr:uid="{00000000-0005-0000-0000-0000F4050000}"/>
    <cellStyle name="SAPBEXaggItem 14" xfId="751" xr:uid="{00000000-0005-0000-0000-0000F5050000}"/>
    <cellStyle name="SAPBEXaggItem 14 2" xfId="2042" xr:uid="{00000000-0005-0000-0000-0000F6050000}"/>
    <cellStyle name="SAPBEXaggItem 14 3" xfId="3344" xr:uid="{00000000-0005-0000-0000-0000F7050000}"/>
    <cellStyle name="SAPBEXaggItem 14 4" xfId="4435" xr:uid="{00000000-0005-0000-0000-0000F8050000}"/>
    <cellStyle name="SAPBEXaggItem 15" xfId="2037" xr:uid="{00000000-0005-0000-0000-0000F9050000}"/>
    <cellStyle name="SAPBEXaggItem 16" xfId="3339" xr:uid="{00000000-0005-0000-0000-0000FA050000}"/>
    <cellStyle name="SAPBEXaggItem 17" xfId="4430" xr:uid="{00000000-0005-0000-0000-0000FB050000}"/>
    <cellStyle name="SAPBEXaggItem 2" xfId="746" xr:uid="{00000000-0005-0000-0000-0000FC050000}"/>
    <cellStyle name="SAPBEXaggItem 2 10" xfId="752" xr:uid="{00000000-0005-0000-0000-0000FD050000}"/>
    <cellStyle name="SAPBEXaggItem 2 10 2" xfId="2044" xr:uid="{00000000-0005-0000-0000-0000FE050000}"/>
    <cellStyle name="SAPBEXaggItem 2 10 3" xfId="3346" xr:uid="{00000000-0005-0000-0000-0000FF050000}"/>
    <cellStyle name="SAPBEXaggItem 2 10 4" xfId="4437" xr:uid="{00000000-0005-0000-0000-000000060000}"/>
    <cellStyle name="SAPBEXaggItem 2 11" xfId="753" xr:uid="{00000000-0005-0000-0000-000001060000}"/>
    <cellStyle name="SAPBEXaggItem 2 11 2" xfId="2045" xr:uid="{00000000-0005-0000-0000-000002060000}"/>
    <cellStyle name="SAPBEXaggItem 2 11 3" xfId="3347" xr:uid="{00000000-0005-0000-0000-000003060000}"/>
    <cellStyle name="SAPBEXaggItem 2 11 4" xfId="4438" xr:uid="{00000000-0005-0000-0000-000004060000}"/>
    <cellStyle name="SAPBEXaggItem 2 12" xfId="754" xr:uid="{00000000-0005-0000-0000-000005060000}"/>
    <cellStyle name="SAPBEXaggItem 2 12 2" xfId="2046" xr:uid="{00000000-0005-0000-0000-000006060000}"/>
    <cellStyle name="SAPBEXaggItem 2 12 3" xfId="3348" xr:uid="{00000000-0005-0000-0000-000007060000}"/>
    <cellStyle name="SAPBEXaggItem 2 12 4" xfId="4439" xr:uid="{00000000-0005-0000-0000-000008060000}"/>
    <cellStyle name="SAPBEXaggItem 2 13" xfId="755" xr:uid="{00000000-0005-0000-0000-000009060000}"/>
    <cellStyle name="SAPBEXaggItem 2 13 2" xfId="2047" xr:uid="{00000000-0005-0000-0000-00000A060000}"/>
    <cellStyle name="SAPBEXaggItem 2 13 3" xfId="3349" xr:uid="{00000000-0005-0000-0000-00000B060000}"/>
    <cellStyle name="SAPBEXaggItem 2 13 4" xfId="4440" xr:uid="{00000000-0005-0000-0000-00000C060000}"/>
    <cellStyle name="SAPBEXaggItem 2 14" xfId="2043" xr:uid="{00000000-0005-0000-0000-00000D060000}"/>
    <cellStyle name="SAPBEXaggItem 2 15" xfId="3345" xr:uid="{00000000-0005-0000-0000-00000E060000}"/>
    <cellStyle name="SAPBEXaggItem 2 16" xfId="4436" xr:uid="{00000000-0005-0000-0000-00000F060000}"/>
    <cellStyle name="SAPBEXaggItem 2 2" xfId="756" xr:uid="{00000000-0005-0000-0000-000010060000}"/>
    <cellStyle name="SAPBEXaggItem 2 2 2" xfId="2048" xr:uid="{00000000-0005-0000-0000-000011060000}"/>
    <cellStyle name="SAPBEXaggItem 2 2 3" xfId="3350" xr:uid="{00000000-0005-0000-0000-000012060000}"/>
    <cellStyle name="SAPBEXaggItem 2 2 4" xfId="4441" xr:uid="{00000000-0005-0000-0000-000013060000}"/>
    <cellStyle name="SAPBEXaggItem 2 3" xfId="757" xr:uid="{00000000-0005-0000-0000-000014060000}"/>
    <cellStyle name="SAPBEXaggItem 2 3 2" xfId="2049" xr:uid="{00000000-0005-0000-0000-000015060000}"/>
    <cellStyle name="SAPBEXaggItem 2 3 3" xfId="3351" xr:uid="{00000000-0005-0000-0000-000016060000}"/>
    <cellStyle name="SAPBEXaggItem 2 3 4" xfId="4442" xr:uid="{00000000-0005-0000-0000-000017060000}"/>
    <cellStyle name="SAPBEXaggItem 2 4" xfId="758" xr:uid="{00000000-0005-0000-0000-000018060000}"/>
    <cellStyle name="SAPBEXaggItem 2 4 2" xfId="2050" xr:uid="{00000000-0005-0000-0000-000019060000}"/>
    <cellStyle name="SAPBEXaggItem 2 4 3" xfId="3352" xr:uid="{00000000-0005-0000-0000-00001A060000}"/>
    <cellStyle name="SAPBEXaggItem 2 4 4" xfId="4443" xr:uid="{00000000-0005-0000-0000-00001B060000}"/>
    <cellStyle name="SAPBEXaggItem 2 5" xfId="759" xr:uid="{00000000-0005-0000-0000-00001C060000}"/>
    <cellStyle name="SAPBEXaggItem 2 5 2" xfId="2051" xr:uid="{00000000-0005-0000-0000-00001D060000}"/>
    <cellStyle name="SAPBEXaggItem 2 5 3" xfId="3353" xr:uid="{00000000-0005-0000-0000-00001E060000}"/>
    <cellStyle name="SAPBEXaggItem 2 5 4" xfId="4444" xr:uid="{00000000-0005-0000-0000-00001F060000}"/>
    <cellStyle name="SAPBEXaggItem 2 6" xfId="760" xr:uid="{00000000-0005-0000-0000-000020060000}"/>
    <cellStyle name="SAPBEXaggItem 2 6 2" xfId="2052" xr:uid="{00000000-0005-0000-0000-000021060000}"/>
    <cellStyle name="SAPBEXaggItem 2 6 3" xfId="3354" xr:uid="{00000000-0005-0000-0000-000022060000}"/>
    <cellStyle name="SAPBEXaggItem 2 6 4" xfId="4445" xr:uid="{00000000-0005-0000-0000-000023060000}"/>
    <cellStyle name="SAPBEXaggItem 2 7" xfId="761" xr:uid="{00000000-0005-0000-0000-000024060000}"/>
    <cellStyle name="SAPBEXaggItem 2 7 2" xfId="2053" xr:uid="{00000000-0005-0000-0000-000025060000}"/>
    <cellStyle name="SAPBEXaggItem 2 7 3" xfId="3355" xr:uid="{00000000-0005-0000-0000-000026060000}"/>
    <cellStyle name="SAPBEXaggItem 2 7 4" xfId="4446" xr:uid="{00000000-0005-0000-0000-000027060000}"/>
    <cellStyle name="SAPBEXaggItem 2 8" xfId="762" xr:uid="{00000000-0005-0000-0000-000028060000}"/>
    <cellStyle name="SAPBEXaggItem 2 8 2" xfId="2054" xr:uid="{00000000-0005-0000-0000-000029060000}"/>
    <cellStyle name="SAPBEXaggItem 2 8 3" xfId="3356" xr:uid="{00000000-0005-0000-0000-00002A060000}"/>
    <cellStyle name="SAPBEXaggItem 2 8 4" xfId="4447" xr:uid="{00000000-0005-0000-0000-00002B060000}"/>
    <cellStyle name="SAPBEXaggItem 2 9" xfId="763" xr:uid="{00000000-0005-0000-0000-00002C060000}"/>
    <cellStyle name="SAPBEXaggItem 2 9 2" xfId="2055" xr:uid="{00000000-0005-0000-0000-00002D060000}"/>
    <cellStyle name="SAPBEXaggItem 2 9 3" xfId="3357" xr:uid="{00000000-0005-0000-0000-00002E060000}"/>
    <cellStyle name="SAPBEXaggItem 2 9 4" xfId="4448" xr:uid="{00000000-0005-0000-0000-00002F060000}"/>
    <cellStyle name="SAPBEXaggItem 3" xfId="764" xr:uid="{00000000-0005-0000-0000-000030060000}"/>
    <cellStyle name="SAPBEXaggItem 3 2" xfId="2056" xr:uid="{00000000-0005-0000-0000-000031060000}"/>
    <cellStyle name="SAPBEXaggItem 3 3" xfId="3358" xr:uid="{00000000-0005-0000-0000-000032060000}"/>
    <cellStyle name="SAPBEXaggItem 3 4" xfId="4449" xr:uid="{00000000-0005-0000-0000-000033060000}"/>
    <cellStyle name="SAPBEXaggItem 4" xfId="765" xr:uid="{00000000-0005-0000-0000-000034060000}"/>
    <cellStyle name="SAPBEXaggItem 4 2" xfId="2057" xr:uid="{00000000-0005-0000-0000-000035060000}"/>
    <cellStyle name="SAPBEXaggItem 4 3" xfId="3359" xr:uid="{00000000-0005-0000-0000-000036060000}"/>
    <cellStyle name="SAPBEXaggItem 4 4" xfId="4450" xr:uid="{00000000-0005-0000-0000-000037060000}"/>
    <cellStyle name="SAPBEXaggItem 5" xfId="766" xr:uid="{00000000-0005-0000-0000-000038060000}"/>
    <cellStyle name="SAPBEXaggItem 5 2" xfId="2058" xr:uid="{00000000-0005-0000-0000-000039060000}"/>
    <cellStyle name="SAPBEXaggItem 5 3" xfId="3360" xr:uid="{00000000-0005-0000-0000-00003A060000}"/>
    <cellStyle name="SAPBEXaggItem 5 4" xfId="4451" xr:uid="{00000000-0005-0000-0000-00003B060000}"/>
    <cellStyle name="SAPBEXaggItem 6" xfId="767" xr:uid="{00000000-0005-0000-0000-00003C060000}"/>
    <cellStyle name="SAPBEXaggItem 6 2" xfId="2059" xr:uid="{00000000-0005-0000-0000-00003D060000}"/>
    <cellStyle name="SAPBEXaggItem 6 3" xfId="3361" xr:uid="{00000000-0005-0000-0000-00003E060000}"/>
    <cellStyle name="SAPBEXaggItem 6 4" xfId="4452" xr:uid="{00000000-0005-0000-0000-00003F060000}"/>
    <cellStyle name="SAPBEXaggItem 7" xfId="768" xr:uid="{00000000-0005-0000-0000-000040060000}"/>
    <cellStyle name="SAPBEXaggItem 7 2" xfId="2060" xr:uid="{00000000-0005-0000-0000-000041060000}"/>
    <cellStyle name="SAPBEXaggItem 7 3" xfId="3362" xr:uid="{00000000-0005-0000-0000-000042060000}"/>
    <cellStyle name="SAPBEXaggItem 7 4" xfId="4453" xr:uid="{00000000-0005-0000-0000-000043060000}"/>
    <cellStyle name="SAPBEXaggItem 8" xfId="769" xr:uid="{00000000-0005-0000-0000-000044060000}"/>
    <cellStyle name="SAPBEXaggItem 8 2" xfId="2061" xr:uid="{00000000-0005-0000-0000-000045060000}"/>
    <cellStyle name="SAPBEXaggItem 8 3" xfId="3363" xr:uid="{00000000-0005-0000-0000-000046060000}"/>
    <cellStyle name="SAPBEXaggItem 8 4" xfId="4454" xr:uid="{00000000-0005-0000-0000-000047060000}"/>
    <cellStyle name="SAPBEXaggItem 9" xfId="770" xr:uid="{00000000-0005-0000-0000-000048060000}"/>
    <cellStyle name="SAPBEXaggItem 9 2" xfId="2062" xr:uid="{00000000-0005-0000-0000-000049060000}"/>
    <cellStyle name="SAPBEXaggItem 9 3" xfId="3364" xr:uid="{00000000-0005-0000-0000-00004A060000}"/>
    <cellStyle name="SAPBEXaggItem 9 4" xfId="4455" xr:uid="{00000000-0005-0000-0000-00004B060000}"/>
    <cellStyle name="SAPBEXaggItem_~7314910" xfId="771" xr:uid="{00000000-0005-0000-0000-00004C060000}"/>
    <cellStyle name="SAPBEXaggItemX" xfId="5" xr:uid="{00000000-0005-0000-0000-00004D060000}"/>
    <cellStyle name="SAPBEXaggItemX 10" xfId="773" xr:uid="{00000000-0005-0000-0000-00004E060000}"/>
    <cellStyle name="SAPBEXaggItemX 10 2" xfId="2064" xr:uid="{00000000-0005-0000-0000-00004F060000}"/>
    <cellStyle name="SAPBEXaggItemX 10 3" xfId="3366" xr:uid="{00000000-0005-0000-0000-000050060000}"/>
    <cellStyle name="SAPBEXaggItemX 10 4" xfId="4457" xr:uid="{00000000-0005-0000-0000-000051060000}"/>
    <cellStyle name="SAPBEXaggItemX 11" xfId="774" xr:uid="{00000000-0005-0000-0000-000052060000}"/>
    <cellStyle name="SAPBEXaggItemX 11 2" xfId="2065" xr:uid="{00000000-0005-0000-0000-000053060000}"/>
    <cellStyle name="SAPBEXaggItemX 11 3" xfId="3367" xr:uid="{00000000-0005-0000-0000-000054060000}"/>
    <cellStyle name="SAPBEXaggItemX 11 4" xfId="4458" xr:uid="{00000000-0005-0000-0000-000055060000}"/>
    <cellStyle name="SAPBEXaggItemX 12" xfId="775" xr:uid="{00000000-0005-0000-0000-000056060000}"/>
    <cellStyle name="SAPBEXaggItemX 12 2" xfId="2066" xr:uid="{00000000-0005-0000-0000-000057060000}"/>
    <cellStyle name="SAPBEXaggItemX 12 3" xfId="3368" xr:uid="{00000000-0005-0000-0000-000058060000}"/>
    <cellStyle name="SAPBEXaggItemX 12 4" xfId="4459" xr:uid="{00000000-0005-0000-0000-000059060000}"/>
    <cellStyle name="SAPBEXaggItemX 13" xfId="776" xr:uid="{00000000-0005-0000-0000-00005A060000}"/>
    <cellStyle name="SAPBEXaggItemX 13 2" xfId="2067" xr:uid="{00000000-0005-0000-0000-00005B060000}"/>
    <cellStyle name="SAPBEXaggItemX 13 3" xfId="3369" xr:uid="{00000000-0005-0000-0000-00005C060000}"/>
    <cellStyle name="SAPBEXaggItemX 13 4" xfId="4460" xr:uid="{00000000-0005-0000-0000-00005D060000}"/>
    <cellStyle name="SAPBEXaggItemX 14" xfId="777" xr:uid="{00000000-0005-0000-0000-00005E060000}"/>
    <cellStyle name="SAPBEXaggItemX 14 2" xfId="2068" xr:uid="{00000000-0005-0000-0000-00005F060000}"/>
    <cellStyle name="SAPBEXaggItemX 14 3" xfId="3370" xr:uid="{00000000-0005-0000-0000-000060060000}"/>
    <cellStyle name="SAPBEXaggItemX 14 4" xfId="4461" xr:uid="{00000000-0005-0000-0000-000061060000}"/>
    <cellStyle name="SAPBEXaggItemX 15" xfId="2063" xr:uid="{00000000-0005-0000-0000-000062060000}"/>
    <cellStyle name="SAPBEXaggItemX 16" xfId="3365" xr:uid="{00000000-0005-0000-0000-000063060000}"/>
    <cellStyle name="SAPBEXaggItemX 17" xfId="4456" xr:uid="{00000000-0005-0000-0000-000064060000}"/>
    <cellStyle name="SAPBEXaggItemX 2" xfId="772" xr:uid="{00000000-0005-0000-0000-000065060000}"/>
    <cellStyle name="SAPBEXaggItemX 2 10" xfId="778" xr:uid="{00000000-0005-0000-0000-000066060000}"/>
    <cellStyle name="SAPBEXaggItemX 2 10 2" xfId="2070" xr:uid="{00000000-0005-0000-0000-000067060000}"/>
    <cellStyle name="SAPBEXaggItemX 2 10 3" xfId="3372" xr:uid="{00000000-0005-0000-0000-000068060000}"/>
    <cellStyle name="SAPBEXaggItemX 2 10 4" xfId="4463" xr:uid="{00000000-0005-0000-0000-000069060000}"/>
    <cellStyle name="SAPBEXaggItemX 2 11" xfId="779" xr:uid="{00000000-0005-0000-0000-00006A060000}"/>
    <cellStyle name="SAPBEXaggItemX 2 11 2" xfId="2071" xr:uid="{00000000-0005-0000-0000-00006B060000}"/>
    <cellStyle name="SAPBEXaggItemX 2 11 3" xfId="3373" xr:uid="{00000000-0005-0000-0000-00006C060000}"/>
    <cellStyle name="SAPBEXaggItemX 2 11 4" xfId="4464" xr:uid="{00000000-0005-0000-0000-00006D060000}"/>
    <cellStyle name="SAPBEXaggItemX 2 12" xfId="780" xr:uid="{00000000-0005-0000-0000-00006E060000}"/>
    <cellStyle name="SAPBEXaggItemX 2 12 2" xfId="2072" xr:uid="{00000000-0005-0000-0000-00006F060000}"/>
    <cellStyle name="SAPBEXaggItemX 2 12 3" xfId="3374" xr:uid="{00000000-0005-0000-0000-000070060000}"/>
    <cellStyle name="SAPBEXaggItemX 2 12 4" xfId="4465" xr:uid="{00000000-0005-0000-0000-000071060000}"/>
    <cellStyle name="SAPBEXaggItemX 2 13" xfId="781" xr:uid="{00000000-0005-0000-0000-000072060000}"/>
    <cellStyle name="SAPBEXaggItemX 2 13 2" xfId="2073" xr:uid="{00000000-0005-0000-0000-000073060000}"/>
    <cellStyle name="SAPBEXaggItemX 2 13 3" xfId="3375" xr:uid="{00000000-0005-0000-0000-000074060000}"/>
    <cellStyle name="SAPBEXaggItemX 2 13 4" xfId="4466" xr:uid="{00000000-0005-0000-0000-000075060000}"/>
    <cellStyle name="SAPBEXaggItemX 2 14" xfId="2069" xr:uid="{00000000-0005-0000-0000-000076060000}"/>
    <cellStyle name="SAPBEXaggItemX 2 15" xfId="3371" xr:uid="{00000000-0005-0000-0000-000077060000}"/>
    <cellStyle name="SAPBEXaggItemX 2 16" xfId="4462" xr:uid="{00000000-0005-0000-0000-000078060000}"/>
    <cellStyle name="SAPBEXaggItemX 2 2" xfId="782" xr:uid="{00000000-0005-0000-0000-000079060000}"/>
    <cellStyle name="SAPBEXaggItemX 2 2 2" xfId="2074" xr:uid="{00000000-0005-0000-0000-00007A060000}"/>
    <cellStyle name="SAPBEXaggItemX 2 2 3" xfId="3376" xr:uid="{00000000-0005-0000-0000-00007B060000}"/>
    <cellStyle name="SAPBEXaggItemX 2 2 4" xfId="4467" xr:uid="{00000000-0005-0000-0000-00007C060000}"/>
    <cellStyle name="SAPBEXaggItemX 2 3" xfId="783" xr:uid="{00000000-0005-0000-0000-00007D060000}"/>
    <cellStyle name="SAPBEXaggItemX 2 3 2" xfId="2075" xr:uid="{00000000-0005-0000-0000-00007E060000}"/>
    <cellStyle name="SAPBEXaggItemX 2 3 3" xfId="3377" xr:uid="{00000000-0005-0000-0000-00007F060000}"/>
    <cellStyle name="SAPBEXaggItemX 2 3 4" xfId="4468" xr:uid="{00000000-0005-0000-0000-000080060000}"/>
    <cellStyle name="SAPBEXaggItemX 2 4" xfId="784" xr:uid="{00000000-0005-0000-0000-000081060000}"/>
    <cellStyle name="SAPBEXaggItemX 2 4 2" xfId="2076" xr:uid="{00000000-0005-0000-0000-000082060000}"/>
    <cellStyle name="SAPBEXaggItemX 2 4 3" xfId="3378" xr:uid="{00000000-0005-0000-0000-000083060000}"/>
    <cellStyle name="SAPBEXaggItemX 2 4 4" xfId="4469" xr:uid="{00000000-0005-0000-0000-000084060000}"/>
    <cellStyle name="SAPBEXaggItemX 2 5" xfId="785" xr:uid="{00000000-0005-0000-0000-000085060000}"/>
    <cellStyle name="SAPBEXaggItemX 2 5 2" xfId="2077" xr:uid="{00000000-0005-0000-0000-000086060000}"/>
    <cellStyle name="SAPBEXaggItemX 2 5 3" xfId="3379" xr:uid="{00000000-0005-0000-0000-000087060000}"/>
    <cellStyle name="SAPBEXaggItemX 2 5 4" xfId="4470" xr:uid="{00000000-0005-0000-0000-000088060000}"/>
    <cellStyle name="SAPBEXaggItemX 2 6" xfId="786" xr:uid="{00000000-0005-0000-0000-000089060000}"/>
    <cellStyle name="SAPBEXaggItemX 2 6 2" xfId="2078" xr:uid="{00000000-0005-0000-0000-00008A060000}"/>
    <cellStyle name="SAPBEXaggItemX 2 6 3" xfId="3380" xr:uid="{00000000-0005-0000-0000-00008B060000}"/>
    <cellStyle name="SAPBEXaggItemX 2 6 4" xfId="4471" xr:uid="{00000000-0005-0000-0000-00008C060000}"/>
    <cellStyle name="SAPBEXaggItemX 2 7" xfId="787" xr:uid="{00000000-0005-0000-0000-00008D060000}"/>
    <cellStyle name="SAPBEXaggItemX 2 7 2" xfId="2079" xr:uid="{00000000-0005-0000-0000-00008E060000}"/>
    <cellStyle name="SAPBEXaggItemX 2 7 3" xfId="3381" xr:uid="{00000000-0005-0000-0000-00008F060000}"/>
    <cellStyle name="SAPBEXaggItemX 2 7 4" xfId="4472" xr:uid="{00000000-0005-0000-0000-000090060000}"/>
    <cellStyle name="SAPBEXaggItemX 2 8" xfId="788" xr:uid="{00000000-0005-0000-0000-000091060000}"/>
    <cellStyle name="SAPBEXaggItemX 2 8 2" xfId="2080" xr:uid="{00000000-0005-0000-0000-000092060000}"/>
    <cellStyle name="SAPBEXaggItemX 2 8 3" xfId="3382" xr:uid="{00000000-0005-0000-0000-000093060000}"/>
    <cellStyle name="SAPBEXaggItemX 2 8 4" xfId="4473" xr:uid="{00000000-0005-0000-0000-000094060000}"/>
    <cellStyle name="SAPBEXaggItemX 2 9" xfId="789" xr:uid="{00000000-0005-0000-0000-000095060000}"/>
    <cellStyle name="SAPBEXaggItemX 2 9 2" xfId="2081" xr:uid="{00000000-0005-0000-0000-000096060000}"/>
    <cellStyle name="SAPBEXaggItemX 2 9 3" xfId="3383" xr:uid="{00000000-0005-0000-0000-000097060000}"/>
    <cellStyle name="SAPBEXaggItemX 2 9 4" xfId="4474" xr:uid="{00000000-0005-0000-0000-000098060000}"/>
    <cellStyle name="SAPBEXaggItemX 3" xfId="790" xr:uid="{00000000-0005-0000-0000-000099060000}"/>
    <cellStyle name="SAPBEXaggItemX 3 2" xfId="2082" xr:uid="{00000000-0005-0000-0000-00009A060000}"/>
    <cellStyle name="SAPBEXaggItemX 3 3" xfId="3384" xr:uid="{00000000-0005-0000-0000-00009B060000}"/>
    <cellStyle name="SAPBEXaggItemX 3 4" xfId="4475" xr:uid="{00000000-0005-0000-0000-00009C060000}"/>
    <cellStyle name="SAPBEXaggItemX 4" xfId="791" xr:uid="{00000000-0005-0000-0000-00009D060000}"/>
    <cellStyle name="SAPBEXaggItemX 4 2" xfId="2083" xr:uid="{00000000-0005-0000-0000-00009E060000}"/>
    <cellStyle name="SAPBEXaggItemX 4 3" xfId="3385" xr:uid="{00000000-0005-0000-0000-00009F060000}"/>
    <cellStyle name="SAPBEXaggItemX 4 4" xfId="4476" xr:uid="{00000000-0005-0000-0000-0000A0060000}"/>
    <cellStyle name="SAPBEXaggItemX 5" xfId="792" xr:uid="{00000000-0005-0000-0000-0000A1060000}"/>
    <cellStyle name="SAPBEXaggItemX 5 2" xfId="2084" xr:uid="{00000000-0005-0000-0000-0000A2060000}"/>
    <cellStyle name="SAPBEXaggItemX 5 3" xfId="3386" xr:uid="{00000000-0005-0000-0000-0000A3060000}"/>
    <cellStyle name="SAPBEXaggItemX 5 4" xfId="4477" xr:uid="{00000000-0005-0000-0000-0000A4060000}"/>
    <cellStyle name="SAPBEXaggItemX 6" xfId="793" xr:uid="{00000000-0005-0000-0000-0000A5060000}"/>
    <cellStyle name="SAPBEXaggItemX 6 2" xfId="2085" xr:uid="{00000000-0005-0000-0000-0000A6060000}"/>
    <cellStyle name="SAPBEXaggItemX 6 3" xfId="3387" xr:uid="{00000000-0005-0000-0000-0000A7060000}"/>
    <cellStyle name="SAPBEXaggItemX 6 4" xfId="4478" xr:uid="{00000000-0005-0000-0000-0000A8060000}"/>
    <cellStyle name="SAPBEXaggItemX 7" xfId="794" xr:uid="{00000000-0005-0000-0000-0000A9060000}"/>
    <cellStyle name="SAPBEXaggItemX 7 2" xfId="2086" xr:uid="{00000000-0005-0000-0000-0000AA060000}"/>
    <cellStyle name="SAPBEXaggItemX 7 3" xfId="3388" xr:uid="{00000000-0005-0000-0000-0000AB060000}"/>
    <cellStyle name="SAPBEXaggItemX 7 4" xfId="4479" xr:uid="{00000000-0005-0000-0000-0000AC060000}"/>
    <cellStyle name="SAPBEXaggItemX 8" xfId="795" xr:uid="{00000000-0005-0000-0000-0000AD060000}"/>
    <cellStyle name="SAPBEXaggItemX 8 2" xfId="2087" xr:uid="{00000000-0005-0000-0000-0000AE060000}"/>
    <cellStyle name="SAPBEXaggItemX 8 3" xfId="3389" xr:uid="{00000000-0005-0000-0000-0000AF060000}"/>
    <cellStyle name="SAPBEXaggItemX 8 4" xfId="4480" xr:uid="{00000000-0005-0000-0000-0000B0060000}"/>
    <cellStyle name="SAPBEXaggItemX 9" xfId="796" xr:uid="{00000000-0005-0000-0000-0000B1060000}"/>
    <cellStyle name="SAPBEXaggItemX 9 2" xfId="2088" xr:uid="{00000000-0005-0000-0000-0000B2060000}"/>
    <cellStyle name="SAPBEXaggItemX 9 3" xfId="3390" xr:uid="{00000000-0005-0000-0000-0000B3060000}"/>
    <cellStyle name="SAPBEXaggItemX 9 4" xfId="4481" xr:uid="{00000000-0005-0000-0000-0000B4060000}"/>
    <cellStyle name="SAPBEXchaText" xfId="6" xr:uid="{00000000-0005-0000-0000-0000B5060000}"/>
    <cellStyle name="SAPBEXchaText 10" xfId="798" xr:uid="{00000000-0005-0000-0000-0000B6060000}"/>
    <cellStyle name="SAPBEXchaText 10 2" xfId="2090" xr:uid="{00000000-0005-0000-0000-0000B7060000}"/>
    <cellStyle name="SAPBEXchaText 10 3" xfId="3392" xr:uid="{00000000-0005-0000-0000-0000B8060000}"/>
    <cellStyle name="SAPBEXchaText 10 4" xfId="4483" xr:uid="{00000000-0005-0000-0000-0000B9060000}"/>
    <cellStyle name="SAPBEXchaText 11" xfId="799" xr:uid="{00000000-0005-0000-0000-0000BA060000}"/>
    <cellStyle name="SAPBEXchaText 11 2" xfId="2091" xr:uid="{00000000-0005-0000-0000-0000BB060000}"/>
    <cellStyle name="SAPBEXchaText 11 3" xfId="3393" xr:uid="{00000000-0005-0000-0000-0000BC060000}"/>
    <cellStyle name="SAPBEXchaText 11 4" xfId="4484" xr:uid="{00000000-0005-0000-0000-0000BD060000}"/>
    <cellStyle name="SAPBEXchaText 12" xfId="800" xr:uid="{00000000-0005-0000-0000-0000BE060000}"/>
    <cellStyle name="SAPBEXchaText 12 2" xfId="2092" xr:uid="{00000000-0005-0000-0000-0000BF060000}"/>
    <cellStyle name="SAPBEXchaText 12 3" xfId="3394" xr:uid="{00000000-0005-0000-0000-0000C0060000}"/>
    <cellStyle name="SAPBEXchaText 12 4" xfId="4485" xr:uid="{00000000-0005-0000-0000-0000C1060000}"/>
    <cellStyle name="SAPBEXchaText 13" xfId="801" xr:uid="{00000000-0005-0000-0000-0000C2060000}"/>
    <cellStyle name="SAPBEXchaText 13 2" xfId="2093" xr:uid="{00000000-0005-0000-0000-0000C3060000}"/>
    <cellStyle name="SAPBEXchaText 13 3" xfId="3395" xr:uid="{00000000-0005-0000-0000-0000C4060000}"/>
    <cellStyle name="SAPBEXchaText 13 4" xfId="4486" xr:uid="{00000000-0005-0000-0000-0000C5060000}"/>
    <cellStyle name="SAPBEXchaText 14" xfId="802" xr:uid="{00000000-0005-0000-0000-0000C6060000}"/>
    <cellStyle name="SAPBEXchaText 14 2" xfId="2094" xr:uid="{00000000-0005-0000-0000-0000C7060000}"/>
    <cellStyle name="SAPBEXchaText 14 3" xfId="3396" xr:uid="{00000000-0005-0000-0000-0000C8060000}"/>
    <cellStyle name="SAPBEXchaText 14 4" xfId="4487" xr:uid="{00000000-0005-0000-0000-0000C9060000}"/>
    <cellStyle name="SAPBEXchaText 15" xfId="2089" xr:uid="{00000000-0005-0000-0000-0000CA060000}"/>
    <cellStyle name="SAPBEXchaText 16" xfId="3391" xr:uid="{00000000-0005-0000-0000-0000CB060000}"/>
    <cellStyle name="SAPBEXchaText 17" xfId="4482" xr:uid="{00000000-0005-0000-0000-0000CC060000}"/>
    <cellStyle name="SAPBEXchaText 2" xfId="797" xr:uid="{00000000-0005-0000-0000-0000CD060000}"/>
    <cellStyle name="SAPBEXchaText 2 10" xfId="803" xr:uid="{00000000-0005-0000-0000-0000CE060000}"/>
    <cellStyle name="SAPBEXchaText 2 10 2" xfId="2096" xr:uid="{00000000-0005-0000-0000-0000CF060000}"/>
    <cellStyle name="SAPBEXchaText 2 10 3" xfId="3398" xr:uid="{00000000-0005-0000-0000-0000D0060000}"/>
    <cellStyle name="SAPBEXchaText 2 10 4" xfId="4489" xr:uid="{00000000-0005-0000-0000-0000D1060000}"/>
    <cellStyle name="SAPBEXchaText 2 11" xfId="804" xr:uid="{00000000-0005-0000-0000-0000D2060000}"/>
    <cellStyle name="SAPBEXchaText 2 11 2" xfId="2097" xr:uid="{00000000-0005-0000-0000-0000D3060000}"/>
    <cellStyle name="SAPBEXchaText 2 11 3" xfId="3399" xr:uid="{00000000-0005-0000-0000-0000D4060000}"/>
    <cellStyle name="SAPBEXchaText 2 11 4" xfId="4490" xr:uid="{00000000-0005-0000-0000-0000D5060000}"/>
    <cellStyle name="SAPBEXchaText 2 12" xfId="805" xr:uid="{00000000-0005-0000-0000-0000D6060000}"/>
    <cellStyle name="SAPBEXchaText 2 12 2" xfId="2098" xr:uid="{00000000-0005-0000-0000-0000D7060000}"/>
    <cellStyle name="SAPBEXchaText 2 12 3" xfId="3400" xr:uid="{00000000-0005-0000-0000-0000D8060000}"/>
    <cellStyle name="SAPBEXchaText 2 12 4" xfId="4491" xr:uid="{00000000-0005-0000-0000-0000D9060000}"/>
    <cellStyle name="SAPBEXchaText 2 13" xfId="806" xr:uid="{00000000-0005-0000-0000-0000DA060000}"/>
    <cellStyle name="SAPBEXchaText 2 13 2" xfId="2099" xr:uid="{00000000-0005-0000-0000-0000DB060000}"/>
    <cellStyle name="SAPBEXchaText 2 13 3" xfId="3401" xr:uid="{00000000-0005-0000-0000-0000DC060000}"/>
    <cellStyle name="SAPBEXchaText 2 13 4" xfId="4492" xr:uid="{00000000-0005-0000-0000-0000DD060000}"/>
    <cellStyle name="SAPBEXchaText 2 14" xfId="2095" xr:uid="{00000000-0005-0000-0000-0000DE060000}"/>
    <cellStyle name="SAPBEXchaText 2 15" xfId="3397" xr:uid="{00000000-0005-0000-0000-0000DF060000}"/>
    <cellStyle name="SAPBEXchaText 2 16" xfId="4488" xr:uid="{00000000-0005-0000-0000-0000E0060000}"/>
    <cellStyle name="SAPBEXchaText 2 2" xfId="807" xr:uid="{00000000-0005-0000-0000-0000E1060000}"/>
    <cellStyle name="SAPBEXchaText 2 2 2" xfId="2100" xr:uid="{00000000-0005-0000-0000-0000E2060000}"/>
    <cellStyle name="SAPBEXchaText 2 2 3" xfId="3402" xr:uid="{00000000-0005-0000-0000-0000E3060000}"/>
    <cellStyle name="SAPBEXchaText 2 2 4" xfId="4493" xr:uid="{00000000-0005-0000-0000-0000E4060000}"/>
    <cellStyle name="SAPBEXchaText 2 3" xfId="808" xr:uid="{00000000-0005-0000-0000-0000E5060000}"/>
    <cellStyle name="SAPBEXchaText 2 3 2" xfId="2101" xr:uid="{00000000-0005-0000-0000-0000E6060000}"/>
    <cellStyle name="SAPBEXchaText 2 3 3" xfId="3403" xr:uid="{00000000-0005-0000-0000-0000E7060000}"/>
    <cellStyle name="SAPBEXchaText 2 3 4" xfId="4494" xr:uid="{00000000-0005-0000-0000-0000E8060000}"/>
    <cellStyle name="SAPBEXchaText 2 4" xfId="809" xr:uid="{00000000-0005-0000-0000-0000E9060000}"/>
    <cellStyle name="SAPBEXchaText 2 4 2" xfId="2102" xr:uid="{00000000-0005-0000-0000-0000EA060000}"/>
    <cellStyle name="SAPBEXchaText 2 4 3" xfId="3404" xr:uid="{00000000-0005-0000-0000-0000EB060000}"/>
    <cellStyle name="SAPBEXchaText 2 4 4" xfId="4495" xr:uid="{00000000-0005-0000-0000-0000EC060000}"/>
    <cellStyle name="SAPBEXchaText 2 5" xfId="810" xr:uid="{00000000-0005-0000-0000-0000ED060000}"/>
    <cellStyle name="SAPBEXchaText 2 5 2" xfId="2103" xr:uid="{00000000-0005-0000-0000-0000EE060000}"/>
    <cellStyle name="SAPBEXchaText 2 5 3" xfId="3405" xr:uid="{00000000-0005-0000-0000-0000EF060000}"/>
    <cellStyle name="SAPBEXchaText 2 5 4" xfId="4496" xr:uid="{00000000-0005-0000-0000-0000F0060000}"/>
    <cellStyle name="SAPBEXchaText 2 6" xfId="811" xr:uid="{00000000-0005-0000-0000-0000F1060000}"/>
    <cellStyle name="SAPBEXchaText 2 6 2" xfId="2104" xr:uid="{00000000-0005-0000-0000-0000F2060000}"/>
    <cellStyle name="SAPBEXchaText 2 6 3" xfId="3406" xr:uid="{00000000-0005-0000-0000-0000F3060000}"/>
    <cellStyle name="SAPBEXchaText 2 6 4" xfId="4497" xr:uid="{00000000-0005-0000-0000-0000F4060000}"/>
    <cellStyle name="SAPBEXchaText 2 7" xfId="812" xr:uid="{00000000-0005-0000-0000-0000F5060000}"/>
    <cellStyle name="SAPBEXchaText 2 7 2" xfId="2105" xr:uid="{00000000-0005-0000-0000-0000F6060000}"/>
    <cellStyle name="SAPBEXchaText 2 7 3" xfId="3407" xr:uid="{00000000-0005-0000-0000-0000F7060000}"/>
    <cellStyle name="SAPBEXchaText 2 7 4" xfId="4498" xr:uid="{00000000-0005-0000-0000-0000F8060000}"/>
    <cellStyle name="SAPBEXchaText 2 8" xfId="813" xr:uid="{00000000-0005-0000-0000-0000F9060000}"/>
    <cellStyle name="SAPBEXchaText 2 8 2" xfId="2106" xr:uid="{00000000-0005-0000-0000-0000FA060000}"/>
    <cellStyle name="SAPBEXchaText 2 8 3" xfId="3408" xr:uid="{00000000-0005-0000-0000-0000FB060000}"/>
    <cellStyle name="SAPBEXchaText 2 8 4" xfId="4499" xr:uid="{00000000-0005-0000-0000-0000FC060000}"/>
    <cellStyle name="SAPBEXchaText 2 9" xfId="814" xr:uid="{00000000-0005-0000-0000-0000FD060000}"/>
    <cellStyle name="SAPBEXchaText 2 9 2" xfId="2107" xr:uid="{00000000-0005-0000-0000-0000FE060000}"/>
    <cellStyle name="SAPBEXchaText 2 9 3" xfId="3409" xr:uid="{00000000-0005-0000-0000-0000FF060000}"/>
    <cellStyle name="SAPBEXchaText 2 9 4" xfId="4500" xr:uid="{00000000-0005-0000-0000-000000070000}"/>
    <cellStyle name="SAPBEXchaText 3" xfId="815" xr:uid="{00000000-0005-0000-0000-000001070000}"/>
    <cellStyle name="SAPBEXchaText 3 2" xfId="2108" xr:uid="{00000000-0005-0000-0000-000002070000}"/>
    <cellStyle name="SAPBEXchaText 3 3" xfId="3410" xr:uid="{00000000-0005-0000-0000-000003070000}"/>
    <cellStyle name="SAPBEXchaText 3 4" xfId="4501" xr:uid="{00000000-0005-0000-0000-000004070000}"/>
    <cellStyle name="SAPBEXchaText 4" xfId="816" xr:uid="{00000000-0005-0000-0000-000005070000}"/>
    <cellStyle name="SAPBEXchaText 4 2" xfId="2109" xr:uid="{00000000-0005-0000-0000-000006070000}"/>
    <cellStyle name="SAPBEXchaText 4 3" xfId="3411" xr:uid="{00000000-0005-0000-0000-000007070000}"/>
    <cellStyle name="SAPBEXchaText 4 4" xfId="4502" xr:uid="{00000000-0005-0000-0000-000008070000}"/>
    <cellStyle name="SAPBEXchaText 5" xfId="817" xr:uid="{00000000-0005-0000-0000-000009070000}"/>
    <cellStyle name="SAPBEXchaText 5 2" xfId="2110" xr:uid="{00000000-0005-0000-0000-00000A070000}"/>
    <cellStyle name="SAPBEXchaText 5 3" xfId="3412" xr:uid="{00000000-0005-0000-0000-00000B070000}"/>
    <cellStyle name="SAPBEXchaText 5 4" xfId="4503" xr:uid="{00000000-0005-0000-0000-00000C070000}"/>
    <cellStyle name="SAPBEXchaText 6" xfId="818" xr:uid="{00000000-0005-0000-0000-00000D070000}"/>
    <cellStyle name="SAPBEXchaText 6 2" xfId="2111" xr:uid="{00000000-0005-0000-0000-00000E070000}"/>
    <cellStyle name="SAPBEXchaText 6 3" xfId="3413" xr:uid="{00000000-0005-0000-0000-00000F070000}"/>
    <cellStyle name="SAPBEXchaText 6 4" xfId="4504" xr:uid="{00000000-0005-0000-0000-000010070000}"/>
    <cellStyle name="SAPBEXchaText 7" xfId="819" xr:uid="{00000000-0005-0000-0000-000011070000}"/>
    <cellStyle name="SAPBEXchaText 7 2" xfId="2112" xr:uid="{00000000-0005-0000-0000-000012070000}"/>
    <cellStyle name="SAPBEXchaText 7 3" xfId="3414" xr:uid="{00000000-0005-0000-0000-000013070000}"/>
    <cellStyle name="SAPBEXchaText 7 4" xfId="4505" xr:uid="{00000000-0005-0000-0000-000014070000}"/>
    <cellStyle name="SAPBEXchaText 8" xfId="820" xr:uid="{00000000-0005-0000-0000-000015070000}"/>
    <cellStyle name="SAPBEXchaText 8 2" xfId="2113" xr:uid="{00000000-0005-0000-0000-000016070000}"/>
    <cellStyle name="SAPBEXchaText 8 3" xfId="3415" xr:uid="{00000000-0005-0000-0000-000017070000}"/>
    <cellStyle name="SAPBEXchaText 8 4" xfId="4506" xr:uid="{00000000-0005-0000-0000-000018070000}"/>
    <cellStyle name="SAPBEXchaText 9" xfId="821" xr:uid="{00000000-0005-0000-0000-000019070000}"/>
    <cellStyle name="SAPBEXchaText 9 2" xfId="2114" xr:uid="{00000000-0005-0000-0000-00001A070000}"/>
    <cellStyle name="SAPBEXchaText 9 3" xfId="3416" xr:uid="{00000000-0005-0000-0000-00001B070000}"/>
    <cellStyle name="SAPBEXchaText 9 4" xfId="4507" xr:uid="{00000000-0005-0000-0000-00001C070000}"/>
    <cellStyle name="SAPBEXchaText_DSDW sales report 3rd Party Jan YTD" xfId="822" xr:uid="{00000000-0005-0000-0000-00001D070000}"/>
    <cellStyle name="SAPBEXexcBad7" xfId="7" xr:uid="{00000000-0005-0000-0000-00001E070000}"/>
    <cellStyle name="SAPBEXexcBad7 10" xfId="824" xr:uid="{00000000-0005-0000-0000-00001F070000}"/>
    <cellStyle name="SAPBEXexcBad7 10 2" xfId="2116" xr:uid="{00000000-0005-0000-0000-000020070000}"/>
    <cellStyle name="SAPBEXexcBad7 10 3" xfId="3418" xr:uid="{00000000-0005-0000-0000-000021070000}"/>
    <cellStyle name="SAPBEXexcBad7 10 4" xfId="4509" xr:uid="{00000000-0005-0000-0000-000022070000}"/>
    <cellStyle name="SAPBEXexcBad7 11" xfId="825" xr:uid="{00000000-0005-0000-0000-000023070000}"/>
    <cellStyle name="SAPBEXexcBad7 11 2" xfId="2117" xr:uid="{00000000-0005-0000-0000-000024070000}"/>
    <cellStyle name="SAPBEXexcBad7 11 3" xfId="3419" xr:uid="{00000000-0005-0000-0000-000025070000}"/>
    <cellStyle name="SAPBEXexcBad7 11 4" xfId="4510" xr:uid="{00000000-0005-0000-0000-000026070000}"/>
    <cellStyle name="SAPBEXexcBad7 12" xfId="826" xr:uid="{00000000-0005-0000-0000-000027070000}"/>
    <cellStyle name="SAPBEXexcBad7 12 2" xfId="2118" xr:uid="{00000000-0005-0000-0000-000028070000}"/>
    <cellStyle name="SAPBEXexcBad7 12 3" xfId="3420" xr:uid="{00000000-0005-0000-0000-000029070000}"/>
    <cellStyle name="SAPBEXexcBad7 12 4" xfId="4511" xr:uid="{00000000-0005-0000-0000-00002A070000}"/>
    <cellStyle name="SAPBEXexcBad7 13" xfId="827" xr:uid="{00000000-0005-0000-0000-00002B070000}"/>
    <cellStyle name="SAPBEXexcBad7 13 2" xfId="2119" xr:uid="{00000000-0005-0000-0000-00002C070000}"/>
    <cellStyle name="SAPBEXexcBad7 13 3" xfId="3421" xr:uid="{00000000-0005-0000-0000-00002D070000}"/>
    <cellStyle name="SAPBEXexcBad7 13 4" xfId="4512" xr:uid="{00000000-0005-0000-0000-00002E070000}"/>
    <cellStyle name="SAPBEXexcBad7 14" xfId="828" xr:uid="{00000000-0005-0000-0000-00002F070000}"/>
    <cellStyle name="SAPBEXexcBad7 14 2" xfId="2120" xr:uid="{00000000-0005-0000-0000-000030070000}"/>
    <cellStyle name="SAPBEXexcBad7 14 3" xfId="3422" xr:uid="{00000000-0005-0000-0000-000031070000}"/>
    <cellStyle name="SAPBEXexcBad7 14 4" xfId="4513" xr:uid="{00000000-0005-0000-0000-000032070000}"/>
    <cellStyle name="SAPBEXexcBad7 15" xfId="2115" xr:uid="{00000000-0005-0000-0000-000033070000}"/>
    <cellStyle name="SAPBEXexcBad7 16" xfId="3417" xr:uid="{00000000-0005-0000-0000-000034070000}"/>
    <cellStyle name="SAPBEXexcBad7 17" xfId="4508" xr:uid="{00000000-0005-0000-0000-000035070000}"/>
    <cellStyle name="SAPBEXexcBad7 2" xfId="823" xr:uid="{00000000-0005-0000-0000-000036070000}"/>
    <cellStyle name="SAPBEXexcBad7 2 10" xfId="829" xr:uid="{00000000-0005-0000-0000-000037070000}"/>
    <cellStyle name="SAPBEXexcBad7 2 10 2" xfId="2122" xr:uid="{00000000-0005-0000-0000-000038070000}"/>
    <cellStyle name="SAPBEXexcBad7 2 10 3" xfId="3424" xr:uid="{00000000-0005-0000-0000-000039070000}"/>
    <cellStyle name="SAPBEXexcBad7 2 10 4" xfId="4515" xr:uid="{00000000-0005-0000-0000-00003A070000}"/>
    <cellStyle name="SAPBEXexcBad7 2 11" xfId="830" xr:uid="{00000000-0005-0000-0000-00003B070000}"/>
    <cellStyle name="SAPBEXexcBad7 2 11 2" xfId="2123" xr:uid="{00000000-0005-0000-0000-00003C070000}"/>
    <cellStyle name="SAPBEXexcBad7 2 11 3" xfId="3425" xr:uid="{00000000-0005-0000-0000-00003D070000}"/>
    <cellStyle name="SAPBEXexcBad7 2 11 4" xfId="4516" xr:uid="{00000000-0005-0000-0000-00003E070000}"/>
    <cellStyle name="SAPBEXexcBad7 2 12" xfId="831" xr:uid="{00000000-0005-0000-0000-00003F070000}"/>
    <cellStyle name="SAPBEXexcBad7 2 12 2" xfId="2124" xr:uid="{00000000-0005-0000-0000-000040070000}"/>
    <cellStyle name="SAPBEXexcBad7 2 12 3" xfId="3426" xr:uid="{00000000-0005-0000-0000-000041070000}"/>
    <cellStyle name="SAPBEXexcBad7 2 12 4" xfId="4517" xr:uid="{00000000-0005-0000-0000-000042070000}"/>
    <cellStyle name="SAPBEXexcBad7 2 13" xfId="832" xr:uid="{00000000-0005-0000-0000-000043070000}"/>
    <cellStyle name="SAPBEXexcBad7 2 13 2" xfId="2125" xr:uid="{00000000-0005-0000-0000-000044070000}"/>
    <cellStyle name="SAPBEXexcBad7 2 13 3" xfId="3427" xr:uid="{00000000-0005-0000-0000-000045070000}"/>
    <cellStyle name="SAPBEXexcBad7 2 13 4" xfId="4518" xr:uid="{00000000-0005-0000-0000-000046070000}"/>
    <cellStyle name="SAPBEXexcBad7 2 14" xfId="2121" xr:uid="{00000000-0005-0000-0000-000047070000}"/>
    <cellStyle name="SAPBEXexcBad7 2 15" xfId="3423" xr:uid="{00000000-0005-0000-0000-000048070000}"/>
    <cellStyle name="SAPBEXexcBad7 2 16" xfId="4514" xr:uid="{00000000-0005-0000-0000-000049070000}"/>
    <cellStyle name="SAPBEXexcBad7 2 2" xfId="833" xr:uid="{00000000-0005-0000-0000-00004A070000}"/>
    <cellStyle name="SAPBEXexcBad7 2 2 2" xfId="2126" xr:uid="{00000000-0005-0000-0000-00004B070000}"/>
    <cellStyle name="SAPBEXexcBad7 2 2 3" xfId="3428" xr:uid="{00000000-0005-0000-0000-00004C070000}"/>
    <cellStyle name="SAPBEXexcBad7 2 2 4" xfId="4519" xr:uid="{00000000-0005-0000-0000-00004D070000}"/>
    <cellStyle name="SAPBEXexcBad7 2 3" xfId="834" xr:uid="{00000000-0005-0000-0000-00004E070000}"/>
    <cellStyle name="SAPBEXexcBad7 2 3 2" xfId="2127" xr:uid="{00000000-0005-0000-0000-00004F070000}"/>
    <cellStyle name="SAPBEXexcBad7 2 3 3" xfId="3429" xr:uid="{00000000-0005-0000-0000-000050070000}"/>
    <cellStyle name="SAPBEXexcBad7 2 3 4" xfId="4520" xr:uid="{00000000-0005-0000-0000-000051070000}"/>
    <cellStyle name="SAPBEXexcBad7 2 4" xfId="835" xr:uid="{00000000-0005-0000-0000-000052070000}"/>
    <cellStyle name="SAPBEXexcBad7 2 4 2" xfId="2128" xr:uid="{00000000-0005-0000-0000-000053070000}"/>
    <cellStyle name="SAPBEXexcBad7 2 4 3" xfId="3430" xr:uid="{00000000-0005-0000-0000-000054070000}"/>
    <cellStyle name="SAPBEXexcBad7 2 4 4" xfId="4521" xr:uid="{00000000-0005-0000-0000-000055070000}"/>
    <cellStyle name="SAPBEXexcBad7 2 5" xfId="836" xr:uid="{00000000-0005-0000-0000-000056070000}"/>
    <cellStyle name="SAPBEXexcBad7 2 5 2" xfId="2129" xr:uid="{00000000-0005-0000-0000-000057070000}"/>
    <cellStyle name="SAPBEXexcBad7 2 5 3" xfId="3431" xr:uid="{00000000-0005-0000-0000-000058070000}"/>
    <cellStyle name="SAPBEXexcBad7 2 5 4" xfId="4522" xr:uid="{00000000-0005-0000-0000-000059070000}"/>
    <cellStyle name="SAPBEXexcBad7 2 6" xfId="837" xr:uid="{00000000-0005-0000-0000-00005A070000}"/>
    <cellStyle name="SAPBEXexcBad7 2 6 2" xfId="2130" xr:uid="{00000000-0005-0000-0000-00005B070000}"/>
    <cellStyle name="SAPBEXexcBad7 2 6 3" xfId="3432" xr:uid="{00000000-0005-0000-0000-00005C070000}"/>
    <cellStyle name="SAPBEXexcBad7 2 6 4" xfId="4523" xr:uid="{00000000-0005-0000-0000-00005D070000}"/>
    <cellStyle name="SAPBEXexcBad7 2 7" xfId="838" xr:uid="{00000000-0005-0000-0000-00005E070000}"/>
    <cellStyle name="SAPBEXexcBad7 2 7 2" xfId="2131" xr:uid="{00000000-0005-0000-0000-00005F070000}"/>
    <cellStyle name="SAPBEXexcBad7 2 7 3" xfId="3433" xr:uid="{00000000-0005-0000-0000-000060070000}"/>
    <cellStyle name="SAPBEXexcBad7 2 7 4" xfId="4524" xr:uid="{00000000-0005-0000-0000-000061070000}"/>
    <cellStyle name="SAPBEXexcBad7 2 8" xfId="839" xr:uid="{00000000-0005-0000-0000-000062070000}"/>
    <cellStyle name="SAPBEXexcBad7 2 8 2" xfId="2132" xr:uid="{00000000-0005-0000-0000-000063070000}"/>
    <cellStyle name="SAPBEXexcBad7 2 8 3" xfId="3434" xr:uid="{00000000-0005-0000-0000-000064070000}"/>
    <cellStyle name="SAPBEXexcBad7 2 8 4" xfId="4525" xr:uid="{00000000-0005-0000-0000-000065070000}"/>
    <cellStyle name="SAPBEXexcBad7 2 9" xfId="840" xr:uid="{00000000-0005-0000-0000-000066070000}"/>
    <cellStyle name="SAPBEXexcBad7 2 9 2" xfId="2133" xr:uid="{00000000-0005-0000-0000-000067070000}"/>
    <cellStyle name="SAPBEXexcBad7 2 9 3" xfId="3435" xr:uid="{00000000-0005-0000-0000-000068070000}"/>
    <cellStyle name="SAPBEXexcBad7 2 9 4" xfId="4526" xr:uid="{00000000-0005-0000-0000-000069070000}"/>
    <cellStyle name="SAPBEXexcBad7 3" xfId="841" xr:uid="{00000000-0005-0000-0000-00006A070000}"/>
    <cellStyle name="SAPBEXexcBad7 3 2" xfId="2134" xr:uid="{00000000-0005-0000-0000-00006B070000}"/>
    <cellStyle name="SAPBEXexcBad7 3 3" xfId="3436" xr:uid="{00000000-0005-0000-0000-00006C070000}"/>
    <cellStyle name="SAPBEXexcBad7 3 4" xfId="4527" xr:uid="{00000000-0005-0000-0000-00006D070000}"/>
    <cellStyle name="SAPBEXexcBad7 4" xfId="842" xr:uid="{00000000-0005-0000-0000-00006E070000}"/>
    <cellStyle name="SAPBEXexcBad7 4 2" xfId="2135" xr:uid="{00000000-0005-0000-0000-00006F070000}"/>
    <cellStyle name="SAPBEXexcBad7 4 3" xfId="3437" xr:uid="{00000000-0005-0000-0000-000070070000}"/>
    <cellStyle name="SAPBEXexcBad7 4 4" xfId="4528" xr:uid="{00000000-0005-0000-0000-000071070000}"/>
    <cellStyle name="SAPBEXexcBad7 5" xfId="843" xr:uid="{00000000-0005-0000-0000-000072070000}"/>
    <cellStyle name="SAPBEXexcBad7 5 2" xfId="2136" xr:uid="{00000000-0005-0000-0000-000073070000}"/>
    <cellStyle name="SAPBEXexcBad7 5 3" xfId="3438" xr:uid="{00000000-0005-0000-0000-000074070000}"/>
    <cellStyle name="SAPBEXexcBad7 5 4" xfId="4529" xr:uid="{00000000-0005-0000-0000-000075070000}"/>
    <cellStyle name="SAPBEXexcBad7 6" xfId="844" xr:uid="{00000000-0005-0000-0000-000076070000}"/>
    <cellStyle name="SAPBEXexcBad7 6 2" xfId="2137" xr:uid="{00000000-0005-0000-0000-000077070000}"/>
    <cellStyle name="SAPBEXexcBad7 6 3" xfId="3439" xr:uid="{00000000-0005-0000-0000-000078070000}"/>
    <cellStyle name="SAPBEXexcBad7 6 4" xfId="4530" xr:uid="{00000000-0005-0000-0000-000079070000}"/>
    <cellStyle name="SAPBEXexcBad7 7" xfId="845" xr:uid="{00000000-0005-0000-0000-00007A070000}"/>
    <cellStyle name="SAPBEXexcBad7 7 2" xfId="2138" xr:uid="{00000000-0005-0000-0000-00007B070000}"/>
    <cellStyle name="SAPBEXexcBad7 7 3" xfId="3440" xr:uid="{00000000-0005-0000-0000-00007C070000}"/>
    <cellStyle name="SAPBEXexcBad7 7 4" xfId="4531" xr:uid="{00000000-0005-0000-0000-00007D070000}"/>
    <cellStyle name="SAPBEXexcBad7 8" xfId="846" xr:uid="{00000000-0005-0000-0000-00007E070000}"/>
    <cellStyle name="SAPBEXexcBad7 8 2" xfId="2139" xr:uid="{00000000-0005-0000-0000-00007F070000}"/>
    <cellStyle name="SAPBEXexcBad7 8 3" xfId="3441" xr:uid="{00000000-0005-0000-0000-000080070000}"/>
    <cellStyle name="SAPBEXexcBad7 8 4" xfId="4532" xr:uid="{00000000-0005-0000-0000-000081070000}"/>
    <cellStyle name="SAPBEXexcBad7 9" xfId="847" xr:uid="{00000000-0005-0000-0000-000082070000}"/>
    <cellStyle name="SAPBEXexcBad7 9 2" xfId="2140" xr:uid="{00000000-0005-0000-0000-000083070000}"/>
    <cellStyle name="SAPBEXexcBad7 9 3" xfId="3442" xr:uid="{00000000-0005-0000-0000-000084070000}"/>
    <cellStyle name="SAPBEXexcBad7 9 4" xfId="4533" xr:uid="{00000000-0005-0000-0000-000085070000}"/>
    <cellStyle name="SAPBEXexcBad8" xfId="8" xr:uid="{00000000-0005-0000-0000-000086070000}"/>
    <cellStyle name="SAPBEXexcBad8 10" xfId="849" xr:uid="{00000000-0005-0000-0000-000087070000}"/>
    <cellStyle name="SAPBEXexcBad8 10 2" xfId="2142" xr:uid="{00000000-0005-0000-0000-000088070000}"/>
    <cellStyle name="SAPBEXexcBad8 10 3" xfId="3444" xr:uid="{00000000-0005-0000-0000-000089070000}"/>
    <cellStyle name="SAPBEXexcBad8 10 4" xfId="4535" xr:uid="{00000000-0005-0000-0000-00008A070000}"/>
    <cellStyle name="SAPBEXexcBad8 11" xfId="850" xr:uid="{00000000-0005-0000-0000-00008B070000}"/>
    <cellStyle name="SAPBEXexcBad8 11 2" xfId="2143" xr:uid="{00000000-0005-0000-0000-00008C070000}"/>
    <cellStyle name="SAPBEXexcBad8 11 3" xfId="3445" xr:uid="{00000000-0005-0000-0000-00008D070000}"/>
    <cellStyle name="SAPBEXexcBad8 11 4" xfId="4536" xr:uid="{00000000-0005-0000-0000-00008E070000}"/>
    <cellStyle name="SAPBEXexcBad8 12" xfId="851" xr:uid="{00000000-0005-0000-0000-00008F070000}"/>
    <cellStyle name="SAPBEXexcBad8 12 2" xfId="2144" xr:uid="{00000000-0005-0000-0000-000090070000}"/>
    <cellStyle name="SAPBEXexcBad8 12 3" xfId="3446" xr:uid="{00000000-0005-0000-0000-000091070000}"/>
    <cellStyle name="SAPBEXexcBad8 12 4" xfId="4537" xr:uid="{00000000-0005-0000-0000-000092070000}"/>
    <cellStyle name="SAPBEXexcBad8 13" xfId="852" xr:uid="{00000000-0005-0000-0000-000093070000}"/>
    <cellStyle name="SAPBEXexcBad8 13 2" xfId="2145" xr:uid="{00000000-0005-0000-0000-000094070000}"/>
    <cellStyle name="SAPBEXexcBad8 13 3" xfId="3447" xr:uid="{00000000-0005-0000-0000-000095070000}"/>
    <cellStyle name="SAPBEXexcBad8 13 4" xfId="4538" xr:uid="{00000000-0005-0000-0000-000096070000}"/>
    <cellStyle name="SAPBEXexcBad8 14" xfId="853" xr:uid="{00000000-0005-0000-0000-000097070000}"/>
    <cellStyle name="SAPBEXexcBad8 14 2" xfId="2146" xr:uid="{00000000-0005-0000-0000-000098070000}"/>
    <cellStyle name="SAPBEXexcBad8 14 3" xfId="3448" xr:uid="{00000000-0005-0000-0000-000099070000}"/>
    <cellStyle name="SAPBEXexcBad8 14 4" xfId="4539" xr:uid="{00000000-0005-0000-0000-00009A070000}"/>
    <cellStyle name="SAPBEXexcBad8 15" xfId="2141" xr:uid="{00000000-0005-0000-0000-00009B070000}"/>
    <cellStyle name="SAPBEXexcBad8 16" xfId="3443" xr:uid="{00000000-0005-0000-0000-00009C070000}"/>
    <cellStyle name="SAPBEXexcBad8 17" xfId="4534" xr:uid="{00000000-0005-0000-0000-00009D070000}"/>
    <cellStyle name="SAPBEXexcBad8 2" xfId="848" xr:uid="{00000000-0005-0000-0000-00009E070000}"/>
    <cellStyle name="SAPBEXexcBad8 2 10" xfId="854" xr:uid="{00000000-0005-0000-0000-00009F070000}"/>
    <cellStyle name="SAPBEXexcBad8 2 10 2" xfId="2148" xr:uid="{00000000-0005-0000-0000-0000A0070000}"/>
    <cellStyle name="SAPBEXexcBad8 2 10 3" xfId="3450" xr:uid="{00000000-0005-0000-0000-0000A1070000}"/>
    <cellStyle name="SAPBEXexcBad8 2 10 4" xfId="4541" xr:uid="{00000000-0005-0000-0000-0000A2070000}"/>
    <cellStyle name="SAPBEXexcBad8 2 11" xfId="855" xr:uid="{00000000-0005-0000-0000-0000A3070000}"/>
    <cellStyle name="SAPBEXexcBad8 2 11 2" xfId="2149" xr:uid="{00000000-0005-0000-0000-0000A4070000}"/>
    <cellStyle name="SAPBEXexcBad8 2 11 3" xfId="3451" xr:uid="{00000000-0005-0000-0000-0000A5070000}"/>
    <cellStyle name="SAPBEXexcBad8 2 11 4" xfId="4542" xr:uid="{00000000-0005-0000-0000-0000A6070000}"/>
    <cellStyle name="SAPBEXexcBad8 2 12" xfId="856" xr:uid="{00000000-0005-0000-0000-0000A7070000}"/>
    <cellStyle name="SAPBEXexcBad8 2 12 2" xfId="2150" xr:uid="{00000000-0005-0000-0000-0000A8070000}"/>
    <cellStyle name="SAPBEXexcBad8 2 12 3" xfId="3452" xr:uid="{00000000-0005-0000-0000-0000A9070000}"/>
    <cellStyle name="SAPBEXexcBad8 2 12 4" xfId="4543" xr:uid="{00000000-0005-0000-0000-0000AA070000}"/>
    <cellStyle name="SAPBEXexcBad8 2 13" xfId="857" xr:uid="{00000000-0005-0000-0000-0000AB070000}"/>
    <cellStyle name="SAPBEXexcBad8 2 13 2" xfId="2151" xr:uid="{00000000-0005-0000-0000-0000AC070000}"/>
    <cellStyle name="SAPBEXexcBad8 2 13 3" xfId="3453" xr:uid="{00000000-0005-0000-0000-0000AD070000}"/>
    <cellStyle name="SAPBEXexcBad8 2 13 4" xfId="4544" xr:uid="{00000000-0005-0000-0000-0000AE070000}"/>
    <cellStyle name="SAPBEXexcBad8 2 14" xfId="2147" xr:uid="{00000000-0005-0000-0000-0000AF070000}"/>
    <cellStyle name="SAPBEXexcBad8 2 15" xfId="3449" xr:uid="{00000000-0005-0000-0000-0000B0070000}"/>
    <cellStyle name="SAPBEXexcBad8 2 16" xfId="4540" xr:uid="{00000000-0005-0000-0000-0000B1070000}"/>
    <cellStyle name="SAPBEXexcBad8 2 2" xfId="858" xr:uid="{00000000-0005-0000-0000-0000B2070000}"/>
    <cellStyle name="SAPBEXexcBad8 2 2 2" xfId="2152" xr:uid="{00000000-0005-0000-0000-0000B3070000}"/>
    <cellStyle name="SAPBEXexcBad8 2 2 3" xfId="3454" xr:uid="{00000000-0005-0000-0000-0000B4070000}"/>
    <cellStyle name="SAPBEXexcBad8 2 2 4" xfId="4545" xr:uid="{00000000-0005-0000-0000-0000B5070000}"/>
    <cellStyle name="SAPBEXexcBad8 2 3" xfId="859" xr:uid="{00000000-0005-0000-0000-0000B6070000}"/>
    <cellStyle name="SAPBEXexcBad8 2 3 2" xfId="2153" xr:uid="{00000000-0005-0000-0000-0000B7070000}"/>
    <cellStyle name="SAPBEXexcBad8 2 3 3" xfId="3455" xr:uid="{00000000-0005-0000-0000-0000B8070000}"/>
    <cellStyle name="SAPBEXexcBad8 2 3 4" xfId="4546" xr:uid="{00000000-0005-0000-0000-0000B9070000}"/>
    <cellStyle name="SAPBEXexcBad8 2 4" xfId="860" xr:uid="{00000000-0005-0000-0000-0000BA070000}"/>
    <cellStyle name="SAPBEXexcBad8 2 4 2" xfId="2154" xr:uid="{00000000-0005-0000-0000-0000BB070000}"/>
    <cellStyle name="SAPBEXexcBad8 2 4 3" xfId="3456" xr:uid="{00000000-0005-0000-0000-0000BC070000}"/>
    <cellStyle name="SAPBEXexcBad8 2 4 4" xfId="4547" xr:uid="{00000000-0005-0000-0000-0000BD070000}"/>
    <cellStyle name="SAPBEXexcBad8 2 5" xfId="861" xr:uid="{00000000-0005-0000-0000-0000BE070000}"/>
    <cellStyle name="SAPBEXexcBad8 2 5 2" xfId="2155" xr:uid="{00000000-0005-0000-0000-0000BF070000}"/>
    <cellStyle name="SAPBEXexcBad8 2 5 3" xfId="3457" xr:uid="{00000000-0005-0000-0000-0000C0070000}"/>
    <cellStyle name="SAPBEXexcBad8 2 5 4" xfId="4548" xr:uid="{00000000-0005-0000-0000-0000C1070000}"/>
    <cellStyle name="SAPBEXexcBad8 2 6" xfId="862" xr:uid="{00000000-0005-0000-0000-0000C2070000}"/>
    <cellStyle name="SAPBEXexcBad8 2 6 2" xfId="2156" xr:uid="{00000000-0005-0000-0000-0000C3070000}"/>
    <cellStyle name="SAPBEXexcBad8 2 6 3" xfId="3458" xr:uid="{00000000-0005-0000-0000-0000C4070000}"/>
    <cellStyle name="SAPBEXexcBad8 2 6 4" xfId="4549" xr:uid="{00000000-0005-0000-0000-0000C5070000}"/>
    <cellStyle name="SAPBEXexcBad8 2 7" xfId="863" xr:uid="{00000000-0005-0000-0000-0000C6070000}"/>
    <cellStyle name="SAPBEXexcBad8 2 7 2" xfId="2157" xr:uid="{00000000-0005-0000-0000-0000C7070000}"/>
    <cellStyle name="SAPBEXexcBad8 2 7 3" xfId="3459" xr:uid="{00000000-0005-0000-0000-0000C8070000}"/>
    <cellStyle name="SAPBEXexcBad8 2 7 4" xfId="4550" xr:uid="{00000000-0005-0000-0000-0000C9070000}"/>
    <cellStyle name="SAPBEXexcBad8 2 8" xfId="864" xr:uid="{00000000-0005-0000-0000-0000CA070000}"/>
    <cellStyle name="SAPBEXexcBad8 2 8 2" xfId="2158" xr:uid="{00000000-0005-0000-0000-0000CB070000}"/>
    <cellStyle name="SAPBEXexcBad8 2 8 3" xfId="3460" xr:uid="{00000000-0005-0000-0000-0000CC070000}"/>
    <cellStyle name="SAPBEXexcBad8 2 8 4" xfId="4551" xr:uid="{00000000-0005-0000-0000-0000CD070000}"/>
    <cellStyle name="SAPBEXexcBad8 2 9" xfId="865" xr:uid="{00000000-0005-0000-0000-0000CE070000}"/>
    <cellStyle name="SAPBEXexcBad8 2 9 2" xfId="2159" xr:uid="{00000000-0005-0000-0000-0000CF070000}"/>
    <cellStyle name="SAPBEXexcBad8 2 9 3" xfId="3461" xr:uid="{00000000-0005-0000-0000-0000D0070000}"/>
    <cellStyle name="SAPBEXexcBad8 2 9 4" xfId="4552" xr:uid="{00000000-0005-0000-0000-0000D1070000}"/>
    <cellStyle name="SAPBEXexcBad8 3" xfId="866" xr:uid="{00000000-0005-0000-0000-0000D2070000}"/>
    <cellStyle name="SAPBEXexcBad8 3 2" xfId="2160" xr:uid="{00000000-0005-0000-0000-0000D3070000}"/>
    <cellStyle name="SAPBEXexcBad8 3 3" xfId="3462" xr:uid="{00000000-0005-0000-0000-0000D4070000}"/>
    <cellStyle name="SAPBEXexcBad8 3 4" xfId="4553" xr:uid="{00000000-0005-0000-0000-0000D5070000}"/>
    <cellStyle name="SAPBEXexcBad8 4" xfId="867" xr:uid="{00000000-0005-0000-0000-0000D6070000}"/>
    <cellStyle name="SAPBEXexcBad8 4 2" xfId="2161" xr:uid="{00000000-0005-0000-0000-0000D7070000}"/>
    <cellStyle name="SAPBEXexcBad8 4 3" xfId="3463" xr:uid="{00000000-0005-0000-0000-0000D8070000}"/>
    <cellStyle name="SAPBEXexcBad8 4 4" xfId="4554" xr:uid="{00000000-0005-0000-0000-0000D9070000}"/>
    <cellStyle name="SAPBEXexcBad8 5" xfId="868" xr:uid="{00000000-0005-0000-0000-0000DA070000}"/>
    <cellStyle name="SAPBEXexcBad8 5 2" xfId="2162" xr:uid="{00000000-0005-0000-0000-0000DB070000}"/>
    <cellStyle name="SAPBEXexcBad8 5 3" xfId="3464" xr:uid="{00000000-0005-0000-0000-0000DC070000}"/>
    <cellStyle name="SAPBEXexcBad8 5 4" xfId="4555" xr:uid="{00000000-0005-0000-0000-0000DD070000}"/>
    <cellStyle name="SAPBEXexcBad8 6" xfId="869" xr:uid="{00000000-0005-0000-0000-0000DE070000}"/>
    <cellStyle name="SAPBEXexcBad8 6 2" xfId="2163" xr:uid="{00000000-0005-0000-0000-0000DF070000}"/>
    <cellStyle name="SAPBEXexcBad8 6 3" xfId="3465" xr:uid="{00000000-0005-0000-0000-0000E0070000}"/>
    <cellStyle name="SAPBEXexcBad8 6 4" xfId="4556" xr:uid="{00000000-0005-0000-0000-0000E1070000}"/>
    <cellStyle name="SAPBEXexcBad8 7" xfId="870" xr:uid="{00000000-0005-0000-0000-0000E2070000}"/>
    <cellStyle name="SAPBEXexcBad8 7 2" xfId="2164" xr:uid="{00000000-0005-0000-0000-0000E3070000}"/>
    <cellStyle name="SAPBEXexcBad8 7 3" xfId="3466" xr:uid="{00000000-0005-0000-0000-0000E4070000}"/>
    <cellStyle name="SAPBEXexcBad8 7 4" xfId="4557" xr:uid="{00000000-0005-0000-0000-0000E5070000}"/>
    <cellStyle name="SAPBEXexcBad8 8" xfId="871" xr:uid="{00000000-0005-0000-0000-0000E6070000}"/>
    <cellStyle name="SAPBEXexcBad8 8 2" xfId="2165" xr:uid="{00000000-0005-0000-0000-0000E7070000}"/>
    <cellStyle name="SAPBEXexcBad8 8 3" xfId="3467" xr:uid="{00000000-0005-0000-0000-0000E8070000}"/>
    <cellStyle name="SAPBEXexcBad8 8 4" xfId="4558" xr:uid="{00000000-0005-0000-0000-0000E9070000}"/>
    <cellStyle name="SAPBEXexcBad8 9" xfId="872" xr:uid="{00000000-0005-0000-0000-0000EA070000}"/>
    <cellStyle name="SAPBEXexcBad8 9 2" xfId="2166" xr:uid="{00000000-0005-0000-0000-0000EB070000}"/>
    <cellStyle name="SAPBEXexcBad8 9 3" xfId="3468" xr:uid="{00000000-0005-0000-0000-0000EC070000}"/>
    <cellStyle name="SAPBEXexcBad8 9 4" xfId="4559" xr:uid="{00000000-0005-0000-0000-0000ED070000}"/>
    <cellStyle name="SAPBEXexcBad9" xfId="9" xr:uid="{00000000-0005-0000-0000-0000EE070000}"/>
    <cellStyle name="SAPBEXexcBad9 10" xfId="874" xr:uid="{00000000-0005-0000-0000-0000EF070000}"/>
    <cellStyle name="SAPBEXexcBad9 10 2" xfId="2168" xr:uid="{00000000-0005-0000-0000-0000F0070000}"/>
    <cellStyle name="SAPBEXexcBad9 10 3" xfId="3470" xr:uid="{00000000-0005-0000-0000-0000F1070000}"/>
    <cellStyle name="SAPBEXexcBad9 10 4" xfId="4561" xr:uid="{00000000-0005-0000-0000-0000F2070000}"/>
    <cellStyle name="SAPBEXexcBad9 11" xfId="875" xr:uid="{00000000-0005-0000-0000-0000F3070000}"/>
    <cellStyle name="SAPBEXexcBad9 11 2" xfId="2169" xr:uid="{00000000-0005-0000-0000-0000F4070000}"/>
    <cellStyle name="SAPBEXexcBad9 11 3" xfId="3471" xr:uid="{00000000-0005-0000-0000-0000F5070000}"/>
    <cellStyle name="SAPBEXexcBad9 11 4" xfId="4562" xr:uid="{00000000-0005-0000-0000-0000F6070000}"/>
    <cellStyle name="SAPBEXexcBad9 12" xfId="876" xr:uid="{00000000-0005-0000-0000-0000F7070000}"/>
    <cellStyle name="SAPBEXexcBad9 12 2" xfId="2170" xr:uid="{00000000-0005-0000-0000-0000F8070000}"/>
    <cellStyle name="SAPBEXexcBad9 12 3" xfId="3472" xr:uid="{00000000-0005-0000-0000-0000F9070000}"/>
    <cellStyle name="SAPBEXexcBad9 12 4" xfId="4563" xr:uid="{00000000-0005-0000-0000-0000FA070000}"/>
    <cellStyle name="SAPBEXexcBad9 13" xfId="877" xr:uid="{00000000-0005-0000-0000-0000FB070000}"/>
    <cellStyle name="SAPBEXexcBad9 13 2" xfId="2171" xr:uid="{00000000-0005-0000-0000-0000FC070000}"/>
    <cellStyle name="SAPBEXexcBad9 13 3" xfId="3473" xr:uid="{00000000-0005-0000-0000-0000FD070000}"/>
    <cellStyle name="SAPBEXexcBad9 13 4" xfId="4564" xr:uid="{00000000-0005-0000-0000-0000FE070000}"/>
    <cellStyle name="SAPBEXexcBad9 14" xfId="878" xr:uid="{00000000-0005-0000-0000-0000FF070000}"/>
    <cellStyle name="SAPBEXexcBad9 14 2" xfId="2172" xr:uid="{00000000-0005-0000-0000-000000080000}"/>
    <cellStyle name="SAPBEXexcBad9 14 3" xfId="3474" xr:uid="{00000000-0005-0000-0000-000001080000}"/>
    <cellStyle name="SAPBEXexcBad9 14 4" xfId="4565" xr:uid="{00000000-0005-0000-0000-000002080000}"/>
    <cellStyle name="SAPBEXexcBad9 15" xfId="2167" xr:uid="{00000000-0005-0000-0000-000003080000}"/>
    <cellStyle name="SAPBEXexcBad9 16" xfId="3469" xr:uid="{00000000-0005-0000-0000-000004080000}"/>
    <cellStyle name="SAPBEXexcBad9 17" xfId="4560" xr:uid="{00000000-0005-0000-0000-000005080000}"/>
    <cellStyle name="SAPBEXexcBad9 2" xfId="873" xr:uid="{00000000-0005-0000-0000-000006080000}"/>
    <cellStyle name="SAPBEXexcBad9 2 10" xfId="879" xr:uid="{00000000-0005-0000-0000-000007080000}"/>
    <cellStyle name="SAPBEXexcBad9 2 10 2" xfId="2174" xr:uid="{00000000-0005-0000-0000-000008080000}"/>
    <cellStyle name="SAPBEXexcBad9 2 10 3" xfId="3476" xr:uid="{00000000-0005-0000-0000-000009080000}"/>
    <cellStyle name="SAPBEXexcBad9 2 10 4" xfId="4567" xr:uid="{00000000-0005-0000-0000-00000A080000}"/>
    <cellStyle name="SAPBEXexcBad9 2 11" xfId="880" xr:uid="{00000000-0005-0000-0000-00000B080000}"/>
    <cellStyle name="SAPBEXexcBad9 2 11 2" xfId="2175" xr:uid="{00000000-0005-0000-0000-00000C080000}"/>
    <cellStyle name="SAPBEXexcBad9 2 11 3" xfId="3477" xr:uid="{00000000-0005-0000-0000-00000D080000}"/>
    <cellStyle name="SAPBEXexcBad9 2 11 4" xfId="4568" xr:uid="{00000000-0005-0000-0000-00000E080000}"/>
    <cellStyle name="SAPBEXexcBad9 2 12" xfId="881" xr:uid="{00000000-0005-0000-0000-00000F080000}"/>
    <cellStyle name="SAPBEXexcBad9 2 12 2" xfId="2176" xr:uid="{00000000-0005-0000-0000-000010080000}"/>
    <cellStyle name="SAPBEXexcBad9 2 12 3" xfId="3478" xr:uid="{00000000-0005-0000-0000-000011080000}"/>
    <cellStyle name="SAPBEXexcBad9 2 12 4" xfId="4569" xr:uid="{00000000-0005-0000-0000-000012080000}"/>
    <cellStyle name="SAPBEXexcBad9 2 13" xfId="882" xr:uid="{00000000-0005-0000-0000-000013080000}"/>
    <cellStyle name="SAPBEXexcBad9 2 13 2" xfId="2177" xr:uid="{00000000-0005-0000-0000-000014080000}"/>
    <cellStyle name="SAPBEXexcBad9 2 13 3" xfId="3479" xr:uid="{00000000-0005-0000-0000-000015080000}"/>
    <cellStyle name="SAPBEXexcBad9 2 13 4" xfId="4570" xr:uid="{00000000-0005-0000-0000-000016080000}"/>
    <cellStyle name="SAPBEXexcBad9 2 14" xfId="2173" xr:uid="{00000000-0005-0000-0000-000017080000}"/>
    <cellStyle name="SAPBEXexcBad9 2 15" xfId="3475" xr:uid="{00000000-0005-0000-0000-000018080000}"/>
    <cellStyle name="SAPBEXexcBad9 2 16" xfId="4566" xr:uid="{00000000-0005-0000-0000-000019080000}"/>
    <cellStyle name="SAPBEXexcBad9 2 2" xfId="883" xr:uid="{00000000-0005-0000-0000-00001A080000}"/>
    <cellStyle name="SAPBEXexcBad9 2 2 2" xfId="2178" xr:uid="{00000000-0005-0000-0000-00001B080000}"/>
    <cellStyle name="SAPBEXexcBad9 2 2 3" xfId="3480" xr:uid="{00000000-0005-0000-0000-00001C080000}"/>
    <cellStyle name="SAPBEXexcBad9 2 2 4" xfId="4571" xr:uid="{00000000-0005-0000-0000-00001D080000}"/>
    <cellStyle name="SAPBEXexcBad9 2 3" xfId="884" xr:uid="{00000000-0005-0000-0000-00001E080000}"/>
    <cellStyle name="SAPBEXexcBad9 2 3 2" xfId="2179" xr:uid="{00000000-0005-0000-0000-00001F080000}"/>
    <cellStyle name="SAPBEXexcBad9 2 3 3" xfId="3481" xr:uid="{00000000-0005-0000-0000-000020080000}"/>
    <cellStyle name="SAPBEXexcBad9 2 3 4" xfId="4572" xr:uid="{00000000-0005-0000-0000-000021080000}"/>
    <cellStyle name="SAPBEXexcBad9 2 4" xfId="885" xr:uid="{00000000-0005-0000-0000-000022080000}"/>
    <cellStyle name="SAPBEXexcBad9 2 4 2" xfId="2180" xr:uid="{00000000-0005-0000-0000-000023080000}"/>
    <cellStyle name="SAPBEXexcBad9 2 4 3" xfId="3482" xr:uid="{00000000-0005-0000-0000-000024080000}"/>
    <cellStyle name="SAPBEXexcBad9 2 4 4" xfId="4573" xr:uid="{00000000-0005-0000-0000-000025080000}"/>
    <cellStyle name="SAPBEXexcBad9 2 5" xfId="886" xr:uid="{00000000-0005-0000-0000-000026080000}"/>
    <cellStyle name="SAPBEXexcBad9 2 5 2" xfId="2181" xr:uid="{00000000-0005-0000-0000-000027080000}"/>
    <cellStyle name="SAPBEXexcBad9 2 5 3" xfId="3483" xr:uid="{00000000-0005-0000-0000-000028080000}"/>
    <cellStyle name="SAPBEXexcBad9 2 5 4" xfId="4574" xr:uid="{00000000-0005-0000-0000-000029080000}"/>
    <cellStyle name="SAPBEXexcBad9 2 6" xfId="887" xr:uid="{00000000-0005-0000-0000-00002A080000}"/>
    <cellStyle name="SAPBEXexcBad9 2 6 2" xfId="2182" xr:uid="{00000000-0005-0000-0000-00002B080000}"/>
    <cellStyle name="SAPBEXexcBad9 2 6 3" xfId="3484" xr:uid="{00000000-0005-0000-0000-00002C080000}"/>
    <cellStyle name="SAPBEXexcBad9 2 6 4" xfId="4575" xr:uid="{00000000-0005-0000-0000-00002D080000}"/>
    <cellStyle name="SAPBEXexcBad9 2 7" xfId="888" xr:uid="{00000000-0005-0000-0000-00002E080000}"/>
    <cellStyle name="SAPBEXexcBad9 2 7 2" xfId="2183" xr:uid="{00000000-0005-0000-0000-00002F080000}"/>
    <cellStyle name="SAPBEXexcBad9 2 7 3" xfId="3485" xr:uid="{00000000-0005-0000-0000-000030080000}"/>
    <cellStyle name="SAPBEXexcBad9 2 7 4" xfId="4576" xr:uid="{00000000-0005-0000-0000-000031080000}"/>
    <cellStyle name="SAPBEXexcBad9 2 8" xfId="889" xr:uid="{00000000-0005-0000-0000-000032080000}"/>
    <cellStyle name="SAPBEXexcBad9 2 8 2" xfId="2184" xr:uid="{00000000-0005-0000-0000-000033080000}"/>
    <cellStyle name="SAPBEXexcBad9 2 8 3" xfId="3486" xr:uid="{00000000-0005-0000-0000-000034080000}"/>
    <cellStyle name="SAPBEXexcBad9 2 8 4" xfId="4577" xr:uid="{00000000-0005-0000-0000-000035080000}"/>
    <cellStyle name="SAPBEXexcBad9 2 9" xfId="890" xr:uid="{00000000-0005-0000-0000-000036080000}"/>
    <cellStyle name="SAPBEXexcBad9 2 9 2" xfId="2185" xr:uid="{00000000-0005-0000-0000-000037080000}"/>
    <cellStyle name="SAPBEXexcBad9 2 9 3" xfId="3487" xr:uid="{00000000-0005-0000-0000-000038080000}"/>
    <cellStyle name="SAPBEXexcBad9 2 9 4" xfId="4578" xr:uid="{00000000-0005-0000-0000-000039080000}"/>
    <cellStyle name="SAPBEXexcBad9 3" xfId="891" xr:uid="{00000000-0005-0000-0000-00003A080000}"/>
    <cellStyle name="SAPBEXexcBad9 3 2" xfId="2186" xr:uid="{00000000-0005-0000-0000-00003B080000}"/>
    <cellStyle name="SAPBEXexcBad9 3 3" xfId="3488" xr:uid="{00000000-0005-0000-0000-00003C080000}"/>
    <cellStyle name="SAPBEXexcBad9 3 4" xfId="4579" xr:uid="{00000000-0005-0000-0000-00003D080000}"/>
    <cellStyle name="SAPBEXexcBad9 4" xfId="892" xr:uid="{00000000-0005-0000-0000-00003E080000}"/>
    <cellStyle name="SAPBEXexcBad9 4 2" xfId="2187" xr:uid="{00000000-0005-0000-0000-00003F080000}"/>
    <cellStyle name="SAPBEXexcBad9 4 3" xfId="3489" xr:uid="{00000000-0005-0000-0000-000040080000}"/>
    <cellStyle name="SAPBEXexcBad9 4 4" xfId="4580" xr:uid="{00000000-0005-0000-0000-000041080000}"/>
    <cellStyle name="SAPBEXexcBad9 5" xfId="893" xr:uid="{00000000-0005-0000-0000-000042080000}"/>
    <cellStyle name="SAPBEXexcBad9 5 2" xfId="2188" xr:uid="{00000000-0005-0000-0000-000043080000}"/>
    <cellStyle name="SAPBEXexcBad9 5 3" xfId="3490" xr:uid="{00000000-0005-0000-0000-000044080000}"/>
    <cellStyle name="SAPBEXexcBad9 5 4" xfId="4581" xr:uid="{00000000-0005-0000-0000-000045080000}"/>
    <cellStyle name="SAPBEXexcBad9 6" xfId="894" xr:uid="{00000000-0005-0000-0000-000046080000}"/>
    <cellStyle name="SAPBEXexcBad9 6 2" xfId="2189" xr:uid="{00000000-0005-0000-0000-000047080000}"/>
    <cellStyle name="SAPBEXexcBad9 6 3" xfId="3491" xr:uid="{00000000-0005-0000-0000-000048080000}"/>
    <cellStyle name="SAPBEXexcBad9 6 4" xfId="4582" xr:uid="{00000000-0005-0000-0000-000049080000}"/>
    <cellStyle name="SAPBEXexcBad9 7" xfId="895" xr:uid="{00000000-0005-0000-0000-00004A080000}"/>
    <cellStyle name="SAPBEXexcBad9 7 2" xfId="2190" xr:uid="{00000000-0005-0000-0000-00004B080000}"/>
    <cellStyle name="SAPBEXexcBad9 7 3" xfId="3492" xr:uid="{00000000-0005-0000-0000-00004C080000}"/>
    <cellStyle name="SAPBEXexcBad9 7 4" xfId="4583" xr:uid="{00000000-0005-0000-0000-00004D080000}"/>
    <cellStyle name="SAPBEXexcBad9 8" xfId="896" xr:uid="{00000000-0005-0000-0000-00004E080000}"/>
    <cellStyle name="SAPBEXexcBad9 8 2" xfId="2191" xr:uid="{00000000-0005-0000-0000-00004F080000}"/>
    <cellStyle name="SAPBEXexcBad9 8 3" xfId="3493" xr:uid="{00000000-0005-0000-0000-000050080000}"/>
    <cellStyle name="SAPBEXexcBad9 8 4" xfId="4584" xr:uid="{00000000-0005-0000-0000-000051080000}"/>
    <cellStyle name="SAPBEXexcBad9 9" xfId="897" xr:uid="{00000000-0005-0000-0000-000052080000}"/>
    <cellStyle name="SAPBEXexcBad9 9 2" xfId="2192" xr:uid="{00000000-0005-0000-0000-000053080000}"/>
    <cellStyle name="SAPBEXexcBad9 9 3" xfId="3494" xr:uid="{00000000-0005-0000-0000-000054080000}"/>
    <cellStyle name="SAPBEXexcBad9 9 4" xfId="4585" xr:uid="{00000000-0005-0000-0000-000055080000}"/>
    <cellStyle name="SAPBEXexcCritical4" xfId="10" xr:uid="{00000000-0005-0000-0000-000056080000}"/>
    <cellStyle name="SAPBEXexcCritical4 10" xfId="899" xr:uid="{00000000-0005-0000-0000-000057080000}"/>
    <cellStyle name="SAPBEXexcCritical4 10 2" xfId="2194" xr:uid="{00000000-0005-0000-0000-000058080000}"/>
    <cellStyle name="SAPBEXexcCritical4 10 3" xfId="3496" xr:uid="{00000000-0005-0000-0000-000059080000}"/>
    <cellStyle name="SAPBEXexcCritical4 10 4" xfId="4587" xr:uid="{00000000-0005-0000-0000-00005A080000}"/>
    <cellStyle name="SAPBEXexcCritical4 11" xfId="900" xr:uid="{00000000-0005-0000-0000-00005B080000}"/>
    <cellStyle name="SAPBEXexcCritical4 11 2" xfId="2195" xr:uid="{00000000-0005-0000-0000-00005C080000}"/>
    <cellStyle name="SAPBEXexcCritical4 11 3" xfId="3497" xr:uid="{00000000-0005-0000-0000-00005D080000}"/>
    <cellStyle name="SAPBEXexcCritical4 11 4" xfId="4588" xr:uid="{00000000-0005-0000-0000-00005E080000}"/>
    <cellStyle name="SAPBEXexcCritical4 12" xfId="901" xr:uid="{00000000-0005-0000-0000-00005F080000}"/>
    <cellStyle name="SAPBEXexcCritical4 12 2" xfId="2196" xr:uid="{00000000-0005-0000-0000-000060080000}"/>
    <cellStyle name="SAPBEXexcCritical4 12 3" xfId="3498" xr:uid="{00000000-0005-0000-0000-000061080000}"/>
    <cellStyle name="SAPBEXexcCritical4 12 4" xfId="4589" xr:uid="{00000000-0005-0000-0000-000062080000}"/>
    <cellStyle name="SAPBEXexcCritical4 13" xfId="902" xr:uid="{00000000-0005-0000-0000-000063080000}"/>
    <cellStyle name="SAPBEXexcCritical4 13 2" xfId="2197" xr:uid="{00000000-0005-0000-0000-000064080000}"/>
    <cellStyle name="SAPBEXexcCritical4 13 3" xfId="3499" xr:uid="{00000000-0005-0000-0000-000065080000}"/>
    <cellStyle name="SAPBEXexcCritical4 13 4" xfId="4590" xr:uid="{00000000-0005-0000-0000-000066080000}"/>
    <cellStyle name="SAPBEXexcCritical4 14" xfId="903" xr:uid="{00000000-0005-0000-0000-000067080000}"/>
    <cellStyle name="SAPBEXexcCritical4 14 2" xfId="2198" xr:uid="{00000000-0005-0000-0000-000068080000}"/>
    <cellStyle name="SAPBEXexcCritical4 14 3" xfId="3500" xr:uid="{00000000-0005-0000-0000-000069080000}"/>
    <cellStyle name="SAPBEXexcCritical4 14 4" xfId="4591" xr:uid="{00000000-0005-0000-0000-00006A080000}"/>
    <cellStyle name="SAPBEXexcCritical4 15" xfId="2193" xr:uid="{00000000-0005-0000-0000-00006B080000}"/>
    <cellStyle name="SAPBEXexcCritical4 16" xfId="3495" xr:uid="{00000000-0005-0000-0000-00006C080000}"/>
    <cellStyle name="SAPBEXexcCritical4 17" xfId="4586" xr:uid="{00000000-0005-0000-0000-00006D080000}"/>
    <cellStyle name="SAPBEXexcCritical4 2" xfId="898" xr:uid="{00000000-0005-0000-0000-00006E080000}"/>
    <cellStyle name="SAPBEXexcCritical4 2 10" xfId="904" xr:uid="{00000000-0005-0000-0000-00006F080000}"/>
    <cellStyle name="SAPBEXexcCritical4 2 10 2" xfId="2200" xr:uid="{00000000-0005-0000-0000-000070080000}"/>
    <cellStyle name="SAPBEXexcCritical4 2 10 3" xfId="3502" xr:uid="{00000000-0005-0000-0000-000071080000}"/>
    <cellStyle name="SAPBEXexcCritical4 2 10 4" xfId="4593" xr:uid="{00000000-0005-0000-0000-000072080000}"/>
    <cellStyle name="SAPBEXexcCritical4 2 11" xfId="905" xr:uid="{00000000-0005-0000-0000-000073080000}"/>
    <cellStyle name="SAPBEXexcCritical4 2 11 2" xfId="2201" xr:uid="{00000000-0005-0000-0000-000074080000}"/>
    <cellStyle name="SAPBEXexcCritical4 2 11 3" xfId="3503" xr:uid="{00000000-0005-0000-0000-000075080000}"/>
    <cellStyle name="SAPBEXexcCritical4 2 11 4" xfId="4594" xr:uid="{00000000-0005-0000-0000-000076080000}"/>
    <cellStyle name="SAPBEXexcCritical4 2 12" xfId="906" xr:uid="{00000000-0005-0000-0000-000077080000}"/>
    <cellStyle name="SAPBEXexcCritical4 2 12 2" xfId="2202" xr:uid="{00000000-0005-0000-0000-000078080000}"/>
    <cellStyle name="SAPBEXexcCritical4 2 12 3" xfId="3504" xr:uid="{00000000-0005-0000-0000-000079080000}"/>
    <cellStyle name="SAPBEXexcCritical4 2 12 4" xfId="4595" xr:uid="{00000000-0005-0000-0000-00007A080000}"/>
    <cellStyle name="SAPBEXexcCritical4 2 13" xfId="907" xr:uid="{00000000-0005-0000-0000-00007B080000}"/>
    <cellStyle name="SAPBEXexcCritical4 2 13 2" xfId="2203" xr:uid="{00000000-0005-0000-0000-00007C080000}"/>
    <cellStyle name="SAPBEXexcCritical4 2 13 3" xfId="3505" xr:uid="{00000000-0005-0000-0000-00007D080000}"/>
    <cellStyle name="SAPBEXexcCritical4 2 13 4" xfId="4596" xr:uid="{00000000-0005-0000-0000-00007E080000}"/>
    <cellStyle name="SAPBEXexcCritical4 2 14" xfId="2199" xr:uid="{00000000-0005-0000-0000-00007F080000}"/>
    <cellStyle name="SAPBEXexcCritical4 2 15" xfId="3501" xr:uid="{00000000-0005-0000-0000-000080080000}"/>
    <cellStyle name="SAPBEXexcCritical4 2 16" xfId="4592" xr:uid="{00000000-0005-0000-0000-000081080000}"/>
    <cellStyle name="SAPBEXexcCritical4 2 2" xfId="908" xr:uid="{00000000-0005-0000-0000-000082080000}"/>
    <cellStyle name="SAPBEXexcCritical4 2 2 2" xfId="2204" xr:uid="{00000000-0005-0000-0000-000083080000}"/>
    <cellStyle name="SAPBEXexcCritical4 2 2 3" xfId="3506" xr:uid="{00000000-0005-0000-0000-000084080000}"/>
    <cellStyle name="SAPBEXexcCritical4 2 2 4" xfId="4597" xr:uid="{00000000-0005-0000-0000-000085080000}"/>
    <cellStyle name="SAPBEXexcCritical4 2 3" xfId="909" xr:uid="{00000000-0005-0000-0000-000086080000}"/>
    <cellStyle name="SAPBEXexcCritical4 2 3 2" xfId="2205" xr:uid="{00000000-0005-0000-0000-000087080000}"/>
    <cellStyle name="SAPBEXexcCritical4 2 3 3" xfId="3507" xr:uid="{00000000-0005-0000-0000-000088080000}"/>
    <cellStyle name="SAPBEXexcCritical4 2 3 4" xfId="4598" xr:uid="{00000000-0005-0000-0000-000089080000}"/>
    <cellStyle name="SAPBEXexcCritical4 2 4" xfId="910" xr:uid="{00000000-0005-0000-0000-00008A080000}"/>
    <cellStyle name="SAPBEXexcCritical4 2 4 2" xfId="2206" xr:uid="{00000000-0005-0000-0000-00008B080000}"/>
    <cellStyle name="SAPBEXexcCritical4 2 4 3" xfId="3508" xr:uid="{00000000-0005-0000-0000-00008C080000}"/>
    <cellStyle name="SAPBEXexcCritical4 2 4 4" xfId="4599" xr:uid="{00000000-0005-0000-0000-00008D080000}"/>
    <cellStyle name="SAPBEXexcCritical4 2 5" xfId="911" xr:uid="{00000000-0005-0000-0000-00008E080000}"/>
    <cellStyle name="SAPBEXexcCritical4 2 5 2" xfId="2207" xr:uid="{00000000-0005-0000-0000-00008F080000}"/>
    <cellStyle name="SAPBEXexcCritical4 2 5 3" xfId="3509" xr:uid="{00000000-0005-0000-0000-000090080000}"/>
    <cellStyle name="SAPBEXexcCritical4 2 5 4" xfId="4600" xr:uid="{00000000-0005-0000-0000-000091080000}"/>
    <cellStyle name="SAPBEXexcCritical4 2 6" xfId="912" xr:uid="{00000000-0005-0000-0000-000092080000}"/>
    <cellStyle name="SAPBEXexcCritical4 2 6 2" xfId="2208" xr:uid="{00000000-0005-0000-0000-000093080000}"/>
    <cellStyle name="SAPBEXexcCritical4 2 6 3" xfId="3510" xr:uid="{00000000-0005-0000-0000-000094080000}"/>
    <cellStyle name="SAPBEXexcCritical4 2 6 4" xfId="4601" xr:uid="{00000000-0005-0000-0000-000095080000}"/>
    <cellStyle name="SAPBEXexcCritical4 2 7" xfId="913" xr:uid="{00000000-0005-0000-0000-000096080000}"/>
    <cellStyle name="SAPBEXexcCritical4 2 7 2" xfId="2209" xr:uid="{00000000-0005-0000-0000-000097080000}"/>
    <cellStyle name="SAPBEXexcCritical4 2 7 3" xfId="3511" xr:uid="{00000000-0005-0000-0000-000098080000}"/>
    <cellStyle name="SAPBEXexcCritical4 2 7 4" xfId="4602" xr:uid="{00000000-0005-0000-0000-000099080000}"/>
    <cellStyle name="SAPBEXexcCritical4 2 8" xfId="914" xr:uid="{00000000-0005-0000-0000-00009A080000}"/>
    <cellStyle name="SAPBEXexcCritical4 2 8 2" xfId="2210" xr:uid="{00000000-0005-0000-0000-00009B080000}"/>
    <cellStyle name="SAPBEXexcCritical4 2 8 3" xfId="3512" xr:uid="{00000000-0005-0000-0000-00009C080000}"/>
    <cellStyle name="SAPBEXexcCritical4 2 8 4" xfId="4603" xr:uid="{00000000-0005-0000-0000-00009D080000}"/>
    <cellStyle name="SAPBEXexcCritical4 2 9" xfId="915" xr:uid="{00000000-0005-0000-0000-00009E080000}"/>
    <cellStyle name="SAPBEXexcCritical4 2 9 2" xfId="2211" xr:uid="{00000000-0005-0000-0000-00009F080000}"/>
    <cellStyle name="SAPBEXexcCritical4 2 9 3" xfId="3513" xr:uid="{00000000-0005-0000-0000-0000A0080000}"/>
    <cellStyle name="SAPBEXexcCritical4 2 9 4" xfId="4604" xr:uid="{00000000-0005-0000-0000-0000A1080000}"/>
    <cellStyle name="SAPBEXexcCritical4 3" xfId="916" xr:uid="{00000000-0005-0000-0000-0000A2080000}"/>
    <cellStyle name="SAPBEXexcCritical4 3 2" xfId="2212" xr:uid="{00000000-0005-0000-0000-0000A3080000}"/>
    <cellStyle name="SAPBEXexcCritical4 3 3" xfId="3514" xr:uid="{00000000-0005-0000-0000-0000A4080000}"/>
    <cellStyle name="SAPBEXexcCritical4 3 4" xfId="4605" xr:uid="{00000000-0005-0000-0000-0000A5080000}"/>
    <cellStyle name="SAPBEXexcCritical4 4" xfId="917" xr:uid="{00000000-0005-0000-0000-0000A6080000}"/>
    <cellStyle name="SAPBEXexcCritical4 4 2" xfId="2213" xr:uid="{00000000-0005-0000-0000-0000A7080000}"/>
    <cellStyle name="SAPBEXexcCritical4 4 3" xfId="3515" xr:uid="{00000000-0005-0000-0000-0000A8080000}"/>
    <cellStyle name="SAPBEXexcCritical4 4 4" xfId="4606" xr:uid="{00000000-0005-0000-0000-0000A9080000}"/>
    <cellStyle name="SAPBEXexcCritical4 5" xfId="918" xr:uid="{00000000-0005-0000-0000-0000AA080000}"/>
    <cellStyle name="SAPBEXexcCritical4 5 2" xfId="2214" xr:uid="{00000000-0005-0000-0000-0000AB080000}"/>
    <cellStyle name="SAPBEXexcCritical4 5 3" xfId="3516" xr:uid="{00000000-0005-0000-0000-0000AC080000}"/>
    <cellStyle name="SAPBEXexcCritical4 5 4" xfId="4607" xr:uid="{00000000-0005-0000-0000-0000AD080000}"/>
    <cellStyle name="SAPBEXexcCritical4 6" xfId="919" xr:uid="{00000000-0005-0000-0000-0000AE080000}"/>
    <cellStyle name="SAPBEXexcCritical4 6 2" xfId="2215" xr:uid="{00000000-0005-0000-0000-0000AF080000}"/>
    <cellStyle name="SAPBEXexcCritical4 6 3" xfId="3517" xr:uid="{00000000-0005-0000-0000-0000B0080000}"/>
    <cellStyle name="SAPBEXexcCritical4 6 4" xfId="4608" xr:uid="{00000000-0005-0000-0000-0000B1080000}"/>
    <cellStyle name="SAPBEXexcCritical4 7" xfId="920" xr:uid="{00000000-0005-0000-0000-0000B2080000}"/>
    <cellStyle name="SAPBEXexcCritical4 7 2" xfId="2216" xr:uid="{00000000-0005-0000-0000-0000B3080000}"/>
    <cellStyle name="SAPBEXexcCritical4 7 3" xfId="3518" xr:uid="{00000000-0005-0000-0000-0000B4080000}"/>
    <cellStyle name="SAPBEXexcCritical4 7 4" xfId="4609" xr:uid="{00000000-0005-0000-0000-0000B5080000}"/>
    <cellStyle name="SAPBEXexcCritical4 8" xfId="921" xr:uid="{00000000-0005-0000-0000-0000B6080000}"/>
    <cellStyle name="SAPBEXexcCritical4 8 2" xfId="2217" xr:uid="{00000000-0005-0000-0000-0000B7080000}"/>
    <cellStyle name="SAPBEXexcCritical4 8 3" xfId="3519" xr:uid="{00000000-0005-0000-0000-0000B8080000}"/>
    <cellStyle name="SAPBEXexcCritical4 8 4" xfId="4610" xr:uid="{00000000-0005-0000-0000-0000B9080000}"/>
    <cellStyle name="SAPBEXexcCritical4 9" xfId="922" xr:uid="{00000000-0005-0000-0000-0000BA080000}"/>
    <cellStyle name="SAPBEXexcCritical4 9 2" xfId="2218" xr:uid="{00000000-0005-0000-0000-0000BB080000}"/>
    <cellStyle name="SAPBEXexcCritical4 9 3" xfId="3520" xr:uid="{00000000-0005-0000-0000-0000BC080000}"/>
    <cellStyle name="SAPBEXexcCritical4 9 4" xfId="4611" xr:uid="{00000000-0005-0000-0000-0000BD080000}"/>
    <cellStyle name="SAPBEXexcCritical5" xfId="11" xr:uid="{00000000-0005-0000-0000-0000BE080000}"/>
    <cellStyle name="SAPBEXexcCritical5 10" xfId="924" xr:uid="{00000000-0005-0000-0000-0000BF080000}"/>
    <cellStyle name="SAPBEXexcCritical5 10 2" xfId="2220" xr:uid="{00000000-0005-0000-0000-0000C0080000}"/>
    <cellStyle name="SAPBEXexcCritical5 10 3" xfId="3522" xr:uid="{00000000-0005-0000-0000-0000C1080000}"/>
    <cellStyle name="SAPBEXexcCritical5 10 4" xfId="4613" xr:uid="{00000000-0005-0000-0000-0000C2080000}"/>
    <cellStyle name="SAPBEXexcCritical5 11" xfId="925" xr:uid="{00000000-0005-0000-0000-0000C3080000}"/>
    <cellStyle name="SAPBEXexcCritical5 11 2" xfId="2221" xr:uid="{00000000-0005-0000-0000-0000C4080000}"/>
    <cellStyle name="SAPBEXexcCritical5 11 3" xfId="3523" xr:uid="{00000000-0005-0000-0000-0000C5080000}"/>
    <cellStyle name="SAPBEXexcCritical5 11 4" xfId="4614" xr:uid="{00000000-0005-0000-0000-0000C6080000}"/>
    <cellStyle name="SAPBEXexcCritical5 12" xfId="926" xr:uid="{00000000-0005-0000-0000-0000C7080000}"/>
    <cellStyle name="SAPBEXexcCritical5 12 2" xfId="2222" xr:uid="{00000000-0005-0000-0000-0000C8080000}"/>
    <cellStyle name="SAPBEXexcCritical5 12 3" xfId="3524" xr:uid="{00000000-0005-0000-0000-0000C9080000}"/>
    <cellStyle name="SAPBEXexcCritical5 12 4" xfId="4615" xr:uid="{00000000-0005-0000-0000-0000CA080000}"/>
    <cellStyle name="SAPBEXexcCritical5 13" xfId="927" xr:uid="{00000000-0005-0000-0000-0000CB080000}"/>
    <cellStyle name="SAPBEXexcCritical5 13 2" xfId="2223" xr:uid="{00000000-0005-0000-0000-0000CC080000}"/>
    <cellStyle name="SAPBEXexcCritical5 13 3" xfId="3525" xr:uid="{00000000-0005-0000-0000-0000CD080000}"/>
    <cellStyle name="SAPBEXexcCritical5 13 4" xfId="4616" xr:uid="{00000000-0005-0000-0000-0000CE080000}"/>
    <cellStyle name="SAPBEXexcCritical5 14" xfId="928" xr:uid="{00000000-0005-0000-0000-0000CF080000}"/>
    <cellStyle name="SAPBEXexcCritical5 14 2" xfId="2224" xr:uid="{00000000-0005-0000-0000-0000D0080000}"/>
    <cellStyle name="SAPBEXexcCritical5 14 3" xfId="3526" xr:uid="{00000000-0005-0000-0000-0000D1080000}"/>
    <cellStyle name="SAPBEXexcCritical5 14 4" xfId="4617" xr:uid="{00000000-0005-0000-0000-0000D2080000}"/>
    <cellStyle name="SAPBEXexcCritical5 15" xfId="2219" xr:uid="{00000000-0005-0000-0000-0000D3080000}"/>
    <cellStyle name="SAPBEXexcCritical5 16" xfId="3521" xr:uid="{00000000-0005-0000-0000-0000D4080000}"/>
    <cellStyle name="SAPBEXexcCritical5 17" xfId="4612" xr:uid="{00000000-0005-0000-0000-0000D5080000}"/>
    <cellStyle name="SAPBEXexcCritical5 2" xfId="923" xr:uid="{00000000-0005-0000-0000-0000D6080000}"/>
    <cellStyle name="SAPBEXexcCritical5 2 10" xfId="929" xr:uid="{00000000-0005-0000-0000-0000D7080000}"/>
    <cellStyle name="SAPBEXexcCritical5 2 10 2" xfId="2226" xr:uid="{00000000-0005-0000-0000-0000D8080000}"/>
    <cellStyle name="SAPBEXexcCritical5 2 10 3" xfId="3528" xr:uid="{00000000-0005-0000-0000-0000D9080000}"/>
    <cellStyle name="SAPBEXexcCritical5 2 10 4" xfId="4619" xr:uid="{00000000-0005-0000-0000-0000DA080000}"/>
    <cellStyle name="SAPBEXexcCritical5 2 11" xfId="930" xr:uid="{00000000-0005-0000-0000-0000DB080000}"/>
    <cellStyle name="SAPBEXexcCritical5 2 11 2" xfId="2227" xr:uid="{00000000-0005-0000-0000-0000DC080000}"/>
    <cellStyle name="SAPBEXexcCritical5 2 11 3" xfId="3529" xr:uid="{00000000-0005-0000-0000-0000DD080000}"/>
    <cellStyle name="SAPBEXexcCritical5 2 11 4" xfId="4620" xr:uid="{00000000-0005-0000-0000-0000DE080000}"/>
    <cellStyle name="SAPBEXexcCritical5 2 12" xfId="931" xr:uid="{00000000-0005-0000-0000-0000DF080000}"/>
    <cellStyle name="SAPBEXexcCritical5 2 12 2" xfId="2228" xr:uid="{00000000-0005-0000-0000-0000E0080000}"/>
    <cellStyle name="SAPBEXexcCritical5 2 12 3" xfId="3530" xr:uid="{00000000-0005-0000-0000-0000E1080000}"/>
    <cellStyle name="SAPBEXexcCritical5 2 12 4" xfId="4621" xr:uid="{00000000-0005-0000-0000-0000E2080000}"/>
    <cellStyle name="SAPBEXexcCritical5 2 13" xfId="932" xr:uid="{00000000-0005-0000-0000-0000E3080000}"/>
    <cellStyle name="SAPBEXexcCritical5 2 13 2" xfId="2229" xr:uid="{00000000-0005-0000-0000-0000E4080000}"/>
    <cellStyle name="SAPBEXexcCritical5 2 13 3" xfId="3531" xr:uid="{00000000-0005-0000-0000-0000E5080000}"/>
    <cellStyle name="SAPBEXexcCritical5 2 13 4" xfId="4622" xr:uid="{00000000-0005-0000-0000-0000E6080000}"/>
    <cellStyle name="SAPBEXexcCritical5 2 14" xfId="2225" xr:uid="{00000000-0005-0000-0000-0000E7080000}"/>
    <cellStyle name="SAPBEXexcCritical5 2 15" xfId="3527" xr:uid="{00000000-0005-0000-0000-0000E8080000}"/>
    <cellStyle name="SAPBEXexcCritical5 2 16" xfId="4618" xr:uid="{00000000-0005-0000-0000-0000E9080000}"/>
    <cellStyle name="SAPBEXexcCritical5 2 2" xfId="933" xr:uid="{00000000-0005-0000-0000-0000EA080000}"/>
    <cellStyle name="SAPBEXexcCritical5 2 2 2" xfId="2230" xr:uid="{00000000-0005-0000-0000-0000EB080000}"/>
    <cellStyle name="SAPBEXexcCritical5 2 2 3" xfId="3532" xr:uid="{00000000-0005-0000-0000-0000EC080000}"/>
    <cellStyle name="SAPBEXexcCritical5 2 2 4" xfId="4623" xr:uid="{00000000-0005-0000-0000-0000ED080000}"/>
    <cellStyle name="SAPBEXexcCritical5 2 3" xfId="934" xr:uid="{00000000-0005-0000-0000-0000EE080000}"/>
    <cellStyle name="SAPBEXexcCritical5 2 3 2" xfId="2231" xr:uid="{00000000-0005-0000-0000-0000EF080000}"/>
    <cellStyle name="SAPBEXexcCritical5 2 3 3" xfId="3533" xr:uid="{00000000-0005-0000-0000-0000F0080000}"/>
    <cellStyle name="SAPBEXexcCritical5 2 3 4" xfId="4624" xr:uid="{00000000-0005-0000-0000-0000F1080000}"/>
    <cellStyle name="SAPBEXexcCritical5 2 4" xfId="935" xr:uid="{00000000-0005-0000-0000-0000F2080000}"/>
    <cellStyle name="SAPBEXexcCritical5 2 4 2" xfId="2232" xr:uid="{00000000-0005-0000-0000-0000F3080000}"/>
    <cellStyle name="SAPBEXexcCritical5 2 4 3" xfId="3534" xr:uid="{00000000-0005-0000-0000-0000F4080000}"/>
    <cellStyle name="SAPBEXexcCritical5 2 4 4" xfId="4625" xr:uid="{00000000-0005-0000-0000-0000F5080000}"/>
    <cellStyle name="SAPBEXexcCritical5 2 5" xfId="936" xr:uid="{00000000-0005-0000-0000-0000F6080000}"/>
    <cellStyle name="SAPBEXexcCritical5 2 5 2" xfId="2233" xr:uid="{00000000-0005-0000-0000-0000F7080000}"/>
    <cellStyle name="SAPBEXexcCritical5 2 5 3" xfId="3535" xr:uid="{00000000-0005-0000-0000-0000F8080000}"/>
    <cellStyle name="SAPBEXexcCritical5 2 5 4" xfId="4626" xr:uid="{00000000-0005-0000-0000-0000F9080000}"/>
    <cellStyle name="SAPBEXexcCritical5 2 6" xfId="937" xr:uid="{00000000-0005-0000-0000-0000FA080000}"/>
    <cellStyle name="SAPBEXexcCritical5 2 6 2" xfId="2234" xr:uid="{00000000-0005-0000-0000-0000FB080000}"/>
    <cellStyle name="SAPBEXexcCritical5 2 6 3" xfId="3536" xr:uid="{00000000-0005-0000-0000-0000FC080000}"/>
    <cellStyle name="SAPBEXexcCritical5 2 6 4" xfId="4627" xr:uid="{00000000-0005-0000-0000-0000FD080000}"/>
    <cellStyle name="SAPBEXexcCritical5 2 7" xfId="938" xr:uid="{00000000-0005-0000-0000-0000FE080000}"/>
    <cellStyle name="SAPBEXexcCritical5 2 7 2" xfId="2235" xr:uid="{00000000-0005-0000-0000-0000FF080000}"/>
    <cellStyle name="SAPBEXexcCritical5 2 7 3" xfId="3537" xr:uid="{00000000-0005-0000-0000-000000090000}"/>
    <cellStyle name="SAPBEXexcCritical5 2 7 4" xfId="4628" xr:uid="{00000000-0005-0000-0000-000001090000}"/>
    <cellStyle name="SAPBEXexcCritical5 2 8" xfId="939" xr:uid="{00000000-0005-0000-0000-000002090000}"/>
    <cellStyle name="SAPBEXexcCritical5 2 8 2" xfId="2236" xr:uid="{00000000-0005-0000-0000-000003090000}"/>
    <cellStyle name="SAPBEXexcCritical5 2 8 3" xfId="3538" xr:uid="{00000000-0005-0000-0000-000004090000}"/>
    <cellStyle name="SAPBEXexcCritical5 2 8 4" xfId="4629" xr:uid="{00000000-0005-0000-0000-000005090000}"/>
    <cellStyle name="SAPBEXexcCritical5 2 9" xfId="940" xr:uid="{00000000-0005-0000-0000-000006090000}"/>
    <cellStyle name="SAPBEXexcCritical5 2 9 2" xfId="2237" xr:uid="{00000000-0005-0000-0000-000007090000}"/>
    <cellStyle name="SAPBEXexcCritical5 2 9 3" xfId="3539" xr:uid="{00000000-0005-0000-0000-000008090000}"/>
    <cellStyle name="SAPBEXexcCritical5 2 9 4" xfId="4630" xr:uid="{00000000-0005-0000-0000-000009090000}"/>
    <cellStyle name="SAPBEXexcCritical5 3" xfId="941" xr:uid="{00000000-0005-0000-0000-00000A090000}"/>
    <cellStyle name="SAPBEXexcCritical5 3 2" xfId="2238" xr:uid="{00000000-0005-0000-0000-00000B090000}"/>
    <cellStyle name="SAPBEXexcCritical5 3 3" xfId="3540" xr:uid="{00000000-0005-0000-0000-00000C090000}"/>
    <cellStyle name="SAPBEXexcCritical5 3 4" xfId="4631" xr:uid="{00000000-0005-0000-0000-00000D090000}"/>
    <cellStyle name="SAPBEXexcCritical5 4" xfId="942" xr:uid="{00000000-0005-0000-0000-00000E090000}"/>
    <cellStyle name="SAPBEXexcCritical5 4 2" xfId="2239" xr:uid="{00000000-0005-0000-0000-00000F090000}"/>
    <cellStyle name="SAPBEXexcCritical5 4 3" xfId="3541" xr:uid="{00000000-0005-0000-0000-000010090000}"/>
    <cellStyle name="SAPBEXexcCritical5 4 4" xfId="4632" xr:uid="{00000000-0005-0000-0000-000011090000}"/>
    <cellStyle name="SAPBEXexcCritical5 5" xfId="943" xr:uid="{00000000-0005-0000-0000-000012090000}"/>
    <cellStyle name="SAPBEXexcCritical5 5 2" xfId="2240" xr:uid="{00000000-0005-0000-0000-000013090000}"/>
    <cellStyle name="SAPBEXexcCritical5 5 3" xfId="3542" xr:uid="{00000000-0005-0000-0000-000014090000}"/>
    <cellStyle name="SAPBEXexcCritical5 5 4" xfId="4633" xr:uid="{00000000-0005-0000-0000-000015090000}"/>
    <cellStyle name="SAPBEXexcCritical5 6" xfId="944" xr:uid="{00000000-0005-0000-0000-000016090000}"/>
    <cellStyle name="SAPBEXexcCritical5 6 2" xfId="2241" xr:uid="{00000000-0005-0000-0000-000017090000}"/>
    <cellStyle name="SAPBEXexcCritical5 6 3" xfId="3543" xr:uid="{00000000-0005-0000-0000-000018090000}"/>
    <cellStyle name="SAPBEXexcCritical5 6 4" xfId="4634" xr:uid="{00000000-0005-0000-0000-000019090000}"/>
    <cellStyle name="SAPBEXexcCritical5 7" xfId="945" xr:uid="{00000000-0005-0000-0000-00001A090000}"/>
    <cellStyle name="SAPBEXexcCritical5 7 2" xfId="2242" xr:uid="{00000000-0005-0000-0000-00001B090000}"/>
    <cellStyle name="SAPBEXexcCritical5 7 3" xfId="3544" xr:uid="{00000000-0005-0000-0000-00001C090000}"/>
    <cellStyle name="SAPBEXexcCritical5 7 4" xfId="4635" xr:uid="{00000000-0005-0000-0000-00001D090000}"/>
    <cellStyle name="SAPBEXexcCritical5 8" xfId="946" xr:uid="{00000000-0005-0000-0000-00001E090000}"/>
    <cellStyle name="SAPBEXexcCritical5 8 2" xfId="2243" xr:uid="{00000000-0005-0000-0000-00001F090000}"/>
    <cellStyle name="SAPBEXexcCritical5 8 3" xfId="3545" xr:uid="{00000000-0005-0000-0000-000020090000}"/>
    <cellStyle name="SAPBEXexcCritical5 8 4" xfId="4636" xr:uid="{00000000-0005-0000-0000-000021090000}"/>
    <cellStyle name="SAPBEXexcCritical5 9" xfId="947" xr:uid="{00000000-0005-0000-0000-000022090000}"/>
    <cellStyle name="SAPBEXexcCritical5 9 2" xfId="2244" xr:uid="{00000000-0005-0000-0000-000023090000}"/>
    <cellStyle name="SAPBEXexcCritical5 9 3" xfId="3546" xr:uid="{00000000-0005-0000-0000-000024090000}"/>
    <cellStyle name="SAPBEXexcCritical5 9 4" xfId="4637" xr:uid="{00000000-0005-0000-0000-000025090000}"/>
    <cellStyle name="SAPBEXexcCritical6" xfId="12" xr:uid="{00000000-0005-0000-0000-000026090000}"/>
    <cellStyle name="SAPBEXexcCritical6 10" xfId="949" xr:uid="{00000000-0005-0000-0000-000027090000}"/>
    <cellStyle name="SAPBEXexcCritical6 10 2" xfId="2246" xr:uid="{00000000-0005-0000-0000-000028090000}"/>
    <cellStyle name="SAPBEXexcCritical6 10 3" xfId="3548" xr:uid="{00000000-0005-0000-0000-000029090000}"/>
    <cellStyle name="SAPBEXexcCritical6 10 4" xfId="4639" xr:uid="{00000000-0005-0000-0000-00002A090000}"/>
    <cellStyle name="SAPBEXexcCritical6 11" xfId="950" xr:uid="{00000000-0005-0000-0000-00002B090000}"/>
    <cellStyle name="SAPBEXexcCritical6 11 2" xfId="2247" xr:uid="{00000000-0005-0000-0000-00002C090000}"/>
    <cellStyle name="SAPBEXexcCritical6 11 3" xfId="3549" xr:uid="{00000000-0005-0000-0000-00002D090000}"/>
    <cellStyle name="SAPBEXexcCritical6 11 4" xfId="4640" xr:uid="{00000000-0005-0000-0000-00002E090000}"/>
    <cellStyle name="SAPBEXexcCritical6 12" xfId="951" xr:uid="{00000000-0005-0000-0000-00002F090000}"/>
    <cellStyle name="SAPBEXexcCritical6 12 2" xfId="2248" xr:uid="{00000000-0005-0000-0000-000030090000}"/>
    <cellStyle name="SAPBEXexcCritical6 12 3" xfId="3550" xr:uid="{00000000-0005-0000-0000-000031090000}"/>
    <cellStyle name="SAPBEXexcCritical6 12 4" xfId="4641" xr:uid="{00000000-0005-0000-0000-000032090000}"/>
    <cellStyle name="SAPBEXexcCritical6 13" xfId="952" xr:uid="{00000000-0005-0000-0000-000033090000}"/>
    <cellStyle name="SAPBEXexcCritical6 13 2" xfId="2249" xr:uid="{00000000-0005-0000-0000-000034090000}"/>
    <cellStyle name="SAPBEXexcCritical6 13 3" xfId="3551" xr:uid="{00000000-0005-0000-0000-000035090000}"/>
    <cellStyle name="SAPBEXexcCritical6 13 4" xfId="4642" xr:uid="{00000000-0005-0000-0000-000036090000}"/>
    <cellStyle name="SAPBEXexcCritical6 14" xfId="953" xr:uid="{00000000-0005-0000-0000-000037090000}"/>
    <cellStyle name="SAPBEXexcCritical6 14 2" xfId="2250" xr:uid="{00000000-0005-0000-0000-000038090000}"/>
    <cellStyle name="SAPBEXexcCritical6 14 3" xfId="3552" xr:uid="{00000000-0005-0000-0000-000039090000}"/>
    <cellStyle name="SAPBEXexcCritical6 14 4" xfId="4643" xr:uid="{00000000-0005-0000-0000-00003A090000}"/>
    <cellStyle name="SAPBEXexcCritical6 15" xfId="2245" xr:uid="{00000000-0005-0000-0000-00003B090000}"/>
    <cellStyle name="SAPBEXexcCritical6 16" xfId="3547" xr:uid="{00000000-0005-0000-0000-00003C090000}"/>
    <cellStyle name="SAPBEXexcCritical6 17" xfId="4638" xr:uid="{00000000-0005-0000-0000-00003D090000}"/>
    <cellStyle name="SAPBEXexcCritical6 2" xfId="948" xr:uid="{00000000-0005-0000-0000-00003E090000}"/>
    <cellStyle name="SAPBEXexcCritical6 2 10" xfId="954" xr:uid="{00000000-0005-0000-0000-00003F090000}"/>
    <cellStyle name="SAPBEXexcCritical6 2 10 2" xfId="2252" xr:uid="{00000000-0005-0000-0000-000040090000}"/>
    <cellStyle name="SAPBEXexcCritical6 2 10 3" xfId="3554" xr:uid="{00000000-0005-0000-0000-000041090000}"/>
    <cellStyle name="SAPBEXexcCritical6 2 10 4" xfId="4645" xr:uid="{00000000-0005-0000-0000-000042090000}"/>
    <cellStyle name="SAPBEXexcCritical6 2 11" xfId="955" xr:uid="{00000000-0005-0000-0000-000043090000}"/>
    <cellStyle name="SAPBEXexcCritical6 2 11 2" xfId="2253" xr:uid="{00000000-0005-0000-0000-000044090000}"/>
    <cellStyle name="SAPBEXexcCritical6 2 11 3" xfId="3555" xr:uid="{00000000-0005-0000-0000-000045090000}"/>
    <cellStyle name="SAPBEXexcCritical6 2 11 4" xfId="4646" xr:uid="{00000000-0005-0000-0000-000046090000}"/>
    <cellStyle name="SAPBEXexcCritical6 2 12" xfId="956" xr:uid="{00000000-0005-0000-0000-000047090000}"/>
    <cellStyle name="SAPBEXexcCritical6 2 12 2" xfId="2254" xr:uid="{00000000-0005-0000-0000-000048090000}"/>
    <cellStyle name="SAPBEXexcCritical6 2 12 3" xfId="3556" xr:uid="{00000000-0005-0000-0000-000049090000}"/>
    <cellStyle name="SAPBEXexcCritical6 2 12 4" xfId="4647" xr:uid="{00000000-0005-0000-0000-00004A090000}"/>
    <cellStyle name="SAPBEXexcCritical6 2 13" xfId="957" xr:uid="{00000000-0005-0000-0000-00004B090000}"/>
    <cellStyle name="SAPBEXexcCritical6 2 13 2" xfId="2255" xr:uid="{00000000-0005-0000-0000-00004C090000}"/>
    <cellStyle name="SAPBEXexcCritical6 2 13 3" xfId="3557" xr:uid="{00000000-0005-0000-0000-00004D090000}"/>
    <cellStyle name="SAPBEXexcCritical6 2 13 4" xfId="4648" xr:uid="{00000000-0005-0000-0000-00004E090000}"/>
    <cellStyle name="SAPBEXexcCritical6 2 14" xfId="2251" xr:uid="{00000000-0005-0000-0000-00004F090000}"/>
    <cellStyle name="SAPBEXexcCritical6 2 15" xfId="3553" xr:uid="{00000000-0005-0000-0000-000050090000}"/>
    <cellStyle name="SAPBEXexcCritical6 2 16" xfId="4644" xr:uid="{00000000-0005-0000-0000-000051090000}"/>
    <cellStyle name="SAPBEXexcCritical6 2 2" xfId="958" xr:uid="{00000000-0005-0000-0000-000052090000}"/>
    <cellStyle name="SAPBEXexcCritical6 2 2 2" xfId="2256" xr:uid="{00000000-0005-0000-0000-000053090000}"/>
    <cellStyle name="SAPBEXexcCritical6 2 2 3" xfId="3558" xr:uid="{00000000-0005-0000-0000-000054090000}"/>
    <cellStyle name="SAPBEXexcCritical6 2 2 4" xfId="4649" xr:uid="{00000000-0005-0000-0000-000055090000}"/>
    <cellStyle name="SAPBEXexcCritical6 2 3" xfId="959" xr:uid="{00000000-0005-0000-0000-000056090000}"/>
    <cellStyle name="SAPBEXexcCritical6 2 3 2" xfId="2257" xr:uid="{00000000-0005-0000-0000-000057090000}"/>
    <cellStyle name="SAPBEXexcCritical6 2 3 3" xfId="3559" xr:uid="{00000000-0005-0000-0000-000058090000}"/>
    <cellStyle name="SAPBEXexcCritical6 2 3 4" xfId="4650" xr:uid="{00000000-0005-0000-0000-000059090000}"/>
    <cellStyle name="SAPBEXexcCritical6 2 4" xfId="960" xr:uid="{00000000-0005-0000-0000-00005A090000}"/>
    <cellStyle name="SAPBEXexcCritical6 2 4 2" xfId="2258" xr:uid="{00000000-0005-0000-0000-00005B090000}"/>
    <cellStyle name="SAPBEXexcCritical6 2 4 3" xfId="3560" xr:uid="{00000000-0005-0000-0000-00005C090000}"/>
    <cellStyle name="SAPBEXexcCritical6 2 4 4" xfId="4651" xr:uid="{00000000-0005-0000-0000-00005D090000}"/>
    <cellStyle name="SAPBEXexcCritical6 2 5" xfId="961" xr:uid="{00000000-0005-0000-0000-00005E090000}"/>
    <cellStyle name="SAPBEXexcCritical6 2 5 2" xfId="2259" xr:uid="{00000000-0005-0000-0000-00005F090000}"/>
    <cellStyle name="SAPBEXexcCritical6 2 5 3" xfId="3561" xr:uid="{00000000-0005-0000-0000-000060090000}"/>
    <cellStyle name="SAPBEXexcCritical6 2 5 4" xfId="4652" xr:uid="{00000000-0005-0000-0000-000061090000}"/>
    <cellStyle name="SAPBEXexcCritical6 2 6" xfId="962" xr:uid="{00000000-0005-0000-0000-000062090000}"/>
    <cellStyle name="SAPBEXexcCritical6 2 6 2" xfId="2260" xr:uid="{00000000-0005-0000-0000-000063090000}"/>
    <cellStyle name="SAPBEXexcCritical6 2 6 3" xfId="3562" xr:uid="{00000000-0005-0000-0000-000064090000}"/>
    <cellStyle name="SAPBEXexcCritical6 2 6 4" xfId="4653" xr:uid="{00000000-0005-0000-0000-000065090000}"/>
    <cellStyle name="SAPBEXexcCritical6 2 7" xfId="963" xr:uid="{00000000-0005-0000-0000-000066090000}"/>
    <cellStyle name="SAPBEXexcCritical6 2 7 2" xfId="2261" xr:uid="{00000000-0005-0000-0000-000067090000}"/>
    <cellStyle name="SAPBEXexcCritical6 2 7 3" xfId="3563" xr:uid="{00000000-0005-0000-0000-000068090000}"/>
    <cellStyle name="SAPBEXexcCritical6 2 7 4" xfId="4654" xr:uid="{00000000-0005-0000-0000-000069090000}"/>
    <cellStyle name="SAPBEXexcCritical6 2 8" xfId="964" xr:uid="{00000000-0005-0000-0000-00006A090000}"/>
    <cellStyle name="SAPBEXexcCritical6 2 8 2" xfId="2262" xr:uid="{00000000-0005-0000-0000-00006B090000}"/>
    <cellStyle name="SAPBEXexcCritical6 2 8 3" xfId="3564" xr:uid="{00000000-0005-0000-0000-00006C090000}"/>
    <cellStyle name="SAPBEXexcCritical6 2 8 4" xfId="4655" xr:uid="{00000000-0005-0000-0000-00006D090000}"/>
    <cellStyle name="SAPBEXexcCritical6 2 9" xfId="965" xr:uid="{00000000-0005-0000-0000-00006E090000}"/>
    <cellStyle name="SAPBEXexcCritical6 2 9 2" xfId="2263" xr:uid="{00000000-0005-0000-0000-00006F090000}"/>
    <cellStyle name="SAPBEXexcCritical6 2 9 3" xfId="3565" xr:uid="{00000000-0005-0000-0000-000070090000}"/>
    <cellStyle name="SAPBEXexcCritical6 2 9 4" xfId="4656" xr:uid="{00000000-0005-0000-0000-000071090000}"/>
    <cellStyle name="SAPBEXexcCritical6 3" xfId="966" xr:uid="{00000000-0005-0000-0000-000072090000}"/>
    <cellStyle name="SAPBEXexcCritical6 3 2" xfId="2264" xr:uid="{00000000-0005-0000-0000-000073090000}"/>
    <cellStyle name="SAPBEXexcCritical6 3 3" xfId="3566" xr:uid="{00000000-0005-0000-0000-000074090000}"/>
    <cellStyle name="SAPBEXexcCritical6 3 4" xfId="4657" xr:uid="{00000000-0005-0000-0000-000075090000}"/>
    <cellStyle name="SAPBEXexcCritical6 4" xfId="967" xr:uid="{00000000-0005-0000-0000-000076090000}"/>
    <cellStyle name="SAPBEXexcCritical6 4 2" xfId="2265" xr:uid="{00000000-0005-0000-0000-000077090000}"/>
    <cellStyle name="SAPBEXexcCritical6 4 3" xfId="3567" xr:uid="{00000000-0005-0000-0000-000078090000}"/>
    <cellStyle name="SAPBEXexcCritical6 4 4" xfId="4658" xr:uid="{00000000-0005-0000-0000-000079090000}"/>
    <cellStyle name="SAPBEXexcCritical6 5" xfId="968" xr:uid="{00000000-0005-0000-0000-00007A090000}"/>
    <cellStyle name="SAPBEXexcCritical6 5 2" xfId="2266" xr:uid="{00000000-0005-0000-0000-00007B090000}"/>
    <cellStyle name="SAPBEXexcCritical6 5 3" xfId="3568" xr:uid="{00000000-0005-0000-0000-00007C090000}"/>
    <cellStyle name="SAPBEXexcCritical6 5 4" xfId="4659" xr:uid="{00000000-0005-0000-0000-00007D090000}"/>
    <cellStyle name="SAPBEXexcCritical6 6" xfId="969" xr:uid="{00000000-0005-0000-0000-00007E090000}"/>
    <cellStyle name="SAPBEXexcCritical6 6 2" xfId="2267" xr:uid="{00000000-0005-0000-0000-00007F090000}"/>
    <cellStyle name="SAPBEXexcCritical6 6 3" xfId="3569" xr:uid="{00000000-0005-0000-0000-000080090000}"/>
    <cellStyle name="SAPBEXexcCritical6 6 4" xfId="4660" xr:uid="{00000000-0005-0000-0000-000081090000}"/>
    <cellStyle name="SAPBEXexcCritical6 7" xfId="970" xr:uid="{00000000-0005-0000-0000-000082090000}"/>
    <cellStyle name="SAPBEXexcCritical6 7 2" xfId="2268" xr:uid="{00000000-0005-0000-0000-000083090000}"/>
    <cellStyle name="SAPBEXexcCritical6 7 3" xfId="3570" xr:uid="{00000000-0005-0000-0000-000084090000}"/>
    <cellStyle name="SAPBEXexcCritical6 7 4" xfId="4661" xr:uid="{00000000-0005-0000-0000-000085090000}"/>
    <cellStyle name="SAPBEXexcCritical6 8" xfId="971" xr:uid="{00000000-0005-0000-0000-000086090000}"/>
    <cellStyle name="SAPBEXexcCritical6 8 2" xfId="2269" xr:uid="{00000000-0005-0000-0000-000087090000}"/>
    <cellStyle name="SAPBEXexcCritical6 8 3" xfId="3571" xr:uid="{00000000-0005-0000-0000-000088090000}"/>
    <cellStyle name="SAPBEXexcCritical6 8 4" xfId="4662" xr:uid="{00000000-0005-0000-0000-000089090000}"/>
    <cellStyle name="SAPBEXexcCritical6 9" xfId="972" xr:uid="{00000000-0005-0000-0000-00008A090000}"/>
    <cellStyle name="SAPBEXexcCritical6 9 2" xfId="2270" xr:uid="{00000000-0005-0000-0000-00008B090000}"/>
    <cellStyle name="SAPBEXexcCritical6 9 3" xfId="3572" xr:uid="{00000000-0005-0000-0000-00008C090000}"/>
    <cellStyle name="SAPBEXexcCritical6 9 4" xfId="4663" xr:uid="{00000000-0005-0000-0000-00008D090000}"/>
    <cellStyle name="SAPBEXexcGood1" xfId="13" xr:uid="{00000000-0005-0000-0000-00008E090000}"/>
    <cellStyle name="SAPBEXexcGood1 10" xfId="974" xr:uid="{00000000-0005-0000-0000-00008F090000}"/>
    <cellStyle name="SAPBEXexcGood1 10 2" xfId="2272" xr:uid="{00000000-0005-0000-0000-000090090000}"/>
    <cellStyle name="SAPBEXexcGood1 10 3" xfId="3574" xr:uid="{00000000-0005-0000-0000-000091090000}"/>
    <cellStyle name="SAPBEXexcGood1 10 4" xfId="4665" xr:uid="{00000000-0005-0000-0000-000092090000}"/>
    <cellStyle name="SAPBEXexcGood1 11" xfId="975" xr:uid="{00000000-0005-0000-0000-000093090000}"/>
    <cellStyle name="SAPBEXexcGood1 11 2" xfId="2273" xr:uid="{00000000-0005-0000-0000-000094090000}"/>
    <cellStyle name="SAPBEXexcGood1 11 3" xfId="3575" xr:uid="{00000000-0005-0000-0000-000095090000}"/>
    <cellStyle name="SAPBEXexcGood1 11 4" xfId="4666" xr:uid="{00000000-0005-0000-0000-000096090000}"/>
    <cellStyle name="SAPBEXexcGood1 12" xfId="976" xr:uid="{00000000-0005-0000-0000-000097090000}"/>
    <cellStyle name="SAPBEXexcGood1 12 2" xfId="2274" xr:uid="{00000000-0005-0000-0000-000098090000}"/>
    <cellStyle name="SAPBEXexcGood1 12 3" xfId="3576" xr:uid="{00000000-0005-0000-0000-000099090000}"/>
    <cellStyle name="SAPBEXexcGood1 12 4" xfId="4667" xr:uid="{00000000-0005-0000-0000-00009A090000}"/>
    <cellStyle name="SAPBEXexcGood1 13" xfId="977" xr:uid="{00000000-0005-0000-0000-00009B090000}"/>
    <cellStyle name="SAPBEXexcGood1 13 2" xfId="2275" xr:uid="{00000000-0005-0000-0000-00009C090000}"/>
    <cellStyle name="SAPBEXexcGood1 13 3" xfId="3577" xr:uid="{00000000-0005-0000-0000-00009D090000}"/>
    <cellStyle name="SAPBEXexcGood1 13 4" xfId="4668" xr:uid="{00000000-0005-0000-0000-00009E090000}"/>
    <cellStyle name="SAPBEXexcGood1 14" xfId="978" xr:uid="{00000000-0005-0000-0000-00009F090000}"/>
    <cellStyle name="SAPBEXexcGood1 14 2" xfId="2276" xr:uid="{00000000-0005-0000-0000-0000A0090000}"/>
    <cellStyle name="SAPBEXexcGood1 14 3" xfId="3578" xr:uid="{00000000-0005-0000-0000-0000A1090000}"/>
    <cellStyle name="SAPBEXexcGood1 14 4" xfId="4669" xr:uid="{00000000-0005-0000-0000-0000A2090000}"/>
    <cellStyle name="SAPBEXexcGood1 15" xfId="2271" xr:uid="{00000000-0005-0000-0000-0000A3090000}"/>
    <cellStyle name="SAPBEXexcGood1 16" xfId="3573" xr:uid="{00000000-0005-0000-0000-0000A4090000}"/>
    <cellStyle name="SAPBEXexcGood1 17" xfId="4664" xr:uid="{00000000-0005-0000-0000-0000A5090000}"/>
    <cellStyle name="SAPBEXexcGood1 2" xfId="973" xr:uid="{00000000-0005-0000-0000-0000A6090000}"/>
    <cellStyle name="SAPBEXexcGood1 2 10" xfId="979" xr:uid="{00000000-0005-0000-0000-0000A7090000}"/>
    <cellStyle name="SAPBEXexcGood1 2 10 2" xfId="2278" xr:uid="{00000000-0005-0000-0000-0000A8090000}"/>
    <cellStyle name="SAPBEXexcGood1 2 10 3" xfId="3580" xr:uid="{00000000-0005-0000-0000-0000A9090000}"/>
    <cellStyle name="SAPBEXexcGood1 2 10 4" xfId="4671" xr:uid="{00000000-0005-0000-0000-0000AA090000}"/>
    <cellStyle name="SAPBEXexcGood1 2 11" xfId="980" xr:uid="{00000000-0005-0000-0000-0000AB090000}"/>
    <cellStyle name="SAPBEXexcGood1 2 11 2" xfId="2279" xr:uid="{00000000-0005-0000-0000-0000AC090000}"/>
    <cellStyle name="SAPBEXexcGood1 2 11 3" xfId="3581" xr:uid="{00000000-0005-0000-0000-0000AD090000}"/>
    <cellStyle name="SAPBEXexcGood1 2 11 4" xfId="4672" xr:uid="{00000000-0005-0000-0000-0000AE090000}"/>
    <cellStyle name="SAPBEXexcGood1 2 12" xfId="981" xr:uid="{00000000-0005-0000-0000-0000AF090000}"/>
    <cellStyle name="SAPBEXexcGood1 2 12 2" xfId="2280" xr:uid="{00000000-0005-0000-0000-0000B0090000}"/>
    <cellStyle name="SAPBEXexcGood1 2 12 3" xfId="3582" xr:uid="{00000000-0005-0000-0000-0000B1090000}"/>
    <cellStyle name="SAPBEXexcGood1 2 12 4" xfId="4673" xr:uid="{00000000-0005-0000-0000-0000B2090000}"/>
    <cellStyle name="SAPBEXexcGood1 2 13" xfId="982" xr:uid="{00000000-0005-0000-0000-0000B3090000}"/>
    <cellStyle name="SAPBEXexcGood1 2 13 2" xfId="2281" xr:uid="{00000000-0005-0000-0000-0000B4090000}"/>
    <cellStyle name="SAPBEXexcGood1 2 13 3" xfId="3583" xr:uid="{00000000-0005-0000-0000-0000B5090000}"/>
    <cellStyle name="SAPBEXexcGood1 2 13 4" xfId="4674" xr:uid="{00000000-0005-0000-0000-0000B6090000}"/>
    <cellStyle name="SAPBEXexcGood1 2 14" xfId="2277" xr:uid="{00000000-0005-0000-0000-0000B7090000}"/>
    <cellStyle name="SAPBEXexcGood1 2 15" xfId="3579" xr:uid="{00000000-0005-0000-0000-0000B8090000}"/>
    <cellStyle name="SAPBEXexcGood1 2 16" xfId="4670" xr:uid="{00000000-0005-0000-0000-0000B9090000}"/>
    <cellStyle name="SAPBEXexcGood1 2 2" xfId="983" xr:uid="{00000000-0005-0000-0000-0000BA090000}"/>
    <cellStyle name="SAPBEXexcGood1 2 2 2" xfId="2282" xr:uid="{00000000-0005-0000-0000-0000BB090000}"/>
    <cellStyle name="SAPBEXexcGood1 2 2 3" xfId="3584" xr:uid="{00000000-0005-0000-0000-0000BC090000}"/>
    <cellStyle name="SAPBEXexcGood1 2 2 4" xfId="4675" xr:uid="{00000000-0005-0000-0000-0000BD090000}"/>
    <cellStyle name="SAPBEXexcGood1 2 3" xfId="984" xr:uid="{00000000-0005-0000-0000-0000BE090000}"/>
    <cellStyle name="SAPBEXexcGood1 2 3 2" xfId="2283" xr:uid="{00000000-0005-0000-0000-0000BF090000}"/>
    <cellStyle name="SAPBEXexcGood1 2 3 3" xfId="3585" xr:uid="{00000000-0005-0000-0000-0000C0090000}"/>
    <cellStyle name="SAPBEXexcGood1 2 3 4" xfId="4676" xr:uid="{00000000-0005-0000-0000-0000C1090000}"/>
    <cellStyle name="SAPBEXexcGood1 2 4" xfId="985" xr:uid="{00000000-0005-0000-0000-0000C2090000}"/>
    <cellStyle name="SAPBEXexcGood1 2 4 2" xfId="2284" xr:uid="{00000000-0005-0000-0000-0000C3090000}"/>
    <cellStyle name="SAPBEXexcGood1 2 4 3" xfId="3586" xr:uid="{00000000-0005-0000-0000-0000C4090000}"/>
    <cellStyle name="SAPBEXexcGood1 2 4 4" xfId="4677" xr:uid="{00000000-0005-0000-0000-0000C5090000}"/>
    <cellStyle name="SAPBEXexcGood1 2 5" xfId="986" xr:uid="{00000000-0005-0000-0000-0000C6090000}"/>
    <cellStyle name="SAPBEXexcGood1 2 5 2" xfId="2285" xr:uid="{00000000-0005-0000-0000-0000C7090000}"/>
    <cellStyle name="SAPBEXexcGood1 2 5 3" xfId="3587" xr:uid="{00000000-0005-0000-0000-0000C8090000}"/>
    <cellStyle name="SAPBEXexcGood1 2 5 4" xfId="4678" xr:uid="{00000000-0005-0000-0000-0000C9090000}"/>
    <cellStyle name="SAPBEXexcGood1 2 6" xfId="987" xr:uid="{00000000-0005-0000-0000-0000CA090000}"/>
    <cellStyle name="SAPBEXexcGood1 2 6 2" xfId="2286" xr:uid="{00000000-0005-0000-0000-0000CB090000}"/>
    <cellStyle name="SAPBEXexcGood1 2 6 3" xfId="3588" xr:uid="{00000000-0005-0000-0000-0000CC090000}"/>
    <cellStyle name="SAPBEXexcGood1 2 6 4" xfId="4679" xr:uid="{00000000-0005-0000-0000-0000CD090000}"/>
    <cellStyle name="SAPBEXexcGood1 2 7" xfId="988" xr:uid="{00000000-0005-0000-0000-0000CE090000}"/>
    <cellStyle name="SAPBEXexcGood1 2 7 2" xfId="2287" xr:uid="{00000000-0005-0000-0000-0000CF090000}"/>
    <cellStyle name="SAPBEXexcGood1 2 7 3" xfId="3589" xr:uid="{00000000-0005-0000-0000-0000D0090000}"/>
    <cellStyle name="SAPBEXexcGood1 2 7 4" xfId="4680" xr:uid="{00000000-0005-0000-0000-0000D1090000}"/>
    <cellStyle name="SAPBEXexcGood1 2 8" xfId="989" xr:uid="{00000000-0005-0000-0000-0000D2090000}"/>
    <cellStyle name="SAPBEXexcGood1 2 8 2" xfId="2288" xr:uid="{00000000-0005-0000-0000-0000D3090000}"/>
    <cellStyle name="SAPBEXexcGood1 2 8 3" xfId="3590" xr:uid="{00000000-0005-0000-0000-0000D4090000}"/>
    <cellStyle name="SAPBEXexcGood1 2 8 4" xfId="4681" xr:uid="{00000000-0005-0000-0000-0000D5090000}"/>
    <cellStyle name="SAPBEXexcGood1 2 9" xfId="990" xr:uid="{00000000-0005-0000-0000-0000D6090000}"/>
    <cellStyle name="SAPBEXexcGood1 2 9 2" xfId="2289" xr:uid="{00000000-0005-0000-0000-0000D7090000}"/>
    <cellStyle name="SAPBEXexcGood1 2 9 3" xfId="3591" xr:uid="{00000000-0005-0000-0000-0000D8090000}"/>
    <cellStyle name="SAPBEXexcGood1 2 9 4" xfId="4682" xr:uid="{00000000-0005-0000-0000-0000D9090000}"/>
    <cellStyle name="SAPBEXexcGood1 3" xfId="991" xr:uid="{00000000-0005-0000-0000-0000DA090000}"/>
    <cellStyle name="SAPBEXexcGood1 3 2" xfId="2290" xr:uid="{00000000-0005-0000-0000-0000DB090000}"/>
    <cellStyle name="SAPBEXexcGood1 3 3" xfId="3592" xr:uid="{00000000-0005-0000-0000-0000DC090000}"/>
    <cellStyle name="SAPBEXexcGood1 3 4" xfId="4683" xr:uid="{00000000-0005-0000-0000-0000DD090000}"/>
    <cellStyle name="SAPBEXexcGood1 4" xfId="992" xr:uid="{00000000-0005-0000-0000-0000DE090000}"/>
    <cellStyle name="SAPBEXexcGood1 4 2" xfId="2291" xr:uid="{00000000-0005-0000-0000-0000DF090000}"/>
    <cellStyle name="SAPBEXexcGood1 4 3" xfId="3593" xr:uid="{00000000-0005-0000-0000-0000E0090000}"/>
    <cellStyle name="SAPBEXexcGood1 4 4" xfId="4684" xr:uid="{00000000-0005-0000-0000-0000E1090000}"/>
    <cellStyle name="SAPBEXexcGood1 5" xfId="993" xr:uid="{00000000-0005-0000-0000-0000E2090000}"/>
    <cellStyle name="SAPBEXexcGood1 5 2" xfId="2292" xr:uid="{00000000-0005-0000-0000-0000E3090000}"/>
    <cellStyle name="SAPBEXexcGood1 5 3" xfId="3594" xr:uid="{00000000-0005-0000-0000-0000E4090000}"/>
    <cellStyle name="SAPBEXexcGood1 5 4" xfId="4685" xr:uid="{00000000-0005-0000-0000-0000E5090000}"/>
    <cellStyle name="SAPBEXexcGood1 6" xfId="994" xr:uid="{00000000-0005-0000-0000-0000E6090000}"/>
    <cellStyle name="SAPBEXexcGood1 6 2" xfId="2293" xr:uid="{00000000-0005-0000-0000-0000E7090000}"/>
    <cellStyle name="SAPBEXexcGood1 6 3" xfId="3595" xr:uid="{00000000-0005-0000-0000-0000E8090000}"/>
    <cellStyle name="SAPBEXexcGood1 6 4" xfId="4686" xr:uid="{00000000-0005-0000-0000-0000E9090000}"/>
    <cellStyle name="SAPBEXexcGood1 7" xfId="995" xr:uid="{00000000-0005-0000-0000-0000EA090000}"/>
    <cellStyle name="SAPBEXexcGood1 7 2" xfId="2294" xr:uid="{00000000-0005-0000-0000-0000EB090000}"/>
    <cellStyle name="SAPBEXexcGood1 7 3" xfId="3596" xr:uid="{00000000-0005-0000-0000-0000EC090000}"/>
    <cellStyle name="SAPBEXexcGood1 7 4" xfId="4687" xr:uid="{00000000-0005-0000-0000-0000ED090000}"/>
    <cellStyle name="SAPBEXexcGood1 8" xfId="996" xr:uid="{00000000-0005-0000-0000-0000EE090000}"/>
    <cellStyle name="SAPBEXexcGood1 8 2" xfId="2295" xr:uid="{00000000-0005-0000-0000-0000EF090000}"/>
    <cellStyle name="SAPBEXexcGood1 8 3" xfId="3597" xr:uid="{00000000-0005-0000-0000-0000F0090000}"/>
    <cellStyle name="SAPBEXexcGood1 8 4" xfId="4688" xr:uid="{00000000-0005-0000-0000-0000F1090000}"/>
    <cellStyle name="SAPBEXexcGood1 9" xfId="997" xr:uid="{00000000-0005-0000-0000-0000F2090000}"/>
    <cellStyle name="SAPBEXexcGood1 9 2" xfId="2296" xr:uid="{00000000-0005-0000-0000-0000F3090000}"/>
    <cellStyle name="SAPBEXexcGood1 9 3" xfId="3598" xr:uid="{00000000-0005-0000-0000-0000F4090000}"/>
    <cellStyle name="SAPBEXexcGood1 9 4" xfId="4689" xr:uid="{00000000-0005-0000-0000-0000F5090000}"/>
    <cellStyle name="SAPBEXexcGood2" xfId="14" xr:uid="{00000000-0005-0000-0000-0000F6090000}"/>
    <cellStyle name="SAPBEXexcGood2 10" xfId="999" xr:uid="{00000000-0005-0000-0000-0000F7090000}"/>
    <cellStyle name="SAPBEXexcGood2 10 2" xfId="2298" xr:uid="{00000000-0005-0000-0000-0000F8090000}"/>
    <cellStyle name="SAPBEXexcGood2 10 3" xfId="3600" xr:uid="{00000000-0005-0000-0000-0000F9090000}"/>
    <cellStyle name="SAPBEXexcGood2 10 4" xfId="4691" xr:uid="{00000000-0005-0000-0000-0000FA090000}"/>
    <cellStyle name="SAPBEXexcGood2 11" xfId="1000" xr:uid="{00000000-0005-0000-0000-0000FB090000}"/>
    <cellStyle name="SAPBEXexcGood2 11 2" xfId="2299" xr:uid="{00000000-0005-0000-0000-0000FC090000}"/>
    <cellStyle name="SAPBEXexcGood2 11 3" xfId="3601" xr:uid="{00000000-0005-0000-0000-0000FD090000}"/>
    <cellStyle name="SAPBEXexcGood2 11 4" xfId="4692" xr:uid="{00000000-0005-0000-0000-0000FE090000}"/>
    <cellStyle name="SAPBEXexcGood2 12" xfId="1001" xr:uid="{00000000-0005-0000-0000-0000FF090000}"/>
    <cellStyle name="SAPBEXexcGood2 12 2" xfId="2300" xr:uid="{00000000-0005-0000-0000-0000000A0000}"/>
    <cellStyle name="SAPBEXexcGood2 12 3" xfId="3602" xr:uid="{00000000-0005-0000-0000-0000010A0000}"/>
    <cellStyle name="SAPBEXexcGood2 12 4" xfId="4693" xr:uid="{00000000-0005-0000-0000-0000020A0000}"/>
    <cellStyle name="SAPBEXexcGood2 13" xfId="1002" xr:uid="{00000000-0005-0000-0000-0000030A0000}"/>
    <cellStyle name="SAPBEXexcGood2 13 2" xfId="2301" xr:uid="{00000000-0005-0000-0000-0000040A0000}"/>
    <cellStyle name="SAPBEXexcGood2 13 3" xfId="3603" xr:uid="{00000000-0005-0000-0000-0000050A0000}"/>
    <cellStyle name="SAPBEXexcGood2 13 4" xfId="4694" xr:uid="{00000000-0005-0000-0000-0000060A0000}"/>
    <cellStyle name="SAPBEXexcGood2 14" xfId="1003" xr:uid="{00000000-0005-0000-0000-0000070A0000}"/>
    <cellStyle name="SAPBEXexcGood2 14 2" xfId="2302" xr:uid="{00000000-0005-0000-0000-0000080A0000}"/>
    <cellStyle name="SAPBEXexcGood2 14 3" xfId="3604" xr:uid="{00000000-0005-0000-0000-0000090A0000}"/>
    <cellStyle name="SAPBEXexcGood2 14 4" xfId="4695" xr:uid="{00000000-0005-0000-0000-00000A0A0000}"/>
    <cellStyle name="SAPBEXexcGood2 15" xfId="2297" xr:uid="{00000000-0005-0000-0000-00000B0A0000}"/>
    <cellStyle name="SAPBEXexcGood2 16" xfId="3599" xr:uid="{00000000-0005-0000-0000-00000C0A0000}"/>
    <cellStyle name="SAPBEXexcGood2 17" xfId="4690" xr:uid="{00000000-0005-0000-0000-00000D0A0000}"/>
    <cellStyle name="SAPBEXexcGood2 2" xfId="998" xr:uid="{00000000-0005-0000-0000-00000E0A0000}"/>
    <cellStyle name="SAPBEXexcGood2 2 10" xfId="1004" xr:uid="{00000000-0005-0000-0000-00000F0A0000}"/>
    <cellStyle name="SAPBEXexcGood2 2 10 2" xfId="2304" xr:uid="{00000000-0005-0000-0000-0000100A0000}"/>
    <cellStyle name="SAPBEXexcGood2 2 10 3" xfId="3606" xr:uid="{00000000-0005-0000-0000-0000110A0000}"/>
    <cellStyle name="SAPBEXexcGood2 2 10 4" xfId="4697" xr:uid="{00000000-0005-0000-0000-0000120A0000}"/>
    <cellStyle name="SAPBEXexcGood2 2 11" xfId="1005" xr:uid="{00000000-0005-0000-0000-0000130A0000}"/>
    <cellStyle name="SAPBEXexcGood2 2 11 2" xfId="2305" xr:uid="{00000000-0005-0000-0000-0000140A0000}"/>
    <cellStyle name="SAPBEXexcGood2 2 11 3" xfId="3607" xr:uid="{00000000-0005-0000-0000-0000150A0000}"/>
    <cellStyle name="SAPBEXexcGood2 2 11 4" xfId="4698" xr:uid="{00000000-0005-0000-0000-0000160A0000}"/>
    <cellStyle name="SAPBEXexcGood2 2 12" xfId="1006" xr:uid="{00000000-0005-0000-0000-0000170A0000}"/>
    <cellStyle name="SAPBEXexcGood2 2 12 2" xfId="2306" xr:uid="{00000000-0005-0000-0000-0000180A0000}"/>
    <cellStyle name="SAPBEXexcGood2 2 12 3" xfId="3608" xr:uid="{00000000-0005-0000-0000-0000190A0000}"/>
    <cellStyle name="SAPBEXexcGood2 2 12 4" xfId="4699" xr:uid="{00000000-0005-0000-0000-00001A0A0000}"/>
    <cellStyle name="SAPBEXexcGood2 2 13" xfId="1007" xr:uid="{00000000-0005-0000-0000-00001B0A0000}"/>
    <cellStyle name="SAPBEXexcGood2 2 13 2" xfId="2307" xr:uid="{00000000-0005-0000-0000-00001C0A0000}"/>
    <cellStyle name="SAPBEXexcGood2 2 13 3" xfId="3609" xr:uid="{00000000-0005-0000-0000-00001D0A0000}"/>
    <cellStyle name="SAPBEXexcGood2 2 13 4" xfId="4700" xr:uid="{00000000-0005-0000-0000-00001E0A0000}"/>
    <cellStyle name="SAPBEXexcGood2 2 14" xfId="2303" xr:uid="{00000000-0005-0000-0000-00001F0A0000}"/>
    <cellStyle name="SAPBEXexcGood2 2 15" xfId="3605" xr:uid="{00000000-0005-0000-0000-0000200A0000}"/>
    <cellStyle name="SAPBEXexcGood2 2 16" xfId="4696" xr:uid="{00000000-0005-0000-0000-0000210A0000}"/>
    <cellStyle name="SAPBEXexcGood2 2 2" xfId="1008" xr:uid="{00000000-0005-0000-0000-0000220A0000}"/>
    <cellStyle name="SAPBEXexcGood2 2 2 2" xfId="2308" xr:uid="{00000000-0005-0000-0000-0000230A0000}"/>
    <cellStyle name="SAPBEXexcGood2 2 2 3" xfId="3610" xr:uid="{00000000-0005-0000-0000-0000240A0000}"/>
    <cellStyle name="SAPBEXexcGood2 2 2 4" xfId="4701" xr:uid="{00000000-0005-0000-0000-0000250A0000}"/>
    <cellStyle name="SAPBEXexcGood2 2 3" xfId="1009" xr:uid="{00000000-0005-0000-0000-0000260A0000}"/>
    <cellStyle name="SAPBEXexcGood2 2 3 2" xfId="2309" xr:uid="{00000000-0005-0000-0000-0000270A0000}"/>
    <cellStyle name="SAPBEXexcGood2 2 3 3" xfId="3611" xr:uid="{00000000-0005-0000-0000-0000280A0000}"/>
    <cellStyle name="SAPBEXexcGood2 2 3 4" xfId="4702" xr:uid="{00000000-0005-0000-0000-0000290A0000}"/>
    <cellStyle name="SAPBEXexcGood2 2 4" xfId="1010" xr:uid="{00000000-0005-0000-0000-00002A0A0000}"/>
    <cellStyle name="SAPBEXexcGood2 2 4 2" xfId="2310" xr:uid="{00000000-0005-0000-0000-00002B0A0000}"/>
    <cellStyle name="SAPBEXexcGood2 2 4 3" xfId="3612" xr:uid="{00000000-0005-0000-0000-00002C0A0000}"/>
    <cellStyle name="SAPBEXexcGood2 2 4 4" xfId="4703" xr:uid="{00000000-0005-0000-0000-00002D0A0000}"/>
    <cellStyle name="SAPBEXexcGood2 2 5" xfId="1011" xr:uid="{00000000-0005-0000-0000-00002E0A0000}"/>
    <cellStyle name="SAPBEXexcGood2 2 5 2" xfId="2311" xr:uid="{00000000-0005-0000-0000-00002F0A0000}"/>
    <cellStyle name="SAPBEXexcGood2 2 5 3" xfId="3613" xr:uid="{00000000-0005-0000-0000-0000300A0000}"/>
    <cellStyle name="SAPBEXexcGood2 2 5 4" xfId="4704" xr:uid="{00000000-0005-0000-0000-0000310A0000}"/>
    <cellStyle name="SAPBEXexcGood2 2 6" xfId="1012" xr:uid="{00000000-0005-0000-0000-0000320A0000}"/>
    <cellStyle name="SAPBEXexcGood2 2 6 2" xfId="2312" xr:uid="{00000000-0005-0000-0000-0000330A0000}"/>
    <cellStyle name="SAPBEXexcGood2 2 6 3" xfId="3614" xr:uid="{00000000-0005-0000-0000-0000340A0000}"/>
    <cellStyle name="SAPBEXexcGood2 2 6 4" xfId="4705" xr:uid="{00000000-0005-0000-0000-0000350A0000}"/>
    <cellStyle name="SAPBEXexcGood2 2 7" xfId="1013" xr:uid="{00000000-0005-0000-0000-0000360A0000}"/>
    <cellStyle name="SAPBEXexcGood2 2 7 2" xfId="2313" xr:uid="{00000000-0005-0000-0000-0000370A0000}"/>
    <cellStyle name="SAPBEXexcGood2 2 7 3" xfId="3615" xr:uid="{00000000-0005-0000-0000-0000380A0000}"/>
    <cellStyle name="SAPBEXexcGood2 2 7 4" xfId="4706" xr:uid="{00000000-0005-0000-0000-0000390A0000}"/>
    <cellStyle name="SAPBEXexcGood2 2 8" xfId="1014" xr:uid="{00000000-0005-0000-0000-00003A0A0000}"/>
    <cellStyle name="SAPBEXexcGood2 2 8 2" xfId="2314" xr:uid="{00000000-0005-0000-0000-00003B0A0000}"/>
    <cellStyle name="SAPBEXexcGood2 2 8 3" xfId="3616" xr:uid="{00000000-0005-0000-0000-00003C0A0000}"/>
    <cellStyle name="SAPBEXexcGood2 2 8 4" xfId="4707" xr:uid="{00000000-0005-0000-0000-00003D0A0000}"/>
    <cellStyle name="SAPBEXexcGood2 2 9" xfId="1015" xr:uid="{00000000-0005-0000-0000-00003E0A0000}"/>
    <cellStyle name="SAPBEXexcGood2 2 9 2" xfId="2315" xr:uid="{00000000-0005-0000-0000-00003F0A0000}"/>
    <cellStyle name="SAPBEXexcGood2 2 9 3" xfId="3617" xr:uid="{00000000-0005-0000-0000-0000400A0000}"/>
    <cellStyle name="SAPBEXexcGood2 2 9 4" xfId="4708" xr:uid="{00000000-0005-0000-0000-0000410A0000}"/>
    <cellStyle name="SAPBEXexcGood2 3" xfId="1016" xr:uid="{00000000-0005-0000-0000-0000420A0000}"/>
    <cellStyle name="SAPBEXexcGood2 3 2" xfId="2316" xr:uid="{00000000-0005-0000-0000-0000430A0000}"/>
    <cellStyle name="SAPBEXexcGood2 3 3" xfId="3618" xr:uid="{00000000-0005-0000-0000-0000440A0000}"/>
    <cellStyle name="SAPBEXexcGood2 3 4" xfId="4709" xr:uid="{00000000-0005-0000-0000-0000450A0000}"/>
    <cellStyle name="SAPBEXexcGood2 4" xfId="1017" xr:uid="{00000000-0005-0000-0000-0000460A0000}"/>
    <cellStyle name="SAPBEXexcGood2 4 2" xfId="2317" xr:uid="{00000000-0005-0000-0000-0000470A0000}"/>
    <cellStyle name="SAPBEXexcGood2 4 3" xfId="3619" xr:uid="{00000000-0005-0000-0000-0000480A0000}"/>
    <cellStyle name="SAPBEXexcGood2 4 4" xfId="4710" xr:uid="{00000000-0005-0000-0000-0000490A0000}"/>
    <cellStyle name="SAPBEXexcGood2 5" xfId="1018" xr:uid="{00000000-0005-0000-0000-00004A0A0000}"/>
    <cellStyle name="SAPBEXexcGood2 5 2" xfId="2318" xr:uid="{00000000-0005-0000-0000-00004B0A0000}"/>
    <cellStyle name="SAPBEXexcGood2 5 3" xfId="3620" xr:uid="{00000000-0005-0000-0000-00004C0A0000}"/>
    <cellStyle name="SAPBEXexcGood2 5 4" xfId="4711" xr:uid="{00000000-0005-0000-0000-00004D0A0000}"/>
    <cellStyle name="SAPBEXexcGood2 6" xfId="1019" xr:uid="{00000000-0005-0000-0000-00004E0A0000}"/>
    <cellStyle name="SAPBEXexcGood2 6 2" xfId="2319" xr:uid="{00000000-0005-0000-0000-00004F0A0000}"/>
    <cellStyle name="SAPBEXexcGood2 6 3" xfId="3621" xr:uid="{00000000-0005-0000-0000-0000500A0000}"/>
    <cellStyle name="SAPBEXexcGood2 6 4" xfId="4712" xr:uid="{00000000-0005-0000-0000-0000510A0000}"/>
    <cellStyle name="SAPBEXexcGood2 7" xfId="1020" xr:uid="{00000000-0005-0000-0000-0000520A0000}"/>
    <cellStyle name="SAPBEXexcGood2 7 2" xfId="2320" xr:uid="{00000000-0005-0000-0000-0000530A0000}"/>
    <cellStyle name="SAPBEXexcGood2 7 3" xfId="3622" xr:uid="{00000000-0005-0000-0000-0000540A0000}"/>
    <cellStyle name="SAPBEXexcGood2 7 4" xfId="4713" xr:uid="{00000000-0005-0000-0000-0000550A0000}"/>
    <cellStyle name="SAPBEXexcGood2 8" xfId="1021" xr:uid="{00000000-0005-0000-0000-0000560A0000}"/>
    <cellStyle name="SAPBEXexcGood2 8 2" xfId="2321" xr:uid="{00000000-0005-0000-0000-0000570A0000}"/>
    <cellStyle name="SAPBEXexcGood2 8 3" xfId="3623" xr:uid="{00000000-0005-0000-0000-0000580A0000}"/>
    <cellStyle name="SAPBEXexcGood2 8 4" xfId="4714" xr:uid="{00000000-0005-0000-0000-0000590A0000}"/>
    <cellStyle name="SAPBEXexcGood2 9" xfId="1022" xr:uid="{00000000-0005-0000-0000-00005A0A0000}"/>
    <cellStyle name="SAPBEXexcGood2 9 2" xfId="2322" xr:uid="{00000000-0005-0000-0000-00005B0A0000}"/>
    <cellStyle name="SAPBEXexcGood2 9 3" xfId="3624" xr:uid="{00000000-0005-0000-0000-00005C0A0000}"/>
    <cellStyle name="SAPBEXexcGood2 9 4" xfId="4715" xr:uid="{00000000-0005-0000-0000-00005D0A0000}"/>
    <cellStyle name="SAPBEXexcGood3" xfId="15" xr:uid="{00000000-0005-0000-0000-00005E0A0000}"/>
    <cellStyle name="SAPBEXexcGood3 10" xfId="1024" xr:uid="{00000000-0005-0000-0000-00005F0A0000}"/>
    <cellStyle name="SAPBEXexcGood3 10 2" xfId="2324" xr:uid="{00000000-0005-0000-0000-0000600A0000}"/>
    <cellStyle name="SAPBEXexcGood3 10 3" xfId="3626" xr:uid="{00000000-0005-0000-0000-0000610A0000}"/>
    <cellStyle name="SAPBEXexcGood3 10 4" xfId="4717" xr:uid="{00000000-0005-0000-0000-0000620A0000}"/>
    <cellStyle name="SAPBEXexcGood3 11" xfId="1025" xr:uid="{00000000-0005-0000-0000-0000630A0000}"/>
    <cellStyle name="SAPBEXexcGood3 11 2" xfId="2325" xr:uid="{00000000-0005-0000-0000-0000640A0000}"/>
    <cellStyle name="SAPBEXexcGood3 11 3" xfId="3627" xr:uid="{00000000-0005-0000-0000-0000650A0000}"/>
    <cellStyle name="SAPBEXexcGood3 11 4" xfId="4718" xr:uid="{00000000-0005-0000-0000-0000660A0000}"/>
    <cellStyle name="SAPBEXexcGood3 12" xfId="1026" xr:uid="{00000000-0005-0000-0000-0000670A0000}"/>
    <cellStyle name="SAPBEXexcGood3 12 2" xfId="2326" xr:uid="{00000000-0005-0000-0000-0000680A0000}"/>
    <cellStyle name="SAPBEXexcGood3 12 3" xfId="3628" xr:uid="{00000000-0005-0000-0000-0000690A0000}"/>
    <cellStyle name="SAPBEXexcGood3 12 4" xfId="4719" xr:uid="{00000000-0005-0000-0000-00006A0A0000}"/>
    <cellStyle name="SAPBEXexcGood3 13" xfId="1027" xr:uid="{00000000-0005-0000-0000-00006B0A0000}"/>
    <cellStyle name="SAPBEXexcGood3 13 2" xfId="2327" xr:uid="{00000000-0005-0000-0000-00006C0A0000}"/>
    <cellStyle name="SAPBEXexcGood3 13 3" xfId="3629" xr:uid="{00000000-0005-0000-0000-00006D0A0000}"/>
    <cellStyle name="SAPBEXexcGood3 13 4" xfId="4720" xr:uid="{00000000-0005-0000-0000-00006E0A0000}"/>
    <cellStyle name="SAPBEXexcGood3 14" xfId="1028" xr:uid="{00000000-0005-0000-0000-00006F0A0000}"/>
    <cellStyle name="SAPBEXexcGood3 14 2" xfId="2328" xr:uid="{00000000-0005-0000-0000-0000700A0000}"/>
    <cellStyle name="SAPBEXexcGood3 14 3" xfId="3630" xr:uid="{00000000-0005-0000-0000-0000710A0000}"/>
    <cellStyle name="SAPBEXexcGood3 14 4" xfId="4721" xr:uid="{00000000-0005-0000-0000-0000720A0000}"/>
    <cellStyle name="SAPBEXexcGood3 15" xfId="2323" xr:uid="{00000000-0005-0000-0000-0000730A0000}"/>
    <cellStyle name="SAPBEXexcGood3 16" xfId="3625" xr:uid="{00000000-0005-0000-0000-0000740A0000}"/>
    <cellStyle name="SAPBEXexcGood3 17" xfId="4716" xr:uid="{00000000-0005-0000-0000-0000750A0000}"/>
    <cellStyle name="SAPBEXexcGood3 2" xfId="1023" xr:uid="{00000000-0005-0000-0000-0000760A0000}"/>
    <cellStyle name="SAPBEXexcGood3 2 10" xfId="1029" xr:uid="{00000000-0005-0000-0000-0000770A0000}"/>
    <cellStyle name="SAPBEXexcGood3 2 10 2" xfId="2330" xr:uid="{00000000-0005-0000-0000-0000780A0000}"/>
    <cellStyle name="SAPBEXexcGood3 2 10 3" xfId="3632" xr:uid="{00000000-0005-0000-0000-0000790A0000}"/>
    <cellStyle name="SAPBEXexcGood3 2 10 4" xfId="4723" xr:uid="{00000000-0005-0000-0000-00007A0A0000}"/>
    <cellStyle name="SAPBEXexcGood3 2 11" xfId="1030" xr:uid="{00000000-0005-0000-0000-00007B0A0000}"/>
    <cellStyle name="SAPBEXexcGood3 2 11 2" xfId="2331" xr:uid="{00000000-0005-0000-0000-00007C0A0000}"/>
    <cellStyle name="SAPBEXexcGood3 2 11 3" xfId="3633" xr:uid="{00000000-0005-0000-0000-00007D0A0000}"/>
    <cellStyle name="SAPBEXexcGood3 2 11 4" xfId="4724" xr:uid="{00000000-0005-0000-0000-00007E0A0000}"/>
    <cellStyle name="SAPBEXexcGood3 2 12" xfId="1031" xr:uid="{00000000-0005-0000-0000-00007F0A0000}"/>
    <cellStyle name="SAPBEXexcGood3 2 12 2" xfId="2332" xr:uid="{00000000-0005-0000-0000-0000800A0000}"/>
    <cellStyle name="SAPBEXexcGood3 2 12 3" xfId="3634" xr:uid="{00000000-0005-0000-0000-0000810A0000}"/>
    <cellStyle name="SAPBEXexcGood3 2 12 4" xfId="4725" xr:uid="{00000000-0005-0000-0000-0000820A0000}"/>
    <cellStyle name="SAPBEXexcGood3 2 13" xfId="1032" xr:uid="{00000000-0005-0000-0000-0000830A0000}"/>
    <cellStyle name="SAPBEXexcGood3 2 13 2" xfId="2333" xr:uid="{00000000-0005-0000-0000-0000840A0000}"/>
    <cellStyle name="SAPBEXexcGood3 2 13 3" xfId="3635" xr:uid="{00000000-0005-0000-0000-0000850A0000}"/>
    <cellStyle name="SAPBEXexcGood3 2 13 4" xfId="4726" xr:uid="{00000000-0005-0000-0000-0000860A0000}"/>
    <cellStyle name="SAPBEXexcGood3 2 14" xfId="2329" xr:uid="{00000000-0005-0000-0000-0000870A0000}"/>
    <cellStyle name="SAPBEXexcGood3 2 15" xfId="3631" xr:uid="{00000000-0005-0000-0000-0000880A0000}"/>
    <cellStyle name="SAPBEXexcGood3 2 16" xfId="4722" xr:uid="{00000000-0005-0000-0000-0000890A0000}"/>
    <cellStyle name="SAPBEXexcGood3 2 2" xfId="1033" xr:uid="{00000000-0005-0000-0000-00008A0A0000}"/>
    <cellStyle name="SAPBEXexcGood3 2 2 2" xfId="2334" xr:uid="{00000000-0005-0000-0000-00008B0A0000}"/>
    <cellStyle name="SAPBEXexcGood3 2 2 3" xfId="3636" xr:uid="{00000000-0005-0000-0000-00008C0A0000}"/>
    <cellStyle name="SAPBEXexcGood3 2 2 4" xfId="4727" xr:uid="{00000000-0005-0000-0000-00008D0A0000}"/>
    <cellStyle name="SAPBEXexcGood3 2 3" xfId="1034" xr:uid="{00000000-0005-0000-0000-00008E0A0000}"/>
    <cellStyle name="SAPBEXexcGood3 2 3 2" xfId="2335" xr:uid="{00000000-0005-0000-0000-00008F0A0000}"/>
    <cellStyle name="SAPBEXexcGood3 2 3 3" xfId="3637" xr:uid="{00000000-0005-0000-0000-0000900A0000}"/>
    <cellStyle name="SAPBEXexcGood3 2 3 4" xfId="4728" xr:uid="{00000000-0005-0000-0000-0000910A0000}"/>
    <cellStyle name="SAPBEXexcGood3 2 4" xfId="1035" xr:uid="{00000000-0005-0000-0000-0000920A0000}"/>
    <cellStyle name="SAPBEXexcGood3 2 4 2" xfId="2336" xr:uid="{00000000-0005-0000-0000-0000930A0000}"/>
    <cellStyle name="SAPBEXexcGood3 2 4 3" xfId="3638" xr:uid="{00000000-0005-0000-0000-0000940A0000}"/>
    <cellStyle name="SAPBEXexcGood3 2 4 4" xfId="4729" xr:uid="{00000000-0005-0000-0000-0000950A0000}"/>
    <cellStyle name="SAPBEXexcGood3 2 5" xfId="1036" xr:uid="{00000000-0005-0000-0000-0000960A0000}"/>
    <cellStyle name="SAPBEXexcGood3 2 5 2" xfId="2337" xr:uid="{00000000-0005-0000-0000-0000970A0000}"/>
    <cellStyle name="SAPBEXexcGood3 2 5 3" xfId="3639" xr:uid="{00000000-0005-0000-0000-0000980A0000}"/>
    <cellStyle name="SAPBEXexcGood3 2 5 4" xfId="4730" xr:uid="{00000000-0005-0000-0000-0000990A0000}"/>
    <cellStyle name="SAPBEXexcGood3 2 6" xfId="1037" xr:uid="{00000000-0005-0000-0000-00009A0A0000}"/>
    <cellStyle name="SAPBEXexcGood3 2 6 2" xfId="2338" xr:uid="{00000000-0005-0000-0000-00009B0A0000}"/>
    <cellStyle name="SAPBEXexcGood3 2 6 3" xfId="3640" xr:uid="{00000000-0005-0000-0000-00009C0A0000}"/>
    <cellStyle name="SAPBEXexcGood3 2 6 4" xfId="4731" xr:uid="{00000000-0005-0000-0000-00009D0A0000}"/>
    <cellStyle name="SAPBEXexcGood3 2 7" xfId="1038" xr:uid="{00000000-0005-0000-0000-00009E0A0000}"/>
    <cellStyle name="SAPBEXexcGood3 2 7 2" xfId="2339" xr:uid="{00000000-0005-0000-0000-00009F0A0000}"/>
    <cellStyle name="SAPBEXexcGood3 2 7 3" xfId="3641" xr:uid="{00000000-0005-0000-0000-0000A00A0000}"/>
    <cellStyle name="SAPBEXexcGood3 2 7 4" xfId="4732" xr:uid="{00000000-0005-0000-0000-0000A10A0000}"/>
    <cellStyle name="SAPBEXexcGood3 2 8" xfId="1039" xr:uid="{00000000-0005-0000-0000-0000A20A0000}"/>
    <cellStyle name="SAPBEXexcGood3 2 8 2" xfId="2340" xr:uid="{00000000-0005-0000-0000-0000A30A0000}"/>
    <cellStyle name="SAPBEXexcGood3 2 8 3" xfId="3642" xr:uid="{00000000-0005-0000-0000-0000A40A0000}"/>
    <cellStyle name="SAPBEXexcGood3 2 8 4" xfId="4733" xr:uid="{00000000-0005-0000-0000-0000A50A0000}"/>
    <cellStyle name="SAPBEXexcGood3 2 9" xfId="1040" xr:uid="{00000000-0005-0000-0000-0000A60A0000}"/>
    <cellStyle name="SAPBEXexcGood3 2 9 2" xfId="2341" xr:uid="{00000000-0005-0000-0000-0000A70A0000}"/>
    <cellStyle name="SAPBEXexcGood3 2 9 3" xfId="3643" xr:uid="{00000000-0005-0000-0000-0000A80A0000}"/>
    <cellStyle name="SAPBEXexcGood3 2 9 4" xfId="4734" xr:uid="{00000000-0005-0000-0000-0000A90A0000}"/>
    <cellStyle name="SAPBEXexcGood3 3" xfId="1041" xr:uid="{00000000-0005-0000-0000-0000AA0A0000}"/>
    <cellStyle name="SAPBEXexcGood3 3 2" xfId="2342" xr:uid="{00000000-0005-0000-0000-0000AB0A0000}"/>
    <cellStyle name="SAPBEXexcGood3 3 3" xfId="3644" xr:uid="{00000000-0005-0000-0000-0000AC0A0000}"/>
    <cellStyle name="SAPBEXexcGood3 3 4" xfId="4735" xr:uid="{00000000-0005-0000-0000-0000AD0A0000}"/>
    <cellStyle name="SAPBEXexcGood3 4" xfId="1042" xr:uid="{00000000-0005-0000-0000-0000AE0A0000}"/>
    <cellStyle name="SAPBEXexcGood3 4 2" xfId="2343" xr:uid="{00000000-0005-0000-0000-0000AF0A0000}"/>
    <cellStyle name="SAPBEXexcGood3 4 3" xfId="3645" xr:uid="{00000000-0005-0000-0000-0000B00A0000}"/>
    <cellStyle name="SAPBEXexcGood3 4 4" xfId="4736" xr:uid="{00000000-0005-0000-0000-0000B10A0000}"/>
    <cellStyle name="SAPBEXexcGood3 5" xfId="1043" xr:uid="{00000000-0005-0000-0000-0000B20A0000}"/>
    <cellStyle name="SAPBEXexcGood3 5 2" xfId="2344" xr:uid="{00000000-0005-0000-0000-0000B30A0000}"/>
    <cellStyle name="SAPBEXexcGood3 5 3" xfId="3646" xr:uid="{00000000-0005-0000-0000-0000B40A0000}"/>
    <cellStyle name="SAPBEXexcGood3 5 4" xfId="4737" xr:uid="{00000000-0005-0000-0000-0000B50A0000}"/>
    <cellStyle name="SAPBEXexcGood3 6" xfId="1044" xr:uid="{00000000-0005-0000-0000-0000B60A0000}"/>
    <cellStyle name="SAPBEXexcGood3 6 2" xfId="2345" xr:uid="{00000000-0005-0000-0000-0000B70A0000}"/>
    <cellStyle name="SAPBEXexcGood3 6 3" xfId="3647" xr:uid="{00000000-0005-0000-0000-0000B80A0000}"/>
    <cellStyle name="SAPBEXexcGood3 6 4" xfId="4738" xr:uid="{00000000-0005-0000-0000-0000B90A0000}"/>
    <cellStyle name="SAPBEXexcGood3 7" xfId="1045" xr:uid="{00000000-0005-0000-0000-0000BA0A0000}"/>
    <cellStyle name="SAPBEXexcGood3 7 2" xfId="2346" xr:uid="{00000000-0005-0000-0000-0000BB0A0000}"/>
    <cellStyle name="SAPBEXexcGood3 7 3" xfId="3648" xr:uid="{00000000-0005-0000-0000-0000BC0A0000}"/>
    <cellStyle name="SAPBEXexcGood3 7 4" xfId="4739" xr:uid="{00000000-0005-0000-0000-0000BD0A0000}"/>
    <cellStyle name="SAPBEXexcGood3 8" xfId="1046" xr:uid="{00000000-0005-0000-0000-0000BE0A0000}"/>
    <cellStyle name="SAPBEXexcGood3 8 2" xfId="2347" xr:uid="{00000000-0005-0000-0000-0000BF0A0000}"/>
    <cellStyle name="SAPBEXexcGood3 8 3" xfId="3649" xr:uid="{00000000-0005-0000-0000-0000C00A0000}"/>
    <cellStyle name="SAPBEXexcGood3 8 4" xfId="4740" xr:uid="{00000000-0005-0000-0000-0000C10A0000}"/>
    <cellStyle name="SAPBEXexcGood3 9" xfId="1047" xr:uid="{00000000-0005-0000-0000-0000C20A0000}"/>
    <cellStyle name="SAPBEXexcGood3 9 2" xfId="2348" xr:uid="{00000000-0005-0000-0000-0000C30A0000}"/>
    <cellStyle name="SAPBEXexcGood3 9 3" xfId="3650" xr:uid="{00000000-0005-0000-0000-0000C40A0000}"/>
    <cellStyle name="SAPBEXexcGood3 9 4" xfId="4741" xr:uid="{00000000-0005-0000-0000-0000C50A0000}"/>
    <cellStyle name="SAPBEXfilterDrill" xfId="16" xr:uid="{00000000-0005-0000-0000-0000C60A0000}"/>
    <cellStyle name="SAPBEXfilterDrill 10" xfId="1049" xr:uid="{00000000-0005-0000-0000-0000C70A0000}"/>
    <cellStyle name="SAPBEXfilterDrill 10 2" xfId="2350" xr:uid="{00000000-0005-0000-0000-0000C80A0000}"/>
    <cellStyle name="SAPBEXfilterDrill 10 3" xfId="3652" xr:uid="{00000000-0005-0000-0000-0000C90A0000}"/>
    <cellStyle name="SAPBEXfilterDrill 10 4" xfId="4743" xr:uid="{00000000-0005-0000-0000-0000CA0A0000}"/>
    <cellStyle name="SAPBEXfilterDrill 11" xfId="1050" xr:uid="{00000000-0005-0000-0000-0000CB0A0000}"/>
    <cellStyle name="SAPBEXfilterDrill 11 2" xfId="2351" xr:uid="{00000000-0005-0000-0000-0000CC0A0000}"/>
    <cellStyle name="SAPBEXfilterDrill 11 3" xfId="3653" xr:uid="{00000000-0005-0000-0000-0000CD0A0000}"/>
    <cellStyle name="SAPBEXfilterDrill 11 4" xfId="4744" xr:uid="{00000000-0005-0000-0000-0000CE0A0000}"/>
    <cellStyle name="SAPBEXfilterDrill 12" xfId="1051" xr:uid="{00000000-0005-0000-0000-0000CF0A0000}"/>
    <cellStyle name="SAPBEXfilterDrill 12 2" xfId="2352" xr:uid="{00000000-0005-0000-0000-0000D00A0000}"/>
    <cellStyle name="SAPBEXfilterDrill 12 3" xfId="3654" xr:uid="{00000000-0005-0000-0000-0000D10A0000}"/>
    <cellStyle name="SAPBEXfilterDrill 12 4" xfId="4745" xr:uid="{00000000-0005-0000-0000-0000D20A0000}"/>
    <cellStyle name="SAPBEXfilterDrill 13" xfId="1052" xr:uid="{00000000-0005-0000-0000-0000D30A0000}"/>
    <cellStyle name="SAPBEXfilterDrill 13 2" xfId="2353" xr:uid="{00000000-0005-0000-0000-0000D40A0000}"/>
    <cellStyle name="SAPBEXfilterDrill 13 3" xfId="3655" xr:uid="{00000000-0005-0000-0000-0000D50A0000}"/>
    <cellStyle name="SAPBEXfilterDrill 13 4" xfId="4746" xr:uid="{00000000-0005-0000-0000-0000D60A0000}"/>
    <cellStyle name="SAPBEXfilterDrill 14" xfId="1053" xr:uid="{00000000-0005-0000-0000-0000D70A0000}"/>
    <cellStyle name="SAPBEXfilterDrill 14 2" xfId="2354" xr:uid="{00000000-0005-0000-0000-0000D80A0000}"/>
    <cellStyle name="SAPBEXfilterDrill 14 3" xfId="3656" xr:uid="{00000000-0005-0000-0000-0000D90A0000}"/>
    <cellStyle name="SAPBEXfilterDrill 14 4" xfId="4747" xr:uid="{00000000-0005-0000-0000-0000DA0A0000}"/>
    <cellStyle name="SAPBEXfilterDrill 15" xfId="2349" xr:uid="{00000000-0005-0000-0000-0000DB0A0000}"/>
    <cellStyle name="SAPBEXfilterDrill 16" xfId="3651" xr:uid="{00000000-0005-0000-0000-0000DC0A0000}"/>
    <cellStyle name="SAPBEXfilterDrill 17" xfId="4742" xr:uid="{00000000-0005-0000-0000-0000DD0A0000}"/>
    <cellStyle name="SAPBEXfilterDrill 2" xfId="1048" xr:uid="{00000000-0005-0000-0000-0000DE0A0000}"/>
    <cellStyle name="SAPBEXfilterDrill 2 10" xfId="1054" xr:uid="{00000000-0005-0000-0000-0000DF0A0000}"/>
    <cellStyle name="SAPBEXfilterDrill 2 10 2" xfId="2356" xr:uid="{00000000-0005-0000-0000-0000E00A0000}"/>
    <cellStyle name="SAPBEXfilterDrill 2 10 3" xfId="3658" xr:uid="{00000000-0005-0000-0000-0000E10A0000}"/>
    <cellStyle name="SAPBEXfilterDrill 2 10 4" xfId="4749" xr:uid="{00000000-0005-0000-0000-0000E20A0000}"/>
    <cellStyle name="SAPBEXfilterDrill 2 11" xfId="1055" xr:uid="{00000000-0005-0000-0000-0000E30A0000}"/>
    <cellStyle name="SAPBEXfilterDrill 2 11 2" xfId="2357" xr:uid="{00000000-0005-0000-0000-0000E40A0000}"/>
    <cellStyle name="SAPBEXfilterDrill 2 11 3" xfId="3659" xr:uid="{00000000-0005-0000-0000-0000E50A0000}"/>
    <cellStyle name="SAPBEXfilterDrill 2 11 4" xfId="4750" xr:uid="{00000000-0005-0000-0000-0000E60A0000}"/>
    <cellStyle name="SAPBEXfilterDrill 2 12" xfId="1056" xr:uid="{00000000-0005-0000-0000-0000E70A0000}"/>
    <cellStyle name="SAPBEXfilterDrill 2 12 2" xfId="2358" xr:uid="{00000000-0005-0000-0000-0000E80A0000}"/>
    <cellStyle name="SAPBEXfilterDrill 2 12 3" xfId="3660" xr:uid="{00000000-0005-0000-0000-0000E90A0000}"/>
    <cellStyle name="SAPBEXfilterDrill 2 12 4" xfId="4751" xr:uid="{00000000-0005-0000-0000-0000EA0A0000}"/>
    <cellStyle name="SAPBEXfilterDrill 2 13" xfId="1057" xr:uid="{00000000-0005-0000-0000-0000EB0A0000}"/>
    <cellStyle name="SAPBEXfilterDrill 2 13 2" xfId="2359" xr:uid="{00000000-0005-0000-0000-0000EC0A0000}"/>
    <cellStyle name="SAPBEXfilterDrill 2 13 3" xfId="3661" xr:uid="{00000000-0005-0000-0000-0000ED0A0000}"/>
    <cellStyle name="SAPBEXfilterDrill 2 13 4" xfId="4752" xr:uid="{00000000-0005-0000-0000-0000EE0A0000}"/>
    <cellStyle name="SAPBEXfilterDrill 2 14" xfId="2355" xr:uid="{00000000-0005-0000-0000-0000EF0A0000}"/>
    <cellStyle name="SAPBEXfilterDrill 2 15" xfId="3657" xr:uid="{00000000-0005-0000-0000-0000F00A0000}"/>
    <cellStyle name="SAPBEXfilterDrill 2 16" xfId="4748" xr:uid="{00000000-0005-0000-0000-0000F10A0000}"/>
    <cellStyle name="SAPBEXfilterDrill 2 2" xfId="1058" xr:uid="{00000000-0005-0000-0000-0000F20A0000}"/>
    <cellStyle name="SAPBEXfilterDrill 2 2 2" xfId="2360" xr:uid="{00000000-0005-0000-0000-0000F30A0000}"/>
    <cellStyle name="SAPBEXfilterDrill 2 2 3" xfId="3662" xr:uid="{00000000-0005-0000-0000-0000F40A0000}"/>
    <cellStyle name="SAPBEXfilterDrill 2 2 4" xfId="4753" xr:uid="{00000000-0005-0000-0000-0000F50A0000}"/>
    <cellStyle name="SAPBEXfilterDrill 2 3" xfId="1059" xr:uid="{00000000-0005-0000-0000-0000F60A0000}"/>
    <cellStyle name="SAPBEXfilterDrill 2 3 2" xfId="2361" xr:uid="{00000000-0005-0000-0000-0000F70A0000}"/>
    <cellStyle name="SAPBEXfilterDrill 2 3 3" xfId="3663" xr:uid="{00000000-0005-0000-0000-0000F80A0000}"/>
    <cellStyle name="SAPBEXfilterDrill 2 3 4" xfId="4754" xr:uid="{00000000-0005-0000-0000-0000F90A0000}"/>
    <cellStyle name="SAPBEXfilterDrill 2 4" xfId="1060" xr:uid="{00000000-0005-0000-0000-0000FA0A0000}"/>
    <cellStyle name="SAPBEXfilterDrill 2 4 2" xfId="2362" xr:uid="{00000000-0005-0000-0000-0000FB0A0000}"/>
    <cellStyle name="SAPBEXfilterDrill 2 4 3" xfId="3664" xr:uid="{00000000-0005-0000-0000-0000FC0A0000}"/>
    <cellStyle name="SAPBEXfilterDrill 2 4 4" xfId="4755" xr:uid="{00000000-0005-0000-0000-0000FD0A0000}"/>
    <cellStyle name="SAPBEXfilterDrill 2 5" xfId="1061" xr:uid="{00000000-0005-0000-0000-0000FE0A0000}"/>
    <cellStyle name="SAPBEXfilterDrill 2 5 2" xfId="2363" xr:uid="{00000000-0005-0000-0000-0000FF0A0000}"/>
    <cellStyle name="SAPBEXfilterDrill 2 5 3" xfId="3665" xr:uid="{00000000-0005-0000-0000-0000000B0000}"/>
    <cellStyle name="SAPBEXfilterDrill 2 5 4" xfId="4756" xr:uid="{00000000-0005-0000-0000-0000010B0000}"/>
    <cellStyle name="SAPBEXfilterDrill 2 6" xfId="1062" xr:uid="{00000000-0005-0000-0000-0000020B0000}"/>
    <cellStyle name="SAPBEXfilterDrill 2 6 2" xfId="2364" xr:uid="{00000000-0005-0000-0000-0000030B0000}"/>
    <cellStyle name="SAPBEXfilterDrill 2 6 3" xfId="3666" xr:uid="{00000000-0005-0000-0000-0000040B0000}"/>
    <cellStyle name="SAPBEXfilterDrill 2 6 4" xfId="4757" xr:uid="{00000000-0005-0000-0000-0000050B0000}"/>
    <cellStyle name="SAPBEXfilterDrill 2 7" xfId="1063" xr:uid="{00000000-0005-0000-0000-0000060B0000}"/>
    <cellStyle name="SAPBEXfilterDrill 2 7 2" xfId="2365" xr:uid="{00000000-0005-0000-0000-0000070B0000}"/>
    <cellStyle name="SAPBEXfilterDrill 2 7 3" xfId="3667" xr:uid="{00000000-0005-0000-0000-0000080B0000}"/>
    <cellStyle name="SAPBEXfilterDrill 2 7 4" xfId="4758" xr:uid="{00000000-0005-0000-0000-0000090B0000}"/>
    <cellStyle name="SAPBEXfilterDrill 2 8" xfId="1064" xr:uid="{00000000-0005-0000-0000-00000A0B0000}"/>
    <cellStyle name="SAPBEXfilterDrill 2 8 2" xfId="2366" xr:uid="{00000000-0005-0000-0000-00000B0B0000}"/>
    <cellStyle name="SAPBEXfilterDrill 2 8 3" xfId="3668" xr:uid="{00000000-0005-0000-0000-00000C0B0000}"/>
    <cellStyle name="SAPBEXfilterDrill 2 8 4" xfId="4759" xr:uid="{00000000-0005-0000-0000-00000D0B0000}"/>
    <cellStyle name="SAPBEXfilterDrill 2 9" xfId="1065" xr:uid="{00000000-0005-0000-0000-00000E0B0000}"/>
    <cellStyle name="SAPBEXfilterDrill 2 9 2" xfId="2367" xr:uid="{00000000-0005-0000-0000-00000F0B0000}"/>
    <cellStyle name="SAPBEXfilterDrill 2 9 3" xfId="3669" xr:uid="{00000000-0005-0000-0000-0000100B0000}"/>
    <cellStyle name="SAPBEXfilterDrill 2 9 4" xfId="4760" xr:uid="{00000000-0005-0000-0000-0000110B0000}"/>
    <cellStyle name="SAPBEXfilterDrill 3" xfId="1066" xr:uid="{00000000-0005-0000-0000-0000120B0000}"/>
    <cellStyle name="SAPBEXfilterDrill 3 2" xfId="2368" xr:uid="{00000000-0005-0000-0000-0000130B0000}"/>
    <cellStyle name="SAPBEXfilterDrill 3 3" xfId="3670" xr:uid="{00000000-0005-0000-0000-0000140B0000}"/>
    <cellStyle name="SAPBEXfilterDrill 3 4" xfId="4761" xr:uid="{00000000-0005-0000-0000-0000150B0000}"/>
    <cellStyle name="SAPBEXfilterDrill 4" xfId="1067" xr:uid="{00000000-0005-0000-0000-0000160B0000}"/>
    <cellStyle name="SAPBEXfilterDrill 4 2" xfId="2369" xr:uid="{00000000-0005-0000-0000-0000170B0000}"/>
    <cellStyle name="SAPBEXfilterDrill 4 3" xfId="3671" xr:uid="{00000000-0005-0000-0000-0000180B0000}"/>
    <cellStyle name="SAPBEXfilterDrill 4 4" xfId="4762" xr:uid="{00000000-0005-0000-0000-0000190B0000}"/>
    <cellStyle name="SAPBEXfilterDrill 5" xfId="1068" xr:uid="{00000000-0005-0000-0000-00001A0B0000}"/>
    <cellStyle name="SAPBEXfilterDrill 5 2" xfId="2370" xr:uid="{00000000-0005-0000-0000-00001B0B0000}"/>
    <cellStyle name="SAPBEXfilterDrill 5 3" xfId="3672" xr:uid="{00000000-0005-0000-0000-00001C0B0000}"/>
    <cellStyle name="SAPBEXfilterDrill 5 4" xfId="4763" xr:uid="{00000000-0005-0000-0000-00001D0B0000}"/>
    <cellStyle name="SAPBEXfilterDrill 6" xfId="1069" xr:uid="{00000000-0005-0000-0000-00001E0B0000}"/>
    <cellStyle name="SAPBEXfilterDrill 6 2" xfId="2371" xr:uid="{00000000-0005-0000-0000-00001F0B0000}"/>
    <cellStyle name="SAPBEXfilterDrill 6 3" xfId="3673" xr:uid="{00000000-0005-0000-0000-0000200B0000}"/>
    <cellStyle name="SAPBEXfilterDrill 6 4" xfId="4764" xr:uid="{00000000-0005-0000-0000-0000210B0000}"/>
    <cellStyle name="SAPBEXfilterDrill 7" xfId="1070" xr:uid="{00000000-0005-0000-0000-0000220B0000}"/>
    <cellStyle name="SAPBEXfilterDrill 7 2" xfId="2372" xr:uid="{00000000-0005-0000-0000-0000230B0000}"/>
    <cellStyle name="SAPBEXfilterDrill 7 3" xfId="3674" xr:uid="{00000000-0005-0000-0000-0000240B0000}"/>
    <cellStyle name="SAPBEXfilterDrill 7 4" xfId="4765" xr:uid="{00000000-0005-0000-0000-0000250B0000}"/>
    <cellStyle name="SAPBEXfilterDrill 8" xfId="1071" xr:uid="{00000000-0005-0000-0000-0000260B0000}"/>
    <cellStyle name="SAPBEXfilterDrill 8 2" xfId="2373" xr:uid="{00000000-0005-0000-0000-0000270B0000}"/>
    <cellStyle name="SAPBEXfilterDrill 8 3" xfId="3675" xr:uid="{00000000-0005-0000-0000-0000280B0000}"/>
    <cellStyle name="SAPBEXfilterDrill 8 4" xfId="4766" xr:uid="{00000000-0005-0000-0000-0000290B0000}"/>
    <cellStyle name="SAPBEXfilterDrill 9" xfId="1072" xr:uid="{00000000-0005-0000-0000-00002A0B0000}"/>
    <cellStyle name="SAPBEXfilterDrill 9 2" xfId="2374" xr:uid="{00000000-0005-0000-0000-00002B0B0000}"/>
    <cellStyle name="SAPBEXfilterDrill 9 3" xfId="3676" xr:uid="{00000000-0005-0000-0000-00002C0B0000}"/>
    <cellStyle name="SAPBEXfilterDrill 9 4" xfId="4767" xr:uid="{00000000-0005-0000-0000-00002D0B0000}"/>
    <cellStyle name="SAPBEXfilterItem" xfId="17" xr:uid="{00000000-0005-0000-0000-00002E0B0000}"/>
    <cellStyle name="SAPBEXfilterItem 2" xfId="1073" xr:uid="{00000000-0005-0000-0000-00002F0B0000}"/>
    <cellStyle name="SAPBEXfilterText" xfId="18" xr:uid="{00000000-0005-0000-0000-0000300B0000}"/>
    <cellStyle name="SAPBEXformats" xfId="19" xr:uid="{00000000-0005-0000-0000-0000310B0000}"/>
    <cellStyle name="SAPBEXformats 10" xfId="1075" xr:uid="{00000000-0005-0000-0000-0000320B0000}"/>
    <cellStyle name="SAPBEXformats 10 2" xfId="2376" xr:uid="{00000000-0005-0000-0000-0000330B0000}"/>
    <cellStyle name="SAPBEXformats 10 3" xfId="3680" xr:uid="{00000000-0005-0000-0000-0000340B0000}"/>
    <cellStyle name="SAPBEXformats 10 4" xfId="4769" xr:uid="{00000000-0005-0000-0000-0000350B0000}"/>
    <cellStyle name="SAPBEXformats 11" xfId="1076" xr:uid="{00000000-0005-0000-0000-0000360B0000}"/>
    <cellStyle name="SAPBEXformats 11 2" xfId="2377" xr:uid="{00000000-0005-0000-0000-0000370B0000}"/>
    <cellStyle name="SAPBEXformats 11 3" xfId="3681" xr:uid="{00000000-0005-0000-0000-0000380B0000}"/>
    <cellStyle name="SAPBEXformats 11 4" xfId="4770" xr:uid="{00000000-0005-0000-0000-0000390B0000}"/>
    <cellStyle name="SAPBEXformats 12" xfId="1077" xr:uid="{00000000-0005-0000-0000-00003A0B0000}"/>
    <cellStyle name="SAPBEXformats 12 2" xfId="2378" xr:uid="{00000000-0005-0000-0000-00003B0B0000}"/>
    <cellStyle name="SAPBEXformats 12 3" xfId="3682" xr:uid="{00000000-0005-0000-0000-00003C0B0000}"/>
    <cellStyle name="SAPBEXformats 12 4" xfId="4771" xr:uid="{00000000-0005-0000-0000-00003D0B0000}"/>
    <cellStyle name="SAPBEXformats 13" xfId="1078" xr:uid="{00000000-0005-0000-0000-00003E0B0000}"/>
    <cellStyle name="SAPBEXformats 13 2" xfId="2379" xr:uid="{00000000-0005-0000-0000-00003F0B0000}"/>
    <cellStyle name="SAPBEXformats 13 3" xfId="3683" xr:uid="{00000000-0005-0000-0000-0000400B0000}"/>
    <cellStyle name="SAPBEXformats 13 4" xfId="4772" xr:uid="{00000000-0005-0000-0000-0000410B0000}"/>
    <cellStyle name="SAPBEXformats 14" xfId="1079" xr:uid="{00000000-0005-0000-0000-0000420B0000}"/>
    <cellStyle name="SAPBEXformats 14 2" xfId="2380" xr:uid="{00000000-0005-0000-0000-0000430B0000}"/>
    <cellStyle name="SAPBEXformats 14 3" xfId="3684" xr:uid="{00000000-0005-0000-0000-0000440B0000}"/>
    <cellStyle name="SAPBEXformats 14 4" xfId="4773" xr:uid="{00000000-0005-0000-0000-0000450B0000}"/>
    <cellStyle name="SAPBEXformats 15" xfId="2375" xr:uid="{00000000-0005-0000-0000-0000460B0000}"/>
    <cellStyle name="SAPBEXformats 16" xfId="3679" xr:uid="{00000000-0005-0000-0000-0000470B0000}"/>
    <cellStyle name="SAPBEXformats 17" xfId="4768" xr:uid="{00000000-0005-0000-0000-0000480B0000}"/>
    <cellStyle name="SAPBEXformats 2" xfId="1074" xr:uid="{00000000-0005-0000-0000-0000490B0000}"/>
    <cellStyle name="SAPBEXformats 2 10" xfId="1080" xr:uid="{00000000-0005-0000-0000-00004A0B0000}"/>
    <cellStyle name="SAPBEXformats 2 10 2" xfId="2382" xr:uid="{00000000-0005-0000-0000-00004B0B0000}"/>
    <cellStyle name="SAPBEXformats 2 10 3" xfId="3686" xr:uid="{00000000-0005-0000-0000-00004C0B0000}"/>
    <cellStyle name="SAPBEXformats 2 10 4" xfId="4775" xr:uid="{00000000-0005-0000-0000-00004D0B0000}"/>
    <cellStyle name="SAPBEXformats 2 11" xfId="1081" xr:uid="{00000000-0005-0000-0000-00004E0B0000}"/>
    <cellStyle name="SAPBEXformats 2 11 2" xfId="2383" xr:uid="{00000000-0005-0000-0000-00004F0B0000}"/>
    <cellStyle name="SAPBEXformats 2 11 3" xfId="3687" xr:uid="{00000000-0005-0000-0000-0000500B0000}"/>
    <cellStyle name="SAPBEXformats 2 11 4" xfId="4776" xr:uid="{00000000-0005-0000-0000-0000510B0000}"/>
    <cellStyle name="SAPBEXformats 2 12" xfId="1082" xr:uid="{00000000-0005-0000-0000-0000520B0000}"/>
    <cellStyle name="SAPBEXformats 2 12 2" xfId="2384" xr:uid="{00000000-0005-0000-0000-0000530B0000}"/>
    <cellStyle name="SAPBEXformats 2 12 3" xfId="3688" xr:uid="{00000000-0005-0000-0000-0000540B0000}"/>
    <cellStyle name="SAPBEXformats 2 12 4" xfId="4777" xr:uid="{00000000-0005-0000-0000-0000550B0000}"/>
    <cellStyle name="SAPBEXformats 2 13" xfId="1083" xr:uid="{00000000-0005-0000-0000-0000560B0000}"/>
    <cellStyle name="SAPBEXformats 2 13 2" xfId="2385" xr:uid="{00000000-0005-0000-0000-0000570B0000}"/>
    <cellStyle name="SAPBEXformats 2 13 3" xfId="3689" xr:uid="{00000000-0005-0000-0000-0000580B0000}"/>
    <cellStyle name="SAPBEXformats 2 13 4" xfId="4778" xr:uid="{00000000-0005-0000-0000-0000590B0000}"/>
    <cellStyle name="SAPBEXformats 2 14" xfId="2381" xr:uid="{00000000-0005-0000-0000-00005A0B0000}"/>
    <cellStyle name="SAPBEXformats 2 15" xfId="3685" xr:uid="{00000000-0005-0000-0000-00005B0B0000}"/>
    <cellStyle name="SAPBEXformats 2 16" xfId="4774" xr:uid="{00000000-0005-0000-0000-00005C0B0000}"/>
    <cellStyle name="SAPBEXformats 2 2" xfId="1084" xr:uid="{00000000-0005-0000-0000-00005D0B0000}"/>
    <cellStyle name="SAPBEXformats 2 2 2" xfId="2386" xr:uid="{00000000-0005-0000-0000-00005E0B0000}"/>
    <cellStyle name="SAPBEXformats 2 2 3" xfId="3690" xr:uid="{00000000-0005-0000-0000-00005F0B0000}"/>
    <cellStyle name="SAPBEXformats 2 2 4" xfId="4779" xr:uid="{00000000-0005-0000-0000-0000600B0000}"/>
    <cellStyle name="SAPBEXformats 2 3" xfId="1085" xr:uid="{00000000-0005-0000-0000-0000610B0000}"/>
    <cellStyle name="SAPBEXformats 2 3 2" xfId="2387" xr:uid="{00000000-0005-0000-0000-0000620B0000}"/>
    <cellStyle name="SAPBEXformats 2 3 3" xfId="3691" xr:uid="{00000000-0005-0000-0000-0000630B0000}"/>
    <cellStyle name="SAPBEXformats 2 3 4" xfId="4780" xr:uid="{00000000-0005-0000-0000-0000640B0000}"/>
    <cellStyle name="SAPBEXformats 2 4" xfId="1086" xr:uid="{00000000-0005-0000-0000-0000650B0000}"/>
    <cellStyle name="SAPBEXformats 2 4 2" xfId="2388" xr:uid="{00000000-0005-0000-0000-0000660B0000}"/>
    <cellStyle name="SAPBEXformats 2 4 3" xfId="3692" xr:uid="{00000000-0005-0000-0000-0000670B0000}"/>
    <cellStyle name="SAPBEXformats 2 4 4" xfId="4781" xr:uid="{00000000-0005-0000-0000-0000680B0000}"/>
    <cellStyle name="SAPBEXformats 2 5" xfId="1087" xr:uid="{00000000-0005-0000-0000-0000690B0000}"/>
    <cellStyle name="SAPBEXformats 2 5 2" xfId="2389" xr:uid="{00000000-0005-0000-0000-00006A0B0000}"/>
    <cellStyle name="SAPBEXformats 2 5 3" xfId="3693" xr:uid="{00000000-0005-0000-0000-00006B0B0000}"/>
    <cellStyle name="SAPBEXformats 2 5 4" xfId="4782" xr:uid="{00000000-0005-0000-0000-00006C0B0000}"/>
    <cellStyle name="SAPBEXformats 2 6" xfId="1088" xr:uid="{00000000-0005-0000-0000-00006D0B0000}"/>
    <cellStyle name="SAPBEXformats 2 6 2" xfId="2390" xr:uid="{00000000-0005-0000-0000-00006E0B0000}"/>
    <cellStyle name="SAPBEXformats 2 6 3" xfId="3694" xr:uid="{00000000-0005-0000-0000-00006F0B0000}"/>
    <cellStyle name="SAPBEXformats 2 6 4" xfId="4783" xr:uid="{00000000-0005-0000-0000-0000700B0000}"/>
    <cellStyle name="SAPBEXformats 2 7" xfId="1089" xr:uid="{00000000-0005-0000-0000-0000710B0000}"/>
    <cellStyle name="SAPBEXformats 2 7 2" xfId="2391" xr:uid="{00000000-0005-0000-0000-0000720B0000}"/>
    <cellStyle name="SAPBEXformats 2 7 3" xfId="3695" xr:uid="{00000000-0005-0000-0000-0000730B0000}"/>
    <cellStyle name="SAPBEXformats 2 7 4" xfId="4784" xr:uid="{00000000-0005-0000-0000-0000740B0000}"/>
    <cellStyle name="SAPBEXformats 2 8" xfId="1090" xr:uid="{00000000-0005-0000-0000-0000750B0000}"/>
    <cellStyle name="SAPBEXformats 2 8 2" xfId="2392" xr:uid="{00000000-0005-0000-0000-0000760B0000}"/>
    <cellStyle name="SAPBEXformats 2 8 3" xfId="3696" xr:uid="{00000000-0005-0000-0000-0000770B0000}"/>
    <cellStyle name="SAPBEXformats 2 8 4" xfId="4785" xr:uid="{00000000-0005-0000-0000-0000780B0000}"/>
    <cellStyle name="SAPBEXformats 2 9" xfId="1091" xr:uid="{00000000-0005-0000-0000-0000790B0000}"/>
    <cellStyle name="SAPBEXformats 2 9 2" xfId="2393" xr:uid="{00000000-0005-0000-0000-00007A0B0000}"/>
    <cellStyle name="SAPBEXformats 2 9 3" xfId="3697" xr:uid="{00000000-0005-0000-0000-00007B0B0000}"/>
    <cellStyle name="SAPBEXformats 2 9 4" xfId="4786" xr:uid="{00000000-0005-0000-0000-00007C0B0000}"/>
    <cellStyle name="SAPBEXformats 3" xfId="1092" xr:uid="{00000000-0005-0000-0000-00007D0B0000}"/>
    <cellStyle name="SAPBEXformats 3 2" xfId="2394" xr:uid="{00000000-0005-0000-0000-00007E0B0000}"/>
    <cellStyle name="SAPBEXformats 3 3" xfId="3698" xr:uid="{00000000-0005-0000-0000-00007F0B0000}"/>
    <cellStyle name="SAPBEXformats 3 4" xfId="4787" xr:uid="{00000000-0005-0000-0000-0000800B0000}"/>
    <cellStyle name="SAPBEXformats 4" xfId="1093" xr:uid="{00000000-0005-0000-0000-0000810B0000}"/>
    <cellStyle name="SAPBEXformats 4 2" xfId="2395" xr:uid="{00000000-0005-0000-0000-0000820B0000}"/>
    <cellStyle name="SAPBEXformats 4 3" xfId="3699" xr:uid="{00000000-0005-0000-0000-0000830B0000}"/>
    <cellStyle name="SAPBEXformats 4 4" xfId="4788" xr:uid="{00000000-0005-0000-0000-0000840B0000}"/>
    <cellStyle name="SAPBEXformats 5" xfId="1094" xr:uid="{00000000-0005-0000-0000-0000850B0000}"/>
    <cellStyle name="SAPBEXformats 5 2" xfId="2396" xr:uid="{00000000-0005-0000-0000-0000860B0000}"/>
    <cellStyle name="SAPBEXformats 5 3" xfId="3700" xr:uid="{00000000-0005-0000-0000-0000870B0000}"/>
    <cellStyle name="SAPBEXformats 5 4" xfId="4789" xr:uid="{00000000-0005-0000-0000-0000880B0000}"/>
    <cellStyle name="SAPBEXformats 6" xfId="1095" xr:uid="{00000000-0005-0000-0000-0000890B0000}"/>
    <cellStyle name="SAPBEXformats 6 2" xfId="2397" xr:uid="{00000000-0005-0000-0000-00008A0B0000}"/>
    <cellStyle name="SAPBEXformats 6 3" xfId="3701" xr:uid="{00000000-0005-0000-0000-00008B0B0000}"/>
    <cellStyle name="SAPBEXformats 6 4" xfId="4790" xr:uid="{00000000-0005-0000-0000-00008C0B0000}"/>
    <cellStyle name="SAPBEXformats 7" xfId="1096" xr:uid="{00000000-0005-0000-0000-00008D0B0000}"/>
    <cellStyle name="SAPBEXformats 7 2" xfId="2398" xr:uid="{00000000-0005-0000-0000-00008E0B0000}"/>
    <cellStyle name="SAPBEXformats 7 3" xfId="3702" xr:uid="{00000000-0005-0000-0000-00008F0B0000}"/>
    <cellStyle name="SAPBEXformats 7 4" xfId="4791" xr:uid="{00000000-0005-0000-0000-0000900B0000}"/>
    <cellStyle name="SAPBEXformats 8" xfId="1097" xr:uid="{00000000-0005-0000-0000-0000910B0000}"/>
    <cellStyle name="SAPBEXformats 8 2" xfId="2399" xr:uid="{00000000-0005-0000-0000-0000920B0000}"/>
    <cellStyle name="SAPBEXformats 8 3" xfId="3703" xr:uid="{00000000-0005-0000-0000-0000930B0000}"/>
    <cellStyle name="SAPBEXformats 8 4" xfId="4792" xr:uid="{00000000-0005-0000-0000-0000940B0000}"/>
    <cellStyle name="SAPBEXformats 9" xfId="1098" xr:uid="{00000000-0005-0000-0000-0000950B0000}"/>
    <cellStyle name="SAPBEXformats 9 2" xfId="2400" xr:uid="{00000000-0005-0000-0000-0000960B0000}"/>
    <cellStyle name="SAPBEXformats 9 3" xfId="3704" xr:uid="{00000000-0005-0000-0000-0000970B0000}"/>
    <cellStyle name="SAPBEXformats 9 4" xfId="4793" xr:uid="{00000000-0005-0000-0000-0000980B0000}"/>
    <cellStyle name="SAPBEXheaderItem" xfId="20" xr:uid="{00000000-0005-0000-0000-0000990B0000}"/>
    <cellStyle name="SAPBEXheaderItem 10" xfId="1100" xr:uid="{00000000-0005-0000-0000-00009A0B0000}"/>
    <cellStyle name="SAPBEXheaderItem 10 2" xfId="2402" xr:uid="{00000000-0005-0000-0000-00009B0B0000}"/>
    <cellStyle name="SAPBEXheaderItem 10 3" xfId="3706" xr:uid="{00000000-0005-0000-0000-00009C0B0000}"/>
    <cellStyle name="SAPBEXheaderItem 10 4" xfId="4795" xr:uid="{00000000-0005-0000-0000-00009D0B0000}"/>
    <cellStyle name="SAPBEXheaderItem 11" xfId="1101" xr:uid="{00000000-0005-0000-0000-00009E0B0000}"/>
    <cellStyle name="SAPBEXheaderItem 11 2" xfId="2403" xr:uid="{00000000-0005-0000-0000-00009F0B0000}"/>
    <cellStyle name="SAPBEXheaderItem 11 3" xfId="3707" xr:uid="{00000000-0005-0000-0000-0000A00B0000}"/>
    <cellStyle name="SAPBEXheaderItem 11 4" xfId="4796" xr:uid="{00000000-0005-0000-0000-0000A10B0000}"/>
    <cellStyle name="SAPBEXheaderItem 12" xfId="1102" xr:uid="{00000000-0005-0000-0000-0000A20B0000}"/>
    <cellStyle name="SAPBEXheaderItem 12 2" xfId="2404" xr:uid="{00000000-0005-0000-0000-0000A30B0000}"/>
    <cellStyle name="SAPBEXheaderItem 12 3" xfId="3708" xr:uid="{00000000-0005-0000-0000-0000A40B0000}"/>
    <cellStyle name="SAPBEXheaderItem 12 4" xfId="4797" xr:uid="{00000000-0005-0000-0000-0000A50B0000}"/>
    <cellStyle name="SAPBEXheaderItem 13" xfId="1103" xr:uid="{00000000-0005-0000-0000-0000A60B0000}"/>
    <cellStyle name="SAPBEXheaderItem 13 2" xfId="2405" xr:uid="{00000000-0005-0000-0000-0000A70B0000}"/>
    <cellStyle name="SAPBEXheaderItem 13 3" xfId="3709" xr:uid="{00000000-0005-0000-0000-0000A80B0000}"/>
    <cellStyle name="SAPBEXheaderItem 13 4" xfId="4798" xr:uid="{00000000-0005-0000-0000-0000A90B0000}"/>
    <cellStyle name="SAPBEXheaderItem 14" xfId="1104" xr:uid="{00000000-0005-0000-0000-0000AA0B0000}"/>
    <cellStyle name="SAPBEXheaderItem 14 2" xfId="2406" xr:uid="{00000000-0005-0000-0000-0000AB0B0000}"/>
    <cellStyle name="SAPBEXheaderItem 14 3" xfId="3710" xr:uid="{00000000-0005-0000-0000-0000AC0B0000}"/>
    <cellStyle name="SAPBEXheaderItem 14 4" xfId="4799" xr:uid="{00000000-0005-0000-0000-0000AD0B0000}"/>
    <cellStyle name="SAPBEXheaderItem 15" xfId="2401" xr:uid="{00000000-0005-0000-0000-0000AE0B0000}"/>
    <cellStyle name="SAPBEXheaderItem 16" xfId="3705" xr:uid="{00000000-0005-0000-0000-0000AF0B0000}"/>
    <cellStyle name="SAPBEXheaderItem 17" xfId="4794" xr:uid="{00000000-0005-0000-0000-0000B00B0000}"/>
    <cellStyle name="SAPBEXheaderItem 2" xfId="1099" xr:uid="{00000000-0005-0000-0000-0000B10B0000}"/>
    <cellStyle name="SAPBEXheaderItem 2 10" xfId="1105" xr:uid="{00000000-0005-0000-0000-0000B20B0000}"/>
    <cellStyle name="SAPBEXheaderItem 2 10 2" xfId="2408" xr:uid="{00000000-0005-0000-0000-0000B30B0000}"/>
    <cellStyle name="SAPBEXheaderItem 2 10 3" xfId="3712" xr:uid="{00000000-0005-0000-0000-0000B40B0000}"/>
    <cellStyle name="SAPBEXheaderItem 2 10 4" xfId="4801" xr:uid="{00000000-0005-0000-0000-0000B50B0000}"/>
    <cellStyle name="SAPBEXheaderItem 2 11" xfId="1106" xr:uid="{00000000-0005-0000-0000-0000B60B0000}"/>
    <cellStyle name="SAPBEXheaderItem 2 11 2" xfId="2409" xr:uid="{00000000-0005-0000-0000-0000B70B0000}"/>
    <cellStyle name="SAPBEXheaderItem 2 11 3" xfId="3713" xr:uid="{00000000-0005-0000-0000-0000B80B0000}"/>
    <cellStyle name="SAPBEXheaderItem 2 11 4" xfId="4802" xr:uid="{00000000-0005-0000-0000-0000B90B0000}"/>
    <cellStyle name="SAPBEXheaderItem 2 12" xfId="1107" xr:uid="{00000000-0005-0000-0000-0000BA0B0000}"/>
    <cellStyle name="SAPBEXheaderItem 2 12 2" xfId="2410" xr:uid="{00000000-0005-0000-0000-0000BB0B0000}"/>
    <cellStyle name="SAPBEXheaderItem 2 12 3" xfId="3714" xr:uid="{00000000-0005-0000-0000-0000BC0B0000}"/>
    <cellStyle name="SAPBEXheaderItem 2 12 4" xfId="4803" xr:uid="{00000000-0005-0000-0000-0000BD0B0000}"/>
    <cellStyle name="SAPBEXheaderItem 2 13" xfId="1108" xr:uid="{00000000-0005-0000-0000-0000BE0B0000}"/>
    <cellStyle name="SAPBEXheaderItem 2 13 2" xfId="2411" xr:uid="{00000000-0005-0000-0000-0000BF0B0000}"/>
    <cellStyle name="SAPBEXheaderItem 2 13 3" xfId="3715" xr:uid="{00000000-0005-0000-0000-0000C00B0000}"/>
    <cellStyle name="SAPBEXheaderItem 2 13 4" xfId="4804" xr:uid="{00000000-0005-0000-0000-0000C10B0000}"/>
    <cellStyle name="SAPBEXheaderItem 2 14" xfId="2407" xr:uid="{00000000-0005-0000-0000-0000C20B0000}"/>
    <cellStyle name="SAPBEXheaderItem 2 15" xfId="3711" xr:uid="{00000000-0005-0000-0000-0000C30B0000}"/>
    <cellStyle name="SAPBEXheaderItem 2 16" xfId="4800" xr:uid="{00000000-0005-0000-0000-0000C40B0000}"/>
    <cellStyle name="SAPBEXheaderItem 2 2" xfId="1109" xr:uid="{00000000-0005-0000-0000-0000C50B0000}"/>
    <cellStyle name="SAPBEXheaderItem 2 2 2" xfId="2412" xr:uid="{00000000-0005-0000-0000-0000C60B0000}"/>
    <cellStyle name="SAPBEXheaderItem 2 2 3" xfId="3716" xr:uid="{00000000-0005-0000-0000-0000C70B0000}"/>
    <cellStyle name="SAPBEXheaderItem 2 2 4" xfId="4805" xr:uid="{00000000-0005-0000-0000-0000C80B0000}"/>
    <cellStyle name="SAPBEXheaderItem 2 3" xfId="1110" xr:uid="{00000000-0005-0000-0000-0000C90B0000}"/>
    <cellStyle name="SAPBEXheaderItem 2 3 2" xfId="2413" xr:uid="{00000000-0005-0000-0000-0000CA0B0000}"/>
    <cellStyle name="SAPBEXheaderItem 2 3 3" xfId="3717" xr:uid="{00000000-0005-0000-0000-0000CB0B0000}"/>
    <cellStyle name="SAPBEXheaderItem 2 3 4" xfId="4806" xr:uid="{00000000-0005-0000-0000-0000CC0B0000}"/>
    <cellStyle name="SAPBEXheaderItem 2 4" xfId="1111" xr:uid="{00000000-0005-0000-0000-0000CD0B0000}"/>
    <cellStyle name="SAPBEXheaderItem 2 4 2" xfId="2414" xr:uid="{00000000-0005-0000-0000-0000CE0B0000}"/>
    <cellStyle name="SAPBEXheaderItem 2 4 3" xfId="3718" xr:uid="{00000000-0005-0000-0000-0000CF0B0000}"/>
    <cellStyle name="SAPBEXheaderItem 2 4 4" xfId="4807" xr:uid="{00000000-0005-0000-0000-0000D00B0000}"/>
    <cellStyle name="SAPBEXheaderItem 2 5" xfId="1112" xr:uid="{00000000-0005-0000-0000-0000D10B0000}"/>
    <cellStyle name="SAPBEXheaderItem 2 5 2" xfId="2415" xr:uid="{00000000-0005-0000-0000-0000D20B0000}"/>
    <cellStyle name="SAPBEXheaderItem 2 5 3" xfId="3719" xr:uid="{00000000-0005-0000-0000-0000D30B0000}"/>
    <cellStyle name="SAPBEXheaderItem 2 5 4" xfId="4808" xr:uid="{00000000-0005-0000-0000-0000D40B0000}"/>
    <cellStyle name="SAPBEXheaderItem 2 6" xfId="1113" xr:uid="{00000000-0005-0000-0000-0000D50B0000}"/>
    <cellStyle name="SAPBEXheaderItem 2 6 2" xfId="2416" xr:uid="{00000000-0005-0000-0000-0000D60B0000}"/>
    <cellStyle name="SAPBEXheaderItem 2 6 3" xfId="3720" xr:uid="{00000000-0005-0000-0000-0000D70B0000}"/>
    <cellStyle name="SAPBEXheaderItem 2 6 4" xfId="4809" xr:uid="{00000000-0005-0000-0000-0000D80B0000}"/>
    <cellStyle name="SAPBEXheaderItem 2 7" xfId="1114" xr:uid="{00000000-0005-0000-0000-0000D90B0000}"/>
    <cellStyle name="SAPBEXheaderItem 2 7 2" xfId="2417" xr:uid="{00000000-0005-0000-0000-0000DA0B0000}"/>
    <cellStyle name="SAPBEXheaderItem 2 7 3" xfId="3721" xr:uid="{00000000-0005-0000-0000-0000DB0B0000}"/>
    <cellStyle name="SAPBEXheaderItem 2 7 4" xfId="4810" xr:uid="{00000000-0005-0000-0000-0000DC0B0000}"/>
    <cellStyle name="SAPBEXheaderItem 2 8" xfId="1115" xr:uid="{00000000-0005-0000-0000-0000DD0B0000}"/>
    <cellStyle name="SAPBEXheaderItem 2 8 2" xfId="2418" xr:uid="{00000000-0005-0000-0000-0000DE0B0000}"/>
    <cellStyle name="SAPBEXheaderItem 2 8 3" xfId="3722" xr:uid="{00000000-0005-0000-0000-0000DF0B0000}"/>
    <cellStyle name="SAPBEXheaderItem 2 8 4" xfId="4811" xr:uid="{00000000-0005-0000-0000-0000E00B0000}"/>
    <cellStyle name="SAPBEXheaderItem 2 9" xfId="1116" xr:uid="{00000000-0005-0000-0000-0000E10B0000}"/>
    <cellStyle name="SAPBEXheaderItem 2 9 2" xfId="2419" xr:uid="{00000000-0005-0000-0000-0000E20B0000}"/>
    <cellStyle name="SAPBEXheaderItem 2 9 3" xfId="3723" xr:uid="{00000000-0005-0000-0000-0000E30B0000}"/>
    <cellStyle name="SAPBEXheaderItem 2 9 4" xfId="4812" xr:uid="{00000000-0005-0000-0000-0000E40B0000}"/>
    <cellStyle name="SAPBEXheaderItem 3" xfId="1117" xr:uid="{00000000-0005-0000-0000-0000E50B0000}"/>
    <cellStyle name="SAPBEXheaderItem 3 2" xfId="2420" xr:uid="{00000000-0005-0000-0000-0000E60B0000}"/>
    <cellStyle name="SAPBEXheaderItem 3 3" xfId="3724" xr:uid="{00000000-0005-0000-0000-0000E70B0000}"/>
    <cellStyle name="SAPBEXheaderItem 3 4" xfId="4813" xr:uid="{00000000-0005-0000-0000-0000E80B0000}"/>
    <cellStyle name="SAPBEXheaderItem 4" xfId="1118" xr:uid="{00000000-0005-0000-0000-0000E90B0000}"/>
    <cellStyle name="SAPBEXheaderItem 4 2" xfId="2421" xr:uid="{00000000-0005-0000-0000-0000EA0B0000}"/>
    <cellStyle name="SAPBEXheaderItem 4 3" xfId="3725" xr:uid="{00000000-0005-0000-0000-0000EB0B0000}"/>
    <cellStyle name="SAPBEXheaderItem 4 4" xfId="4814" xr:uid="{00000000-0005-0000-0000-0000EC0B0000}"/>
    <cellStyle name="SAPBEXheaderItem 5" xfId="1119" xr:uid="{00000000-0005-0000-0000-0000ED0B0000}"/>
    <cellStyle name="SAPBEXheaderItem 5 2" xfId="2422" xr:uid="{00000000-0005-0000-0000-0000EE0B0000}"/>
    <cellStyle name="SAPBEXheaderItem 5 3" xfId="3726" xr:uid="{00000000-0005-0000-0000-0000EF0B0000}"/>
    <cellStyle name="SAPBEXheaderItem 5 4" xfId="4815" xr:uid="{00000000-0005-0000-0000-0000F00B0000}"/>
    <cellStyle name="SAPBEXheaderItem 6" xfId="1120" xr:uid="{00000000-0005-0000-0000-0000F10B0000}"/>
    <cellStyle name="SAPBEXheaderItem 6 2" xfId="2423" xr:uid="{00000000-0005-0000-0000-0000F20B0000}"/>
    <cellStyle name="SAPBEXheaderItem 6 3" xfId="3727" xr:uid="{00000000-0005-0000-0000-0000F30B0000}"/>
    <cellStyle name="SAPBEXheaderItem 6 4" xfId="4816" xr:uid="{00000000-0005-0000-0000-0000F40B0000}"/>
    <cellStyle name="SAPBEXheaderItem 7" xfId="1121" xr:uid="{00000000-0005-0000-0000-0000F50B0000}"/>
    <cellStyle name="SAPBEXheaderItem 7 2" xfId="2424" xr:uid="{00000000-0005-0000-0000-0000F60B0000}"/>
    <cellStyle name="SAPBEXheaderItem 7 3" xfId="3728" xr:uid="{00000000-0005-0000-0000-0000F70B0000}"/>
    <cellStyle name="SAPBEXheaderItem 7 4" xfId="4817" xr:uid="{00000000-0005-0000-0000-0000F80B0000}"/>
    <cellStyle name="SAPBEXheaderItem 8" xfId="1122" xr:uid="{00000000-0005-0000-0000-0000F90B0000}"/>
    <cellStyle name="SAPBEXheaderItem 8 2" xfId="2425" xr:uid="{00000000-0005-0000-0000-0000FA0B0000}"/>
    <cellStyle name="SAPBEXheaderItem 8 3" xfId="3729" xr:uid="{00000000-0005-0000-0000-0000FB0B0000}"/>
    <cellStyle name="SAPBEXheaderItem 8 4" xfId="4818" xr:uid="{00000000-0005-0000-0000-0000FC0B0000}"/>
    <cellStyle name="SAPBEXheaderItem 9" xfId="1123" xr:uid="{00000000-0005-0000-0000-0000FD0B0000}"/>
    <cellStyle name="SAPBEXheaderItem 9 2" xfId="2426" xr:uid="{00000000-0005-0000-0000-0000FE0B0000}"/>
    <cellStyle name="SAPBEXheaderItem 9 3" xfId="3730" xr:uid="{00000000-0005-0000-0000-0000FF0B0000}"/>
    <cellStyle name="SAPBEXheaderItem 9 4" xfId="4819" xr:uid="{00000000-0005-0000-0000-0000000C0000}"/>
    <cellStyle name="SAPBEXheaderText" xfId="21" xr:uid="{00000000-0005-0000-0000-0000010C0000}"/>
    <cellStyle name="SAPBEXheaderText 10" xfId="1125" xr:uid="{00000000-0005-0000-0000-0000020C0000}"/>
    <cellStyle name="SAPBEXheaderText 10 2" xfId="2428" xr:uid="{00000000-0005-0000-0000-0000030C0000}"/>
    <cellStyle name="SAPBEXheaderText 10 3" xfId="3732" xr:uid="{00000000-0005-0000-0000-0000040C0000}"/>
    <cellStyle name="SAPBEXheaderText 10 4" xfId="4821" xr:uid="{00000000-0005-0000-0000-0000050C0000}"/>
    <cellStyle name="SAPBEXheaderText 11" xfId="1126" xr:uid="{00000000-0005-0000-0000-0000060C0000}"/>
    <cellStyle name="SAPBEXheaderText 11 2" xfId="2429" xr:uid="{00000000-0005-0000-0000-0000070C0000}"/>
    <cellStyle name="SAPBEXheaderText 11 3" xfId="3733" xr:uid="{00000000-0005-0000-0000-0000080C0000}"/>
    <cellStyle name="SAPBEXheaderText 11 4" xfId="4822" xr:uid="{00000000-0005-0000-0000-0000090C0000}"/>
    <cellStyle name="SAPBEXheaderText 12" xfId="1127" xr:uid="{00000000-0005-0000-0000-00000A0C0000}"/>
    <cellStyle name="SAPBEXheaderText 12 2" xfId="2430" xr:uid="{00000000-0005-0000-0000-00000B0C0000}"/>
    <cellStyle name="SAPBEXheaderText 12 3" xfId="3734" xr:uid="{00000000-0005-0000-0000-00000C0C0000}"/>
    <cellStyle name="SAPBEXheaderText 12 4" xfId="4823" xr:uid="{00000000-0005-0000-0000-00000D0C0000}"/>
    <cellStyle name="SAPBEXheaderText 13" xfId="1128" xr:uid="{00000000-0005-0000-0000-00000E0C0000}"/>
    <cellStyle name="SAPBEXheaderText 13 2" xfId="2431" xr:uid="{00000000-0005-0000-0000-00000F0C0000}"/>
    <cellStyle name="SAPBEXheaderText 13 3" xfId="3735" xr:uid="{00000000-0005-0000-0000-0000100C0000}"/>
    <cellStyle name="SAPBEXheaderText 13 4" xfId="4824" xr:uid="{00000000-0005-0000-0000-0000110C0000}"/>
    <cellStyle name="SAPBEXheaderText 14" xfId="1129" xr:uid="{00000000-0005-0000-0000-0000120C0000}"/>
    <cellStyle name="SAPBEXheaderText 14 2" xfId="2432" xr:uid="{00000000-0005-0000-0000-0000130C0000}"/>
    <cellStyle name="SAPBEXheaderText 14 3" xfId="3736" xr:uid="{00000000-0005-0000-0000-0000140C0000}"/>
    <cellStyle name="SAPBEXheaderText 14 4" xfId="4825" xr:uid="{00000000-0005-0000-0000-0000150C0000}"/>
    <cellStyle name="SAPBEXheaderText 15" xfId="2427" xr:uid="{00000000-0005-0000-0000-0000160C0000}"/>
    <cellStyle name="SAPBEXheaderText 16" xfId="3731" xr:uid="{00000000-0005-0000-0000-0000170C0000}"/>
    <cellStyle name="SAPBEXheaderText 17" xfId="4820" xr:uid="{00000000-0005-0000-0000-0000180C0000}"/>
    <cellStyle name="SAPBEXheaderText 2" xfId="1124" xr:uid="{00000000-0005-0000-0000-0000190C0000}"/>
    <cellStyle name="SAPBEXheaderText 2 10" xfId="1130" xr:uid="{00000000-0005-0000-0000-00001A0C0000}"/>
    <cellStyle name="SAPBEXheaderText 2 10 2" xfId="2434" xr:uid="{00000000-0005-0000-0000-00001B0C0000}"/>
    <cellStyle name="SAPBEXheaderText 2 10 3" xfId="3738" xr:uid="{00000000-0005-0000-0000-00001C0C0000}"/>
    <cellStyle name="SAPBEXheaderText 2 10 4" xfId="4827" xr:uid="{00000000-0005-0000-0000-00001D0C0000}"/>
    <cellStyle name="SAPBEXheaderText 2 11" xfId="1131" xr:uid="{00000000-0005-0000-0000-00001E0C0000}"/>
    <cellStyle name="SAPBEXheaderText 2 11 2" xfId="2435" xr:uid="{00000000-0005-0000-0000-00001F0C0000}"/>
    <cellStyle name="SAPBEXheaderText 2 11 3" xfId="3739" xr:uid="{00000000-0005-0000-0000-0000200C0000}"/>
    <cellStyle name="SAPBEXheaderText 2 11 4" xfId="4828" xr:uid="{00000000-0005-0000-0000-0000210C0000}"/>
    <cellStyle name="SAPBEXheaderText 2 12" xfId="1132" xr:uid="{00000000-0005-0000-0000-0000220C0000}"/>
    <cellStyle name="SAPBEXheaderText 2 12 2" xfId="2436" xr:uid="{00000000-0005-0000-0000-0000230C0000}"/>
    <cellStyle name="SAPBEXheaderText 2 12 3" xfId="3740" xr:uid="{00000000-0005-0000-0000-0000240C0000}"/>
    <cellStyle name="SAPBEXheaderText 2 12 4" xfId="4829" xr:uid="{00000000-0005-0000-0000-0000250C0000}"/>
    <cellStyle name="SAPBEXheaderText 2 13" xfId="1133" xr:uid="{00000000-0005-0000-0000-0000260C0000}"/>
    <cellStyle name="SAPBEXheaderText 2 13 2" xfId="2437" xr:uid="{00000000-0005-0000-0000-0000270C0000}"/>
    <cellStyle name="SAPBEXheaderText 2 13 3" xfId="3741" xr:uid="{00000000-0005-0000-0000-0000280C0000}"/>
    <cellStyle name="SAPBEXheaderText 2 13 4" xfId="4830" xr:uid="{00000000-0005-0000-0000-0000290C0000}"/>
    <cellStyle name="SAPBEXheaderText 2 14" xfId="2433" xr:uid="{00000000-0005-0000-0000-00002A0C0000}"/>
    <cellStyle name="SAPBEXheaderText 2 15" xfId="3737" xr:uid="{00000000-0005-0000-0000-00002B0C0000}"/>
    <cellStyle name="SAPBEXheaderText 2 16" xfId="4826" xr:uid="{00000000-0005-0000-0000-00002C0C0000}"/>
    <cellStyle name="SAPBEXheaderText 2 2" xfId="1134" xr:uid="{00000000-0005-0000-0000-00002D0C0000}"/>
    <cellStyle name="SAPBEXheaderText 2 2 2" xfId="2438" xr:uid="{00000000-0005-0000-0000-00002E0C0000}"/>
    <cellStyle name="SAPBEXheaderText 2 2 3" xfId="3742" xr:uid="{00000000-0005-0000-0000-00002F0C0000}"/>
    <cellStyle name="SAPBEXheaderText 2 2 4" xfId="4831" xr:uid="{00000000-0005-0000-0000-0000300C0000}"/>
    <cellStyle name="SAPBEXheaderText 2 3" xfId="1135" xr:uid="{00000000-0005-0000-0000-0000310C0000}"/>
    <cellStyle name="SAPBEXheaderText 2 3 2" xfId="2439" xr:uid="{00000000-0005-0000-0000-0000320C0000}"/>
    <cellStyle name="SAPBEXheaderText 2 3 3" xfId="3743" xr:uid="{00000000-0005-0000-0000-0000330C0000}"/>
    <cellStyle name="SAPBEXheaderText 2 3 4" xfId="4832" xr:uid="{00000000-0005-0000-0000-0000340C0000}"/>
    <cellStyle name="SAPBEXheaderText 2 4" xfId="1136" xr:uid="{00000000-0005-0000-0000-0000350C0000}"/>
    <cellStyle name="SAPBEXheaderText 2 4 2" xfId="2440" xr:uid="{00000000-0005-0000-0000-0000360C0000}"/>
    <cellStyle name="SAPBEXheaderText 2 4 3" xfId="3744" xr:uid="{00000000-0005-0000-0000-0000370C0000}"/>
    <cellStyle name="SAPBEXheaderText 2 4 4" xfId="4833" xr:uid="{00000000-0005-0000-0000-0000380C0000}"/>
    <cellStyle name="SAPBEXheaderText 2 5" xfId="1137" xr:uid="{00000000-0005-0000-0000-0000390C0000}"/>
    <cellStyle name="SAPBEXheaderText 2 5 2" xfId="2441" xr:uid="{00000000-0005-0000-0000-00003A0C0000}"/>
    <cellStyle name="SAPBEXheaderText 2 5 3" xfId="3745" xr:uid="{00000000-0005-0000-0000-00003B0C0000}"/>
    <cellStyle name="SAPBEXheaderText 2 5 4" xfId="4834" xr:uid="{00000000-0005-0000-0000-00003C0C0000}"/>
    <cellStyle name="SAPBEXheaderText 2 6" xfId="1138" xr:uid="{00000000-0005-0000-0000-00003D0C0000}"/>
    <cellStyle name="SAPBEXheaderText 2 6 2" xfId="2442" xr:uid="{00000000-0005-0000-0000-00003E0C0000}"/>
    <cellStyle name="SAPBEXheaderText 2 6 3" xfId="3746" xr:uid="{00000000-0005-0000-0000-00003F0C0000}"/>
    <cellStyle name="SAPBEXheaderText 2 6 4" xfId="4835" xr:uid="{00000000-0005-0000-0000-0000400C0000}"/>
    <cellStyle name="SAPBEXheaderText 2 7" xfId="1139" xr:uid="{00000000-0005-0000-0000-0000410C0000}"/>
    <cellStyle name="SAPBEXheaderText 2 7 2" xfId="2443" xr:uid="{00000000-0005-0000-0000-0000420C0000}"/>
    <cellStyle name="SAPBEXheaderText 2 7 3" xfId="3747" xr:uid="{00000000-0005-0000-0000-0000430C0000}"/>
    <cellStyle name="SAPBEXheaderText 2 7 4" xfId="4836" xr:uid="{00000000-0005-0000-0000-0000440C0000}"/>
    <cellStyle name="SAPBEXheaderText 2 8" xfId="1140" xr:uid="{00000000-0005-0000-0000-0000450C0000}"/>
    <cellStyle name="SAPBEXheaderText 2 8 2" xfId="2444" xr:uid="{00000000-0005-0000-0000-0000460C0000}"/>
    <cellStyle name="SAPBEXheaderText 2 8 3" xfId="3748" xr:uid="{00000000-0005-0000-0000-0000470C0000}"/>
    <cellStyle name="SAPBEXheaderText 2 8 4" xfId="4837" xr:uid="{00000000-0005-0000-0000-0000480C0000}"/>
    <cellStyle name="SAPBEXheaderText 2 9" xfId="1141" xr:uid="{00000000-0005-0000-0000-0000490C0000}"/>
    <cellStyle name="SAPBEXheaderText 2 9 2" xfId="2445" xr:uid="{00000000-0005-0000-0000-00004A0C0000}"/>
    <cellStyle name="SAPBEXheaderText 2 9 3" xfId="3749" xr:uid="{00000000-0005-0000-0000-00004B0C0000}"/>
    <cellStyle name="SAPBEXheaderText 2 9 4" xfId="4838" xr:uid="{00000000-0005-0000-0000-00004C0C0000}"/>
    <cellStyle name="SAPBEXheaderText 3" xfId="1142" xr:uid="{00000000-0005-0000-0000-00004D0C0000}"/>
    <cellStyle name="SAPBEXheaderText 3 2" xfId="2446" xr:uid="{00000000-0005-0000-0000-00004E0C0000}"/>
    <cellStyle name="SAPBEXheaderText 3 3" xfId="3750" xr:uid="{00000000-0005-0000-0000-00004F0C0000}"/>
    <cellStyle name="SAPBEXheaderText 3 4" xfId="4839" xr:uid="{00000000-0005-0000-0000-0000500C0000}"/>
    <cellStyle name="SAPBEXheaderText 4" xfId="1143" xr:uid="{00000000-0005-0000-0000-0000510C0000}"/>
    <cellStyle name="SAPBEXheaderText 4 2" xfId="2447" xr:uid="{00000000-0005-0000-0000-0000520C0000}"/>
    <cellStyle name="SAPBEXheaderText 4 3" xfId="3751" xr:uid="{00000000-0005-0000-0000-0000530C0000}"/>
    <cellStyle name="SAPBEXheaderText 4 4" xfId="4840" xr:uid="{00000000-0005-0000-0000-0000540C0000}"/>
    <cellStyle name="SAPBEXheaderText 5" xfId="1144" xr:uid="{00000000-0005-0000-0000-0000550C0000}"/>
    <cellStyle name="SAPBEXheaderText 5 2" xfId="2448" xr:uid="{00000000-0005-0000-0000-0000560C0000}"/>
    <cellStyle name="SAPBEXheaderText 5 3" xfId="3752" xr:uid="{00000000-0005-0000-0000-0000570C0000}"/>
    <cellStyle name="SAPBEXheaderText 5 4" xfId="4841" xr:uid="{00000000-0005-0000-0000-0000580C0000}"/>
    <cellStyle name="SAPBEXheaderText 6" xfId="1145" xr:uid="{00000000-0005-0000-0000-0000590C0000}"/>
    <cellStyle name="SAPBEXheaderText 6 2" xfId="2449" xr:uid="{00000000-0005-0000-0000-00005A0C0000}"/>
    <cellStyle name="SAPBEXheaderText 6 3" xfId="3753" xr:uid="{00000000-0005-0000-0000-00005B0C0000}"/>
    <cellStyle name="SAPBEXheaderText 6 4" xfId="4842" xr:uid="{00000000-0005-0000-0000-00005C0C0000}"/>
    <cellStyle name="SAPBEXheaderText 7" xfId="1146" xr:uid="{00000000-0005-0000-0000-00005D0C0000}"/>
    <cellStyle name="SAPBEXheaderText 7 2" xfId="2450" xr:uid="{00000000-0005-0000-0000-00005E0C0000}"/>
    <cellStyle name="SAPBEXheaderText 7 3" xfId="3754" xr:uid="{00000000-0005-0000-0000-00005F0C0000}"/>
    <cellStyle name="SAPBEXheaderText 7 4" xfId="4843" xr:uid="{00000000-0005-0000-0000-0000600C0000}"/>
    <cellStyle name="SAPBEXheaderText 8" xfId="1147" xr:uid="{00000000-0005-0000-0000-0000610C0000}"/>
    <cellStyle name="SAPBEXheaderText 8 2" xfId="2451" xr:uid="{00000000-0005-0000-0000-0000620C0000}"/>
    <cellStyle name="SAPBEXheaderText 8 3" xfId="3755" xr:uid="{00000000-0005-0000-0000-0000630C0000}"/>
    <cellStyle name="SAPBEXheaderText 8 4" xfId="4844" xr:uid="{00000000-0005-0000-0000-0000640C0000}"/>
    <cellStyle name="SAPBEXheaderText 9" xfId="1148" xr:uid="{00000000-0005-0000-0000-0000650C0000}"/>
    <cellStyle name="SAPBEXheaderText 9 2" xfId="2452" xr:uid="{00000000-0005-0000-0000-0000660C0000}"/>
    <cellStyle name="SAPBEXheaderText 9 3" xfId="3756" xr:uid="{00000000-0005-0000-0000-0000670C0000}"/>
    <cellStyle name="SAPBEXheaderText 9 4" xfId="4845" xr:uid="{00000000-0005-0000-0000-0000680C0000}"/>
    <cellStyle name="SAPBEXHLevel0" xfId="22" xr:uid="{00000000-0005-0000-0000-0000690C0000}"/>
    <cellStyle name="SAPBEXHLevel0 10" xfId="1150" xr:uid="{00000000-0005-0000-0000-00006A0C0000}"/>
    <cellStyle name="SAPBEXHLevel0 10 2" xfId="2454" xr:uid="{00000000-0005-0000-0000-00006B0C0000}"/>
    <cellStyle name="SAPBEXHLevel0 10 3" xfId="3758" xr:uid="{00000000-0005-0000-0000-00006C0C0000}"/>
    <cellStyle name="SAPBEXHLevel0 10 4" xfId="4847" xr:uid="{00000000-0005-0000-0000-00006D0C0000}"/>
    <cellStyle name="SAPBEXHLevel0 11" xfId="1151" xr:uid="{00000000-0005-0000-0000-00006E0C0000}"/>
    <cellStyle name="SAPBEXHLevel0 11 2" xfId="2455" xr:uid="{00000000-0005-0000-0000-00006F0C0000}"/>
    <cellStyle name="SAPBEXHLevel0 11 3" xfId="3759" xr:uid="{00000000-0005-0000-0000-0000700C0000}"/>
    <cellStyle name="SAPBEXHLevel0 11 4" xfId="4848" xr:uid="{00000000-0005-0000-0000-0000710C0000}"/>
    <cellStyle name="SAPBEXHLevel0 12" xfId="1152" xr:uid="{00000000-0005-0000-0000-0000720C0000}"/>
    <cellStyle name="SAPBEXHLevel0 12 2" xfId="2456" xr:uid="{00000000-0005-0000-0000-0000730C0000}"/>
    <cellStyle name="SAPBEXHLevel0 12 3" xfId="3760" xr:uid="{00000000-0005-0000-0000-0000740C0000}"/>
    <cellStyle name="SAPBEXHLevel0 12 4" xfId="4849" xr:uid="{00000000-0005-0000-0000-0000750C0000}"/>
    <cellStyle name="SAPBEXHLevel0 13" xfId="1153" xr:uid="{00000000-0005-0000-0000-0000760C0000}"/>
    <cellStyle name="SAPBEXHLevel0 13 2" xfId="2457" xr:uid="{00000000-0005-0000-0000-0000770C0000}"/>
    <cellStyle name="SAPBEXHLevel0 13 3" xfId="3761" xr:uid="{00000000-0005-0000-0000-0000780C0000}"/>
    <cellStyle name="SAPBEXHLevel0 13 4" xfId="4850" xr:uid="{00000000-0005-0000-0000-0000790C0000}"/>
    <cellStyle name="SAPBEXHLevel0 14" xfId="1154" xr:uid="{00000000-0005-0000-0000-00007A0C0000}"/>
    <cellStyle name="SAPBEXHLevel0 14 2" xfId="2458" xr:uid="{00000000-0005-0000-0000-00007B0C0000}"/>
    <cellStyle name="SAPBEXHLevel0 14 3" xfId="3762" xr:uid="{00000000-0005-0000-0000-00007C0C0000}"/>
    <cellStyle name="SAPBEXHLevel0 14 4" xfId="4851" xr:uid="{00000000-0005-0000-0000-00007D0C0000}"/>
    <cellStyle name="SAPBEXHLevel0 15" xfId="2453" xr:uid="{00000000-0005-0000-0000-00007E0C0000}"/>
    <cellStyle name="SAPBEXHLevel0 16" xfId="3757" xr:uid="{00000000-0005-0000-0000-00007F0C0000}"/>
    <cellStyle name="SAPBEXHLevel0 17" xfId="4846" xr:uid="{00000000-0005-0000-0000-0000800C0000}"/>
    <cellStyle name="SAPBEXHLevel0 2" xfId="1149" xr:uid="{00000000-0005-0000-0000-0000810C0000}"/>
    <cellStyle name="SAPBEXHLevel0 2 10" xfId="1155" xr:uid="{00000000-0005-0000-0000-0000820C0000}"/>
    <cellStyle name="SAPBEXHLevel0 2 10 2" xfId="2460" xr:uid="{00000000-0005-0000-0000-0000830C0000}"/>
    <cellStyle name="SAPBEXHLevel0 2 10 3" xfId="3764" xr:uid="{00000000-0005-0000-0000-0000840C0000}"/>
    <cellStyle name="SAPBEXHLevel0 2 10 4" xfId="4853" xr:uid="{00000000-0005-0000-0000-0000850C0000}"/>
    <cellStyle name="SAPBEXHLevel0 2 11" xfId="1156" xr:uid="{00000000-0005-0000-0000-0000860C0000}"/>
    <cellStyle name="SAPBEXHLevel0 2 11 2" xfId="2461" xr:uid="{00000000-0005-0000-0000-0000870C0000}"/>
    <cellStyle name="SAPBEXHLevel0 2 11 3" xfId="3765" xr:uid="{00000000-0005-0000-0000-0000880C0000}"/>
    <cellStyle name="SAPBEXHLevel0 2 11 4" xfId="4854" xr:uid="{00000000-0005-0000-0000-0000890C0000}"/>
    <cellStyle name="SAPBEXHLevel0 2 12" xfId="1157" xr:uid="{00000000-0005-0000-0000-00008A0C0000}"/>
    <cellStyle name="SAPBEXHLevel0 2 12 2" xfId="2462" xr:uid="{00000000-0005-0000-0000-00008B0C0000}"/>
    <cellStyle name="SAPBEXHLevel0 2 12 3" xfId="3766" xr:uid="{00000000-0005-0000-0000-00008C0C0000}"/>
    <cellStyle name="SAPBEXHLevel0 2 12 4" xfId="4855" xr:uid="{00000000-0005-0000-0000-00008D0C0000}"/>
    <cellStyle name="SAPBEXHLevel0 2 13" xfId="1158" xr:uid="{00000000-0005-0000-0000-00008E0C0000}"/>
    <cellStyle name="SAPBEXHLevel0 2 13 2" xfId="2463" xr:uid="{00000000-0005-0000-0000-00008F0C0000}"/>
    <cellStyle name="SAPBEXHLevel0 2 13 3" xfId="3767" xr:uid="{00000000-0005-0000-0000-0000900C0000}"/>
    <cellStyle name="SAPBEXHLevel0 2 13 4" xfId="4856" xr:uid="{00000000-0005-0000-0000-0000910C0000}"/>
    <cellStyle name="SAPBEXHLevel0 2 14" xfId="2459" xr:uid="{00000000-0005-0000-0000-0000920C0000}"/>
    <cellStyle name="SAPBEXHLevel0 2 15" xfId="3763" xr:uid="{00000000-0005-0000-0000-0000930C0000}"/>
    <cellStyle name="SAPBEXHLevel0 2 16" xfId="4852" xr:uid="{00000000-0005-0000-0000-0000940C0000}"/>
    <cellStyle name="SAPBEXHLevel0 2 2" xfId="1159" xr:uid="{00000000-0005-0000-0000-0000950C0000}"/>
    <cellStyle name="SAPBEXHLevel0 2 2 2" xfId="2464" xr:uid="{00000000-0005-0000-0000-0000960C0000}"/>
    <cellStyle name="SAPBEXHLevel0 2 2 3" xfId="3768" xr:uid="{00000000-0005-0000-0000-0000970C0000}"/>
    <cellStyle name="SAPBEXHLevel0 2 2 4" xfId="4857" xr:uid="{00000000-0005-0000-0000-0000980C0000}"/>
    <cellStyle name="SAPBEXHLevel0 2 3" xfId="1160" xr:uid="{00000000-0005-0000-0000-0000990C0000}"/>
    <cellStyle name="SAPBEXHLevel0 2 3 2" xfId="2465" xr:uid="{00000000-0005-0000-0000-00009A0C0000}"/>
    <cellStyle name="SAPBEXHLevel0 2 3 3" xfId="3769" xr:uid="{00000000-0005-0000-0000-00009B0C0000}"/>
    <cellStyle name="SAPBEXHLevel0 2 3 4" xfId="4858" xr:uid="{00000000-0005-0000-0000-00009C0C0000}"/>
    <cellStyle name="SAPBEXHLevel0 2 4" xfId="1161" xr:uid="{00000000-0005-0000-0000-00009D0C0000}"/>
    <cellStyle name="SAPBEXHLevel0 2 4 2" xfId="2466" xr:uid="{00000000-0005-0000-0000-00009E0C0000}"/>
    <cellStyle name="SAPBEXHLevel0 2 4 3" xfId="3770" xr:uid="{00000000-0005-0000-0000-00009F0C0000}"/>
    <cellStyle name="SAPBEXHLevel0 2 4 4" xfId="4859" xr:uid="{00000000-0005-0000-0000-0000A00C0000}"/>
    <cellStyle name="SAPBEXHLevel0 2 5" xfId="1162" xr:uid="{00000000-0005-0000-0000-0000A10C0000}"/>
    <cellStyle name="SAPBEXHLevel0 2 5 2" xfId="2467" xr:uid="{00000000-0005-0000-0000-0000A20C0000}"/>
    <cellStyle name="SAPBEXHLevel0 2 5 3" xfId="3771" xr:uid="{00000000-0005-0000-0000-0000A30C0000}"/>
    <cellStyle name="SAPBEXHLevel0 2 5 4" xfId="4860" xr:uid="{00000000-0005-0000-0000-0000A40C0000}"/>
    <cellStyle name="SAPBEXHLevel0 2 6" xfId="1163" xr:uid="{00000000-0005-0000-0000-0000A50C0000}"/>
    <cellStyle name="SAPBEXHLevel0 2 6 2" xfId="2468" xr:uid="{00000000-0005-0000-0000-0000A60C0000}"/>
    <cellStyle name="SAPBEXHLevel0 2 6 3" xfId="3772" xr:uid="{00000000-0005-0000-0000-0000A70C0000}"/>
    <cellStyle name="SAPBEXHLevel0 2 6 4" xfId="4861" xr:uid="{00000000-0005-0000-0000-0000A80C0000}"/>
    <cellStyle name="SAPBEXHLevel0 2 7" xfId="1164" xr:uid="{00000000-0005-0000-0000-0000A90C0000}"/>
    <cellStyle name="SAPBEXHLevel0 2 7 2" xfId="2469" xr:uid="{00000000-0005-0000-0000-0000AA0C0000}"/>
    <cellStyle name="SAPBEXHLevel0 2 7 3" xfId="3773" xr:uid="{00000000-0005-0000-0000-0000AB0C0000}"/>
    <cellStyle name="SAPBEXHLevel0 2 7 4" xfId="4862" xr:uid="{00000000-0005-0000-0000-0000AC0C0000}"/>
    <cellStyle name="SAPBEXHLevel0 2 8" xfId="1165" xr:uid="{00000000-0005-0000-0000-0000AD0C0000}"/>
    <cellStyle name="SAPBEXHLevel0 2 8 2" xfId="2470" xr:uid="{00000000-0005-0000-0000-0000AE0C0000}"/>
    <cellStyle name="SAPBEXHLevel0 2 8 3" xfId="3774" xr:uid="{00000000-0005-0000-0000-0000AF0C0000}"/>
    <cellStyle name="SAPBEXHLevel0 2 8 4" xfId="4863" xr:uid="{00000000-0005-0000-0000-0000B00C0000}"/>
    <cellStyle name="SAPBEXHLevel0 2 9" xfId="1166" xr:uid="{00000000-0005-0000-0000-0000B10C0000}"/>
    <cellStyle name="SAPBEXHLevel0 2 9 2" xfId="2471" xr:uid="{00000000-0005-0000-0000-0000B20C0000}"/>
    <cellStyle name="SAPBEXHLevel0 2 9 3" xfId="3775" xr:uid="{00000000-0005-0000-0000-0000B30C0000}"/>
    <cellStyle name="SAPBEXHLevel0 2 9 4" xfId="4864" xr:uid="{00000000-0005-0000-0000-0000B40C0000}"/>
    <cellStyle name="SAPBEXHLevel0 3" xfId="1167" xr:uid="{00000000-0005-0000-0000-0000B50C0000}"/>
    <cellStyle name="SAPBEXHLevel0 3 2" xfId="2472" xr:uid="{00000000-0005-0000-0000-0000B60C0000}"/>
    <cellStyle name="SAPBEXHLevel0 3 3" xfId="3776" xr:uid="{00000000-0005-0000-0000-0000B70C0000}"/>
    <cellStyle name="SAPBEXHLevel0 3 4" xfId="4865" xr:uid="{00000000-0005-0000-0000-0000B80C0000}"/>
    <cellStyle name="SAPBEXHLevel0 4" xfId="1168" xr:uid="{00000000-0005-0000-0000-0000B90C0000}"/>
    <cellStyle name="SAPBEXHLevel0 4 2" xfId="2473" xr:uid="{00000000-0005-0000-0000-0000BA0C0000}"/>
    <cellStyle name="SAPBEXHLevel0 4 3" xfId="3777" xr:uid="{00000000-0005-0000-0000-0000BB0C0000}"/>
    <cellStyle name="SAPBEXHLevel0 4 4" xfId="4866" xr:uid="{00000000-0005-0000-0000-0000BC0C0000}"/>
    <cellStyle name="SAPBEXHLevel0 5" xfId="1169" xr:uid="{00000000-0005-0000-0000-0000BD0C0000}"/>
    <cellStyle name="SAPBEXHLevel0 5 2" xfId="2474" xr:uid="{00000000-0005-0000-0000-0000BE0C0000}"/>
    <cellStyle name="SAPBEXHLevel0 5 3" xfId="3778" xr:uid="{00000000-0005-0000-0000-0000BF0C0000}"/>
    <cellStyle name="SAPBEXHLevel0 5 4" xfId="4867" xr:uid="{00000000-0005-0000-0000-0000C00C0000}"/>
    <cellStyle name="SAPBEXHLevel0 6" xfId="1170" xr:uid="{00000000-0005-0000-0000-0000C10C0000}"/>
    <cellStyle name="SAPBEXHLevel0 6 2" xfId="2475" xr:uid="{00000000-0005-0000-0000-0000C20C0000}"/>
    <cellStyle name="SAPBEXHLevel0 6 3" xfId="3779" xr:uid="{00000000-0005-0000-0000-0000C30C0000}"/>
    <cellStyle name="SAPBEXHLevel0 6 4" xfId="4868" xr:uid="{00000000-0005-0000-0000-0000C40C0000}"/>
    <cellStyle name="SAPBEXHLevel0 7" xfId="1171" xr:uid="{00000000-0005-0000-0000-0000C50C0000}"/>
    <cellStyle name="SAPBEXHLevel0 7 2" xfId="2476" xr:uid="{00000000-0005-0000-0000-0000C60C0000}"/>
    <cellStyle name="SAPBEXHLevel0 7 3" xfId="3780" xr:uid="{00000000-0005-0000-0000-0000C70C0000}"/>
    <cellStyle name="SAPBEXHLevel0 7 4" xfId="4869" xr:uid="{00000000-0005-0000-0000-0000C80C0000}"/>
    <cellStyle name="SAPBEXHLevel0 8" xfId="1172" xr:uid="{00000000-0005-0000-0000-0000C90C0000}"/>
    <cellStyle name="SAPBEXHLevel0 8 2" xfId="2477" xr:uid="{00000000-0005-0000-0000-0000CA0C0000}"/>
    <cellStyle name="SAPBEXHLevel0 8 3" xfId="3781" xr:uid="{00000000-0005-0000-0000-0000CB0C0000}"/>
    <cellStyle name="SAPBEXHLevel0 8 4" xfId="4870" xr:uid="{00000000-0005-0000-0000-0000CC0C0000}"/>
    <cellStyle name="SAPBEXHLevel0 9" xfId="1173" xr:uid="{00000000-0005-0000-0000-0000CD0C0000}"/>
    <cellStyle name="SAPBEXHLevel0 9 2" xfId="2478" xr:uid="{00000000-0005-0000-0000-0000CE0C0000}"/>
    <cellStyle name="SAPBEXHLevel0 9 3" xfId="3782" xr:uid="{00000000-0005-0000-0000-0000CF0C0000}"/>
    <cellStyle name="SAPBEXHLevel0 9 4" xfId="4871" xr:uid="{00000000-0005-0000-0000-0000D00C0000}"/>
    <cellStyle name="SAPBEXHLevel0X" xfId="23" xr:uid="{00000000-0005-0000-0000-0000D10C0000}"/>
    <cellStyle name="SAPBEXHLevel0X 10" xfId="1175" xr:uid="{00000000-0005-0000-0000-0000D20C0000}"/>
    <cellStyle name="SAPBEXHLevel0X 10 2" xfId="2480" xr:uid="{00000000-0005-0000-0000-0000D30C0000}"/>
    <cellStyle name="SAPBEXHLevel0X 10 3" xfId="3784" xr:uid="{00000000-0005-0000-0000-0000D40C0000}"/>
    <cellStyle name="SAPBEXHLevel0X 10 4" xfId="4873" xr:uid="{00000000-0005-0000-0000-0000D50C0000}"/>
    <cellStyle name="SAPBEXHLevel0X 11" xfId="1176" xr:uid="{00000000-0005-0000-0000-0000D60C0000}"/>
    <cellStyle name="SAPBEXHLevel0X 11 2" xfId="2481" xr:uid="{00000000-0005-0000-0000-0000D70C0000}"/>
    <cellStyle name="SAPBEXHLevel0X 11 3" xfId="3785" xr:uid="{00000000-0005-0000-0000-0000D80C0000}"/>
    <cellStyle name="SAPBEXHLevel0X 11 4" xfId="4874" xr:uid="{00000000-0005-0000-0000-0000D90C0000}"/>
    <cellStyle name="SAPBEXHLevel0X 12" xfId="1177" xr:uid="{00000000-0005-0000-0000-0000DA0C0000}"/>
    <cellStyle name="SAPBEXHLevel0X 12 2" xfId="2482" xr:uid="{00000000-0005-0000-0000-0000DB0C0000}"/>
    <cellStyle name="SAPBEXHLevel0X 12 3" xfId="3786" xr:uid="{00000000-0005-0000-0000-0000DC0C0000}"/>
    <cellStyle name="SAPBEXHLevel0X 12 4" xfId="4875" xr:uid="{00000000-0005-0000-0000-0000DD0C0000}"/>
    <cellStyle name="SAPBEXHLevel0X 13" xfId="1178" xr:uid="{00000000-0005-0000-0000-0000DE0C0000}"/>
    <cellStyle name="SAPBEXHLevel0X 13 2" xfId="2483" xr:uid="{00000000-0005-0000-0000-0000DF0C0000}"/>
    <cellStyle name="SAPBEXHLevel0X 13 3" xfId="3787" xr:uid="{00000000-0005-0000-0000-0000E00C0000}"/>
    <cellStyle name="SAPBEXHLevel0X 13 4" xfId="4876" xr:uid="{00000000-0005-0000-0000-0000E10C0000}"/>
    <cellStyle name="SAPBEXHLevel0X 14" xfId="1179" xr:uid="{00000000-0005-0000-0000-0000E20C0000}"/>
    <cellStyle name="SAPBEXHLevel0X 14 2" xfId="2484" xr:uid="{00000000-0005-0000-0000-0000E30C0000}"/>
    <cellStyle name="SAPBEXHLevel0X 14 3" xfId="3788" xr:uid="{00000000-0005-0000-0000-0000E40C0000}"/>
    <cellStyle name="SAPBEXHLevel0X 14 4" xfId="4877" xr:uid="{00000000-0005-0000-0000-0000E50C0000}"/>
    <cellStyle name="SAPBEXHLevel0X 15" xfId="2479" xr:uid="{00000000-0005-0000-0000-0000E60C0000}"/>
    <cellStyle name="SAPBEXHLevel0X 16" xfId="3783" xr:uid="{00000000-0005-0000-0000-0000E70C0000}"/>
    <cellStyle name="SAPBEXHLevel0X 17" xfId="4872" xr:uid="{00000000-0005-0000-0000-0000E80C0000}"/>
    <cellStyle name="SAPBEXHLevel0X 2" xfId="1174" xr:uid="{00000000-0005-0000-0000-0000E90C0000}"/>
    <cellStyle name="SAPBEXHLevel0X 2 10" xfId="1180" xr:uid="{00000000-0005-0000-0000-0000EA0C0000}"/>
    <cellStyle name="SAPBEXHLevel0X 2 10 2" xfId="2486" xr:uid="{00000000-0005-0000-0000-0000EB0C0000}"/>
    <cellStyle name="SAPBEXHLevel0X 2 10 3" xfId="3790" xr:uid="{00000000-0005-0000-0000-0000EC0C0000}"/>
    <cellStyle name="SAPBEXHLevel0X 2 10 4" xfId="4879" xr:uid="{00000000-0005-0000-0000-0000ED0C0000}"/>
    <cellStyle name="SAPBEXHLevel0X 2 11" xfId="1181" xr:uid="{00000000-0005-0000-0000-0000EE0C0000}"/>
    <cellStyle name="SAPBEXHLevel0X 2 11 2" xfId="2487" xr:uid="{00000000-0005-0000-0000-0000EF0C0000}"/>
    <cellStyle name="SAPBEXHLevel0X 2 11 3" xfId="3791" xr:uid="{00000000-0005-0000-0000-0000F00C0000}"/>
    <cellStyle name="SAPBEXHLevel0X 2 11 4" xfId="4880" xr:uid="{00000000-0005-0000-0000-0000F10C0000}"/>
    <cellStyle name="SAPBEXHLevel0X 2 12" xfId="1182" xr:uid="{00000000-0005-0000-0000-0000F20C0000}"/>
    <cellStyle name="SAPBEXHLevel0X 2 12 2" xfId="2488" xr:uid="{00000000-0005-0000-0000-0000F30C0000}"/>
    <cellStyle name="SAPBEXHLevel0X 2 12 3" xfId="3792" xr:uid="{00000000-0005-0000-0000-0000F40C0000}"/>
    <cellStyle name="SAPBEXHLevel0X 2 12 4" xfId="4881" xr:uid="{00000000-0005-0000-0000-0000F50C0000}"/>
    <cellStyle name="SAPBEXHLevel0X 2 13" xfId="1183" xr:uid="{00000000-0005-0000-0000-0000F60C0000}"/>
    <cellStyle name="SAPBEXHLevel0X 2 13 2" xfId="2489" xr:uid="{00000000-0005-0000-0000-0000F70C0000}"/>
    <cellStyle name="SAPBEXHLevel0X 2 13 3" xfId="3793" xr:uid="{00000000-0005-0000-0000-0000F80C0000}"/>
    <cellStyle name="SAPBEXHLevel0X 2 13 4" xfId="4882" xr:uid="{00000000-0005-0000-0000-0000F90C0000}"/>
    <cellStyle name="SAPBEXHLevel0X 2 14" xfId="2485" xr:uid="{00000000-0005-0000-0000-0000FA0C0000}"/>
    <cellStyle name="SAPBEXHLevel0X 2 15" xfId="3789" xr:uid="{00000000-0005-0000-0000-0000FB0C0000}"/>
    <cellStyle name="SAPBEXHLevel0X 2 16" xfId="4878" xr:uid="{00000000-0005-0000-0000-0000FC0C0000}"/>
    <cellStyle name="SAPBEXHLevel0X 2 2" xfId="1184" xr:uid="{00000000-0005-0000-0000-0000FD0C0000}"/>
    <cellStyle name="SAPBEXHLevel0X 2 2 2" xfId="2490" xr:uid="{00000000-0005-0000-0000-0000FE0C0000}"/>
    <cellStyle name="SAPBEXHLevel0X 2 2 3" xfId="3794" xr:uid="{00000000-0005-0000-0000-0000FF0C0000}"/>
    <cellStyle name="SAPBEXHLevel0X 2 2 4" xfId="4883" xr:uid="{00000000-0005-0000-0000-0000000D0000}"/>
    <cellStyle name="SAPBEXHLevel0X 2 3" xfId="1185" xr:uid="{00000000-0005-0000-0000-0000010D0000}"/>
    <cellStyle name="SAPBEXHLevel0X 2 3 2" xfId="2491" xr:uid="{00000000-0005-0000-0000-0000020D0000}"/>
    <cellStyle name="SAPBEXHLevel0X 2 3 3" xfId="3795" xr:uid="{00000000-0005-0000-0000-0000030D0000}"/>
    <cellStyle name="SAPBEXHLevel0X 2 3 4" xfId="4884" xr:uid="{00000000-0005-0000-0000-0000040D0000}"/>
    <cellStyle name="SAPBEXHLevel0X 2 4" xfId="1186" xr:uid="{00000000-0005-0000-0000-0000050D0000}"/>
    <cellStyle name="SAPBEXHLevel0X 2 4 2" xfId="2492" xr:uid="{00000000-0005-0000-0000-0000060D0000}"/>
    <cellStyle name="SAPBEXHLevel0X 2 4 3" xfId="3796" xr:uid="{00000000-0005-0000-0000-0000070D0000}"/>
    <cellStyle name="SAPBEXHLevel0X 2 4 4" xfId="4885" xr:uid="{00000000-0005-0000-0000-0000080D0000}"/>
    <cellStyle name="SAPBEXHLevel0X 2 5" xfId="1187" xr:uid="{00000000-0005-0000-0000-0000090D0000}"/>
    <cellStyle name="SAPBEXHLevel0X 2 5 2" xfId="2493" xr:uid="{00000000-0005-0000-0000-00000A0D0000}"/>
    <cellStyle name="SAPBEXHLevel0X 2 5 3" xfId="3797" xr:uid="{00000000-0005-0000-0000-00000B0D0000}"/>
    <cellStyle name="SAPBEXHLevel0X 2 5 4" xfId="4886" xr:uid="{00000000-0005-0000-0000-00000C0D0000}"/>
    <cellStyle name="SAPBEXHLevel0X 2 6" xfId="1188" xr:uid="{00000000-0005-0000-0000-00000D0D0000}"/>
    <cellStyle name="SAPBEXHLevel0X 2 6 2" xfId="2494" xr:uid="{00000000-0005-0000-0000-00000E0D0000}"/>
    <cellStyle name="SAPBEXHLevel0X 2 6 3" xfId="3798" xr:uid="{00000000-0005-0000-0000-00000F0D0000}"/>
    <cellStyle name="SAPBEXHLevel0X 2 6 4" xfId="4887" xr:uid="{00000000-0005-0000-0000-0000100D0000}"/>
    <cellStyle name="SAPBEXHLevel0X 2 7" xfId="1189" xr:uid="{00000000-0005-0000-0000-0000110D0000}"/>
    <cellStyle name="SAPBEXHLevel0X 2 7 2" xfId="2495" xr:uid="{00000000-0005-0000-0000-0000120D0000}"/>
    <cellStyle name="SAPBEXHLevel0X 2 7 3" xfId="3799" xr:uid="{00000000-0005-0000-0000-0000130D0000}"/>
    <cellStyle name="SAPBEXHLevel0X 2 7 4" xfId="4888" xr:uid="{00000000-0005-0000-0000-0000140D0000}"/>
    <cellStyle name="SAPBEXHLevel0X 2 8" xfId="1190" xr:uid="{00000000-0005-0000-0000-0000150D0000}"/>
    <cellStyle name="SAPBEXHLevel0X 2 8 2" xfId="2496" xr:uid="{00000000-0005-0000-0000-0000160D0000}"/>
    <cellStyle name="SAPBEXHLevel0X 2 8 3" xfId="3800" xr:uid="{00000000-0005-0000-0000-0000170D0000}"/>
    <cellStyle name="SAPBEXHLevel0X 2 8 4" xfId="4889" xr:uid="{00000000-0005-0000-0000-0000180D0000}"/>
    <cellStyle name="SAPBEXHLevel0X 2 9" xfId="1191" xr:uid="{00000000-0005-0000-0000-0000190D0000}"/>
    <cellStyle name="SAPBEXHLevel0X 2 9 2" xfId="2497" xr:uid="{00000000-0005-0000-0000-00001A0D0000}"/>
    <cellStyle name="SAPBEXHLevel0X 2 9 3" xfId="3801" xr:uid="{00000000-0005-0000-0000-00001B0D0000}"/>
    <cellStyle name="SAPBEXHLevel0X 2 9 4" xfId="4890" xr:uid="{00000000-0005-0000-0000-00001C0D0000}"/>
    <cellStyle name="SAPBEXHLevel0X 3" xfId="1192" xr:uid="{00000000-0005-0000-0000-00001D0D0000}"/>
    <cellStyle name="SAPBEXHLevel0X 3 2" xfId="2498" xr:uid="{00000000-0005-0000-0000-00001E0D0000}"/>
    <cellStyle name="SAPBEXHLevel0X 3 3" xfId="3802" xr:uid="{00000000-0005-0000-0000-00001F0D0000}"/>
    <cellStyle name="SAPBEXHLevel0X 3 4" xfId="4891" xr:uid="{00000000-0005-0000-0000-0000200D0000}"/>
    <cellStyle name="SAPBEXHLevel0X 4" xfId="1193" xr:uid="{00000000-0005-0000-0000-0000210D0000}"/>
    <cellStyle name="SAPBEXHLevel0X 4 2" xfId="2499" xr:uid="{00000000-0005-0000-0000-0000220D0000}"/>
    <cellStyle name="SAPBEXHLevel0X 4 3" xfId="3803" xr:uid="{00000000-0005-0000-0000-0000230D0000}"/>
    <cellStyle name="SAPBEXHLevel0X 4 4" xfId="4892" xr:uid="{00000000-0005-0000-0000-0000240D0000}"/>
    <cellStyle name="SAPBEXHLevel0X 5" xfId="1194" xr:uid="{00000000-0005-0000-0000-0000250D0000}"/>
    <cellStyle name="SAPBEXHLevel0X 5 2" xfId="2500" xr:uid="{00000000-0005-0000-0000-0000260D0000}"/>
    <cellStyle name="SAPBEXHLevel0X 5 3" xfId="3804" xr:uid="{00000000-0005-0000-0000-0000270D0000}"/>
    <cellStyle name="SAPBEXHLevel0X 5 4" xfId="4893" xr:uid="{00000000-0005-0000-0000-0000280D0000}"/>
    <cellStyle name="SAPBEXHLevel0X 6" xfId="1195" xr:uid="{00000000-0005-0000-0000-0000290D0000}"/>
    <cellStyle name="SAPBEXHLevel0X 6 2" xfId="2501" xr:uid="{00000000-0005-0000-0000-00002A0D0000}"/>
    <cellStyle name="SAPBEXHLevel0X 6 3" xfId="3805" xr:uid="{00000000-0005-0000-0000-00002B0D0000}"/>
    <cellStyle name="SAPBEXHLevel0X 6 4" xfId="4894" xr:uid="{00000000-0005-0000-0000-00002C0D0000}"/>
    <cellStyle name="SAPBEXHLevel0X 7" xfId="1196" xr:uid="{00000000-0005-0000-0000-00002D0D0000}"/>
    <cellStyle name="SAPBEXHLevel0X 7 2" xfId="2502" xr:uid="{00000000-0005-0000-0000-00002E0D0000}"/>
    <cellStyle name="SAPBEXHLevel0X 7 3" xfId="3806" xr:uid="{00000000-0005-0000-0000-00002F0D0000}"/>
    <cellStyle name="SAPBEXHLevel0X 7 4" xfId="4895" xr:uid="{00000000-0005-0000-0000-0000300D0000}"/>
    <cellStyle name="SAPBEXHLevel0X 8" xfId="1197" xr:uid="{00000000-0005-0000-0000-0000310D0000}"/>
    <cellStyle name="SAPBEXHLevel0X 8 2" xfId="2503" xr:uid="{00000000-0005-0000-0000-0000320D0000}"/>
    <cellStyle name="SAPBEXHLevel0X 8 3" xfId="3807" xr:uid="{00000000-0005-0000-0000-0000330D0000}"/>
    <cellStyle name="SAPBEXHLevel0X 8 4" xfId="4896" xr:uid="{00000000-0005-0000-0000-0000340D0000}"/>
    <cellStyle name="SAPBEXHLevel0X 9" xfId="1198" xr:uid="{00000000-0005-0000-0000-0000350D0000}"/>
    <cellStyle name="SAPBEXHLevel0X 9 2" xfId="2504" xr:uid="{00000000-0005-0000-0000-0000360D0000}"/>
    <cellStyle name="SAPBEXHLevel0X 9 3" xfId="3808" xr:uid="{00000000-0005-0000-0000-0000370D0000}"/>
    <cellStyle name="SAPBEXHLevel0X 9 4" xfId="4897" xr:uid="{00000000-0005-0000-0000-0000380D0000}"/>
    <cellStyle name="SAPBEXHLevel1" xfId="24" xr:uid="{00000000-0005-0000-0000-0000390D0000}"/>
    <cellStyle name="SAPBEXHLevel1 10" xfId="1200" xr:uid="{00000000-0005-0000-0000-00003A0D0000}"/>
    <cellStyle name="SAPBEXHLevel1 10 2" xfId="2506" xr:uid="{00000000-0005-0000-0000-00003B0D0000}"/>
    <cellStyle name="SAPBEXHLevel1 10 3" xfId="3810" xr:uid="{00000000-0005-0000-0000-00003C0D0000}"/>
    <cellStyle name="SAPBEXHLevel1 10 4" xfId="4899" xr:uid="{00000000-0005-0000-0000-00003D0D0000}"/>
    <cellStyle name="SAPBEXHLevel1 11" xfId="1201" xr:uid="{00000000-0005-0000-0000-00003E0D0000}"/>
    <cellStyle name="SAPBEXHLevel1 11 2" xfId="2507" xr:uid="{00000000-0005-0000-0000-00003F0D0000}"/>
    <cellStyle name="SAPBEXHLevel1 11 3" xfId="3811" xr:uid="{00000000-0005-0000-0000-0000400D0000}"/>
    <cellStyle name="SAPBEXHLevel1 11 4" xfId="4900" xr:uid="{00000000-0005-0000-0000-0000410D0000}"/>
    <cellStyle name="SAPBEXHLevel1 12" xfId="1202" xr:uid="{00000000-0005-0000-0000-0000420D0000}"/>
    <cellStyle name="SAPBEXHLevel1 12 2" xfId="2508" xr:uid="{00000000-0005-0000-0000-0000430D0000}"/>
    <cellStyle name="SAPBEXHLevel1 12 3" xfId="3812" xr:uid="{00000000-0005-0000-0000-0000440D0000}"/>
    <cellStyle name="SAPBEXHLevel1 12 4" xfId="4901" xr:uid="{00000000-0005-0000-0000-0000450D0000}"/>
    <cellStyle name="SAPBEXHLevel1 13" xfId="1203" xr:uid="{00000000-0005-0000-0000-0000460D0000}"/>
    <cellStyle name="SAPBEXHLevel1 13 2" xfId="2509" xr:uid="{00000000-0005-0000-0000-0000470D0000}"/>
    <cellStyle name="SAPBEXHLevel1 13 3" xfId="3813" xr:uid="{00000000-0005-0000-0000-0000480D0000}"/>
    <cellStyle name="SAPBEXHLevel1 13 4" xfId="4902" xr:uid="{00000000-0005-0000-0000-0000490D0000}"/>
    <cellStyle name="SAPBEXHLevel1 14" xfId="1204" xr:uid="{00000000-0005-0000-0000-00004A0D0000}"/>
    <cellStyle name="SAPBEXHLevel1 14 2" xfId="2510" xr:uid="{00000000-0005-0000-0000-00004B0D0000}"/>
    <cellStyle name="SAPBEXHLevel1 14 3" xfId="3814" xr:uid="{00000000-0005-0000-0000-00004C0D0000}"/>
    <cellStyle name="SAPBEXHLevel1 14 4" xfId="4903" xr:uid="{00000000-0005-0000-0000-00004D0D0000}"/>
    <cellStyle name="SAPBEXHLevel1 15" xfId="2505" xr:uid="{00000000-0005-0000-0000-00004E0D0000}"/>
    <cellStyle name="SAPBEXHLevel1 16" xfId="3809" xr:uid="{00000000-0005-0000-0000-00004F0D0000}"/>
    <cellStyle name="SAPBEXHLevel1 17" xfId="4898" xr:uid="{00000000-0005-0000-0000-0000500D0000}"/>
    <cellStyle name="SAPBEXHLevel1 2" xfId="1199" xr:uid="{00000000-0005-0000-0000-0000510D0000}"/>
    <cellStyle name="SAPBEXHLevel1 2 10" xfId="1205" xr:uid="{00000000-0005-0000-0000-0000520D0000}"/>
    <cellStyle name="SAPBEXHLevel1 2 10 2" xfId="2512" xr:uid="{00000000-0005-0000-0000-0000530D0000}"/>
    <cellStyle name="SAPBEXHLevel1 2 10 3" xfId="3816" xr:uid="{00000000-0005-0000-0000-0000540D0000}"/>
    <cellStyle name="SAPBEXHLevel1 2 10 4" xfId="4905" xr:uid="{00000000-0005-0000-0000-0000550D0000}"/>
    <cellStyle name="SAPBEXHLevel1 2 11" xfId="1206" xr:uid="{00000000-0005-0000-0000-0000560D0000}"/>
    <cellStyle name="SAPBEXHLevel1 2 11 2" xfId="2513" xr:uid="{00000000-0005-0000-0000-0000570D0000}"/>
    <cellStyle name="SAPBEXHLevel1 2 11 3" xfId="3817" xr:uid="{00000000-0005-0000-0000-0000580D0000}"/>
    <cellStyle name="SAPBEXHLevel1 2 11 4" xfId="4906" xr:uid="{00000000-0005-0000-0000-0000590D0000}"/>
    <cellStyle name="SAPBEXHLevel1 2 12" xfId="1207" xr:uid="{00000000-0005-0000-0000-00005A0D0000}"/>
    <cellStyle name="SAPBEXHLevel1 2 12 2" xfId="2514" xr:uid="{00000000-0005-0000-0000-00005B0D0000}"/>
    <cellStyle name="SAPBEXHLevel1 2 12 3" xfId="3818" xr:uid="{00000000-0005-0000-0000-00005C0D0000}"/>
    <cellStyle name="SAPBEXHLevel1 2 12 4" xfId="4907" xr:uid="{00000000-0005-0000-0000-00005D0D0000}"/>
    <cellStyle name="SAPBEXHLevel1 2 13" xfId="1208" xr:uid="{00000000-0005-0000-0000-00005E0D0000}"/>
    <cellStyle name="SAPBEXHLevel1 2 13 2" xfId="2515" xr:uid="{00000000-0005-0000-0000-00005F0D0000}"/>
    <cellStyle name="SAPBEXHLevel1 2 13 3" xfId="3819" xr:uid="{00000000-0005-0000-0000-0000600D0000}"/>
    <cellStyle name="SAPBEXHLevel1 2 13 4" xfId="4908" xr:uid="{00000000-0005-0000-0000-0000610D0000}"/>
    <cellStyle name="SAPBEXHLevel1 2 14" xfId="2511" xr:uid="{00000000-0005-0000-0000-0000620D0000}"/>
    <cellStyle name="SAPBEXHLevel1 2 15" xfId="3815" xr:uid="{00000000-0005-0000-0000-0000630D0000}"/>
    <cellStyle name="SAPBEXHLevel1 2 16" xfId="4904" xr:uid="{00000000-0005-0000-0000-0000640D0000}"/>
    <cellStyle name="SAPBEXHLevel1 2 2" xfId="1209" xr:uid="{00000000-0005-0000-0000-0000650D0000}"/>
    <cellStyle name="SAPBEXHLevel1 2 2 2" xfId="2516" xr:uid="{00000000-0005-0000-0000-0000660D0000}"/>
    <cellStyle name="SAPBEXHLevel1 2 2 3" xfId="3820" xr:uid="{00000000-0005-0000-0000-0000670D0000}"/>
    <cellStyle name="SAPBEXHLevel1 2 2 4" xfId="4909" xr:uid="{00000000-0005-0000-0000-0000680D0000}"/>
    <cellStyle name="SAPBEXHLevel1 2 3" xfId="1210" xr:uid="{00000000-0005-0000-0000-0000690D0000}"/>
    <cellStyle name="SAPBEXHLevel1 2 3 2" xfId="2517" xr:uid="{00000000-0005-0000-0000-00006A0D0000}"/>
    <cellStyle name="SAPBEXHLevel1 2 3 3" xfId="3821" xr:uid="{00000000-0005-0000-0000-00006B0D0000}"/>
    <cellStyle name="SAPBEXHLevel1 2 3 4" xfId="4910" xr:uid="{00000000-0005-0000-0000-00006C0D0000}"/>
    <cellStyle name="SAPBEXHLevel1 2 4" xfId="1211" xr:uid="{00000000-0005-0000-0000-00006D0D0000}"/>
    <cellStyle name="SAPBEXHLevel1 2 4 2" xfId="2518" xr:uid="{00000000-0005-0000-0000-00006E0D0000}"/>
    <cellStyle name="SAPBEXHLevel1 2 4 3" xfId="3822" xr:uid="{00000000-0005-0000-0000-00006F0D0000}"/>
    <cellStyle name="SAPBEXHLevel1 2 4 4" xfId="4911" xr:uid="{00000000-0005-0000-0000-0000700D0000}"/>
    <cellStyle name="SAPBEXHLevel1 2 5" xfId="1212" xr:uid="{00000000-0005-0000-0000-0000710D0000}"/>
    <cellStyle name="SAPBEXHLevel1 2 5 2" xfId="2519" xr:uid="{00000000-0005-0000-0000-0000720D0000}"/>
    <cellStyle name="SAPBEXHLevel1 2 5 3" xfId="3823" xr:uid="{00000000-0005-0000-0000-0000730D0000}"/>
    <cellStyle name="SAPBEXHLevel1 2 5 4" xfId="4912" xr:uid="{00000000-0005-0000-0000-0000740D0000}"/>
    <cellStyle name="SAPBEXHLevel1 2 6" xfId="1213" xr:uid="{00000000-0005-0000-0000-0000750D0000}"/>
    <cellStyle name="SAPBEXHLevel1 2 6 2" xfId="2520" xr:uid="{00000000-0005-0000-0000-0000760D0000}"/>
    <cellStyle name="SAPBEXHLevel1 2 6 3" xfId="3824" xr:uid="{00000000-0005-0000-0000-0000770D0000}"/>
    <cellStyle name="SAPBEXHLevel1 2 6 4" xfId="4913" xr:uid="{00000000-0005-0000-0000-0000780D0000}"/>
    <cellStyle name="SAPBEXHLevel1 2 7" xfId="1214" xr:uid="{00000000-0005-0000-0000-0000790D0000}"/>
    <cellStyle name="SAPBEXHLevel1 2 7 2" xfId="2521" xr:uid="{00000000-0005-0000-0000-00007A0D0000}"/>
    <cellStyle name="SAPBEXHLevel1 2 7 3" xfId="3825" xr:uid="{00000000-0005-0000-0000-00007B0D0000}"/>
    <cellStyle name="SAPBEXHLevel1 2 7 4" xfId="4914" xr:uid="{00000000-0005-0000-0000-00007C0D0000}"/>
    <cellStyle name="SAPBEXHLevel1 2 8" xfId="1215" xr:uid="{00000000-0005-0000-0000-00007D0D0000}"/>
    <cellStyle name="SAPBEXHLevel1 2 8 2" xfId="2522" xr:uid="{00000000-0005-0000-0000-00007E0D0000}"/>
    <cellStyle name="SAPBEXHLevel1 2 8 3" xfId="3826" xr:uid="{00000000-0005-0000-0000-00007F0D0000}"/>
    <cellStyle name="SAPBEXHLevel1 2 8 4" xfId="4915" xr:uid="{00000000-0005-0000-0000-0000800D0000}"/>
    <cellStyle name="SAPBEXHLevel1 2 9" xfId="1216" xr:uid="{00000000-0005-0000-0000-0000810D0000}"/>
    <cellStyle name="SAPBEXHLevel1 2 9 2" xfId="2523" xr:uid="{00000000-0005-0000-0000-0000820D0000}"/>
    <cellStyle name="SAPBEXHLevel1 2 9 3" xfId="3827" xr:uid="{00000000-0005-0000-0000-0000830D0000}"/>
    <cellStyle name="SAPBEXHLevel1 2 9 4" xfId="4916" xr:uid="{00000000-0005-0000-0000-0000840D0000}"/>
    <cellStyle name="SAPBEXHLevel1 3" xfId="1217" xr:uid="{00000000-0005-0000-0000-0000850D0000}"/>
    <cellStyle name="SAPBEXHLevel1 3 2" xfId="2524" xr:uid="{00000000-0005-0000-0000-0000860D0000}"/>
    <cellStyle name="SAPBEXHLevel1 3 3" xfId="3828" xr:uid="{00000000-0005-0000-0000-0000870D0000}"/>
    <cellStyle name="SAPBEXHLevel1 3 4" xfId="4917" xr:uid="{00000000-0005-0000-0000-0000880D0000}"/>
    <cellStyle name="SAPBEXHLevel1 4" xfId="1218" xr:uid="{00000000-0005-0000-0000-0000890D0000}"/>
    <cellStyle name="SAPBEXHLevel1 4 2" xfId="2525" xr:uid="{00000000-0005-0000-0000-00008A0D0000}"/>
    <cellStyle name="SAPBEXHLevel1 4 3" xfId="3829" xr:uid="{00000000-0005-0000-0000-00008B0D0000}"/>
    <cellStyle name="SAPBEXHLevel1 4 4" xfId="4918" xr:uid="{00000000-0005-0000-0000-00008C0D0000}"/>
    <cellStyle name="SAPBEXHLevel1 5" xfId="1219" xr:uid="{00000000-0005-0000-0000-00008D0D0000}"/>
    <cellStyle name="SAPBEXHLevel1 5 2" xfId="2526" xr:uid="{00000000-0005-0000-0000-00008E0D0000}"/>
    <cellStyle name="SAPBEXHLevel1 5 3" xfId="3830" xr:uid="{00000000-0005-0000-0000-00008F0D0000}"/>
    <cellStyle name="SAPBEXHLevel1 5 4" xfId="4919" xr:uid="{00000000-0005-0000-0000-0000900D0000}"/>
    <cellStyle name="SAPBEXHLevel1 6" xfId="1220" xr:uid="{00000000-0005-0000-0000-0000910D0000}"/>
    <cellStyle name="SAPBEXHLevel1 6 2" xfId="2527" xr:uid="{00000000-0005-0000-0000-0000920D0000}"/>
    <cellStyle name="SAPBEXHLevel1 6 3" xfId="3831" xr:uid="{00000000-0005-0000-0000-0000930D0000}"/>
    <cellStyle name="SAPBEXHLevel1 6 4" xfId="4920" xr:uid="{00000000-0005-0000-0000-0000940D0000}"/>
    <cellStyle name="SAPBEXHLevel1 7" xfId="1221" xr:uid="{00000000-0005-0000-0000-0000950D0000}"/>
    <cellStyle name="SAPBEXHLevel1 7 2" xfId="2528" xr:uid="{00000000-0005-0000-0000-0000960D0000}"/>
    <cellStyle name="SAPBEXHLevel1 7 3" xfId="3832" xr:uid="{00000000-0005-0000-0000-0000970D0000}"/>
    <cellStyle name="SAPBEXHLevel1 7 4" xfId="4921" xr:uid="{00000000-0005-0000-0000-0000980D0000}"/>
    <cellStyle name="SAPBEXHLevel1 8" xfId="1222" xr:uid="{00000000-0005-0000-0000-0000990D0000}"/>
    <cellStyle name="SAPBEXHLevel1 8 2" xfId="2529" xr:uid="{00000000-0005-0000-0000-00009A0D0000}"/>
    <cellStyle name="SAPBEXHLevel1 8 3" xfId="3833" xr:uid="{00000000-0005-0000-0000-00009B0D0000}"/>
    <cellStyle name="SAPBEXHLevel1 8 4" xfId="4922" xr:uid="{00000000-0005-0000-0000-00009C0D0000}"/>
    <cellStyle name="SAPBEXHLevel1 9" xfId="1223" xr:uid="{00000000-0005-0000-0000-00009D0D0000}"/>
    <cellStyle name="SAPBEXHLevel1 9 2" xfId="2530" xr:uid="{00000000-0005-0000-0000-00009E0D0000}"/>
    <cellStyle name="SAPBEXHLevel1 9 3" xfId="3834" xr:uid="{00000000-0005-0000-0000-00009F0D0000}"/>
    <cellStyle name="SAPBEXHLevel1 9 4" xfId="4923" xr:uid="{00000000-0005-0000-0000-0000A00D0000}"/>
    <cellStyle name="SAPBEXHLevel1X" xfId="25" xr:uid="{00000000-0005-0000-0000-0000A10D0000}"/>
    <cellStyle name="SAPBEXHLevel1X 10" xfId="1225" xr:uid="{00000000-0005-0000-0000-0000A20D0000}"/>
    <cellStyle name="SAPBEXHLevel1X 10 2" xfId="2532" xr:uid="{00000000-0005-0000-0000-0000A30D0000}"/>
    <cellStyle name="SAPBEXHLevel1X 10 3" xfId="3836" xr:uid="{00000000-0005-0000-0000-0000A40D0000}"/>
    <cellStyle name="SAPBEXHLevel1X 10 4" xfId="4925" xr:uid="{00000000-0005-0000-0000-0000A50D0000}"/>
    <cellStyle name="SAPBEXHLevel1X 11" xfId="1226" xr:uid="{00000000-0005-0000-0000-0000A60D0000}"/>
    <cellStyle name="SAPBEXHLevel1X 11 2" xfId="2533" xr:uid="{00000000-0005-0000-0000-0000A70D0000}"/>
    <cellStyle name="SAPBEXHLevel1X 11 3" xfId="3837" xr:uid="{00000000-0005-0000-0000-0000A80D0000}"/>
    <cellStyle name="SAPBEXHLevel1X 11 4" xfId="4926" xr:uid="{00000000-0005-0000-0000-0000A90D0000}"/>
    <cellStyle name="SAPBEXHLevel1X 12" xfId="1227" xr:uid="{00000000-0005-0000-0000-0000AA0D0000}"/>
    <cellStyle name="SAPBEXHLevel1X 12 2" xfId="2534" xr:uid="{00000000-0005-0000-0000-0000AB0D0000}"/>
    <cellStyle name="SAPBEXHLevel1X 12 3" xfId="3838" xr:uid="{00000000-0005-0000-0000-0000AC0D0000}"/>
    <cellStyle name="SAPBEXHLevel1X 12 4" xfId="4927" xr:uid="{00000000-0005-0000-0000-0000AD0D0000}"/>
    <cellStyle name="SAPBEXHLevel1X 13" xfId="1228" xr:uid="{00000000-0005-0000-0000-0000AE0D0000}"/>
    <cellStyle name="SAPBEXHLevel1X 13 2" xfId="2535" xr:uid="{00000000-0005-0000-0000-0000AF0D0000}"/>
    <cellStyle name="SAPBEXHLevel1X 13 3" xfId="3839" xr:uid="{00000000-0005-0000-0000-0000B00D0000}"/>
    <cellStyle name="SAPBEXHLevel1X 13 4" xfId="4928" xr:uid="{00000000-0005-0000-0000-0000B10D0000}"/>
    <cellStyle name="SAPBEXHLevel1X 14" xfId="1229" xr:uid="{00000000-0005-0000-0000-0000B20D0000}"/>
    <cellStyle name="SAPBEXHLevel1X 14 2" xfId="2536" xr:uid="{00000000-0005-0000-0000-0000B30D0000}"/>
    <cellStyle name="SAPBEXHLevel1X 14 3" xfId="3840" xr:uid="{00000000-0005-0000-0000-0000B40D0000}"/>
    <cellStyle name="SAPBEXHLevel1X 14 4" xfId="4929" xr:uid="{00000000-0005-0000-0000-0000B50D0000}"/>
    <cellStyle name="SAPBEXHLevel1X 15" xfId="2531" xr:uid="{00000000-0005-0000-0000-0000B60D0000}"/>
    <cellStyle name="SAPBEXHLevel1X 16" xfId="3835" xr:uid="{00000000-0005-0000-0000-0000B70D0000}"/>
    <cellStyle name="SAPBEXHLevel1X 17" xfId="4924" xr:uid="{00000000-0005-0000-0000-0000B80D0000}"/>
    <cellStyle name="SAPBEXHLevel1X 2" xfId="1224" xr:uid="{00000000-0005-0000-0000-0000B90D0000}"/>
    <cellStyle name="SAPBEXHLevel1X 2 10" xfId="1230" xr:uid="{00000000-0005-0000-0000-0000BA0D0000}"/>
    <cellStyle name="SAPBEXHLevel1X 2 10 2" xfId="2538" xr:uid="{00000000-0005-0000-0000-0000BB0D0000}"/>
    <cellStyle name="SAPBEXHLevel1X 2 10 3" xfId="3842" xr:uid="{00000000-0005-0000-0000-0000BC0D0000}"/>
    <cellStyle name="SAPBEXHLevel1X 2 10 4" xfId="4931" xr:uid="{00000000-0005-0000-0000-0000BD0D0000}"/>
    <cellStyle name="SAPBEXHLevel1X 2 11" xfId="1231" xr:uid="{00000000-0005-0000-0000-0000BE0D0000}"/>
    <cellStyle name="SAPBEXHLevel1X 2 11 2" xfId="2539" xr:uid="{00000000-0005-0000-0000-0000BF0D0000}"/>
    <cellStyle name="SAPBEXHLevel1X 2 11 3" xfId="3843" xr:uid="{00000000-0005-0000-0000-0000C00D0000}"/>
    <cellStyle name="SAPBEXHLevel1X 2 11 4" xfId="4932" xr:uid="{00000000-0005-0000-0000-0000C10D0000}"/>
    <cellStyle name="SAPBEXHLevel1X 2 12" xfId="1232" xr:uid="{00000000-0005-0000-0000-0000C20D0000}"/>
    <cellStyle name="SAPBEXHLevel1X 2 12 2" xfId="2540" xr:uid="{00000000-0005-0000-0000-0000C30D0000}"/>
    <cellStyle name="SAPBEXHLevel1X 2 12 3" xfId="3844" xr:uid="{00000000-0005-0000-0000-0000C40D0000}"/>
    <cellStyle name="SAPBEXHLevel1X 2 12 4" xfId="4933" xr:uid="{00000000-0005-0000-0000-0000C50D0000}"/>
    <cellStyle name="SAPBEXHLevel1X 2 13" xfId="1233" xr:uid="{00000000-0005-0000-0000-0000C60D0000}"/>
    <cellStyle name="SAPBEXHLevel1X 2 13 2" xfId="2541" xr:uid="{00000000-0005-0000-0000-0000C70D0000}"/>
    <cellStyle name="SAPBEXHLevel1X 2 13 3" xfId="3845" xr:uid="{00000000-0005-0000-0000-0000C80D0000}"/>
    <cellStyle name="SAPBEXHLevel1X 2 13 4" xfId="4934" xr:uid="{00000000-0005-0000-0000-0000C90D0000}"/>
    <cellStyle name="SAPBEXHLevel1X 2 14" xfId="2537" xr:uid="{00000000-0005-0000-0000-0000CA0D0000}"/>
    <cellStyle name="SAPBEXHLevel1X 2 15" xfId="3841" xr:uid="{00000000-0005-0000-0000-0000CB0D0000}"/>
    <cellStyle name="SAPBEXHLevel1X 2 16" xfId="4930" xr:uid="{00000000-0005-0000-0000-0000CC0D0000}"/>
    <cellStyle name="SAPBEXHLevel1X 2 2" xfId="1234" xr:uid="{00000000-0005-0000-0000-0000CD0D0000}"/>
    <cellStyle name="SAPBEXHLevel1X 2 2 2" xfId="2542" xr:uid="{00000000-0005-0000-0000-0000CE0D0000}"/>
    <cellStyle name="SAPBEXHLevel1X 2 2 3" xfId="3846" xr:uid="{00000000-0005-0000-0000-0000CF0D0000}"/>
    <cellStyle name="SAPBEXHLevel1X 2 2 4" xfId="4935" xr:uid="{00000000-0005-0000-0000-0000D00D0000}"/>
    <cellStyle name="SAPBEXHLevel1X 2 3" xfId="1235" xr:uid="{00000000-0005-0000-0000-0000D10D0000}"/>
    <cellStyle name="SAPBEXHLevel1X 2 3 2" xfId="2543" xr:uid="{00000000-0005-0000-0000-0000D20D0000}"/>
    <cellStyle name="SAPBEXHLevel1X 2 3 3" xfId="3847" xr:uid="{00000000-0005-0000-0000-0000D30D0000}"/>
    <cellStyle name="SAPBEXHLevel1X 2 3 4" xfId="4936" xr:uid="{00000000-0005-0000-0000-0000D40D0000}"/>
    <cellStyle name="SAPBEXHLevel1X 2 4" xfId="1236" xr:uid="{00000000-0005-0000-0000-0000D50D0000}"/>
    <cellStyle name="SAPBEXHLevel1X 2 4 2" xfId="2544" xr:uid="{00000000-0005-0000-0000-0000D60D0000}"/>
    <cellStyle name="SAPBEXHLevel1X 2 4 3" xfId="3848" xr:uid="{00000000-0005-0000-0000-0000D70D0000}"/>
    <cellStyle name="SAPBEXHLevel1X 2 4 4" xfId="4937" xr:uid="{00000000-0005-0000-0000-0000D80D0000}"/>
    <cellStyle name="SAPBEXHLevel1X 2 5" xfId="1237" xr:uid="{00000000-0005-0000-0000-0000D90D0000}"/>
    <cellStyle name="SAPBEXHLevel1X 2 5 2" xfId="2545" xr:uid="{00000000-0005-0000-0000-0000DA0D0000}"/>
    <cellStyle name="SAPBEXHLevel1X 2 5 3" xfId="3849" xr:uid="{00000000-0005-0000-0000-0000DB0D0000}"/>
    <cellStyle name="SAPBEXHLevel1X 2 5 4" xfId="4938" xr:uid="{00000000-0005-0000-0000-0000DC0D0000}"/>
    <cellStyle name="SAPBEXHLevel1X 2 6" xfId="1238" xr:uid="{00000000-0005-0000-0000-0000DD0D0000}"/>
    <cellStyle name="SAPBEXHLevel1X 2 6 2" xfId="2546" xr:uid="{00000000-0005-0000-0000-0000DE0D0000}"/>
    <cellStyle name="SAPBEXHLevel1X 2 6 3" xfId="3850" xr:uid="{00000000-0005-0000-0000-0000DF0D0000}"/>
    <cellStyle name="SAPBEXHLevel1X 2 6 4" xfId="4939" xr:uid="{00000000-0005-0000-0000-0000E00D0000}"/>
    <cellStyle name="SAPBEXHLevel1X 2 7" xfId="1239" xr:uid="{00000000-0005-0000-0000-0000E10D0000}"/>
    <cellStyle name="SAPBEXHLevel1X 2 7 2" xfId="2547" xr:uid="{00000000-0005-0000-0000-0000E20D0000}"/>
    <cellStyle name="SAPBEXHLevel1X 2 7 3" xfId="3851" xr:uid="{00000000-0005-0000-0000-0000E30D0000}"/>
    <cellStyle name="SAPBEXHLevel1X 2 7 4" xfId="4940" xr:uid="{00000000-0005-0000-0000-0000E40D0000}"/>
    <cellStyle name="SAPBEXHLevel1X 2 8" xfId="1240" xr:uid="{00000000-0005-0000-0000-0000E50D0000}"/>
    <cellStyle name="SAPBEXHLevel1X 2 8 2" xfId="2548" xr:uid="{00000000-0005-0000-0000-0000E60D0000}"/>
    <cellStyle name="SAPBEXHLevel1X 2 8 3" xfId="3852" xr:uid="{00000000-0005-0000-0000-0000E70D0000}"/>
    <cellStyle name="SAPBEXHLevel1X 2 8 4" xfId="4941" xr:uid="{00000000-0005-0000-0000-0000E80D0000}"/>
    <cellStyle name="SAPBEXHLevel1X 2 9" xfId="1241" xr:uid="{00000000-0005-0000-0000-0000E90D0000}"/>
    <cellStyle name="SAPBEXHLevel1X 2 9 2" xfId="2549" xr:uid="{00000000-0005-0000-0000-0000EA0D0000}"/>
    <cellStyle name="SAPBEXHLevel1X 2 9 3" xfId="3853" xr:uid="{00000000-0005-0000-0000-0000EB0D0000}"/>
    <cellStyle name="SAPBEXHLevel1X 2 9 4" xfId="4942" xr:uid="{00000000-0005-0000-0000-0000EC0D0000}"/>
    <cellStyle name="SAPBEXHLevel1X 3" xfId="1242" xr:uid="{00000000-0005-0000-0000-0000ED0D0000}"/>
    <cellStyle name="SAPBEXHLevel1X 3 2" xfId="2550" xr:uid="{00000000-0005-0000-0000-0000EE0D0000}"/>
    <cellStyle name="SAPBEXHLevel1X 3 3" xfId="3854" xr:uid="{00000000-0005-0000-0000-0000EF0D0000}"/>
    <cellStyle name="SAPBEXHLevel1X 3 4" xfId="4943" xr:uid="{00000000-0005-0000-0000-0000F00D0000}"/>
    <cellStyle name="SAPBEXHLevel1X 4" xfId="1243" xr:uid="{00000000-0005-0000-0000-0000F10D0000}"/>
    <cellStyle name="SAPBEXHLevel1X 4 2" xfId="2551" xr:uid="{00000000-0005-0000-0000-0000F20D0000}"/>
    <cellStyle name="SAPBEXHLevel1X 4 3" xfId="3855" xr:uid="{00000000-0005-0000-0000-0000F30D0000}"/>
    <cellStyle name="SAPBEXHLevel1X 4 4" xfId="4944" xr:uid="{00000000-0005-0000-0000-0000F40D0000}"/>
    <cellStyle name="SAPBEXHLevel1X 5" xfId="1244" xr:uid="{00000000-0005-0000-0000-0000F50D0000}"/>
    <cellStyle name="SAPBEXHLevel1X 5 2" xfId="2552" xr:uid="{00000000-0005-0000-0000-0000F60D0000}"/>
    <cellStyle name="SAPBEXHLevel1X 5 3" xfId="3856" xr:uid="{00000000-0005-0000-0000-0000F70D0000}"/>
    <cellStyle name="SAPBEXHLevel1X 5 4" xfId="4945" xr:uid="{00000000-0005-0000-0000-0000F80D0000}"/>
    <cellStyle name="SAPBEXHLevel1X 6" xfId="1245" xr:uid="{00000000-0005-0000-0000-0000F90D0000}"/>
    <cellStyle name="SAPBEXHLevel1X 6 2" xfId="2553" xr:uid="{00000000-0005-0000-0000-0000FA0D0000}"/>
    <cellStyle name="SAPBEXHLevel1X 6 3" xfId="3857" xr:uid="{00000000-0005-0000-0000-0000FB0D0000}"/>
    <cellStyle name="SAPBEXHLevel1X 6 4" xfId="4946" xr:uid="{00000000-0005-0000-0000-0000FC0D0000}"/>
    <cellStyle name="SAPBEXHLevel1X 7" xfId="1246" xr:uid="{00000000-0005-0000-0000-0000FD0D0000}"/>
    <cellStyle name="SAPBEXHLevel1X 7 2" xfId="2554" xr:uid="{00000000-0005-0000-0000-0000FE0D0000}"/>
    <cellStyle name="SAPBEXHLevel1X 7 3" xfId="3858" xr:uid="{00000000-0005-0000-0000-0000FF0D0000}"/>
    <cellStyle name="SAPBEXHLevel1X 7 4" xfId="4947" xr:uid="{00000000-0005-0000-0000-0000000E0000}"/>
    <cellStyle name="SAPBEXHLevel1X 8" xfId="1247" xr:uid="{00000000-0005-0000-0000-0000010E0000}"/>
    <cellStyle name="SAPBEXHLevel1X 8 2" xfId="2555" xr:uid="{00000000-0005-0000-0000-0000020E0000}"/>
    <cellStyle name="SAPBEXHLevel1X 8 3" xfId="3859" xr:uid="{00000000-0005-0000-0000-0000030E0000}"/>
    <cellStyle name="SAPBEXHLevel1X 8 4" xfId="4948" xr:uid="{00000000-0005-0000-0000-0000040E0000}"/>
    <cellStyle name="SAPBEXHLevel1X 9" xfId="1248" xr:uid="{00000000-0005-0000-0000-0000050E0000}"/>
    <cellStyle name="SAPBEXHLevel1X 9 2" xfId="2556" xr:uid="{00000000-0005-0000-0000-0000060E0000}"/>
    <cellStyle name="SAPBEXHLevel1X 9 3" xfId="3860" xr:uid="{00000000-0005-0000-0000-0000070E0000}"/>
    <cellStyle name="SAPBEXHLevel1X 9 4" xfId="4949" xr:uid="{00000000-0005-0000-0000-0000080E0000}"/>
    <cellStyle name="SAPBEXHLevel2" xfId="26" xr:uid="{00000000-0005-0000-0000-0000090E0000}"/>
    <cellStyle name="SAPBEXHLevel2 10" xfId="1250" xr:uid="{00000000-0005-0000-0000-00000A0E0000}"/>
    <cellStyle name="SAPBEXHLevel2 10 2" xfId="2558" xr:uid="{00000000-0005-0000-0000-00000B0E0000}"/>
    <cellStyle name="SAPBEXHLevel2 10 3" xfId="3862" xr:uid="{00000000-0005-0000-0000-00000C0E0000}"/>
    <cellStyle name="SAPBEXHLevel2 10 4" xfId="4951" xr:uid="{00000000-0005-0000-0000-00000D0E0000}"/>
    <cellStyle name="SAPBEXHLevel2 11" xfId="1251" xr:uid="{00000000-0005-0000-0000-00000E0E0000}"/>
    <cellStyle name="SAPBEXHLevel2 11 2" xfId="2559" xr:uid="{00000000-0005-0000-0000-00000F0E0000}"/>
    <cellStyle name="SAPBEXHLevel2 11 3" xfId="3863" xr:uid="{00000000-0005-0000-0000-0000100E0000}"/>
    <cellStyle name="SAPBEXHLevel2 11 4" xfId="4952" xr:uid="{00000000-0005-0000-0000-0000110E0000}"/>
    <cellStyle name="SAPBEXHLevel2 12" xfId="1252" xr:uid="{00000000-0005-0000-0000-0000120E0000}"/>
    <cellStyle name="SAPBEXHLevel2 12 2" xfId="2560" xr:uid="{00000000-0005-0000-0000-0000130E0000}"/>
    <cellStyle name="SAPBEXHLevel2 12 3" xfId="3864" xr:uid="{00000000-0005-0000-0000-0000140E0000}"/>
    <cellStyle name="SAPBEXHLevel2 12 4" xfId="4953" xr:uid="{00000000-0005-0000-0000-0000150E0000}"/>
    <cellStyle name="SAPBEXHLevel2 13" xfId="1253" xr:uid="{00000000-0005-0000-0000-0000160E0000}"/>
    <cellStyle name="SAPBEXHLevel2 13 2" xfId="2561" xr:uid="{00000000-0005-0000-0000-0000170E0000}"/>
    <cellStyle name="SAPBEXHLevel2 13 3" xfId="3865" xr:uid="{00000000-0005-0000-0000-0000180E0000}"/>
    <cellStyle name="SAPBEXHLevel2 13 4" xfId="4954" xr:uid="{00000000-0005-0000-0000-0000190E0000}"/>
    <cellStyle name="SAPBEXHLevel2 14" xfId="1254" xr:uid="{00000000-0005-0000-0000-00001A0E0000}"/>
    <cellStyle name="SAPBEXHLevel2 14 2" xfId="2562" xr:uid="{00000000-0005-0000-0000-00001B0E0000}"/>
    <cellStyle name="SAPBEXHLevel2 14 3" xfId="3866" xr:uid="{00000000-0005-0000-0000-00001C0E0000}"/>
    <cellStyle name="SAPBEXHLevel2 14 4" xfId="4955" xr:uid="{00000000-0005-0000-0000-00001D0E0000}"/>
    <cellStyle name="SAPBEXHLevel2 15" xfId="2557" xr:uid="{00000000-0005-0000-0000-00001E0E0000}"/>
    <cellStyle name="SAPBEXHLevel2 16" xfId="3861" xr:uid="{00000000-0005-0000-0000-00001F0E0000}"/>
    <cellStyle name="SAPBEXHLevel2 17" xfId="4950" xr:uid="{00000000-0005-0000-0000-0000200E0000}"/>
    <cellStyle name="SAPBEXHLevel2 2" xfId="1249" xr:uid="{00000000-0005-0000-0000-0000210E0000}"/>
    <cellStyle name="SAPBEXHLevel2 2 10" xfId="1255" xr:uid="{00000000-0005-0000-0000-0000220E0000}"/>
    <cellStyle name="SAPBEXHLevel2 2 10 2" xfId="2564" xr:uid="{00000000-0005-0000-0000-0000230E0000}"/>
    <cellStyle name="SAPBEXHLevel2 2 10 3" xfId="3868" xr:uid="{00000000-0005-0000-0000-0000240E0000}"/>
    <cellStyle name="SAPBEXHLevel2 2 10 4" xfId="4957" xr:uid="{00000000-0005-0000-0000-0000250E0000}"/>
    <cellStyle name="SAPBEXHLevel2 2 11" xfId="1256" xr:uid="{00000000-0005-0000-0000-0000260E0000}"/>
    <cellStyle name="SAPBEXHLevel2 2 11 2" xfId="2565" xr:uid="{00000000-0005-0000-0000-0000270E0000}"/>
    <cellStyle name="SAPBEXHLevel2 2 11 3" xfId="3869" xr:uid="{00000000-0005-0000-0000-0000280E0000}"/>
    <cellStyle name="SAPBEXHLevel2 2 11 4" xfId="4958" xr:uid="{00000000-0005-0000-0000-0000290E0000}"/>
    <cellStyle name="SAPBEXHLevel2 2 12" xfId="1257" xr:uid="{00000000-0005-0000-0000-00002A0E0000}"/>
    <cellStyle name="SAPBEXHLevel2 2 12 2" xfId="2566" xr:uid="{00000000-0005-0000-0000-00002B0E0000}"/>
    <cellStyle name="SAPBEXHLevel2 2 12 3" xfId="3870" xr:uid="{00000000-0005-0000-0000-00002C0E0000}"/>
    <cellStyle name="SAPBEXHLevel2 2 12 4" xfId="4959" xr:uid="{00000000-0005-0000-0000-00002D0E0000}"/>
    <cellStyle name="SAPBEXHLevel2 2 13" xfId="1258" xr:uid="{00000000-0005-0000-0000-00002E0E0000}"/>
    <cellStyle name="SAPBEXHLevel2 2 13 2" xfId="2567" xr:uid="{00000000-0005-0000-0000-00002F0E0000}"/>
    <cellStyle name="SAPBEXHLevel2 2 13 3" xfId="3871" xr:uid="{00000000-0005-0000-0000-0000300E0000}"/>
    <cellStyle name="SAPBEXHLevel2 2 13 4" xfId="4960" xr:uid="{00000000-0005-0000-0000-0000310E0000}"/>
    <cellStyle name="SAPBEXHLevel2 2 14" xfId="2563" xr:uid="{00000000-0005-0000-0000-0000320E0000}"/>
    <cellStyle name="SAPBEXHLevel2 2 15" xfId="3867" xr:uid="{00000000-0005-0000-0000-0000330E0000}"/>
    <cellStyle name="SAPBEXHLevel2 2 16" xfId="4956" xr:uid="{00000000-0005-0000-0000-0000340E0000}"/>
    <cellStyle name="SAPBEXHLevel2 2 2" xfId="1259" xr:uid="{00000000-0005-0000-0000-0000350E0000}"/>
    <cellStyle name="SAPBEXHLevel2 2 2 2" xfId="2568" xr:uid="{00000000-0005-0000-0000-0000360E0000}"/>
    <cellStyle name="SAPBEXHLevel2 2 2 3" xfId="3872" xr:uid="{00000000-0005-0000-0000-0000370E0000}"/>
    <cellStyle name="SAPBEXHLevel2 2 2 4" xfId="4961" xr:uid="{00000000-0005-0000-0000-0000380E0000}"/>
    <cellStyle name="SAPBEXHLevel2 2 3" xfId="1260" xr:uid="{00000000-0005-0000-0000-0000390E0000}"/>
    <cellStyle name="SAPBEXHLevel2 2 3 2" xfId="2569" xr:uid="{00000000-0005-0000-0000-00003A0E0000}"/>
    <cellStyle name="SAPBEXHLevel2 2 3 3" xfId="3873" xr:uid="{00000000-0005-0000-0000-00003B0E0000}"/>
    <cellStyle name="SAPBEXHLevel2 2 3 4" xfId="4962" xr:uid="{00000000-0005-0000-0000-00003C0E0000}"/>
    <cellStyle name="SAPBEXHLevel2 2 4" xfId="1261" xr:uid="{00000000-0005-0000-0000-00003D0E0000}"/>
    <cellStyle name="SAPBEXHLevel2 2 4 2" xfId="2570" xr:uid="{00000000-0005-0000-0000-00003E0E0000}"/>
    <cellStyle name="SAPBEXHLevel2 2 4 3" xfId="3874" xr:uid="{00000000-0005-0000-0000-00003F0E0000}"/>
    <cellStyle name="SAPBEXHLevel2 2 4 4" xfId="4963" xr:uid="{00000000-0005-0000-0000-0000400E0000}"/>
    <cellStyle name="SAPBEXHLevel2 2 5" xfId="1262" xr:uid="{00000000-0005-0000-0000-0000410E0000}"/>
    <cellStyle name="SAPBEXHLevel2 2 5 2" xfId="2571" xr:uid="{00000000-0005-0000-0000-0000420E0000}"/>
    <cellStyle name="SAPBEXHLevel2 2 5 3" xfId="3875" xr:uid="{00000000-0005-0000-0000-0000430E0000}"/>
    <cellStyle name="SAPBEXHLevel2 2 5 4" xfId="4964" xr:uid="{00000000-0005-0000-0000-0000440E0000}"/>
    <cellStyle name="SAPBEXHLevel2 2 6" xfId="1263" xr:uid="{00000000-0005-0000-0000-0000450E0000}"/>
    <cellStyle name="SAPBEXHLevel2 2 6 2" xfId="2572" xr:uid="{00000000-0005-0000-0000-0000460E0000}"/>
    <cellStyle name="SAPBEXHLevel2 2 6 3" xfId="3876" xr:uid="{00000000-0005-0000-0000-0000470E0000}"/>
    <cellStyle name="SAPBEXHLevel2 2 6 4" xfId="4965" xr:uid="{00000000-0005-0000-0000-0000480E0000}"/>
    <cellStyle name="SAPBEXHLevel2 2 7" xfId="1264" xr:uid="{00000000-0005-0000-0000-0000490E0000}"/>
    <cellStyle name="SAPBEXHLevel2 2 7 2" xfId="2573" xr:uid="{00000000-0005-0000-0000-00004A0E0000}"/>
    <cellStyle name="SAPBEXHLevel2 2 7 3" xfId="3877" xr:uid="{00000000-0005-0000-0000-00004B0E0000}"/>
    <cellStyle name="SAPBEXHLevel2 2 7 4" xfId="4966" xr:uid="{00000000-0005-0000-0000-00004C0E0000}"/>
    <cellStyle name="SAPBEXHLevel2 2 8" xfId="1265" xr:uid="{00000000-0005-0000-0000-00004D0E0000}"/>
    <cellStyle name="SAPBEXHLevel2 2 8 2" xfId="2574" xr:uid="{00000000-0005-0000-0000-00004E0E0000}"/>
    <cellStyle name="SAPBEXHLevel2 2 8 3" xfId="3878" xr:uid="{00000000-0005-0000-0000-00004F0E0000}"/>
    <cellStyle name="SAPBEXHLevel2 2 8 4" xfId="4967" xr:uid="{00000000-0005-0000-0000-0000500E0000}"/>
    <cellStyle name="SAPBEXHLevel2 2 9" xfId="1266" xr:uid="{00000000-0005-0000-0000-0000510E0000}"/>
    <cellStyle name="SAPBEXHLevel2 2 9 2" xfId="2575" xr:uid="{00000000-0005-0000-0000-0000520E0000}"/>
    <cellStyle name="SAPBEXHLevel2 2 9 3" xfId="3879" xr:uid="{00000000-0005-0000-0000-0000530E0000}"/>
    <cellStyle name="SAPBEXHLevel2 2 9 4" xfId="4968" xr:uid="{00000000-0005-0000-0000-0000540E0000}"/>
    <cellStyle name="SAPBEXHLevel2 3" xfId="1267" xr:uid="{00000000-0005-0000-0000-0000550E0000}"/>
    <cellStyle name="SAPBEXHLevel2 3 2" xfId="2576" xr:uid="{00000000-0005-0000-0000-0000560E0000}"/>
    <cellStyle name="SAPBEXHLevel2 3 3" xfId="3880" xr:uid="{00000000-0005-0000-0000-0000570E0000}"/>
    <cellStyle name="SAPBEXHLevel2 3 4" xfId="4969" xr:uid="{00000000-0005-0000-0000-0000580E0000}"/>
    <cellStyle name="SAPBEXHLevel2 4" xfId="1268" xr:uid="{00000000-0005-0000-0000-0000590E0000}"/>
    <cellStyle name="SAPBEXHLevel2 4 2" xfId="2577" xr:uid="{00000000-0005-0000-0000-00005A0E0000}"/>
    <cellStyle name="SAPBEXHLevel2 4 3" xfId="3881" xr:uid="{00000000-0005-0000-0000-00005B0E0000}"/>
    <cellStyle name="SAPBEXHLevel2 4 4" xfId="4970" xr:uid="{00000000-0005-0000-0000-00005C0E0000}"/>
    <cellStyle name="SAPBEXHLevel2 5" xfId="1269" xr:uid="{00000000-0005-0000-0000-00005D0E0000}"/>
    <cellStyle name="SAPBEXHLevel2 5 2" xfId="2578" xr:uid="{00000000-0005-0000-0000-00005E0E0000}"/>
    <cellStyle name="SAPBEXHLevel2 5 3" xfId="3882" xr:uid="{00000000-0005-0000-0000-00005F0E0000}"/>
    <cellStyle name="SAPBEXHLevel2 5 4" xfId="4971" xr:uid="{00000000-0005-0000-0000-0000600E0000}"/>
    <cellStyle name="SAPBEXHLevel2 6" xfId="1270" xr:uid="{00000000-0005-0000-0000-0000610E0000}"/>
    <cellStyle name="SAPBEXHLevel2 6 2" xfId="2579" xr:uid="{00000000-0005-0000-0000-0000620E0000}"/>
    <cellStyle name="SAPBEXHLevel2 6 3" xfId="3883" xr:uid="{00000000-0005-0000-0000-0000630E0000}"/>
    <cellStyle name="SAPBEXHLevel2 6 4" xfId="4972" xr:uid="{00000000-0005-0000-0000-0000640E0000}"/>
    <cellStyle name="SAPBEXHLevel2 7" xfId="1271" xr:uid="{00000000-0005-0000-0000-0000650E0000}"/>
    <cellStyle name="SAPBEXHLevel2 7 2" xfId="2580" xr:uid="{00000000-0005-0000-0000-0000660E0000}"/>
    <cellStyle name="SAPBEXHLevel2 7 3" xfId="3884" xr:uid="{00000000-0005-0000-0000-0000670E0000}"/>
    <cellStyle name="SAPBEXHLevel2 7 4" xfId="4973" xr:uid="{00000000-0005-0000-0000-0000680E0000}"/>
    <cellStyle name="SAPBEXHLevel2 8" xfId="1272" xr:uid="{00000000-0005-0000-0000-0000690E0000}"/>
    <cellStyle name="SAPBEXHLevel2 8 2" xfId="2581" xr:uid="{00000000-0005-0000-0000-00006A0E0000}"/>
    <cellStyle name="SAPBEXHLevel2 8 3" xfId="3885" xr:uid="{00000000-0005-0000-0000-00006B0E0000}"/>
    <cellStyle name="SAPBEXHLevel2 8 4" xfId="4974" xr:uid="{00000000-0005-0000-0000-00006C0E0000}"/>
    <cellStyle name="SAPBEXHLevel2 9" xfId="1273" xr:uid="{00000000-0005-0000-0000-00006D0E0000}"/>
    <cellStyle name="SAPBEXHLevel2 9 2" xfId="2582" xr:uid="{00000000-0005-0000-0000-00006E0E0000}"/>
    <cellStyle name="SAPBEXHLevel2 9 3" xfId="3886" xr:uid="{00000000-0005-0000-0000-00006F0E0000}"/>
    <cellStyle name="SAPBEXHLevel2 9 4" xfId="4975" xr:uid="{00000000-0005-0000-0000-0000700E0000}"/>
    <cellStyle name="SAPBEXHLevel2X" xfId="27" xr:uid="{00000000-0005-0000-0000-0000710E0000}"/>
    <cellStyle name="SAPBEXHLevel2X 10" xfId="1275" xr:uid="{00000000-0005-0000-0000-0000720E0000}"/>
    <cellStyle name="SAPBEXHLevel2X 10 2" xfId="2584" xr:uid="{00000000-0005-0000-0000-0000730E0000}"/>
    <cellStyle name="SAPBEXHLevel2X 10 3" xfId="3888" xr:uid="{00000000-0005-0000-0000-0000740E0000}"/>
    <cellStyle name="SAPBEXHLevel2X 10 4" xfId="4977" xr:uid="{00000000-0005-0000-0000-0000750E0000}"/>
    <cellStyle name="SAPBEXHLevel2X 11" xfId="1276" xr:uid="{00000000-0005-0000-0000-0000760E0000}"/>
    <cellStyle name="SAPBEXHLevel2X 11 2" xfId="2585" xr:uid="{00000000-0005-0000-0000-0000770E0000}"/>
    <cellStyle name="SAPBEXHLevel2X 11 3" xfId="3889" xr:uid="{00000000-0005-0000-0000-0000780E0000}"/>
    <cellStyle name="SAPBEXHLevel2X 11 4" xfId="4978" xr:uid="{00000000-0005-0000-0000-0000790E0000}"/>
    <cellStyle name="SAPBEXHLevel2X 12" xfId="1277" xr:uid="{00000000-0005-0000-0000-00007A0E0000}"/>
    <cellStyle name="SAPBEXHLevel2X 12 2" xfId="2586" xr:uid="{00000000-0005-0000-0000-00007B0E0000}"/>
    <cellStyle name="SAPBEXHLevel2X 12 3" xfId="3890" xr:uid="{00000000-0005-0000-0000-00007C0E0000}"/>
    <cellStyle name="SAPBEXHLevel2X 12 4" xfId="4979" xr:uid="{00000000-0005-0000-0000-00007D0E0000}"/>
    <cellStyle name="SAPBEXHLevel2X 13" xfId="1278" xr:uid="{00000000-0005-0000-0000-00007E0E0000}"/>
    <cellStyle name="SAPBEXHLevel2X 13 2" xfId="2587" xr:uid="{00000000-0005-0000-0000-00007F0E0000}"/>
    <cellStyle name="SAPBEXHLevel2X 13 3" xfId="3891" xr:uid="{00000000-0005-0000-0000-0000800E0000}"/>
    <cellStyle name="SAPBEXHLevel2X 13 4" xfId="4980" xr:uid="{00000000-0005-0000-0000-0000810E0000}"/>
    <cellStyle name="SAPBEXHLevel2X 14" xfId="1279" xr:uid="{00000000-0005-0000-0000-0000820E0000}"/>
    <cellStyle name="SAPBEXHLevel2X 14 2" xfId="2588" xr:uid="{00000000-0005-0000-0000-0000830E0000}"/>
    <cellStyle name="SAPBEXHLevel2X 14 3" xfId="3892" xr:uid="{00000000-0005-0000-0000-0000840E0000}"/>
    <cellStyle name="SAPBEXHLevel2X 14 4" xfId="4981" xr:uid="{00000000-0005-0000-0000-0000850E0000}"/>
    <cellStyle name="SAPBEXHLevel2X 15" xfId="2583" xr:uid="{00000000-0005-0000-0000-0000860E0000}"/>
    <cellStyle name="SAPBEXHLevel2X 16" xfId="3887" xr:uid="{00000000-0005-0000-0000-0000870E0000}"/>
    <cellStyle name="SAPBEXHLevel2X 17" xfId="4976" xr:uid="{00000000-0005-0000-0000-0000880E0000}"/>
    <cellStyle name="SAPBEXHLevel2X 2" xfId="1274" xr:uid="{00000000-0005-0000-0000-0000890E0000}"/>
    <cellStyle name="SAPBEXHLevel2X 2 10" xfId="1280" xr:uid="{00000000-0005-0000-0000-00008A0E0000}"/>
    <cellStyle name="SAPBEXHLevel2X 2 10 2" xfId="2590" xr:uid="{00000000-0005-0000-0000-00008B0E0000}"/>
    <cellStyle name="SAPBEXHLevel2X 2 10 3" xfId="3894" xr:uid="{00000000-0005-0000-0000-00008C0E0000}"/>
    <cellStyle name="SAPBEXHLevel2X 2 10 4" xfId="4983" xr:uid="{00000000-0005-0000-0000-00008D0E0000}"/>
    <cellStyle name="SAPBEXHLevel2X 2 11" xfId="1281" xr:uid="{00000000-0005-0000-0000-00008E0E0000}"/>
    <cellStyle name="SAPBEXHLevel2X 2 11 2" xfId="2591" xr:uid="{00000000-0005-0000-0000-00008F0E0000}"/>
    <cellStyle name="SAPBEXHLevel2X 2 11 3" xfId="3895" xr:uid="{00000000-0005-0000-0000-0000900E0000}"/>
    <cellStyle name="SAPBEXHLevel2X 2 11 4" xfId="4984" xr:uid="{00000000-0005-0000-0000-0000910E0000}"/>
    <cellStyle name="SAPBEXHLevel2X 2 12" xfId="1282" xr:uid="{00000000-0005-0000-0000-0000920E0000}"/>
    <cellStyle name="SAPBEXHLevel2X 2 12 2" xfId="2592" xr:uid="{00000000-0005-0000-0000-0000930E0000}"/>
    <cellStyle name="SAPBEXHLevel2X 2 12 3" xfId="3896" xr:uid="{00000000-0005-0000-0000-0000940E0000}"/>
    <cellStyle name="SAPBEXHLevel2X 2 12 4" xfId="4985" xr:uid="{00000000-0005-0000-0000-0000950E0000}"/>
    <cellStyle name="SAPBEXHLevel2X 2 13" xfId="1283" xr:uid="{00000000-0005-0000-0000-0000960E0000}"/>
    <cellStyle name="SAPBEXHLevel2X 2 13 2" xfId="2593" xr:uid="{00000000-0005-0000-0000-0000970E0000}"/>
    <cellStyle name="SAPBEXHLevel2X 2 13 3" xfId="3897" xr:uid="{00000000-0005-0000-0000-0000980E0000}"/>
    <cellStyle name="SAPBEXHLevel2X 2 13 4" xfId="4986" xr:uid="{00000000-0005-0000-0000-0000990E0000}"/>
    <cellStyle name="SAPBEXHLevel2X 2 14" xfId="2589" xr:uid="{00000000-0005-0000-0000-00009A0E0000}"/>
    <cellStyle name="SAPBEXHLevel2X 2 15" xfId="3893" xr:uid="{00000000-0005-0000-0000-00009B0E0000}"/>
    <cellStyle name="SAPBEXHLevel2X 2 16" xfId="4982" xr:uid="{00000000-0005-0000-0000-00009C0E0000}"/>
    <cellStyle name="SAPBEXHLevel2X 2 2" xfId="1284" xr:uid="{00000000-0005-0000-0000-00009D0E0000}"/>
    <cellStyle name="SAPBEXHLevel2X 2 2 2" xfId="2594" xr:uid="{00000000-0005-0000-0000-00009E0E0000}"/>
    <cellStyle name="SAPBEXHLevel2X 2 2 3" xfId="3898" xr:uid="{00000000-0005-0000-0000-00009F0E0000}"/>
    <cellStyle name="SAPBEXHLevel2X 2 2 4" xfId="4987" xr:uid="{00000000-0005-0000-0000-0000A00E0000}"/>
    <cellStyle name="SAPBEXHLevel2X 2 3" xfId="1285" xr:uid="{00000000-0005-0000-0000-0000A10E0000}"/>
    <cellStyle name="SAPBEXHLevel2X 2 3 2" xfId="2595" xr:uid="{00000000-0005-0000-0000-0000A20E0000}"/>
    <cellStyle name="SAPBEXHLevel2X 2 3 3" xfId="3899" xr:uid="{00000000-0005-0000-0000-0000A30E0000}"/>
    <cellStyle name="SAPBEXHLevel2X 2 3 4" xfId="4988" xr:uid="{00000000-0005-0000-0000-0000A40E0000}"/>
    <cellStyle name="SAPBEXHLevel2X 2 4" xfId="1286" xr:uid="{00000000-0005-0000-0000-0000A50E0000}"/>
    <cellStyle name="SAPBEXHLevel2X 2 4 2" xfId="2596" xr:uid="{00000000-0005-0000-0000-0000A60E0000}"/>
    <cellStyle name="SAPBEXHLevel2X 2 4 3" xfId="3900" xr:uid="{00000000-0005-0000-0000-0000A70E0000}"/>
    <cellStyle name="SAPBEXHLevel2X 2 4 4" xfId="4989" xr:uid="{00000000-0005-0000-0000-0000A80E0000}"/>
    <cellStyle name="SAPBEXHLevel2X 2 5" xfId="1287" xr:uid="{00000000-0005-0000-0000-0000A90E0000}"/>
    <cellStyle name="SAPBEXHLevel2X 2 5 2" xfId="2597" xr:uid="{00000000-0005-0000-0000-0000AA0E0000}"/>
    <cellStyle name="SAPBEXHLevel2X 2 5 3" xfId="3901" xr:uid="{00000000-0005-0000-0000-0000AB0E0000}"/>
    <cellStyle name="SAPBEXHLevel2X 2 5 4" xfId="4990" xr:uid="{00000000-0005-0000-0000-0000AC0E0000}"/>
    <cellStyle name="SAPBEXHLevel2X 2 6" xfId="1288" xr:uid="{00000000-0005-0000-0000-0000AD0E0000}"/>
    <cellStyle name="SAPBEXHLevel2X 2 6 2" xfId="2598" xr:uid="{00000000-0005-0000-0000-0000AE0E0000}"/>
    <cellStyle name="SAPBEXHLevel2X 2 6 3" xfId="3902" xr:uid="{00000000-0005-0000-0000-0000AF0E0000}"/>
    <cellStyle name="SAPBEXHLevel2X 2 6 4" xfId="4991" xr:uid="{00000000-0005-0000-0000-0000B00E0000}"/>
    <cellStyle name="SAPBEXHLevel2X 2 7" xfId="1289" xr:uid="{00000000-0005-0000-0000-0000B10E0000}"/>
    <cellStyle name="SAPBEXHLevel2X 2 7 2" xfId="2599" xr:uid="{00000000-0005-0000-0000-0000B20E0000}"/>
    <cellStyle name="SAPBEXHLevel2X 2 7 3" xfId="3903" xr:uid="{00000000-0005-0000-0000-0000B30E0000}"/>
    <cellStyle name="SAPBEXHLevel2X 2 7 4" xfId="4992" xr:uid="{00000000-0005-0000-0000-0000B40E0000}"/>
    <cellStyle name="SAPBEXHLevel2X 2 8" xfId="1290" xr:uid="{00000000-0005-0000-0000-0000B50E0000}"/>
    <cellStyle name="SAPBEXHLevel2X 2 8 2" xfId="2600" xr:uid="{00000000-0005-0000-0000-0000B60E0000}"/>
    <cellStyle name="SAPBEXHLevel2X 2 8 3" xfId="3904" xr:uid="{00000000-0005-0000-0000-0000B70E0000}"/>
    <cellStyle name="SAPBEXHLevel2X 2 8 4" xfId="4993" xr:uid="{00000000-0005-0000-0000-0000B80E0000}"/>
    <cellStyle name="SAPBEXHLevel2X 2 9" xfId="1291" xr:uid="{00000000-0005-0000-0000-0000B90E0000}"/>
    <cellStyle name="SAPBEXHLevel2X 2 9 2" xfId="2601" xr:uid="{00000000-0005-0000-0000-0000BA0E0000}"/>
    <cellStyle name="SAPBEXHLevel2X 2 9 3" xfId="3905" xr:uid="{00000000-0005-0000-0000-0000BB0E0000}"/>
    <cellStyle name="SAPBEXHLevel2X 2 9 4" xfId="4994" xr:uid="{00000000-0005-0000-0000-0000BC0E0000}"/>
    <cellStyle name="SAPBEXHLevel2X 3" xfId="1292" xr:uid="{00000000-0005-0000-0000-0000BD0E0000}"/>
    <cellStyle name="SAPBEXHLevel2X 3 2" xfId="2602" xr:uid="{00000000-0005-0000-0000-0000BE0E0000}"/>
    <cellStyle name="SAPBEXHLevel2X 3 3" xfId="3906" xr:uid="{00000000-0005-0000-0000-0000BF0E0000}"/>
    <cellStyle name="SAPBEXHLevel2X 3 4" xfId="4995" xr:uid="{00000000-0005-0000-0000-0000C00E0000}"/>
    <cellStyle name="SAPBEXHLevel2X 4" xfId="1293" xr:uid="{00000000-0005-0000-0000-0000C10E0000}"/>
    <cellStyle name="SAPBEXHLevel2X 4 2" xfId="2603" xr:uid="{00000000-0005-0000-0000-0000C20E0000}"/>
    <cellStyle name="SAPBEXHLevel2X 4 3" xfId="3907" xr:uid="{00000000-0005-0000-0000-0000C30E0000}"/>
    <cellStyle name="SAPBEXHLevel2X 4 4" xfId="4996" xr:uid="{00000000-0005-0000-0000-0000C40E0000}"/>
    <cellStyle name="SAPBEXHLevel2X 5" xfId="1294" xr:uid="{00000000-0005-0000-0000-0000C50E0000}"/>
    <cellStyle name="SAPBEXHLevel2X 5 2" xfId="2604" xr:uid="{00000000-0005-0000-0000-0000C60E0000}"/>
    <cellStyle name="SAPBEXHLevel2X 5 3" xfId="3908" xr:uid="{00000000-0005-0000-0000-0000C70E0000}"/>
    <cellStyle name="SAPBEXHLevel2X 5 4" xfId="4997" xr:uid="{00000000-0005-0000-0000-0000C80E0000}"/>
    <cellStyle name="SAPBEXHLevel2X 6" xfId="1295" xr:uid="{00000000-0005-0000-0000-0000C90E0000}"/>
    <cellStyle name="SAPBEXHLevel2X 6 2" xfId="2605" xr:uid="{00000000-0005-0000-0000-0000CA0E0000}"/>
    <cellStyle name="SAPBEXHLevel2X 6 3" xfId="3909" xr:uid="{00000000-0005-0000-0000-0000CB0E0000}"/>
    <cellStyle name="SAPBEXHLevel2X 6 4" xfId="4998" xr:uid="{00000000-0005-0000-0000-0000CC0E0000}"/>
    <cellStyle name="SAPBEXHLevel2X 7" xfId="1296" xr:uid="{00000000-0005-0000-0000-0000CD0E0000}"/>
    <cellStyle name="SAPBEXHLevel2X 7 2" xfId="2606" xr:uid="{00000000-0005-0000-0000-0000CE0E0000}"/>
    <cellStyle name="SAPBEXHLevel2X 7 3" xfId="3910" xr:uid="{00000000-0005-0000-0000-0000CF0E0000}"/>
    <cellStyle name="SAPBEXHLevel2X 7 4" xfId="4999" xr:uid="{00000000-0005-0000-0000-0000D00E0000}"/>
    <cellStyle name="SAPBEXHLevel2X 8" xfId="1297" xr:uid="{00000000-0005-0000-0000-0000D10E0000}"/>
    <cellStyle name="SAPBEXHLevel2X 8 2" xfId="2607" xr:uid="{00000000-0005-0000-0000-0000D20E0000}"/>
    <cellStyle name="SAPBEXHLevel2X 8 3" xfId="3911" xr:uid="{00000000-0005-0000-0000-0000D30E0000}"/>
    <cellStyle name="SAPBEXHLevel2X 8 4" xfId="5000" xr:uid="{00000000-0005-0000-0000-0000D40E0000}"/>
    <cellStyle name="SAPBEXHLevel2X 9" xfId="1298" xr:uid="{00000000-0005-0000-0000-0000D50E0000}"/>
    <cellStyle name="SAPBEXHLevel2X 9 2" xfId="2608" xr:uid="{00000000-0005-0000-0000-0000D60E0000}"/>
    <cellStyle name="SAPBEXHLevel2X 9 3" xfId="3912" xr:uid="{00000000-0005-0000-0000-0000D70E0000}"/>
    <cellStyle name="SAPBEXHLevel2X 9 4" xfId="5001" xr:uid="{00000000-0005-0000-0000-0000D80E0000}"/>
    <cellStyle name="SAPBEXHLevel3" xfId="28" xr:uid="{00000000-0005-0000-0000-0000D90E0000}"/>
    <cellStyle name="SAPBEXHLevel3 10" xfId="1300" xr:uid="{00000000-0005-0000-0000-0000DA0E0000}"/>
    <cellStyle name="SAPBEXHLevel3 10 2" xfId="2610" xr:uid="{00000000-0005-0000-0000-0000DB0E0000}"/>
    <cellStyle name="SAPBEXHLevel3 10 3" xfId="3914" xr:uid="{00000000-0005-0000-0000-0000DC0E0000}"/>
    <cellStyle name="SAPBEXHLevel3 10 4" xfId="5003" xr:uid="{00000000-0005-0000-0000-0000DD0E0000}"/>
    <cellStyle name="SAPBEXHLevel3 11" xfId="1301" xr:uid="{00000000-0005-0000-0000-0000DE0E0000}"/>
    <cellStyle name="SAPBEXHLevel3 11 2" xfId="2611" xr:uid="{00000000-0005-0000-0000-0000DF0E0000}"/>
    <cellStyle name="SAPBEXHLevel3 11 3" xfId="3915" xr:uid="{00000000-0005-0000-0000-0000E00E0000}"/>
    <cellStyle name="SAPBEXHLevel3 11 4" xfId="5004" xr:uid="{00000000-0005-0000-0000-0000E10E0000}"/>
    <cellStyle name="SAPBEXHLevel3 12" xfId="1302" xr:uid="{00000000-0005-0000-0000-0000E20E0000}"/>
    <cellStyle name="SAPBEXHLevel3 12 2" xfId="2612" xr:uid="{00000000-0005-0000-0000-0000E30E0000}"/>
    <cellStyle name="SAPBEXHLevel3 12 3" xfId="3916" xr:uid="{00000000-0005-0000-0000-0000E40E0000}"/>
    <cellStyle name="SAPBEXHLevel3 12 4" xfId="5005" xr:uid="{00000000-0005-0000-0000-0000E50E0000}"/>
    <cellStyle name="SAPBEXHLevel3 13" xfId="1303" xr:uid="{00000000-0005-0000-0000-0000E60E0000}"/>
    <cellStyle name="SAPBEXHLevel3 13 2" xfId="2613" xr:uid="{00000000-0005-0000-0000-0000E70E0000}"/>
    <cellStyle name="SAPBEXHLevel3 13 3" xfId="3917" xr:uid="{00000000-0005-0000-0000-0000E80E0000}"/>
    <cellStyle name="SAPBEXHLevel3 13 4" xfId="5006" xr:uid="{00000000-0005-0000-0000-0000E90E0000}"/>
    <cellStyle name="SAPBEXHLevel3 14" xfId="1304" xr:uid="{00000000-0005-0000-0000-0000EA0E0000}"/>
    <cellStyle name="SAPBEXHLevel3 14 2" xfId="2614" xr:uid="{00000000-0005-0000-0000-0000EB0E0000}"/>
    <cellStyle name="SAPBEXHLevel3 14 3" xfId="3918" xr:uid="{00000000-0005-0000-0000-0000EC0E0000}"/>
    <cellStyle name="SAPBEXHLevel3 14 4" xfId="5007" xr:uid="{00000000-0005-0000-0000-0000ED0E0000}"/>
    <cellStyle name="SAPBEXHLevel3 15" xfId="2609" xr:uid="{00000000-0005-0000-0000-0000EE0E0000}"/>
    <cellStyle name="SAPBEXHLevel3 16" xfId="3913" xr:uid="{00000000-0005-0000-0000-0000EF0E0000}"/>
    <cellStyle name="SAPBEXHLevel3 17" xfId="5002" xr:uid="{00000000-0005-0000-0000-0000F00E0000}"/>
    <cellStyle name="SAPBEXHLevel3 2" xfId="1299" xr:uid="{00000000-0005-0000-0000-0000F10E0000}"/>
    <cellStyle name="SAPBEXHLevel3 2 10" xfId="1305" xr:uid="{00000000-0005-0000-0000-0000F20E0000}"/>
    <cellStyle name="SAPBEXHLevel3 2 10 2" xfId="2616" xr:uid="{00000000-0005-0000-0000-0000F30E0000}"/>
    <cellStyle name="SAPBEXHLevel3 2 10 3" xfId="3920" xr:uid="{00000000-0005-0000-0000-0000F40E0000}"/>
    <cellStyle name="SAPBEXHLevel3 2 10 4" xfId="5009" xr:uid="{00000000-0005-0000-0000-0000F50E0000}"/>
    <cellStyle name="SAPBEXHLevel3 2 11" xfId="1306" xr:uid="{00000000-0005-0000-0000-0000F60E0000}"/>
    <cellStyle name="SAPBEXHLevel3 2 11 2" xfId="2617" xr:uid="{00000000-0005-0000-0000-0000F70E0000}"/>
    <cellStyle name="SAPBEXHLevel3 2 11 3" xfId="3921" xr:uid="{00000000-0005-0000-0000-0000F80E0000}"/>
    <cellStyle name="SAPBEXHLevel3 2 11 4" xfId="5010" xr:uid="{00000000-0005-0000-0000-0000F90E0000}"/>
    <cellStyle name="SAPBEXHLevel3 2 12" xfId="1307" xr:uid="{00000000-0005-0000-0000-0000FA0E0000}"/>
    <cellStyle name="SAPBEXHLevel3 2 12 2" xfId="2618" xr:uid="{00000000-0005-0000-0000-0000FB0E0000}"/>
    <cellStyle name="SAPBEXHLevel3 2 12 3" xfId="3922" xr:uid="{00000000-0005-0000-0000-0000FC0E0000}"/>
    <cellStyle name="SAPBEXHLevel3 2 12 4" xfId="5011" xr:uid="{00000000-0005-0000-0000-0000FD0E0000}"/>
    <cellStyle name="SAPBEXHLevel3 2 13" xfId="1308" xr:uid="{00000000-0005-0000-0000-0000FE0E0000}"/>
    <cellStyle name="SAPBEXHLevel3 2 13 2" xfId="2619" xr:uid="{00000000-0005-0000-0000-0000FF0E0000}"/>
    <cellStyle name="SAPBEXHLevel3 2 13 3" xfId="3923" xr:uid="{00000000-0005-0000-0000-0000000F0000}"/>
    <cellStyle name="SAPBEXHLevel3 2 13 4" xfId="5012" xr:uid="{00000000-0005-0000-0000-0000010F0000}"/>
    <cellStyle name="SAPBEXHLevel3 2 14" xfId="2615" xr:uid="{00000000-0005-0000-0000-0000020F0000}"/>
    <cellStyle name="SAPBEXHLevel3 2 15" xfId="3919" xr:uid="{00000000-0005-0000-0000-0000030F0000}"/>
    <cellStyle name="SAPBEXHLevel3 2 16" xfId="5008" xr:uid="{00000000-0005-0000-0000-0000040F0000}"/>
    <cellStyle name="SAPBEXHLevel3 2 2" xfId="1309" xr:uid="{00000000-0005-0000-0000-0000050F0000}"/>
    <cellStyle name="SAPBEXHLevel3 2 2 2" xfId="2620" xr:uid="{00000000-0005-0000-0000-0000060F0000}"/>
    <cellStyle name="SAPBEXHLevel3 2 2 3" xfId="3924" xr:uid="{00000000-0005-0000-0000-0000070F0000}"/>
    <cellStyle name="SAPBEXHLevel3 2 2 4" xfId="5013" xr:uid="{00000000-0005-0000-0000-0000080F0000}"/>
    <cellStyle name="SAPBEXHLevel3 2 3" xfId="1310" xr:uid="{00000000-0005-0000-0000-0000090F0000}"/>
    <cellStyle name="SAPBEXHLevel3 2 3 2" xfId="2621" xr:uid="{00000000-0005-0000-0000-00000A0F0000}"/>
    <cellStyle name="SAPBEXHLevel3 2 3 3" xfId="3925" xr:uid="{00000000-0005-0000-0000-00000B0F0000}"/>
    <cellStyle name="SAPBEXHLevel3 2 3 4" xfId="5014" xr:uid="{00000000-0005-0000-0000-00000C0F0000}"/>
    <cellStyle name="SAPBEXHLevel3 2 4" xfId="1311" xr:uid="{00000000-0005-0000-0000-00000D0F0000}"/>
    <cellStyle name="SAPBEXHLevel3 2 4 2" xfId="2622" xr:uid="{00000000-0005-0000-0000-00000E0F0000}"/>
    <cellStyle name="SAPBEXHLevel3 2 4 3" xfId="3926" xr:uid="{00000000-0005-0000-0000-00000F0F0000}"/>
    <cellStyle name="SAPBEXHLevel3 2 4 4" xfId="5015" xr:uid="{00000000-0005-0000-0000-0000100F0000}"/>
    <cellStyle name="SAPBEXHLevel3 2 5" xfId="1312" xr:uid="{00000000-0005-0000-0000-0000110F0000}"/>
    <cellStyle name="SAPBEXHLevel3 2 5 2" xfId="2623" xr:uid="{00000000-0005-0000-0000-0000120F0000}"/>
    <cellStyle name="SAPBEXHLevel3 2 5 3" xfId="3927" xr:uid="{00000000-0005-0000-0000-0000130F0000}"/>
    <cellStyle name="SAPBEXHLevel3 2 5 4" xfId="5016" xr:uid="{00000000-0005-0000-0000-0000140F0000}"/>
    <cellStyle name="SAPBEXHLevel3 2 6" xfId="1313" xr:uid="{00000000-0005-0000-0000-0000150F0000}"/>
    <cellStyle name="SAPBEXHLevel3 2 6 2" xfId="2624" xr:uid="{00000000-0005-0000-0000-0000160F0000}"/>
    <cellStyle name="SAPBEXHLevel3 2 6 3" xfId="3928" xr:uid="{00000000-0005-0000-0000-0000170F0000}"/>
    <cellStyle name="SAPBEXHLevel3 2 6 4" xfId="5017" xr:uid="{00000000-0005-0000-0000-0000180F0000}"/>
    <cellStyle name="SAPBEXHLevel3 2 7" xfId="1314" xr:uid="{00000000-0005-0000-0000-0000190F0000}"/>
    <cellStyle name="SAPBEXHLevel3 2 7 2" xfId="2625" xr:uid="{00000000-0005-0000-0000-00001A0F0000}"/>
    <cellStyle name="SAPBEXHLevel3 2 7 3" xfId="3929" xr:uid="{00000000-0005-0000-0000-00001B0F0000}"/>
    <cellStyle name="SAPBEXHLevel3 2 7 4" xfId="5018" xr:uid="{00000000-0005-0000-0000-00001C0F0000}"/>
    <cellStyle name="SAPBEXHLevel3 2 8" xfId="1315" xr:uid="{00000000-0005-0000-0000-00001D0F0000}"/>
    <cellStyle name="SAPBEXHLevel3 2 8 2" xfId="2626" xr:uid="{00000000-0005-0000-0000-00001E0F0000}"/>
    <cellStyle name="SAPBEXHLevel3 2 8 3" xfId="3930" xr:uid="{00000000-0005-0000-0000-00001F0F0000}"/>
    <cellStyle name="SAPBEXHLevel3 2 8 4" xfId="5019" xr:uid="{00000000-0005-0000-0000-0000200F0000}"/>
    <cellStyle name="SAPBEXHLevel3 2 9" xfId="1316" xr:uid="{00000000-0005-0000-0000-0000210F0000}"/>
    <cellStyle name="SAPBEXHLevel3 2 9 2" xfId="2627" xr:uid="{00000000-0005-0000-0000-0000220F0000}"/>
    <cellStyle name="SAPBEXHLevel3 2 9 3" xfId="3931" xr:uid="{00000000-0005-0000-0000-0000230F0000}"/>
    <cellStyle name="SAPBEXHLevel3 2 9 4" xfId="5020" xr:uid="{00000000-0005-0000-0000-0000240F0000}"/>
    <cellStyle name="SAPBEXHLevel3 3" xfId="1317" xr:uid="{00000000-0005-0000-0000-0000250F0000}"/>
    <cellStyle name="SAPBEXHLevel3 3 2" xfId="2628" xr:uid="{00000000-0005-0000-0000-0000260F0000}"/>
    <cellStyle name="SAPBEXHLevel3 3 3" xfId="3932" xr:uid="{00000000-0005-0000-0000-0000270F0000}"/>
    <cellStyle name="SAPBEXHLevel3 3 4" xfId="5021" xr:uid="{00000000-0005-0000-0000-0000280F0000}"/>
    <cellStyle name="SAPBEXHLevel3 4" xfId="1318" xr:uid="{00000000-0005-0000-0000-0000290F0000}"/>
    <cellStyle name="SAPBEXHLevel3 4 2" xfId="2629" xr:uid="{00000000-0005-0000-0000-00002A0F0000}"/>
    <cellStyle name="SAPBEXHLevel3 4 3" xfId="3933" xr:uid="{00000000-0005-0000-0000-00002B0F0000}"/>
    <cellStyle name="SAPBEXHLevel3 4 4" xfId="5022" xr:uid="{00000000-0005-0000-0000-00002C0F0000}"/>
    <cellStyle name="SAPBEXHLevel3 5" xfId="1319" xr:uid="{00000000-0005-0000-0000-00002D0F0000}"/>
    <cellStyle name="SAPBEXHLevel3 5 2" xfId="2630" xr:uid="{00000000-0005-0000-0000-00002E0F0000}"/>
    <cellStyle name="SAPBEXHLevel3 5 3" xfId="3934" xr:uid="{00000000-0005-0000-0000-00002F0F0000}"/>
    <cellStyle name="SAPBEXHLevel3 5 4" xfId="5023" xr:uid="{00000000-0005-0000-0000-0000300F0000}"/>
    <cellStyle name="SAPBEXHLevel3 6" xfId="1320" xr:uid="{00000000-0005-0000-0000-0000310F0000}"/>
    <cellStyle name="SAPBEXHLevel3 6 2" xfId="2631" xr:uid="{00000000-0005-0000-0000-0000320F0000}"/>
    <cellStyle name="SAPBEXHLevel3 6 3" xfId="3935" xr:uid="{00000000-0005-0000-0000-0000330F0000}"/>
    <cellStyle name="SAPBEXHLevel3 6 4" xfId="5024" xr:uid="{00000000-0005-0000-0000-0000340F0000}"/>
    <cellStyle name="SAPBEXHLevel3 7" xfId="1321" xr:uid="{00000000-0005-0000-0000-0000350F0000}"/>
    <cellStyle name="SAPBEXHLevel3 7 2" xfId="2632" xr:uid="{00000000-0005-0000-0000-0000360F0000}"/>
    <cellStyle name="SAPBEXHLevel3 7 3" xfId="3936" xr:uid="{00000000-0005-0000-0000-0000370F0000}"/>
    <cellStyle name="SAPBEXHLevel3 7 4" xfId="5025" xr:uid="{00000000-0005-0000-0000-0000380F0000}"/>
    <cellStyle name="SAPBEXHLevel3 8" xfId="1322" xr:uid="{00000000-0005-0000-0000-0000390F0000}"/>
    <cellStyle name="SAPBEXHLevel3 8 2" xfId="2633" xr:uid="{00000000-0005-0000-0000-00003A0F0000}"/>
    <cellStyle name="SAPBEXHLevel3 8 3" xfId="3937" xr:uid="{00000000-0005-0000-0000-00003B0F0000}"/>
    <cellStyle name="SAPBEXHLevel3 8 4" xfId="5026" xr:uid="{00000000-0005-0000-0000-00003C0F0000}"/>
    <cellStyle name="SAPBEXHLevel3 9" xfId="1323" xr:uid="{00000000-0005-0000-0000-00003D0F0000}"/>
    <cellStyle name="SAPBEXHLevel3 9 2" xfId="2634" xr:uid="{00000000-0005-0000-0000-00003E0F0000}"/>
    <cellStyle name="SAPBEXHLevel3 9 3" xfId="3938" xr:uid="{00000000-0005-0000-0000-00003F0F0000}"/>
    <cellStyle name="SAPBEXHLevel3 9 4" xfId="5027" xr:uid="{00000000-0005-0000-0000-0000400F0000}"/>
    <cellStyle name="SAPBEXHLevel3X" xfId="29" xr:uid="{00000000-0005-0000-0000-0000410F0000}"/>
    <cellStyle name="SAPBEXHLevel3X 10" xfId="1325" xr:uid="{00000000-0005-0000-0000-0000420F0000}"/>
    <cellStyle name="SAPBEXHLevel3X 10 2" xfId="2636" xr:uid="{00000000-0005-0000-0000-0000430F0000}"/>
    <cellStyle name="SAPBEXHLevel3X 10 3" xfId="3940" xr:uid="{00000000-0005-0000-0000-0000440F0000}"/>
    <cellStyle name="SAPBEXHLevel3X 10 4" xfId="5029" xr:uid="{00000000-0005-0000-0000-0000450F0000}"/>
    <cellStyle name="SAPBEXHLevel3X 11" xfId="1326" xr:uid="{00000000-0005-0000-0000-0000460F0000}"/>
    <cellStyle name="SAPBEXHLevel3X 11 2" xfId="2637" xr:uid="{00000000-0005-0000-0000-0000470F0000}"/>
    <cellStyle name="SAPBEXHLevel3X 11 3" xfId="3941" xr:uid="{00000000-0005-0000-0000-0000480F0000}"/>
    <cellStyle name="SAPBEXHLevel3X 11 4" xfId="5030" xr:uid="{00000000-0005-0000-0000-0000490F0000}"/>
    <cellStyle name="SAPBEXHLevel3X 12" xfId="1327" xr:uid="{00000000-0005-0000-0000-00004A0F0000}"/>
    <cellStyle name="SAPBEXHLevel3X 12 2" xfId="2638" xr:uid="{00000000-0005-0000-0000-00004B0F0000}"/>
    <cellStyle name="SAPBEXHLevel3X 12 3" xfId="3942" xr:uid="{00000000-0005-0000-0000-00004C0F0000}"/>
    <cellStyle name="SAPBEXHLevel3X 12 4" xfId="5031" xr:uid="{00000000-0005-0000-0000-00004D0F0000}"/>
    <cellStyle name="SAPBEXHLevel3X 13" xfId="1328" xr:uid="{00000000-0005-0000-0000-00004E0F0000}"/>
    <cellStyle name="SAPBEXHLevel3X 13 2" xfId="2639" xr:uid="{00000000-0005-0000-0000-00004F0F0000}"/>
    <cellStyle name="SAPBEXHLevel3X 13 3" xfId="3943" xr:uid="{00000000-0005-0000-0000-0000500F0000}"/>
    <cellStyle name="SAPBEXHLevel3X 13 4" xfId="5032" xr:uid="{00000000-0005-0000-0000-0000510F0000}"/>
    <cellStyle name="SAPBEXHLevel3X 14" xfId="1329" xr:uid="{00000000-0005-0000-0000-0000520F0000}"/>
    <cellStyle name="SAPBEXHLevel3X 14 2" xfId="2640" xr:uid="{00000000-0005-0000-0000-0000530F0000}"/>
    <cellStyle name="SAPBEXHLevel3X 14 3" xfId="3944" xr:uid="{00000000-0005-0000-0000-0000540F0000}"/>
    <cellStyle name="SAPBEXHLevel3X 14 4" xfId="5033" xr:uid="{00000000-0005-0000-0000-0000550F0000}"/>
    <cellStyle name="SAPBEXHLevel3X 15" xfId="2635" xr:uid="{00000000-0005-0000-0000-0000560F0000}"/>
    <cellStyle name="SAPBEXHLevel3X 16" xfId="3939" xr:uid="{00000000-0005-0000-0000-0000570F0000}"/>
    <cellStyle name="SAPBEXHLevel3X 17" xfId="5028" xr:uid="{00000000-0005-0000-0000-0000580F0000}"/>
    <cellStyle name="SAPBEXHLevel3X 2" xfId="1324" xr:uid="{00000000-0005-0000-0000-0000590F0000}"/>
    <cellStyle name="SAPBEXHLevel3X 2 10" xfId="1330" xr:uid="{00000000-0005-0000-0000-00005A0F0000}"/>
    <cellStyle name="SAPBEXHLevel3X 2 10 2" xfId="2642" xr:uid="{00000000-0005-0000-0000-00005B0F0000}"/>
    <cellStyle name="SAPBEXHLevel3X 2 10 3" xfId="3946" xr:uid="{00000000-0005-0000-0000-00005C0F0000}"/>
    <cellStyle name="SAPBEXHLevel3X 2 10 4" xfId="5035" xr:uid="{00000000-0005-0000-0000-00005D0F0000}"/>
    <cellStyle name="SAPBEXHLevel3X 2 11" xfId="1331" xr:uid="{00000000-0005-0000-0000-00005E0F0000}"/>
    <cellStyle name="SAPBEXHLevel3X 2 11 2" xfId="2643" xr:uid="{00000000-0005-0000-0000-00005F0F0000}"/>
    <cellStyle name="SAPBEXHLevel3X 2 11 3" xfId="3947" xr:uid="{00000000-0005-0000-0000-0000600F0000}"/>
    <cellStyle name="SAPBEXHLevel3X 2 11 4" xfId="5036" xr:uid="{00000000-0005-0000-0000-0000610F0000}"/>
    <cellStyle name="SAPBEXHLevel3X 2 12" xfId="1332" xr:uid="{00000000-0005-0000-0000-0000620F0000}"/>
    <cellStyle name="SAPBEXHLevel3X 2 12 2" xfId="2644" xr:uid="{00000000-0005-0000-0000-0000630F0000}"/>
    <cellStyle name="SAPBEXHLevel3X 2 12 3" xfId="3948" xr:uid="{00000000-0005-0000-0000-0000640F0000}"/>
    <cellStyle name="SAPBEXHLevel3X 2 12 4" xfId="5037" xr:uid="{00000000-0005-0000-0000-0000650F0000}"/>
    <cellStyle name="SAPBEXHLevel3X 2 13" xfId="1333" xr:uid="{00000000-0005-0000-0000-0000660F0000}"/>
    <cellStyle name="SAPBEXHLevel3X 2 13 2" xfId="2645" xr:uid="{00000000-0005-0000-0000-0000670F0000}"/>
    <cellStyle name="SAPBEXHLevel3X 2 13 3" xfId="3949" xr:uid="{00000000-0005-0000-0000-0000680F0000}"/>
    <cellStyle name="SAPBEXHLevel3X 2 13 4" xfId="5038" xr:uid="{00000000-0005-0000-0000-0000690F0000}"/>
    <cellStyle name="SAPBEXHLevel3X 2 14" xfId="2641" xr:uid="{00000000-0005-0000-0000-00006A0F0000}"/>
    <cellStyle name="SAPBEXHLevel3X 2 15" xfId="3945" xr:uid="{00000000-0005-0000-0000-00006B0F0000}"/>
    <cellStyle name="SAPBEXHLevel3X 2 16" xfId="5034" xr:uid="{00000000-0005-0000-0000-00006C0F0000}"/>
    <cellStyle name="SAPBEXHLevel3X 2 2" xfId="1334" xr:uid="{00000000-0005-0000-0000-00006D0F0000}"/>
    <cellStyle name="SAPBEXHLevel3X 2 2 2" xfId="2646" xr:uid="{00000000-0005-0000-0000-00006E0F0000}"/>
    <cellStyle name="SAPBEXHLevel3X 2 2 3" xfId="3950" xr:uid="{00000000-0005-0000-0000-00006F0F0000}"/>
    <cellStyle name="SAPBEXHLevel3X 2 2 4" xfId="5039" xr:uid="{00000000-0005-0000-0000-0000700F0000}"/>
    <cellStyle name="SAPBEXHLevel3X 2 3" xfId="1335" xr:uid="{00000000-0005-0000-0000-0000710F0000}"/>
    <cellStyle name="SAPBEXHLevel3X 2 3 2" xfId="2647" xr:uid="{00000000-0005-0000-0000-0000720F0000}"/>
    <cellStyle name="SAPBEXHLevel3X 2 3 3" xfId="3951" xr:uid="{00000000-0005-0000-0000-0000730F0000}"/>
    <cellStyle name="SAPBEXHLevel3X 2 3 4" xfId="5040" xr:uid="{00000000-0005-0000-0000-0000740F0000}"/>
    <cellStyle name="SAPBEXHLevel3X 2 4" xfId="1336" xr:uid="{00000000-0005-0000-0000-0000750F0000}"/>
    <cellStyle name="SAPBEXHLevel3X 2 4 2" xfId="2648" xr:uid="{00000000-0005-0000-0000-0000760F0000}"/>
    <cellStyle name="SAPBEXHLevel3X 2 4 3" xfId="3952" xr:uid="{00000000-0005-0000-0000-0000770F0000}"/>
    <cellStyle name="SAPBEXHLevel3X 2 4 4" xfId="5041" xr:uid="{00000000-0005-0000-0000-0000780F0000}"/>
    <cellStyle name="SAPBEXHLevel3X 2 5" xfId="1337" xr:uid="{00000000-0005-0000-0000-0000790F0000}"/>
    <cellStyle name="SAPBEXHLevel3X 2 5 2" xfId="2649" xr:uid="{00000000-0005-0000-0000-00007A0F0000}"/>
    <cellStyle name="SAPBEXHLevel3X 2 5 3" xfId="3953" xr:uid="{00000000-0005-0000-0000-00007B0F0000}"/>
    <cellStyle name="SAPBEXHLevel3X 2 5 4" xfId="5042" xr:uid="{00000000-0005-0000-0000-00007C0F0000}"/>
    <cellStyle name="SAPBEXHLevel3X 2 6" xfId="1338" xr:uid="{00000000-0005-0000-0000-00007D0F0000}"/>
    <cellStyle name="SAPBEXHLevel3X 2 6 2" xfId="2650" xr:uid="{00000000-0005-0000-0000-00007E0F0000}"/>
    <cellStyle name="SAPBEXHLevel3X 2 6 3" xfId="3954" xr:uid="{00000000-0005-0000-0000-00007F0F0000}"/>
    <cellStyle name="SAPBEXHLevel3X 2 6 4" xfId="5043" xr:uid="{00000000-0005-0000-0000-0000800F0000}"/>
    <cellStyle name="SAPBEXHLevel3X 2 7" xfId="1339" xr:uid="{00000000-0005-0000-0000-0000810F0000}"/>
    <cellStyle name="SAPBEXHLevel3X 2 7 2" xfId="2651" xr:uid="{00000000-0005-0000-0000-0000820F0000}"/>
    <cellStyle name="SAPBEXHLevel3X 2 7 3" xfId="3955" xr:uid="{00000000-0005-0000-0000-0000830F0000}"/>
    <cellStyle name="SAPBEXHLevel3X 2 7 4" xfId="5044" xr:uid="{00000000-0005-0000-0000-0000840F0000}"/>
    <cellStyle name="SAPBEXHLevel3X 2 8" xfId="1340" xr:uid="{00000000-0005-0000-0000-0000850F0000}"/>
    <cellStyle name="SAPBEXHLevel3X 2 8 2" xfId="2652" xr:uid="{00000000-0005-0000-0000-0000860F0000}"/>
    <cellStyle name="SAPBEXHLevel3X 2 8 3" xfId="3956" xr:uid="{00000000-0005-0000-0000-0000870F0000}"/>
    <cellStyle name="SAPBEXHLevel3X 2 8 4" xfId="5045" xr:uid="{00000000-0005-0000-0000-0000880F0000}"/>
    <cellStyle name="SAPBEXHLevel3X 2 9" xfId="1341" xr:uid="{00000000-0005-0000-0000-0000890F0000}"/>
    <cellStyle name="SAPBEXHLevel3X 2 9 2" xfId="2653" xr:uid="{00000000-0005-0000-0000-00008A0F0000}"/>
    <cellStyle name="SAPBEXHLevel3X 2 9 3" xfId="3957" xr:uid="{00000000-0005-0000-0000-00008B0F0000}"/>
    <cellStyle name="SAPBEXHLevel3X 2 9 4" xfId="5046" xr:uid="{00000000-0005-0000-0000-00008C0F0000}"/>
    <cellStyle name="SAPBEXHLevel3X 3" xfId="1342" xr:uid="{00000000-0005-0000-0000-00008D0F0000}"/>
    <cellStyle name="SAPBEXHLevel3X 3 2" xfId="2654" xr:uid="{00000000-0005-0000-0000-00008E0F0000}"/>
    <cellStyle name="SAPBEXHLevel3X 3 3" xfId="3958" xr:uid="{00000000-0005-0000-0000-00008F0F0000}"/>
    <cellStyle name="SAPBEXHLevel3X 3 4" xfId="5047" xr:uid="{00000000-0005-0000-0000-0000900F0000}"/>
    <cellStyle name="SAPBEXHLevel3X 4" xfId="1343" xr:uid="{00000000-0005-0000-0000-0000910F0000}"/>
    <cellStyle name="SAPBEXHLevel3X 4 2" xfId="2655" xr:uid="{00000000-0005-0000-0000-0000920F0000}"/>
    <cellStyle name="SAPBEXHLevel3X 4 3" xfId="3959" xr:uid="{00000000-0005-0000-0000-0000930F0000}"/>
    <cellStyle name="SAPBEXHLevel3X 4 4" xfId="5048" xr:uid="{00000000-0005-0000-0000-0000940F0000}"/>
    <cellStyle name="SAPBEXHLevel3X 5" xfId="1344" xr:uid="{00000000-0005-0000-0000-0000950F0000}"/>
    <cellStyle name="SAPBEXHLevel3X 5 2" xfId="2656" xr:uid="{00000000-0005-0000-0000-0000960F0000}"/>
    <cellStyle name="SAPBEXHLevel3X 5 3" xfId="3960" xr:uid="{00000000-0005-0000-0000-0000970F0000}"/>
    <cellStyle name="SAPBEXHLevel3X 5 4" xfId="5049" xr:uid="{00000000-0005-0000-0000-0000980F0000}"/>
    <cellStyle name="SAPBEXHLevel3X 6" xfId="1345" xr:uid="{00000000-0005-0000-0000-0000990F0000}"/>
    <cellStyle name="SAPBEXHLevel3X 6 2" xfId="2657" xr:uid="{00000000-0005-0000-0000-00009A0F0000}"/>
    <cellStyle name="SAPBEXHLevel3X 6 3" xfId="3961" xr:uid="{00000000-0005-0000-0000-00009B0F0000}"/>
    <cellStyle name="SAPBEXHLevel3X 6 4" xfId="5050" xr:uid="{00000000-0005-0000-0000-00009C0F0000}"/>
    <cellStyle name="SAPBEXHLevel3X 7" xfId="1346" xr:uid="{00000000-0005-0000-0000-00009D0F0000}"/>
    <cellStyle name="SAPBEXHLevel3X 7 2" xfId="2658" xr:uid="{00000000-0005-0000-0000-00009E0F0000}"/>
    <cellStyle name="SAPBEXHLevel3X 7 3" xfId="3962" xr:uid="{00000000-0005-0000-0000-00009F0F0000}"/>
    <cellStyle name="SAPBEXHLevel3X 7 4" xfId="5051" xr:uid="{00000000-0005-0000-0000-0000A00F0000}"/>
    <cellStyle name="SAPBEXHLevel3X 8" xfId="1347" xr:uid="{00000000-0005-0000-0000-0000A10F0000}"/>
    <cellStyle name="SAPBEXHLevel3X 8 2" xfId="2659" xr:uid="{00000000-0005-0000-0000-0000A20F0000}"/>
    <cellStyle name="SAPBEXHLevel3X 8 3" xfId="3963" xr:uid="{00000000-0005-0000-0000-0000A30F0000}"/>
    <cellStyle name="SAPBEXHLevel3X 8 4" xfId="5052" xr:uid="{00000000-0005-0000-0000-0000A40F0000}"/>
    <cellStyle name="SAPBEXHLevel3X 9" xfId="1348" xr:uid="{00000000-0005-0000-0000-0000A50F0000}"/>
    <cellStyle name="SAPBEXHLevel3X 9 2" xfId="2660" xr:uid="{00000000-0005-0000-0000-0000A60F0000}"/>
    <cellStyle name="SAPBEXHLevel3X 9 3" xfId="3964" xr:uid="{00000000-0005-0000-0000-0000A70F0000}"/>
    <cellStyle name="SAPBEXHLevel3X 9 4" xfId="5053" xr:uid="{00000000-0005-0000-0000-0000A80F0000}"/>
    <cellStyle name="SAPBEXresData" xfId="30" xr:uid="{00000000-0005-0000-0000-0000A90F0000}"/>
    <cellStyle name="SAPBEXresData 10" xfId="1350" xr:uid="{00000000-0005-0000-0000-0000AA0F0000}"/>
    <cellStyle name="SAPBEXresData 10 2" xfId="2662" xr:uid="{00000000-0005-0000-0000-0000AB0F0000}"/>
    <cellStyle name="SAPBEXresData 10 3" xfId="3966" xr:uid="{00000000-0005-0000-0000-0000AC0F0000}"/>
    <cellStyle name="SAPBEXresData 10 4" xfId="5055" xr:uid="{00000000-0005-0000-0000-0000AD0F0000}"/>
    <cellStyle name="SAPBEXresData 11" xfId="1351" xr:uid="{00000000-0005-0000-0000-0000AE0F0000}"/>
    <cellStyle name="SAPBEXresData 11 2" xfId="2663" xr:uid="{00000000-0005-0000-0000-0000AF0F0000}"/>
    <cellStyle name="SAPBEXresData 11 3" xfId="3967" xr:uid="{00000000-0005-0000-0000-0000B00F0000}"/>
    <cellStyle name="SAPBEXresData 11 4" xfId="5056" xr:uid="{00000000-0005-0000-0000-0000B10F0000}"/>
    <cellStyle name="SAPBEXresData 12" xfId="1352" xr:uid="{00000000-0005-0000-0000-0000B20F0000}"/>
    <cellStyle name="SAPBEXresData 12 2" xfId="2664" xr:uid="{00000000-0005-0000-0000-0000B30F0000}"/>
    <cellStyle name="SAPBEXresData 12 3" xfId="3968" xr:uid="{00000000-0005-0000-0000-0000B40F0000}"/>
    <cellStyle name="SAPBEXresData 12 4" xfId="5057" xr:uid="{00000000-0005-0000-0000-0000B50F0000}"/>
    <cellStyle name="SAPBEXresData 13" xfId="1353" xr:uid="{00000000-0005-0000-0000-0000B60F0000}"/>
    <cellStyle name="SAPBEXresData 13 2" xfId="2665" xr:uid="{00000000-0005-0000-0000-0000B70F0000}"/>
    <cellStyle name="SAPBEXresData 13 3" xfId="3969" xr:uid="{00000000-0005-0000-0000-0000B80F0000}"/>
    <cellStyle name="SAPBEXresData 13 4" xfId="5058" xr:uid="{00000000-0005-0000-0000-0000B90F0000}"/>
    <cellStyle name="SAPBEXresData 14" xfId="1354" xr:uid="{00000000-0005-0000-0000-0000BA0F0000}"/>
    <cellStyle name="SAPBEXresData 14 2" xfId="2666" xr:uid="{00000000-0005-0000-0000-0000BB0F0000}"/>
    <cellStyle name="SAPBEXresData 14 3" xfId="3970" xr:uid="{00000000-0005-0000-0000-0000BC0F0000}"/>
    <cellStyle name="SAPBEXresData 14 4" xfId="5059" xr:uid="{00000000-0005-0000-0000-0000BD0F0000}"/>
    <cellStyle name="SAPBEXresData 15" xfId="2661" xr:uid="{00000000-0005-0000-0000-0000BE0F0000}"/>
    <cellStyle name="SAPBEXresData 16" xfId="3965" xr:uid="{00000000-0005-0000-0000-0000BF0F0000}"/>
    <cellStyle name="SAPBEXresData 17" xfId="5054" xr:uid="{00000000-0005-0000-0000-0000C00F0000}"/>
    <cellStyle name="SAPBEXresData 2" xfId="1349" xr:uid="{00000000-0005-0000-0000-0000C10F0000}"/>
    <cellStyle name="SAPBEXresData 2 10" xfId="1355" xr:uid="{00000000-0005-0000-0000-0000C20F0000}"/>
    <cellStyle name="SAPBEXresData 2 10 2" xfId="2668" xr:uid="{00000000-0005-0000-0000-0000C30F0000}"/>
    <cellStyle name="SAPBEXresData 2 10 3" xfId="3972" xr:uid="{00000000-0005-0000-0000-0000C40F0000}"/>
    <cellStyle name="SAPBEXresData 2 10 4" xfId="5061" xr:uid="{00000000-0005-0000-0000-0000C50F0000}"/>
    <cellStyle name="SAPBEXresData 2 11" xfId="1356" xr:uid="{00000000-0005-0000-0000-0000C60F0000}"/>
    <cellStyle name="SAPBEXresData 2 11 2" xfId="2669" xr:uid="{00000000-0005-0000-0000-0000C70F0000}"/>
    <cellStyle name="SAPBEXresData 2 11 3" xfId="3973" xr:uid="{00000000-0005-0000-0000-0000C80F0000}"/>
    <cellStyle name="SAPBEXresData 2 11 4" xfId="5062" xr:uid="{00000000-0005-0000-0000-0000C90F0000}"/>
    <cellStyle name="SAPBEXresData 2 12" xfId="1357" xr:uid="{00000000-0005-0000-0000-0000CA0F0000}"/>
    <cellStyle name="SAPBEXresData 2 12 2" xfId="2670" xr:uid="{00000000-0005-0000-0000-0000CB0F0000}"/>
    <cellStyle name="SAPBEXresData 2 12 3" xfId="3974" xr:uid="{00000000-0005-0000-0000-0000CC0F0000}"/>
    <cellStyle name="SAPBEXresData 2 12 4" xfId="5063" xr:uid="{00000000-0005-0000-0000-0000CD0F0000}"/>
    <cellStyle name="SAPBEXresData 2 13" xfId="1358" xr:uid="{00000000-0005-0000-0000-0000CE0F0000}"/>
    <cellStyle name="SAPBEXresData 2 13 2" xfId="2671" xr:uid="{00000000-0005-0000-0000-0000CF0F0000}"/>
    <cellStyle name="SAPBEXresData 2 13 3" xfId="3975" xr:uid="{00000000-0005-0000-0000-0000D00F0000}"/>
    <cellStyle name="SAPBEXresData 2 13 4" xfId="5064" xr:uid="{00000000-0005-0000-0000-0000D10F0000}"/>
    <cellStyle name="SAPBEXresData 2 14" xfId="2667" xr:uid="{00000000-0005-0000-0000-0000D20F0000}"/>
    <cellStyle name="SAPBEXresData 2 15" xfId="3971" xr:uid="{00000000-0005-0000-0000-0000D30F0000}"/>
    <cellStyle name="SAPBEXresData 2 16" xfId="5060" xr:uid="{00000000-0005-0000-0000-0000D40F0000}"/>
    <cellStyle name="SAPBEXresData 2 2" xfId="1359" xr:uid="{00000000-0005-0000-0000-0000D50F0000}"/>
    <cellStyle name="SAPBEXresData 2 2 2" xfId="2672" xr:uid="{00000000-0005-0000-0000-0000D60F0000}"/>
    <cellStyle name="SAPBEXresData 2 2 3" xfId="3976" xr:uid="{00000000-0005-0000-0000-0000D70F0000}"/>
    <cellStyle name="SAPBEXresData 2 2 4" xfId="5065" xr:uid="{00000000-0005-0000-0000-0000D80F0000}"/>
    <cellStyle name="SAPBEXresData 2 3" xfId="1360" xr:uid="{00000000-0005-0000-0000-0000D90F0000}"/>
    <cellStyle name="SAPBEXresData 2 3 2" xfId="2673" xr:uid="{00000000-0005-0000-0000-0000DA0F0000}"/>
    <cellStyle name="SAPBEXresData 2 3 3" xfId="3977" xr:uid="{00000000-0005-0000-0000-0000DB0F0000}"/>
    <cellStyle name="SAPBEXresData 2 3 4" xfId="5066" xr:uid="{00000000-0005-0000-0000-0000DC0F0000}"/>
    <cellStyle name="SAPBEXresData 2 4" xfId="1361" xr:uid="{00000000-0005-0000-0000-0000DD0F0000}"/>
    <cellStyle name="SAPBEXresData 2 4 2" xfId="2674" xr:uid="{00000000-0005-0000-0000-0000DE0F0000}"/>
    <cellStyle name="SAPBEXresData 2 4 3" xfId="3978" xr:uid="{00000000-0005-0000-0000-0000DF0F0000}"/>
    <cellStyle name="SAPBEXresData 2 4 4" xfId="5067" xr:uid="{00000000-0005-0000-0000-0000E00F0000}"/>
    <cellStyle name="SAPBEXresData 2 5" xfId="1362" xr:uid="{00000000-0005-0000-0000-0000E10F0000}"/>
    <cellStyle name="SAPBEXresData 2 5 2" xfId="2675" xr:uid="{00000000-0005-0000-0000-0000E20F0000}"/>
    <cellStyle name="SAPBEXresData 2 5 3" xfId="3979" xr:uid="{00000000-0005-0000-0000-0000E30F0000}"/>
    <cellStyle name="SAPBEXresData 2 5 4" xfId="5068" xr:uid="{00000000-0005-0000-0000-0000E40F0000}"/>
    <cellStyle name="SAPBEXresData 2 6" xfId="1363" xr:uid="{00000000-0005-0000-0000-0000E50F0000}"/>
    <cellStyle name="SAPBEXresData 2 6 2" xfId="2676" xr:uid="{00000000-0005-0000-0000-0000E60F0000}"/>
    <cellStyle name="SAPBEXresData 2 6 3" xfId="3980" xr:uid="{00000000-0005-0000-0000-0000E70F0000}"/>
    <cellStyle name="SAPBEXresData 2 6 4" xfId="5069" xr:uid="{00000000-0005-0000-0000-0000E80F0000}"/>
    <cellStyle name="SAPBEXresData 2 7" xfId="1364" xr:uid="{00000000-0005-0000-0000-0000E90F0000}"/>
    <cellStyle name="SAPBEXresData 2 7 2" xfId="2677" xr:uid="{00000000-0005-0000-0000-0000EA0F0000}"/>
    <cellStyle name="SAPBEXresData 2 7 3" xfId="3981" xr:uid="{00000000-0005-0000-0000-0000EB0F0000}"/>
    <cellStyle name="SAPBEXresData 2 7 4" xfId="5070" xr:uid="{00000000-0005-0000-0000-0000EC0F0000}"/>
    <cellStyle name="SAPBEXresData 2 8" xfId="1365" xr:uid="{00000000-0005-0000-0000-0000ED0F0000}"/>
    <cellStyle name="SAPBEXresData 2 8 2" xfId="2678" xr:uid="{00000000-0005-0000-0000-0000EE0F0000}"/>
    <cellStyle name="SAPBEXresData 2 8 3" xfId="3982" xr:uid="{00000000-0005-0000-0000-0000EF0F0000}"/>
    <cellStyle name="SAPBEXresData 2 8 4" xfId="5071" xr:uid="{00000000-0005-0000-0000-0000F00F0000}"/>
    <cellStyle name="SAPBEXresData 2 9" xfId="1366" xr:uid="{00000000-0005-0000-0000-0000F10F0000}"/>
    <cellStyle name="SAPBEXresData 2 9 2" xfId="2679" xr:uid="{00000000-0005-0000-0000-0000F20F0000}"/>
    <cellStyle name="SAPBEXresData 2 9 3" xfId="3983" xr:uid="{00000000-0005-0000-0000-0000F30F0000}"/>
    <cellStyle name="SAPBEXresData 2 9 4" xfId="5072" xr:uid="{00000000-0005-0000-0000-0000F40F0000}"/>
    <cellStyle name="SAPBEXresData 3" xfId="1367" xr:uid="{00000000-0005-0000-0000-0000F50F0000}"/>
    <cellStyle name="SAPBEXresData 3 2" xfId="2680" xr:uid="{00000000-0005-0000-0000-0000F60F0000}"/>
    <cellStyle name="SAPBEXresData 3 3" xfId="3984" xr:uid="{00000000-0005-0000-0000-0000F70F0000}"/>
    <cellStyle name="SAPBEXresData 3 4" xfId="5073" xr:uid="{00000000-0005-0000-0000-0000F80F0000}"/>
    <cellStyle name="SAPBEXresData 4" xfId="1368" xr:uid="{00000000-0005-0000-0000-0000F90F0000}"/>
    <cellStyle name="SAPBEXresData 4 2" xfId="2681" xr:uid="{00000000-0005-0000-0000-0000FA0F0000}"/>
    <cellStyle name="SAPBEXresData 4 3" xfId="3985" xr:uid="{00000000-0005-0000-0000-0000FB0F0000}"/>
    <cellStyle name="SAPBEXresData 4 4" xfId="5074" xr:uid="{00000000-0005-0000-0000-0000FC0F0000}"/>
    <cellStyle name="SAPBEXresData 5" xfId="1369" xr:uid="{00000000-0005-0000-0000-0000FD0F0000}"/>
    <cellStyle name="SAPBEXresData 5 2" xfId="2682" xr:uid="{00000000-0005-0000-0000-0000FE0F0000}"/>
    <cellStyle name="SAPBEXresData 5 3" xfId="3986" xr:uid="{00000000-0005-0000-0000-0000FF0F0000}"/>
    <cellStyle name="SAPBEXresData 5 4" xfId="5075" xr:uid="{00000000-0005-0000-0000-000000100000}"/>
    <cellStyle name="SAPBEXresData 6" xfId="1370" xr:uid="{00000000-0005-0000-0000-000001100000}"/>
    <cellStyle name="SAPBEXresData 6 2" xfId="2683" xr:uid="{00000000-0005-0000-0000-000002100000}"/>
    <cellStyle name="SAPBEXresData 6 3" xfId="3987" xr:uid="{00000000-0005-0000-0000-000003100000}"/>
    <cellStyle name="SAPBEXresData 6 4" xfId="5076" xr:uid="{00000000-0005-0000-0000-000004100000}"/>
    <cellStyle name="SAPBEXresData 7" xfId="1371" xr:uid="{00000000-0005-0000-0000-000005100000}"/>
    <cellStyle name="SAPBEXresData 7 2" xfId="2684" xr:uid="{00000000-0005-0000-0000-000006100000}"/>
    <cellStyle name="SAPBEXresData 7 3" xfId="3988" xr:uid="{00000000-0005-0000-0000-000007100000}"/>
    <cellStyle name="SAPBEXresData 7 4" xfId="5077" xr:uid="{00000000-0005-0000-0000-000008100000}"/>
    <cellStyle name="SAPBEXresData 8" xfId="1372" xr:uid="{00000000-0005-0000-0000-000009100000}"/>
    <cellStyle name="SAPBEXresData 8 2" xfId="2685" xr:uid="{00000000-0005-0000-0000-00000A100000}"/>
    <cellStyle name="SAPBEXresData 8 3" xfId="3989" xr:uid="{00000000-0005-0000-0000-00000B100000}"/>
    <cellStyle name="SAPBEXresData 8 4" xfId="5078" xr:uid="{00000000-0005-0000-0000-00000C100000}"/>
    <cellStyle name="SAPBEXresData 9" xfId="1373" xr:uid="{00000000-0005-0000-0000-00000D100000}"/>
    <cellStyle name="SAPBEXresData 9 2" xfId="2686" xr:uid="{00000000-0005-0000-0000-00000E100000}"/>
    <cellStyle name="SAPBEXresData 9 3" xfId="3990" xr:uid="{00000000-0005-0000-0000-00000F100000}"/>
    <cellStyle name="SAPBEXresData 9 4" xfId="5079" xr:uid="{00000000-0005-0000-0000-000010100000}"/>
    <cellStyle name="SAPBEXresDataEmph" xfId="31" xr:uid="{00000000-0005-0000-0000-000011100000}"/>
    <cellStyle name="SAPBEXresDataEmph 10" xfId="1375" xr:uid="{00000000-0005-0000-0000-000012100000}"/>
    <cellStyle name="SAPBEXresDataEmph 10 2" xfId="2688" xr:uid="{00000000-0005-0000-0000-000013100000}"/>
    <cellStyle name="SAPBEXresDataEmph 10 3" xfId="3992" xr:uid="{00000000-0005-0000-0000-000014100000}"/>
    <cellStyle name="SAPBEXresDataEmph 10 4" xfId="5081" xr:uid="{00000000-0005-0000-0000-000015100000}"/>
    <cellStyle name="SAPBEXresDataEmph 11" xfId="1376" xr:uid="{00000000-0005-0000-0000-000016100000}"/>
    <cellStyle name="SAPBEXresDataEmph 11 2" xfId="2689" xr:uid="{00000000-0005-0000-0000-000017100000}"/>
    <cellStyle name="SAPBEXresDataEmph 11 3" xfId="3993" xr:uid="{00000000-0005-0000-0000-000018100000}"/>
    <cellStyle name="SAPBEXresDataEmph 11 4" xfId="5082" xr:uid="{00000000-0005-0000-0000-000019100000}"/>
    <cellStyle name="SAPBEXresDataEmph 12" xfId="1377" xr:uid="{00000000-0005-0000-0000-00001A100000}"/>
    <cellStyle name="SAPBEXresDataEmph 12 2" xfId="2690" xr:uid="{00000000-0005-0000-0000-00001B100000}"/>
    <cellStyle name="SAPBEXresDataEmph 12 3" xfId="3994" xr:uid="{00000000-0005-0000-0000-00001C100000}"/>
    <cellStyle name="SAPBEXresDataEmph 12 4" xfId="5083" xr:uid="{00000000-0005-0000-0000-00001D100000}"/>
    <cellStyle name="SAPBEXresDataEmph 13" xfId="1378" xr:uid="{00000000-0005-0000-0000-00001E100000}"/>
    <cellStyle name="SAPBEXresDataEmph 13 2" xfId="2691" xr:uid="{00000000-0005-0000-0000-00001F100000}"/>
    <cellStyle name="SAPBEXresDataEmph 13 3" xfId="3995" xr:uid="{00000000-0005-0000-0000-000020100000}"/>
    <cellStyle name="SAPBEXresDataEmph 13 4" xfId="5084" xr:uid="{00000000-0005-0000-0000-000021100000}"/>
    <cellStyle name="SAPBEXresDataEmph 14" xfId="1379" xr:uid="{00000000-0005-0000-0000-000022100000}"/>
    <cellStyle name="SAPBEXresDataEmph 14 2" xfId="2692" xr:uid="{00000000-0005-0000-0000-000023100000}"/>
    <cellStyle name="SAPBEXresDataEmph 14 3" xfId="3996" xr:uid="{00000000-0005-0000-0000-000024100000}"/>
    <cellStyle name="SAPBEXresDataEmph 14 4" xfId="5085" xr:uid="{00000000-0005-0000-0000-000025100000}"/>
    <cellStyle name="SAPBEXresDataEmph 15" xfId="2687" xr:uid="{00000000-0005-0000-0000-000026100000}"/>
    <cellStyle name="SAPBEXresDataEmph 16" xfId="3991" xr:uid="{00000000-0005-0000-0000-000027100000}"/>
    <cellStyle name="SAPBEXresDataEmph 17" xfId="5080" xr:uid="{00000000-0005-0000-0000-000028100000}"/>
    <cellStyle name="SAPBEXresDataEmph 2" xfId="1374" xr:uid="{00000000-0005-0000-0000-000029100000}"/>
    <cellStyle name="SAPBEXresDataEmph 2 10" xfId="1380" xr:uid="{00000000-0005-0000-0000-00002A100000}"/>
    <cellStyle name="SAPBEXresDataEmph 2 10 2" xfId="2694" xr:uid="{00000000-0005-0000-0000-00002B100000}"/>
    <cellStyle name="SAPBEXresDataEmph 2 10 3" xfId="3998" xr:uid="{00000000-0005-0000-0000-00002C100000}"/>
    <cellStyle name="SAPBEXresDataEmph 2 10 4" xfId="5087" xr:uid="{00000000-0005-0000-0000-00002D100000}"/>
    <cellStyle name="SAPBEXresDataEmph 2 11" xfId="1381" xr:uid="{00000000-0005-0000-0000-00002E100000}"/>
    <cellStyle name="SAPBEXresDataEmph 2 11 2" xfId="2695" xr:uid="{00000000-0005-0000-0000-00002F100000}"/>
    <cellStyle name="SAPBEXresDataEmph 2 11 3" xfId="3999" xr:uid="{00000000-0005-0000-0000-000030100000}"/>
    <cellStyle name="SAPBEXresDataEmph 2 11 4" xfId="5088" xr:uid="{00000000-0005-0000-0000-000031100000}"/>
    <cellStyle name="SAPBEXresDataEmph 2 12" xfId="1382" xr:uid="{00000000-0005-0000-0000-000032100000}"/>
    <cellStyle name="SAPBEXresDataEmph 2 12 2" xfId="2696" xr:uid="{00000000-0005-0000-0000-000033100000}"/>
    <cellStyle name="SAPBEXresDataEmph 2 12 3" xfId="4000" xr:uid="{00000000-0005-0000-0000-000034100000}"/>
    <cellStyle name="SAPBEXresDataEmph 2 12 4" xfId="5089" xr:uid="{00000000-0005-0000-0000-000035100000}"/>
    <cellStyle name="SAPBEXresDataEmph 2 13" xfId="1383" xr:uid="{00000000-0005-0000-0000-000036100000}"/>
    <cellStyle name="SAPBEXresDataEmph 2 13 2" xfId="2697" xr:uid="{00000000-0005-0000-0000-000037100000}"/>
    <cellStyle name="SAPBEXresDataEmph 2 13 3" xfId="4001" xr:uid="{00000000-0005-0000-0000-000038100000}"/>
    <cellStyle name="SAPBEXresDataEmph 2 13 4" xfId="5090" xr:uid="{00000000-0005-0000-0000-000039100000}"/>
    <cellStyle name="SAPBEXresDataEmph 2 14" xfId="2693" xr:uid="{00000000-0005-0000-0000-00003A100000}"/>
    <cellStyle name="SAPBEXresDataEmph 2 15" xfId="3997" xr:uid="{00000000-0005-0000-0000-00003B100000}"/>
    <cellStyle name="SAPBEXresDataEmph 2 16" xfId="5086" xr:uid="{00000000-0005-0000-0000-00003C100000}"/>
    <cellStyle name="SAPBEXresDataEmph 2 2" xfId="1384" xr:uid="{00000000-0005-0000-0000-00003D100000}"/>
    <cellStyle name="SAPBEXresDataEmph 2 2 2" xfId="2698" xr:uid="{00000000-0005-0000-0000-00003E100000}"/>
    <cellStyle name="SAPBEXresDataEmph 2 2 3" xfId="4002" xr:uid="{00000000-0005-0000-0000-00003F100000}"/>
    <cellStyle name="SAPBEXresDataEmph 2 2 4" xfId="5091" xr:uid="{00000000-0005-0000-0000-000040100000}"/>
    <cellStyle name="SAPBEXresDataEmph 2 3" xfId="1385" xr:uid="{00000000-0005-0000-0000-000041100000}"/>
    <cellStyle name="SAPBEXresDataEmph 2 3 2" xfId="2699" xr:uid="{00000000-0005-0000-0000-000042100000}"/>
    <cellStyle name="SAPBEXresDataEmph 2 3 3" xfId="4003" xr:uid="{00000000-0005-0000-0000-000043100000}"/>
    <cellStyle name="SAPBEXresDataEmph 2 3 4" xfId="5092" xr:uid="{00000000-0005-0000-0000-000044100000}"/>
    <cellStyle name="SAPBEXresDataEmph 2 4" xfId="1386" xr:uid="{00000000-0005-0000-0000-000045100000}"/>
    <cellStyle name="SAPBEXresDataEmph 2 4 2" xfId="2700" xr:uid="{00000000-0005-0000-0000-000046100000}"/>
    <cellStyle name="SAPBEXresDataEmph 2 4 3" xfId="4004" xr:uid="{00000000-0005-0000-0000-000047100000}"/>
    <cellStyle name="SAPBEXresDataEmph 2 4 4" xfId="5093" xr:uid="{00000000-0005-0000-0000-000048100000}"/>
    <cellStyle name="SAPBEXresDataEmph 2 5" xfId="1387" xr:uid="{00000000-0005-0000-0000-000049100000}"/>
    <cellStyle name="SAPBEXresDataEmph 2 5 2" xfId="2701" xr:uid="{00000000-0005-0000-0000-00004A100000}"/>
    <cellStyle name="SAPBEXresDataEmph 2 5 3" xfId="4005" xr:uid="{00000000-0005-0000-0000-00004B100000}"/>
    <cellStyle name="SAPBEXresDataEmph 2 5 4" xfId="5094" xr:uid="{00000000-0005-0000-0000-00004C100000}"/>
    <cellStyle name="SAPBEXresDataEmph 2 6" xfId="1388" xr:uid="{00000000-0005-0000-0000-00004D100000}"/>
    <cellStyle name="SAPBEXresDataEmph 2 6 2" xfId="2702" xr:uid="{00000000-0005-0000-0000-00004E100000}"/>
    <cellStyle name="SAPBEXresDataEmph 2 6 3" xfId="4006" xr:uid="{00000000-0005-0000-0000-00004F100000}"/>
    <cellStyle name="SAPBEXresDataEmph 2 6 4" xfId="5095" xr:uid="{00000000-0005-0000-0000-000050100000}"/>
    <cellStyle name="SAPBEXresDataEmph 2 7" xfId="1389" xr:uid="{00000000-0005-0000-0000-000051100000}"/>
    <cellStyle name="SAPBEXresDataEmph 2 7 2" xfId="2703" xr:uid="{00000000-0005-0000-0000-000052100000}"/>
    <cellStyle name="SAPBEXresDataEmph 2 7 3" xfId="4007" xr:uid="{00000000-0005-0000-0000-000053100000}"/>
    <cellStyle name="SAPBEXresDataEmph 2 7 4" xfId="5096" xr:uid="{00000000-0005-0000-0000-000054100000}"/>
    <cellStyle name="SAPBEXresDataEmph 2 8" xfId="1390" xr:uid="{00000000-0005-0000-0000-000055100000}"/>
    <cellStyle name="SAPBEXresDataEmph 2 8 2" xfId="2704" xr:uid="{00000000-0005-0000-0000-000056100000}"/>
    <cellStyle name="SAPBEXresDataEmph 2 8 3" xfId="4008" xr:uid="{00000000-0005-0000-0000-000057100000}"/>
    <cellStyle name="SAPBEXresDataEmph 2 8 4" xfId="5097" xr:uid="{00000000-0005-0000-0000-000058100000}"/>
    <cellStyle name="SAPBEXresDataEmph 2 9" xfId="1391" xr:uid="{00000000-0005-0000-0000-000059100000}"/>
    <cellStyle name="SAPBEXresDataEmph 2 9 2" xfId="2705" xr:uid="{00000000-0005-0000-0000-00005A100000}"/>
    <cellStyle name="SAPBEXresDataEmph 2 9 3" xfId="4009" xr:uid="{00000000-0005-0000-0000-00005B100000}"/>
    <cellStyle name="SAPBEXresDataEmph 2 9 4" xfId="5098" xr:uid="{00000000-0005-0000-0000-00005C100000}"/>
    <cellStyle name="SAPBEXresDataEmph 3" xfId="1392" xr:uid="{00000000-0005-0000-0000-00005D100000}"/>
    <cellStyle name="SAPBEXresDataEmph 3 2" xfId="2706" xr:uid="{00000000-0005-0000-0000-00005E100000}"/>
    <cellStyle name="SAPBEXresDataEmph 3 3" xfId="4010" xr:uid="{00000000-0005-0000-0000-00005F100000}"/>
    <cellStyle name="SAPBEXresDataEmph 3 4" xfId="5099" xr:uid="{00000000-0005-0000-0000-000060100000}"/>
    <cellStyle name="SAPBEXresDataEmph 4" xfId="1393" xr:uid="{00000000-0005-0000-0000-000061100000}"/>
    <cellStyle name="SAPBEXresDataEmph 4 2" xfId="2707" xr:uid="{00000000-0005-0000-0000-000062100000}"/>
    <cellStyle name="SAPBEXresDataEmph 4 3" xfId="4011" xr:uid="{00000000-0005-0000-0000-000063100000}"/>
    <cellStyle name="SAPBEXresDataEmph 4 4" xfId="5100" xr:uid="{00000000-0005-0000-0000-000064100000}"/>
    <cellStyle name="SAPBEXresDataEmph 5" xfId="1394" xr:uid="{00000000-0005-0000-0000-000065100000}"/>
    <cellStyle name="SAPBEXresDataEmph 5 2" xfId="2708" xr:uid="{00000000-0005-0000-0000-000066100000}"/>
    <cellStyle name="SAPBEXresDataEmph 5 3" xfId="4012" xr:uid="{00000000-0005-0000-0000-000067100000}"/>
    <cellStyle name="SAPBEXresDataEmph 5 4" xfId="5101" xr:uid="{00000000-0005-0000-0000-000068100000}"/>
    <cellStyle name="SAPBEXresDataEmph 6" xfId="1395" xr:uid="{00000000-0005-0000-0000-000069100000}"/>
    <cellStyle name="SAPBEXresDataEmph 6 2" xfId="2709" xr:uid="{00000000-0005-0000-0000-00006A100000}"/>
    <cellStyle name="SAPBEXresDataEmph 6 3" xfId="4013" xr:uid="{00000000-0005-0000-0000-00006B100000}"/>
    <cellStyle name="SAPBEXresDataEmph 6 4" xfId="5102" xr:uid="{00000000-0005-0000-0000-00006C100000}"/>
    <cellStyle name="SAPBEXresDataEmph 7" xfId="1396" xr:uid="{00000000-0005-0000-0000-00006D100000}"/>
    <cellStyle name="SAPBEXresDataEmph 7 2" xfId="2710" xr:uid="{00000000-0005-0000-0000-00006E100000}"/>
    <cellStyle name="SAPBEXresDataEmph 7 3" xfId="4014" xr:uid="{00000000-0005-0000-0000-00006F100000}"/>
    <cellStyle name="SAPBEXresDataEmph 7 4" xfId="5103" xr:uid="{00000000-0005-0000-0000-000070100000}"/>
    <cellStyle name="SAPBEXresDataEmph 8" xfId="1397" xr:uid="{00000000-0005-0000-0000-000071100000}"/>
    <cellStyle name="SAPBEXresDataEmph 8 2" xfId="2711" xr:uid="{00000000-0005-0000-0000-000072100000}"/>
    <cellStyle name="SAPBEXresDataEmph 8 3" xfId="4015" xr:uid="{00000000-0005-0000-0000-000073100000}"/>
    <cellStyle name="SAPBEXresDataEmph 8 4" xfId="5104" xr:uid="{00000000-0005-0000-0000-000074100000}"/>
    <cellStyle name="SAPBEXresDataEmph 9" xfId="1398" xr:uid="{00000000-0005-0000-0000-000075100000}"/>
    <cellStyle name="SAPBEXresDataEmph 9 2" xfId="2712" xr:uid="{00000000-0005-0000-0000-000076100000}"/>
    <cellStyle name="SAPBEXresDataEmph 9 3" xfId="4016" xr:uid="{00000000-0005-0000-0000-000077100000}"/>
    <cellStyle name="SAPBEXresDataEmph 9 4" xfId="5105" xr:uid="{00000000-0005-0000-0000-000078100000}"/>
    <cellStyle name="SAPBEXresItem" xfId="32" xr:uid="{00000000-0005-0000-0000-000079100000}"/>
    <cellStyle name="SAPBEXresItem 10" xfId="1400" xr:uid="{00000000-0005-0000-0000-00007A100000}"/>
    <cellStyle name="SAPBEXresItem 10 2" xfId="2714" xr:uid="{00000000-0005-0000-0000-00007B100000}"/>
    <cellStyle name="SAPBEXresItem 10 3" xfId="4018" xr:uid="{00000000-0005-0000-0000-00007C100000}"/>
    <cellStyle name="SAPBEXresItem 10 4" xfId="5107" xr:uid="{00000000-0005-0000-0000-00007D100000}"/>
    <cellStyle name="SAPBEXresItem 11" xfId="1401" xr:uid="{00000000-0005-0000-0000-00007E100000}"/>
    <cellStyle name="SAPBEXresItem 11 2" xfId="2715" xr:uid="{00000000-0005-0000-0000-00007F100000}"/>
    <cellStyle name="SAPBEXresItem 11 3" xfId="4019" xr:uid="{00000000-0005-0000-0000-000080100000}"/>
    <cellStyle name="SAPBEXresItem 11 4" xfId="5108" xr:uid="{00000000-0005-0000-0000-000081100000}"/>
    <cellStyle name="SAPBEXresItem 12" xfId="1402" xr:uid="{00000000-0005-0000-0000-000082100000}"/>
    <cellStyle name="SAPBEXresItem 12 2" xfId="2716" xr:uid="{00000000-0005-0000-0000-000083100000}"/>
    <cellStyle name="SAPBEXresItem 12 3" xfId="4020" xr:uid="{00000000-0005-0000-0000-000084100000}"/>
    <cellStyle name="SAPBEXresItem 12 4" xfId="5109" xr:uid="{00000000-0005-0000-0000-000085100000}"/>
    <cellStyle name="SAPBEXresItem 13" xfId="1403" xr:uid="{00000000-0005-0000-0000-000086100000}"/>
    <cellStyle name="SAPBEXresItem 13 2" xfId="2717" xr:uid="{00000000-0005-0000-0000-000087100000}"/>
    <cellStyle name="SAPBEXresItem 13 3" xfId="4021" xr:uid="{00000000-0005-0000-0000-000088100000}"/>
    <cellStyle name="SAPBEXresItem 13 4" xfId="5110" xr:uid="{00000000-0005-0000-0000-000089100000}"/>
    <cellStyle name="SAPBEXresItem 14" xfId="1404" xr:uid="{00000000-0005-0000-0000-00008A100000}"/>
    <cellStyle name="SAPBEXresItem 14 2" xfId="2718" xr:uid="{00000000-0005-0000-0000-00008B100000}"/>
    <cellStyle name="SAPBEXresItem 14 3" xfId="4022" xr:uid="{00000000-0005-0000-0000-00008C100000}"/>
    <cellStyle name="SAPBEXresItem 14 4" xfId="5111" xr:uid="{00000000-0005-0000-0000-00008D100000}"/>
    <cellStyle name="SAPBEXresItem 15" xfId="2713" xr:uid="{00000000-0005-0000-0000-00008E100000}"/>
    <cellStyle name="SAPBEXresItem 16" xfId="4017" xr:uid="{00000000-0005-0000-0000-00008F100000}"/>
    <cellStyle name="SAPBEXresItem 17" xfId="5106" xr:uid="{00000000-0005-0000-0000-000090100000}"/>
    <cellStyle name="SAPBEXresItem 2" xfId="1399" xr:uid="{00000000-0005-0000-0000-000091100000}"/>
    <cellStyle name="SAPBEXresItem 2 10" xfId="1405" xr:uid="{00000000-0005-0000-0000-000092100000}"/>
    <cellStyle name="SAPBEXresItem 2 10 2" xfId="2720" xr:uid="{00000000-0005-0000-0000-000093100000}"/>
    <cellStyle name="SAPBEXresItem 2 10 3" xfId="4024" xr:uid="{00000000-0005-0000-0000-000094100000}"/>
    <cellStyle name="SAPBEXresItem 2 10 4" xfId="5113" xr:uid="{00000000-0005-0000-0000-000095100000}"/>
    <cellStyle name="SAPBEXresItem 2 11" xfId="1406" xr:uid="{00000000-0005-0000-0000-000096100000}"/>
    <cellStyle name="SAPBEXresItem 2 11 2" xfId="2721" xr:uid="{00000000-0005-0000-0000-000097100000}"/>
    <cellStyle name="SAPBEXresItem 2 11 3" xfId="4025" xr:uid="{00000000-0005-0000-0000-000098100000}"/>
    <cellStyle name="SAPBEXresItem 2 11 4" xfId="5114" xr:uid="{00000000-0005-0000-0000-000099100000}"/>
    <cellStyle name="SAPBEXresItem 2 12" xfId="1407" xr:uid="{00000000-0005-0000-0000-00009A100000}"/>
    <cellStyle name="SAPBEXresItem 2 12 2" xfId="2722" xr:uid="{00000000-0005-0000-0000-00009B100000}"/>
    <cellStyle name="SAPBEXresItem 2 12 3" xfId="4026" xr:uid="{00000000-0005-0000-0000-00009C100000}"/>
    <cellStyle name="SAPBEXresItem 2 12 4" xfId="5115" xr:uid="{00000000-0005-0000-0000-00009D100000}"/>
    <cellStyle name="SAPBEXresItem 2 13" xfId="1408" xr:uid="{00000000-0005-0000-0000-00009E100000}"/>
    <cellStyle name="SAPBEXresItem 2 13 2" xfId="2723" xr:uid="{00000000-0005-0000-0000-00009F100000}"/>
    <cellStyle name="SAPBEXresItem 2 13 3" xfId="4027" xr:uid="{00000000-0005-0000-0000-0000A0100000}"/>
    <cellStyle name="SAPBEXresItem 2 13 4" xfId="5116" xr:uid="{00000000-0005-0000-0000-0000A1100000}"/>
    <cellStyle name="SAPBEXresItem 2 14" xfId="2719" xr:uid="{00000000-0005-0000-0000-0000A2100000}"/>
    <cellStyle name="SAPBEXresItem 2 15" xfId="4023" xr:uid="{00000000-0005-0000-0000-0000A3100000}"/>
    <cellStyle name="SAPBEXresItem 2 16" xfId="5112" xr:uid="{00000000-0005-0000-0000-0000A4100000}"/>
    <cellStyle name="SAPBEXresItem 2 2" xfId="1409" xr:uid="{00000000-0005-0000-0000-0000A5100000}"/>
    <cellStyle name="SAPBEXresItem 2 2 2" xfId="2724" xr:uid="{00000000-0005-0000-0000-0000A6100000}"/>
    <cellStyle name="SAPBEXresItem 2 2 3" xfId="4028" xr:uid="{00000000-0005-0000-0000-0000A7100000}"/>
    <cellStyle name="SAPBEXresItem 2 2 4" xfId="5117" xr:uid="{00000000-0005-0000-0000-0000A8100000}"/>
    <cellStyle name="SAPBEXresItem 2 3" xfId="1410" xr:uid="{00000000-0005-0000-0000-0000A9100000}"/>
    <cellStyle name="SAPBEXresItem 2 3 2" xfId="2725" xr:uid="{00000000-0005-0000-0000-0000AA100000}"/>
    <cellStyle name="SAPBEXresItem 2 3 3" xfId="4029" xr:uid="{00000000-0005-0000-0000-0000AB100000}"/>
    <cellStyle name="SAPBEXresItem 2 3 4" xfId="5118" xr:uid="{00000000-0005-0000-0000-0000AC100000}"/>
    <cellStyle name="SAPBEXresItem 2 4" xfId="1411" xr:uid="{00000000-0005-0000-0000-0000AD100000}"/>
    <cellStyle name="SAPBEXresItem 2 4 2" xfId="2726" xr:uid="{00000000-0005-0000-0000-0000AE100000}"/>
    <cellStyle name="SAPBEXresItem 2 4 3" xfId="4030" xr:uid="{00000000-0005-0000-0000-0000AF100000}"/>
    <cellStyle name="SAPBEXresItem 2 4 4" xfId="5119" xr:uid="{00000000-0005-0000-0000-0000B0100000}"/>
    <cellStyle name="SAPBEXresItem 2 5" xfId="1412" xr:uid="{00000000-0005-0000-0000-0000B1100000}"/>
    <cellStyle name="SAPBEXresItem 2 5 2" xfId="2727" xr:uid="{00000000-0005-0000-0000-0000B2100000}"/>
    <cellStyle name="SAPBEXresItem 2 5 3" xfId="4031" xr:uid="{00000000-0005-0000-0000-0000B3100000}"/>
    <cellStyle name="SAPBEXresItem 2 5 4" xfId="5120" xr:uid="{00000000-0005-0000-0000-0000B4100000}"/>
    <cellStyle name="SAPBEXresItem 2 6" xfId="1413" xr:uid="{00000000-0005-0000-0000-0000B5100000}"/>
    <cellStyle name="SAPBEXresItem 2 6 2" xfId="2728" xr:uid="{00000000-0005-0000-0000-0000B6100000}"/>
    <cellStyle name="SAPBEXresItem 2 6 3" xfId="4032" xr:uid="{00000000-0005-0000-0000-0000B7100000}"/>
    <cellStyle name="SAPBEXresItem 2 6 4" xfId="5121" xr:uid="{00000000-0005-0000-0000-0000B8100000}"/>
    <cellStyle name="SAPBEXresItem 2 7" xfId="1414" xr:uid="{00000000-0005-0000-0000-0000B9100000}"/>
    <cellStyle name="SAPBEXresItem 2 7 2" xfId="2729" xr:uid="{00000000-0005-0000-0000-0000BA100000}"/>
    <cellStyle name="SAPBEXresItem 2 7 3" xfId="4033" xr:uid="{00000000-0005-0000-0000-0000BB100000}"/>
    <cellStyle name="SAPBEXresItem 2 7 4" xfId="5122" xr:uid="{00000000-0005-0000-0000-0000BC100000}"/>
    <cellStyle name="SAPBEXresItem 2 8" xfId="1415" xr:uid="{00000000-0005-0000-0000-0000BD100000}"/>
    <cellStyle name="SAPBEXresItem 2 8 2" xfId="2730" xr:uid="{00000000-0005-0000-0000-0000BE100000}"/>
    <cellStyle name="SAPBEXresItem 2 8 3" xfId="4034" xr:uid="{00000000-0005-0000-0000-0000BF100000}"/>
    <cellStyle name="SAPBEXresItem 2 8 4" xfId="5123" xr:uid="{00000000-0005-0000-0000-0000C0100000}"/>
    <cellStyle name="SAPBEXresItem 2 9" xfId="1416" xr:uid="{00000000-0005-0000-0000-0000C1100000}"/>
    <cellStyle name="SAPBEXresItem 2 9 2" xfId="2731" xr:uid="{00000000-0005-0000-0000-0000C2100000}"/>
    <cellStyle name="SAPBEXresItem 2 9 3" xfId="4035" xr:uid="{00000000-0005-0000-0000-0000C3100000}"/>
    <cellStyle name="SAPBEXresItem 2 9 4" xfId="5124" xr:uid="{00000000-0005-0000-0000-0000C4100000}"/>
    <cellStyle name="SAPBEXresItem 3" xfId="1417" xr:uid="{00000000-0005-0000-0000-0000C5100000}"/>
    <cellStyle name="SAPBEXresItem 3 2" xfId="2732" xr:uid="{00000000-0005-0000-0000-0000C6100000}"/>
    <cellStyle name="SAPBEXresItem 3 3" xfId="4036" xr:uid="{00000000-0005-0000-0000-0000C7100000}"/>
    <cellStyle name="SAPBEXresItem 3 4" xfId="5125" xr:uid="{00000000-0005-0000-0000-0000C8100000}"/>
    <cellStyle name="SAPBEXresItem 4" xfId="1418" xr:uid="{00000000-0005-0000-0000-0000C9100000}"/>
    <cellStyle name="SAPBEXresItem 4 2" xfId="2733" xr:uid="{00000000-0005-0000-0000-0000CA100000}"/>
    <cellStyle name="SAPBEXresItem 4 3" xfId="4037" xr:uid="{00000000-0005-0000-0000-0000CB100000}"/>
    <cellStyle name="SAPBEXresItem 4 4" xfId="5126" xr:uid="{00000000-0005-0000-0000-0000CC100000}"/>
    <cellStyle name="SAPBEXresItem 5" xfId="1419" xr:uid="{00000000-0005-0000-0000-0000CD100000}"/>
    <cellStyle name="SAPBEXresItem 5 2" xfId="2734" xr:uid="{00000000-0005-0000-0000-0000CE100000}"/>
    <cellStyle name="SAPBEXresItem 5 3" xfId="4038" xr:uid="{00000000-0005-0000-0000-0000CF100000}"/>
    <cellStyle name="SAPBEXresItem 5 4" xfId="5127" xr:uid="{00000000-0005-0000-0000-0000D0100000}"/>
    <cellStyle name="SAPBEXresItem 6" xfId="1420" xr:uid="{00000000-0005-0000-0000-0000D1100000}"/>
    <cellStyle name="SAPBEXresItem 6 2" xfId="2735" xr:uid="{00000000-0005-0000-0000-0000D2100000}"/>
    <cellStyle name="SAPBEXresItem 6 3" xfId="4039" xr:uid="{00000000-0005-0000-0000-0000D3100000}"/>
    <cellStyle name="SAPBEXresItem 6 4" xfId="5128" xr:uid="{00000000-0005-0000-0000-0000D4100000}"/>
    <cellStyle name="SAPBEXresItem 7" xfId="1421" xr:uid="{00000000-0005-0000-0000-0000D5100000}"/>
    <cellStyle name="SAPBEXresItem 7 2" xfId="2736" xr:uid="{00000000-0005-0000-0000-0000D6100000}"/>
    <cellStyle name="SAPBEXresItem 7 3" xfId="4040" xr:uid="{00000000-0005-0000-0000-0000D7100000}"/>
    <cellStyle name="SAPBEXresItem 7 4" xfId="5129" xr:uid="{00000000-0005-0000-0000-0000D8100000}"/>
    <cellStyle name="SAPBEXresItem 8" xfId="1422" xr:uid="{00000000-0005-0000-0000-0000D9100000}"/>
    <cellStyle name="SAPBEXresItem 8 2" xfId="2737" xr:uid="{00000000-0005-0000-0000-0000DA100000}"/>
    <cellStyle name="SAPBEXresItem 8 3" xfId="4041" xr:uid="{00000000-0005-0000-0000-0000DB100000}"/>
    <cellStyle name="SAPBEXresItem 8 4" xfId="5130" xr:uid="{00000000-0005-0000-0000-0000DC100000}"/>
    <cellStyle name="SAPBEXresItem 9" xfId="1423" xr:uid="{00000000-0005-0000-0000-0000DD100000}"/>
    <cellStyle name="SAPBEXresItem 9 2" xfId="2738" xr:uid="{00000000-0005-0000-0000-0000DE100000}"/>
    <cellStyle name="SAPBEXresItem 9 3" xfId="4042" xr:uid="{00000000-0005-0000-0000-0000DF100000}"/>
    <cellStyle name="SAPBEXresItem 9 4" xfId="5131" xr:uid="{00000000-0005-0000-0000-0000E0100000}"/>
    <cellStyle name="SAPBEXresItemX" xfId="33" xr:uid="{00000000-0005-0000-0000-0000E1100000}"/>
    <cellStyle name="SAPBEXresItemX 10" xfId="1425" xr:uid="{00000000-0005-0000-0000-0000E2100000}"/>
    <cellStyle name="SAPBEXresItemX 10 2" xfId="2740" xr:uid="{00000000-0005-0000-0000-0000E3100000}"/>
    <cellStyle name="SAPBEXresItemX 10 3" xfId="4044" xr:uid="{00000000-0005-0000-0000-0000E4100000}"/>
    <cellStyle name="SAPBEXresItemX 10 4" xfId="5133" xr:uid="{00000000-0005-0000-0000-0000E5100000}"/>
    <cellStyle name="SAPBEXresItemX 11" xfId="1426" xr:uid="{00000000-0005-0000-0000-0000E6100000}"/>
    <cellStyle name="SAPBEXresItemX 11 2" xfId="2741" xr:uid="{00000000-0005-0000-0000-0000E7100000}"/>
    <cellStyle name="SAPBEXresItemX 11 3" xfId="4045" xr:uid="{00000000-0005-0000-0000-0000E8100000}"/>
    <cellStyle name="SAPBEXresItemX 11 4" xfId="5134" xr:uid="{00000000-0005-0000-0000-0000E9100000}"/>
    <cellStyle name="SAPBEXresItemX 12" xfId="1427" xr:uid="{00000000-0005-0000-0000-0000EA100000}"/>
    <cellStyle name="SAPBEXresItemX 12 2" xfId="2742" xr:uid="{00000000-0005-0000-0000-0000EB100000}"/>
    <cellStyle name="SAPBEXresItemX 12 3" xfId="4046" xr:uid="{00000000-0005-0000-0000-0000EC100000}"/>
    <cellStyle name="SAPBEXresItemX 12 4" xfId="5135" xr:uid="{00000000-0005-0000-0000-0000ED100000}"/>
    <cellStyle name="SAPBEXresItemX 13" xfId="1428" xr:uid="{00000000-0005-0000-0000-0000EE100000}"/>
    <cellStyle name="SAPBEXresItemX 13 2" xfId="2743" xr:uid="{00000000-0005-0000-0000-0000EF100000}"/>
    <cellStyle name="SAPBEXresItemX 13 3" xfId="4047" xr:uid="{00000000-0005-0000-0000-0000F0100000}"/>
    <cellStyle name="SAPBEXresItemX 13 4" xfId="5136" xr:uid="{00000000-0005-0000-0000-0000F1100000}"/>
    <cellStyle name="SAPBEXresItemX 14" xfId="1429" xr:uid="{00000000-0005-0000-0000-0000F2100000}"/>
    <cellStyle name="SAPBEXresItemX 14 2" xfId="2744" xr:uid="{00000000-0005-0000-0000-0000F3100000}"/>
    <cellStyle name="SAPBEXresItemX 14 3" xfId="4048" xr:uid="{00000000-0005-0000-0000-0000F4100000}"/>
    <cellStyle name="SAPBEXresItemX 14 4" xfId="5137" xr:uid="{00000000-0005-0000-0000-0000F5100000}"/>
    <cellStyle name="SAPBEXresItemX 15" xfId="2739" xr:uid="{00000000-0005-0000-0000-0000F6100000}"/>
    <cellStyle name="SAPBEXresItemX 16" xfId="4043" xr:uid="{00000000-0005-0000-0000-0000F7100000}"/>
    <cellStyle name="SAPBEXresItemX 17" xfId="5132" xr:uid="{00000000-0005-0000-0000-0000F8100000}"/>
    <cellStyle name="SAPBEXresItemX 2" xfId="1424" xr:uid="{00000000-0005-0000-0000-0000F9100000}"/>
    <cellStyle name="SAPBEXresItemX 2 10" xfId="1430" xr:uid="{00000000-0005-0000-0000-0000FA100000}"/>
    <cellStyle name="SAPBEXresItemX 2 10 2" xfId="2746" xr:uid="{00000000-0005-0000-0000-0000FB100000}"/>
    <cellStyle name="SAPBEXresItemX 2 10 3" xfId="4050" xr:uid="{00000000-0005-0000-0000-0000FC100000}"/>
    <cellStyle name="SAPBEXresItemX 2 10 4" xfId="5139" xr:uid="{00000000-0005-0000-0000-0000FD100000}"/>
    <cellStyle name="SAPBEXresItemX 2 11" xfId="1431" xr:uid="{00000000-0005-0000-0000-0000FE100000}"/>
    <cellStyle name="SAPBEXresItemX 2 11 2" xfId="2747" xr:uid="{00000000-0005-0000-0000-0000FF100000}"/>
    <cellStyle name="SAPBEXresItemX 2 11 3" xfId="4051" xr:uid="{00000000-0005-0000-0000-000000110000}"/>
    <cellStyle name="SAPBEXresItemX 2 11 4" xfId="5140" xr:uid="{00000000-0005-0000-0000-000001110000}"/>
    <cellStyle name="SAPBEXresItemX 2 12" xfId="1432" xr:uid="{00000000-0005-0000-0000-000002110000}"/>
    <cellStyle name="SAPBEXresItemX 2 12 2" xfId="2748" xr:uid="{00000000-0005-0000-0000-000003110000}"/>
    <cellStyle name="SAPBEXresItemX 2 12 3" xfId="4052" xr:uid="{00000000-0005-0000-0000-000004110000}"/>
    <cellStyle name="SAPBEXresItemX 2 12 4" xfId="5141" xr:uid="{00000000-0005-0000-0000-000005110000}"/>
    <cellStyle name="SAPBEXresItemX 2 13" xfId="1433" xr:uid="{00000000-0005-0000-0000-000006110000}"/>
    <cellStyle name="SAPBEXresItemX 2 13 2" xfId="2749" xr:uid="{00000000-0005-0000-0000-000007110000}"/>
    <cellStyle name="SAPBEXresItemX 2 13 3" xfId="4053" xr:uid="{00000000-0005-0000-0000-000008110000}"/>
    <cellStyle name="SAPBEXresItemX 2 13 4" xfId="5142" xr:uid="{00000000-0005-0000-0000-000009110000}"/>
    <cellStyle name="SAPBEXresItemX 2 14" xfId="2745" xr:uid="{00000000-0005-0000-0000-00000A110000}"/>
    <cellStyle name="SAPBEXresItemX 2 15" xfId="4049" xr:uid="{00000000-0005-0000-0000-00000B110000}"/>
    <cellStyle name="SAPBEXresItemX 2 16" xfId="5138" xr:uid="{00000000-0005-0000-0000-00000C110000}"/>
    <cellStyle name="SAPBEXresItemX 2 2" xfId="1434" xr:uid="{00000000-0005-0000-0000-00000D110000}"/>
    <cellStyle name="SAPBEXresItemX 2 2 2" xfId="2750" xr:uid="{00000000-0005-0000-0000-00000E110000}"/>
    <cellStyle name="SAPBEXresItemX 2 2 3" xfId="4054" xr:uid="{00000000-0005-0000-0000-00000F110000}"/>
    <cellStyle name="SAPBEXresItemX 2 2 4" xfId="5143" xr:uid="{00000000-0005-0000-0000-000010110000}"/>
    <cellStyle name="SAPBEXresItemX 2 3" xfId="1435" xr:uid="{00000000-0005-0000-0000-000011110000}"/>
    <cellStyle name="SAPBEXresItemX 2 3 2" xfId="2751" xr:uid="{00000000-0005-0000-0000-000012110000}"/>
    <cellStyle name="SAPBEXresItemX 2 3 3" xfId="4055" xr:uid="{00000000-0005-0000-0000-000013110000}"/>
    <cellStyle name="SAPBEXresItemX 2 3 4" xfId="5144" xr:uid="{00000000-0005-0000-0000-000014110000}"/>
    <cellStyle name="SAPBEXresItemX 2 4" xfId="1436" xr:uid="{00000000-0005-0000-0000-000015110000}"/>
    <cellStyle name="SAPBEXresItemX 2 4 2" xfId="2752" xr:uid="{00000000-0005-0000-0000-000016110000}"/>
    <cellStyle name="SAPBEXresItemX 2 4 3" xfId="4056" xr:uid="{00000000-0005-0000-0000-000017110000}"/>
    <cellStyle name="SAPBEXresItemX 2 4 4" xfId="5145" xr:uid="{00000000-0005-0000-0000-000018110000}"/>
    <cellStyle name="SAPBEXresItemX 2 5" xfId="1437" xr:uid="{00000000-0005-0000-0000-000019110000}"/>
    <cellStyle name="SAPBEXresItemX 2 5 2" xfId="2753" xr:uid="{00000000-0005-0000-0000-00001A110000}"/>
    <cellStyle name="SAPBEXresItemX 2 5 3" xfId="4057" xr:uid="{00000000-0005-0000-0000-00001B110000}"/>
    <cellStyle name="SAPBEXresItemX 2 5 4" xfId="5146" xr:uid="{00000000-0005-0000-0000-00001C110000}"/>
    <cellStyle name="SAPBEXresItemX 2 6" xfId="1438" xr:uid="{00000000-0005-0000-0000-00001D110000}"/>
    <cellStyle name="SAPBEXresItemX 2 6 2" xfId="2754" xr:uid="{00000000-0005-0000-0000-00001E110000}"/>
    <cellStyle name="SAPBEXresItemX 2 6 3" xfId="4058" xr:uid="{00000000-0005-0000-0000-00001F110000}"/>
    <cellStyle name="SAPBEXresItemX 2 6 4" xfId="5147" xr:uid="{00000000-0005-0000-0000-000020110000}"/>
    <cellStyle name="SAPBEXresItemX 2 7" xfId="1439" xr:uid="{00000000-0005-0000-0000-000021110000}"/>
    <cellStyle name="SAPBEXresItemX 2 7 2" xfId="2755" xr:uid="{00000000-0005-0000-0000-000022110000}"/>
    <cellStyle name="SAPBEXresItemX 2 7 3" xfId="4059" xr:uid="{00000000-0005-0000-0000-000023110000}"/>
    <cellStyle name="SAPBEXresItemX 2 7 4" xfId="5148" xr:uid="{00000000-0005-0000-0000-000024110000}"/>
    <cellStyle name="SAPBEXresItemX 2 8" xfId="1440" xr:uid="{00000000-0005-0000-0000-000025110000}"/>
    <cellStyle name="SAPBEXresItemX 2 8 2" xfId="2756" xr:uid="{00000000-0005-0000-0000-000026110000}"/>
    <cellStyle name="SAPBEXresItemX 2 8 3" xfId="4060" xr:uid="{00000000-0005-0000-0000-000027110000}"/>
    <cellStyle name="SAPBEXresItemX 2 8 4" xfId="5149" xr:uid="{00000000-0005-0000-0000-000028110000}"/>
    <cellStyle name="SAPBEXresItemX 2 9" xfId="1441" xr:uid="{00000000-0005-0000-0000-000029110000}"/>
    <cellStyle name="SAPBEXresItemX 2 9 2" xfId="2757" xr:uid="{00000000-0005-0000-0000-00002A110000}"/>
    <cellStyle name="SAPBEXresItemX 2 9 3" xfId="4061" xr:uid="{00000000-0005-0000-0000-00002B110000}"/>
    <cellStyle name="SAPBEXresItemX 2 9 4" xfId="5150" xr:uid="{00000000-0005-0000-0000-00002C110000}"/>
    <cellStyle name="SAPBEXresItemX 3" xfId="1442" xr:uid="{00000000-0005-0000-0000-00002D110000}"/>
    <cellStyle name="SAPBEXresItemX 3 2" xfId="2758" xr:uid="{00000000-0005-0000-0000-00002E110000}"/>
    <cellStyle name="SAPBEXresItemX 3 3" xfId="4062" xr:uid="{00000000-0005-0000-0000-00002F110000}"/>
    <cellStyle name="SAPBEXresItemX 3 4" xfId="5151" xr:uid="{00000000-0005-0000-0000-000030110000}"/>
    <cellStyle name="SAPBEXresItemX 4" xfId="1443" xr:uid="{00000000-0005-0000-0000-000031110000}"/>
    <cellStyle name="SAPBEXresItemX 4 2" xfId="2759" xr:uid="{00000000-0005-0000-0000-000032110000}"/>
    <cellStyle name="SAPBEXresItemX 4 3" xfId="4063" xr:uid="{00000000-0005-0000-0000-000033110000}"/>
    <cellStyle name="SAPBEXresItemX 4 4" xfId="5152" xr:uid="{00000000-0005-0000-0000-000034110000}"/>
    <cellStyle name="SAPBEXresItemX 5" xfId="1444" xr:uid="{00000000-0005-0000-0000-000035110000}"/>
    <cellStyle name="SAPBEXresItemX 5 2" xfId="2760" xr:uid="{00000000-0005-0000-0000-000036110000}"/>
    <cellStyle name="SAPBEXresItemX 5 3" xfId="4064" xr:uid="{00000000-0005-0000-0000-000037110000}"/>
    <cellStyle name="SAPBEXresItemX 5 4" xfId="5153" xr:uid="{00000000-0005-0000-0000-000038110000}"/>
    <cellStyle name="SAPBEXresItemX 6" xfId="1445" xr:uid="{00000000-0005-0000-0000-000039110000}"/>
    <cellStyle name="SAPBEXresItemX 6 2" xfId="2761" xr:uid="{00000000-0005-0000-0000-00003A110000}"/>
    <cellStyle name="SAPBEXresItemX 6 3" xfId="4065" xr:uid="{00000000-0005-0000-0000-00003B110000}"/>
    <cellStyle name="SAPBEXresItemX 6 4" xfId="5154" xr:uid="{00000000-0005-0000-0000-00003C110000}"/>
    <cellStyle name="SAPBEXresItemX 7" xfId="1446" xr:uid="{00000000-0005-0000-0000-00003D110000}"/>
    <cellStyle name="SAPBEXresItemX 7 2" xfId="2762" xr:uid="{00000000-0005-0000-0000-00003E110000}"/>
    <cellStyle name="SAPBEXresItemX 7 3" xfId="4066" xr:uid="{00000000-0005-0000-0000-00003F110000}"/>
    <cellStyle name="SAPBEXresItemX 7 4" xfId="5155" xr:uid="{00000000-0005-0000-0000-000040110000}"/>
    <cellStyle name="SAPBEXresItemX 8" xfId="1447" xr:uid="{00000000-0005-0000-0000-000041110000}"/>
    <cellStyle name="SAPBEXresItemX 8 2" xfId="2763" xr:uid="{00000000-0005-0000-0000-000042110000}"/>
    <cellStyle name="SAPBEXresItemX 8 3" xfId="4067" xr:uid="{00000000-0005-0000-0000-000043110000}"/>
    <cellStyle name="SAPBEXresItemX 8 4" xfId="5156" xr:uid="{00000000-0005-0000-0000-000044110000}"/>
    <cellStyle name="SAPBEXresItemX 9" xfId="1448" xr:uid="{00000000-0005-0000-0000-000045110000}"/>
    <cellStyle name="SAPBEXresItemX 9 2" xfId="2764" xr:uid="{00000000-0005-0000-0000-000046110000}"/>
    <cellStyle name="SAPBEXresItemX 9 3" xfId="4068" xr:uid="{00000000-0005-0000-0000-000047110000}"/>
    <cellStyle name="SAPBEXresItemX 9 4" xfId="5157" xr:uid="{00000000-0005-0000-0000-000048110000}"/>
    <cellStyle name="SAPBEXstdData" xfId="34" xr:uid="{00000000-0005-0000-0000-000049110000}"/>
    <cellStyle name="SAPBEXstdData 10" xfId="1450" xr:uid="{00000000-0005-0000-0000-00004A110000}"/>
    <cellStyle name="SAPBEXstdData 10 2" xfId="2766" xr:uid="{00000000-0005-0000-0000-00004B110000}"/>
    <cellStyle name="SAPBEXstdData 10 3" xfId="4070" xr:uid="{00000000-0005-0000-0000-00004C110000}"/>
    <cellStyle name="SAPBEXstdData 10 4" xfId="5159" xr:uid="{00000000-0005-0000-0000-00004D110000}"/>
    <cellStyle name="SAPBEXstdData 11" xfId="1451" xr:uid="{00000000-0005-0000-0000-00004E110000}"/>
    <cellStyle name="SAPBEXstdData 11 2" xfId="2767" xr:uid="{00000000-0005-0000-0000-00004F110000}"/>
    <cellStyle name="SAPBEXstdData 11 3" xfId="4071" xr:uid="{00000000-0005-0000-0000-000050110000}"/>
    <cellStyle name="SAPBEXstdData 11 4" xfId="5160" xr:uid="{00000000-0005-0000-0000-000051110000}"/>
    <cellStyle name="SAPBEXstdData 12" xfId="1452" xr:uid="{00000000-0005-0000-0000-000052110000}"/>
    <cellStyle name="SAPBEXstdData 12 2" xfId="2768" xr:uid="{00000000-0005-0000-0000-000053110000}"/>
    <cellStyle name="SAPBEXstdData 12 3" xfId="4072" xr:uid="{00000000-0005-0000-0000-000054110000}"/>
    <cellStyle name="SAPBEXstdData 12 4" xfId="5161" xr:uid="{00000000-0005-0000-0000-000055110000}"/>
    <cellStyle name="SAPBEXstdData 13" xfId="1453" xr:uid="{00000000-0005-0000-0000-000056110000}"/>
    <cellStyle name="SAPBEXstdData 13 2" xfId="2769" xr:uid="{00000000-0005-0000-0000-000057110000}"/>
    <cellStyle name="SAPBEXstdData 13 3" xfId="4073" xr:uid="{00000000-0005-0000-0000-000058110000}"/>
    <cellStyle name="SAPBEXstdData 13 4" xfId="5162" xr:uid="{00000000-0005-0000-0000-000059110000}"/>
    <cellStyle name="SAPBEXstdData 14" xfId="1454" xr:uid="{00000000-0005-0000-0000-00005A110000}"/>
    <cellStyle name="SAPBEXstdData 14 2" xfId="2770" xr:uid="{00000000-0005-0000-0000-00005B110000}"/>
    <cellStyle name="SAPBEXstdData 14 3" xfId="4074" xr:uid="{00000000-0005-0000-0000-00005C110000}"/>
    <cellStyle name="SAPBEXstdData 14 4" xfId="5163" xr:uid="{00000000-0005-0000-0000-00005D110000}"/>
    <cellStyle name="SAPBEXstdData 15" xfId="2765" xr:uid="{00000000-0005-0000-0000-00005E110000}"/>
    <cellStyle name="SAPBEXstdData 16" xfId="4069" xr:uid="{00000000-0005-0000-0000-00005F110000}"/>
    <cellStyle name="SAPBEXstdData 17" xfId="5158" xr:uid="{00000000-0005-0000-0000-000060110000}"/>
    <cellStyle name="SAPBEXstdData 2" xfId="1449" xr:uid="{00000000-0005-0000-0000-000061110000}"/>
    <cellStyle name="SAPBEXstdData 2 10" xfId="1455" xr:uid="{00000000-0005-0000-0000-000062110000}"/>
    <cellStyle name="SAPBEXstdData 2 10 2" xfId="2772" xr:uid="{00000000-0005-0000-0000-000063110000}"/>
    <cellStyle name="SAPBEXstdData 2 10 3" xfId="4076" xr:uid="{00000000-0005-0000-0000-000064110000}"/>
    <cellStyle name="SAPBEXstdData 2 10 4" xfId="5165" xr:uid="{00000000-0005-0000-0000-000065110000}"/>
    <cellStyle name="SAPBEXstdData 2 11" xfId="1456" xr:uid="{00000000-0005-0000-0000-000066110000}"/>
    <cellStyle name="SAPBEXstdData 2 11 2" xfId="2773" xr:uid="{00000000-0005-0000-0000-000067110000}"/>
    <cellStyle name="SAPBEXstdData 2 11 3" xfId="4077" xr:uid="{00000000-0005-0000-0000-000068110000}"/>
    <cellStyle name="SAPBEXstdData 2 11 4" xfId="5166" xr:uid="{00000000-0005-0000-0000-000069110000}"/>
    <cellStyle name="SAPBEXstdData 2 12" xfId="1457" xr:uid="{00000000-0005-0000-0000-00006A110000}"/>
    <cellStyle name="SAPBEXstdData 2 12 2" xfId="2774" xr:uid="{00000000-0005-0000-0000-00006B110000}"/>
    <cellStyle name="SAPBEXstdData 2 12 3" xfId="4078" xr:uid="{00000000-0005-0000-0000-00006C110000}"/>
    <cellStyle name="SAPBEXstdData 2 12 4" xfId="5167" xr:uid="{00000000-0005-0000-0000-00006D110000}"/>
    <cellStyle name="SAPBEXstdData 2 13" xfId="1458" xr:uid="{00000000-0005-0000-0000-00006E110000}"/>
    <cellStyle name="SAPBEXstdData 2 13 2" xfId="2775" xr:uid="{00000000-0005-0000-0000-00006F110000}"/>
    <cellStyle name="SAPBEXstdData 2 13 3" xfId="4079" xr:uid="{00000000-0005-0000-0000-000070110000}"/>
    <cellStyle name="SAPBEXstdData 2 13 4" xfId="5168" xr:uid="{00000000-0005-0000-0000-000071110000}"/>
    <cellStyle name="SAPBEXstdData 2 14" xfId="2771" xr:uid="{00000000-0005-0000-0000-000072110000}"/>
    <cellStyle name="SAPBEXstdData 2 15" xfId="4075" xr:uid="{00000000-0005-0000-0000-000073110000}"/>
    <cellStyle name="SAPBEXstdData 2 16" xfId="5164" xr:uid="{00000000-0005-0000-0000-000074110000}"/>
    <cellStyle name="SAPBEXstdData 2 2" xfId="1459" xr:uid="{00000000-0005-0000-0000-000075110000}"/>
    <cellStyle name="SAPBEXstdData 2 2 2" xfId="2776" xr:uid="{00000000-0005-0000-0000-000076110000}"/>
    <cellStyle name="SAPBEXstdData 2 2 3" xfId="4080" xr:uid="{00000000-0005-0000-0000-000077110000}"/>
    <cellStyle name="SAPBEXstdData 2 2 4" xfId="5169" xr:uid="{00000000-0005-0000-0000-000078110000}"/>
    <cellStyle name="SAPBEXstdData 2 3" xfId="1460" xr:uid="{00000000-0005-0000-0000-000079110000}"/>
    <cellStyle name="SAPBEXstdData 2 3 2" xfId="2777" xr:uid="{00000000-0005-0000-0000-00007A110000}"/>
    <cellStyle name="SAPBEXstdData 2 3 3" xfId="4081" xr:uid="{00000000-0005-0000-0000-00007B110000}"/>
    <cellStyle name="SAPBEXstdData 2 3 4" xfId="5170" xr:uid="{00000000-0005-0000-0000-00007C110000}"/>
    <cellStyle name="SAPBEXstdData 2 4" xfId="1461" xr:uid="{00000000-0005-0000-0000-00007D110000}"/>
    <cellStyle name="SAPBEXstdData 2 4 2" xfId="2778" xr:uid="{00000000-0005-0000-0000-00007E110000}"/>
    <cellStyle name="SAPBEXstdData 2 4 3" xfId="4082" xr:uid="{00000000-0005-0000-0000-00007F110000}"/>
    <cellStyle name="SAPBEXstdData 2 4 4" xfId="5171" xr:uid="{00000000-0005-0000-0000-000080110000}"/>
    <cellStyle name="SAPBEXstdData 2 5" xfId="1462" xr:uid="{00000000-0005-0000-0000-000081110000}"/>
    <cellStyle name="SAPBEXstdData 2 5 2" xfId="2779" xr:uid="{00000000-0005-0000-0000-000082110000}"/>
    <cellStyle name="SAPBEXstdData 2 5 3" xfId="4083" xr:uid="{00000000-0005-0000-0000-000083110000}"/>
    <cellStyle name="SAPBEXstdData 2 5 4" xfId="5172" xr:uid="{00000000-0005-0000-0000-000084110000}"/>
    <cellStyle name="SAPBEXstdData 2 6" xfId="1463" xr:uid="{00000000-0005-0000-0000-000085110000}"/>
    <cellStyle name="SAPBEXstdData 2 6 2" xfId="2780" xr:uid="{00000000-0005-0000-0000-000086110000}"/>
    <cellStyle name="SAPBEXstdData 2 6 3" xfId="4084" xr:uid="{00000000-0005-0000-0000-000087110000}"/>
    <cellStyle name="SAPBEXstdData 2 6 4" xfId="5173" xr:uid="{00000000-0005-0000-0000-000088110000}"/>
    <cellStyle name="SAPBEXstdData 2 7" xfId="1464" xr:uid="{00000000-0005-0000-0000-000089110000}"/>
    <cellStyle name="SAPBEXstdData 2 7 2" xfId="2781" xr:uid="{00000000-0005-0000-0000-00008A110000}"/>
    <cellStyle name="SAPBEXstdData 2 7 3" xfId="4085" xr:uid="{00000000-0005-0000-0000-00008B110000}"/>
    <cellStyle name="SAPBEXstdData 2 7 4" xfId="5174" xr:uid="{00000000-0005-0000-0000-00008C110000}"/>
    <cellStyle name="SAPBEXstdData 2 8" xfId="1465" xr:uid="{00000000-0005-0000-0000-00008D110000}"/>
    <cellStyle name="SAPBEXstdData 2 8 2" xfId="2782" xr:uid="{00000000-0005-0000-0000-00008E110000}"/>
    <cellStyle name="SAPBEXstdData 2 8 3" xfId="4086" xr:uid="{00000000-0005-0000-0000-00008F110000}"/>
    <cellStyle name="SAPBEXstdData 2 8 4" xfId="5175" xr:uid="{00000000-0005-0000-0000-000090110000}"/>
    <cellStyle name="SAPBEXstdData 2 9" xfId="1466" xr:uid="{00000000-0005-0000-0000-000091110000}"/>
    <cellStyle name="SAPBEXstdData 2 9 2" xfId="2783" xr:uid="{00000000-0005-0000-0000-000092110000}"/>
    <cellStyle name="SAPBEXstdData 2 9 3" xfId="4087" xr:uid="{00000000-0005-0000-0000-000093110000}"/>
    <cellStyle name="SAPBEXstdData 2 9 4" xfId="5176" xr:uid="{00000000-0005-0000-0000-000094110000}"/>
    <cellStyle name="SAPBEXstdData 3" xfId="1467" xr:uid="{00000000-0005-0000-0000-000095110000}"/>
    <cellStyle name="SAPBEXstdData 3 2" xfId="2784" xr:uid="{00000000-0005-0000-0000-000096110000}"/>
    <cellStyle name="SAPBEXstdData 3 3" xfId="4088" xr:uid="{00000000-0005-0000-0000-000097110000}"/>
    <cellStyle name="SAPBEXstdData 3 4" xfId="5177" xr:uid="{00000000-0005-0000-0000-000098110000}"/>
    <cellStyle name="SAPBEXstdData 4" xfId="1468" xr:uid="{00000000-0005-0000-0000-000099110000}"/>
    <cellStyle name="SAPBEXstdData 4 2" xfId="2785" xr:uid="{00000000-0005-0000-0000-00009A110000}"/>
    <cellStyle name="SAPBEXstdData 4 3" xfId="4089" xr:uid="{00000000-0005-0000-0000-00009B110000}"/>
    <cellStyle name="SAPBEXstdData 4 4" xfId="5178" xr:uid="{00000000-0005-0000-0000-00009C110000}"/>
    <cellStyle name="SAPBEXstdData 5" xfId="1469" xr:uid="{00000000-0005-0000-0000-00009D110000}"/>
    <cellStyle name="SAPBEXstdData 5 2" xfId="2786" xr:uid="{00000000-0005-0000-0000-00009E110000}"/>
    <cellStyle name="SAPBEXstdData 5 3" xfId="4090" xr:uid="{00000000-0005-0000-0000-00009F110000}"/>
    <cellStyle name="SAPBEXstdData 5 4" xfId="5179" xr:uid="{00000000-0005-0000-0000-0000A0110000}"/>
    <cellStyle name="SAPBEXstdData 6" xfId="1470" xr:uid="{00000000-0005-0000-0000-0000A1110000}"/>
    <cellStyle name="SAPBEXstdData 6 2" xfId="2787" xr:uid="{00000000-0005-0000-0000-0000A2110000}"/>
    <cellStyle name="SAPBEXstdData 6 3" xfId="4091" xr:uid="{00000000-0005-0000-0000-0000A3110000}"/>
    <cellStyle name="SAPBEXstdData 6 4" xfId="5180" xr:uid="{00000000-0005-0000-0000-0000A4110000}"/>
    <cellStyle name="SAPBEXstdData 7" xfId="1471" xr:uid="{00000000-0005-0000-0000-0000A5110000}"/>
    <cellStyle name="SAPBEXstdData 7 2" xfId="2788" xr:uid="{00000000-0005-0000-0000-0000A6110000}"/>
    <cellStyle name="SAPBEXstdData 7 3" xfId="4092" xr:uid="{00000000-0005-0000-0000-0000A7110000}"/>
    <cellStyle name="SAPBEXstdData 7 4" xfId="5181" xr:uid="{00000000-0005-0000-0000-0000A8110000}"/>
    <cellStyle name="SAPBEXstdData 8" xfId="1472" xr:uid="{00000000-0005-0000-0000-0000A9110000}"/>
    <cellStyle name="SAPBEXstdData 8 2" xfId="2789" xr:uid="{00000000-0005-0000-0000-0000AA110000}"/>
    <cellStyle name="SAPBEXstdData 8 3" xfId="4093" xr:uid="{00000000-0005-0000-0000-0000AB110000}"/>
    <cellStyle name="SAPBEXstdData 8 4" xfId="5182" xr:uid="{00000000-0005-0000-0000-0000AC110000}"/>
    <cellStyle name="SAPBEXstdData 9" xfId="1473" xr:uid="{00000000-0005-0000-0000-0000AD110000}"/>
    <cellStyle name="SAPBEXstdData 9 2" xfId="2790" xr:uid="{00000000-0005-0000-0000-0000AE110000}"/>
    <cellStyle name="SAPBEXstdData 9 3" xfId="4094" xr:uid="{00000000-0005-0000-0000-0000AF110000}"/>
    <cellStyle name="SAPBEXstdData 9 4" xfId="5183" xr:uid="{00000000-0005-0000-0000-0000B0110000}"/>
    <cellStyle name="SAPBEXstdDataEmph" xfId="35" xr:uid="{00000000-0005-0000-0000-0000B1110000}"/>
    <cellStyle name="SAPBEXstdDataEmph 10" xfId="1475" xr:uid="{00000000-0005-0000-0000-0000B2110000}"/>
    <cellStyle name="SAPBEXstdDataEmph 10 2" xfId="2792" xr:uid="{00000000-0005-0000-0000-0000B3110000}"/>
    <cellStyle name="SAPBEXstdDataEmph 10 3" xfId="4096" xr:uid="{00000000-0005-0000-0000-0000B4110000}"/>
    <cellStyle name="SAPBEXstdDataEmph 10 4" xfId="5185" xr:uid="{00000000-0005-0000-0000-0000B5110000}"/>
    <cellStyle name="SAPBEXstdDataEmph 11" xfId="1476" xr:uid="{00000000-0005-0000-0000-0000B6110000}"/>
    <cellStyle name="SAPBEXstdDataEmph 11 2" xfId="2793" xr:uid="{00000000-0005-0000-0000-0000B7110000}"/>
    <cellStyle name="SAPBEXstdDataEmph 11 3" xfId="4097" xr:uid="{00000000-0005-0000-0000-0000B8110000}"/>
    <cellStyle name="SAPBEXstdDataEmph 11 4" xfId="5186" xr:uid="{00000000-0005-0000-0000-0000B9110000}"/>
    <cellStyle name="SAPBEXstdDataEmph 12" xfId="1477" xr:uid="{00000000-0005-0000-0000-0000BA110000}"/>
    <cellStyle name="SAPBEXstdDataEmph 12 2" xfId="2794" xr:uid="{00000000-0005-0000-0000-0000BB110000}"/>
    <cellStyle name="SAPBEXstdDataEmph 12 3" xfId="4098" xr:uid="{00000000-0005-0000-0000-0000BC110000}"/>
    <cellStyle name="SAPBEXstdDataEmph 12 4" xfId="5187" xr:uid="{00000000-0005-0000-0000-0000BD110000}"/>
    <cellStyle name="SAPBEXstdDataEmph 13" xfId="1478" xr:uid="{00000000-0005-0000-0000-0000BE110000}"/>
    <cellStyle name="SAPBEXstdDataEmph 13 2" xfId="2795" xr:uid="{00000000-0005-0000-0000-0000BF110000}"/>
    <cellStyle name="SAPBEXstdDataEmph 13 3" xfId="4099" xr:uid="{00000000-0005-0000-0000-0000C0110000}"/>
    <cellStyle name="SAPBEXstdDataEmph 13 4" xfId="5188" xr:uid="{00000000-0005-0000-0000-0000C1110000}"/>
    <cellStyle name="SAPBEXstdDataEmph 14" xfId="1479" xr:uid="{00000000-0005-0000-0000-0000C2110000}"/>
    <cellStyle name="SAPBEXstdDataEmph 14 2" xfId="2796" xr:uid="{00000000-0005-0000-0000-0000C3110000}"/>
    <cellStyle name="SAPBEXstdDataEmph 14 3" xfId="4100" xr:uid="{00000000-0005-0000-0000-0000C4110000}"/>
    <cellStyle name="SAPBEXstdDataEmph 14 4" xfId="5189" xr:uid="{00000000-0005-0000-0000-0000C5110000}"/>
    <cellStyle name="SAPBEXstdDataEmph 15" xfId="2791" xr:uid="{00000000-0005-0000-0000-0000C6110000}"/>
    <cellStyle name="SAPBEXstdDataEmph 16" xfId="4095" xr:uid="{00000000-0005-0000-0000-0000C7110000}"/>
    <cellStyle name="SAPBEXstdDataEmph 17" xfId="5184" xr:uid="{00000000-0005-0000-0000-0000C8110000}"/>
    <cellStyle name="SAPBEXstdDataEmph 2" xfId="1474" xr:uid="{00000000-0005-0000-0000-0000C9110000}"/>
    <cellStyle name="SAPBEXstdDataEmph 2 10" xfId="1480" xr:uid="{00000000-0005-0000-0000-0000CA110000}"/>
    <cellStyle name="SAPBEXstdDataEmph 2 10 2" xfId="2798" xr:uid="{00000000-0005-0000-0000-0000CB110000}"/>
    <cellStyle name="SAPBEXstdDataEmph 2 10 3" xfId="4102" xr:uid="{00000000-0005-0000-0000-0000CC110000}"/>
    <cellStyle name="SAPBEXstdDataEmph 2 10 4" xfId="5191" xr:uid="{00000000-0005-0000-0000-0000CD110000}"/>
    <cellStyle name="SAPBEXstdDataEmph 2 11" xfId="1481" xr:uid="{00000000-0005-0000-0000-0000CE110000}"/>
    <cellStyle name="SAPBEXstdDataEmph 2 11 2" xfId="2799" xr:uid="{00000000-0005-0000-0000-0000CF110000}"/>
    <cellStyle name="SAPBEXstdDataEmph 2 11 3" xfId="4103" xr:uid="{00000000-0005-0000-0000-0000D0110000}"/>
    <cellStyle name="SAPBEXstdDataEmph 2 11 4" xfId="5192" xr:uid="{00000000-0005-0000-0000-0000D1110000}"/>
    <cellStyle name="SAPBEXstdDataEmph 2 12" xfId="1482" xr:uid="{00000000-0005-0000-0000-0000D2110000}"/>
    <cellStyle name="SAPBEXstdDataEmph 2 12 2" xfId="2800" xr:uid="{00000000-0005-0000-0000-0000D3110000}"/>
    <cellStyle name="SAPBEXstdDataEmph 2 12 3" xfId="4104" xr:uid="{00000000-0005-0000-0000-0000D4110000}"/>
    <cellStyle name="SAPBEXstdDataEmph 2 12 4" xfId="5193" xr:uid="{00000000-0005-0000-0000-0000D5110000}"/>
    <cellStyle name="SAPBEXstdDataEmph 2 13" xfId="1483" xr:uid="{00000000-0005-0000-0000-0000D6110000}"/>
    <cellStyle name="SAPBEXstdDataEmph 2 13 2" xfId="2801" xr:uid="{00000000-0005-0000-0000-0000D7110000}"/>
    <cellStyle name="SAPBEXstdDataEmph 2 13 3" xfId="4105" xr:uid="{00000000-0005-0000-0000-0000D8110000}"/>
    <cellStyle name="SAPBEXstdDataEmph 2 13 4" xfId="5194" xr:uid="{00000000-0005-0000-0000-0000D9110000}"/>
    <cellStyle name="SAPBEXstdDataEmph 2 14" xfId="2797" xr:uid="{00000000-0005-0000-0000-0000DA110000}"/>
    <cellStyle name="SAPBEXstdDataEmph 2 15" xfId="4101" xr:uid="{00000000-0005-0000-0000-0000DB110000}"/>
    <cellStyle name="SAPBEXstdDataEmph 2 16" xfId="5190" xr:uid="{00000000-0005-0000-0000-0000DC110000}"/>
    <cellStyle name="SAPBEXstdDataEmph 2 2" xfId="1484" xr:uid="{00000000-0005-0000-0000-0000DD110000}"/>
    <cellStyle name="SAPBEXstdDataEmph 2 2 2" xfId="2802" xr:uid="{00000000-0005-0000-0000-0000DE110000}"/>
    <cellStyle name="SAPBEXstdDataEmph 2 2 3" xfId="4106" xr:uid="{00000000-0005-0000-0000-0000DF110000}"/>
    <cellStyle name="SAPBEXstdDataEmph 2 2 4" xfId="5195" xr:uid="{00000000-0005-0000-0000-0000E0110000}"/>
    <cellStyle name="SAPBEXstdDataEmph 2 3" xfId="1485" xr:uid="{00000000-0005-0000-0000-0000E1110000}"/>
    <cellStyle name="SAPBEXstdDataEmph 2 3 2" xfId="2803" xr:uid="{00000000-0005-0000-0000-0000E2110000}"/>
    <cellStyle name="SAPBEXstdDataEmph 2 3 3" xfId="4107" xr:uid="{00000000-0005-0000-0000-0000E3110000}"/>
    <cellStyle name="SAPBEXstdDataEmph 2 3 4" xfId="5196" xr:uid="{00000000-0005-0000-0000-0000E4110000}"/>
    <cellStyle name="SAPBEXstdDataEmph 2 4" xfId="1486" xr:uid="{00000000-0005-0000-0000-0000E5110000}"/>
    <cellStyle name="SAPBEXstdDataEmph 2 4 2" xfId="2804" xr:uid="{00000000-0005-0000-0000-0000E6110000}"/>
    <cellStyle name="SAPBEXstdDataEmph 2 4 3" xfId="4108" xr:uid="{00000000-0005-0000-0000-0000E7110000}"/>
    <cellStyle name="SAPBEXstdDataEmph 2 4 4" xfId="5197" xr:uid="{00000000-0005-0000-0000-0000E8110000}"/>
    <cellStyle name="SAPBEXstdDataEmph 2 5" xfId="1487" xr:uid="{00000000-0005-0000-0000-0000E9110000}"/>
    <cellStyle name="SAPBEXstdDataEmph 2 5 2" xfId="2805" xr:uid="{00000000-0005-0000-0000-0000EA110000}"/>
    <cellStyle name="SAPBEXstdDataEmph 2 5 3" xfId="4109" xr:uid="{00000000-0005-0000-0000-0000EB110000}"/>
    <cellStyle name="SAPBEXstdDataEmph 2 5 4" xfId="5198" xr:uid="{00000000-0005-0000-0000-0000EC110000}"/>
    <cellStyle name="SAPBEXstdDataEmph 2 6" xfId="1488" xr:uid="{00000000-0005-0000-0000-0000ED110000}"/>
    <cellStyle name="SAPBEXstdDataEmph 2 6 2" xfId="2806" xr:uid="{00000000-0005-0000-0000-0000EE110000}"/>
    <cellStyle name="SAPBEXstdDataEmph 2 6 3" xfId="4110" xr:uid="{00000000-0005-0000-0000-0000EF110000}"/>
    <cellStyle name="SAPBEXstdDataEmph 2 6 4" xfId="5199" xr:uid="{00000000-0005-0000-0000-0000F0110000}"/>
    <cellStyle name="SAPBEXstdDataEmph 2 7" xfId="1489" xr:uid="{00000000-0005-0000-0000-0000F1110000}"/>
    <cellStyle name="SAPBEXstdDataEmph 2 7 2" xfId="2807" xr:uid="{00000000-0005-0000-0000-0000F2110000}"/>
    <cellStyle name="SAPBEXstdDataEmph 2 7 3" xfId="4111" xr:uid="{00000000-0005-0000-0000-0000F3110000}"/>
    <cellStyle name="SAPBEXstdDataEmph 2 7 4" xfId="5200" xr:uid="{00000000-0005-0000-0000-0000F4110000}"/>
    <cellStyle name="SAPBEXstdDataEmph 2 8" xfId="1490" xr:uid="{00000000-0005-0000-0000-0000F5110000}"/>
    <cellStyle name="SAPBEXstdDataEmph 2 8 2" xfId="2808" xr:uid="{00000000-0005-0000-0000-0000F6110000}"/>
    <cellStyle name="SAPBEXstdDataEmph 2 8 3" xfId="4112" xr:uid="{00000000-0005-0000-0000-0000F7110000}"/>
    <cellStyle name="SAPBEXstdDataEmph 2 8 4" xfId="5201" xr:uid="{00000000-0005-0000-0000-0000F8110000}"/>
    <cellStyle name="SAPBEXstdDataEmph 2 9" xfId="1491" xr:uid="{00000000-0005-0000-0000-0000F9110000}"/>
    <cellStyle name="SAPBEXstdDataEmph 2 9 2" xfId="2809" xr:uid="{00000000-0005-0000-0000-0000FA110000}"/>
    <cellStyle name="SAPBEXstdDataEmph 2 9 3" xfId="4113" xr:uid="{00000000-0005-0000-0000-0000FB110000}"/>
    <cellStyle name="SAPBEXstdDataEmph 2 9 4" xfId="5202" xr:uid="{00000000-0005-0000-0000-0000FC110000}"/>
    <cellStyle name="SAPBEXstdDataEmph 3" xfId="1492" xr:uid="{00000000-0005-0000-0000-0000FD110000}"/>
    <cellStyle name="SAPBEXstdDataEmph 3 2" xfId="2810" xr:uid="{00000000-0005-0000-0000-0000FE110000}"/>
    <cellStyle name="SAPBEXstdDataEmph 3 3" xfId="4114" xr:uid="{00000000-0005-0000-0000-0000FF110000}"/>
    <cellStyle name="SAPBEXstdDataEmph 3 4" xfId="5203" xr:uid="{00000000-0005-0000-0000-000000120000}"/>
    <cellStyle name="SAPBEXstdDataEmph 4" xfId="1493" xr:uid="{00000000-0005-0000-0000-000001120000}"/>
    <cellStyle name="SAPBEXstdDataEmph 4 2" xfId="2811" xr:uid="{00000000-0005-0000-0000-000002120000}"/>
    <cellStyle name="SAPBEXstdDataEmph 4 3" xfId="4115" xr:uid="{00000000-0005-0000-0000-000003120000}"/>
    <cellStyle name="SAPBEXstdDataEmph 4 4" xfId="5204" xr:uid="{00000000-0005-0000-0000-000004120000}"/>
    <cellStyle name="SAPBEXstdDataEmph 5" xfId="1494" xr:uid="{00000000-0005-0000-0000-000005120000}"/>
    <cellStyle name="SAPBEXstdDataEmph 5 2" xfId="2812" xr:uid="{00000000-0005-0000-0000-000006120000}"/>
    <cellStyle name="SAPBEXstdDataEmph 5 3" xfId="4116" xr:uid="{00000000-0005-0000-0000-000007120000}"/>
    <cellStyle name="SAPBEXstdDataEmph 5 4" xfId="5205" xr:uid="{00000000-0005-0000-0000-000008120000}"/>
    <cellStyle name="SAPBEXstdDataEmph 6" xfId="1495" xr:uid="{00000000-0005-0000-0000-000009120000}"/>
    <cellStyle name="SAPBEXstdDataEmph 6 2" xfId="2813" xr:uid="{00000000-0005-0000-0000-00000A120000}"/>
    <cellStyle name="SAPBEXstdDataEmph 6 3" xfId="4117" xr:uid="{00000000-0005-0000-0000-00000B120000}"/>
    <cellStyle name="SAPBEXstdDataEmph 6 4" xfId="5206" xr:uid="{00000000-0005-0000-0000-00000C120000}"/>
    <cellStyle name="SAPBEXstdDataEmph 7" xfId="1496" xr:uid="{00000000-0005-0000-0000-00000D120000}"/>
    <cellStyle name="SAPBEXstdDataEmph 7 2" xfId="2814" xr:uid="{00000000-0005-0000-0000-00000E120000}"/>
    <cellStyle name="SAPBEXstdDataEmph 7 3" xfId="4118" xr:uid="{00000000-0005-0000-0000-00000F120000}"/>
    <cellStyle name="SAPBEXstdDataEmph 7 4" xfId="5207" xr:uid="{00000000-0005-0000-0000-000010120000}"/>
    <cellStyle name="SAPBEXstdDataEmph 8" xfId="1497" xr:uid="{00000000-0005-0000-0000-000011120000}"/>
    <cellStyle name="SAPBEXstdDataEmph 8 2" xfId="2815" xr:uid="{00000000-0005-0000-0000-000012120000}"/>
    <cellStyle name="SAPBEXstdDataEmph 8 3" xfId="4119" xr:uid="{00000000-0005-0000-0000-000013120000}"/>
    <cellStyle name="SAPBEXstdDataEmph 8 4" xfId="5208" xr:uid="{00000000-0005-0000-0000-000014120000}"/>
    <cellStyle name="SAPBEXstdDataEmph 9" xfId="1498" xr:uid="{00000000-0005-0000-0000-000015120000}"/>
    <cellStyle name="SAPBEXstdDataEmph 9 2" xfId="2816" xr:uid="{00000000-0005-0000-0000-000016120000}"/>
    <cellStyle name="SAPBEXstdDataEmph 9 3" xfId="4120" xr:uid="{00000000-0005-0000-0000-000017120000}"/>
    <cellStyle name="SAPBEXstdDataEmph 9 4" xfId="5209" xr:uid="{00000000-0005-0000-0000-000018120000}"/>
    <cellStyle name="SAPBEXstdItem" xfId="36" xr:uid="{00000000-0005-0000-0000-000019120000}"/>
    <cellStyle name="SAPBEXstdItem 10" xfId="1500" xr:uid="{00000000-0005-0000-0000-00001A120000}"/>
    <cellStyle name="SAPBEXstdItem 10 2" xfId="2818" xr:uid="{00000000-0005-0000-0000-00001B120000}"/>
    <cellStyle name="SAPBEXstdItem 10 3" xfId="4122" xr:uid="{00000000-0005-0000-0000-00001C120000}"/>
    <cellStyle name="SAPBEXstdItem 10 4" xfId="5211" xr:uid="{00000000-0005-0000-0000-00001D120000}"/>
    <cellStyle name="SAPBEXstdItem 11" xfId="1501" xr:uid="{00000000-0005-0000-0000-00001E120000}"/>
    <cellStyle name="SAPBEXstdItem 11 2" xfId="2819" xr:uid="{00000000-0005-0000-0000-00001F120000}"/>
    <cellStyle name="SAPBEXstdItem 11 3" xfId="4123" xr:uid="{00000000-0005-0000-0000-000020120000}"/>
    <cellStyle name="SAPBEXstdItem 11 4" xfId="5212" xr:uid="{00000000-0005-0000-0000-000021120000}"/>
    <cellStyle name="SAPBEXstdItem 12" xfId="1502" xr:uid="{00000000-0005-0000-0000-000022120000}"/>
    <cellStyle name="SAPBEXstdItem 12 2" xfId="2820" xr:uid="{00000000-0005-0000-0000-000023120000}"/>
    <cellStyle name="SAPBEXstdItem 12 3" xfId="4124" xr:uid="{00000000-0005-0000-0000-000024120000}"/>
    <cellStyle name="SAPBEXstdItem 12 4" xfId="5213" xr:uid="{00000000-0005-0000-0000-000025120000}"/>
    <cellStyle name="SAPBEXstdItem 13" xfId="1503" xr:uid="{00000000-0005-0000-0000-000026120000}"/>
    <cellStyle name="SAPBEXstdItem 13 2" xfId="2821" xr:uid="{00000000-0005-0000-0000-000027120000}"/>
    <cellStyle name="SAPBEXstdItem 13 3" xfId="4125" xr:uid="{00000000-0005-0000-0000-000028120000}"/>
    <cellStyle name="SAPBEXstdItem 13 4" xfId="5214" xr:uid="{00000000-0005-0000-0000-000029120000}"/>
    <cellStyle name="SAPBEXstdItem 14" xfId="1504" xr:uid="{00000000-0005-0000-0000-00002A120000}"/>
    <cellStyle name="SAPBEXstdItem 14 2" xfId="2822" xr:uid="{00000000-0005-0000-0000-00002B120000}"/>
    <cellStyle name="SAPBEXstdItem 14 3" xfId="4126" xr:uid="{00000000-0005-0000-0000-00002C120000}"/>
    <cellStyle name="SAPBEXstdItem 14 4" xfId="5215" xr:uid="{00000000-0005-0000-0000-00002D120000}"/>
    <cellStyle name="SAPBEXstdItem 15" xfId="2817" xr:uid="{00000000-0005-0000-0000-00002E120000}"/>
    <cellStyle name="SAPBEXstdItem 16" xfId="4121" xr:uid="{00000000-0005-0000-0000-00002F120000}"/>
    <cellStyle name="SAPBEXstdItem 17" xfId="5210" xr:uid="{00000000-0005-0000-0000-000030120000}"/>
    <cellStyle name="SAPBEXstdItem 2" xfId="1499" xr:uid="{00000000-0005-0000-0000-000031120000}"/>
    <cellStyle name="SAPBEXstdItem 2 10" xfId="1505" xr:uid="{00000000-0005-0000-0000-000032120000}"/>
    <cellStyle name="SAPBEXstdItem 2 10 2" xfId="2824" xr:uid="{00000000-0005-0000-0000-000033120000}"/>
    <cellStyle name="SAPBEXstdItem 2 10 3" xfId="4128" xr:uid="{00000000-0005-0000-0000-000034120000}"/>
    <cellStyle name="SAPBEXstdItem 2 10 4" xfId="5217" xr:uid="{00000000-0005-0000-0000-000035120000}"/>
    <cellStyle name="SAPBEXstdItem 2 11" xfId="1506" xr:uid="{00000000-0005-0000-0000-000036120000}"/>
    <cellStyle name="SAPBEXstdItem 2 11 2" xfId="2825" xr:uid="{00000000-0005-0000-0000-000037120000}"/>
    <cellStyle name="SAPBEXstdItem 2 11 3" xfId="4129" xr:uid="{00000000-0005-0000-0000-000038120000}"/>
    <cellStyle name="SAPBEXstdItem 2 11 4" xfId="5218" xr:uid="{00000000-0005-0000-0000-000039120000}"/>
    <cellStyle name="SAPBEXstdItem 2 12" xfId="1507" xr:uid="{00000000-0005-0000-0000-00003A120000}"/>
    <cellStyle name="SAPBEXstdItem 2 12 2" xfId="2826" xr:uid="{00000000-0005-0000-0000-00003B120000}"/>
    <cellStyle name="SAPBEXstdItem 2 12 3" xfId="4130" xr:uid="{00000000-0005-0000-0000-00003C120000}"/>
    <cellStyle name="SAPBEXstdItem 2 12 4" xfId="5219" xr:uid="{00000000-0005-0000-0000-00003D120000}"/>
    <cellStyle name="SAPBEXstdItem 2 13" xfId="1508" xr:uid="{00000000-0005-0000-0000-00003E120000}"/>
    <cellStyle name="SAPBEXstdItem 2 13 2" xfId="2827" xr:uid="{00000000-0005-0000-0000-00003F120000}"/>
    <cellStyle name="SAPBEXstdItem 2 13 3" xfId="4131" xr:uid="{00000000-0005-0000-0000-000040120000}"/>
    <cellStyle name="SAPBEXstdItem 2 13 4" xfId="5220" xr:uid="{00000000-0005-0000-0000-000041120000}"/>
    <cellStyle name="SAPBEXstdItem 2 14" xfId="2823" xr:uid="{00000000-0005-0000-0000-000042120000}"/>
    <cellStyle name="SAPBEXstdItem 2 15" xfId="4127" xr:uid="{00000000-0005-0000-0000-000043120000}"/>
    <cellStyle name="SAPBEXstdItem 2 16" xfId="5216" xr:uid="{00000000-0005-0000-0000-000044120000}"/>
    <cellStyle name="SAPBEXstdItem 2 2" xfId="1509" xr:uid="{00000000-0005-0000-0000-000045120000}"/>
    <cellStyle name="SAPBEXstdItem 2 2 2" xfId="2828" xr:uid="{00000000-0005-0000-0000-000046120000}"/>
    <cellStyle name="SAPBEXstdItem 2 2 3" xfId="4132" xr:uid="{00000000-0005-0000-0000-000047120000}"/>
    <cellStyle name="SAPBEXstdItem 2 2 4" xfId="5221" xr:uid="{00000000-0005-0000-0000-000048120000}"/>
    <cellStyle name="SAPBEXstdItem 2 3" xfId="1510" xr:uid="{00000000-0005-0000-0000-000049120000}"/>
    <cellStyle name="SAPBEXstdItem 2 3 2" xfId="2829" xr:uid="{00000000-0005-0000-0000-00004A120000}"/>
    <cellStyle name="SAPBEXstdItem 2 3 3" xfId="4133" xr:uid="{00000000-0005-0000-0000-00004B120000}"/>
    <cellStyle name="SAPBEXstdItem 2 3 4" xfId="5222" xr:uid="{00000000-0005-0000-0000-00004C120000}"/>
    <cellStyle name="SAPBEXstdItem 2 4" xfId="1511" xr:uid="{00000000-0005-0000-0000-00004D120000}"/>
    <cellStyle name="SAPBEXstdItem 2 4 2" xfId="2830" xr:uid="{00000000-0005-0000-0000-00004E120000}"/>
    <cellStyle name="SAPBEXstdItem 2 4 3" xfId="4134" xr:uid="{00000000-0005-0000-0000-00004F120000}"/>
    <cellStyle name="SAPBEXstdItem 2 4 4" xfId="5223" xr:uid="{00000000-0005-0000-0000-000050120000}"/>
    <cellStyle name="SAPBEXstdItem 2 5" xfId="1512" xr:uid="{00000000-0005-0000-0000-000051120000}"/>
    <cellStyle name="SAPBEXstdItem 2 5 2" xfId="2831" xr:uid="{00000000-0005-0000-0000-000052120000}"/>
    <cellStyle name="SAPBEXstdItem 2 5 3" xfId="4135" xr:uid="{00000000-0005-0000-0000-000053120000}"/>
    <cellStyle name="SAPBEXstdItem 2 5 4" xfId="5224" xr:uid="{00000000-0005-0000-0000-000054120000}"/>
    <cellStyle name="SAPBEXstdItem 2 6" xfId="1513" xr:uid="{00000000-0005-0000-0000-000055120000}"/>
    <cellStyle name="SAPBEXstdItem 2 6 2" xfId="2832" xr:uid="{00000000-0005-0000-0000-000056120000}"/>
    <cellStyle name="SAPBEXstdItem 2 6 3" xfId="4136" xr:uid="{00000000-0005-0000-0000-000057120000}"/>
    <cellStyle name="SAPBEXstdItem 2 6 4" xfId="5225" xr:uid="{00000000-0005-0000-0000-000058120000}"/>
    <cellStyle name="SAPBEXstdItem 2 7" xfId="1514" xr:uid="{00000000-0005-0000-0000-000059120000}"/>
    <cellStyle name="SAPBEXstdItem 2 7 2" xfId="2833" xr:uid="{00000000-0005-0000-0000-00005A120000}"/>
    <cellStyle name="SAPBEXstdItem 2 7 3" xfId="4137" xr:uid="{00000000-0005-0000-0000-00005B120000}"/>
    <cellStyle name="SAPBEXstdItem 2 7 4" xfId="5226" xr:uid="{00000000-0005-0000-0000-00005C120000}"/>
    <cellStyle name="SAPBEXstdItem 2 8" xfId="1515" xr:uid="{00000000-0005-0000-0000-00005D120000}"/>
    <cellStyle name="SAPBEXstdItem 2 8 2" xfId="2834" xr:uid="{00000000-0005-0000-0000-00005E120000}"/>
    <cellStyle name="SAPBEXstdItem 2 8 3" xfId="4138" xr:uid="{00000000-0005-0000-0000-00005F120000}"/>
    <cellStyle name="SAPBEXstdItem 2 8 4" xfId="5227" xr:uid="{00000000-0005-0000-0000-000060120000}"/>
    <cellStyle name="SAPBEXstdItem 2 9" xfId="1516" xr:uid="{00000000-0005-0000-0000-000061120000}"/>
    <cellStyle name="SAPBEXstdItem 2 9 2" xfId="2835" xr:uid="{00000000-0005-0000-0000-000062120000}"/>
    <cellStyle name="SAPBEXstdItem 2 9 3" xfId="4139" xr:uid="{00000000-0005-0000-0000-000063120000}"/>
    <cellStyle name="SAPBEXstdItem 2 9 4" xfId="5228" xr:uid="{00000000-0005-0000-0000-000064120000}"/>
    <cellStyle name="SAPBEXstdItem 3" xfId="1517" xr:uid="{00000000-0005-0000-0000-000065120000}"/>
    <cellStyle name="SAPBEXstdItem 3 2" xfId="2836" xr:uid="{00000000-0005-0000-0000-000066120000}"/>
    <cellStyle name="SAPBEXstdItem 3 3" xfId="4140" xr:uid="{00000000-0005-0000-0000-000067120000}"/>
    <cellStyle name="SAPBEXstdItem 3 4" xfId="5229" xr:uid="{00000000-0005-0000-0000-000068120000}"/>
    <cellStyle name="SAPBEXstdItem 4" xfId="1518" xr:uid="{00000000-0005-0000-0000-000069120000}"/>
    <cellStyle name="SAPBEXstdItem 4 2" xfId="2837" xr:uid="{00000000-0005-0000-0000-00006A120000}"/>
    <cellStyle name="SAPBEXstdItem 4 3" xfId="4141" xr:uid="{00000000-0005-0000-0000-00006B120000}"/>
    <cellStyle name="SAPBEXstdItem 4 4" xfId="5230" xr:uid="{00000000-0005-0000-0000-00006C120000}"/>
    <cellStyle name="SAPBEXstdItem 5" xfId="1519" xr:uid="{00000000-0005-0000-0000-00006D120000}"/>
    <cellStyle name="SAPBEXstdItem 5 2" xfId="2838" xr:uid="{00000000-0005-0000-0000-00006E120000}"/>
    <cellStyle name="SAPBEXstdItem 5 3" xfId="4142" xr:uid="{00000000-0005-0000-0000-00006F120000}"/>
    <cellStyle name="SAPBEXstdItem 5 4" xfId="5231" xr:uid="{00000000-0005-0000-0000-000070120000}"/>
    <cellStyle name="SAPBEXstdItem 6" xfId="1520" xr:uid="{00000000-0005-0000-0000-000071120000}"/>
    <cellStyle name="SAPBEXstdItem 6 2" xfId="2839" xr:uid="{00000000-0005-0000-0000-000072120000}"/>
    <cellStyle name="SAPBEXstdItem 6 3" xfId="4143" xr:uid="{00000000-0005-0000-0000-000073120000}"/>
    <cellStyle name="SAPBEXstdItem 6 4" xfId="5232" xr:uid="{00000000-0005-0000-0000-000074120000}"/>
    <cellStyle name="SAPBEXstdItem 7" xfId="1521" xr:uid="{00000000-0005-0000-0000-000075120000}"/>
    <cellStyle name="SAPBEXstdItem 7 2" xfId="2840" xr:uid="{00000000-0005-0000-0000-000076120000}"/>
    <cellStyle name="SAPBEXstdItem 7 3" xfId="4144" xr:uid="{00000000-0005-0000-0000-000077120000}"/>
    <cellStyle name="SAPBEXstdItem 7 4" xfId="5233" xr:uid="{00000000-0005-0000-0000-000078120000}"/>
    <cellStyle name="SAPBEXstdItem 8" xfId="1522" xr:uid="{00000000-0005-0000-0000-000079120000}"/>
    <cellStyle name="SAPBEXstdItem 8 2" xfId="2841" xr:uid="{00000000-0005-0000-0000-00007A120000}"/>
    <cellStyle name="SAPBEXstdItem 8 3" xfId="4145" xr:uid="{00000000-0005-0000-0000-00007B120000}"/>
    <cellStyle name="SAPBEXstdItem 8 4" xfId="5234" xr:uid="{00000000-0005-0000-0000-00007C120000}"/>
    <cellStyle name="SAPBEXstdItem 9" xfId="1523" xr:uid="{00000000-0005-0000-0000-00007D120000}"/>
    <cellStyle name="SAPBEXstdItem 9 2" xfId="2842" xr:uid="{00000000-0005-0000-0000-00007E120000}"/>
    <cellStyle name="SAPBEXstdItem 9 3" xfId="4146" xr:uid="{00000000-0005-0000-0000-00007F120000}"/>
    <cellStyle name="SAPBEXstdItem 9 4" xfId="5235" xr:uid="{00000000-0005-0000-0000-000080120000}"/>
    <cellStyle name="SAPBEXstdItemX" xfId="37" xr:uid="{00000000-0005-0000-0000-000081120000}"/>
    <cellStyle name="SAPBEXstdItemX 10" xfId="1525" xr:uid="{00000000-0005-0000-0000-000082120000}"/>
    <cellStyle name="SAPBEXstdItemX 10 2" xfId="2844" xr:uid="{00000000-0005-0000-0000-000083120000}"/>
    <cellStyle name="SAPBEXstdItemX 10 3" xfId="4148" xr:uid="{00000000-0005-0000-0000-000084120000}"/>
    <cellStyle name="SAPBEXstdItemX 10 4" xfId="5237" xr:uid="{00000000-0005-0000-0000-000085120000}"/>
    <cellStyle name="SAPBEXstdItemX 11" xfId="1526" xr:uid="{00000000-0005-0000-0000-000086120000}"/>
    <cellStyle name="SAPBEXstdItemX 11 2" xfId="2845" xr:uid="{00000000-0005-0000-0000-000087120000}"/>
    <cellStyle name="SAPBEXstdItemX 11 3" xfId="4149" xr:uid="{00000000-0005-0000-0000-000088120000}"/>
    <cellStyle name="SAPBEXstdItemX 11 4" xfId="5238" xr:uid="{00000000-0005-0000-0000-000089120000}"/>
    <cellStyle name="SAPBEXstdItemX 12" xfId="1527" xr:uid="{00000000-0005-0000-0000-00008A120000}"/>
    <cellStyle name="SAPBEXstdItemX 12 2" xfId="2846" xr:uid="{00000000-0005-0000-0000-00008B120000}"/>
    <cellStyle name="SAPBEXstdItemX 12 3" xfId="4150" xr:uid="{00000000-0005-0000-0000-00008C120000}"/>
    <cellStyle name="SAPBEXstdItemX 12 4" xfId="5239" xr:uid="{00000000-0005-0000-0000-00008D120000}"/>
    <cellStyle name="SAPBEXstdItemX 13" xfId="1528" xr:uid="{00000000-0005-0000-0000-00008E120000}"/>
    <cellStyle name="SAPBEXstdItemX 13 2" xfId="2847" xr:uid="{00000000-0005-0000-0000-00008F120000}"/>
    <cellStyle name="SAPBEXstdItemX 13 3" xfId="4151" xr:uid="{00000000-0005-0000-0000-000090120000}"/>
    <cellStyle name="SAPBEXstdItemX 13 4" xfId="5240" xr:uid="{00000000-0005-0000-0000-000091120000}"/>
    <cellStyle name="SAPBEXstdItemX 14" xfId="1529" xr:uid="{00000000-0005-0000-0000-000092120000}"/>
    <cellStyle name="SAPBEXstdItemX 14 2" xfId="2848" xr:uid="{00000000-0005-0000-0000-000093120000}"/>
    <cellStyle name="SAPBEXstdItemX 14 3" xfId="4152" xr:uid="{00000000-0005-0000-0000-000094120000}"/>
    <cellStyle name="SAPBEXstdItemX 14 4" xfId="5241" xr:uid="{00000000-0005-0000-0000-000095120000}"/>
    <cellStyle name="SAPBEXstdItemX 15" xfId="1530" xr:uid="{00000000-0005-0000-0000-000096120000}"/>
    <cellStyle name="SAPBEXstdItemX 15 2" xfId="2849" xr:uid="{00000000-0005-0000-0000-000097120000}"/>
    <cellStyle name="SAPBEXstdItemX 15 3" xfId="4153" xr:uid="{00000000-0005-0000-0000-000098120000}"/>
    <cellStyle name="SAPBEXstdItemX 15 4" xfId="5242" xr:uid="{00000000-0005-0000-0000-000099120000}"/>
    <cellStyle name="SAPBEXstdItemX 16" xfId="2843" xr:uid="{00000000-0005-0000-0000-00009A120000}"/>
    <cellStyle name="SAPBEXstdItemX 17" xfId="4147" xr:uid="{00000000-0005-0000-0000-00009B120000}"/>
    <cellStyle name="SAPBEXstdItemX 18" xfId="5236" xr:uid="{00000000-0005-0000-0000-00009C120000}"/>
    <cellStyle name="SAPBEXstdItemX 2" xfId="1524" xr:uid="{00000000-0005-0000-0000-00009D120000}"/>
    <cellStyle name="SAPBEXstdItemX 2 10" xfId="1531" xr:uid="{00000000-0005-0000-0000-00009E120000}"/>
    <cellStyle name="SAPBEXstdItemX 2 10 2" xfId="2851" xr:uid="{00000000-0005-0000-0000-00009F120000}"/>
    <cellStyle name="SAPBEXstdItemX 2 10 3" xfId="4155" xr:uid="{00000000-0005-0000-0000-0000A0120000}"/>
    <cellStyle name="SAPBEXstdItemX 2 10 4" xfId="5244" xr:uid="{00000000-0005-0000-0000-0000A1120000}"/>
    <cellStyle name="SAPBEXstdItemX 2 11" xfId="1532" xr:uid="{00000000-0005-0000-0000-0000A2120000}"/>
    <cellStyle name="SAPBEXstdItemX 2 11 2" xfId="2852" xr:uid="{00000000-0005-0000-0000-0000A3120000}"/>
    <cellStyle name="SAPBEXstdItemX 2 11 3" xfId="4156" xr:uid="{00000000-0005-0000-0000-0000A4120000}"/>
    <cellStyle name="SAPBEXstdItemX 2 11 4" xfId="5245" xr:uid="{00000000-0005-0000-0000-0000A5120000}"/>
    <cellStyle name="SAPBEXstdItemX 2 12" xfId="1533" xr:uid="{00000000-0005-0000-0000-0000A6120000}"/>
    <cellStyle name="SAPBEXstdItemX 2 12 2" xfId="2853" xr:uid="{00000000-0005-0000-0000-0000A7120000}"/>
    <cellStyle name="SAPBEXstdItemX 2 12 3" xfId="4157" xr:uid="{00000000-0005-0000-0000-0000A8120000}"/>
    <cellStyle name="SAPBEXstdItemX 2 12 4" xfId="5246" xr:uid="{00000000-0005-0000-0000-0000A9120000}"/>
    <cellStyle name="SAPBEXstdItemX 2 13" xfId="1534" xr:uid="{00000000-0005-0000-0000-0000AA120000}"/>
    <cellStyle name="SAPBEXstdItemX 2 13 2" xfId="2854" xr:uid="{00000000-0005-0000-0000-0000AB120000}"/>
    <cellStyle name="SAPBEXstdItemX 2 13 3" xfId="4158" xr:uid="{00000000-0005-0000-0000-0000AC120000}"/>
    <cellStyle name="SAPBEXstdItemX 2 13 4" xfId="5247" xr:uid="{00000000-0005-0000-0000-0000AD120000}"/>
    <cellStyle name="SAPBEXstdItemX 2 14" xfId="2850" xr:uid="{00000000-0005-0000-0000-0000AE120000}"/>
    <cellStyle name="SAPBEXstdItemX 2 15" xfId="4154" xr:uid="{00000000-0005-0000-0000-0000AF120000}"/>
    <cellStyle name="SAPBEXstdItemX 2 16" xfId="5243" xr:uid="{00000000-0005-0000-0000-0000B0120000}"/>
    <cellStyle name="SAPBEXstdItemX 2 2" xfId="1535" xr:uid="{00000000-0005-0000-0000-0000B1120000}"/>
    <cellStyle name="SAPBEXstdItemX 2 2 2" xfId="2855" xr:uid="{00000000-0005-0000-0000-0000B2120000}"/>
    <cellStyle name="SAPBEXstdItemX 2 2 3" xfId="4159" xr:uid="{00000000-0005-0000-0000-0000B3120000}"/>
    <cellStyle name="SAPBEXstdItemX 2 2 4" xfId="5248" xr:uid="{00000000-0005-0000-0000-0000B4120000}"/>
    <cellStyle name="SAPBEXstdItemX 2 3" xfId="1536" xr:uid="{00000000-0005-0000-0000-0000B5120000}"/>
    <cellStyle name="SAPBEXstdItemX 2 3 2" xfId="2856" xr:uid="{00000000-0005-0000-0000-0000B6120000}"/>
    <cellStyle name="SAPBEXstdItemX 2 3 3" xfId="4160" xr:uid="{00000000-0005-0000-0000-0000B7120000}"/>
    <cellStyle name="SAPBEXstdItemX 2 3 4" xfId="5249" xr:uid="{00000000-0005-0000-0000-0000B8120000}"/>
    <cellStyle name="SAPBEXstdItemX 2 4" xfId="1537" xr:uid="{00000000-0005-0000-0000-0000B9120000}"/>
    <cellStyle name="SAPBEXstdItemX 2 4 2" xfId="2857" xr:uid="{00000000-0005-0000-0000-0000BA120000}"/>
    <cellStyle name="SAPBEXstdItemX 2 4 3" xfId="4161" xr:uid="{00000000-0005-0000-0000-0000BB120000}"/>
    <cellStyle name="SAPBEXstdItemX 2 4 4" xfId="5250" xr:uid="{00000000-0005-0000-0000-0000BC120000}"/>
    <cellStyle name="SAPBEXstdItemX 2 5" xfId="1538" xr:uid="{00000000-0005-0000-0000-0000BD120000}"/>
    <cellStyle name="SAPBEXstdItemX 2 5 2" xfId="2858" xr:uid="{00000000-0005-0000-0000-0000BE120000}"/>
    <cellStyle name="SAPBEXstdItemX 2 5 3" xfId="4162" xr:uid="{00000000-0005-0000-0000-0000BF120000}"/>
    <cellStyle name="SAPBEXstdItemX 2 5 4" xfId="5251" xr:uid="{00000000-0005-0000-0000-0000C0120000}"/>
    <cellStyle name="SAPBEXstdItemX 2 6" xfId="1539" xr:uid="{00000000-0005-0000-0000-0000C1120000}"/>
    <cellStyle name="SAPBEXstdItemX 2 6 2" xfId="2859" xr:uid="{00000000-0005-0000-0000-0000C2120000}"/>
    <cellStyle name="SAPBEXstdItemX 2 6 3" xfId="4163" xr:uid="{00000000-0005-0000-0000-0000C3120000}"/>
    <cellStyle name="SAPBEXstdItemX 2 6 4" xfId="5252" xr:uid="{00000000-0005-0000-0000-0000C4120000}"/>
    <cellStyle name="SAPBEXstdItemX 2 7" xfId="1540" xr:uid="{00000000-0005-0000-0000-0000C5120000}"/>
    <cellStyle name="SAPBEXstdItemX 2 7 2" xfId="2860" xr:uid="{00000000-0005-0000-0000-0000C6120000}"/>
    <cellStyle name="SAPBEXstdItemX 2 7 3" xfId="4164" xr:uid="{00000000-0005-0000-0000-0000C7120000}"/>
    <cellStyle name="SAPBEXstdItemX 2 7 4" xfId="5253" xr:uid="{00000000-0005-0000-0000-0000C8120000}"/>
    <cellStyle name="SAPBEXstdItemX 2 8" xfId="1541" xr:uid="{00000000-0005-0000-0000-0000C9120000}"/>
    <cellStyle name="SAPBEXstdItemX 2 8 2" xfId="2861" xr:uid="{00000000-0005-0000-0000-0000CA120000}"/>
    <cellStyle name="SAPBEXstdItemX 2 8 3" xfId="4165" xr:uid="{00000000-0005-0000-0000-0000CB120000}"/>
    <cellStyle name="SAPBEXstdItemX 2 8 4" xfId="5254" xr:uid="{00000000-0005-0000-0000-0000CC120000}"/>
    <cellStyle name="SAPBEXstdItemX 2 9" xfId="1542" xr:uid="{00000000-0005-0000-0000-0000CD120000}"/>
    <cellStyle name="SAPBEXstdItemX 2 9 2" xfId="2862" xr:uid="{00000000-0005-0000-0000-0000CE120000}"/>
    <cellStyle name="SAPBEXstdItemX 2 9 3" xfId="4166" xr:uid="{00000000-0005-0000-0000-0000CF120000}"/>
    <cellStyle name="SAPBEXstdItemX 2 9 4" xfId="5255" xr:uid="{00000000-0005-0000-0000-0000D0120000}"/>
    <cellStyle name="SAPBEXstdItemX 3" xfId="1543" xr:uid="{00000000-0005-0000-0000-0000D1120000}"/>
    <cellStyle name="SAPBEXstdItemX 3 10" xfId="1544" xr:uid="{00000000-0005-0000-0000-0000D2120000}"/>
    <cellStyle name="SAPBEXstdItemX 3 10 2" xfId="2864" xr:uid="{00000000-0005-0000-0000-0000D3120000}"/>
    <cellStyle name="SAPBEXstdItemX 3 10 3" xfId="4168" xr:uid="{00000000-0005-0000-0000-0000D4120000}"/>
    <cellStyle name="SAPBEXstdItemX 3 10 4" xfId="5257" xr:uid="{00000000-0005-0000-0000-0000D5120000}"/>
    <cellStyle name="SAPBEXstdItemX 3 11" xfId="1545" xr:uid="{00000000-0005-0000-0000-0000D6120000}"/>
    <cellStyle name="SAPBEXstdItemX 3 11 2" xfId="2865" xr:uid="{00000000-0005-0000-0000-0000D7120000}"/>
    <cellStyle name="SAPBEXstdItemX 3 11 3" xfId="4169" xr:uid="{00000000-0005-0000-0000-0000D8120000}"/>
    <cellStyle name="SAPBEXstdItemX 3 11 4" xfId="5258" xr:uid="{00000000-0005-0000-0000-0000D9120000}"/>
    <cellStyle name="SAPBEXstdItemX 3 12" xfId="1546" xr:uid="{00000000-0005-0000-0000-0000DA120000}"/>
    <cellStyle name="SAPBEXstdItemX 3 12 2" xfId="2866" xr:uid="{00000000-0005-0000-0000-0000DB120000}"/>
    <cellStyle name="SAPBEXstdItemX 3 12 3" xfId="4170" xr:uid="{00000000-0005-0000-0000-0000DC120000}"/>
    <cellStyle name="SAPBEXstdItemX 3 12 4" xfId="5259" xr:uid="{00000000-0005-0000-0000-0000DD120000}"/>
    <cellStyle name="SAPBEXstdItemX 3 13" xfId="1547" xr:uid="{00000000-0005-0000-0000-0000DE120000}"/>
    <cellStyle name="SAPBEXstdItemX 3 13 2" xfId="2867" xr:uid="{00000000-0005-0000-0000-0000DF120000}"/>
    <cellStyle name="SAPBEXstdItemX 3 13 3" xfId="4171" xr:uid="{00000000-0005-0000-0000-0000E0120000}"/>
    <cellStyle name="SAPBEXstdItemX 3 13 4" xfId="5260" xr:uid="{00000000-0005-0000-0000-0000E1120000}"/>
    <cellStyle name="SAPBEXstdItemX 3 14" xfId="2863" xr:uid="{00000000-0005-0000-0000-0000E2120000}"/>
    <cellStyle name="SAPBEXstdItemX 3 15" xfId="4167" xr:uid="{00000000-0005-0000-0000-0000E3120000}"/>
    <cellStyle name="SAPBEXstdItemX 3 16" xfId="5256" xr:uid="{00000000-0005-0000-0000-0000E4120000}"/>
    <cellStyle name="SAPBEXstdItemX 3 2" xfId="1548" xr:uid="{00000000-0005-0000-0000-0000E5120000}"/>
    <cellStyle name="SAPBEXstdItemX 3 2 2" xfId="2868" xr:uid="{00000000-0005-0000-0000-0000E6120000}"/>
    <cellStyle name="SAPBEXstdItemX 3 2 3" xfId="4172" xr:uid="{00000000-0005-0000-0000-0000E7120000}"/>
    <cellStyle name="SAPBEXstdItemX 3 2 4" xfId="5261" xr:uid="{00000000-0005-0000-0000-0000E8120000}"/>
    <cellStyle name="SAPBEXstdItemX 3 3" xfId="1549" xr:uid="{00000000-0005-0000-0000-0000E9120000}"/>
    <cellStyle name="SAPBEXstdItemX 3 3 2" xfId="2869" xr:uid="{00000000-0005-0000-0000-0000EA120000}"/>
    <cellStyle name="SAPBEXstdItemX 3 3 3" xfId="4173" xr:uid="{00000000-0005-0000-0000-0000EB120000}"/>
    <cellStyle name="SAPBEXstdItemX 3 3 4" xfId="5262" xr:uid="{00000000-0005-0000-0000-0000EC120000}"/>
    <cellStyle name="SAPBEXstdItemX 3 4" xfId="1550" xr:uid="{00000000-0005-0000-0000-0000ED120000}"/>
    <cellStyle name="SAPBEXstdItemX 3 4 2" xfId="2870" xr:uid="{00000000-0005-0000-0000-0000EE120000}"/>
    <cellStyle name="SAPBEXstdItemX 3 4 3" xfId="4174" xr:uid="{00000000-0005-0000-0000-0000EF120000}"/>
    <cellStyle name="SAPBEXstdItemX 3 4 4" xfId="5263" xr:uid="{00000000-0005-0000-0000-0000F0120000}"/>
    <cellStyle name="SAPBEXstdItemX 3 5" xfId="1551" xr:uid="{00000000-0005-0000-0000-0000F1120000}"/>
    <cellStyle name="SAPBEXstdItemX 3 5 2" xfId="2871" xr:uid="{00000000-0005-0000-0000-0000F2120000}"/>
    <cellStyle name="SAPBEXstdItemX 3 5 3" xfId="4175" xr:uid="{00000000-0005-0000-0000-0000F3120000}"/>
    <cellStyle name="SAPBEXstdItemX 3 5 4" xfId="5264" xr:uid="{00000000-0005-0000-0000-0000F4120000}"/>
    <cellStyle name="SAPBEXstdItemX 3 6" xfId="1552" xr:uid="{00000000-0005-0000-0000-0000F5120000}"/>
    <cellStyle name="SAPBEXstdItemX 3 6 2" xfId="2872" xr:uid="{00000000-0005-0000-0000-0000F6120000}"/>
    <cellStyle name="SAPBEXstdItemX 3 6 3" xfId="4176" xr:uid="{00000000-0005-0000-0000-0000F7120000}"/>
    <cellStyle name="SAPBEXstdItemX 3 6 4" xfId="5265" xr:uid="{00000000-0005-0000-0000-0000F8120000}"/>
    <cellStyle name="SAPBEXstdItemX 3 7" xfId="1553" xr:uid="{00000000-0005-0000-0000-0000F9120000}"/>
    <cellStyle name="SAPBEXstdItemX 3 7 2" xfId="2873" xr:uid="{00000000-0005-0000-0000-0000FA120000}"/>
    <cellStyle name="SAPBEXstdItemX 3 7 3" xfId="4177" xr:uid="{00000000-0005-0000-0000-0000FB120000}"/>
    <cellStyle name="SAPBEXstdItemX 3 7 4" xfId="5266" xr:uid="{00000000-0005-0000-0000-0000FC120000}"/>
    <cellStyle name="SAPBEXstdItemX 3 8" xfId="1554" xr:uid="{00000000-0005-0000-0000-0000FD120000}"/>
    <cellStyle name="SAPBEXstdItemX 3 8 2" xfId="2874" xr:uid="{00000000-0005-0000-0000-0000FE120000}"/>
    <cellStyle name="SAPBEXstdItemX 3 8 3" xfId="4178" xr:uid="{00000000-0005-0000-0000-0000FF120000}"/>
    <cellStyle name="SAPBEXstdItemX 3 8 4" xfId="5267" xr:uid="{00000000-0005-0000-0000-000000130000}"/>
    <cellStyle name="SAPBEXstdItemX 3 9" xfId="1555" xr:uid="{00000000-0005-0000-0000-000001130000}"/>
    <cellStyle name="SAPBEXstdItemX 3 9 2" xfId="2875" xr:uid="{00000000-0005-0000-0000-000002130000}"/>
    <cellStyle name="SAPBEXstdItemX 3 9 3" xfId="4179" xr:uid="{00000000-0005-0000-0000-000003130000}"/>
    <cellStyle name="SAPBEXstdItemX 3 9 4" xfId="5268" xr:uid="{00000000-0005-0000-0000-000004130000}"/>
    <cellStyle name="SAPBEXstdItemX 4" xfId="1556" xr:uid="{00000000-0005-0000-0000-000005130000}"/>
    <cellStyle name="SAPBEXstdItemX 4 2" xfId="2876" xr:uid="{00000000-0005-0000-0000-000006130000}"/>
    <cellStyle name="SAPBEXstdItemX 4 3" xfId="4180" xr:uid="{00000000-0005-0000-0000-000007130000}"/>
    <cellStyle name="SAPBEXstdItemX 4 4" xfId="5269" xr:uid="{00000000-0005-0000-0000-000008130000}"/>
    <cellStyle name="SAPBEXstdItemX 5" xfId="1557" xr:uid="{00000000-0005-0000-0000-000009130000}"/>
    <cellStyle name="SAPBEXstdItemX 5 2" xfId="2877" xr:uid="{00000000-0005-0000-0000-00000A130000}"/>
    <cellStyle name="SAPBEXstdItemX 5 3" xfId="4181" xr:uid="{00000000-0005-0000-0000-00000B130000}"/>
    <cellStyle name="SAPBEXstdItemX 5 4" xfId="5270" xr:uid="{00000000-0005-0000-0000-00000C130000}"/>
    <cellStyle name="SAPBEXstdItemX 6" xfId="1558" xr:uid="{00000000-0005-0000-0000-00000D130000}"/>
    <cellStyle name="SAPBEXstdItemX 6 2" xfId="2878" xr:uid="{00000000-0005-0000-0000-00000E130000}"/>
    <cellStyle name="SAPBEXstdItemX 6 3" xfId="4182" xr:uid="{00000000-0005-0000-0000-00000F130000}"/>
    <cellStyle name="SAPBEXstdItemX 6 4" xfId="5271" xr:uid="{00000000-0005-0000-0000-000010130000}"/>
    <cellStyle name="SAPBEXstdItemX 7" xfId="1559" xr:uid="{00000000-0005-0000-0000-000011130000}"/>
    <cellStyle name="SAPBEXstdItemX 7 2" xfId="2879" xr:uid="{00000000-0005-0000-0000-000012130000}"/>
    <cellStyle name="SAPBEXstdItemX 7 3" xfId="4183" xr:uid="{00000000-0005-0000-0000-000013130000}"/>
    <cellStyle name="SAPBEXstdItemX 7 4" xfId="5272" xr:uid="{00000000-0005-0000-0000-000014130000}"/>
    <cellStyle name="SAPBEXstdItemX 8" xfId="1560" xr:uid="{00000000-0005-0000-0000-000015130000}"/>
    <cellStyle name="SAPBEXstdItemX 8 2" xfId="2880" xr:uid="{00000000-0005-0000-0000-000016130000}"/>
    <cellStyle name="SAPBEXstdItemX 8 3" xfId="4184" xr:uid="{00000000-0005-0000-0000-000017130000}"/>
    <cellStyle name="SAPBEXstdItemX 8 4" xfId="5273" xr:uid="{00000000-0005-0000-0000-000018130000}"/>
    <cellStyle name="SAPBEXstdItemX 9" xfId="1561" xr:uid="{00000000-0005-0000-0000-000019130000}"/>
    <cellStyle name="SAPBEXstdItemX 9 2" xfId="2881" xr:uid="{00000000-0005-0000-0000-00001A130000}"/>
    <cellStyle name="SAPBEXstdItemX 9 3" xfId="4185" xr:uid="{00000000-0005-0000-0000-00001B130000}"/>
    <cellStyle name="SAPBEXstdItemX 9 4" xfId="5274" xr:uid="{00000000-0005-0000-0000-00001C130000}"/>
    <cellStyle name="SAPBEXstdItemX_DSDW sales report 3rd Party Jan YTD" xfId="1562" xr:uid="{00000000-0005-0000-0000-00001D130000}"/>
    <cellStyle name="SAPBEXtitle" xfId="38" xr:uid="{00000000-0005-0000-0000-00001E130000}"/>
    <cellStyle name="SAPBEXtitle 2" xfId="1563" xr:uid="{00000000-0005-0000-0000-00001F130000}"/>
    <cellStyle name="SAPBEXundefined" xfId="39" xr:uid="{00000000-0005-0000-0000-000020130000}"/>
    <cellStyle name="SAPBEXundefined 10" xfId="1565" xr:uid="{00000000-0005-0000-0000-000021130000}"/>
    <cellStyle name="SAPBEXundefined 10 2" xfId="2883" xr:uid="{00000000-0005-0000-0000-000022130000}"/>
    <cellStyle name="SAPBEXundefined 10 3" xfId="4188" xr:uid="{00000000-0005-0000-0000-000023130000}"/>
    <cellStyle name="SAPBEXundefined 10 4" xfId="5276" xr:uid="{00000000-0005-0000-0000-000024130000}"/>
    <cellStyle name="SAPBEXundefined 11" xfId="1566" xr:uid="{00000000-0005-0000-0000-000025130000}"/>
    <cellStyle name="SAPBEXundefined 11 2" xfId="2884" xr:uid="{00000000-0005-0000-0000-000026130000}"/>
    <cellStyle name="SAPBEXundefined 11 3" xfId="4189" xr:uid="{00000000-0005-0000-0000-000027130000}"/>
    <cellStyle name="SAPBEXundefined 11 4" xfId="5277" xr:uid="{00000000-0005-0000-0000-000028130000}"/>
    <cellStyle name="SAPBEXundefined 12" xfId="1567" xr:uid="{00000000-0005-0000-0000-000029130000}"/>
    <cellStyle name="SAPBEXundefined 12 2" xfId="2885" xr:uid="{00000000-0005-0000-0000-00002A130000}"/>
    <cellStyle name="SAPBEXundefined 12 3" xfId="4190" xr:uid="{00000000-0005-0000-0000-00002B130000}"/>
    <cellStyle name="SAPBEXundefined 12 4" xfId="5278" xr:uid="{00000000-0005-0000-0000-00002C130000}"/>
    <cellStyle name="SAPBEXundefined 13" xfId="1568" xr:uid="{00000000-0005-0000-0000-00002D130000}"/>
    <cellStyle name="SAPBEXundefined 13 2" xfId="2886" xr:uid="{00000000-0005-0000-0000-00002E130000}"/>
    <cellStyle name="SAPBEXundefined 13 3" xfId="4191" xr:uid="{00000000-0005-0000-0000-00002F130000}"/>
    <cellStyle name="SAPBEXundefined 13 4" xfId="5279" xr:uid="{00000000-0005-0000-0000-000030130000}"/>
    <cellStyle name="SAPBEXundefined 14" xfId="1569" xr:uid="{00000000-0005-0000-0000-000031130000}"/>
    <cellStyle name="SAPBEXundefined 14 2" xfId="2887" xr:uid="{00000000-0005-0000-0000-000032130000}"/>
    <cellStyle name="SAPBEXundefined 14 3" xfId="4192" xr:uid="{00000000-0005-0000-0000-000033130000}"/>
    <cellStyle name="SAPBEXundefined 14 4" xfId="5280" xr:uid="{00000000-0005-0000-0000-000034130000}"/>
    <cellStyle name="SAPBEXundefined 15" xfId="2882" xr:uid="{00000000-0005-0000-0000-000035130000}"/>
    <cellStyle name="SAPBEXundefined 16" xfId="4187" xr:uid="{00000000-0005-0000-0000-000036130000}"/>
    <cellStyle name="SAPBEXundefined 17" xfId="5275" xr:uid="{00000000-0005-0000-0000-000037130000}"/>
    <cellStyle name="SAPBEXundefined 2" xfId="1564" xr:uid="{00000000-0005-0000-0000-000038130000}"/>
    <cellStyle name="SAPBEXundefined 2 10" xfId="1570" xr:uid="{00000000-0005-0000-0000-000039130000}"/>
    <cellStyle name="SAPBEXundefined 2 10 2" xfId="2889" xr:uid="{00000000-0005-0000-0000-00003A130000}"/>
    <cellStyle name="SAPBEXundefined 2 10 3" xfId="4194" xr:uid="{00000000-0005-0000-0000-00003B130000}"/>
    <cellStyle name="SAPBEXundefined 2 10 4" xfId="5282" xr:uid="{00000000-0005-0000-0000-00003C130000}"/>
    <cellStyle name="SAPBEXundefined 2 11" xfId="1571" xr:uid="{00000000-0005-0000-0000-00003D130000}"/>
    <cellStyle name="SAPBEXundefined 2 11 2" xfId="2890" xr:uid="{00000000-0005-0000-0000-00003E130000}"/>
    <cellStyle name="SAPBEXundefined 2 11 3" xfId="4195" xr:uid="{00000000-0005-0000-0000-00003F130000}"/>
    <cellStyle name="SAPBEXundefined 2 11 4" xfId="5283" xr:uid="{00000000-0005-0000-0000-000040130000}"/>
    <cellStyle name="SAPBEXundefined 2 12" xfId="1572" xr:uid="{00000000-0005-0000-0000-000041130000}"/>
    <cellStyle name="SAPBEXundefined 2 12 2" xfId="2891" xr:uid="{00000000-0005-0000-0000-000042130000}"/>
    <cellStyle name="SAPBEXundefined 2 12 3" xfId="4196" xr:uid="{00000000-0005-0000-0000-000043130000}"/>
    <cellStyle name="SAPBEXundefined 2 12 4" xfId="5284" xr:uid="{00000000-0005-0000-0000-000044130000}"/>
    <cellStyle name="SAPBEXundefined 2 13" xfId="1573" xr:uid="{00000000-0005-0000-0000-000045130000}"/>
    <cellStyle name="SAPBEXundefined 2 13 2" xfId="2892" xr:uid="{00000000-0005-0000-0000-000046130000}"/>
    <cellStyle name="SAPBEXundefined 2 13 3" xfId="4197" xr:uid="{00000000-0005-0000-0000-000047130000}"/>
    <cellStyle name="SAPBEXundefined 2 13 4" xfId="5285" xr:uid="{00000000-0005-0000-0000-000048130000}"/>
    <cellStyle name="SAPBEXundefined 2 14" xfId="2888" xr:uid="{00000000-0005-0000-0000-000049130000}"/>
    <cellStyle name="SAPBEXundefined 2 15" xfId="4193" xr:uid="{00000000-0005-0000-0000-00004A130000}"/>
    <cellStyle name="SAPBEXundefined 2 16" xfId="5281" xr:uid="{00000000-0005-0000-0000-00004B130000}"/>
    <cellStyle name="SAPBEXundefined 2 2" xfId="1574" xr:uid="{00000000-0005-0000-0000-00004C130000}"/>
    <cellStyle name="SAPBEXundefined 2 2 2" xfId="2893" xr:uid="{00000000-0005-0000-0000-00004D130000}"/>
    <cellStyle name="SAPBEXundefined 2 2 3" xfId="4198" xr:uid="{00000000-0005-0000-0000-00004E130000}"/>
    <cellStyle name="SAPBEXundefined 2 2 4" xfId="5286" xr:uid="{00000000-0005-0000-0000-00004F130000}"/>
    <cellStyle name="SAPBEXundefined 2 3" xfId="1575" xr:uid="{00000000-0005-0000-0000-000050130000}"/>
    <cellStyle name="SAPBEXundefined 2 3 2" xfId="2894" xr:uid="{00000000-0005-0000-0000-000051130000}"/>
    <cellStyle name="SAPBEXundefined 2 3 3" xfId="4199" xr:uid="{00000000-0005-0000-0000-000052130000}"/>
    <cellStyle name="SAPBEXundefined 2 3 4" xfId="5287" xr:uid="{00000000-0005-0000-0000-000053130000}"/>
    <cellStyle name="SAPBEXundefined 2 4" xfId="1576" xr:uid="{00000000-0005-0000-0000-000054130000}"/>
    <cellStyle name="SAPBEXundefined 2 4 2" xfId="2895" xr:uid="{00000000-0005-0000-0000-000055130000}"/>
    <cellStyle name="SAPBEXundefined 2 4 3" xfId="4200" xr:uid="{00000000-0005-0000-0000-000056130000}"/>
    <cellStyle name="SAPBEXundefined 2 4 4" xfId="5288" xr:uid="{00000000-0005-0000-0000-000057130000}"/>
    <cellStyle name="SAPBEXundefined 2 5" xfId="1577" xr:uid="{00000000-0005-0000-0000-000058130000}"/>
    <cellStyle name="SAPBEXundefined 2 5 2" xfId="2896" xr:uid="{00000000-0005-0000-0000-000059130000}"/>
    <cellStyle name="SAPBEXundefined 2 5 3" xfId="4201" xr:uid="{00000000-0005-0000-0000-00005A130000}"/>
    <cellStyle name="SAPBEXundefined 2 5 4" xfId="5289" xr:uid="{00000000-0005-0000-0000-00005B130000}"/>
    <cellStyle name="SAPBEXundefined 2 6" xfId="1578" xr:uid="{00000000-0005-0000-0000-00005C130000}"/>
    <cellStyle name="SAPBEXundefined 2 6 2" xfId="2897" xr:uid="{00000000-0005-0000-0000-00005D130000}"/>
    <cellStyle name="SAPBEXundefined 2 6 3" xfId="4202" xr:uid="{00000000-0005-0000-0000-00005E130000}"/>
    <cellStyle name="SAPBEXundefined 2 6 4" xfId="5290" xr:uid="{00000000-0005-0000-0000-00005F130000}"/>
    <cellStyle name="SAPBEXundefined 2 7" xfId="1579" xr:uid="{00000000-0005-0000-0000-000060130000}"/>
    <cellStyle name="SAPBEXundefined 2 7 2" xfId="2898" xr:uid="{00000000-0005-0000-0000-000061130000}"/>
    <cellStyle name="SAPBEXundefined 2 7 3" xfId="4203" xr:uid="{00000000-0005-0000-0000-000062130000}"/>
    <cellStyle name="SAPBEXundefined 2 7 4" xfId="5291" xr:uid="{00000000-0005-0000-0000-000063130000}"/>
    <cellStyle name="SAPBEXundefined 2 8" xfId="1580" xr:uid="{00000000-0005-0000-0000-000064130000}"/>
    <cellStyle name="SAPBEXundefined 2 8 2" xfId="2899" xr:uid="{00000000-0005-0000-0000-000065130000}"/>
    <cellStyle name="SAPBEXundefined 2 8 3" xfId="4204" xr:uid="{00000000-0005-0000-0000-000066130000}"/>
    <cellStyle name="SAPBEXundefined 2 8 4" xfId="5292" xr:uid="{00000000-0005-0000-0000-000067130000}"/>
    <cellStyle name="SAPBEXundefined 2 9" xfId="1581" xr:uid="{00000000-0005-0000-0000-000068130000}"/>
    <cellStyle name="SAPBEXundefined 2 9 2" xfId="2900" xr:uid="{00000000-0005-0000-0000-000069130000}"/>
    <cellStyle name="SAPBEXundefined 2 9 3" xfId="4205" xr:uid="{00000000-0005-0000-0000-00006A130000}"/>
    <cellStyle name="SAPBEXundefined 2 9 4" xfId="5293" xr:uid="{00000000-0005-0000-0000-00006B130000}"/>
    <cellStyle name="SAPBEXundefined 3" xfId="1582" xr:uid="{00000000-0005-0000-0000-00006C130000}"/>
    <cellStyle name="SAPBEXundefined 3 2" xfId="2901" xr:uid="{00000000-0005-0000-0000-00006D130000}"/>
    <cellStyle name="SAPBEXundefined 3 3" xfId="4206" xr:uid="{00000000-0005-0000-0000-00006E130000}"/>
    <cellStyle name="SAPBEXundefined 3 4" xfId="5294" xr:uid="{00000000-0005-0000-0000-00006F130000}"/>
    <cellStyle name="SAPBEXundefined 4" xfId="1583" xr:uid="{00000000-0005-0000-0000-000070130000}"/>
    <cellStyle name="SAPBEXundefined 4 2" xfId="2902" xr:uid="{00000000-0005-0000-0000-000071130000}"/>
    <cellStyle name="SAPBEXundefined 4 3" xfId="4207" xr:uid="{00000000-0005-0000-0000-000072130000}"/>
    <cellStyle name="SAPBEXundefined 4 4" xfId="5295" xr:uid="{00000000-0005-0000-0000-000073130000}"/>
    <cellStyle name="SAPBEXundefined 5" xfId="1584" xr:uid="{00000000-0005-0000-0000-000074130000}"/>
    <cellStyle name="SAPBEXundefined 5 2" xfId="2903" xr:uid="{00000000-0005-0000-0000-000075130000}"/>
    <cellStyle name="SAPBEXundefined 5 3" xfId="4208" xr:uid="{00000000-0005-0000-0000-000076130000}"/>
    <cellStyle name="SAPBEXundefined 5 4" xfId="5296" xr:uid="{00000000-0005-0000-0000-000077130000}"/>
    <cellStyle name="SAPBEXundefined 6" xfId="1585" xr:uid="{00000000-0005-0000-0000-000078130000}"/>
    <cellStyle name="SAPBEXundefined 6 2" xfId="2904" xr:uid="{00000000-0005-0000-0000-000079130000}"/>
    <cellStyle name="SAPBEXundefined 6 3" xfId="4209" xr:uid="{00000000-0005-0000-0000-00007A130000}"/>
    <cellStyle name="SAPBEXundefined 6 4" xfId="5297" xr:uid="{00000000-0005-0000-0000-00007B130000}"/>
    <cellStyle name="SAPBEXundefined 7" xfId="1586" xr:uid="{00000000-0005-0000-0000-00007C130000}"/>
    <cellStyle name="SAPBEXundefined 7 2" xfId="2905" xr:uid="{00000000-0005-0000-0000-00007D130000}"/>
    <cellStyle name="SAPBEXundefined 7 3" xfId="4210" xr:uid="{00000000-0005-0000-0000-00007E130000}"/>
    <cellStyle name="SAPBEXundefined 7 4" xfId="5298" xr:uid="{00000000-0005-0000-0000-00007F130000}"/>
    <cellStyle name="SAPBEXundefined 8" xfId="1587" xr:uid="{00000000-0005-0000-0000-000080130000}"/>
    <cellStyle name="SAPBEXundefined 8 2" xfId="2906" xr:uid="{00000000-0005-0000-0000-000081130000}"/>
    <cellStyle name="SAPBEXundefined 8 3" xfId="4211" xr:uid="{00000000-0005-0000-0000-000082130000}"/>
    <cellStyle name="SAPBEXundefined 8 4" xfId="5299" xr:uid="{00000000-0005-0000-0000-000083130000}"/>
    <cellStyle name="SAPBEXundefined 9" xfId="1588" xr:uid="{00000000-0005-0000-0000-000084130000}"/>
    <cellStyle name="SAPBEXundefined 9 2" xfId="2907" xr:uid="{00000000-0005-0000-0000-000085130000}"/>
    <cellStyle name="SAPBEXundefined 9 3" xfId="4212" xr:uid="{00000000-0005-0000-0000-000086130000}"/>
    <cellStyle name="SAPBEXundefined 9 4" xfId="5300" xr:uid="{00000000-0005-0000-0000-000087130000}"/>
    <cellStyle name="Style 1" xfId="1589" xr:uid="{00000000-0005-0000-0000-000088130000}"/>
    <cellStyle name="Style 1 2" xfId="1590" xr:uid="{00000000-0005-0000-0000-000089130000}"/>
    <cellStyle name="Style 1 3" xfId="1591" xr:uid="{00000000-0005-0000-0000-00008A130000}"/>
    <cellStyle name="Title 2" xfId="1592" xr:uid="{00000000-0005-0000-0000-00008B130000}"/>
    <cellStyle name="Title 2 2" xfId="1593" xr:uid="{00000000-0005-0000-0000-00008C130000}"/>
    <cellStyle name="Title 2 3" xfId="1594" xr:uid="{00000000-0005-0000-0000-00008D130000}"/>
    <cellStyle name="Title 3" xfId="1595" xr:uid="{00000000-0005-0000-0000-00008E130000}"/>
    <cellStyle name="Title 3 2" xfId="1596" xr:uid="{00000000-0005-0000-0000-00008F130000}"/>
    <cellStyle name="Title 3 3" xfId="1597" xr:uid="{00000000-0005-0000-0000-000090130000}"/>
    <cellStyle name="Title 4" xfId="1598" xr:uid="{00000000-0005-0000-0000-000091130000}"/>
    <cellStyle name="Title 4 2" xfId="1599" xr:uid="{00000000-0005-0000-0000-000092130000}"/>
    <cellStyle name="Title 4 3" xfId="1600" xr:uid="{00000000-0005-0000-0000-000093130000}"/>
    <cellStyle name="Title 5" xfId="1777" xr:uid="{00000000-0005-0000-0000-000094130000}"/>
    <cellStyle name="Total 2" xfId="1601" xr:uid="{00000000-0005-0000-0000-000095130000}"/>
    <cellStyle name="Total 2 10" xfId="1602" xr:uid="{00000000-0005-0000-0000-000096130000}"/>
    <cellStyle name="Total 2 10 2" xfId="2909" xr:uid="{00000000-0005-0000-0000-000097130000}"/>
    <cellStyle name="Total 2 10 3" xfId="4221" xr:uid="{00000000-0005-0000-0000-000098130000}"/>
    <cellStyle name="Total 2 10 4" xfId="5302" xr:uid="{00000000-0005-0000-0000-000099130000}"/>
    <cellStyle name="Total 2 11" xfId="1603" xr:uid="{00000000-0005-0000-0000-00009A130000}"/>
    <cellStyle name="Total 2 11 2" xfId="2910" xr:uid="{00000000-0005-0000-0000-00009B130000}"/>
    <cellStyle name="Total 2 11 3" xfId="4222" xr:uid="{00000000-0005-0000-0000-00009C130000}"/>
    <cellStyle name="Total 2 11 4" xfId="5303" xr:uid="{00000000-0005-0000-0000-00009D130000}"/>
    <cellStyle name="Total 2 12" xfId="1604" xr:uid="{00000000-0005-0000-0000-00009E130000}"/>
    <cellStyle name="Total 2 12 2" xfId="2911" xr:uid="{00000000-0005-0000-0000-00009F130000}"/>
    <cellStyle name="Total 2 12 3" xfId="4223" xr:uid="{00000000-0005-0000-0000-0000A0130000}"/>
    <cellStyle name="Total 2 12 4" xfId="5304" xr:uid="{00000000-0005-0000-0000-0000A1130000}"/>
    <cellStyle name="Total 2 13" xfId="1605" xr:uid="{00000000-0005-0000-0000-0000A2130000}"/>
    <cellStyle name="Total 2 13 2" xfId="2912" xr:uid="{00000000-0005-0000-0000-0000A3130000}"/>
    <cellStyle name="Total 2 13 3" xfId="4224" xr:uid="{00000000-0005-0000-0000-0000A4130000}"/>
    <cellStyle name="Total 2 13 4" xfId="5305" xr:uid="{00000000-0005-0000-0000-0000A5130000}"/>
    <cellStyle name="Total 2 14" xfId="1606" xr:uid="{00000000-0005-0000-0000-0000A6130000}"/>
    <cellStyle name="Total 2 14 2" xfId="2913" xr:uid="{00000000-0005-0000-0000-0000A7130000}"/>
    <cellStyle name="Total 2 14 3" xfId="4225" xr:uid="{00000000-0005-0000-0000-0000A8130000}"/>
    <cellStyle name="Total 2 14 4" xfId="5306" xr:uid="{00000000-0005-0000-0000-0000A9130000}"/>
    <cellStyle name="Total 2 15" xfId="1607" xr:uid="{00000000-0005-0000-0000-0000AA130000}"/>
    <cellStyle name="Total 2 15 2" xfId="2914" xr:uid="{00000000-0005-0000-0000-0000AB130000}"/>
    <cellStyle name="Total 2 15 3" xfId="4226" xr:uid="{00000000-0005-0000-0000-0000AC130000}"/>
    <cellStyle name="Total 2 15 4" xfId="5307" xr:uid="{00000000-0005-0000-0000-0000AD130000}"/>
    <cellStyle name="Total 2 16" xfId="1608" xr:uid="{00000000-0005-0000-0000-0000AE130000}"/>
    <cellStyle name="Total 2 16 2" xfId="2915" xr:uid="{00000000-0005-0000-0000-0000AF130000}"/>
    <cellStyle name="Total 2 16 3" xfId="4227" xr:uid="{00000000-0005-0000-0000-0000B0130000}"/>
    <cellStyle name="Total 2 16 4" xfId="5308" xr:uid="{00000000-0005-0000-0000-0000B1130000}"/>
    <cellStyle name="Total 2 17" xfId="2908" xr:uid="{00000000-0005-0000-0000-0000B2130000}"/>
    <cellStyle name="Total 2 18" xfId="4220" xr:uid="{00000000-0005-0000-0000-0000B3130000}"/>
    <cellStyle name="Total 2 19" xfId="5301" xr:uid="{00000000-0005-0000-0000-0000B4130000}"/>
    <cellStyle name="Total 2 2" xfId="1609" xr:uid="{00000000-0005-0000-0000-0000B5130000}"/>
    <cellStyle name="Total 2 3" xfId="1610" xr:uid="{00000000-0005-0000-0000-0000B6130000}"/>
    <cellStyle name="Total 2 3 10" xfId="1611" xr:uid="{00000000-0005-0000-0000-0000B7130000}"/>
    <cellStyle name="Total 2 3 10 2" xfId="2917" xr:uid="{00000000-0005-0000-0000-0000B8130000}"/>
    <cellStyle name="Total 2 3 10 3" xfId="4230" xr:uid="{00000000-0005-0000-0000-0000B9130000}"/>
    <cellStyle name="Total 2 3 10 4" xfId="5310" xr:uid="{00000000-0005-0000-0000-0000BA130000}"/>
    <cellStyle name="Total 2 3 11" xfId="1612" xr:uid="{00000000-0005-0000-0000-0000BB130000}"/>
    <cellStyle name="Total 2 3 11 2" xfId="2918" xr:uid="{00000000-0005-0000-0000-0000BC130000}"/>
    <cellStyle name="Total 2 3 11 3" xfId="4231" xr:uid="{00000000-0005-0000-0000-0000BD130000}"/>
    <cellStyle name="Total 2 3 11 4" xfId="5311" xr:uid="{00000000-0005-0000-0000-0000BE130000}"/>
    <cellStyle name="Total 2 3 12" xfId="1613" xr:uid="{00000000-0005-0000-0000-0000BF130000}"/>
    <cellStyle name="Total 2 3 12 2" xfId="2919" xr:uid="{00000000-0005-0000-0000-0000C0130000}"/>
    <cellStyle name="Total 2 3 12 3" xfId="4232" xr:uid="{00000000-0005-0000-0000-0000C1130000}"/>
    <cellStyle name="Total 2 3 12 4" xfId="5312" xr:uid="{00000000-0005-0000-0000-0000C2130000}"/>
    <cellStyle name="Total 2 3 13" xfId="1614" xr:uid="{00000000-0005-0000-0000-0000C3130000}"/>
    <cellStyle name="Total 2 3 13 2" xfId="2920" xr:uid="{00000000-0005-0000-0000-0000C4130000}"/>
    <cellStyle name="Total 2 3 13 3" xfId="4233" xr:uid="{00000000-0005-0000-0000-0000C5130000}"/>
    <cellStyle name="Total 2 3 13 4" xfId="5313" xr:uid="{00000000-0005-0000-0000-0000C6130000}"/>
    <cellStyle name="Total 2 3 14" xfId="1615" xr:uid="{00000000-0005-0000-0000-0000C7130000}"/>
    <cellStyle name="Total 2 3 14 2" xfId="2921" xr:uid="{00000000-0005-0000-0000-0000C8130000}"/>
    <cellStyle name="Total 2 3 14 3" xfId="4234" xr:uid="{00000000-0005-0000-0000-0000C9130000}"/>
    <cellStyle name="Total 2 3 14 4" xfId="5314" xr:uid="{00000000-0005-0000-0000-0000CA130000}"/>
    <cellStyle name="Total 2 3 15" xfId="2916" xr:uid="{00000000-0005-0000-0000-0000CB130000}"/>
    <cellStyle name="Total 2 3 16" xfId="4229" xr:uid="{00000000-0005-0000-0000-0000CC130000}"/>
    <cellStyle name="Total 2 3 17" xfId="5309" xr:uid="{00000000-0005-0000-0000-0000CD130000}"/>
    <cellStyle name="Total 2 3 2" xfId="1616" xr:uid="{00000000-0005-0000-0000-0000CE130000}"/>
    <cellStyle name="Total 2 3 2 2" xfId="2922" xr:uid="{00000000-0005-0000-0000-0000CF130000}"/>
    <cellStyle name="Total 2 3 2 3" xfId="4235" xr:uid="{00000000-0005-0000-0000-0000D0130000}"/>
    <cellStyle name="Total 2 3 2 4" xfId="5315" xr:uid="{00000000-0005-0000-0000-0000D1130000}"/>
    <cellStyle name="Total 2 3 3" xfId="1617" xr:uid="{00000000-0005-0000-0000-0000D2130000}"/>
    <cellStyle name="Total 2 3 3 2" xfId="2923" xr:uid="{00000000-0005-0000-0000-0000D3130000}"/>
    <cellStyle name="Total 2 3 3 3" xfId="4236" xr:uid="{00000000-0005-0000-0000-0000D4130000}"/>
    <cellStyle name="Total 2 3 3 4" xfId="5316" xr:uid="{00000000-0005-0000-0000-0000D5130000}"/>
    <cellStyle name="Total 2 3 4" xfId="1618" xr:uid="{00000000-0005-0000-0000-0000D6130000}"/>
    <cellStyle name="Total 2 3 4 2" xfId="2924" xr:uid="{00000000-0005-0000-0000-0000D7130000}"/>
    <cellStyle name="Total 2 3 4 3" xfId="4237" xr:uid="{00000000-0005-0000-0000-0000D8130000}"/>
    <cellStyle name="Total 2 3 4 4" xfId="5317" xr:uid="{00000000-0005-0000-0000-0000D9130000}"/>
    <cellStyle name="Total 2 3 5" xfId="1619" xr:uid="{00000000-0005-0000-0000-0000DA130000}"/>
    <cellStyle name="Total 2 3 5 2" xfId="2925" xr:uid="{00000000-0005-0000-0000-0000DB130000}"/>
    <cellStyle name="Total 2 3 5 3" xfId="4238" xr:uid="{00000000-0005-0000-0000-0000DC130000}"/>
    <cellStyle name="Total 2 3 5 4" xfId="5318" xr:uid="{00000000-0005-0000-0000-0000DD130000}"/>
    <cellStyle name="Total 2 3 6" xfId="1620" xr:uid="{00000000-0005-0000-0000-0000DE130000}"/>
    <cellStyle name="Total 2 3 6 2" xfId="2926" xr:uid="{00000000-0005-0000-0000-0000DF130000}"/>
    <cellStyle name="Total 2 3 6 3" xfId="4239" xr:uid="{00000000-0005-0000-0000-0000E0130000}"/>
    <cellStyle name="Total 2 3 6 4" xfId="5319" xr:uid="{00000000-0005-0000-0000-0000E1130000}"/>
    <cellStyle name="Total 2 3 7" xfId="1621" xr:uid="{00000000-0005-0000-0000-0000E2130000}"/>
    <cellStyle name="Total 2 3 7 2" xfId="2927" xr:uid="{00000000-0005-0000-0000-0000E3130000}"/>
    <cellStyle name="Total 2 3 7 3" xfId="4240" xr:uid="{00000000-0005-0000-0000-0000E4130000}"/>
    <cellStyle name="Total 2 3 7 4" xfId="5320" xr:uid="{00000000-0005-0000-0000-0000E5130000}"/>
    <cellStyle name="Total 2 3 8" xfId="1622" xr:uid="{00000000-0005-0000-0000-0000E6130000}"/>
    <cellStyle name="Total 2 3 8 2" xfId="2928" xr:uid="{00000000-0005-0000-0000-0000E7130000}"/>
    <cellStyle name="Total 2 3 8 3" xfId="4241" xr:uid="{00000000-0005-0000-0000-0000E8130000}"/>
    <cellStyle name="Total 2 3 8 4" xfId="5321" xr:uid="{00000000-0005-0000-0000-0000E9130000}"/>
    <cellStyle name="Total 2 3 9" xfId="1623" xr:uid="{00000000-0005-0000-0000-0000EA130000}"/>
    <cellStyle name="Total 2 3 9 2" xfId="2929" xr:uid="{00000000-0005-0000-0000-0000EB130000}"/>
    <cellStyle name="Total 2 3 9 3" xfId="4242" xr:uid="{00000000-0005-0000-0000-0000EC130000}"/>
    <cellStyle name="Total 2 3 9 4" xfId="5322" xr:uid="{00000000-0005-0000-0000-0000ED130000}"/>
    <cellStyle name="Total 2 4" xfId="1624" xr:uid="{00000000-0005-0000-0000-0000EE130000}"/>
    <cellStyle name="Total 2 4 2" xfId="2930" xr:uid="{00000000-0005-0000-0000-0000EF130000}"/>
    <cellStyle name="Total 2 4 3" xfId="4243" xr:uid="{00000000-0005-0000-0000-0000F0130000}"/>
    <cellStyle name="Total 2 4 4" xfId="5323" xr:uid="{00000000-0005-0000-0000-0000F1130000}"/>
    <cellStyle name="Total 2 5" xfId="1625" xr:uid="{00000000-0005-0000-0000-0000F2130000}"/>
    <cellStyle name="Total 2 5 2" xfId="2931" xr:uid="{00000000-0005-0000-0000-0000F3130000}"/>
    <cellStyle name="Total 2 5 3" xfId="4244" xr:uid="{00000000-0005-0000-0000-0000F4130000}"/>
    <cellStyle name="Total 2 5 4" xfId="5324" xr:uid="{00000000-0005-0000-0000-0000F5130000}"/>
    <cellStyle name="Total 2 6" xfId="1626" xr:uid="{00000000-0005-0000-0000-0000F6130000}"/>
    <cellStyle name="Total 2 6 2" xfId="2932" xr:uid="{00000000-0005-0000-0000-0000F7130000}"/>
    <cellStyle name="Total 2 6 3" xfId="4245" xr:uid="{00000000-0005-0000-0000-0000F8130000}"/>
    <cellStyle name="Total 2 6 4" xfId="5325" xr:uid="{00000000-0005-0000-0000-0000F9130000}"/>
    <cellStyle name="Total 2 7" xfId="1627" xr:uid="{00000000-0005-0000-0000-0000FA130000}"/>
    <cellStyle name="Total 2 7 2" xfId="2933" xr:uid="{00000000-0005-0000-0000-0000FB130000}"/>
    <cellStyle name="Total 2 7 3" xfId="4246" xr:uid="{00000000-0005-0000-0000-0000FC130000}"/>
    <cellStyle name="Total 2 7 4" xfId="5326" xr:uid="{00000000-0005-0000-0000-0000FD130000}"/>
    <cellStyle name="Total 2 8" xfId="1628" xr:uid="{00000000-0005-0000-0000-0000FE130000}"/>
    <cellStyle name="Total 2 8 2" xfId="2934" xr:uid="{00000000-0005-0000-0000-0000FF130000}"/>
    <cellStyle name="Total 2 8 3" xfId="4247" xr:uid="{00000000-0005-0000-0000-000000140000}"/>
    <cellStyle name="Total 2 8 4" xfId="5327" xr:uid="{00000000-0005-0000-0000-000001140000}"/>
    <cellStyle name="Total 2 9" xfId="1629" xr:uid="{00000000-0005-0000-0000-000002140000}"/>
    <cellStyle name="Total 2 9 2" xfId="2935" xr:uid="{00000000-0005-0000-0000-000003140000}"/>
    <cellStyle name="Total 2 9 3" xfId="4248" xr:uid="{00000000-0005-0000-0000-000004140000}"/>
    <cellStyle name="Total 2 9 4" xfId="5328" xr:uid="{00000000-0005-0000-0000-000005140000}"/>
    <cellStyle name="Total 3" xfId="1630" xr:uid="{00000000-0005-0000-0000-000006140000}"/>
    <cellStyle name="Total 3 2" xfId="1631" xr:uid="{00000000-0005-0000-0000-000007140000}"/>
    <cellStyle name="Total 3 2 10" xfId="1632" xr:uid="{00000000-0005-0000-0000-000008140000}"/>
    <cellStyle name="Total 3 2 10 2" xfId="2937" xr:uid="{00000000-0005-0000-0000-000009140000}"/>
    <cellStyle name="Total 3 2 10 3" xfId="4251" xr:uid="{00000000-0005-0000-0000-00000A140000}"/>
    <cellStyle name="Total 3 2 10 4" xfId="5330" xr:uid="{00000000-0005-0000-0000-00000B140000}"/>
    <cellStyle name="Total 3 2 11" xfId="1633" xr:uid="{00000000-0005-0000-0000-00000C140000}"/>
    <cellStyle name="Total 3 2 11 2" xfId="2938" xr:uid="{00000000-0005-0000-0000-00000D140000}"/>
    <cellStyle name="Total 3 2 11 3" xfId="4252" xr:uid="{00000000-0005-0000-0000-00000E140000}"/>
    <cellStyle name="Total 3 2 11 4" xfId="5331" xr:uid="{00000000-0005-0000-0000-00000F140000}"/>
    <cellStyle name="Total 3 2 12" xfId="1634" xr:uid="{00000000-0005-0000-0000-000010140000}"/>
    <cellStyle name="Total 3 2 12 2" xfId="2939" xr:uid="{00000000-0005-0000-0000-000011140000}"/>
    <cellStyle name="Total 3 2 12 3" xfId="4253" xr:uid="{00000000-0005-0000-0000-000012140000}"/>
    <cellStyle name="Total 3 2 12 4" xfId="5332" xr:uid="{00000000-0005-0000-0000-000013140000}"/>
    <cellStyle name="Total 3 2 13" xfId="1635" xr:uid="{00000000-0005-0000-0000-000014140000}"/>
    <cellStyle name="Total 3 2 13 2" xfId="2940" xr:uid="{00000000-0005-0000-0000-000015140000}"/>
    <cellStyle name="Total 3 2 13 3" xfId="4254" xr:uid="{00000000-0005-0000-0000-000016140000}"/>
    <cellStyle name="Total 3 2 13 4" xfId="5333" xr:uid="{00000000-0005-0000-0000-000017140000}"/>
    <cellStyle name="Total 3 2 14" xfId="2936" xr:uid="{00000000-0005-0000-0000-000018140000}"/>
    <cellStyle name="Total 3 2 15" xfId="4250" xr:uid="{00000000-0005-0000-0000-000019140000}"/>
    <cellStyle name="Total 3 2 16" xfId="5329" xr:uid="{00000000-0005-0000-0000-00001A140000}"/>
    <cellStyle name="Total 3 2 2" xfId="1636" xr:uid="{00000000-0005-0000-0000-00001B140000}"/>
    <cellStyle name="Total 3 2 2 2" xfId="2941" xr:uid="{00000000-0005-0000-0000-00001C140000}"/>
    <cellStyle name="Total 3 2 2 3" xfId="4255" xr:uid="{00000000-0005-0000-0000-00001D140000}"/>
    <cellStyle name="Total 3 2 2 4" xfId="5334" xr:uid="{00000000-0005-0000-0000-00001E140000}"/>
    <cellStyle name="Total 3 2 3" xfId="1637" xr:uid="{00000000-0005-0000-0000-00001F140000}"/>
    <cellStyle name="Total 3 2 3 2" xfId="2942" xr:uid="{00000000-0005-0000-0000-000020140000}"/>
    <cellStyle name="Total 3 2 3 3" xfId="4256" xr:uid="{00000000-0005-0000-0000-000021140000}"/>
    <cellStyle name="Total 3 2 3 4" xfId="5335" xr:uid="{00000000-0005-0000-0000-000022140000}"/>
    <cellStyle name="Total 3 2 4" xfId="1638" xr:uid="{00000000-0005-0000-0000-000023140000}"/>
    <cellStyle name="Total 3 2 4 2" xfId="2943" xr:uid="{00000000-0005-0000-0000-000024140000}"/>
    <cellStyle name="Total 3 2 4 3" xfId="4257" xr:uid="{00000000-0005-0000-0000-000025140000}"/>
    <cellStyle name="Total 3 2 4 4" xfId="5336" xr:uid="{00000000-0005-0000-0000-000026140000}"/>
    <cellStyle name="Total 3 2 5" xfId="1639" xr:uid="{00000000-0005-0000-0000-000027140000}"/>
    <cellStyle name="Total 3 2 5 2" xfId="2944" xr:uid="{00000000-0005-0000-0000-000028140000}"/>
    <cellStyle name="Total 3 2 5 3" xfId="4258" xr:uid="{00000000-0005-0000-0000-000029140000}"/>
    <cellStyle name="Total 3 2 5 4" xfId="5337" xr:uid="{00000000-0005-0000-0000-00002A140000}"/>
    <cellStyle name="Total 3 2 6" xfId="1640" xr:uid="{00000000-0005-0000-0000-00002B140000}"/>
    <cellStyle name="Total 3 2 6 2" xfId="2945" xr:uid="{00000000-0005-0000-0000-00002C140000}"/>
    <cellStyle name="Total 3 2 6 3" xfId="4259" xr:uid="{00000000-0005-0000-0000-00002D140000}"/>
    <cellStyle name="Total 3 2 6 4" xfId="5338" xr:uid="{00000000-0005-0000-0000-00002E140000}"/>
    <cellStyle name="Total 3 2 7" xfId="1641" xr:uid="{00000000-0005-0000-0000-00002F140000}"/>
    <cellStyle name="Total 3 2 7 2" xfId="2946" xr:uid="{00000000-0005-0000-0000-000030140000}"/>
    <cellStyle name="Total 3 2 7 3" xfId="4260" xr:uid="{00000000-0005-0000-0000-000031140000}"/>
    <cellStyle name="Total 3 2 7 4" xfId="5339" xr:uid="{00000000-0005-0000-0000-000032140000}"/>
    <cellStyle name="Total 3 2 8" xfId="1642" xr:uid="{00000000-0005-0000-0000-000033140000}"/>
    <cellStyle name="Total 3 2 8 2" xfId="2947" xr:uid="{00000000-0005-0000-0000-000034140000}"/>
    <cellStyle name="Total 3 2 8 3" xfId="4261" xr:uid="{00000000-0005-0000-0000-000035140000}"/>
    <cellStyle name="Total 3 2 8 4" xfId="5340" xr:uid="{00000000-0005-0000-0000-000036140000}"/>
    <cellStyle name="Total 3 2 9" xfId="1643" xr:uid="{00000000-0005-0000-0000-000037140000}"/>
    <cellStyle name="Total 3 2 9 2" xfId="2948" xr:uid="{00000000-0005-0000-0000-000038140000}"/>
    <cellStyle name="Total 3 2 9 3" xfId="4262" xr:uid="{00000000-0005-0000-0000-000039140000}"/>
    <cellStyle name="Total 3 2 9 4" xfId="5341" xr:uid="{00000000-0005-0000-0000-00003A140000}"/>
    <cellStyle name="Total 3 3" xfId="1644" xr:uid="{00000000-0005-0000-0000-00003B140000}"/>
    <cellStyle name="Total 4" xfId="1645" xr:uid="{00000000-0005-0000-0000-00003C140000}"/>
    <cellStyle name="Total 4 2" xfId="1646" xr:uid="{00000000-0005-0000-0000-00003D140000}"/>
    <cellStyle name="Total 4 2 10" xfId="1647" xr:uid="{00000000-0005-0000-0000-00003E140000}"/>
    <cellStyle name="Total 4 2 10 2" xfId="2950" xr:uid="{00000000-0005-0000-0000-00003F140000}"/>
    <cellStyle name="Total 4 2 10 3" xfId="4264" xr:uid="{00000000-0005-0000-0000-000040140000}"/>
    <cellStyle name="Total 4 2 10 4" xfId="5343" xr:uid="{00000000-0005-0000-0000-000041140000}"/>
    <cellStyle name="Total 4 2 11" xfId="1648" xr:uid="{00000000-0005-0000-0000-000042140000}"/>
    <cellStyle name="Total 4 2 11 2" xfId="2951" xr:uid="{00000000-0005-0000-0000-000043140000}"/>
    <cellStyle name="Total 4 2 11 3" xfId="4265" xr:uid="{00000000-0005-0000-0000-000044140000}"/>
    <cellStyle name="Total 4 2 11 4" xfId="5344" xr:uid="{00000000-0005-0000-0000-000045140000}"/>
    <cellStyle name="Total 4 2 12" xfId="1649" xr:uid="{00000000-0005-0000-0000-000046140000}"/>
    <cellStyle name="Total 4 2 12 2" xfId="2952" xr:uid="{00000000-0005-0000-0000-000047140000}"/>
    <cellStyle name="Total 4 2 12 3" xfId="4266" xr:uid="{00000000-0005-0000-0000-000048140000}"/>
    <cellStyle name="Total 4 2 12 4" xfId="5345" xr:uid="{00000000-0005-0000-0000-000049140000}"/>
    <cellStyle name="Total 4 2 13" xfId="1650" xr:uid="{00000000-0005-0000-0000-00004A140000}"/>
    <cellStyle name="Total 4 2 13 2" xfId="2953" xr:uid="{00000000-0005-0000-0000-00004B140000}"/>
    <cellStyle name="Total 4 2 13 3" xfId="4267" xr:uid="{00000000-0005-0000-0000-00004C140000}"/>
    <cellStyle name="Total 4 2 13 4" xfId="5346" xr:uid="{00000000-0005-0000-0000-00004D140000}"/>
    <cellStyle name="Total 4 2 14" xfId="2949" xr:uid="{00000000-0005-0000-0000-00004E140000}"/>
    <cellStyle name="Total 4 2 15" xfId="4263" xr:uid="{00000000-0005-0000-0000-00004F140000}"/>
    <cellStyle name="Total 4 2 16" xfId="5342" xr:uid="{00000000-0005-0000-0000-000050140000}"/>
    <cellStyle name="Total 4 2 2" xfId="1651" xr:uid="{00000000-0005-0000-0000-000051140000}"/>
    <cellStyle name="Total 4 2 2 2" xfId="2954" xr:uid="{00000000-0005-0000-0000-000052140000}"/>
    <cellStyle name="Total 4 2 2 3" xfId="4268" xr:uid="{00000000-0005-0000-0000-000053140000}"/>
    <cellStyle name="Total 4 2 2 4" xfId="5347" xr:uid="{00000000-0005-0000-0000-000054140000}"/>
    <cellStyle name="Total 4 2 3" xfId="1652" xr:uid="{00000000-0005-0000-0000-000055140000}"/>
    <cellStyle name="Total 4 2 3 2" xfId="2955" xr:uid="{00000000-0005-0000-0000-000056140000}"/>
    <cellStyle name="Total 4 2 3 3" xfId="4269" xr:uid="{00000000-0005-0000-0000-000057140000}"/>
    <cellStyle name="Total 4 2 3 4" xfId="5348" xr:uid="{00000000-0005-0000-0000-000058140000}"/>
    <cellStyle name="Total 4 2 4" xfId="1653" xr:uid="{00000000-0005-0000-0000-000059140000}"/>
    <cellStyle name="Total 4 2 4 2" xfId="2956" xr:uid="{00000000-0005-0000-0000-00005A140000}"/>
    <cellStyle name="Total 4 2 4 3" xfId="4270" xr:uid="{00000000-0005-0000-0000-00005B140000}"/>
    <cellStyle name="Total 4 2 4 4" xfId="5349" xr:uid="{00000000-0005-0000-0000-00005C140000}"/>
    <cellStyle name="Total 4 2 5" xfId="1654" xr:uid="{00000000-0005-0000-0000-00005D140000}"/>
    <cellStyle name="Total 4 2 5 2" xfId="2957" xr:uid="{00000000-0005-0000-0000-00005E140000}"/>
    <cellStyle name="Total 4 2 5 3" xfId="4271" xr:uid="{00000000-0005-0000-0000-00005F140000}"/>
    <cellStyle name="Total 4 2 5 4" xfId="5350" xr:uid="{00000000-0005-0000-0000-000060140000}"/>
    <cellStyle name="Total 4 2 6" xfId="1655" xr:uid="{00000000-0005-0000-0000-000061140000}"/>
    <cellStyle name="Total 4 2 6 2" xfId="2958" xr:uid="{00000000-0005-0000-0000-000062140000}"/>
    <cellStyle name="Total 4 2 6 3" xfId="4272" xr:uid="{00000000-0005-0000-0000-000063140000}"/>
    <cellStyle name="Total 4 2 6 4" xfId="5351" xr:uid="{00000000-0005-0000-0000-000064140000}"/>
    <cellStyle name="Total 4 2 7" xfId="1656" xr:uid="{00000000-0005-0000-0000-000065140000}"/>
    <cellStyle name="Total 4 2 7 2" xfId="2959" xr:uid="{00000000-0005-0000-0000-000066140000}"/>
    <cellStyle name="Total 4 2 7 3" xfId="4273" xr:uid="{00000000-0005-0000-0000-000067140000}"/>
    <cellStyle name="Total 4 2 7 4" xfId="5352" xr:uid="{00000000-0005-0000-0000-000068140000}"/>
    <cellStyle name="Total 4 2 8" xfId="1657" xr:uid="{00000000-0005-0000-0000-000069140000}"/>
    <cellStyle name="Total 4 2 8 2" xfId="2960" xr:uid="{00000000-0005-0000-0000-00006A140000}"/>
    <cellStyle name="Total 4 2 8 3" xfId="4274" xr:uid="{00000000-0005-0000-0000-00006B140000}"/>
    <cellStyle name="Total 4 2 8 4" xfId="5353" xr:uid="{00000000-0005-0000-0000-00006C140000}"/>
    <cellStyle name="Total 4 2 9" xfId="1658" xr:uid="{00000000-0005-0000-0000-00006D140000}"/>
    <cellStyle name="Total 4 2 9 2" xfId="2961" xr:uid="{00000000-0005-0000-0000-00006E140000}"/>
    <cellStyle name="Total 4 2 9 3" xfId="4275" xr:uid="{00000000-0005-0000-0000-00006F140000}"/>
    <cellStyle name="Total 4 2 9 4" xfId="5354" xr:uid="{00000000-0005-0000-0000-000070140000}"/>
    <cellStyle name="Total 4 3" xfId="1659" xr:uid="{00000000-0005-0000-0000-000071140000}"/>
    <cellStyle name="Warning Text 2" xfId="1660" xr:uid="{00000000-0005-0000-0000-000072140000}"/>
    <cellStyle name="Warning Text 2 2" xfId="1661" xr:uid="{00000000-0005-0000-0000-000073140000}"/>
    <cellStyle name="Warning Text 2 3" xfId="1662" xr:uid="{00000000-0005-0000-0000-000074140000}"/>
    <cellStyle name="Warning Text 3" xfId="1663" xr:uid="{00000000-0005-0000-0000-000075140000}"/>
    <cellStyle name="Warning Text 3 2" xfId="1664" xr:uid="{00000000-0005-0000-0000-000076140000}"/>
    <cellStyle name="Warning Text 3 3" xfId="1665" xr:uid="{00000000-0005-0000-0000-000077140000}"/>
    <cellStyle name="Warning Text 4" xfId="1666" xr:uid="{00000000-0005-0000-0000-000078140000}"/>
    <cellStyle name="강조색1 2" xfId="1749" xr:uid="{00000000-0005-0000-0000-000079140000}"/>
    <cellStyle name="강조색2 2" xfId="1753" xr:uid="{00000000-0005-0000-0000-00007A140000}"/>
    <cellStyle name="강조색3 2" xfId="1757" xr:uid="{00000000-0005-0000-0000-00007B140000}"/>
    <cellStyle name="강조색4 2" xfId="1761" xr:uid="{00000000-0005-0000-0000-00007C140000}"/>
    <cellStyle name="강조색5 2" xfId="1735" xr:uid="{00000000-0005-0000-0000-00007D140000}"/>
    <cellStyle name="강조색6 2" xfId="1768" xr:uid="{00000000-0005-0000-0000-00007E140000}"/>
    <cellStyle name="檢查儲存格" xfId="1720" xr:uid="{00000000-0005-0000-0000-00007F140000}"/>
    <cellStyle name="경고문 2" xfId="1745" xr:uid="{00000000-0005-0000-0000-000080140000}"/>
    <cellStyle name="警告文字" xfId="1724" xr:uid="{00000000-0005-0000-0000-000081140000}"/>
    <cellStyle name="계산 2" xfId="1743" xr:uid="{00000000-0005-0000-0000-000082140000}"/>
    <cellStyle name="計算方式" xfId="1722" xr:uid="{00000000-0005-0000-0000-000083140000}"/>
    <cellStyle name="計算方式 2" xfId="2966" xr:uid="{00000000-0005-0000-0000-000084140000}"/>
    <cellStyle name="計算方式 3" xfId="4306" xr:uid="{00000000-0005-0000-0000-000085140000}"/>
    <cellStyle name="計算方式 4" xfId="5359" xr:uid="{00000000-0005-0000-0000-000086140000}"/>
    <cellStyle name="壞" xfId="1676" xr:uid="{00000000-0005-0000-0000-000087140000}"/>
    <cellStyle name="나쁨 2" xfId="53" xr:uid="{00000000-0005-0000-0000-000088140000}"/>
    <cellStyle name="連結的儲存格" xfId="1734" xr:uid="{00000000-0005-0000-0000-000089140000}"/>
    <cellStyle name="메모 2" xfId="1746" xr:uid="{00000000-0005-0000-0000-00008A140000}"/>
    <cellStyle name="百分比 2" xfId="1721" xr:uid="{00000000-0005-0000-0000-00008B140000}"/>
    <cellStyle name="輔色1" xfId="1726" xr:uid="{00000000-0005-0000-0000-00008C140000}"/>
    <cellStyle name="輔色2" xfId="1727" xr:uid="{00000000-0005-0000-0000-00008D140000}"/>
    <cellStyle name="輔色3" xfId="1728" xr:uid="{00000000-0005-0000-0000-00008E140000}"/>
    <cellStyle name="輔色4" xfId="1729" xr:uid="{00000000-0005-0000-0000-00008F140000}"/>
    <cellStyle name="輔色5" xfId="1730" xr:uid="{00000000-0005-0000-0000-000090140000}"/>
    <cellStyle name="輔色6" xfId="1731" xr:uid="{00000000-0005-0000-0000-000091140000}"/>
    <cellStyle name="보통 2" xfId="57" xr:uid="{00000000-0005-0000-0000-000092140000}"/>
    <cellStyle name="備註" xfId="1672" xr:uid="{00000000-0005-0000-0000-000093140000}"/>
    <cellStyle name="備註 2" xfId="2963" xr:uid="{00000000-0005-0000-0000-000094140000}"/>
    <cellStyle name="備註 3" xfId="4281" xr:uid="{00000000-0005-0000-0000-000095140000}"/>
    <cellStyle name="備註 4" xfId="5356" xr:uid="{00000000-0005-0000-0000-000096140000}"/>
    <cellStyle name="常规 10" xfId="1678" xr:uid="{00000000-0005-0000-0000-000097140000}"/>
    <cellStyle name="常规 11" xfId="1679" xr:uid="{00000000-0005-0000-0000-000098140000}"/>
    <cellStyle name="常规 12" xfId="1680" xr:uid="{00000000-0005-0000-0000-000099140000}"/>
    <cellStyle name="常规 13" xfId="1681" xr:uid="{00000000-0005-0000-0000-00009A140000}"/>
    <cellStyle name="常规 14" xfId="1682" xr:uid="{00000000-0005-0000-0000-00009B140000}"/>
    <cellStyle name="常规 15" xfId="1683" xr:uid="{00000000-0005-0000-0000-00009C140000}"/>
    <cellStyle name="常规 16" xfId="1684" xr:uid="{00000000-0005-0000-0000-00009D140000}"/>
    <cellStyle name="常规 17" xfId="1685" xr:uid="{00000000-0005-0000-0000-00009E140000}"/>
    <cellStyle name="常规 18" xfId="1686" xr:uid="{00000000-0005-0000-0000-00009F140000}"/>
    <cellStyle name="常规 19" xfId="1687" xr:uid="{00000000-0005-0000-0000-0000A0140000}"/>
    <cellStyle name="常规 2" xfId="1688" xr:uid="{00000000-0005-0000-0000-0000A1140000}"/>
    <cellStyle name="常规 2 2" xfId="1689" xr:uid="{00000000-0005-0000-0000-0000A2140000}"/>
    <cellStyle name="常规 20" xfId="1690" xr:uid="{00000000-0005-0000-0000-0000A3140000}"/>
    <cellStyle name="常规 21" xfId="1691" xr:uid="{00000000-0005-0000-0000-0000A4140000}"/>
    <cellStyle name="常规 22" xfId="1692" xr:uid="{00000000-0005-0000-0000-0000A5140000}"/>
    <cellStyle name="常规 23" xfId="1693" xr:uid="{00000000-0005-0000-0000-0000A6140000}"/>
    <cellStyle name="常规 24" xfId="1694" xr:uid="{00000000-0005-0000-0000-0000A7140000}"/>
    <cellStyle name="常规 25" xfId="1695" xr:uid="{00000000-0005-0000-0000-0000A8140000}"/>
    <cellStyle name="常规 26" xfId="1696" xr:uid="{00000000-0005-0000-0000-0000A9140000}"/>
    <cellStyle name="常规 27" xfId="1697" xr:uid="{00000000-0005-0000-0000-0000AA140000}"/>
    <cellStyle name="常规 28" xfId="1698" xr:uid="{00000000-0005-0000-0000-0000AB140000}"/>
    <cellStyle name="常规 29" xfId="1699" xr:uid="{00000000-0005-0000-0000-0000AC140000}"/>
    <cellStyle name="常规 3" xfId="1700" xr:uid="{00000000-0005-0000-0000-0000AD140000}"/>
    <cellStyle name="常规 3 2" xfId="1701" xr:uid="{00000000-0005-0000-0000-0000AE140000}"/>
    <cellStyle name="常规 3 2 2" xfId="2965" xr:uid="{00000000-0005-0000-0000-0000AF140000}"/>
    <cellStyle name="常规 3 2 3" xfId="4298" xr:uid="{00000000-0005-0000-0000-0000B0140000}"/>
    <cellStyle name="常规 3 2 4" xfId="5358" xr:uid="{00000000-0005-0000-0000-0000B1140000}"/>
    <cellStyle name="常规 30" xfId="1702" xr:uid="{00000000-0005-0000-0000-0000B2140000}"/>
    <cellStyle name="常规 31" xfId="1703" xr:uid="{00000000-0005-0000-0000-0000B3140000}"/>
    <cellStyle name="常规 32" xfId="1704" xr:uid="{00000000-0005-0000-0000-0000B4140000}"/>
    <cellStyle name="常规 33" xfId="1705" xr:uid="{00000000-0005-0000-0000-0000B5140000}"/>
    <cellStyle name="常规 34" xfId="1706" xr:uid="{00000000-0005-0000-0000-0000B6140000}"/>
    <cellStyle name="常规 4" xfId="1707" xr:uid="{00000000-0005-0000-0000-0000B7140000}"/>
    <cellStyle name="常规 5" xfId="1708" xr:uid="{00000000-0005-0000-0000-0000B8140000}"/>
    <cellStyle name="常规 6" xfId="1709" xr:uid="{00000000-0005-0000-0000-0000B9140000}"/>
    <cellStyle name="常规 7" xfId="1710" xr:uid="{00000000-0005-0000-0000-0000BA140000}"/>
    <cellStyle name="常规 8" xfId="1711" xr:uid="{00000000-0005-0000-0000-0000BB140000}"/>
    <cellStyle name="常规 9" xfId="1712" xr:uid="{00000000-0005-0000-0000-0000BC140000}"/>
    <cellStyle name="常规_~1146617" xfId="1713" xr:uid="{00000000-0005-0000-0000-0000BD140000}"/>
    <cellStyle name="설명 텍스트 2" xfId="1747" xr:uid="{00000000-0005-0000-0000-0000BE140000}"/>
    <cellStyle name="說明文字" xfId="1723" xr:uid="{00000000-0005-0000-0000-0000BF140000}"/>
    <cellStyle name="셀 확인 2" xfId="54" xr:uid="{00000000-0005-0000-0000-0000C0140000}"/>
    <cellStyle name="輸入" xfId="1732" xr:uid="{00000000-0005-0000-0000-0000C1140000}"/>
    <cellStyle name="輸入 2" xfId="2968" xr:uid="{00000000-0005-0000-0000-0000C2140000}"/>
    <cellStyle name="輸入 3" xfId="4313" xr:uid="{00000000-0005-0000-0000-0000C3140000}"/>
    <cellStyle name="輸入 4" xfId="5361" xr:uid="{00000000-0005-0000-0000-0000C4140000}"/>
    <cellStyle name="輸出" xfId="1733" xr:uid="{00000000-0005-0000-0000-0000C5140000}"/>
    <cellStyle name="輸出 2" xfId="2969" xr:uid="{00000000-0005-0000-0000-0000C6140000}"/>
    <cellStyle name="輸出 3" xfId="4314" xr:uid="{00000000-0005-0000-0000-0000C7140000}"/>
    <cellStyle name="輸出 4" xfId="5362" xr:uid="{00000000-0005-0000-0000-0000C8140000}"/>
    <cellStyle name="쉼표" xfId="40" builtinId="3"/>
    <cellStyle name="쉼표 [0]" xfId="41" builtinId="6"/>
    <cellStyle name="쉼표 [0] 2" xfId="5372" xr:uid="{00000000-0005-0000-0000-0000CB140000}"/>
    <cellStyle name="쉼표 [0] 2 2" xfId="1774" xr:uid="{00000000-0005-0000-0000-0000CC140000}"/>
    <cellStyle name="쉼표 [0] 2 3" xfId="4325" xr:uid="{00000000-0005-0000-0000-0000CD140000}"/>
    <cellStyle name="쉼표 [0] 2 4" xfId="5363" xr:uid="{00000000-0005-0000-0000-0000CE140000}"/>
    <cellStyle name="쉼표 [0] 4" xfId="5367" xr:uid="{00000000-0005-0000-0000-0000CF140000}"/>
    <cellStyle name="쉼표 [0] 4 2" xfId="5377" xr:uid="{00000000-0005-0000-0000-0000D0140000}"/>
    <cellStyle name="쉼표 [0] 8" xfId="5388" xr:uid="{00000000-0005-0000-0000-0000D1140000}"/>
    <cellStyle name="쉼표 2" xfId="5381" xr:uid="{00000000-0005-0000-0000-0000D2140000}"/>
    <cellStyle name="쉼표 2 2" xfId="1667" xr:uid="{00000000-0005-0000-0000-0000D3140000}"/>
    <cellStyle name="쉼표 2 3" xfId="5378" xr:uid="{00000000-0005-0000-0000-0000D4140000}"/>
    <cellStyle name="쉼표 3" xfId="5368" xr:uid="{00000000-0005-0000-0000-0000D5140000}"/>
    <cellStyle name="쉼표 3 2" xfId="5379" xr:uid="{00000000-0005-0000-0000-0000D6140000}"/>
    <cellStyle name="쉼표 4" xfId="5385" xr:uid="{00000000-0005-0000-0000-0000D7140000}"/>
    <cellStyle name="연결된 셀 2" xfId="1744" xr:uid="{00000000-0005-0000-0000-0000D8140000}"/>
    <cellStyle name="요약 2" xfId="1748" xr:uid="{00000000-0005-0000-0000-0000D9140000}"/>
    <cellStyle name="一般_Back order -102209" xfId="1670" xr:uid="{00000000-0005-0000-0000-0000DA140000}"/>
    <cellStyle name="입력 2" xfId="1741" xr:uid="{00000000-0005-0000-0000-0000DB140000}"/>
    <cellStyle name="제목 1 2" xfId="1737" xr:uid="{00000000-0005-0000-0000-0000DC140000}"/>
    <cellStyle name="제목 2 2" xfId="1738" xr:uid="{00000000-0005-0000-0000-0000DD140000}"/>
    <cellStyle name="제목 3 2" xfId="1739" xr:uid="{00000000-0005-0000-0000-0000DE140000}"/>
    <cellStyle name="제목 4 2" xfId="1740" xr:uid="{00000000-0005-0000-0000-0000DF140000}"/>
    <cellStyle name="제목 5" xfId="1736" xr:uid="{00000000-0005-0000-0000-0000E0140000}"/>
    <cellStyle name="제목 6" xfId="5389" xr:uid="{00000000-0005-0000-0000-0000E1140000}"/>
    <cellStyle name="좋음 2" xfId="52" xr:uid="{00000000-0005-0000-0000-0000E2140000}"/>
    <cellStyle name="中等" xfId="1671" xr:uid="{00000000-0005-0000-0000-0000E3140000}"/>
    <cellStyle name="千位分隔[0] 2" xfId="1673" xr:uid="{00000000-0005-0000-0000-0000E4140000}"/>
    <cellStyle name="千位分隔_~0774234" xfId="1674" xr:uid="{00000000-0005-0000-0000-0000E5140000}"/>
    <cellStyle name="출력 2" xfId="1742" xr:uid="{00000000-0005-0000-0000-0000E6140000}"/>
    <cellStyle name="標題" xfId="1715" xr:uid="{00000000-0005-0000-0000-0000E7140000}"/>
    <cellStyle name="標題 1" xfId="1716" xr:uid="{00000000-0005-0000-0000-0000E8140000}"/>
    <cellStyle name="標題 2" xfId="1717" xr:uid="{00000000-0005-0000-0000-0000E9140000}"/>
    <cellStyle name="標題 3" xfId="1718" xr:uid="{00000000-0005-0000-0000-0000EA140000}"/>
    <cellStyle name="標題 4" xfId="1719" xr:uid="{00000000-0005-0000-0000-0000EB140000}"/>
    <cellStyle name="표준" xfId="0" builtinId="0"/>
    <cellStyle name="표준 10" xfId="5369" xr:uid="{00000000-0005-0000-0000-0000ED140000}"/>
    <cellStyle name="표준 11" xfId="5370" xr:uid="{00000000-0005-0000-0000-0000EE140000}"/>
    <cellStyle name="표준 12" xfId="5371" xr:uid="{00000000-0005-0000-0000-0000EF140000}"/>
    <cellStyle name="표준 13" xfId="5380" xr:uid="{00000000-0005-0000-0000-0000F0140000}"/>
    <cellStyle name="표준 14" xfId="5384" xr:uid="{00000000-0005-0000-0000-0000F1140000}"/>
    <cellStyle name="표준 15" xfId="5387" xr:uid="{00000000-0005-0000-0000-0000F2140000}"/>
    <cellStyle name="표준 2" xfId="42" xr:uid="{00000000-0005-0000-0000-0000F3140000}"/>
    <cellStyle name="표준 2 2" xfId="1668" xr:uid="{00000000-0005-0000-0000-0000F4140000}"/>
    <cellStyle name="표준 2 2 2" xfId="2962" xr:uid="{00000000-0005-0000-0000-0000F5140000}"/>
    <cellStyle name="표준 2 2 3" xfId="4279" xr:uid="{00000000-0005-0000-0000-0000F6140000}"/>
    <cellStyle name="표준 2 2 4" xfId="5355" xr:uid="{00000000-0005-0000-0000-0000F7140000}"/>
    <cellStyle name="표준 2 3" xfId="1669" xr:uid="{00000000-0005-0000-0000-0000F8140000}"/>
    <cellStyle name="표준 2 7" xfId="5375" xr:uid="{00000000-0005-0000-0000-0000F9140000}"/>
    <cellStyle name="표준 3" xfId="45" xr:uid="{00000000-0005-0000-0000-0000FA140000}"/>
    <cellStyle name="표준 3 2" xfId="1776" xr:uid="{00000000-0005-0000-0000-0000FB140000}"/>
    <cellStyle name="표준 4" xfId="43" xr:uid="{00000000-0005-0000-0000-0000FC140000}"/>
    <cellStyle name="표준 4 2" xfId="1775" xr:uid="{00000000-0005-0000-0000-0000FD140000}"/>
    <cellStyle name="표준 5" xfId="44" xr:uid="{00000000-0005-0000-0000-0000FE140000}"/>
    <cellStyle name="표준 6" xfId="47" xr:uid="{00000000-0005-0000-0000-0000FF140000}"/>
    <cellStyle name="표준 6 2" xfId="5373" xr:uid="{00000000-0005-0000-0000-000000150000}"/>
    <cellStyle name="표준 6 2 2" xfId="5376" xr:uid="{00000000-0005-0000-0000-000001150000}"/>
    <cellStyle name="표준 7" xfId="48" xr:uid="{00000000-0005-0000-0000-000002150000}"/>
    <cellStyle name="표준 8" xfId="5365" xr:uid="{00000000-0005-0000-0000-000003150000}"/>
    <cellStyle name="표준 9" xfId="5366" xr:uid="{00000000-0005-0000-0000-000004150000}"/>
    <cellStyle name="標準_0XC1" xfId="1714" xr:uid="{00000000-0005-0000-0000-000005150000}"/>
    <cellStyle name="合計" xfId="1675" xr:uid="{00000000-0005-0000-0000-000006150000}"/>
    <cellStyle name="合計 2" xfId="2964" xr:uid="{00000000-0005-0000-0000-000007150000}"/>
    <cellStyle name="合計 3" xfId="4282" xr:uid="{00000000-0005-0000-0000-000008150000}"/>
    <cellStyle name="合計 4" xfId="5357" xr:uid="{00000000-0005-0000-0000-000009150000}"/>
    <cellStyle name="好" xfId="1677" xr:uid="{00000000-0005-0000-0000-00000A150000}"/>
    <cellStyle name="货币 2" xfId="1725" xr:uid="{00000000-0005-0000-0000-00000B150000}"/>
    <cellStyle name="货币 2 2" xfId="2967" xr:uid="{00000000-0005-0000-0000-00000C150000}"/>
    <cellStyle name="货币 2 3" xfId="4308" xr:uid="{00000000-0005-0000-0000-00000D150000}"/>
    <cellStyle name="货币 2 4" xfId="5360" xr:uid="{00000000-0005-0000-0000-00000E15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FFFF99"/>
      <color rgb="FFFFFF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060;&#48120;&#49689;/Documents/&#65283;&#47588;&#52636;%20&#45800;&#44032;&#54364;/IL%20PRICE/Youngil-MBK_Apr%2001%20-%20Dec%2031,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1060;&#48120;&#49689;/Documents/&#47588;&#52636;%20&#45800;&#44032;&#54364;/AL%20PRICE/AL%20new%20price%20list_Jan%2010,%202024_&#45824;&#47532;&#51216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50689;&#51068;1/AppData/Local/SK%20Communications/NATEON5/78D8ABC7E43D21E07B750DEEA16E7FC4/Temp/Youngil-DP_Nov.01.2023-Aug.31.2025%20(IL%20&#44032;&#44201;&#51064;&#49345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1"/>
      <sheetName val="Table 2"/>
    </sheetNames>
    <sheetDataSet>
      <sheetData sheetId="0" refreshError="1">
        <row r="6">
          <cell r="A6">
            <v>147122</v>
          </cell>
          <cell r="B6" t="str">
            <v>MB AMG HPEO SAE 0W-40 229.5 12X1LT:KR(N)</v>
          </cell>
          <cell r="C6">
            <v>51828</v>
          </cell>
        </row>
        <row r="7">
          <cell r="A7">
            <v>147284</v>
          </cell>
          <cell r="B7" t="str">
            <v>MB GEO SAE 5W-40 MB 229.5 208LT:KR(N)</v>
          </cell>
          <cell r="C7">
            <v>530625</v>
          </cell>
        </row>
        <row r="8">
          <cell r="A8">
            <v>147370</v>
          </cell>
          <cell r="B8" t="str">
            <v>MB GEO SAE 5W-30 MB 229.51 208LT:KR(N)</v>
          </cell>
          <cell r="C8">
            <v>528082</v>
          </cell>
        </row>
        <row r="9">
          <cell r="A9">
            <v>147379</v>
          </cell>
          <cell r="B9" t="str">
            <v>MB GEO SAE 5W-30 MB 229.52 12X1LT:KR(N)</v>
          </cell>
          <cell r="C9">
            <v>37740</v>
          </cell>
        </row>
        <row r="10">
          <cell r="A10">
            <v>147391</v>
          </cell>
          <cell r="B10" t="str">
            <v>MB GEO SAE 5W-30 MB 229.52 208LT:KR(N)</v>
          </cell>
          <cell r="C10">
            <v>522994</v>
          </cell>
        </row>
        <row r="11">
          <cell r="A11">
            <v>147279</v>
          </cell>
          <cell r="B11" t="str">
            <v>MB GEO SAE 0W-20 MB 229.71 CTN12X1L:EXTH</v>
          </cell>
          <cell r="C11">
            <v>50796</v>
          </cell>
        </row>
        <row r="12">
          <cell r="A12">
            <v>141257</v>
          </cell>
          <cell r="B12" t="str">
            <v>MB GENUINE ATF FE ATF MB 236.15 12X1LT</v>
          </cell>
          <cell r="C12">
            <v>82344</v>
          </cell>
        </row>
        <row r="13">
          <cell r="A13">
            <v>140876</v>
          </cell>
          <cell r="B13" t="str">
            <v>MB GGO SAE 75W-90 MB 235.11 PAIL 20LT:KR</v>
          </cell>
          <cell r="C13">
            <v>529893</v>
          </cell>
        </row>
        <row r="14">
          <cell r="A14">
            <v>140877</v>
          </cell>
          <cell r="B14" t="str">
            <v>MB GGO SAE 80W MB 235.1 PAIL 20LT:KR</v>
          </cell>
          <cell r="C14">
            <v>80739</v>
          </cell>
        </row>
        <row r="15">
          <cell r="A15">
            <v>140878</v>
          </cell>
          <cell r="B15" t="str">
            <v>MB HGO SAE 80W-90 MB 235.20 PAIL 20LT:KR</v>
          </cell>
          <cell r="C15">
            <v>121830</v>
          </cell>
        </row>
        <row r="16">
          <cell r="A16">
            <v>138583</v>
          </cell>
          <cell r="B16" t="str">
            <v>MOBIL ATF 220 CTN 12X1L:TW</v>
          </cell>
          <cell r="C16">
            <v>44600</v>
          </cell>
        </row>
        <row r="17">
          <cell r="A17">
            <v>140901</v>
          </cell>
          <cell r="B17" t="str">
            <v>MB GEO SAE 10W-40 MB 228.5 4X5LT:KR</v>
          </cell>
          <cell r="C17">
            <v>88308</v>
          </cell>
        </row>
        <row r="18">
          <cell r="A18">
            <v>140902</v>
          </cell>
          <cell r="B18" t="str">
            <v>MB GEO SAE 10W-40 MB 228.5 200LT:KR</v>
          </cell>
          <cell r="C18">
            <v>870316</v>
          </cell>
        </row>
        <row r="19">
          <cell r="A19">
            <v>140904</v>
          </cell>
          <cell r="B19" t="str">
            <v>MB GEO SAE 10W-40 MB 228.51 4X5LT:KR</v>
          </cell>
          <cell r="C19">
            <v>96792</v>
          </cell>
        </row>
        <row r="20">
          <cell r="A20">
            <v>140905</v>
          </cell>
          <cell r="B20" t="str">
            <v>MB GEO SAE 10W-40 MB 228.51 200LT:KR</v>
          </cell>
          <cell r="C20">
            <v>874413</v>
          </cell>
        </row>
        <row r="21">
          <cell r="A21">
            <v>140922</v>
          </cell>
          <cell r="B21" t="str">
            <v>MB GRAO SAE 75W-90 MB 235.8 20LT:KR</v>
          </cell>
          <cell r="C21">
            <v>210521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C summary"/>
      <sheetName val="Price list"/>
    </sheetNames>
    <sheetDataSet>
      <sheetData sheetId="0" refreshError="1"/>
      <sheetData sheetId="1" refreshError="1">
        <row r="2">
          <cell r="A2">
            <v>141441</v>
          </cell>
          <cell r="B2" t="str">
            <v>AP141441</v>
          </cell>
          <cell r="C2" t="str">
            <v>MOBIL 1 HYBRID 0W-20 CTN 12X1L:KR</v>
          </cell>
          <cell r="D2">
            <v>7</v>
          </cell>
          <cell r="E2">
            <v>106000</v>
          </cell>
          <cell r="F2">
            <v>106000</v>
          </cell>
        </row>
        <row r="3">
          <cell r="A3">
            <v>138806</v>
          </cell>
          <cell r="B3" t="str">
            <v>AP138806</v>
          </cell>
          <cell r="C3" t="str">
            <v>MOBIL OUTBOARD PLUS CTN 24X0.414L:KR</v>
          </cell>
          <cell r="D3">
            <v>46</v>
          </cell>
          <cell r="E3">
            <v>148600</v>
          </cell>
          <cell r="F3">
            <v>148600</v>
          </cell>
        </row>
        <row r="4">
          <cell r="A4">
            <v>143240</v>
          </cell>
          <cell r="B4" t="str">
            <v>AP143240</v>
          </cell>
          <cell r="C4" t="str">
            <v>M DV ULTRA 5W-40 UP V1 CTN 4X4L:KR</v>
          </cell>
          <cell r="D4">
            <v>62</v>
          </cell>
          <cell r="E4">
            <v>107800</v>
          </cell>
          <cell r="F4">
            <v>107800</v>
          </cell>
        </row>
        <row r="5">
          <cell r="A5">
            <v>143241</v>
          </cell>
          <cell r="B5" t="str">
            <v>AP143241</v>
          </cell>
          <cell r="C5" t="str">
            <v>M DV ULTRA 5W-40 UP V1 PAIL 20L:KR</v>
          </cell>
          <cell r="D5">
            <v>63</v>
          </cell>
          <cell r="E5">
            <v>131000</v>
          </cell>
          <cell r="F5">
            <v>131000</v>
          </cell>
        </row>
        <row r="6">
          <cell r="A6">
            <v>143242</v>
          </cell>
          <cell r="B6" t="str">
            <v>AP143242</v>
          </cell>
          <cell r="C6" t="str">
            <v>M DV ULTRA 5W-40 UP V1 DRUM 208L:KR</v>
          </cell>
          <cell r="D6">
            <v>64</v>
          </cell>
          <cell r="E6">
            <v>1300000</v>
          </cell>
          <cell r="F6">
            <v>1300000</v>
          </cell>
        </row>
        <row r="7">
          <cell r="A7">
            <v>139949</v>
          </cell>
          <cell r="B7" t="str">
            <v>AP139949</v>
          </cell>
          <cell r="C7" t="str">
            <v>M-GREASE XHP 222 CART 40X0.39KG/13.7OZ</v>
          </cell>
          <cell r="D7">
            <v>138</v>
          </cell>
          <cell r="E7">
            <v>213000</v>
          </cell>
          <cell r="F7">
            <v>201000</v>
          </cell>
        </row>
        <row r="8">
          <cell r="A8">
            <v>128430</v>
          </cell>
          <cell r="B8" t="str">
            <v>AP128430</v>
          </cell>
          <cell r="C8" t="str">
            <v>ARAPEN RB 320 DR400LB</v>
          </cell>
          <cell r="D8">
            <v>144</v>
          </cell>
          <cell r="E8">
            <v>1800000</v>
          </cell>
          <cell r="F8">
            <v>1800000</v>
          </cell>
        </row>
        <row r="9">
          <cell r="A9">
            <v>143534</v>
          </cell>
          <cell r="B9" t="str">
            <v>AP143534</v>
          </cell>
          <cell r="C9" t="str">
            <v>MOBIL 1 ESP X2 0W20 CTN 12X1L:KR</v>
          </cell>
          <cell r="D9">
            <v>1</v>
          </cell>
          <cell r="E9">
            <v>124000</v>
          </cell>
          <cell r="F9">
            <v>124000</v>
          </cell>
        </row>
        <row r="10">
          <cell r="A10">
            <v>143128</v>
          </cell>
          <cell r="B10" t="str">
            <v>AP143128</v>
          </cell>
          <cell r="C10" t="str">
            <v>MOBIL 1 ESP X2 0W-20 DRUM 208L:SG</v>
          </cell>
          <cell r="D10">
            <v>2</v>
          </cell>
          <cell r="E10">
            <v>2081000</v>
          </cell>
          <cell r="F10">
            <v>2081000</v>
          </cell>
        </row>
        <row r="11">
          <cell r="A11">
            <v>143533</v>
          </cell>
          <cell r="B11" t="str">
            <v>AP143533</v>
          </cell>
          <cell r="C11" t="str">
            <v>MOBIL 1 ESP LV 0W30 CTN 12X1L:KR</v>
          </cell>
          <cell r="D11">
            <v>3</v>
          </cell>
          <cell r="E11">
            <v>124000</v>
          </cell>
          <cell r="F11">
            <v>124000</v>
          </cell>
        </row>
        <row r="12">
          <cell r="A12">
            <v>142150</v>
          </cell>
          <cell r="B12" t="str">
            <v>AP142150</v>
          </cell>
          <cell r="C12" t="str">
            <v>M-1 ESP LV 0W30 DRUM-M 208L</v>
          </cell>
          <cell r="D12">
            <v>4</v>
          </cell>
          <cell r="E12">
            <v>2081000</v>
          </cell>
          <cell r="F12">
            <v>2081000</v>
          </cell>
        </row>
        <row r="13">
          <cell r="A13">
            <v>143487</v>
          </cell>
          <cell r="B13" t="str">
            <v>AP143487</v>
          </cell>
          <cell r="C13" t="str">
            <v>MOBIL 1 ESP X3 0W40 CTN 12X1L:KR</v>
          </cell>
          <cell r="D13">
            <v>5</v>
          </cell>
          <cell r="E13">
            <v>124000</v>
          </cell>
          <cell r="F13">
            <v>124000</v>
          </cell>
        </row>
        <row r="14">
          <cell r="A14">
            <v>146235</v>
          </cell>
          <cell r="B14" t="str">
            <v>AP146235</v>
          </cell>
          <cell r="C14" t="str">
            <v>MOBIL 1 ESP 5W30 (SP) CTN 12X1L:KR</v>
          </cell>
          <cell r="D14">
            <v>6</v>
          </cell>
          <cell r="E14">
            <v>124000</v>
          </cell>
          <cell r="F14">
            <v>124000</v>
          </cell>
        </row>
        <row r="15">
          <cell r="A15">
            <v>146254</v>
          </cell>
          <cell r="B15" t="str">
            <v>AP146254</v>
          </cell>
          <cell r="C15" t="str">
            <v>MOBIL 1 0W-40 (N) CTN 12X1L:KR</v>
          </cell>
          <cell r="D15">
            <v>8</v>
          </cell>
          <cell r="E15">
            <v>118000</v>
          </cell>
          <cell r="F15">
            <v>118000</v>
          </cell>
        </row>
        <row r="16">
          <cell r="A16">
            <v>146255</v>
          </cell>
          <cell r="B16" t="str">
            <v>AP146255</v>
          </cell>
          <cell r="C16" t="str">
            <v>MOBIL 1 0W-40 (N) DRUM 200L:KR</v>
          </cell>
          <cell r="D16">
            <v>9</v>
          </cell>
          <cell r="E16">
            <v>1789000</v>
          </cell>
          <cell r="F16">
            <v>1789000</v>
          </cell>
        </row>
        <row r="17">
          <cell r="A17">
            <v>141765</v>
          </cell>
          <cell r="B17" t="str">
            <v>AP141765</v>
          </cell>
          <cell r="C17" t="str">
            <v>M-1 SYN LV ATF HP, 6X1 UQL, CASE</v>
          </cell>
          <cell r="D17">
            <v>10</v>
          </cell>
          <cell r="E17">
            <v>64300</v>
          </cell>
          <cell r="F17">
            <v>64300</v>
          </cell>
        </row>
        <row r="18">
          <cell r="A18">
            <v>143891</v>
          </cell>
          <cell r="B18" t="str">
            <v>AP143891</v>
          </cell>
          <cell r="C18" t="str">
            <v>M SUP AIOP V 0W20 CTN 12X1L:KR</v>
          </cell>
          <cell r="D18">
            <v>11</v>
          </cell>
          <cell r="E18">
            <v>72200</v>
          </cell>
          <cell r="F18">
            <v>70100</v>
          </cell>
        </row>
        <row r="19">
          <cell r="A19">
            <v>143892</v>
          </cell>
          <cell r="B19" t="str">
            <v>AP143892</v>
          </cell>
          <cell r="C19" t="str">
            <v>M SUP AIOP V 0W20 DR 200L:KR</v>
          </cell>
          <cell r="D19">
            <v>12</v>
          </cell>
          <cell r="E19">
            <v>1099000</v>
          </cell>
          <cell r="F19">
            <v>1067000</v>
          </cell>
        </row>
        <row r="20">
          <cell r="A20">
            <v>144220</v>
          </cell>
          <cell r="B20" t="str">
            <v>AP144220</v>
          </cell>
          <cell r="C20" t="str">
            <v>M SUP AIOP V 0W30 CTN 12X1L:KR</v>
          </cell>
          <cell r="D20">
            <v>13</v>
          </cell>
          <cell r="E20">
            <v>72200</v>
          </cell>
          <cell r="F20">
            <v>70100</v>
          </cell>
        </row>
        <row r="21">
          <cell r="A21">
            <v>144219</v>
          </cell>
          <cell r="B21" t="str">
            <v>AP144219</v>
          </cell>
          <cell r="C21" t="str">
            <v>M SUP AIOP V 0W30 DRUM 200L:KR</v>
          </cell>
          <cell r="D21">
            <v>14</v>
          </cell>
          <cell r="E21">
            <v>1099000</v>
          </cell>
          <cell r="F21">
            <v>1067000</v>
          </cell>
        </row>
        <row r="22">
          <cell r="A22">
            <v>144255</v>
          </cell>
          <cell r="B22" t="str">
            <v>AP144255</v>
          </cell>
          <cell r="C22" t="str">
            <v>M SUP AIOP V 5W30 CTN 12X1L:KR</v>
          </cell>
          <cell r="D22">
            <v>15</v>
          </cell>
          <cell r="E22">
            <v>68500</v>
          </cell>
          <cell r="F22">
            <v>66500</v>
          </cell>
        </row>
        <row r="23">
          <cell r="A23">
            <v>144256</v>
          </cell>
          <cell r="B23" t="str">
            <v>AP144256</v>
          </cell>
          <cell r="C23" t="str">
            <v>M SUP AIOP V 5W30 DRUM 200L:KR</v>
          </cell>
          <cell r="D23">
            <v>16</v>
          </cell>
          <cell r="E23">
            <v>1052000</v>
          </cell>
          <cell r="F23">
            <v>1021000</v>
          </cell>
        </row>
        <row r="24">
          <cell r="A24">
            <v>142039</v>
          </cell>
          <cell r="B24" t="str">
            <v>AP142039</v>
          </cell>
          <cell r="C24" t="str">
            <v>M SUPER 3000 F M 5W-40 12X1L CTN:KR</v>
          </cell>
          <cell r="D24">
            <v>17</v>
          </cell>
          <cell r="E24">
            <v>61900</v>
          </cell>
          <cell r="F24">
            <v>60100</v>
          </cell>
        </row>
        <row r="25">
          <cell r="A25">
            <v>143192</v>
          </cell>
          <cell r="B25" t="str">
            <v>AP143192</v>
          </cell>
          <cell r="C25" t="str">
            <v>MOBIL SUPER 3000 F M 5W-40 DR 200L:KR</v>
          </cell>
          <cell r="D25">
            <v>18</v>
          </cell>
          <cell r="E25">
            <v>935000</v>
          </cell>
          <cell r="F25">
            <v>908000</v>
          </cell>
        </row>
        <row r="26">
          <cell r="A26">
            <v>145476</v>
          </cell>
          <cell r="B26" t="str">
            <v>AP145476</v>
          </cell>
          <cell r="C26" t="str">
            <v xml:space="preserve"> MOBIL SUPER TP HIGHWAY PROTECTION 5W-40 12x1L </v>
          </cell>
          <cell r="D26">
            <v>19</v>
          </cell>
          <cell r="E26">
            <v>50300</v>
          </cell>
          <cell r="F26">
            <v>50300</v>
          </cell>
        </row>
        <row r="27">
          <cell r="A27">
            <v>145477</v>
          </cell>
          <cell r="B27" t="str">
            <v>AP145477</v>
          </cell>
          <cell r="C27" t="str">
            <v xml:space="preserve">MOBIL SUPER TP HIGHWAY PROTECTION 5W-40 200L </v>
          </cell>
          <cell r="D27">
            <v>20</v>
          </cell>
          <cell r="E27">
            <v>755000</v>
          </cell>
          <cell r="F27">
            <v>755000</v>
          </cell>
        </row>
        <row r="28">
          <cell r="A28">
            <v>143207</v>
          </cell>
          <cell r="B28" t="str">
            <v>AP143207</v>
          </cell>
          <cell r="C28" t="str">
            <v>M SUP TP SMART PLUS PRO 0W20 CTN12X1L:KR</v>
          </cell>
          <cell r="D28">
            <v>21</v>
          </cell>
          <cell r="E28">
            <v>50300</v>
          </cell>
          <cell r="F28">
            <v>50300</v>
          </cell>
        </row>
        <row r="29">
          <cell r="A29">
            <v>143194</v>
          </cell>
          <cell r="B29" t="str">
            <v>AP143194</v>
          </cell>
          <cell r="C29" t="str">
            <v>M SUP TP SMART PLUS PRO 0W-20 DR 200L:KR</v>
          </cell>
          <cell r="D29">
            <v>22</v>
          </cell>
          <cell r="E29">
            <v>755000</v>
          </cell>
          <cell r="F29">
            <v>755000</v>
          </cell>
        </row>
        <row r="30">
          <cell r="A30">
            <v>144620</v>
          </cell>
          <cell r="B30" t="str">
            <v>AP144620</v>
          </cell>
          <cell r="C30" t="str">
            <v xml:space="preserve">M SUP TP TURBO 0W-30 CTN 12X1L:KR (N) </v>
          </cell>
          <cell r="D30">
            <v>23</v>
          </cell>
          <cell r="E30">
            <v>50300</v>
          </cell>
          <cell r="F30">
            <v>50300</v>
          </cell>
        </row>
        <row r="31">
          <cell r="A31">
            <v>144619</v>
          </cell>
          <cell r="B31" t="str">
            <v>AP144619</v>
          </cell>
          <cell r="C31" t="str">
            <v>M SUP TP TURBO 0W-30 DR 200L:KR (N)</v>
          </cell>
          <cell r="D31">
            <v>24</v>
          </cell>
          <cell r="E31">
            <v>755000</v>
          </cell>
          <cell r="F31">
            <v>755000</v>
          </cell>
        </row>
        <row r="32">
          <cell r="A32">
            <v>143209</v>
          </cell>
          <cell r="B32" t="str">
            <v>AP143209</v>
          </cell>
          <cell r="C32" t="str">
            <v>M SUP TP TURBO GDI PRO 5W-30 CTN12X1L:KR</v>
          </cell>
          <cell r="D32">
            <v>25</v>
          </cell>
          <cell r="E32">
            <v>50300</v>
          </cell>
          <cell r="F32">
            <v>50300</v>
          </cell>
        </row>
        <row r="33">
          <cell r="A33">
            <v>143195</v>
          </cell>
          <cell r="B33" t="str">
            <v>AP143195</v>
          </cell>
          <cell r="C33" t="str">
            <v>M SUP TP TURBO GDI PRO 5W-30 DR 200L:KR</v>
          </cell>
          <cell r="D33">
            <v>26</v>
          </cell>
          <cell r="E33">
            <v>755000</v>
          </cell>
          <cell r="F33">
            <v>755000</v>
          </cell>
        </row>
        <row r="34">
          <cell r="A34">
            <v>143210</v>
          </cell>
          <cell r="B34" t="str">
            <v>AP143210</v>
          </cell>
          <cell r="C34" t="str">
            <v>M SUP EP C2 5W-30 CTN 12X1L:KR</v>
          </cell>
          <cell r="D34">
            <v>27</v>
          </cell>
          <cell r="E34">
            <v>47600</v>
          </cell>
          <cell r="F34">
            <v>45300</v>
          </cell>
        </row>
        <row r="35">
          <cell r="A35">
            <v>143396</v>
          </cell>
          <cell r="B35" t="str">
            <v>AP143396</v>
          </cell>
          <cell r="C35" t="str">
            <v>M SUP EP C2 5W-30 CTN 3X6L:KR</v>
          </cell>
          <cell r="D35">
            <v>28</v>
          </cell>
          <cell r="E35">
            <v>63500</v>
          </cell>
          <cell r="F35">
            <v>60500</v>
          </cell>
        </row>
        <row r="36">
          <cell r="A36">
            <v>143196</v>
          </cell>
          <cell r="B36" t="str">
            <v>AP143196</v>
          </cell>
          <cell r="C36" t="str">
            <v>M SUP EP C2 5W-30 DR 200L:KR</v>
          </cell>
          <cell r="D36">
            <v>29</v>
          </cell>
          <cell r="E36">
            <v>678000</v>
          </cell>
          <cell r="F36">
            <v>646000</v>
          </cell>
        </row>
        <row r="37">
          <cell r="A37">
            <v>143211</v>
          </cell>
          <cell r="B37" t="str">
            <v>AP143211</v>
          </cell>
          <cell r="C37" t="str">
            <v>M SUP EP C3 5W-30 CTN 12X1L:KR</v>
          </cell>
          <cell r="D37">
            <v>30</v>
          </cell>
          <cell r="E37">
            <v>50500</v>
          </cell>
          <cell r="F37">
            <v>48100</v>
          </cell>
        </row>
        <row r="38">
          <cell r="A38">
            <v>143397</v>
          </cell>
          <cell r="B38" t="str">
            <v>AP143397</v>
          </cell>
          <cell r="C38" t="str">
            <v>M SUP EP C3 5W-30 CTN 3X6L:KR</v>
          </cell>
          <cell r="D38">
            <v>31</v>
          </cell>
          <cell r="E38">
            <v>67400</v>
          </cell>
          <cell r="F38">
            <v>64200</v>
          </cell>
        </row>
        <row r="39">
          <cell r="A39">
            <v>143197</v>
          </cell>
          <cell r="B39" t="str">
            <v>AP143197</v>
          </cell>
          <cell r="C39" t="str">
            <v>M SUP EP C3 5W-30 DR 200L:KR</v>
          </cell>
          <cell r="D39">
            <v>32</v>
          </cell>
          <cell r="E39">
            <v>718000</v>
          </cell>
          <cell r="F39">
            <v>684000</v>
          </cell>
        </row>
        <row r="40">
          <cell r="A40">
            <v>143212</v>
          </cell>
          <cell r="B40" t="str">
            <v>AP143212</v>
          </cell>
          <cell r="C40" t="str">
            <v>M SUP EP 5W-20 CTN 12X1L:KR</v>
          </cell>
          <cell r="D40">
            <v>33</v>
          </cell>
          <cell r="E40">
            <v>39600</v>
          </cell>
          <cell r="F40">
            <v>37700</v>
          </cell>
        </row>
        <row r="41">
          <cell r="A41">
            <v>143219</v>
          </cell>
          <cell r="B41" t="str">
            <v>AP143219</v>
          </cell>
          <cell r="C41" t="str">
            <v>M SUP EP 5W-20 CTN 4X4L:KR</v>
          </cell>
          <cell r="D41">
            <v>34</v>
          </cell>
          <cell r="E41">
            <v>48000</v>
          </cell>
          <cell r="F41">
            <v>45700</v>
          </cell>
        </row>
        <row r="42">
          <cell r="A42">
            <v>143201</v>
          </cell>
          <cell r="B42" t="str">
            <v>AP143201</v>
          </cell>
          <cell r="C42" t="str">
            <v>M SUP EP 5W-20 DR 200L:KR</v>
          </cell>
          <cell r="D42">
            <v>35</v>
          </cell>
          <cell r="E42">
            <v>538000</v>
          </cell>
          <cell r="F42">
            <v>512000</v>
          </cell>
        </row>
        <row r="43">
          <cell r="A43">
            <v>143221</v>
          </cell>
          <cell r="B43" t="str">
            <v>AP143221</v>
          </cell>
          <cell r="C43" t="str">
            <v>M SUP EP 5W-30 CTN 4X4L:KR</v>
          </cell>
          <cell r="D43">
            <v>36</v>
          </cell>
          <cell r="E43">
            <v>48000</v>
          </cell>
          <cell r="F43">
            <v>45700</v>
          </cell>
        </row>
        <row r="44">
          <cell r="A44">
            <v>143202</v>
          </cell>
          <cell r="B44" t="str">
            <v>AP143202</v>
          </cell>
          <cell r="C44" t="str">
            <v>M SUP EP 5W-30 DR 200L:KR</v>
          </cell>
          <cell r="D44">
            <v>37</v>
          </cell>
          <cell r="E44">
            <v>538000</v>
          </cell>
          <cell r="F44">
            <v>512000</v>
          </cell>
        </row>
        <row r="45">
          <cell r="A45">
            <v>143222</v>
          </cell>
          <cell r="B45" t="str">
            <v>AP143222</v>
          </cell>
          <cell r="C45" t="str">
            <v>M SUP EP 10W-40 CTN 4X4L:KR</v>
          </cell>
          <cell r="D45">
            <v>38</v>
          </cell>
          <cell r="E45">
            <v>48000</v>
          </cell>
          <cell r="F45">
            <v>48000</v>
          </cell>
        </row>
        <row r="46">
          <cell r="A46">
            <v>143203</v>
          </cell>
          <cell r="B46" t="str">
            <v>AP143203</v>
          </cell>
          <cell r="C46" t="str">
            <v>M SUP EP 10W-40 DR 200L:KR</v>
          </cell>
          <cell r="D46">
            <v>39</v>
          </cell>
          <cell r="E46">
            <v>565000</v>
          </cell>
          <cell r="F46">
            <v>538000</v>
          </cell>
        </row>
        <row r="47">
          <cell r="A47">
            <v>143398</v>
          </cell>
          <cell r="B47" t="str">
            <v>AP143398</v>
          </cell>
          <cell r="C47" t="str">
            <v>M SPECIAL PLUS DIESEL 5W-30 CTN 3X6L:KR</v>
          </cell>
          <cell r="D47">
            <v>40</v>
          </cell>
          <cell r="E47">
            <v>53300</v>
          </cell>
          <cell r="F47">
            <v>50800</v>
          </cell>
        </row>
        <row r="48">
          <cell r="A48">
            <v>143206</v>
          </cell>
          <cell r="B48" t="str">
            <v>AP143206</v>
          </cell>
          <cell r="C48" t="str">
            <v>M SPECIAL PLUS DIESEL 5W-30 DR 200L:KR</v>
          </cell>
          <cell r="D48">
            <v>41</v>
          </cell>
          <cell r="E48">
            <v>548000</v>
          </cell>
          <cell r="F48">
            <v>522000</v>
          </cell>
        </row>
        <row r="49">
          <cell r="A49">
            <v>143224</v>
          </cell>
          <cell r="B49" t="str">
            <v>AP143224</v>
          </cell>
          <cell r="C49" t="str">
            <v>M SPECIAL PLUS DIESEL 5W-30 BULK</v>
          </cell>
          <cell r="D49">
            <v>42</v>
          </cell>
          <cell r="E49">
            <v>2590</v>
          </cell>
          <cell r="F49">
            <v>2470</v>
          </cell>
        </row>
        <row r="50">
          <cell r="A50">
            <v>146012</v>
          </cell>
          <cell r="B50" t="str">
            <v>AP146012</v>
          </cell>
          <cell r="C50" t="str">
            <v>MOBIL SPECIAL PLUS 5W-30 CTN 4X4L:KR (N)</v>
          </cell>
          <cell r="D50">
            <v>43</v>
          </cell>
          <cell r="E50">
            <v>43400</v>
          </cell>
          <cell r="F50">
            <v>41300</v>
          </cell>
        </row>
        <row r="51">
          <cell r="A51">
            <v>146013</v>
          </cell>
          <cell r="B51" t="str">
            <v>AP146013</v>
          </cell>
          <cell r="C51" t="str">
            <v>MOBIL SPECIAL PLUS 5W-30 DRUM 200L:KR (N)</v>
          </cell>
          <cell r="D51">
            <v>44</v>
          </cell>
          <cell r="E51">
            <v>479000</v>
          </cell>
          <cell r="F51">
            <v>456000</v>
          </cell>
        </row>
        <row r="52">
          <cell r="A52">
            <v>143314</v>
          </cell>
          <cell r="B52" t="str">
            <v>AP143314</v>
          </cell>
          <cell r="C52" t="str">
            <v>MOBIL SUPER MOTO 10W-40 CTN 12X1L:KR</v>
          </cell>
          <cell r="D52">
            <v>45</v>
          </cell>
          <cell r="E52">
            <v>66500</v>
          </cell>
          <cell r="F52">
            <v>63300</v>
          </cell>
        </row>
        <row r="53">
          <cell r="A53">
            <v>144208</v>
          </cell>
          <cell r="B53" t="str">
            <v>AP144208</v>
          </cell>
          <cell r="C53" t="str">
            <v>MOBIL ATF 8LV CTN 12X1L:KR</v>
          </cell>
          <cell r="D53">
            <v>47</v>
          </cell>
          <cell r="E53">
            <v>78900</v>
          </cell>
          <cell r="F53">
            <v>78900</v>
          </cell>
        </row>
        <row r="54">
          <cell r="A54">
            <v>144185</v>
          </cell>
          <cell r="B54" t="str">
            <v>AP144185</v>
          </cell>
          <cell r="C54" t="str">
            <v>MOBIL ATF 8LV PAIL 20L:KR</v>
          </cell>
          <cell r="D54">
            <v>48</v>
          </cell>
          <cell r="E54">
            <v>119000</v>
          </cell>
          <cell r="F54">
            <v>119000</v>
          </cell>
        </row>
        <row r="55">
          <cell r="A55">
            <v>144188</v>
          </cell>
          <cell r="B55" t="str">
            <v>AP144188</v>
          </cell>
          <cell r="C55" t="str">
            <v>MOBIL ATF HK8 CTN 12X1L:KR</v>
          </cell>
          <cell r="D55">
            <v>49</v>
          </cell>
          <cell r="E55">
            <v>50000</v>
          </cell>
          <cell r="F55">
            <v>47600</v>
          </cell>
        </row>
        <row r="56">
          <cell r="A56">
            <v>144187</v>
          </cell>
          <cell r="B56" t="str">
            <v>AP144187</v>
          </cell>
          <cell r="C56" t="str">
            <v>MOBIL ATF HK8 PAIL 20L:KR</v>
          </cell>
          <cell r="D56">
            <v>50</v>
          </cell>
          <cell r="E56">
            <v>72500</v>
          </cell>
          <cell r="F56">
            <v>69000</v>
          </cell>
        </row>
        <row r="57">
          <cell r="A57">
            <v>144186</v>
          </cell>
          <cell r="B57" t="str">
            <v>AP144186</v>
          </cell>
          <cell r="C57" t="str">
            <v>MOBIL ATF HK8 DR 200L:KR</v>
          </cell>
          <cell r="D57">
            <v>51</v>
          </cell>
          <cell r="E57">
            <v>699000</v>
          </cell>
          <cell r="F57">
            <v>666000</v>
          </cell>
        </row>
        <row r="58">
          <cell r="A58">
            <v>139641</v>
          </cell>
          <cell r="B58" t="str">
            <v>AP139641</v>
          </cell>
          <cell r="C58" t="str">
            <v>MOBIL MULTIPURPOSE ATF CTN 12X1L:KR</v>
          </cell>
          <cell r="D58">
            <v>52</v>
          </cell>
          <cell r="E58">
            <v>43600</v>
          </cell>
          <cell r="F58">
            <v>43600</v>
          </cell>
        </row>
        <row r="59">
          <cell r="A59">
            <v>124476</v>
          </cell>
          <cell r="B59" t="str">
            <v>AP124476</v>
          </cell>
          <cell r="C59" t="str">
            <v>MOBIL MULTIPURPOSE ATF, 20LT PAIL</v>
          </cell>
          <cell r="D59">
            <v>53</v>
          </cell>
          <cell r="E59">
            <v>63200</v>
          </cell>
          <cell r="F59">
            <v>63200</v>
          </cell>
        </row>
        <row r="60">
          <cell r="A60">
            <v>138827</v>
          </cell>
          <cell r="B60" t="str">
            <v>AP138827</v>
          </cell>
          <cell r="C60" t="str">
            <v>MOBIL MULTIPURPOSE ATF DRUM 200L:KR</v>
          </cell>
          <cell r="D60">
            <v>54</v>
          </cell>
          <cell r="E60">
            <v>595000</v>
          </cell>
          <cell r="F60">
            <v>595000</v>
          </cell>
        </row>
        <row r="61">
          <cell r="A61">
            <v>138833</v>
          </cell>
          <cell r="B61" t="str">
            <v>AP138833</v>
          </cell>
          <cell r="C61" t="str">
            <v>M-FD LUBE SPECIAL 75W-85 CTN 12X1L:KR</v>
          </cell>
          <cell r="D61">
            <v>55</v>
          </cell>
          <cell r="E61">
            <v>51200</v>
          </cell>
          <cell r="F61">
            <v>48800</v>
          </cell>
        </row>
        <row r="62">
          <cell r="A62">
            <v>138832</v>
          </cell>
          <cell r="B62" t="str">
            <v>AP138832</v>
          </cell>
          <cell r="C62" t="str">
            <v>MOBIL FD LUBE SPECIAL 75W-85 PAIL 20L:KR</v>
          </cell>
          <cell r="D62">
            <v>56</v>
          </cell>
          <cell r="E62">
            <v>74300</v>
          </cell>
          <cell r="F62">
            <v>70800</v>
          </cell>
        </row>
        <row r="63">
          <cell r="A63">
            <v>123205</v>
          </cell>
          <cell r="B63" t="str">
            <v>AP123205</v>
          </cell>
          <cell r="C63" t="str">
            <v>MOBIL BRAKE FLUID DOT 4, 12X0.5LT CTN</v>
          </cell>
          <cell r="D63">
            <v>57</v>
          </cell>
          <cell r="E63">
            <v>63300</v>
          </cell>
          <cell r="F63">
            <v>60300</v>
          </cell>
        </row>
        <row r="64">
          <cell r="A64">
            <v>135080</v>
          </cell>
          <cell r="B64" t="str">
            <v>AP135080</v>
          </cell>
          <cell r="C64" t="str">
            <v>MOBIL ANTIFREEZE EXTRA, 12X1LT CTN</v>
          </cell>
          <cell r="D64">
            <v>58</v>
          </cell>
          <cell r="E64">
            <v>110000</v>
          </cell>
          <cell r="F64">
            <v>110000</v>
          </cell>
        </row>
        <row r="65">
          <cell r="A65">
            <v>143227</v>
          </cell>
          <cell r="B65" t="str">
            <v>AP143227</v>
          </cell>
          <cell r="C65" t="str">
            <v>M DV ULTRA 5W-30 UP CTN 4X4L:KR</v>
          </cell>
          <cell r="D65">
            <v>59</v>
          </cell>
          <cell r="E65">
            <v>139100</v>
          </cell>
          <cell r="F65">
            <v>139100</v>
          </cell>
        </row>
        <row r="66">
          <cell r="A66">
            <v>143228</v>
          </cell>
          <cell r="B66" t="str">
            <v>AP143228</v>
          </cell>
          <cell r="C66" t="str">
            <v>M DV ULTRA 5W-30 UP PAIL 20L:KR</v>
          </cell>
          <cell r="D66">
            <v>60</v>
          </cell>
          <cell r="E66">
            <v>170000</v>
          </cell>
          <cell r="F66">
            <v>170000</v>
          </cell>
        </row>
        <row r="67">
          <cell r="A67">
            <v>143229</v>
          </cell>
          <cell r="B67" t="str">
            <v>AP143229</v>
          </cell>
          <cell r="C67" t="str">
            <v>M DV ULTRA 5W-30 UP DRUM 208L:KR</v>
          </cell>
          <cell r="D67">
            <v>61</v>
          </cell>
          <cell r="E67">
            <v>1677000</v>
          </cell>
          <cell r="F67">
            <v>1677000</v>
          </cell>
        </row>
        <row r="68">
          <cell r="A68">
            <v>146719</v>
          </cell>
          <cell r="B68" t="str">
            <v>AP146719</v>
          </cell>
          <cell r="C68" t="str">
            <v>M DV ULTRA 5W-40 UP V1 CTN 4X4L:KR(N)</v>
          </cell>
          <cell r="D68">
            <v>65</v>
          </cell>
          <cell r="E68">
            <v>107800</v>
          </cell>
          <cell r="F68">
            <v>107800</v>
          </cell>
        </row>
        <row r="69">
          <cell r="A69">
            <v>146718</v>
          </cell>
          <cell r="B69" t="str">
            <v>AP146718</v>
          </cell>
          <cell r="C69" t="str">
            <v>M DV ULTRA 5W-40 UP V1 PAIL 20L:KR(N)</v>
          </cell>
          <cell r="D69">
            <v>66</v>
          </cell>
          <cell r="E69">
            <v>131000</v>
          </cell>
          <cell r="F69">
            <v>131000</v>
          </cell>
        </row>
        <row r="70">
          <cell r="A70">
            <v>146717</v>
          </cell>
          <cell r="B70" t="str">
            <v>AP146717</v>
          </cell>
          <cell r="C70" t="str">
            <v>M DV ULTRA 5W-40 UP V1 DRUM 208L:KR(N)</v>
          </cell>
          <cell r="D70">
            <v>67</v>
          </cell>
          <cell r="E70">
            <v>1300000</v>
          </cell>
          <cell r="F70">
            <v>1300000</v>
          </cell>
        </row>
        <row r="71">
          <cell r="A71">
            <v>143330</v>
          </cell>
          <cell r="B71" t="str">
            <v>AP143330</v>
          </cell>
          <cell r="C71" t="str">
            <v>M DV MODERN 5W-30 FE PLUS V1 CTN 4X4L:KR</v>
          </cell>
          <cell r="D71">
            <v>68</v>
          </cell>
          <cell r="E71">
            <v>86800</v>
          </cell>
          <cell r="F71">
            <v>82700</v>
          </cell>
        </row>
        <row r="72">
          <cell r="A72">
            <v>143331</v>
          </cell>
          <cell r="B72" t="str">
            <v>AP143331</v>
          </cell>
          <cell r="C72" t="str">
            <v>M DV MODERN 5W-30 FE PLUS V1 PAIL 20L:KR</v>
          </cell>
          <cell r="D72">
            <v>69</v>
          </cell>
          <cell r="E72">
            <v>105200</v>
          </cell>
          <cell r="F72">
            <v>100200</v>
          </cell>
        </row>
        <row r="73">
          <cell r="A73">
            <v>143332</v>
          </cell>
          <cell r="B73" t="str">
            <v>AP143332</v>
          </cell>
          <cell r="C73" t="str">
            <v>M DV MODERN 5W-30 FE PLUS V1 DRUM200L:KR</v>
          </cell>
          <cell r="D73">
            <v>70</v>
          </cell>
          <cell r="E73">
            <v>1017000</v>
          </cell>
          <cell r="F73">
            <v>969000</v>
          </cell>
        </row>
        <row r="74">
          <cell r="A74">
            <v>143230</v>
          </cell>
          <cell r="B74" t="str">
            <v>AP143230</v>
          </cell>
          <cell r="C74" t="str">
            <v>M DV MODERN 10W-40 AP CTN 4X4L:KR</v>
          </cell>
          <cell r="D74">
            <v>71</v>
          </cell>
          <cell r="E74">
            <v>86800</v>
          </cell>
          <cell r="F74">
            <v>82700</v>
          </cell>
        </row>
        <row r="75">
          <cell r="A75">
            <v>143231</v>
          </cell>
          <cell r="B75" t="str">
            <v>AP143231</v>
          </cell>
          <cell r="C75" t="str">
            <v>M DV MODERN 10W-40 AP PAIL 20L:KR</v>
          </cell>
          <cell r="D75">
            <v>72</v>
          </cell>
          <cell r="E75">
            <v>105200</v>
          </cell>
          <cell r="F75">
            <v>100200</v>
          </cell>
        </row>
        <row r="76">
          <cell r="A76">
            <v>143232</v>
          </cell>
          <cell r="B76" t="str">
            <v>AP143232</v>
          </cell>
          <cell r="C76" t="str">
            <v>M DV MODERN 10W-40 AP DRUM 200L:KR</v>
          </cell>
          <cell r="D76">
            <v>73</v>
          </cell>
          <cell r="E76">
            <v>1017000</v>
          </cell>
          <cell r="F76">
            <v>969000</v>
          </cell>
        </row>
        <row r="77">
          <cell r="A77">
            <v>143903</v>
          </cell>
          <cell r="B77" t="str">
            <v>AP143903</v>
          </cell>
          <cell r="C77" t="str">
            <v>M DV MODERN 10W-40 FP CTN 4X4L:KR</v>
          </cell>
          <cell r="D77">
            <v>74</v>
          </cell>
          <cell r="E77">
            <v>69400</v>
          </cell>
          <cell r="F77">
            <v>66100</v>
          </cell>
        </row>
        <row r="78">
          <cell r="A78">
            <v>143902</v>
          </cell>
          <cell r="B78" t="str">
            <v>AP143902</v>
          </cell>
          <cell r="C78" t="str">
            <v>M DV MODERN 10W-40 FP PAIL 20L:KR</v>
          </cell>
          <cell r="D78">
            <v>75</v>
          </cell>
          <cell r="E78">
            <v>80300</v>
          </cell>
          <cell r="F78">
            <v>76500</v>
          </cell>
        </row>
        <row r="79">
          <cell r="A79">
            <v>143901</v>
          </cell>
          <cell r="B79" t="str">
            <v>AP143901</v>
          </cell>
          <cell r="C79" t="str">
            <v>M DV MODERN 10W-40 FP DRUM 200L:KR</v>
          </cell>
          <cell r="D79">
            <v>76</v>
          </cell>
          <cell r="E79">
            <v>764000</v>
          </cell>
          <cell r="F79">
            <v>728000</v>
          </cell>
        </row>
        <row r="80">
          <cell r="A80">
            <v>143233</v>
          </cell>
          <cell r="B80" t="str">
            <v>AP143233</v>
          </cell>
          <cell r="C80" t="str">
            <v>M DV MODERN 15W-40 FP CTN 4X4L:KR</v>
          </cell>
          <cell r="D80">
            <v>77</v>
          </cell>
          <cell r="E80">
            <v>69400</v>
          </cell>
          <cell r="F80">
            <v>66100</v>
          </cell>
        </row>
        <row r="81">
          <cell r="A81">
            <v>143234</v>
          </cell>
          <cell r="B81" t="str">
            <v>AP143234</v>
          </cell>
          <cell r="C81" t="str">
            <v>M DV MODERN 15W-40 FP PAIL 20L:KR</v>
          </cell>
          <cell r="D81">
            <v>78</v>
          </cell>
          <cell r="E81">
            <v>80300</v>
          </cell>
          <cell r="F81">
            <v>76500</v>
          </cell>
        </row>
        <row r="82">
          <cell r="A82">
            <v>143235</v>
          </cell>
          <cell r="B82" t="str">
            <v>AP143235</v>
          </cell>
          <cell r="C82" t="str">
            <v>M DV MODERN 15W-40 FP DRUM 200L:KR</v>
          </cell>
          <cell r="D82">
            <v>79</v>
          </cell>
          <cell r="E82">
            <v>764000</v>
          </cell>
          <cell r="F82">
            <v>728000</v>
          </cell>
        </row>
        <row r="83">
          <cell r="A83">
            <v>144506</v>
          </cell>
          <cell r="B83" t="str">
            <v>AP144506</v>
          </cell>
          <cell r="C83" t="str">
            <v>M DV MODERN 10W-40 CP V1 CTN 4X4L:KR</v>
          </cell>
          <cell r="D83">
            <v>80</v>
          </cell>
          <cell r="E83">
            <v>58300</v>
          </cell>
          <cell r="F83">
            <v>55500</v>
          </cell>
        </row>
        <row r="84">
          <cell r="A84">
            <v>144507</v>
          </cell>
          <cell r="B84" t="str">
            <v>AP144507</v>
          </cell>
          <cell r="C84" t="str">
            <v>M DV MODERN 10W-40 CP V1 PAIL 20L:KR</v>
          </cell>
          <cell r="D84">
            <v>81</v>
          </cell>
          <cell r="E84">
            <v>68900</v>
          </cell>
          <cell r="F84">
            <v>65600</v>
          </cell>
        </row>
        <row r="85">
          <cell r="A85">
            <v>144508</v>
          </cell>
          <cell r="B85" t="str">
            <v>AP144508</v>
          </cell>
          <cell r="C85" t="str">
            <v>M DV MODERN 10W-40 CP V1 DRUM 200L:KR</v>
          </cell>
          <cell r="D85">
            <v>82</v>
          </cell>
          <cell r="E85">
            <v>651000</v>
          </cell>
          <cell r="F85">
            <v>620000</v>
          </cell>
        </row>
        <row r="86">
          <cell r="A86">
            <v>143236</v>
          </cell>
          <cell r="B86" t="str">
            <v>AP143236</v>
          </cell>
          <cell r="C86" t="str">
            <v>M DV MODERN 15W-40 CP CTN 4X4L:KR</v>
          </cell>
          <cell r="D86">
            <v>83</v>
          </cell>
          <cell r="E86">
            <v>51700</v>
          </cell>
          <cell r="F86">
            <v>49200</v>
          </cell>
        </row>
        <row r="87">
          <cell r="A87">
            <v>143237</v>
          </cell>
          <cell r="B87" t="str">
            <v>AP143237</v>
          </cell>
          <cell r="C87" t="str">
            <v>M DV MODERN 15W-40 CP PAIL 20L:KR</v>
          </cell>
          <cell r="D87">
            <v>84</v>
          </cell>
          <cell r="E87">
            <v>61300</v>
          </cell>
          <cell r="F87">
            <v>58400</v>
          </cell>
        </row>
        <row r="88">
          <cell r="A88">
            <v>143238</v>
          </cell>
          <cell r="B88" t="str">
            <v>AP143238</v>
          </cell>
          <cell r="C88" t="str">
            <v>M DV MODERN 15W-40 CP DRUM 200L:KR</v>
          </cell>
          <cell r="D88">
            <v>85</v>
          </cell>
          <cell r="E88">
            <v>576000</v>
          </cell>
          <cell r="F88">
            <v>549000</v>
          </cell>
        </row>
        <row r="89">
          <cell r="A89">
            <v>145419</v>
          </cell>
          <cell r="B89" t="str">
            <v>AP145419</v>
          </cell>
          <cell r="C89" t="str">
            <v>M DV LEGEND 10W40 PROTECTION CTN 4X4L:KR</v>
          </cell>
          <cell r="D89">
            <v>86</v>
          </cell>
          <cell r="E89">
            <v>48200</v>
          </cell>
          <cell r="F89">
            <v>45900</v>
          </cell>
        </row>
        <row r="90">
          <cell r="A90">
            <v>144531</v>
          </cell>
          <cell r="B90" t="str">
            <v>AP144531</v>
          </cell>
          <cell r="C90" t="str">
            <v>M DV LEGEND 10W40 PROTECTION PAIL 20L:KR</v>
          </cell>
          <cell r="D90">
            <v>87</v>
          </cell>
          <cell r="E90">
            <v>58000</v>
          </cell>
          <cell r="F90">
            <v>55200</v>
          </cell>
        </row>
        <row r="91">
          <cell r="A91">
            <v>144532</v>
          </cell>
          <cell r="B91" t="str">
            <v>AP144532</v>
          </cell>
          <cell r="C91" t="str">
            <v>M DV LEGEND 10W40 PROTECTION DR 200L:KR</v>
          </cell>
          <cell r="D91">
            <v>88</v>
          </cell>
          <cell r="E91">
            <v>546000</v>
          </cell>
          <cell r="F91">
            <v>520000</v>
          </cell>
        </row>
        <row r="92">
          <cell r="A92">
            <v>143248</v>
          </cell>
          <cell r="B92" t="str">
            <v>AP143248</v>
          </cell>
          <cell r="C92" t="str">
            <v>M DV LEGEND 1330 PAIL 20L:KR</v>
          </cell>
          <cell r="D92">
            <v>89</v>
          </cell>
          <cell r="E92">
            <v>62400</v>
          </cell>
          <cell r="F92">
            <v>59400</v>
          </cell>
        </row>
        <row r="93">
          <cell r="A93">
            <v>143250</v>
          </cell>
          <cell r="B93" t="str">
            <v>AP143250</v>
          </cell>
          <cell r="C93" t="str">
            <v>M DV LEGEND 1330 DRUM 200L:KR</v>
          </cell>
          <cell r="D93">
            <v>90</v>
          </cell>
          <cell r="E93">
            <v>610000</v>
          </cell>
          <cell r="F93">
            <v>581000</v>
          </cell>
        </row>
        <row r="94">
          <cell r="A94">
            <v>143249</v>
          </cell>
          <cell r="B94" t="str">
            <v>AP143249</v>
          </cell>
          <cell r="C94" t="str">
            <v>M DV LEGEND 1340 PAIL 20L:KR</v>
          </cell>
          <cell r="D94">
            <v>91</v>
          </cell>
          <cell r="E94">
            <v>62400</v>
          </cell>
          <cell r="F94">
            <v>59400</v>
          </cell>
        </row>
        <row r="95">
          <cell r="A95">
            <v>143251</v>
          </cell>
          <cell r="B95" t="str">
            <v>AP143251</v>
          </cell>
          <cell r="C95" t="str">
            <v>M DV LEGEND 1340 DRUM 200L:KR</v>
          </cell>
          <cell r="D95">
            <v>92</v>
          </cell>
          <cell r="E95">
            <v>610000</v>
          </cell>
          <cell r="F95">
            <v>581000</v>
          </cell>
        </row>
        <row r="96">
          <cell r="A96">
            <v>124065</v>
          </cell>
          <cell r="B96" t="str">
            <v>AP124065</v>
          </cell>
          <cell r="C96" t="str">
            <v>MOBIL DELVAC 1640, 208LT, DR</v>
          </cell>
          <cell r="D96">
            <v>93</v>
          </cell>
          <cell r="E96">
            <v>1011000</v>
          </cell>
          <cell r="F96">
            <v>1011000</v>
          </cell>
        </row>
        <row r="97">
          <cell r="A97">
            <v>142226</v>
          </cell>
          <cell r="B97" t="str">
            <v>AP142226</v>
          </cell>
          <cell r="C97" t="str">
            <v>MOBIL DELVAC XHP ESP S 10W-40 PL 20L:KR</v>
          </cell>
          <cell r="D97">
            <v>94</v>
          </cell>
          <cell r="E97">
            <v>101900</v>
          </cell>
          <cell r="F97">
            <v>97000</v>
          </cell>
        </row>
        <row r="98">
          <cell r="A98">
            <v>139882</v>
          </cell>
          <cell r="B98" t="str">
            <v>AP139882</v>
          </cell>
          <cell r="C98" t="str">
            <v>M-DEL MX ADV CITY LOG 5W-40 CTN 12X1L</v>
          </cell>
          <cell r="D98">
            <v>95</v>
          </cell>
          <cell r="E98">
            <v>56900</v>
          </cell>
          <cell r="F98">
            <v>54200</v>
          </cell>
        </row>
        <row r="99">
          <cell r="A99">
            <v>139883</v>
          </cell>
          <cell r="B99" t="str">
            <v>AP139883</v>
          </cell>
          <cell r="C99" t="str">
            <v>M-DEL MX ADV CITY LOG 5W-40 CTN 3X6L</v>
          </cell>
          <cell r="D99">
            <v>96</v>
          </cell>
          <cell r="E99">
            <v>75700</v>
          </cell>
          <cell r="F99">
            <v>72100</v>
          </cell>
        </row>
        <row r="100">
          <cell r="A100">
            <v>139881</v>
          </cell>
          <cell r="B100" t="str">
            <v>AP139881</v>
          </cell>
          <cell r="C100" t="str">
            <v>M-DEL MX ADV CITY LOG 5W-40 DRUM 200L</v>
          </cell>
          <cell r="D100">
            <v>97</v>
          </cell>
          <cell r="E100">
            <v>810000</v>
          </cell>
          <cell r="F100">
            <v>771000</v>
          </cell>
        </row>
        <row r="101">
          <cell r="A101">
            <v>139737</v>
          </cell>
          <cell r="B101" t="str">
            <v>AP139737</v>
          </cell>
          <cell r="C101" t="str">
            <v>MOBIL GEO 10W-40 DRUM 200L:KR</v>
          </cell>
          <cell r="D101">
            <v>98</v>
          </cell>
          <cell r="E101">
            <v>587000</v>
          </cell>
          <cell r="F101">
            <v>559000</v>
          </cell>
        </row>
        <row r="102">
          <cell r="A102">
            <v>122916</v>
          </cell>
          <cell r="B102" t="str">
            <v>AP122916</v>
          </cell>
          <cell r="C102" t="str">
            <v>LUBE 1 SHC 75W90 GSP 12X1L EU-SW</v>
          </cell>
          <cell r="D102">
            <v>99</v>
          </cell>
          <cell r="E102">
            <v>140000</v>
          </cell>
          <cell r="F102">
            <v>140000</v>
          </cell>
        </row>
        <row r="103">
          <cell r="A103">
            <v>138888</v>
          </cell>
          <cell r="B103" t="str">
            <v>AP138888</v>
          </cell>
          <cell r="C103" t="str">
            <v>MOBILUBE 1 SHC 75W-90 PAIL 20L:KR</v>
          </cell>
          <cell r="D103">
            <v>100</v>
          </cell>
          <cell r="E103">
            <v>233000</v>
          </cell>
          <cell r="F103">
            <v>233000</v>
          </cell>
        </row>
        <row r="104">
          <cell r="A104">
            <v>120645</v>
          </cell>
          <cell r="B104" t="str">
            <v>AP120645</v>
          </cell>
          <cell r="C104" t="str">
            <v>MOBILUBE 1 SHC 75W-90 DRUM 208L</v>
          </cell>
          <cell r="D104">
            <v>101</v>
          </cell>
          <cell r="E104">
            <v>2213000</v>
          </cell>
          <cell r="F104">
            <v>2213000</v>
          </cell>
        </row>
        <row r="105">
          <cell r="A105">
            <v>143003</v>
          </cell>
          <cell r="B105" t="str">
            <v>AP143003</v>
          </cell>
          <cell r="C105" t="str">
            <v>M-DELVAC 1 TF 75W80 PAIL 20L*</v>
          </cell>
          <cell r="D105">
            <v>102</v>
          </cell>
          <cell r="E105">
            <v>150000</v>
          </cell>
          <cell r="F105">
            <v>150000</v>
          </cell>
        </row>
        <row r="106">
          <cell r="A106">
            <v>141874</v>
          </cell>
          <cell r="B106" t="str">
            <v>AP141874</v>
          </cell>
          <cell r="C106" t="str">
            <v>M-DELVAC 1 ATF PAIL 20L</v>
          </cell>
          <cell r="D106">
            <v>103</v>
          </cell>
          <cell r="E106">
            <v>200000</v>
          </cell>
          <cell r="F106">
            <v>200000</v>
          </cell>
        </row>
        <row r="107">
          <cell r="A107">
            <v>140563</v>
          </cell>
          <cell r="B107" t="str">
            <v>AP140563</v>
          </cell>
          <cell r="C107" t="str">
            <v>M-DELVAC 1 GO 75W90 PAIL 35LB</v>
          </cell>
          <cell r="D107">
            <v>104</v>
          </cell>
          <cell r="E107">
            <v>216000</v>
          </cell>
          <cell r="F107">
            <v>216000</v>
          </cell>
        </row>
        <row r="108">
          <cell r="A108">
            <v>140382</v>
          </cell>
          <cell r="B108" t="str">
            <v>AP140382</v>
          </cell>
          <cell r="C108" t="str">
            <v>M-DELVAC 1 GO 75W90 DRUM-M 208L</v>
          </cell>
          <cell r="D108">
            <v>105</v>
          </cell>
          <cell r="E108">
            <v>2212000</v>
          </cell>
          <cell r="F108">
            <v>2212000</v>
          </cell>
        </row>
        <row r="109">
          <cell r="A109">
            <v>140561</v>
          </cell>
          <cell r="B109" t="str">
            <v>AP140561</v>
          </cell>
          <cell r="C109" t="str">
            <v>M-DELVAC 1 GO 75W90 DRUM 375LB</v>
          </cell>
          <cell r="D109">
            <v>106</v>
          </cell>
          <cell r="E109">
            <v>2107000</v>
          </cell>
          <cell r="F109">
            <v>2107000</v>
          </cell>
        </row>
        <row r="110">
          <cell r="A110">
            <v>140564</v>
          </cell>
          <cell r="B110" t="str">
            <v>AP140564</v>
          </cell>
          <cell r="C110" t="str">
            <v>M-DELVAC 1 GO 80W140 PAIL 35LB</v>
          </cell>
          <cell r="D110">
            <v>107</v>
          </cell>
          <cell r="E110">
            <v>213000</v>
          </cell>
          <cell r="F110">
            <v>213000</v>
          </cell>
        </row>
        <row r="111">
          <cell r="A111">
            <v>140585</v>
          </cell>
          <cell r="B111" t="str">
            <v>AP140585</v>
          </cell>
          <cell r="C111" t="str">
            <v>M-DELVAC 1 GO 80W140 DRUM 375LB</v>
          </cell>
          <cell r="D111">
            <v>108</v>
          </cell>
          <cell r="E111">
            <v>2081000</v>
          </cell>
          <cell r="F111">
            <v>2081000</v>
          </cell>
        </row>
        <row r="112">
          <cell r="A112">
            <v>135691</v>
          </cell>
          <cell r="B112" t="str">
            <v>AP135691</v>
          </cell>
          <cell r="C112" t="str">
            <v>MOBILUBE LS 85W90-PL20L</v>
          </cell>
          <cell r="D112">
            <v>109</v>
          </cell>
          <cell r="E112">
            <v>95700</v>
          </cell>
          <cell r="F112">
            <v>91100</v>
          </cell>
        </row>
        <row r="113">
          <cell r="A113">
            <v>138897</v>
          </cell>
          <cell r="B113" t="str">
            <v>AP138897</v>
          </cell>
          <cell r="C113" t="str">
            <v>MOBILUBE LS 85W-90 DRUM 200L:KR</v>
          </cell>
          <cell r="D113">
            <v>110</v>
          </cell>
          <cell r="E113">
            <v>929000</v>
          </cell>
          <cell r="F113">
            <v>885000</v>
          </cell>
        </row>
        <row r="114">
          <cell r="A114">
            <v>129171</v>
          </cell>
          <cell r="B114" t="str">
            <v>AP129171</v>
          </cell>
          <cell r="C114" t="str">
            <v>LUBE HD 80W90 PAIL 20L</v>
          </cell>
          <cell r="D114">
            <v>111</v>
          </cell>
          <cell r="E114">
            <v>59700</v>
          </cell>
          <cell r="F114">
            <v>59700</v>
          </cell>
        </row>
        <row r="115">
          <cell r="A115">
            <v>138893</v>
          </cell>
          <cell r="B115" t="str">
            <v>AP138893</v>
          </cell>
          <cell r="C115" t="str">
            <v>MOBILUBE HD 80W-90 DRUM 200L:KR</v>
          </cell>
          <cell r="D115">
            <v>112</v>
          </cell>
          <cell r="E115">
            <v>552000</v>
          </cell>
          <cell r="F115">
            <v>552000</v>
          </cell>
        </row>
        <row r="116">
          <cell r="A116">
            <v>129174</v>
          </cell>
          <cell r="B116" t="str">
            <v>AP129174</v>
          </cell>
          <cell r="C116" t="str">
            <v>LUBE HD 85W140 PAIL 20L</v>
          </cell>
          <cell r="D116">
            <v>113</v>
          </cell>
          <cell r="E116">
            <v>70200</v>
          </cell>
          <cell r="F116">
            <v>70200</v>
          </cell>
        </row>
        <row r="117">
          <cell r="A117">
            <v>138895</v>
          </cell>
          <cell r="B117" t="str">
            <v>AP138895</v>
          </cell>
          <cell r="C117" t="str">
            <v>MOBILUBE HD 85W-140 DRUM 200L:KR</v>
          </cell>
          <cell r="D117">
            <v>114</v>
          </cell>
          <cell r="E117">
            <v>662000</v>
          </cell>
          <cell r="F117">
            <v>662000</v>
          </cell>
        </row>
        <row r="118">
          <cell r="A118">
            <v>138892</v>
          </cell>
          <cell r="B118" t="str">
            <v>AP138892</v>
          </cell>
          <cell r="C118" t="str">
            <v>MOBILUBE GX 80W-90 CTN 4X4L:KR</v>
          </cell>
          <cell r="D118">
            <v>115</v>
          </cell>
          <cell r="E118">
            <v>46500</v>
          </cell>
          <cell r="F118">
            <v>46500</v>
          </cell>
        </row>
        <row r="119">
          <cell r="A119">
            <v>138890</v>
          </cell>
          <cell r="B119" t="str">
            <v>AP138890</v>
          </cell>
          <cell r="C119" t="str">
            <v>MOBILUBE GX 80W-90 PAIL 20L:KR</v>
          </cell>
          <cell r="D119">
            <v>116</v>
          </cell>
          <cell r="E119">
            <v>54000</v>
          </cell>
          <cell r="F119">
            <v>54000</v>
          </cell>
        </row>
        <row r="120">
          <cell r="A120">
            <v>138889</v>
          </cell>
          <cell r="B120" t="str">
            <v>AP138889</v>
          </cell>
          <cell r="C120" t="str">
            <v>MOBILUBE GX 80W-90 DRUM 200L:KR</v>
          </cell>
          <cell r="D120">
            <v>117</v>
          </cell>
          <cell r="E120">
            <v>520000</v>
          </cell>
          <cell r="F120">
            <v>520000</v>
          </cell>
        </row>
        <row r="121">
          <cell r="A121">
            <v>146706</v>
          </cell>
          <cell r="B121" t="str">
            <v>AP146706</v>
          </cell>
          <cell r="C121" t="str">
            <v>MOBIL LUBE GX-A 80W PAIL 20L:KR</v>
          </cell>
          <cell r="D121">
            <v>118</v>
          </cell>
          <cell r="E121">
            <v>65400</v>
          </cell>
          <cell r="F121">
            <v>65400</v>
          </cell>
        </row>
        <row r="122">
          <cell r="A122">
            <v>146703</v>
          </cell>
          <cell r="B122" t="str">
            <v>AP146703</v>
          </cell>
          <cell r="C122" t="str">
            <v>MOBIL LUBE GX-A 80W DRUM 200L:KR</v>
          </cell>
          <cell r="D122">
            <v>119</v>
          </cell>
          <cell r="E122">
            <v>635000</v>
          </cell>
          <cell r="F122">
            <v>635000</v>
          </cell>
        </row>
        <row r="123">
          <cell r="A123">
            <v>138851</v>
          </cell>
          <cell r="B123" t="str">
            <v>AP138851</v>
          </cell>
          <cell r="C123" t="str">
            <v>MOBIL FLUID LT DRUM 208L:KR</v>
          </cell>
          <cell r="D123">
            <v>120</v>
          </cell>
          <cell r="E123">
            <v>1193000</v>
          </cell>
          <cell r="F123">
            <v>1193000</v>
          </cell>
        </row>
        <row r="124">
          <cell r="A124">
            <v>138899</v>
          </cell>
          <cell r="B124" t="str">
            <v>AP138899</v>
          </cell>
          <cell r="C124" t="str">
            <v>MOBILFLUID 424 PAIL 20L:KR</v>
          </cell>
          <cell r="D124">
            <v>121</v>
          </cell>
          <cell r="E124">
            <v>78100</v>
          </cell>
          <cell r="F124">
            <v>78100</v>
          </cell>
        </row>
        <row r="125">
          <cell r="A125">
            <v>138898</v>
          </cell>
          <cell r="B125" t="str">
            <v>AP138898</v>
          </cell>
          <cell r="C125" t="str">
            <v>MOBILFLUID 424 DRUM 200L:KR</v>
          </cell>
          <cell r="D125">
            <v>122</v>
          </cell>
          <cell r="E125">
            <v>755000</v>
          </cell>
          <cell r="F125">
            <v>755000</v>
          </cell>
        </row>
        <row r="126">
          <cell r="A126">
            <v>138840</v>
          </cell>
          <cell r="B126" t="str">
            <v>AP138840</v>
          </cell>
          <cell r="C126" t="str">
            <v>MOBIL HYDRAULIC 10W PAIL 20L:KR</v>
          </cell>
          <cell r="D126">
            <v>123</v>
          </cell>
          <cell r="E126">
            <v>68900</v>
          </cell>
          <cell r="F126">
            <v>65600</v>
          </cell>
        </row>
        <row r="127">
          <cell r="A127">
            <v>138838</v>
          </cell>
          <cell r="B127" t="str">
            <v>AP138838</v>
          </cell>
          <cell r="C127" t="str">
            <v>MOBIL HYDRAULIC 10W DRUM 200L:KR</v>
          </cell>
          <cell r="D127">
            <v>124</v>
          </cell>
          <cell r="E127">
            <v>646000</v>
          </cell>
          <cell r="F127">
            <v>615000</v>
          </cell>
        </row>
        <row r="128">
          <cell r="A128">
            <v>139143</v>
          </cell>
          <cell r="B128" t="str">
            <v>AP139143</v>
          </cell>
          <cell r="C128" t="str">
            <v>NUTO H 32 PAIL 20L:KR</v>
          </cell>
          <cell r="D128">
            <v>125</v>
          </cell>
          <cell r="E128">
            <v>47500</v>
          </cell>
          <cell r="F128">
            <v>47500</v>
          </cell>
        </row>
        <row r="129">
          <cell r="A129">
            <v>139142</v>
          </cell>
          <cell r="B129" t="str">
            <v>AP139142</v>
          </cell>
          <cell r="C129" t="str">
            <v>NUTO H 32 DRUM 200L:KR</v>
          </cell>
          <cell r="D129">
            <v>126</v>
          </cell>
          <cell r="E129">
            <v>457000</v>
          </cell>
          <cell r="F129">
            <v>457000</v>
          </cell>
        </row>
        <row r="130">
          <cell r="A130">
            <v>139145</v>
          </cell>
          <cell r="B130" t="str">
            <v>AP139145</v>
          </cell>
          <cell r="C130" t="str">
            <v>NUTO H 46 PAIL 20L:KR</v>
          </cell>
          <cell r="D130">
            <v>127</v>
          </cell>
          <cell r="E130">
            <v>47500</v>
          </cell>
          <cell r="F130">
            <v>47500</v>
          </cell>
        </row>
        <row r="131">
          <cell r="A131">
            <v>139144</v>
          </cell>
          <cell r="B131" t="str">
            <v>AP139144</v>
          </cell>
          <cell r="C131" t="str">
            <v>NUTO H 46 DRUM 200L:KR</v>
          </cell>
          <cell r="D131">
            <v>128</v>
          </cell>
          <cell r="E131">
            <v>457000</v>
          </cell>
          <cell r="F131">
            <v>457000</v>
          </cell>
        </row>
        <row r="132">
          <cell r="A132">
            <v>135488</v>
          </cell>
          <cell r="B132" t="str">
            <v>AP135488</v>
          </cell>
          <cell r="C132" t="str">
            <v>NUTO H 68-PL20L</v>
          </cell>
          <cell r="D132">
            <v>129</v>
          </cell>
          <cell r="E132">
            <v>51400</v>
          </cell>
          <cell r="F132">
            <v>51400</v>
          </cell>
        </row>
        <row r="133">
          <cell r="A133">
            <v>139146</v>
          </cell>
          <cell r="B133" t="str">
            <v>AP139146</v>
          </cell>
          <cell r="C133" t="str">
            <v>NUTO H 68 DRUM 200L:KR</v>
          </cell>
          <cell r="D133">
            <v>130</v>
          </cell>
          <cell r="E133">
            <v>491000</v>
          </cell>
          <cell r="F133">
            <v>491000</v>
          </cell>
        </row>
        <row r="134">
          <cell r="A134">
            <v>144165</v>
          </cell>
          <cell r="B134" t="str">
            <v>AP144165</v>
          </cell>
          <cell r="C134" t="str">
            <v>MOBIL HYDRAULIC AW 32 PAIL 20L:KR</v>
          </cell>
          <cell r="D134">
            <v>131</v>
          </cell>
          <cell r="E134">
            <v>34200</v>
          </cell>
          <cell r="F134">
            <v>34200</v>
          </cell>
        </row>
        <row r="135">
          <cell r="A135">
            <v>144166</v>
          </cell>
          <cell r="B135" t="str">
            <v>AP144166</v>
          </cell>
          <cell r="C135" t="str">
            <v>MOBIL HYDRAULIC AW 32 DRUM 200L:KR</v>
          </cell>
          <cell r="D135">
            <v>132</v>
          </cell>
          <cell r="E135">
            <v>324000</v>
          </cell>
          <cell r="F135">
            <v>324000</v>
          </cell>
        </row>
        <row r="136">
          <cell r="A136">
            <v>145991</v>
          </cell>
          <cell r="B136" t="str">
            <v>AP145991</v>
          </cell>
          <cell r="C136" t="str">
            <v>M-HYD AW 46 (OFF-HIGHWAY) PAIL 20L:KR</v>
          </cell>
          <cell r="D136">
            <v>133</v>
          </cell>
          <cell r="E136">
            <v>34200</v>
          </cell>
          <cell r="F136">
            <v>34200</v>
          </cell>
        </row>
        <row r="137">
          <cell r="A137">
            <v>144167</v>
          </cell>
          <cell r="B137" t="str">
            <v>AP144167</v>
          </cell>
          <cell r="C137" t="str">
            <v>MOBIL HYDRAULIC AW 46 PAIL 20L:KR</v>
          </cell>
          <cell r="D137">
            <v>134</v>
          </cell>
          <cell r="E137">
            <v>34200</v>
          </cell>
          <cell r="F137">
            <v>34200</v>
          </cell>
        </row>
        <row r="138">
          <cell r="A138">
            <v>144168</v>
          </cell>
          <cell r="B138" t="str">
            <v>AP144168</v>
          </cell>
          <cell r="C138" t="str">
            <v>MOBIL HYDRAULIC AW 46 DRUM 200L:KR</v>
          </cell>
          <cell r="D138">
            <v>135</v>
          </cell>
          <cell r="E138">
            <v>324000</v>
          </cell>
          <cell r="F138">
            <v>324000</v>
          </cell>
        </row>
        <row r="139">
          <cell r="A139">
            <v>144169</v>
          </cell>
          <cell r="B139" t="str">
            <v>AP144169</v>
          </cell>
          <cell r="C139" t="str">
            <v>MOBIL HYDRAULIC AW 68 PAIL 20L:KR</v>
          </cell>
          <cell r="D139">
            <v>136</v>
          </cell>
          <cell r="E139">
            <v>35300</v>
          </cell>
          <cell r="F139">
            <v>35300</v>
          </cell>
        </row>
        <row r="140">
          <cell r="A140">
            <v>144170</v>
          </cell>
          <cell r="B140" t="str">
            <v>AP144170</v>
          </cell>
          <cell r="C140" t="str">
            <v>MOBIL HYDRAULIC AW 68 DRUM 200L:KR</v>
          </cell>
          <cell r="D140">
            <v>137</v>
          </cell>
          <cell r="E140">
            <v>335000</v>
          </cell>
          <cell r="F140">
            <v>335000</v>
          </cell>
        </row>
        <row r="141">
          <cell r="A141">
            <v>143919</v>
          </cell>
          <cell r="B141" t="str">
            <v>AP143919</v>
          </cell>
          <cell r="C141" t="str">
            <v>M GREASE XHP 222 12X0.39KG EU-ML-CU B2B</v>
          </cell>
          <cell r="D141">
            <v>139</v>
          </cell>
          <cell r="E141">
            <v>68000</v>
          </cell>
          <cell r="F141">
            <v>68000</v>
          </cell>
        </row>
        <row r="142">
          <cell r="A142">
            <v>140140</v>
          </cell>
          <cell r="B142" t="str">
            <v>AP140140</v>
          </cell>
          <cell r="C142" t="str">
            <v>MOBILGREASE XHP 222 PAIL 16KG:SG</v>
          </cell>
          <cell r="D142">
            <v>140</v>
          </cell>
          <cell r="E142">
            <v>127000</v>
          </cell>
          <cell r="F142">
            <v>120000</v>
          </cell>
        </row>
        <row r="143">
          <cell r="A143">
            <v>140141</v>
          </cell>
          <cell r="B143" t="str">
            <v>AP140141</v>
          </cell>
          <cell r="C143" t="str">
            <v>MOBILGREASE XHP 222 SPECIAL PAIL 16KG:SG</v>
          </cell>
          <cell r="D143">
            <v>141</v>
          </cell>
          <cell r="E143">
            <v>199000</v>
          </cell>
          <cell r="F143">
            <v>188000</v>
          </cell>
        </row>
        <row r="144">
          <cell r="A144">
            <v>142012</v>
          </cell>
          <cell r="B144" t="str">
            <v>AP142012</v>
          </cell>
          <cell r="C144" t="str">
            <v>MOBIL UNIVIS N 46 PAIL 20L:KR</v>
          </cell>
          <cell r="D144">
            <v>142</v>
          </cell>
          <cell r="E144">
            <v>49700</v>
          </cell>
          <cell r="F144">
            <v>46900</v>
          </cell>
        </row>
        <row r="145">
          <cell r="A145">
            <v>140142</v>
          </cell>
          <cell r="B145" t="str">
            <v>AP140142</v>
          </cell>
          <cell r="C145" t="str">
            <v>MOBILGREASE XHP 223 PAIL 16KG:SG</v>
          </cell>
          <cell r="D145">
            <v>143</v>
          </cell>
          <cell r="E145">
            <v>138000</v>
          </cell>
          <cell r="F145">
            <v>130000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A1" t="str">
            <v xml:space="preserve">적용기간:         2023 11 01 - 2025 08 31 </v>
          </cell>
        </row>
        <row r="3">
          <cell r="A3" t="str">
            <v>Material Code</v>
          </cell>
          <cell r="B3" t="str">
            <v>Product Name</v>
          </cell>
          <cell r="C3" t="str">
            <v>Discounted Price</v>
          </cell>
        </row>
        <row r="4">
          <cell r="C4" t="str">
            <v>(KRW/EA)</v>
          </cell>
        </row>
        <row r="5">
          <cell r="A5">
            <v>146719</v>
          </cell>
          <cell r="B5" t="str">
            <v>M DV ULTRA 5W-40 UP V1 CTN 4X4L:KR(N)</v>
          </cell>
          <cell r="C5">
            <v>107800</v>
          </cell>
        </row>
        <row r="6">
          <cell r="A6">
            <v>146718</v>
          </cell>
          <cell r="B6" t="str">
            <v>M DV ULTRA 5W-40 UP V1 PAIL 20L:KR(N)</v>
          </cell>
          <cell r="C6">
            <v>131000</v>
          </cell>
        </row>
        <row r="7">
          <cell r="A7">
            <v>146717</v>
          </cell>
          <cell r="B7" t="str">
            <v>M DV ULTRA 5W-40 UP V1 DRUM 208L:KR(N)</v>
          </cell>
          <cell r="C7">
            <v>1300000</v>
          </cell>
        </row>
        <row r="8">
          <cell r="A8">
            <v>128430</v>
          </cell>
          <cell r="B8" t="str">
            <v>ARAPEN RB 320 DR400LB</v>
          </cell>
          <cell r="C8">
            <v>1800000</v>
          </cell>
        </row>
        <row r="9">
          <cell r="A9">
            <v>146706</v>
          </cell>
          <cell r="B9" t="str">
            <v>MOBILUBE GX-A 80W PAIL 20L:KR</v>
          </cell>
          <cell r="C9">
            <v>65400</v>
          </cell>
        </row>
        <row r="10">
          <cell r="A10">
            <v>146703</v>
          </cell>
          <cell r="B10" t="str">
            <v>MOBILUBE GX-A 80W DRUM 200L:KR</v>
          </cell>
          <cell r="C10">
            <v>635000</v>
          </cell>
        </row>
        <row r="11">
          <cell r="A11">
            <v>143400</v>
          </cell>
          <cell r="B11" t="str">
            <v>MOBIL HYDRAULIC AW 32  BULK</v>
          </cell>
          <cell r="C11">
            <v>1514</v>
          </cell>
        </row>
        <row r="12">
          <cell r="A12">
            <v>143391</v>
          </cell>
          <cell r="B12" t="str">
            <v>MOBIL HYDRAULIC AW 68, BULK</v>
          </cell>
          <cell r="C12">
            <v>1568</v>
          </cell>
        </row>
        <row r="13">
          <cell r="A13">
            <v>143390</v>
          </cell>
          <cell r="B13" t="str">
            <v>MOBIL HYDRAULIC AW 46, BULK</v>
          </cell>
          <cell r="C13">
            <v>1514</v>
          </cell>
        </row>
        <row r="14">
          <cell r="A14">
            <v>145419</v>
          </cell>
          <cell r="B14" t="str">
            <v>M DV LEGEND 10W40 PROTECTION CTN 4X4L:KR</v>
          </cell>
          <cell r="C14">
            <v>48200</v>
          </cell>
        </row>
        <row r="15">
          <cell r="A15">
            <v>144531</v>
          </cell>
          <cell r="B15" t="str">
            <v>M DV LEGEND 10W40 PROTECTION PAIL 20L:KR</v>
          </cell>
          <cell r="C15">
            <v>58000</v>
          </cell>
        </row>
        <row r="16">
          <cell r="A16">
            <v>144532</v>
          </cell>
          <cell r="B16" t="str">
            <v>M DV LEGEND 10W40 PROTECTION DR 200L:KR</v>
          </cell>
          <cell r="C16">
            <v>546000</v>
          </cell>
        </row>
        <row r="17">
          <cell r="A17">
            <v>146254</v>
          </cell>
          <cell r="B17" t="str">
            <v>MOBIL 1 0W-40 (SP) CTN 12X1L:KR</v>
          </cell>
          <cell r="C17">
            <v>118000</v>
          </cell>
        </row>
        <row r="18">
          <cell r="A18">
            <v>146255</v>
          </cell>
          <cell r="B18" t="str">
            <v>MOBIL 1 0W-40 (SP) DRUM 200L:KR</v>
          </cell>
          <cell r="C18">
            <v>1789000</v>
          </cell>
        </row>
        <row r="19">
          <cell r="A19">
            <v>146012</v>
          </cell>
          <cell r="B19" t="str">
            <v>MOBIL SPECIAL PLUS 5W-30 CTN 4X4L:KR (N)</v>
          </cell>
          <cell r="C19">
            <v>43400</v>
          </cell>
        </row>
        <row r="20">
          <cell r="A20">
            <v>146013</v>
          </cell>
          <cell r="B20" t="str">
            <v>MOBIL SPECIAL PLUS 5W-30 DRUM 200L:KR (N</v>
          </cell>
          <cell r="C20">
            <v>479000</v>
          </cell>
        </row>
        <row r="21">
          <cell r="A21">
            <v>146235</v>
          </cell>
          <cell r="B21" t="str">
            <v>MOBIL 1 ESP 5W-30 (SP) CTN 12X1L:KR</v>
          </cell>
          <cell r="C21">
            <v>124000</v>
          </cell>
        </row>
        <row r="22">
          <cell r="A22">
            <v>143007</v>
          </cell>
          <cell r="B22" t="str">
            <v>MOBILGARD 540X-DR200L:KR</v>
          </cell>
          <cell r="C22">
            <v>650000</v>
          </cell>
        </row>
        <row r="23">
          <cell r="A23">
            <v>130938</v>
          </cell>
          <cell r="B23" t="str">
            <v>RONEX MP,400LB(181KG),DRUM,METAL</v>
          </cell>
          <cell r="C23">
            <v>2033000</v>
          </cell>
        </row>
        <row r="24">
          <cell r="A24">
            <v>130939</v>
          </cell>
          <cell r="B24" t="str">
            <v>RONEX MP, 35LB(15.8KG),PAIL</v>
          </cell>
          <cell r="C24">
            <v>190000</v>
          </cell>
        </row>
        <row r="25">
          <cell r="A25">
            <v>145991</v>
          </cell>
          <cell r="B25" t="str">
            <v>M-HYD AW 46 (OFF-HIGHWAY) PAIL 20L:KR</v>
          </cell>
          <cell r="C25">
            <v>34200</v>
          </cell>
        </row>
        <row r="26">
          <cell r="A26">
            <v>145476</v>
          </cell>
          <cell r="B26" t="str">
            <v>M SUP TP HIGHWAY 5W-40 CTN 12X1L:KR</v>
          </cell>
          <cell r="C26">
            <v>50300</v>
          </cell>
        </row>
        <row r="27">
          <cell r="A27">
            <v>145477</v>
          </cell>
          <cell r="B27" t="str">
            <v>M SUP TP HIGHWAY 5W-40 DR 200L:KR</v>
          </cell>
          <cell r="C27">
            <v>755000</v>
          </cell>
        </row>
        <row r="28">
          <cell r="A28">
            <v>143534</v>
          </cell>
          <cell r="B28" t="str">
            <v>MOBIL 1 ESP X2 0W20 CTN 12X1L:KR</v>
          </cell>
          <cell r="C28">
            <v>124000</v>
          </cell>
        </row>
        <row r="29">
          <cell r="A29">
            <v>143128</v>
          </cell>
          <cell r="B29" t="str">
            <v>MOBIL 1 ESP X2 0W-20 DRUM 208L:SG</v>
          </cell>
          <cell r="C29">
            <v>2081000</v>
          </cell>
        </row>
        <row r="30">
          <cell r="A30">
            <v>143533</v>
          </cell>
          <cell r="B30" t="str">
            <v>MOBIL 1 ESP LV 0W30 CTN 12X1L:KR</v>
          </cell>
          <cell r="C30">
            <v>124000</v>
          </cell>
        </row>
        <row r="31">
          <cell r="A31">
            <v>142150</v>
          </cell>
          <cell r="B31" t="str">
            <v>M-1 ESP LV 0W30 DRUM-M 208L</v>
          </cell>
          <cell r="C31">
            <v>2081000</v>
          </cell>
        </row>
        <row r="32">
          <cell r="A32">
            <v>143487</v>
          </cell>
          <cell r="B32" t="str">
            <v>MOBIL 1 ESP X3 0W40 CTN 12X1L:KR</v>
          </cell>
          <cell r="C32">
            <v>124000</v>
          </cell>
        </row>
        <row r="33">
          <cell r="A33">
            <v>142741</v>
          </cell>
          <cell r="B33" t="str">
            <v>MOBIL 1 ESP 5W30 CTN 12X1L:KR</v>
          </cell>
          <cell r="C33">
            <v>124000</v>
          </cell>
        </row>
        <row r="34">
          <cell r="A34">
            <v>141441</v>
          </cell>
          <cell r="B34" t="str">
            <v>MOBIL 1 HYBRID 0W-20 CTN 12X1L:KR</v>
          </cell>
          <cell r="C34">
            <v>106000</v>
          </cell>
        </row>
        <row r="35">
          <cell r="A35">
            <v>140660</v>
          </cell>
          <cell r="B35" t="str">
            <v>MOBIL 1 0W-40 CTN 12X1L: KR</v>
          </cell>
          <cell r="C35">
            <v>118000</v>
          </cell>
        </row>
        <row r="36">
          <cell r="A36">
            <v>140661</v>
          </cell>
          <cell r="B36" t="str">
            <v>MOBIL 1 0W-40 DRUM 200L: KR</v>
          </cell>
          <cell r="C36">
            <v>1789000</v>
          </cell>
        </row>
        <row r="37">
          <cell r="A37">
            <v>140657</v>
          </cell>
          <cell r="B37" t="str">
            <v>MOBIL 1 5W-30 CTN 12X1L:KR</v>
          </cell>
          <cell r="C37">
            <v>118000</v>
          </cell>
        </row>
        <row r="38">
          <cell r="A38">
            <v>141765</v>
          </cell>
          <cell r="B38" t="str">
            <v>M-1 SYN LV ATF HP, 6X1 UQL, CASE</v>
          </cell>
          <cell r="C38">
            <v>64300</v>
          </cell>
        </row>
        <row r="39">
          <cell r="A39">
            <v>143891</v>
          </cell>
          <cell r="B39" t="str">
            <v>M SUP AIOP V 0W20 CTN 12X1L:KR</v>
          </cell>
          <cell r="C39">
            <v>72200</v>
          </cell>
        </row>
        <row r="40">
          <cell r="A40">
            <v>143892</v>
          </cell>
          <cell r="B40" t="str">
            <v>M SUP AIOP V 0W20 DR 200L:KR</v>
          </cell>
          <cell r="C40">
            <v>1099000</v>
          </cell>
        </row>
        <row r="41">
          <cell r="A41">
            <v>144220</v>
          </cell>
          <cell r="B41" t="str">
            <v>M SUP AIOP V 0W30 CTN 12X1L:KR</v>
          </cell>
          <cell r="C41">
            <v>72200</v>
          </cell>
        </row>
        <row r="42">
          <cell r="A42">
            <v>144219</v>
          </cell>
          <cell r="B42" t="str">
            <v>M SUP AIOP V 0W30 DRUM 200L:KR</v>
          </cell>
          <cell r="C42">
            <v>1099000</v>
          </cell>
        </row>
        <row r="43">
          <cell r="A43">
            <v>144255</v>
          </cell>
          <cell r="B43" t="str">
            <v>M SUP AIOP V 5W30 CTN 12X1L:KR</v>
          </cell>
          <cell r="C43">
            <v>68500</v>
          </cell>
        </row>
        <row r="44">
          <cell r="A44">
            <v>144256</v>
          </cell>
          <cell r="B44" t="str">
            <v>M SUP AIOP V 5W30 DRUM 200L:KR</v>
          </cell>
          <cell r="C44">
            <v>1052000</v>
          </cell>
        </row>
        <row r="45">
          <cell r="A45">
            <v>142039</v>
          </cell>
          <cell r="B45" t="str">
            <v>M SUPER 3000 F M 5W-40 12X1L CTN:KR</v>
          </cell>
          <cell r="C45">
            <v>61900</v>
          </cell>
        </row>
        <row r="46">
          <cell r="A46">
            <v>143192</v>
          </cell>
          <cell r="B46" t="str">
            <v>MOBIL SUPER 3000 F M 5W-40 DR 200L:KR</v>
          </cell>
          <cell r="C46">
            <v>935000</v>
          </cell>
        </row>
        <row r="47">
          <cell r="A47">
            <v>143207</v>
          </cell>
          <cell r="B47" t="str">
            <v>M SUP TP SMART PLUS PRO 0W20 CTN12X1L:KR</v>
          </cell>
          <cell r="C47">
            <v>50300</v>
          </cell>
        </row>
        <row r="48">
          <cell r="A48">
            <v>143194</v>
          </cell>
          <cell r="B48" t="str">
            <v>M SUP TP SMART PLUS PRO 0W-20 DR 200L:KR</v>
          </cell>
          <cell r="C48">
            <v>755000</v>
          </cell>
        </row>
        <row r="49">
          <cell r="A49">
            <v>144620</v>
          </cell>
          <cell r="B49" t="str">
            <v>M SUP TP TURBO 0W-30 CTN 12X1L:KR (N)</v>
          </cell>
          <cell r="C49">
            <v>50300</v>
          </cell>
        </row>
        <row r="50">
          <cell r="A50">
            <v>144619</v>
          </cell>
          <cell r="B50" t="str">
            <v>M SUP TP TURBO 0W-30 DR 200L:KR (N)</v>
          </cell>
          <cell r="C50">
            <v>755000</v>
          </cell>
        </row>
        <row r="51">
          <cell r="A51">
            <v>143209</v>
          </cell>
          <cell r="B51" t="str">
            <v>M SUP TP TURBO GDI PRO 5W-30 CTN12X1L:KR</v>
          </cell>
          <cell r="C51">
            <v>50300</v>
          </cell>
        </row>
        <row r="52">
          <cell r="A52">
            <v>143195</v>
          </cell>
          <cell r="B52" t="str">
            <v>M SUP TP TURBO GDI PRO 5W-30 DR 200L:KR</v>
          </cell>
          <cell r="C52">
            <v>755000</v>
          </cell>
        </row>
        <row r="53">
          <cell r="A53">
            <v>143210</v>
          </cell>
          <cell r="B53" t="str">
            <v>M SUP EP C2 5W-30 CTN 12X1L:KR</v>
          </cell>
          <cell r="C53">
            <v>47600</v>
          </cell>
        </row>
        <row r="54">
          <cell r="A54">
            <v>143396</v>
          </cell>
          <cell r="B54" t="str">
            <v>M SUP EP C2 5W-30 CTN 3X6L:KR</v>
          </cell>
          <cell r="C54">
            <v>63500</v>
          </cell>
        </row>
        <row r="55">
          <cell r="A55">
            <v>143196</v>
          </cell>
          <cell r="B55" t="str">
            <v>M SUP EP C2 5W-30 DR 200L:KR</v>
          </cell>
          <cell r="C55">
            <v>678000</v>
          </cell>
        </row>
        <row r="56">
          <cell r="A56">
            <v>143211</v>
          </cell>
          <cell r="B56" t="str">
            <v>M SUP EP C3 5W-30 CTN 12X1L:KR</v>
          </cell>
          <cell r="C56">
            <v>50500</v>
          </cell>
        </row>
        <row r="57">
          <cell r="A57">
            <v>143397</v>
          </cell>
          <cell r="B57" t="str">
            <v>M SUP EP C3 5W-30 CTN 3X6L:KR</v>
          </cell>
          <cell r="C57">
            <v>67400</v>
          </cell>
        </row>
        <row r="58">
          <cell r="A58">
            <v>143197</v>
          </cell>
          <cell r="B58" t="str">
            <v>M SUP EP C3 5W-30 DR 200L:KR</v>
          </cell>
          <cell r="C58">
            <v>718000</v>
          </cell>
        </row>
        <row r="59">
          <cell r="A59">
            <v>143212</v>
          </cell>
          <cell r="B59" t="str">
            <v>M SUP EP 5W-20 CTN 12X1L:KR</v>
          </cell>
          <cell r="C59">
            <v>39600</v>
          </cell>
        </row>
        <row r="60">
          <cell r="A60">
            <v>143219</v>
          </cell>
          <cell r="B60" t="str">
            <v>M SUP EP 5W-20 CTN 4X4L:KR</v>
          </cell>
          <cell r="C60">
            <v>48000</v>
          </cell>
        </row>
        <row r="61">
          <cell r="A61">
            <v>143201</v>
          </cell>
          <cell r="B61" t="str">
            <v>M SUP EP 5W-20 DR 200L:KR</v>
          </cell>
          <cell r="C61">
            <v>538000</v>
          </cell>
        </row>
        <row r="62">
          <cell r="A62">
            <v>143221</v>
          </cell>
          <cell r="B62" t="str">
            <v>M SUP EP 5W-30 CTN 4X4L:KR</v>
          </cell>
          <cell r="C62">
            <v>48000</v>
          </cell>
        </row>
        <row r="63">
          <cell r="A63">
            <v>143202</v>
          </cell>
          <cell r="B63" t="str">
            <v>M SUP EP 5W-30 DR 200L:KR</v>
          </cell>
          <cell r="C63">
            <v>538000</v>
          </cell>
        </row>
        <row r="64">
          <cell r="A64">
            <v>143222</v>
          </cell>
          <cell r="B64" t="str">
            <v>M SUP EP 10W-40 CTN 4X4L:KR</v>
          </cell>
          <cell r="C64">
            <v>48000</v>
          </cell>
        </row>
        <row r="65">
          <cell r="A65">
            <v>143203</v>
          </cell>
          <cell r="B65" t="str">
            <v>M SUP EP 10W-40 DR 200L:KR</v>
          </cell>
          <cell r="C65">
            <v>565000</v>
          </cell>
        </row>
        <row r="66">
          <cell r="A66">
            <v>143398</v>
          </cell>
          <cell r="B66" t="str">
            <v>M SPECIAL PLUS DIESEL 5W-30 CTN 3X6L:KR</v>
          </cell>
          <cell r="C66">
            <v>53300</v>
          </cell>
        </row>
        <row r="67">
          <cell r="A67">
            <v>143206</v>
          </cell>
          <cell r="B67" t="str">
            <v>M SPECIAL PLUS DIESEL 5W-30 DR 200L:KR</v>
          </cell>
          <cell r="C67">
            <v>548000</v>
          </cell>
        </row>
        <row r="68">
          <cell r="A68">
            <v>143224</v>
          </cell>
          <cell r="B68" t="str">
            <v>M SPECIAL PLUS DIESEL 5W-30 BULK</v>
          </cell>
          <cell r="C68">
            <v>2590</v>
          </cell>
        </row>
        <row r="69">
          <cell r="A69">
            <v>141592</v>
          </cell>
          <cell r="B69" t="str">
            <v>MOBIL SPECIAL PLUS 5W-30 CTN 4X4L:KR</v>
          </cell>
          <cell r="C69">
            <v>43370</v>
          </cell>
        </row>
        <row r="70">
          <cell r="A70">
            <v>141593</v>
          </cell>
          <cell r="B70" t="str">
            <v>MOBIL SPECIAL PLUS 5W-30 DRUM 200L:KR</v>
          </cell>
          <cell r="C70">
            <v>478800</v>
          </cell>
        </row>
        <row r="71">
          <cell r="A71">
            <v>143314</v>
          </cell>
          <cell r="B71" t="str">
            <v>MOBIL SUPER MOTO 10W-40 CTN 12X1L:KR</v>
          </cell>
          <cell r="C71">
            <v>66500</v>
          </cell>
        </row>
        <row r="72">
          <cell r="A72">
            <v>138806</v>
          </cell>
          <cell r="B72" t="str">
            <v>MOBIL OUTBOARD PLUS CTN 24X0.414L:KR</v>
          </cell>
          <cell r="C72">
            <v>148600</v>
          </cell>
        </row>
        <row r="73">
          <cell r="A73">
            <v>144208</v>
          </cell>
          <cell r="B73" t="str">
            <v>MOBIL ATF 8LV CTN 12X1L:KR</v>
          </cell>
          <cell r="C73">
            <v>78900</v>
          </cell>
        </row>
        <row r="74">
          <cell r="A74">
            <v>144185</v>
          </cell>
          <cell r="B74" t="str">
            <v>MOBIL ATF 8LV PAIL 20L:KR</v>
          </cell>
          <cell r="C74">
            <v>119000</v>
          </cell>
        </row>
        <row r="75">
          <cell r="A75">
            <v>144188</v>
          </cell>
          <cell r="B75" t="str">
            <v>MOBIL ATF HK8 CTN 12X1L:KR</v>
          </cell>
          <cell r="C75">
            <v>50000</v>
          </cell>
        </row>
        <row r="76">
          <cell r="A76">
            <v>144187</v>
          </cell>
          <cell r="B76" t="str">
            <v>MOBIL ATF HK8 PAIL 20L:KR</v>
          </cell>
          <cell r="C76">
            <v>72500</v>
          </cell>
        </row>
        <row r="77">
          <cell r="A77">
            <v>144186</v>
          </cell>
          <cell r="B77" t="str">
            <v>MOBIL ATF HK8 DR 200L:KR</v>
          </cell>
          <cell r="C77">
            <v>699000</v>
          </cell>
        </row>
        <row r="78">
          <cell r="A78">
            <v>139641</v>
          </cell>
          <cell r="B78" t="str">
            <v>MOBIL MULTIPURPOSE ATF CTN 12X1L:KR</v>
          </cell>
          <cell r="C78">
            <v>43600</v>
          </cell>
        </row>
        <row r="79">
          <cell r="A79">
            <v>124476</v>
          </cell>
          <cell r="B79" t="str">
            <v>MOBIL MULTIPURPOSE ATF, 20LT PAIL</v>
          </cell>
          <cell r="C79">
            <v>63200</v>
          </cell>
        </row>
        <row r="80">
          <cell r="A80">
            <v>138827</v>
          </cell>
          <cell r="B80" t="str">
            <v>MOBIL MULTIPURPOSE ATF DRUM 200L:KR</v>
          </cell>
          <cell r="C80">
            <v>595000</v>
          </cell>
        </row>
        <row r="81">
          <cell r="A81">
            <v>138833</v>
          </cell>
          <cell r="B81" t="str">
            <v>M-FD LUBE SPECIAL 75W-85 CTN 12X1L:KR</v>
          </cell>
          <cell r="C81">
            <v>51200</v>
          </cell>
        </row>
        <row r="82">
          <cell r="A82">
            <v>138832</v>
          </cell>
          <cell r="B82" t="str">
            <v>MOBIL FD LUBE SPECIAL 75W-85 PAIL 20L:KR</v>
          </cell>
          <cell r="C82">
            <v>74300</v>
          </cell>
        </row>
        <row r="83">
          <cell r="A83">
            <v>123205</v>
          </cell>
          <cell r="B83" t="str">
            <v>MOBIL BRAKE FLUID DOT 4, 12X0.5LT CTN</v>
          </cell>
          <cell r="C83">
            <v>63300</v>
          </cell>
        </row>
        <row r="84">
          <cell r="A84">
            <v>135080</v>
          </cell>
          <cell r="B84" t="str">
            <v>MOBIL ANTIFREEZE EXTRA, 12X1LT CTN</v>
          </cell>
          <cell r="C84">
            <v>110000</v>
          </cell>
        </row>
        <row r="85">
          <cell r="A85">
            <v>143227</v>
          </cell>
          <cell r="B85" t="str">
            <v>M DV ULTRA 5W-30 UP CTN 4X4L:KR</v>
          </cell>
          <cell r="C85">
            <v>139100</v>
          </cell>
        </row>
        <row r="86">
          <cell r="A86">
            <v>143228</v>
          </cell>
          <cell r="B86" t="str">
            <v>M DV ULTRA 5W-30 UP PAIL 20L:KR</v>
          </cell>
          <cell r="C86">
            <v>170000</v>
          </cell>
        </row>
        <row r="87">
          <cell r="A87">
            <v>143229</v>
          </cell>
          <cell r="B87" t="str">
            <v>M DV ULTRA 5W-30 UP DRUM 208L:KR</v>
          </cell>
          <cell r="C87">
            <v>1677000</v>
          </cell>
        </row>
        <row r="88">
          <cell r="A88">
            <v>143240</v>
          </cell>
          <cell r="B88" t="str">
            <v>M DV ULTRA 5W-40 UP V1 CTN 4X4L:KR</v>
          </cell>
          <cell r="C88">
            <v>139100</v>
          </cell>
        </row>
        <row r="89">
          <cell r="A89">
            <v>143241</v>
          </cell>
          <cell r="B89" t="str">
            <v>M DV ULTRA 5W-40 UP V1 PAIL 20L:KR</v>
          </cell>
          <cell r="C89">
            <v>170000</v>
          </cell>
        </row>
        <row r="90">
          <cell r="A90">
            <v>143242</v>
          </cell>
          <cell r="B90" t="str">
            <v>M DV ULTRA 5W-40 UP V1 DRUM 208L:KR</v>
          </cell>
          <cell r="C90">
            <v>1677000</v>
          </cell>
        </row>
        <row r="91">
          <cell r="A91">
            <v>143330</v>
          </cell>
          <cell r="B91" t="str">
            <v>M DV MODERN 5W-30 FE PLUS V1 CTN 4X4L:KR</v>
          </cell>
          <cell r="C91">
            <v>86800</v>
          </cell>
        </row>
        <row r="92">
          <cell r="A92">
            <v>143331</v>
          </cell>
          <cell r="B92" t="str">
            <v>M DV MODERN 5W-30 FE PLUS V1 PAIL 20L:KR</v>
          </cell>
          <cell r="C92">
            <v>105200</v>
          </cell>
        </row>
        <row r="93">
          <cell r="A93">
            <v>143332</v>
          </cell>
          <cell r="B93" t="str">
            <v>M DV MODERN 5W-30 FE PLUS V1 DRUM200L:KR</v>
          </cell>
          <cell r="C93">
            <v>1017000</v>
          </cell>
        </row>
        <row r="94">
          <cell r="A94">
            <v>143230</v>
          </cell>
          <cell r="B94" t="str">
            <v>M DV MODERN 10W-40 AP CTN 4X4L:KR</v>
          </cell>
          <cell r="C94">
            <v>86800</v>
          </cell>
        </row>
        <row r="95">
          <cell r="A95">
            <v>143231</v>
          </cell>
          <cell r="B95" t="str">
            <v>M DV MODERN 10W-40 AP PAIL 20L:KR</v>
          </cell>
          <cell r="C95">
            <v>105200</v>
          </cell>
        </row>
        <row r="96">
          <cell r="A96">
            <v>143232</v>
          </cell>
          <cell r="B96" t="str">
            <v>M DV MODERN 10W-40 AP DRUM 200L:KR</v>
          </cell>
          <cell r="C96">
            <v>1017000</v>
          </cell>
        </row>
        <row r="97">
          <cell r="A97">
            <v>143903</v>
          </cell>
          <cell r="B97" t="str">
            <v>M DV MODERN 10W-40 FP CTN 4X4L:KR</v>
          </cell>
          <cell r="C97">
            <v>69400</v>
          </cell>
        </row>
        <row r="98">
          <cell r="A98">
            <v>143902</v>
          </cell>
          <cell r="B98" t="str">
            <v>M DV MODERN 10W-40 FP PAIL 20L:KR</v>
          </cell>
          <cell r="C98">
            <v>80300</v>
          </cell>
        </row>
        <row r="99">
          <cell r="A99">
            <v>143901</v>
          </cell>
          <cell r="B99" t="str">
            <v>M DV MODERN 10W-40 FP DRUM 200L:KR</v>
          </cell>
          <cell r="C99">
            <v>764000</v>
          </cell>
        </row>
        <row r="100">
          <cell r="A100">
            <v>143233</v>
          </cell>
          <cell r="B100" t="str">
            <v>M DV MODERN 15W-40 FP CTN 4X4L:KR</v>
          </cell>
          <cell r="C100">
            <v>69400</v>
          </cell>
        </row>
        <row r="101">
          <cell r="A101">
            <v>143234</v>
          </cell>
          <cell r="B101" t="str">
            <v>M DV MODERN 15W-40 FP PAIL 20L:KR</v>
          </cell>
          <cell r="C101">
            <v>80300</v>
          </cell>
        </row>
        <row r="102">
          <cell r="A102">
            <v>143235</v>
          </cell>
          <cell r="B102" t="str">
            <v>M DV MODERN 15W-40 FP DRUM 200L:KR</v>
          </cell>
          <cell r="C102">
            <v>764000</v>
          </cell>
        </row>
        <row r="103">
          <cell r="A103">
            <v>144506</v>
          </cell>
          <cell r="B103" t="str">
            <v>M DV MODERN 10W-40 CP V1 CTN 4X4L:KR</v>
          </cell>
          <cell r="C103">
            <v>58300</v>
          </cell>
        </row>
        <row r="104">
          <cell r="A104">
            <v>144507</v>
          </cell>
          <cell r="B104" t="str">
            <v>M DV MODERN 10W-40 CP V1 PAIL 20L:KR</v>
          </cell>
          <cell r="C104">
            <v>68900</v>
          </cell>
        </row>
        <row r="105">
          <cell r="A105">
            <v>144508</v>
          </cell>
          <cell r="B105" t="str">
            <v>M DV MODERN 10W-40 CP V1 DRUM 200L:KR</v>
          </cell>
          <cell r="C105">
            <v>651000</v>
          </cell>
        </row>
        <row r="106">
          <cell r="A106">
            <v>143236</v>
          </cell>
          <cell r="B106" t="str">
            <v>M DV MODERN 15W-40 CP CTN 4X4L:KR</v>
          </cell>
          <cell r="C106">
            <v>51700</v>
          </cell>
        </row>
        <row r="107">
          <cell r="A107">
            <v>143237</v>
          </cell>
          <cell r="B107" t="str">
            <v>M DV MODERN 15W-40 CP PAIL 20L:KR</v>
          </cell>
          <cell r="C107">
            <v>61300</v>
          </cell>
        </row>
        <row r="108">
          <cell r="A108">
            <v>143238</v>
          </cell>
          <cell r="B108" t="str">
            <v>M DV MODERN 15W-40 CP DRUM 200L:KR</v>
          </cell>
          <cell r="C108">
            <v>576000</v>
          </cell>
        </row>
        <row r="109">
          <cell r="A109">
            <v>143248</v>
          </cell>
          <cell r="B109" t="str">
            <v>M DV LEGEND 1330 PAIL 20L:KR</v>
          </cell>
          <cell r="C109">
            <v>62400</v>
          </cell>
        </row>
        <row r="110">
          <cell r="A110">
            <v>143250</v>
          </cell>
          <cell r="B110" t="str">
            <v>M DV LEGEND 1330 DRUM 200L:KR</v>
          </cell>
          <cell r="C110">
            <v>610000</v>
          </cell>
        </row>
        <row r="111">
          <cell r="A111">
            <v>143249</v>
          </cell>
          <cell r="B111" t="str">
            <v>M DV LEGEND 1340 PAIL 20L:KR</v>
          </cell>
          <cell r="C111">
            <v>62400</v>
          </cell>
        </row>
        <row r="112">
          <cell r="A112">
            <v>143251</v>
          </cell>
          <cell r="B112" t="str">
            <v>M DV LEGEND 1340 DRUM 200L:KR</v>
          </cell>
          <cell r="C112">
            <v>610000</v>
          </cell>
        </row>
        <row r="113">
          <cell r="A113">
            <v>124065</v>
          </cell>
          <cell r="B113" t="str">
            <v>MOBIL DELVAC 1640, 208LT, DR</v>
          </cell>
          <cell r="C113">
            <v>1011000</v>
          </cell>
        </row>
        <row r="114">
          <cell r="A114">
            <v>142226</v>
          </cell>
          <cell r="B114" t="str">
            <v>MOBIL DELVAC XHP ESP S 10W-40 PL 20L:KR</v>
          </cell>
          <cell r="C114">
            <v>101900</v>
          </cell>
        </row>
        <row r="115">
          <cell r="A115">
            <v>139882</v>
          </cell>
          <cell r="B115" t="str">
            <v>M-DEL MX ADV CITY LOG 5W-40 CTN 12X1L</v>
          </cell>
          <cell r="C115">
            <v>56900</v>
          </cell>
        </row>
        <row r="116">
          <cell r="A116">
            <v>139883</v>
          </cell>
          <cell r="B116" t="str">
            <v>M-DEL MX ADV CITY LOG 5W-40 CTN 3X6L</v>
          </cell>
          <cell r="C116">
            <v>75700</v>
          </cell>
        </row>
        <row r="117">
          <cell r="A117">
            <v>139881</v>
          </cell>
          <cell r="B117" t="str">
            <v>M-DEL MX ADV CITY LOG 5W-40 DRUM 200L</v>
          </cell>
          <cell r="C117">
            <v>810000</v>
          </cell>
        </row>
        <row r="118">
          <cell r="A118">
            <v>139737</v>
          </cell>
          <cell r="B118" t="str">
            <v>MOBIL GEO 10W-40 DRUM 200L:KR</v>
          </cell>
          <cell r="C118">
            <v>587000</v>
          </cell>
        </row>
        <row r="119">
          <cell r="A119">
            <v>122916</v>
          </cell>
          <cell r="B119" t="str">
            <v>LUBE 1 SHC 75W90 GSP 12X1L EU-SW</v>
          </cell>
          <cell r="C119">
            <v>140000</v>
          </cell>
        </row>
        <row r="120">
          <cell r="A120">
            <v>138888</v>
          </cell>
          <cell r="B120" t="str">
            <v>MOBILUBE 1 SHC 75W-90 PAIL 20L:KR</v>
          </cell>
          <cell r="C120">
            <v>233000</v>
          </cell>
        </row>
        <row r="121">
          <cell r="A121">
            <v>120645</v>
          </cell>
          <cell r="B121" t="str">
            <v>MOBILUBE 1 SHC 75W-90 DRUM 208L</v>
          </cell>
          <cell r="C121">
            <v>2213000</v>
          </cell>
        </row>
        <row r="122">
          <cell r="A122">
            <v>143003</v>
          </cell>
          <cell r="B122" t="str">
            <v>M-DELVAC 1 TF 75W80 PAIL 20L*</v>
          </cell>
          <cell r="C122">
            <v>150000</v>
          </cell>
        </row>
        <row r="123">
          <cell r="A123">
            <v>141874</v>
          </cell>
          <cell r="B123" t="str">
            <v>M-DELVAC 1 ATF PAIL 20L</v>
          </cell>
          <cell r="C123">
            <v>200000</v>
          </cell>
        </row>
        <row r="124">
          <cell r="A124">
            <v>140563</v>
          </cell>
          <cell r="B124" t="str">
            <v>M-DELVAC 1 GO 75W90 PAIL 35LB</v>
          </cell>
          <cell r="C124">
            <v>216000</v>
          </cell>
        </row>
        <row r="125">
          <cell r="A125">
            <v>140382</v>
          </cell>
          <cell r="B125" t="str">
            <v>M-DELVAC 1 GO 75W90 DRUM-M 208L</v>
          </cell>
          <cell r="C125">
            <v>2212000</v>
          </cell>
        </row>
        <row r="126">
          <cell r="A126">
            <v>140561</v>
          </cell>
          <cell r="B126" t="str">
            <v>M-DELVAC 1 GO 75W90 DRUM 375LB</v>
          </cell>
          <cell r="C126">
            <v>2107000</v>
          </cell>
        </row>
        <row r="127">
          <cell r="A127">
            <v>140564</v>
          </cell>
          <cell r="B127" t="str">
            <v>M-DELVAC 1 GO 80W140 PAIL 35LB</v>
          </cell>
          <cell r="C127">
            <v>213000</v>
          </cell>
        </row>
        <row r="128">
          <cell r="A128">
            <v>140585</v>
          </cell>
          <cell r="B128" t="str">
            <v>M-DELVAC 1 GO 80W140 DRUM 375LB</v>
          </cell>
          <cell r="C128">
            <v>2081000</v>
          </cell>
        </row>
        <row r="129">
          <cell r="A129">
            <v>135691</v>
          </cell>
          <cell r="B129" t="str">
            <v>MOBILUBE LS 85W90-PL20L</v>
          </cell>
          <cell r="C129">
            <v>95700</v>
          </cell>
        </row>
        <row r="130">
          <cell r="A130">
            <v>138897</v>
          </cell>
          <cell r="B130" t="str">
            <v>MOBILUBE LS 85W-90 DRUM 200L:KR</v>
          </cell>
          <cell r="C130">
            <v>929000</v>
          </cell>
        </row>
        <row r="131">
          <cell r="A131">
            <v>129171</v>
          </cell>
          <cell r="B131" t="str">
            <v>LUBE HD 80W90 PAIL 20L</v>
          </cell>
          <cell r="C131">
            <v>59700</v>
          </cell>
        </row>
        <row r="132">
          <cell r="A132">
            <v>138893</v>
          </cell>
          <cell r="B132" t="str">
            <v>MOBILUBE HD 80W-90 DRUM 200L:KR</v>
          </cell>
          <cell r="C132">
            <v>552000</v>
          </cell>
        </row>
        <row r="133">
          <cell r="A133">
            <v>129174</v>
          </cell>
          <cell r="B133" t="str">
            <v>LUBE HD 85W140 PAIL 20L</v>
          </cell>
          <cell r="C133">
            <v>70200</v>
          </cell>
        </row>
        <row r="134">
          <cell r="A134">
            <v>138895</v>
          </cell>
          <cell r="B134" t="str">
            <v>MOBILUBE HD 85W-140 DRUM 200L:KR</v>
          </cell>
          <cell r="C134">
            <v>662000</v>
          </cell>
        </row>
        <row r="135">
          <cell r="A135">
            <v>138892</v>
          </cell>
          <cell r="B135" t="str">
            <v>MOBILUBE GX 80W-90 CTN 4X4L:KR</v>
          </cell>
          <cell r="C135">
            <v>46500</v>
          </cell>
        </row>
        <row r="136">
          <cell r="A136">
            <v>138890</v>
          </cell>
          <cell r="B136" t="str">
            <v>MOBILUBE GX 80W-90 PAIL 20L:KR</v>
          </cell>
          <cell r="C136">
            <v>54000</v>
          </cell>
        </row>
        <row r="137">
          <cell r="A137">
            <v>138889</v>
          </cell>
          <cell r="B137" t="str">
            <v>MOBILUBE GX 80W-90 DRUM 200L:KR</v>
          </cell>
          <cell r="C137">
            <v>520000</v>
          </cell>
        </row>
        <row r="138">
          <cell r="A138">
            <v>134989</v>
          </cell>
          <cell r="B138" t="str">
            <v>MOBILUBE GX-A 80W, 20LT PAIL</v>
          </cell>
          <cell r="C138">
            <v>90900</v>
          </cell>
        </row>
        <row r="139">
          <cell r="A139">
            <v>138851</v>
          </cell>
          <cell r="B139" t="str">
            <v>MOBIL FLUID LT DRUM 208L:KR</v>
          </cell>
          <cell r="C139">
            <v>1193000</v>
          </cell>
        </row>
        <row r="140">
          <cell r="A140">
            <v>138899</v>
          </cell>
          <cell r="B140" t="str">
            <v>MOBILFLUID 424 PAIL 20L:KR</v>
          </cell>
          <cell r="C140">
            <v>78100</v>
          </cell>
        </row>
        <row r="141">
          <cell r="A141">
            <v>138898</v>
          </cell>
          <cell r="B141" t="str">
            <v>MOBILFLUID 424 DRUM 200L:KR</v>
          </cell>
          <cell r="C141">
            <v>755000</v>
          </cell>
        </row>
        <row r="142">
          <cell r="A142">
            <v>138840</v>
          </cell>
          <cell r="B142" t="str">
            <v>MOBIL HYDRAULIC 10W PAIL 20L:KR</v>
          </cell>
          <cell r="C142">
            <v>68900</v>
          </cell>
        </row>
        <row r="143">
          <cell r="A143">
            <v>138838</v>
          </cell>
          <cell r="B143" t="str">
            <v>MOBIL HYDRAULIC 10W DRUM 200L:KR</v>
          </cell>
          <cell r="C143">
            <v>646000</v>
          </cell>
        </row>
        <row r="144">
          <cell r="A144">
            <v>140435</v>
          </cell>
          <cell r="B144" t="str">
            <v>MOBIL SHC CHAIN 240 PAIL 20L</v>
          </cell>
          <cell r="C144">
            <v>395000</v>
          </cell>
        </row>
        <row r="145">
          <cell r="A145">
            <v>134221</v>
          </cell>
          <cell r="B145" t="str">
            <v>MOBIL GAS COMPRESSOR OIL, 216KG DRUM</v>
          </cell>
          <cell r="C145">
            <v>4412000</v>
          </cell>
        </row>
        <row r="146">
          <cell r="A146">
            <v>140499</v>
          </cell>
          <cell r="B146" t="str">
            <v>M-SHC HYDRAULIC EAL 32 DRUM 208L</v>
          </cell>
          <cell r="C146">
            <v>3384000</v>
          </cell>
        </row>
        <row r="147">
          <cell r="A147">
            <v>140501</v>
          </cell>
          <cell r="B147" t="str">
            <v>M-SHC HYDRAULIC EAL 46 DRUM 208L</v>
          </cell>
          <cell r="C147">
            <v>4442000</v>
          </cell>
        </row>
        <row r="148">
          <cell r="A148">
            <v>140503</v>
          </cell>
          <cell r="B148" t="str">
            <v>M-SHC HYDRAULIC EAL 68 DRUM 208L</v>
          </cell>
          <cell r="C148">
            <v>4515000</v>
          </cell>
        </row>
        <row r="149">
          <cell r="A149">
            <v>121892</v>
          </cell>
          <cell r="B149" t="str">
            <v>EAL ARCTIC 100,5GA(18.9LT),PAIL,METAL</v>
          </cell>
          <cell r="C149">
            <v>481000</v>
          </cell>
        </row>
        <row r="150">
          <cell r="A150">
            <v>121902</v>
          </cell>
          <cell r="B150" t="str">
            <v>EAL ARCTIC 32 5GA(18.9LT) PAIL METAL</v>
          </cell>
          <cell r="C150">
            <v>410000</v>
          </cell>
        </row>
        <row r="151">
          <cell r="A151">
            <v>121904</v>
          </cell>
          <cell r="B151" t="str">
            <v>EAL ARCTIC 46,5GA(18.9LT),PAIL,METAL</v>
          </cell>
          <cell r="C151">
            <v>430000</v>
          </cell>
        </row>
        <row r="152">
          <cell r="A152">
            <v>121907</v>
          </cell>
          <cell r="B152" t="str">
            <v>MOBIL EAL ARCTIC 68 5GA(18.9LT) PAIL</v>
          </cell>
          <cell r="C152">
            <v>398000</v>
          </cell>
        </row>
        <row r="153">
          <cell r="A153">
            <v>133450</v>
          </cell>
          <cell r="B153" t="str">
            <v>M-EAL ARC 100 DRUM 208L</v>
          </cell>
          <cell r="C153">
            <v>4688000</v>
          </cell>
        </row>
        <row r="154">
          <cell r="A154">
            <v>135877</v>
          </cell>
          <cell r="B154" t="str">
            <v>MOBIL EAL ARCTIC 220,20LT PAIL</v>
          </cell>
          <cell r="C154">
            <v>474000</v>
          </cell>
        </row>
        <row r="155">
          <cell r="A155">
            <v>139068</v>
          </cell>
          <cell r="B155" t="str">
            <v>MOBIL EAL ARCTIC 220 DRUM 208L:KR</v>
          </cell>
          <cell r="C155">
            <v>4688000</v>
          </cell>
        </row>
        <row r="156">
          <cell r="A156">
            <v>122650</v>
          </cell>
          <cell r="B156" t="str">
            <v>MOBIL GARGOYLE ARCTIC SHC 226E D208L</v>
          </cell>
          <cell r="C156">
            <v>3190000</v>
          </cell>
        </row>
        <row r="157">
          <cell r="A157">
            <v>123291</v>
          </cell>
          <cell r="B157" t="str">
            <v>MOBIL GARGOYLE ARCTIC SHC 226E,20LT,PAIL</v>
          </cell>
          <cell r="C157">
            <v>326000</v>
          </cell>
        </row>
        <row r="158">
          <cell r="A158">
            <v>127356</v>
          </cell>
          <cell r="B158" t="str">
            <v>MOBIL GARGOYLE ARCTIC SHC 230, 20LT PAIL</v>
          </cell>
          <cell r="C158">
            <v>337000</v>
          </cell>
        </row>
        <row r="159">
          <cell r="A159">
            <v>135000</v>
          </cell>
          <cell r="B159" t="str">
            <v>MOBIL GARGOYLE ARCTIC SHC 224, 55GA DRUM</v>
          </cell>
          <cell r="C159">
            <v>2918000</v>
          </cell>
        </row>
        <row r="160">
          <cell r="A160">
            <v>135002</v>
          </cell>
          <cell r="B160" t="str">
            <v>MOBIL GARGOYLE ARCTIC SHC 228, 20LT PAIL</v>
          </cell>
          <cell r="C160">
            <v>364000</v>
          </cell>
        </row>
        <row r="161">
          <cell r="A161">
            <v>135004</v>
          </cell>
          <cell r="B161" t="str">
            <v>MOBIL GARGOYLE ARCTIC SHC 224,5GA PAIL</v>
          </cell>
          <cell r="C161">
            <v>300000</v>
          </cell>
        </row>
        <row r="162">
          <cell r="A162">
            <v>135836</v>
          </cell>
          <cell r="B162" t="str">
            <v>MOBIL GARGOYLE ARCTIC SHC 230 DRUM 208L</v>
          </cell>
          <cell r="C162">
            <v>3321000</v>
          </cell>
        </row>
        <row r="163">
          <cell r="A163">
            <v>132549</v>
          </cell>
          <cell r="B163" t="str">
            <v>MOBIL GLYGOYLE 150 D208LT</v>
          </cell>
          <cell r="C163">
            <v>3029000</v>
          </cell>
        </row>
        <row r="164">
          <cell r="A164">
            <v>132550</v>
          </cell>
          <cell r="B164" t="str">
            <v>MOBIL GLYGOYLE 220 D208LT</v>
          </cell>
          <cell r="C164">
            <v>3173000</v>
          </cell>
        </row>
        <row r="165">
          <cell r="A165">
            <v>132558</v>
          </cell>
          <cell r="B165" t="str">
            <v>MOBIL GLYGOYLE 320, 208 LT DRUM</v>
          </cell>
          <cell r="C165">
            <v>3541000</v>
          </cell>
        </row>
        <row r="166">
          <cell r="A166">
            <v>132835</v>
          </cell>
          <cell r="B166" t="str">
            <v>MOBIL GLYGOYLE 460, 208LT DRUM</v>
          </cell>
          <cell r="C166">
            <v>3480000</v>
          </cell>
        </row>
        <row r="167">
          <cell r="A167">
            <v>134320</v>
          </cell>
          <cell r="B167" t="str">
            <v>MOBIL GLYGOYLE 100, 208LT DRUM</v>
          </cell>
          <cell r="C167">
            <v>3144000</v>
          </cell>
        </row>
        <row r="168">
          <cell r="A168">
            <v>134937</v>
          </cell>
          <cell r="B168" t="str">
            <v>M-GLYGOYLE 68 Drum-U 208.198L</v>
          </cell>
          <cell r="C168">
            <v>3079000</v>
          </cell>
        </row>
        <row r="169">
          <cell r="A169">
            <v>135013</v>
          </cell>
          <cell r="B169" t="str">
            <v>MOBIL GLYGOYLE 22, 208LT DRUM</v>
          </cell>
          <cell r="C169">
            <v>2922000</v>
          </cell>
        </row>
        <row r="170">
          <cell r="A170">
            <v>135014</v>
          </cell>
          <cell r="B170" t="str">
            <v>MOBIL GLYGOYLE 30, 208LT DRUM</v>
          </cell>
          <cell r="C170">
            <v>3151000</v>
          </cell>
        </row>
        <row r="171">
          <cell r="A171">
            <v>135016</v>
          </cell>
          <cell r="B171" t="str">
            <v>MOBIL GLYGOYLE 460, 20LT PAIL</v>
          </cell>
          <cell r="C171">
            <v>353000</v>
          </cell>
        </row>
        <row r="172">
          <cell r="A172">
            <v>139069</v>
          </cell>
          <cell r="B172" t="str">
            <v>MOBIL GLYGOYLE 22 PAIL 20L:KR</v>
          </cell>
          <cell r="C172">
            <v>296000</v>
          </cell>
        </row>
        <row r="173">
          <cell r="A173">
            <v>139070</v>
          </cell>
          <cell r="B173" t="str">
            <v>MOBIL GLYGOYLE 30 PAIL 20L:KR</v>
          </cell>
          <cell r="C173">
            <v>318000</v>
          </cell>
        </row>
        <row r="174">
          <cell r="A174">
            <v>122187</v>
          </cell>
          <cell r="B174" t="str">
            <v>SHC 524,208LT,DRUM,METAL</v>
          </cell>
          <cell r="C174">
            <v>2760000</v>
          </cell>
        </row>
        <row r="175">
          <cell r="A175">
            <v>126328</v>
          </cell>
          <cell r="B175" t="str">
            <v>MOBIL SHC 824,55GA(208LT),DRUM,METAL</v>
          </cell>
          <cell r="C175">
            <v>4056000</v>
          </cell>
        </row>
        <row r="176">
          <cell r="A176">
            <v>134602</v>
          </cell>
          <cell r="B176" t="str">
            <v>MOBIL SHC 526, 55GA DRUM</v>
          </cell>
          <cell r="C176">
            <v>3680000</v>
          </cell>
        </row>
        <row r="177">
          <cell r="A177">
            <v>134962</v>
          </cell>
          <cell r="B177" t="str">
            <v>MOBIL SHC CIBUS 460 PAIL 20L</v>
          </cell>
          <cell r="C177">
            <v>364000</v>
          </cell>
        </row>
        <row r="178">
          <cell r="A178">
            <v>134995</v>
          </cell>
          <cell r="B178" t="str">
            <v>MOBIL SHC GREASE 460 WT, 16KG/35.2LB</v>
          </cell>
          <cell r="C178">
            <v>475000</v>
          </cell>
        </row>
        <row r="179">
          <cell r="A179">
            <v>135008</v>
          </cell>
          <cell r="B179" t="str">
            <v>MOBIL SHC 525, 5GA PAIL</v>
          </cell>
          <cell r="C179">
            <v>274000</v>
          </cell>
        </row>
        <row r="180">
          <cell r="A180">
            <v>135152</v>
          </cell>
          <cell r="B180" t="str">
            <v>MOBIL SHC CIBUS 220, 20LT PAIL</v>
          </cell>
          <cell r="C180">
            <v>327000</v>
          </cell>
        </row>
        <row r="181">
          <cell r="A181">
            <v>135153</v>
          </cell>
          <cell r="B181" t="str">
            <v>MOBIL SHC CIBUS 32, 20LT PAIL</v>
          </cell>
          <cell r="C181">
            <v>277000</v>
          </cell>
        </row>
        <row r="182">
          <cell r="A182">
            <v>135179</v>
          </cell>
          <cell r="B182" t="str">
            <v>MOBIL SHC CIBUS 32, 208LT DRUM</v>
          </cell>
          <cell r="C182">
            <v>2733000</v>
          </cell>
        </row>
        <row r="183">
          <cell r="A183">
            <v>135180</v>
          </cell>
          <cell r="B183" t="str">
            <v>MOBIL SHC CIBUS 46, 208LT DRUM</v>
          </cell>
          <cell r="C183">
            <v>3124000</v>
          </cell>
        </row>
        <row r="184">
          <cell r="A184">
            <v>135181</v>
          </cell>
          <cell r="B184" t="str">
            <v>MOBIL SHC CIBUS 46, 20LT PAIL</v>
          </cell>
          <cell r="C184">
            <v>269000</v>
          </cell>
        </row>
        <row r="185">
          <cell r="A185">
            <v>135182</v>
          </cell>
          <cell r="B185" t="str">
            <v>MOBIL SHC CIBUS 68, 208LT DRUM</v>
          </cell>
          <cell r="C185">
            <v>2995000</v>
          </cell>
        </row>
        <row r="186">
          <cell r="A186">
            <v>135183</v>
          </cell>
          <cell r="B186" t="str">
            <v>MOBIL SHC CIBUS 68, 20LT PAIL</v>
          </cell>
          <cell r="C186">
            <v>302000</v>
          </cell>
        </row>
        <row r="187">
          <cell r="A187">
            <v>135184</v>
          </cell>
          <cell r="B187" t="str">
            <v>MOBIL SHC CIBUS 220, 208LT DRUM</v>
          </cell>
          <cell r="C187">
            <v>3255000</v>
          </cell>
        </row>
        <row r="188">
          <cell r="A188">
            <v>135185</v>
          </cell>
          <cell r="B188" t="str">
            <v>MOBIL SHC CIBUS 320, 208LT DRUM</v>
          </cell>
          <cell r="C188">
            <v>3450000</v>
          </cell>
        </row>
        <row r="189">
          <cell r="A189">
            <v>135186</v>
          </cell>
          <cell r="B189" t="str">
            <v>MOBIL SHC CIBUS 460, 208LT DRUM</v>
          </cell>
          <cell r="C189">
            <v>3644000</v>
          </cell>
        </row>
        <row r="190">
          <cell r="A190">
            <v>135187</v>
          </cell>
          <cell r="B190" t="str">
            <v>MOBIL SHC CIBUS 150, 208LT DRUM</v>
          </cell>
          <cell r="C190">
            <v>3124000</v>
          </cell>
        </row>
        <row r="191">
          <cell r="A191">
            <v>135188</v>
          </cell>
          <cell r="B191" t="str">
            <v>MOBIL SHC CIBUS 150, 20LT PAIL</v>
          </cell>
          <cell r="C191">
            <v>315000</v>
          </cell>
        </row>
        <row r="192">
          <cell r="A192">
            <v>135190</v>
          </cell>
          <cell r="B192" t="str">
            <v>MOBIL SHC CIBUS 320, 20LT PAIL</v>
          </cell>
          <cell r="C192">
            <v>346000</v>
          </cell>
        </row>
        <row r="193">
          <cell r="A193">
            <v>135440</v>
          </cell>
          <cell r="B193" t="str">
            <v>MOBIL SHC 627,55GA</v>
          </cell>
          <cell r="C193">
            <v>2915000</v>
          </cell>
        </row>
        <row r="194">
          <cell r="A194">
            <v>135441</v>
          </cell>
          <cell r="B194" t="str">
            <v>MOBIL SHC 630,5GA</v>
          </cell>
          <cell r="C194">
            <v>287000</v>
          </cell>
        </row>
        <row r="195">
          <cell r="A195">
            <v>135442</v>
          </cell>
          <cell r="B195" t="str">
            <v>MOBIL SHC 632,5GA</v>
          </cell>
          <cell r="C195">
            <v>289000</v>
          </cell>
        </row>
        <row r="196">
          <cell r="A196">
            <v>135443</v>
          </cell>
          <cell r="B196" t="str">
            <v>MOBIL SHC 634,55GA</v>
          </cell>
          <cell r="C196">
            <v>3124000</v>
          </cell>
        </row>
        <row r="197">
          <cell r="A197">
            <v>135452</v>
          </cell>
          <cell r="B197" t="str">
            <v>MOBIL SHC 624,55GA</v>
          </cell>
          <cell r="C197">
            <v>2586000</v>
          </cell>
        </row>
        <row r="198">
          <cell r="A198">
            <v>135453</v>
          </cell>
          <cell r="B198" t="str">
            <v>MOBIL SHC 624,5GA</v>
          </cell>
          <cell r="C198">
            <v>262000</v>
          </cell>
        </row>
        <row r="199">
          <cell r="A199">
            <v>135454</v>
          </cell>
          <cell r="B199" t="str">
            <v>MOBIL SHC 626,55GA</v>
          </cell>
          <cell r="C199">
            <v>2602000</v>
          </cell>
        </row>
        <row r="200">
          <cell r="A200">
            <v>135455</v>
          </cell>
          <cell r="B200" t="str">
            <v>MOBIL SHC 626,5GA</v>
          </cell>
          <cell r="C200">
            <v>282000</v>
          </cell>
        </row>
        <row r="201">
          <cell r="A201">
            <v>135456</v>
          </cell>
          <cell r="B201" t="str">
            <v>MOBIL SHC 629,55GA</v>
          </cell>
          <cell r="C201">
            <v>2995000</v>
          </cell>
        </row>
        <row r="202">
          <cell r="A202">
            <v>135457</v>
          </cell>
          <cell r="B202" t="str">
            <v>MOBIL SHC 629,5GA</v>
          </cell>
          <cell r="C202">
            <v>287000</v>
          </cell>
        </row>
        <row r="203">
          <cell r="A203">
            <v>135458</v>
          </cell>
          <cell r="B203" t="str">
            <v>MOBIL SHC 630,55GA</v>
          </cell>
          <cell r="C203">
            <v>2763000</v>
          </cell>
        </row>
        <row r="204">
          <cell r="A204">
            <v>135459</v>
          </cell>
          <cell r="B204" t="str">
            <v>MOBIL SHC 632,55GA</v>
          </cell>
          <cell r="C204">
            <v>2938000</v>
          </cell>
        </row>
        <row r="205">
          <cell r="A205">
            <v>135460</v>
          </cell>
          <cell r="B205" t="str">
            <v>MOBIL SHC 634,5GA</v>
          </cell>
          <cell r="C205">
            <v>337000</v>
          </cell>
        </row>
        <row r="206">
          <cell r="A206">
            <v>135461</v>
          </cell>
          <cell r="B206" t="str">
            <v>MOBIL SHC 636,55GA</v>
          </cell>
          <cell r="C206">
            <v>3255000</v>
          </cell>
        </row>
        <row r="207">
          <cell r="A207">
            <v>135462</v>
          </cell>
          <cell r="B207" t="str">
            <v>MOBIL SHC 636,5GA</v>
          </cell>
          <cell r="C207">
            <v>351000</v>
          </cell>
        </row>
        <row r="208">
          <cell r="A208">
            <v>135463</v>
          </cell>
          <cell r="B208" t="str">
            <v>MOBIL SHC 639,55GA</v>
          </cell>
          <cell r="C208">
            <v>3383000</v>
          </cell>
        </row>
        <row r="209">
          <cell r="A209">
            <v>135464</v>
          </cell>
          <cell r="B209" t="str">
            <v>MOBIL SHC 639,5GA</v>
          </cell>
          <cell r="C209">
            <v>364000</v>
          </cell>
        </row>
        <row r="210">
          <cell r="A210">
            <v>135627</v>
          </cell>
          <cell r="B210" t="str">
            <v>MOBIL SHC GREASE 460 WT DRUM 174KG</v>
          </cell>
          <cell r="C210">
            <v>4915000</v>
          </cell>
        </row>
        <row r="211">
          <cell r="A211">
            <v>139080</v>
          </cell>
          <cell r="B211" t="str">
            <v>MOBIL SHC 524 PAIL 20L:KR</v>
          </cell>
          <cell r="C211">
            <v>300000</v>
          </cell>
        </row>
        <row r="212">
          <cell r="A212">
            <v>139082</v>
          </cell>
          <cell r="B212" t="str">
            <v>MOBIL SHC 526 PAIL 20L:KR</v>
          </cell>
          <cell r="C212">
            <v>366000</v>
          </cell>
        </row>
        <row r="213">
          <cell r="A213">
            <v>141361</v>
          </cell>
          <cell r="B213" t="str">
            <v>M-SHC GREASE 681 WT PAIL 16KG</v>
          </cell>
          <cell r="C213">
            <v>476000</v>
          </cell>
        </row>
        <row r="214">
          <cell r="A214">
            <v>141429</v>
          </cell>
          <cell r="B214" t="str">
            <v>M-SHC GREASE 681 WT DRUM 174 KG/383.6 LB</v>
          </cell>
          <cell r="C214">
            <v>4915000</v>
          </cell>
        </row>
        <row r="215">
          <cell r="A215">
            <v>142637</v>
          </cell>
          <cell r="B215" t="str">
            <v>MOBIL SHC 918 EE DRUM 200L:KR</v>
          </cell>
          <cell r="C215">
            <v>4494000</v>
          </cell>
        </row>
        <row r="216">
          <cell r="A216">
            <v>140854</v>
          </cell>
          <cell r="B216" t="str">
            <v>MOBIL SHC 630 PAIL 20L:SG</v>
          </cell>
          <cell r="C216">
            <v>287000</v>
          </cell>
        </row>
        <row r="217">
          <cell r="A217">
            <v>143982</v>
          </cell>
          <cell r="B217" t="str">
            <v>MOBIL SHC 629 DRUM 208L:SG</v>
          </cell>
          <cell r="C217">
            <v>2995000</v>
          </cell>
        </row>
        <row r="218">
          <cell r="A218">
            <v>143983</v>
          </cell>
          <cell r="B218" t="str">
            <v>MOBIL SHC 629 PAIL 20L:SG</v>
          </cell>
          <cell r="C218">
            <v>287000</v>
          </cell>
        </row>
        <row r="219">
          <cell r="A219">
            <v>143985</v>
          </cell>
          <cell r="B219" t="str">
            <v>MOBIL SHC 630 DRUM 208L:SG</v>
          </cell>
          <cell r="C219">
            <v>2763000</v>
          </cell>
        </row>
        <row r="220">
          <cell r="A220">
            <v>143987</v>
          </cell>
          <cell r="B220" t="str">
            <v>MOBIL SHC 632 DRUM 208L:SG</v>
          </cell>
          <cell r="C220">
            <v>2938000</v>
          </cell>
        </row>
        <row r="221">
          <cell r="A221">
            <v>143988</v>
          </cell>
          <cell r="B221" t="str">
            <v>MOBIL SHC 632 PAIL 20L:SG</v>
          </cell>
          <cell r="C221">
            <v>289000</v>
          </cell>
        </row>
        <row r="222">
          <cell r="A222">
            <v>143990</v>
          </cell>
          <cell r="B222" t="str">
            <v>MOBIL SHC 634 DRUM 208L:SG</v>
          </cell>
          <cell r="C222">
            <v>3124000</v>
          </cell>
        </row>
        <row r="223">
          <cell r="A223">
            <v>143991</v>
          </cell>
          <cell r="B223" t="str">
            <v>MOBIL SHC 634 PAIL 20L:SG</v>
          </cell>
          <cell r="C223">
            <v>337000</v>
          </cell>
        </row>
        <row r="224">
          <cell r="A224">
            <v>143993</v>
          </cell>
          <cell r="B224" t="str">
            <v>MOBIL SHC 636 DRUM 208L:SG</v>
          </cell>
          <cell r="C224">
            <v>3255000</v>
          </cell>
        </row>
        <row r="225">
          <cell r="A225">
            <v>143994</v>
          </cell>
          <cell r="B225" t="str">
            <v>MOBIL SHC 636 PAIL 20L:SG</v>
          </cell>
          <cell r="C225">
            <v>351000</v>
          </cell>
        </row>
        <row r="226">
          <cell r="A226">
            <v>124528</v>
          </cell>
          <cell r="B226" t="str">
            <v>MOBILGEAR SHC XMP 460, 208LT, DR</v>
          </cell>
          <cell r="C226">
            <v>3634000</v>
          </cell>
        </row>
        <row r="227">
          <cell r="A227">
            <v>135421</v>
          </cell>
          <cell r="B227" t="str">
            <v>MOBIL SHC GEAR 320 WT DRUM-M 208L</v>
          </cell>
          <cell r="C227">
            <v>5049000</v>
          </cell>
        </row>
        <row r="228">
          <cell r="A228">
            <v>135431</v>
          </cell>
          <cell r="B228" t="str">
            <v>MOBIL SHC GEAR 150,390LB.</v>
          </cell>
          <cell r="C228">
            <v>3873000</v>
          </cell>
        </row>
        <row r="229">
          <cell r="A229">
            <v>135432</v>
          </cell>
          <cell r="B229" t="str">
            <v>MOBIL SHC GEAR 220,390LB.</v>
          </cell>
          <cell r="C229">
            <v>3962000</v>
          </cell>
        </row>
        <row r="230">
          <cell r="A230">
            <v>135437</v>
          </cell>
          <cell r="B230" t="str">
            <v>M-SHC GEAR 460,390LB.</v>
          </cell>
          <cell r="C230">
            <v>4122000</v>
          </cell>
        </row>
        <row r="231">
          <cell r="A231">
            <v>135439</v>
          </cell>
          <cell r="B231" t="str">
            <v>MOBIL SHC GEAR 680,390LB.</v>
          </cell>
          <cell r="C231">
            <v>4035000</v>
          </cell>
        </row>
        <row r="232">
          <cell r="A232">
            <v>135444</v>
          </cell>
          <cell r="B232" t="str">
            <v>MOBIL SHC GEAR 3200,390LB.</v>
          </cell>
          <cell r="C232">
            <v>4131000</v>
          </cell>
        </row>
        <row r="233">
          <cell r="A233">
            <v>135448</v>
          </cell>
          <cell r="B233" t="str">
            <v>MOBIL SHC GEAR 6800,390LB.</v>
          </cell>
          <cell r="C233">
            <v>3842000</v>
          </cell>
        </row>
        <row r="234">
          <cell r="A234">
            <v>135451</v>
          </cell>
          <cell r="B234" t="str">
            <v>M-SHC GEAR 46M,390LB.</v>
          </cell>
          <cell r="C234">
            <v>3847000</v>
          </cell>
        </row>
        <row r="235">
          <cell r="A235">
            <v>136159</v>
          </cell>
          <cell r="B235" t="str">
            <v>M-GEAR SHC XMP 320 ST DRUM 55USG</v>
          </cell>
          <cell r="C235">
            <v>4607000</v>
          </cell>
        </row>
        <row r="236">
          <cell r="A236">
            <v>139032</v>
          </cell>
          <cell r="B236" t="str">
            <v>MOBIL SHC GEAR 150 PAIL 20L:KR</v>
          </cell>
          <cell r="C236">
            <v>371000</v>
          </cell>
        </row>
        <row r="237">
          <cell r="A237">
            <v>139033</v>
          </cell>
          <cell r="B237" t="str">
            <v>MOBIL SHC GEAR 220 PAIL 20L:KR</v>
          </cell>
          <cell r="C237">
            <v>392000</v>
          </cell>
        </row>
        <row r="238">
          <cell r="A238">
            <v>139112</v>
          </cell>
          <cell r="B238" t="str">
            <v>MOBILGEAR SHC XMP 320 PAIL 20L:KR</v>
          </cell>
          <cell r="C238">
            <v>465000</v>
          </cell>
        </row>
        <row r="239">
          <cell r="A239">
            <v>139113</v>
          </cell>
          <cell r="B239" t="str">
            <v>MOBILGEAR SHC XMP 460 PAIL 20L:KR</v>
          </cell>
          <cell r="C239">
            <v>364000</v>
          </cell>
        </row>
        <row r="240">
          <cell r="A240">
            <v>139600</v>
          </cell>
          <cell r="B240" t="str">
            <v>MOBIL SHC GEAR 320WT PAIL 20L:KR</v>
          </cell>
          <cell r="C240">
            <v>482000</v>
          </cell>
        </row>
        <row r="241">
          <cell r="A241">
            <v>132575</v>
          </cell>
          <cell r="B241" t="str">
            <v>MOBILITH SHC 1500, 16KG/35.2LB PAIL</v>
          </cell>
          <cell r="C241">
            <v>394000</v>
          </cell>
        </row>
        <row r="242">
          <cell r="A242">
            <v>132610</v>
          </cell>
          <cell r="B242" t="str">
            <v>MOBILITH SHC PM 460, 174KG/383.6LB</v>
          </cell>
          <cell r="C242">
            <v>3730000</v>
          </cell>
        </row>
        <row r="243">
          <cell r="A243">
            <v>132611</v>
          </cell>
          <cell r="B243" t="str">
            <v>MOBILITH SHC PM 460, 35.2LB PAIL</v>
          </cell>
          <cell r="C243">
            <v>338000</v>
          </cell>
        </row>
        <row r="244">
          <cell r="A244">
            <v>132642</v>
          </cell>
          <cell r="B244" t="str">
            <v>MOBILITH SHC 100, 16 KG/35.2 LB PAIL</v>
          </cell>
          <cell r="C244">
            <v>351000</v>
          </cell>
        </row>
        <row r="245">
          <cell r="A245">
            <v>135010</v>
          </cell>
          <cell r="B245" t="str">
            <v>MOBILITH SHC 1500, 174KG DRUM</v>
          </cell>
          <cell r="C245">
            <v>3777000</v>
          </cell>
        </row>
        <row r="246">
          <cell r="A246">
            <v>140200</v>
          </cell>
          <cell r="B246" t="str">
            <v>MOBILITH SHC 100 PAIL 16KG:SG</v>
          </cell>
          <cell r="C246">
            <v>352000</v>
          </cell>
        </row>
        <row r="247">
          <cell r="A247">
            <v>140202</v>
          </cell>
          <cell r="B247" t="str">
            <v>MOBILITH SHC 220 PAIL 16KG:SG</v>
          </cell>
          <cell r="C247">
            <v>352000</v>
          </cell>
        </row>
        <row r="248">
          <cell r="A248">
            <v>140203</v>
          </cell>
          <cell r="B248" t="str">
            <v>MOBILITH SHC 460 PAIL 16KG:SG</v>
          </cell>
          <cell r="C248">
            <v>355000</v>
          </cell>
        </row>
        <row r="249">
          <cell r="A249">
            <v>140204</v>
          </cell>
          <cell r="B249" t="str">
            <v>MOBILITH SHC PM 220 PAIL 16KG:SG</v>
          </cell>
          <cell r="C249">
            <v>352000</v>
          </cell>
        </row>
        <row r="250">
          <cell r="A250">
            <v>140205</v>
          </cell>
          <cell r="B250" t="str">
            <v>MOBILITH SHC PM 460 PAIL 16KG:SG</v>
          </cell>
          <cell r="C250">
            <v>355000</v>
          </cell>
        </row>
        <row r="251">
          <cell r="A251">
            <v>140206</v>
          </cell>
          <cell r="B251" t="str">
            <v>MOBILITH SHC 100 DRUM 174KG:SG</v>
          </cell>
          <cell r="C251">
            <v>3685000</v>
          </cell>
        </row>
        <row r="252">
          <cell r="A252">
            <v>140207</v>
          </cell>
          <cell r="B252" t="str">
            <v>MOBILITH SHC 1500 DRUM 174KG:SG</v>
          </cell>
          <cell r="C252">
            <v>3777000</v>
          </cell>
        </row>
        <row r="253">
          <cell r="A253">
            <v>140208</v>
          </cell>
          <cell r="B253" t="str">
            <v>MOBILITH SHC 220 DRUM 174KG:SG</v>
          </cell>
          <cell r="C253">
            <v>3689000</v>
          </cell>
        </row>
        <row r="254">
          <cell r="A254">
            <v>140209</v>
          </cell>
          <cell r="B254" t="str">
            <v>MOBILITH SHC 460 DRUM 174KG:SG</v>
          </cell>
          <cell r="C254">
            <v>3730000</v>
          </cell>
        </row>
        <row r="255">
          <cell r="A255">
            <v>140210</v>
          </cell>
          <cell r="B255" t="str">
            <v>MOBILITH SHC PM 220 DRUM 174KG:SG</v>
          </cell>
          <cell r="C255">
            <v>3687000</v>
          </cell>
        </row>
        <row r="256">
          <cell r="A256">
            <v>140211</v>
          </cell>
          <cell r="B256" t="str">
            <v>MOBILITH SHC PM 460 DRUM 174KG:SG</v>
          </cell>
          <cell r="C256">
            <v>3730000</v>
          </cell>
        </row>
        <row r="257">
          <cell r="A257">
            <v>142028</v>
          </cell>
          <cell r="B257" t="str">
            <v>MOBILITH SHC 007 PAIL 16KG:SG</v>
          </cell>
          <cell r="C257">
            <v>318000</v>
          </cell>
        </row>
        <row r="258">
          <cell r="A258">
            <v>129389</v>
          </cell>
          <cell r="B258" t="str">
            <v>MOBIL SHC PM 220, 55GA DRUM</v>
          </cell>
          <cell r="C258">
            <v>3962000</v>
          </cell>
        </row>
        <row r="259">
          <cell r="A259">
            <v>123004</v>
          </cell>
          <cell r="B259" t="str">
            <v>MOBILTEMP SHC 100 PAIL 18KG</v>
          </cell>
          <cell r="C259">
            <v>402000</v>
          </cell>
        </row>
        <row r="260">
          <cell r="A260">
            <v>132796</v>
          </cell>
          <cell r="B260" t="str">
            <v>MOBILTEMP SHC 460 SPECIAL, 18KG PAIL</v>
          </cell>
          <cell r="C260">
            <v>562000</v>
          </cell>
        </row>
        <row r="261">
          <cell r="A261">
            <v>134997</v>
          </cell>
          <cell r="B261" t="str">
            <v>MOBILTEMP SHC 32,35LB PAIL</v>
          </cell>
          <cell r="C261">
            <v>316000</v>
          </cell>
        </row>
        <row r="262">
          <cell r="A262">
            <v>129351</v>
          </cell>
          <cell r="B262" t="str">
            <v>M-PEGASUS 1 PAIL 20L</v>
          </cell>
          <cell r="C262">
            <v>415000</v>
          </cell>
        </row>
        <row r="263">
          <cell r="A263">
            <v>142288</v>
          </cell>
          <cell r="B263" t="str">
            <v>M-PYROTEC HFD 46B DRUM-R 230KG</v>
          </cell>
          <cell r="C263">
            <v>6002000</v>
          </cell>
        </row>
        <row r="264">
          <cell r="A264">
            <v>122167</v>
          </cell>
          <cell r="B264" t="str">
            <v>MOBIL RARUS 827 208LT DRUM METAL</v>
          </cell>
          <cell r="C264">
            <v>3124000</v>
          </cell>
        </row>
        <row r="265">
          <cell r="A265">
            <v>135304</v>
          </cell>
          <cell r="B265" t="str">
            <v>MOBIL RARUS 829, 55GA DRUM</v>
          </cell>
          <cell r="C265">
            <v>3473000</v>
          </cell>
        </row>
        <row r="266">
          <cell r="A266">
            <v>135361</v>
          </cell>
          <cell r="B266" t="str">
            <v>MOBIL RARUS 827,5GA</v>
          </cell>
          <cell r="C266">
            <v>317000</v>
          </cell>
        </row>
        <row r="267">
          <cell r="A267">
            <v>139076</v>
          </cell>
          <cell r="B267" t="str">
            <v>MOBIL RARUS 829 PAIL 20L:KR</v>
          </cell>
          <cell r="C267">
            <v>370000</v>
          </cell>
        </row>
        <row r="268">
          <cell r="A268">
            <v>141825</v>
          </cell>
          <cell r="B268" t="str">
            <v>M-RARUS SHC 1024 DRUM-M 208L</v>
          </cell>
          <cell r="C268">
            <v>2660000</v>
          </cell>
        </row>
        <row r="269">
          <cell r="A269">
            <v>139819</v>
          </cell>
          <cell r="B269" t="str">
            <v>M-RARUS SHC 1025 DRUM-M 208L</v>
          </cell>
          <cell r="C269">
            <v>2692000</v>
          </cell>
        </row>
        <row r="270">
          <cell r="A270">
            <v>139821</v>
          </cell>
          <cell r="B270" t="str">
            <v>M-RARUS SHC 1026 DRUM-M 208L</v>
          </cell>
          <cell r="C270">
            <v>3429000</v>
          </cell>
        </row>
        <row r="271">
          <cell r="A271">
            <v>141840</v>
          </cell>
          <cell r="B271" t="str">
            <v>M-RARUS SHC 1024 PAIL 20L:KR</v>
          </cell>
          <cell r="C271">
            <v>270000</v>
          </cell>
        </row>
        <row r="272">
          <cell r="A272">
            <v>139962</v>
          </cell>
          <cell r="B272" t="str">
            <v>M-RARUS SHC 1025 PAIL 20L:KR</v>
          </cell>
          <cell r="C272">
            <v>255000</v>
          </cell>
        </row>
        <row r="273">
          <cell r="A273">
            <v>139963</v>
          </cell>
          <cell r="B273" t="str">
            <v>M-RARUS SHC 1026 PAIL 20L:KR</v>
          </cell>
          <cell r="C273">
            <v>271000</v>
          </cell>
        </row>
        <row r="274">
          <cell r="A274">
            <v>140107</v>
          </cell>
          <cell r="B274" t="str">
            <v>M-SHC RARUS 32 DRUM 55USG</v>
          </cell>
          <cell r="C274">
            <v>3193000</v>
          </cell>
        </row>
        <row r="275">
          <cell r="A275">
            <v>140108</v>
          </cell>
          <cell r="B275" t="str">
            <v>M-SHC RARUS 68 DRUM 55USG</v>
          </cell>
          <cell r="C275">
            <v>3403000</v>
          </cell>
        </row>
        <row r="276">
          <cell r="A276">
            <v>140109</v>
          </cell>
          <cell r="B276" t="str">
            <v>M-SHC RARUS 32 PAIL 5USG</v>
          </cell>
          <cell r="C276">
            <v>320000</v>
          </cell>
        </row>
        <row r="277">
          <cell r="A277">
            <v>140110</v>
          </cell>
          <cell r="B277" t="str">
            <v>M-SHC RARUS 46 DRUM 55USG</v>
          </cell>
          <cell r="C277">
            <v>3231000</v>
          </cell>
        </row>
        <row r="278">
          <cell r="A278">
            <v>140111</v>
          </cell>
          <cell r="B278" t="str">
            <v>M-SHC RARUS 46 PAIL 5USG</v>
          </cell>
          <cell r="C278">
            <v>326000</v>
          </cell>
        </row>
        <row r="279">
          <cell r="A279">
            <v>140112</v>
          </cell>
          <cell r="B279" t="str">
            <v>M-SHC RARUS 68 PAIL 5USG</v>
          </cell>
          <cell r="C279">
            <v>340000</v>
          </cell>
        </row>
        <row r="280">
          <cell r="A280">
            <v>141825</v>
          </cell>
          <cell r="B280" t="str">
            <v>M-RARUS SHC 1024, DRUM-M 208L</v>
          </cell>
          <cell r="C280">
            <v>2660000</v>
          </cell>
        </row>
        <row r="281">
          <cell r="A281">
            <v>141840</v>
          </cell>
          <cell r="B281" t="str">
            <v>M-RARUS SHC 1024 PAIL 20L:KR GTL</v>
          </cell>
          <cell r="C281">
            <v>270000</v>
          </cell>
        </row>
        <row r="282">
          <cell r="A282">
            <v>144367</v>
          </cell>
          <cell r="B282" t="str">
            <v>MOBIL DTE 10 EXCEL 150 DRUM 200L:KR(N)</v>
          </cell>
          <cell r="C282">
            <v>801000</v>
          </cell>
        </row>
        <row r="283">
          <cell r="A283">
            <v>144364</v>
          </cell>
          <cell r="B283" t="str">
            <v>MOBIL DTE 10 EXCEL 100 DRUM 200L:KR(N)</v>
          </cell>
          <cell r="C283">
            <v>756000</v>
          </cell>
        </row>
        <row r="284">
          <cell r="A284">
            <v>144353</v>
          </cell>
          <cell r="B284" t="str">
            <v>MOBIL DTE 10 EXCEL 15 DRUM 200L:KR(N)</v>
          </cell>
          <cell r="C284">
            <v>710000</v>
          </cell>
        </row>
        <row r="285">
          <cell r="A285">
            <v>144361</v>
          </cell>
          <cell r="B285" t="str">
            <v>MOBIL DTE 10 EXCEL 68 DRUM 200L:KR(N)</v>
          </cell>
          <cell r="C285">
            <v>710000</v>
          </cell>
        </row>
        <row r="286">
          <cell r="A286">
            <v>144358</v>
          </cell>
          <cell r="B286" t="str">
            <v>MOBIL DTE 10 EXCEL 46 DRUM 200L:KR(N)</v>
          </cell>
          <cell r="C286">
            <v>710000</v>
          </cell>
        </row>
        <row r="287">
          <cell r="A287">
            <v>144355</v>
          </cell>
          <cell r="B287" t="str">
            <v>MOBIL DTE 10 EXCEL 32 DRUM 200L:KR(N)</v>
          </cell>
          <cell r="C287">
            <v>710000</v>
          </cell>
        </row>
        <row r="288">
          <cell r="A288">
            <v>144366</v>
          </cell>
          <cell r="B288" t="str">
            <v>MOBIL DTE 10 EXCEL 150 PAIL 20L:KR(N)</v>
          </cell>
          <cell r="C288">
            <v>85000</v>
          </cell>
        </row>
        <row r="289">
          <cell r="A289">
            <v>144363</v>
          </cell>
          <cell r="B289" t="str">
            <v>MOBIL DTE 10 EXCEL 100 PAIL 20L:KR(N)</v>
          </cell>
          <cell r="C289">
            <v>80700</v>
          </cell>
        </row>
        <row r="290">
          <cell r="A290">
            <v>144360</v>
          </cell>
          <cell r="B290" t="str">
            <v>MOBIL DTE 10 EXCEL 68 PAIL 20L:KR(N)</v>
          </cell>
          <cell r="C290">
            <v>76000</v>
          </cell>
        </row>
        <row r="291">
          <cell r="A291">
            <v>144357</v>
          </cell>
          <cell r="B291" t="str">
            <v>MOBIL DTE 10 EXCEL 46 PAIL 20L:KR(N)</v>
          </cell>
          <cell r="C291">
            <v>76000</v>
          </cell>
        </row>
        <row r="292">
          <cell r="A292">
            <v>144352</v>
          </cell>
          <cell r="B292" t="str">
            <v>MOBIL DTE 10 EXCEL 32 PAIL 20L:KR(N)</v>
          </cell>
          <cell r="C292">
            <v>76000</v>
          </cell>
        </row>
        <row r="293">
          <cell r="A293">
            <v>144351</v>
          </cell>
          <cell r="B293" t="str">
            <v>MOBIL DTE 10 EXCEL 15 PAIL 20L:KR(N)</v>
          </cell>
          <cell r="C293">
            <v>76000</v>
          </cell>
        </row>
        <row r="294">
          <cell r="A294">
            <v>141737</v>
          </cell>
          <cell r="B294" t="str">
            <v>MOBIL DTE 22 ULTRA PAIL 20L:KR</v>
          </cell>
          <cell r="C294">
            <v>59700</v>
          </cell>
        </row>
        <row r="295">
          <cell r="A295">
            <v>141738</v>
          </cell>
          <cell r="B295" t="str">
            <v>MOBIL DTE 22 ULTRA DRUM 200L:KR</v>
          </cell>
          <cell r="C295">
            <v>551000</v>
          </cell>
        </row>
        <row r="296">
          <cell r="A296">
            <v>141741</v>
          </cell>
          <cell r="B296" t="str">
            <v>MOBIL DTE 24 ULTRA PAIL 20L:KR</v>
          </cell>
          <cell r="C296">
            <v>57100</v>
          </cell>
        </row>
        <row r="297">
          <cell r="A297">
            <v>141742</v>
          </cell>
          <cell r="B297" t="str">
            <v>MOBIL DTE 24 ULTRA DRUM 200L:KR</v>
          </cell>
          <cell r="C297">
            <v>522000</v>
          </cell>
        </row>
        <row r="298">
          <cell r="A298">
            <v>141745</v>
          </cell>
          <cell r="B298" t="str">
            <v>MOBIL DTE 25 ULTRA PAIL 20L:KR</v>
          </cell>
          <cell r="C298">
            <v>57100</v>
          </cell>
        </row>
        <row r="299">
          <cell r="A299">
            <v>141746</v>
          </cell>
          <cell r="B299" t="str">
            <v>MOBIL DTE 25 ULTRA DRUM 200L:KR</v>
          </cell>
          <cell r="C299">
            <v>522000</v>
          </cell>
        </row>
        <row r="300">
          <cell r="A300">
            <v>141750</v>
          </cell>
          <cell r="B300" t="str">
            <v>MOBIL DTE 26 ULTRA PAIL 20L:KR</v>
          </cell>
          <cell r="C300">
            <v>57100</v>
          </cell>
        </row>
        <row r="301">
          <cell r="A301">
            <v>141751</v>
          </cell>
          <cell r="B301" t="str">
            <v>MOBIL DTE 26 ULTRA DRUM 200L:KR</v>
          </cell>
          <cell r="C301">
            <v>522000</v>
          </cell>
        </row>
        <row r="302">
          <cell r="A302">
            <v>141654</v>
          </cell>
          <cell r="B302" t="str">
            <v>MOBIL DTE HFP 46 PAIL 20L:KR</v>
          </cell>
          <cell r="C302">
            <v>66500</v>
          </cell>
        </row>
        <row r="303">
          <cell r="A303">
            <v>141655</v>
          </cell>
          <cell r="B303" t="str">
            <v>MOBIL DTE HFP 46 DRUM 200L:KR</v>
          </cell>
          <cell r="C303">
            <v>617000</v>
          </cell>
        </row>
        <row r="304">
          <cell r="A304">
            <v>141657</v>
          </cell>
          <cell r="B304" t="str">
            <v>MOBIL DTE HFP 68 PAIL 20L:KR</v>
          </cell>
          <cell r="C304">
            <v>66500</v>
          </cell>
        </row>
        <row r="305">
          <cell r="A305">
            <v>141658</v>
          </cell>
          <cell r="B305" t="str">
            <v>MOBIL DTE HFP 68 DRUM 200L:KR</v>
          </cell>
          <cell r="C305">
            <v>617000</v>
          </cell>
        </row>
        <row r="306">
          <cell r="A306">
            <v>144165</v>
          </cell>
          <cell r="B306" t="str">
            <v>MOBIL HYDRAULIC AW 32 PAIL 20L:KR</v>
          </cell>
          <cell r="C306">
            <v>34200</v>
          </cell>
        </row>
        <row r="307">
          <cell r="A307">
            <v>144166</v>
          </cell>
          <cell r="B307" t="str">
            <v>MOBIL HYDRAULIC AW 32 DRUM 200L:KR</v>
          </cell>
          <cell r="C307">
            <v>324000</v>
          </cell>
        </row>
        <row r="308">
          <cell r="A308">
            <v>144167</v>
          </cell>
          <cell r="B308" t="str">
            <v>MOBIL HYDRAULIC AW 46 PAIL 20L:KR</v>
          </cell>
          <cell r="C308">
            <v>34200</v>
          </cell>
        </row>
        <row r="309">
          <cell r="A309">
            <v>144168</v>
          </cell>
          <cell r="B309" t="str">
            <v>MOBIL HYDRAULIC AW 46 DRUM 200L:KR</v>
          </cell>
          <cell r="C309">
            <v>324000</v>
          </cell>
        </row>
        <row r="310">
          <cell r="A310">
            <v>144169</v>
          </cell>
          <cell r="B310" t="str">
            <v>MOBIL HYDRAULIC AW 68 PAIL 20L:KR</v>
          </cell>
          <cell r="C310">
            <v>35300</v>
          </cell>
        </row>
        <row r="311">
          <cell r="A311">
            <v>144170</v>
          </cell>
          <cell r="B311" t="str">
            <v>MOBIL HYDRAULIC AW 68 DRUM 200L:KR</v>
          </cell>
          <cell r="C311">
            <v>335000</v>
          </cell>
        </row>
        <row r="312">
          <cell r="A312">
            <v>135488</v>
          </cell>
          <cell r="B312" t="str">
            <v>NUTO H 68-PL20L</v>
          </cell>
          <cell r="C312">
            <v>51400</v>
          </cell>
        </row>
        <row r="313">
          <cell r="A313">
            <v>139142</v>
          </cell>
          <cell r="B313" t="str">
            <v>NUTO H 32 DRUM 200L:KR</v>
          </cell>
          <cell r="C313">
            <v>457000</v>
          </cell>
        </row>
        <row r="314">
          <cell r="A314">
            <v>139143</v>
          </cell>
          <cell r="B314" t="str">
            <v>NUTO H 32 PAIL 20L:KR</v>
          </cell>
          <cell r="C314">
            <v>47500</v>
          </cell>
        </row>
        <row r="315">
          <cell r="A315">
            <v>139144</v>
          </cell>
          <cell r="B315" t="str">
            <v>NUTO H 46 DRUM 200L:KR</v>
          </cell>
          <cell r="C315">
            <v>457000</v>
          </cell>
        </row>
        <row r="316">
          <cell r="A316">
            <v>139145</v>
          </cell>
          <cell r="B316" t="str">
            <v>NUTO H 46 PAIL 20L:KR</v>
          </cell>
          <cell r="C316">
            <v>47500</v>
          </cell>
        </row>
        <row r="317">
          <cell r="A317">
            <v>139146</v>
          </cell>
          <cell r="B317" t="str">
            <v>NUTO H 68 DRUM 200L:KR</v>
          </cell>
          <cell r="C317">
            <v>491000</v>
          </cell>
        </row>
        <row r="318">
          <cell r="A318">
            <v>139147</v>
          </cell>
          <cell r="B318" t="str">
            <v>NUTO H 100 DRUM 200L:KR</v>
          </cell>
          <cell r="C318">
            <v>523000</v>
          </cell>
        </row>
        <row r="319">
          <cell r="A319">
            <v>139148</v>
          </cell>
          <cell r="B319" t="str">
            <v>NUTO H 100 PAIL 20L:KR</v>
          </cell>
          <cell r="C319">
            <v>55700</v>
          </cell>
        </row>
        <row r="320">
          <cell r="A320">
            <v>140058</v>
          </cell>
          <cell r="B320" t="str">
            <v>NUTO H 150 DRUM 200L:KR</v>
          </cell>
          <cell r="C320">
            <v>572000</v>
          </cell>
        </row>
        <row r="321">
          <cell r="A321">
            <v>140059</v>
          </cell>
          <cell r="B321" t="str">
            <v>NUTO H 150 PAIL 20L:KR</v>
          </cell>
          <cell r="C321">
            <v>59400</v>
          </cell>
        </row>
        <row r="322">
          <cell r="A322">
            <v>135557</v>
          </cell>
          <cell r="B322" t="str">
            <v>NYVAC FR 200D, D/225KG</v>
          </cell>
          <cell r="C322">
            <v>1513000</v>
          </cell>
        </row>
        <row r="323">
          <cell r="A323">
            <v>121540</v>
          </cell>
          <cell r="B323" t="str">
            <v>UNIVIS HVI 26,208LT,DRUM</v>
          </cell>
          <cell r="C323">
            <v>1785000</v>
          </cell>
        </row>
        <row r="324">
          <cell r="A324">
            <v>142012</v>
          </cell>
          <cell r="B324" t="str">
            <v>MOBIL UNIVIS N 46 PAIL 20L:KR</v>
          </cell>
          <cell r="C324">
            <v>49700</v>
          </cell>
        </row>
        <row r="325">
          <cell r="A325">
            <v>139051</v>
          </cell>
          <cell r="B325" t="str">
            <v>M-600W SUPER CYLINDER OIL PAIL 18.9L:KR</v>
          </cell>
          <cell r="C325">
            <v>179000</v>
          </cell>
        </row>
        <row r="326">
          <cell r="A326">
            <v>139118</v>
          </cell>
          <cell r="B326" t="str">
            <v>MOBILGEAR MS 460 DRUM 200L:KR</v>
          </cell>
          <cell r="C326">
            <v>1009000</v>
          </cell>
        </row>
        <row r="327">
          <cell r="A327">
            <v>139121</v>
          </cell>
          <cell r="B327" t="str">
            <v>MOBILGEAR MS 320 DRUM 200L:KR</v>
          </cell>
          <cell r="C327">
            <v>1009000</v>
          </cell>
        </row>
        <row r="328">
          <cell r="A328">
            <v>139123</v>
          </cell>
          <cell r="B328" t="str">
            <v>MOBILGEAR MS 100 DRUM 200L:KR</v>
          </cell>
          <cell r="C328">
            <v>1009000</v>
          </cell>
        </row>
        <row r="329">
          <cell r="A329">
            <v>121558</v>
          </cell>
          <cell r="B329" t="str">
            <v>MOBIL TAC 375NC 38LB(17.2 KG) PAIL</v>
          </cell>
          <cell r="C329">
            <v>330000</v>
          </cell>
        </row>
        <row r="330">
          <cell r="A330">
            <v>136141</v>
          </cell>
          <cell r="B330" t="str">
            <v>MOBIL TAC 325 NC DR 400LB(A)</v>
          </cell>
          <cell r="C330">
            <v>3739000</v>
          </cell>
        </row>
        <row r="331">
          <cell r="A331">
            <v>139125</v>
          </cell>
          <cell r="B331" t="str">
            <v>MOBILGEAR 600 XP 68 DRUM 200L:KR</v>
          </cell>
          <cell r="C331">
            <v>655000</v>
          </cell>
        </row>
        <row r="332">
          <cell r="A332">
            <v>139127</v>
          </cell>
          <cell r="B332" t="str">
            <v>MOBILGEAR 600 XP 68 PAIL 20L:KR</v>
          </cell>
          <cell r="C332">
            <v>75300</v>
          </cell>
        </row>
        <row r="333">
          <cell r="A333">
            <v>139128</v>
          </cell>
          <cell r="B333" t="str">
            <v>MOBILGEAR 600 XP 100 DRUM 200L:KR</v>
          </cell>
          <cell r="C333">
            <v>643000</v>
          </cell>
        </row>
        <row r="334">
          <cell r="A334">
            <v>139129</v>
          </cell>
          <cell r="B334" t="str">
            <v>MOBILGEAR 600 XP 100 PAIL 20L:KR</v>
          </cell>
          <cell r="C334">
            <v>74000</v>
          </cell>
        </row>
        <row r="335">
          <cell r="A335">
            <v>139130</v>
          </cell>
          <cell r="B335" t="str">
            <v>MOBILGEAR 600 XP 150 DRUM 200L:KR</v>
          </cell>
          <cell r="C335">
            <v>660000</v>
          </cell>
        </row>
        <row r="336">
          <cell r="A336">
            <v>139131</v>
          </cell>
          <cell r="B336" t="str">
            <v>MOBILGEAR 600 XP 150 PAIL 20L:KR</v>
          </cell>
          <cell r="C336">
            <v>79100</v>
          </cell>
        </row>
        <row r="337">
          <cell r="A337">
            <v>139132</v>
          </cell>
          <cell r="B337" t="str">
            <v>MOBILGEAR 600 XP 220 DRUM 200L:KR</v>
          </cell>
          <cell r="C337">
            <v>660000</v>
          </cell>
        </row>
        <row r="338">
          <cell r="A338">
            <v>139134</v>
          </cell>
          <cell r="B338" t="str">
            <v>MOBILGEAR 600 XP 220 PAIL 20L:KR</v>
          </cell>
          <cell r="C338">
            <v>75200</v>
          </cell>
        </row>
        <row r="339">
          <cell r="A339">
            <v>139135</v>
          </cell>
          <cell r="B339" t="str">
            <v>MOBILGEAR 600 XP 320 DRUM 200L:KR</v>
          </cell>
          <cell r="C339">
            <v>679000</v>
          </cell>
        </row>
        <row r="340">
          <cell r="A340">
            <v>139137</v>
          </cell>
          <cell r="B340" t="str">
            <v>MOBILGEAR 600 XP 320 PAIL 20L:KR</v>
          </cell>
          <cell r="C340">
            <v>85800</v>
          </cell>
        </row>
        <row r="341">
          <cell r="A341">
            <v>139138</v>
          </cell>
          <cell r="B341" t="str">
            <v>MOBILGEAR 600 XP 460 DRUM 200L:KR</v>
          </cell>
          <cell r="C341">
            <v>784000</v>
          </cell>
        </row>
        <row r="342">
          <cell r="A342">
            <v>139139</v>
          </cell>
          <cell r="B342" t="str">
            <v>MOBILGEAR 600 XP 460 PAIL 20L:KR</v>
          </cell>
          <cell r="C342">
            <v>85800</v>
          </cell>
        </row>
        <row r="343">
          <cell r="A343">
            <v>139140</v>
          </cell>
          <cell r="B343" t="str">
            <v>MOBILGEAR 600 XP 680 DRUM 200L:KR</v>
          </cell>
          <cell r="C343">
            <v>795000</v>
          </cell>
        </row>
        <row r="344">
          <cell r="A344">
            <v>139141</v>
          </cell>
          <cell r="B344" t="str">
            <v>MOBILGEAR 600 XP 680 PAIL 20L:KR</v>
          </cell>
          <cell r="C344">
            <v>92300</v>
          </cell>
        </row>
        <row r="345">
          <cell r="A345">
            <v>139149</v>
          </cell>
          <cell r="B345" t="str">
            <v>SPARTAN EP 150 DRUM 200L:KR</v>
          </cell>
          <cell r="C345">
            <v>571000</v>
          </cell>
        </row>
        <row r="346">
          <cell r="A346">
            <v>139150</v>
          </cell>
          <cell r="B346" t="str">
            <v>SPARTAN EP 150 PAIL 20L:KR</v>
          </cell>
          <cell r="C346">
            <v>60100</v>
          </cell>
        </row>
        <row r="347">
          <cell r="A347">
            <v>139151</v>
          </cell>
          <cell r="B347" t="str">
            <v>SPARTAN EP 220 DRUM 200L:KR</v>
          </cell>
          <cell r="C347">
            <v>571000</v>
          </cell>
        </row>
        <row r="348">
          <cell r="A348">
            <v>139152</v>
          </cell>
          <cell r="B348" t="str">
            <v>SPARTAN EP 220 PAIL 20L:KR</v>
          </cell>
          <cell r="C348">
            <v>60100</v>
          </cell>
        </row>
        <row r="349">
          <cell r="A349">
            <v>139153</v>
          </cell>
          <cell r="B349" t="str">
            <v>SPARTAN EP 320 DRUM 200L:KR</v>
          </cell>
          <cell r="C349">
            <v>615000</v>
          </cell>
        </row>
        <row r="350">
          <cell r="A350">
            <v>139154</v>
          </cell>
          <cell r="B350" t="str">
            <v>SPARTAN EP 320 PAIL 20L:KR</v>
          </cell>
          <cell r="C350">
            <v>64200</v>
          </cell>
        </row>
        <row r="351">
          <cell r="A351">
            <v>139155</v>
          </cell>
          <cell r="B351" t="str">
            <v>SPARTAN EP 460 DRUM 200L:KR</v>
          </cell>
          <cell r="C351">
            <v>647000</v>
          </cell>
        </row>
        <row r="352">
          <cell r="A352">
            <v>139156</v>
          </cell>
          <cell r="B352" t="str">
            <v>SPARTAN EP 460 PAIL 20L:KR</v>
          </cell>
          <cell r="C352">
            <v>68500</v>
          </cell>
        </row>
        <row r="353">
          <cell r="A353">
            <v>136119</v>
          </cell>
          <cell r="B353" t="str">
            <v>MOBIL DTE 732 M-DR208L</v>
          </cell>
          <cell r="C353">
            <v>684000</v>
          </cell>
        </row>
        <row r="354">
          <cell r="A354">
            <v>139040</v>
          </cell>
          <cell r="B354" t="str">
            <v>MOBIL DTE 732 DRUM 200L:KR</v>
          </cell>
          <cell r="C354">
            <v>610000</v>
          </cell>
        </row>
        <row r="355">
          <cell r="A355">
            <v>139041</v>
          </cell>
          <cell r="B355" t="str">
            <v>MOBIL DTE 732 PAIL 20L:KR</v>
          </cell>
          <cell r="C355">
            <v>65000</v>
          </cell>
        </row>
        <row r="356">
          <cell r="A356">
            <v>139042</v>
          </cell>
          <cell r="B356" t="str">
            <v>MOBIL DTE 746 DRUM 200L:KR</v>
          </cell>
          <cell r="C356">
            <v>610000</v>
          </cell>
        </row>
        <row r="357">
          <cell r="A357">
            <v>139043</v>
          </cell>
          <cell r="B357" t="str">
            <v>MOBIL DTE 746 PAIL 20L:KR</v>
          </cell>
          <cell r="C357">
            <v>106000</v>
          </cell>
        </row>
        <row r="358">
          <cell r="A358">
            <v>139044</v>
          </cell>
          <cell r="B358" t="str">
            <v>MOBIL DTE 768 DRUM 200L:KR</v>
          </cell>
          <cell r="C358">
            <v>1018000</v>
          </cell>
        </row>
        <row r="359">
          <cell r="A359">
            <v>139045</v>
          </cell>
          <cell r="B359" t="str">
            <v>MOBIL DTE 768 PAIL 20L:KR</v>
          </cell>
          <cell r="C359">
            <v>106000</v>
          </cell>
        </row>
        <row r="360">
          <cell r="A360">
            <v>140485</v>
          </cell>
          <cell r="B360" t="str">
            <v>MOBIL DTE 732 M PAIL 20L:KR</v>
          </cell>
          <cell r="C360">
            <v>113000</v>
          </cell>
        </row>
        <row r="361">
          <cell r="A361">
            <v>141367</v>
          </cell>
          <cell r="B361" t="str">
            <v>MOBIL DTE 732 M2 PAIL 20L:KR</v>
          </cell>
          <cell r="C361">
            <v>113000</v>
          </cell>
        </row>
        <row r="362">
          <cell r="A362">
            <v>141368</v>
          </cell>
          <cell r="B362" t="str">
            <v>MOBIL DTE 732 M2 DR 208L:KR</v>
          </cell>
          <cell r="C362">
            <v>1091000</v>
          </cell>
        </row>
        <row r="363">
          <cell r="A363">
            <v>137187</v>
          </cell>
          <cell r="B363" t="str">
            <v>MOBIL DTE 832-DR208L</v>
          </cell>
          <cell r="C363">
            <v>684000</v>
          </cell>
        </row>
        <row r="364">
          <cell r="A364">
            <v>139646</v>
          </cell>
          <cell r="B364" t="str">
            <v>MOBIL DTE 846 DRUM 208L:KR</v>
          </cell>
          <cell r="C364">
            <v>684000</v>
          </cell>
        </row>
        <row r="365">
          <cell r="A365">
            <v>135924</v>
          </cell>
          <cell r="B365" t="str">
            <v>MOBIL DTE 932 GT DRUM 208L</v>
          </cell>
          <cell r="C365">
            <v>901000</v>
          </cell>
        </row>
        <row r="366">
          <cell r="A366">
            <v>122766</v>
          </cell>
          <cell r="B366" t="str">
            <v>MOBIL DTE OIL HEAVY PAIL 20L</v>
          </cell>
          <cell r="C366">
            <v>88600</v>
          </cell>
        </row>
        <row r="367">
          <cell r="A367">
            <v>139059</v>
          </cell>
          <cell r="B367" t="str">
            <v>MOBIL DTE OIL HEAVY MEDIUM DRUM 200L:KR</v>
          </cell>
          <cell r="C367">
            <v>732000</v>
          </cell>
        </row>
        <row r="368">
          <cell r="A368">
            <v>139061</v>
          </cell>
          <cell r="B368" t="str">
            <v>MOBIL DTE OIL HEAVY MEDIUM PAIL 20L:KR</v>
          </cell>
          <cell r="C368">
            <v>88600</v>
          </cell>
        </row>
        <row r="369">
          <cell r="A369">
            <v>139062</v>
          </cell>
          <cell r="B369" t="str">
            <v>MOBIL DTE OIL HEAVY DRUM 200L:KR</v>
          </cell>
          <cell r="C369">
            <v>728000</v>
          </cell>
        </row>
        <row r="370">
          <cell r="A370">
            <v>139063</v>
          </cell>
          <cell r="B370" t="str">
            <v>MOBIL DTE OIL LIGHT DRUM 200L:KR</v>
          </cell>
          <cell r="C370">
            <v>710000</v>
          </cell>
        </row>
        <row r="371">
          <cell r="A371">
            <v>139064</v>
          </cell>
          <cell r="B371" t="str">
            <v>MOBIL DTE OIL LIGHT PAIL 20L:KR</v>
          </cell>
          <cell r="C371">
            <v>70400</v>
          </cell>
        </row>
        <row r="372">
          <cell r="A372">
            <v>139065</v>
          </cell>
          <cell r="B372" t="str">
            <v>MOBIL DTE OIL MEDIUM DRUM 200L:KR</v>
          </cell>
          <cell r="C372">
            <v>726000</v>
          </cell>
        </row>
        <row r="373">
          <cell r="A373">
            <v>139066</v>
          </cell>
          <cell r="B373" t="str">
            <v>MOBIL DTE OIL MEDIUM PAIL 20L:KR</v>
          </cell>
          <cell r="C373">
            <v>73200</v>
          </cell>
        </row>
        <row r="374">
          <cell r="A374">
            <v>139057</v>
          </cell>
          <cell r="B374" t="str">
            <v>MOBIL DTE PM 150 DRUM 200L:KR</v>
          </cell>
          <cell r="C374">
            <v>764000</v>
          </cell>
        </row>
        <row r="375">
          <cell r="A375">
            <v>139058</v>
          </cell>
          <cell r="B375" t="str">
            <v>MOBIL DTE PM 220 DRUM 200L:KR</v>
          </cell>
          <cell r="C375">
            <v>947000</v>
          </cell>
        </row>
        <row r="376">
          <cell r="A376">
            <v>135542</v>
          </cell>
          <cell r="B376" t="str">
            <v>MOBIL VACUO 533-PL20L</v>
          </cell>
          <cell r="C376">
            <v>73700</v>
          </cell>
        </row>
        <row r="377">
          <cell r="A377">
            <v>139023</v>
          </cell>
          <cell r="B377" t="str">
            <v>MOBIL VACUOLINE 546 DRUM 200L:KR</v>
          </cell>
          <cell r="C377">
            <v>947000</v>
          </cell>
        </row>
        <row r="378">
          <cell r="A378">
            <v>139026</v>
          </cell>
          <cell r="B378" t="str">
            <v>MOBIL VACUOLINE 133 DRUM 200L:KR</v>
          </cell>
          <cell r="C378">
            <v>710000</v>
          </cell>
        </row>
        <row r="379">
          <cell r="A379">
            <v>139027</v>
          </cell>
          <cell r="B379" t="str">
            <v>MOBIL VACUOLINE 146 DRUM 200L:KR</v>
          </cell>
          <cell r="C379">
            <v>794000</v>
          </cell>
        </row>
        <row r="380">
          <cell r="A380">
            <v>139028</v>
          </cell>
          <cell r="B380" t="str">
            <v>MOBIL VACUOLINE 548 DRUM 200L:KR</v>
          </cell>
          <cell r="C380">
            <v>947000</v>
          </cell>
        </row>
        <row r="381">
          <cell r="A381">
            <v>139036</v>
          </cell>
          <cell r="B381" t="str">
            <v>MOBIL VACUOLINE 528 DRUM 200L:KR</v>
          </cell>
          <cell r="C381">
            <v>688000</v>
          </cell>
        </row>
        <row r="382">
          <cell r="A382">
            <v>139037</v>
          </cell>
          <cell r="B382" t="str">
            <v>MOBIL VACUOLINE 528 PAIL 20L:KR</v>
          </cell>
          <cell r="C382">
            <v>87300</v>
          </cell>
        </row>
        <row r="383">
          <cell r="A383">
            <v>139089</v>
          </cell>
          <cell r="B383" t="str">
            <v>MOBIL VACUOLINE 137 DRUM 200L:KR</v>
          </cell>
          <cell r="C383">
            <v>703000</v>
          </cell>
        </row>
        <row r="384">
          <cell r="A384">
            <v>139092</v>
          </cell>
          <cell r="B384" t="str">
            <v>MOBIL VACUOLINE 148 DRUM 200L:KR</v>
          </cell>
          <cell r="C384">
            <v>961000</v>
          </cell>
        </row>
        <row r="385">
          <cell r="A385">
            <v>139094</v>
          </cell>
          <cell r="B385" t="str">
            <v>MOBIL VACUOLINE 525 DRUM 200L:KR</v>
          </cell>
          <cell r="C385">
            <v>828000</v>
          </cell>
        </row>
        <row r="386">
          <cell r="A386">
            <v>139095</v>
          </cell>
          <cell r="B386" t="str">
            <v>MOBIL VACUOLINE 537 DRUM 200L:KR</v>
          </cell>
          <cell r="C386">
            <v>894000</v>
          </cell>
        </row>
        <row r="387">
          <cell r="A387">
            <v>139096</v>
          </cell>
          <cell r="B387" t="str">
            <v>MOBIL VACUOLINE 537 PAIL 20L:KR</v>
          </cell>
          <cell r="C387">
            <v>95100</v>
          </cell>
        </row>
        <row r="388">
          <cell r="A388">
            <v>139111</v>
          </cell>
          <cell r="B388" t="str">
            <v>MOBIL VACUOLINE 533 DRUM 200L:KR</v>
          </cell>
          <cell r="C388">
            <v>693000</v>
          </cell>
        </row>
        <row r="389">
          <cell r="A389">
            <v>139639</v>
          </cell>
          <cell r="B389" t="str">
            <v>MOBIL VACUOLINE 546 PAIL 20L:KR</v>
          </cell>
          <cell r="C389">
            <v>99700</v>
          </cell>
        </row>
        <row r="390">
          <cell r="A390">
            <v>141763</v>
          </cell>
          <cell r="B390" t="str">
            <v>MOBIL VACUO 146-PL20L:KR</v>
          </cell>
          <cell r="C390">
            <v>84400</v>
          </cell>
        </row>
        <row r="391">
          <cell r="A391">
            <v>135916</v>
          </cell>
          <cell r="B391" t="str">
            <v>MOBIL VACTRA NO.1 - DR200L</v>
          </cell>
          <cell r="C391">
            <v>574000</v>
          </cell>
        </row>
        <row r="392">
          <cell r="A392">
            <v>139029</v>
          </cell>
          <cell r="B392" t="str">
            <v>MOBIL VACTRA NO 2 SLC DRUM 200L:KR</v>
          </cell>
          <cell r="C392">
            <v>564000</v>
          </cell>
        </row>
        <row r="393">
          <cell r="A393">
            <v>139030</v>
          </cell>
          <cell r="B393" t="str">
            <v>MOBIL VACTRA NO 2 SLC PAIL 20L:KR</v>
          </cell>
          <cell r="C393">
            <v>60500</v>
          </cell>
        </row>
        <row r="394">
          <cell r="A394">
            <v>139084</v>
          </cell>
          <cell r="B394" t="str">
            <v>MOBIL VACTRA OIL NO 1 PAIL 20L:KR</v>
          </cell>
          <cell r="C394">
            <v>61500</v>
          </cell>
        </row>
        <row r="395">
          <cell r="A395">
            <v>139085</v>
          </cell>
          <cell r="B395" t="str">
            <v>MOBIL VACTRA OIL NO 2 DRUM 200L:KR</v>
          </cell>
          <cell r="C395">
            <v>564000</v>
          </cell>
        </row>
        <row r="396">
          <cell r="A396">
            <v>139086</v>
          </cell>
          <cell r="B396" t="str">
            <v>MOBIL VACTRA OIL NO 2 PAIL 20L:KR</v>
          </cell>
          <cell r="C396">
            <v>60500</v>
          </cell>
        </row>
        <row r="397">
          <cell r="A397">
            <v>139087</v>
          </cell>
          <cell r="B397" t="str">
            <v>MOBIL VACTRA OIL NO 4 DRUM 200L:KR</v>
          </cell>
          <cell r="C397">
            <v>574000</v>
          </cell>
        </row>
        <row r="398">
          <cell r="A398">
            <v>139088</v>
          </cell>
          <cell r="B398" t="str">
            <v>MOBIL VACTRA OIL NO 4 PAIL 20L:KR</v>
          </cell>
          <cell r="C398">
            <v>61500</v>
          </cell>
        </row>
        <row r="399">
          <cell r="A399">
            <v>144277</v>
          </cell>
          <cell r="B399" t="str">
            <v>MOBIL VACUOLINE 1409 PAIL 20L:KR(L)</v>
          </cell>
          <cell r="C399">
            <v>51800</v>
          </cell>
        </row>
        <row r="400">
          <cell r="A400">
            <v>123328</v>
          </cell>
          <cell r="B400" t="str">
            <v>VACUOLINE 1405, 20LT, PAIL</v>
          </cell>
          <cell r="C400">
            <v>70800</v>
          </cell>
        </row>
        <row r="401">
          <cell r="A401">
            <v>139090</v>
          </cell>
          <cell r="B401" t="str">
            <v>MOBIL VACUOLINE 1405 DRUM 200L:KR</v>
          </cell>
          <cell r="C401">
            <v>664000</v>
          </cell>
        </row>
        <row r="402">
          <cell r="A402">
            <v>139091</v>
          </cell>
          <cell r="B402" t="str">
            <v>MOBIL VACUOLINE 1409 DRUM 200L:KR</v>
          </cell>
          <cell r="C402">
            <v>538000</v>
          </cell>
        </row>
        <row r="403">
          <cell r="A403">
            <v>122837</v>
          </cell>
          <cell r="B403" t="str">
            <v>MOBIL RARUS 424 PAIL 20L</v>
          </cell>
          <cell r="C403">
            <v>66600</v>
          </cell>
        </row>
        <row r="404">
          <cell r="A404">
            <v>122842</v>
          </cell>
          <cell r="B404" t="str">
            <v>MOBIL RARUS 427 P20LT</v>
          </cell>
          <cell r="C404">
            <v>84000</v>
          </cell>
        </row>
        <row r="405">
          <cell r="A405">
            <v>134445</v>
          </cell>
          <cell r="B405" t="str">
            <v>MOBIL RARUS 425-PL20L</v>
          </cell>
          <cell r="C405">
            <v>70900</v>
          </cell>
        </row>
        <row r="406">
          <cell r="A406">
            <v>139038</v>
          </cell>
          <cell r="B406" t="str">
            <v>MOBIL RARUS 424 DRUM 200L:KR</v>
          </cell>
          <cell r="C406">
            <v>791000</v>
          </cell>
        </row>
        <row r="407">
          <cell r="A407">
            <v>139071</v>
          </cell>
          <cell r="B407" t="str">
            <v>MOBIL RARUS 424J DRUM 200L:KR</v>
          </cell>
          <cell r="C407">
            <v>791000</v>
          </cell>
        </row>
        <row r="408">
          <cell r="A408">
            <v>139074</v>
          </cell>
          <cell r="B408" t="str">
            <v>MOBIL RARUS 425 DRUM 200L:KR</v>
          </cell>
          <cell r="C408">
            <v>791000</v>
          </cell>
        </row>
        <row r="409">
          <cell r="A409">
            <v>139075</v>
          </cell>
          <cell r="B409" t="str">
            <v>MOBIL RARUS 427 DRUM 200L:KR</v>
          </cell>
          <cell r="C409">
            <v>791000</v>
          </cell>
        </row>
        <row r="410">
          <cell r="A410">
            <v>139643</v>
          </cell>
          <cell r="B410" t="str">
            <v>MOBIL RARUS 424J PAIL 20L:KR</v>
          </cell>
          <cell r="C410">
            <v>84000</v>
          </cell>
        </row>
        <row r="411">
          <cell r="A411">
            <v>140627</v>
          </cell>
          <cell r="B411" t="str">
            <v>MOBIL RARUS 32 EXCEL 200LT:KR</v>
          </cell>
          <cell r="C411">
            <v>791000</v>
          </cell>
        </row>
        <row r="412">
          <cell r="A412">
            <v>140629</v>
          </cell>
          <cell r="B412" t="str">
            <v>MOBIL RARUS 46 EXCEL 200LT:KR</v>
          </cell>
          <cell r="C412">
            <v>791000</v>
          </cell>
        </row>
        <row r="413">
          <cell r="A413">
            <v>140631</v>
          </cell>
          <cell r="B413" t="str">
            <v>MOBIL RARUS 68 EXCEL 200LT:KR</v>
          </cell>
          <cell r="C413">
            <v>791000</v>
          </cell>
        </row>
        <row r="414">
          <cell r="A414">
            <v>140675</v>
          </cell>
          <cell r="B414" t="str">
            <v>MOBIL RARUS 32 EXCEL 20LT:KR</v>
          </cell>
          <cell r="C414">
            <v>84000</v>
          </cell>
        </row>
        <row r="415">
          <cell r="A415">
            <v>140676</v>
          </cell>
          <cell r="B415" t="str">
            <v>MOBIL RARUS 46 EXCEL 20LT:KR</v>
          </cell>
          <cell r="C415">
            <v>84000</v>
          </cell>
        </row>
        <row r="416">
          <cell r="A416">
            <v>140677</v>
          </cell>
          <cell r="B416" t="str">
            <v>MOBIL RARUS 68 EXCEL 20LT:KR</v>
          </cell>
          <cell r="C416">
            <v>84000</v>
          </cell>
        </row>
        <row r="417">
          <cell r="A417">
            <v>121759</v>
          </cell>
          <cell r="B417" t="str">
            <v>MOBIL GARGOYLE ARCTIC OIL 300, 208LT DR</v>
          </cell>
          <cell r="C417">
            <v>1304000</v>
          </cell>
        </row>
        <row r="418">
          <cell r="A418">
            <v>121762</v>
          </cell>
          <cell r="B418" t="str">
            <v>GARGOYLE ARCTIC C HEAVY,208LT</v>
          </cell>
          <cell r="C418">
            <v>1380000</v>
          </cell>
        </row>
        <row r="419">
          <cell r="A419">
            <v>121764</v>
          </cell>
          <cell r="B419" t="str">
            <v>GARGOYLE ARCTIC 155,208LT,DRUM,METAL</v>
          </cell>
          <cell r="C419">
            <v>1321000</v>
          </cell>
        </row>
        <row r="420">
          <cell r="A420">
            <v>139048</v>
          </cell>
          <cell r="B420" t="str">
            <v>MOBIL GARGOYLE ARCTIC 155 PAIL 20L:KR</v>
          </cell>
          <cell r="C420">
            <v>176000</v>
          </cell>
        </row>
        <row r="421">
          <cell r="A421">
            <v>139049</v>
          </cell>
          <cell r="B421" t="str">
            <v>MOBIL GARGOYLE ARCTIC 300 PAIL 20L:KR</v>
          </cell>
          <cell r="C421">
            <v>155000</v>
          </cell>
        </row>
        <row r="422">
          <cell r="A422">
            <v>134884</v>
          </cell>
          <cell r="B422" t="str">
            <v>MOBIL VELOCITE HP 24, 20LT PAIL</v>
          </cell>
          <cell r="C422">
            <v>85300</v>
          </cell>
        </row>
        <row r="423">
          <cell r="A423">
            <v>139158</v>
          </cell>
          <cell r="B423" t="str">
            <v>MOBIL VELOCITE HP 24 DRUM 200L:KR</v>
          </cell>
          <cell r="C423">
            <v>674000</v>
          </cell>
        </row>
        <row r="424">
          <cell r="A424">
            <v>139160</v>
          </cell>
          <cell r="B424" t="str">
            <v>MOBIL VELOCITE HP 32 DRUM 200L:KR</v>
          </cell>
          <cell r="C424">
            <v>724000</v>
          </cell>
        </row>
        <row r="425">
          <cell r="A425">
            <v>139161</v>
          </cell>
          <cell r="B425" t="str">
            <v>MOBIL VELOCITE HP 32 PAIL 20L:KR</v>
          </cell>
          <cell r="C425">
            <v>85300</v>
          </cell>
        </row>
        <row r="426">
          <cell r="A426">
            <v>139163</v>
          </cell>
          <cell r="B426" t="str">
            <v>MOBIL VELOCITE HP 46 DRUM 200L:KR</v>
          </cell>
          <cell r="C426">
            <v>809000</v>
          </cell>
        </row>
        <row r="427">
          <cell r="A427">
            <v>139164</v>
          </cell>
          <cell r="B427" t="str">
            <v>MOBIL VELOCITE HP 46 PAIL 20L:KR</v>
          </cell>
          <cell r="C427">
            <v>85300</v>
          </cell>
        </row>
        <row r="428">
          <cell r="A428">
            <v>123331</v>
          </cell>
          <cell r="B428" t="str">
            <v>VELOCITE 10, 20LT, PAIL</v>
          </cell>
          <cell r="C428">
            <v>57500</v>
          </cell>
        </row>
        <row r="429">
          <cell r="A429">
            <v>123336</v>
          </cell>
          <cell r="B429" t="str">
            <v>MOBIL VELOCITE NO 3 PAIL 20L</v>
          </cell>
          <cell r="C429">
            <v>67200</v>
          </cell>
        </row>
        <row r="430">
          <cell r="A430">
            <v>123339</v>
          </cell>
          <cell r="B430" t="str">
            <v>MOBIL VELOCITE 6, 20LT, PAIL</v>
          </cell>
          <cell r="C430">
            <v>58700</v>
          </cell>
        </row>
        <row r="431">
          <cell r="A431">
            <v>139099</v>
          </cell>
          <cell r="B431" t="str">
            <v>MOBIL VELOCITE NO 10 DRUM 200L:KR</v>
          </cell>
          <cell r="C431">
            <v>675000</v>
          </cell>
        </row>
        <row r="432">
          <cell r="A432">
            <v>139101</v>
          </cell>
          <cell r="B432" t="str">
            <v>MOBIL VELOCITE NO 3 DRUM 200L:KR</v>
          </cell>
          <cell r="C432">
            <v>653000</v>
          </cell>
        </row>
        <row r="433">
          <cell r="A433">
            <v>139103</v>
          </cell>
          <cell r="B433" t="str">
            <v>MOBIL VELOCITE NO 6 DRUM 200L:KR</v>
          </cell>
          <cell r="C433">
            <v>598000</v>
          </cell>
        </row>
        <row r="434">
          <cell r="A434">
            <v>122135</v>
          </cell>
          <cell r="B434" t="str">
            <v>MOBIL PEGASUS 710, 208LT  DR</v>
          </cell>
          <cell r="C434">
            <v>1279000</v>
          </cell>
        </row>
        <row r="435">
          <cell r="A435">
            <v>136174</v>
          </cell>
          <cell r="B435" t="str">
            <v>MOBIL PEGASUS 805 DRUM 200L:KR</v>
          </cell>
          <cell r="C435">
            <v>668000</v>
          </cell>
        </row>
        <row r="436">
          <cell r="A436">
            <v>139107</v>
          </cell>
          <cell r="B436" t="str">
            <v>MOBIL PEGASUS 610 DRUM 200L:KR</v>
          </cell>
          <cell r="C436">
            <v>668000</v>
          </cell>
        </row>
        <row r="437">
          <cell r="A437">
            <v>140787</v>
          </cell>
          <cell r="B437" t="str">
            <v>M-PEGASUS 1107 DRUM-M 208L</v>
          </cell>
          <cell r="C437">
            <v>1220000</v>
          </cell>
        </row>
        <row r="438">
          <cell r="A438">
            <v>136234</v>
          </cell>
          <cell r="B438" t="str">
            <v>MOBILCUT 100, 20LT PAIL (N)</v>
          </cell>
          <cell r="C438">
            <v>100000</v>
          </cell>
        </row>
        <row r="439">
          <cell r="A439">
            <v>136235</v>
          </cell>
          <cell r="B439" t="str">
            <v>MOBILCUT 100, 208LT DR (N)</v>
          </cell>
          <cell r="C439">
            <v>909000</v>
          </cell>
        </row>
        <row r="440">
          <cell r="A440">
            <v>137333</v>
          </cell>
          <cell r="B440" t="str">
            <v>MOBILGRIND 24 DRUM 55USG EXPORT</v>
          </cell>
          <cell r="C440">
            <v>1098000</v>
          </cell>
        </row>
        <row r="441">
          <cell r="A441">
            <v>138963</v>
          </cell>
          <cell r="B441" t="str">
            <v>MOBILMET 424 DRUM 200L:KR</v>
          </cell>
          <cell r="C441">
            <v>800000</v>
          </cell>
        </row>
        <row r="442">
          <cell r="A442">
            <v>138964</v>
          </cell>
          <cell r="B442" t="str">
            <v>MOBILMET 424 PAIL 20L:KR</v>
          </cell>
          <cell r="C442">
            <v>84400</v>
          </cell>
        </row>
        <row r="443">
          <cell r="A443">
            <v>141666</v>
          </cell>
          <cell r="B443" t="str">
            <v>MOBILMET 423 DRUM 200L: KR</v>
          </cell>
          <cell r="C443">
            <v>800000</v>
          </cell>
        </row>
        <row r="444">
          <cell r="A444">
            <v>141667</v>
          </cell>
          <cell r="B444" t="str">
            <v>MOBILMET 426 DRUM 200L: KR</v>
          </cell>
          <cell r="C444">
            <v>800000</v>
          </cell>
        </row>
        <row r="445">
          <cell r="A445">
            <v>143560</v>
          </cell>
          <cell r="B445" t="str">
            <v>MOBILMET 766 DRUM 200L:KR-N</v>
          </cell>
          <cell r="C445">
            <v>772000</v>
          </cell>
        </row>
        <row r="446">
          <cell r="A446">
            <v>143561</v>
          </cell>
          <cell r="B446" t="str">
            <v>MOBILMET 763 DRUM 200L:KR-N</v>
          </cell>
          <cell r="C446">
            <v>772000</v>
          </cell>
        </row>
        <row r="447">
          <cell r="A447">
            <v>143563</v>
          </cell>
          <cell r="B447" t="str">
            <v>MOBILMET 762 DRUM 200L:KR-N</v>
          </cell>
          <cell r="C447">
            <v>772000</v>
          </cell>
        </row>
        <row r="448">
          <cell r="A448">
            <v>122612</v>
          </cell>
          <cell r="B448" t="str">
            <v>WYROL H 15, 208LT, DR</v>
          </cell>
          <cell r="C448">
            <v>1617000</v>
          </cell>
        </row>
        <row r="449">
          <cell r="A449">
            <v>134999</v>
          </cell>
          <cell r="B449" t="str">
            <v>BEACON 325, 35LB PAIL</v>
          </cell>
          <cell r="C449">
            <v>505000</v>
          </cell>
        </row>
        <row r="450">
          <cell r="A450">
            <v>136130</v>
          </cell>
          <cell r="B450" t="str">
            <v>M-CENTAUR XHP 461 PAIL 16KG</v>
          </cell>
          <cell r="C450">
            <v>210000</v>
          </cell>
        </row>
        <row r="451">
          <cell r="A451">
            <v>136131</v>
          </cell>
          <cell r="B451" t="str">
            <v>M-CENTAUR XHP 461 DRUM 180KG</v>
          </cell>
          <cell r="C451">
            <v>2296000</v>
          </cell>
        </row>
        <row r="452">
          <cell r="A452">
            <v>136132</v>
          </cell>
          <cell r="B452" t="str">
            <v>M-CENTAUR XHP 462 PAIL 16KG</v>
          </cell>
          <cell r="C452">
            <v>210000</v>
          </cell>
        </row>
        <row r="453">
          <cell r="A453">
            <v>136133</v>
          </cell>
          <cell r="B453" t="str">
            <v>M-CENTAUR XHP 462 DRUM 180KG</v>
          </cell>
          <cell r="C453">
            <v>2355000</v>
          </cell>
        </row>
        <row r="454">
          <cell r="A454">
            <v>140252</v>
          </cell>
          <cell r="B454" t="str">
            <v>MOBILUX EP 0 PAIL 16KG:SG</v>
          </cell>
          <cell r="C454">
            <v>85900</v>
          </cell>
        </row>
        <row r="455">
          <cell r="A455">
            <v>140254</v>
          </cell>
          <cell r="B455" t="str">
            <v>MOBILUX EP 023 PAIL 16KG:SG</v>
          </cell>
          <cell r="C455">
            <v>85900</v>
          </cell>
        </row>
        <row r="456">
          <cell r="A456">
            <v>140255</v>
          </cell>
          <cell r="B456" t="str">
            <v>MOBILUX EP 1 PAIL 16KG:SG</v>
          </cell>
          <cell r="C456">
            <v>85900</v>
          </cell>
        </row>
        <row r="457">
          <cell r="A457">
            <v>140256</v>
          </cell>
          <cell r="B457" t="str">
            <v>MOBILUX EP 3 PAIL 16KG:SG</v>
          </cell>
          <cell r="C457">
            <v>85900</v>
          </cell>
        </row>
        <row r="458">
          <cell r="A458">
            <v>140257</v>
          </cell>
          <cell r="B458" t="str">
            <v>MOBILUX EP 0 DRUM 180KG:SG</v>
          </cell>
          <cell r="C458">
            <v>772000</v>
          </cell>
        </row>
        <row r="459">
          <cell r="A459">
            <v>140259</v>
          </cell>
          <cell r="B459" t="str">
            <v>MOBILUX EP 023 DRUM 180KG:SG</v>
          </cell>
          <cell r="C459">
            <v>772000</v>
          </cell>
        </row>
        <row r="460">
          <cell r="A460">
            <v>140260</v>
          </cell>
          <cell r="B460" t="str">
            <v>MOBILUX EP 1 DRUM 180KG:SG</v>
          </cell>
          <cell r="C460">
            <v>772000</v>
          </cell>
        </row>
        <row r="461">
          <cell r="A461">
            <v>140261</v>
          </cell>
          <cell r="B461" t="str">
            <v>MOBILUX EP 2 DRUM 180KG:SG</v>
          </cell>
          <cell r="C461">
            <v>772000</v>
          </cell>
        </row>
        <row r="462">
          <cell r="A462">
            <v>140262</v>
          </cell>
          <cell r="B462" t="str">
            <v>MOBILUX EP 3 DRUM 180KG:SG</v>
          </cell>
          <cell r="C462">
            <v>772000</v>
          </cell>
        </row>
        <row r="463">
          <cell r="A463">
            <v>140263</v>
          </cell>
          <cell r="B463" t="str">
            <v>MOBILUX EP 2 PAIL 16KG:SG</v>
          </cell>
          <cell r="C463">
            <v>85900</v>
          </cell>
        </row>
        <row r="464">
          <cell r="A464">
            <v>132528</v>
          </cell>
          <cell r="B464" t="str">
            <v>MOBILGREASE FM 222, 16KG/35.2LB</v>
          </cell>
          <cell r="C464">
            <v>285000</v>
          </cell>
        </row>
        <row r="465">
          <cell r="A465">
            <v>140138</v>
          </cell>
          <cell r="B465" t="str">
            <v>MOBILGREASE XHP 220 PAIL 16KG:SG</v>
          </cell>
          <cell r="C465">
            <v>136000</v>
          </cell>
        </row>
        <row r="466">
          <cell r="A466">
            <v>134604</v>
          </cell>
          <cell r="B466" t="str">
            <v>MOBILGREASE XHP 220, 35.2LB PAIL</v>
          </cell>
          <cell r="C466">
            <v>127000</v>
          </cell>
        </row>
        <row r="467">
          <cell r="A467">
            <v>135934</v>
          </cell>
          <cell r="B467" t="str">
            <v>M-GREASE XHP 461 PAIL 16KG</v>
          </cell>
          <cell r="C467">
            <v>194000</v>
          </cell>
        </row>
        <row r="468">
          <cell r="A468">
            <v>135935</v>
          </cell>
          <cell r="B468" t="str">
            <v>M-GREASE XHP 461 ST DRUM 180KG</v>
          </cell>
          <cell r="C468">
            <v>1983000</v>
          </cell>
        </row>
        <row r="469">
          <cell r="A469">
            <v>140144</v>
          </cell>
          <cell r="B469" t="str">
            <v>MOBILGREASE XHP 461 PAIL 16KG:SG</v>
          </cell>
          <cell r="C469">
            <v>194000</v>
          </cell>
        </row>
        <row r="470">
          <cell r="A470">
            <v>140155</v>
          </cell>
          <cell r="B470" t="str">
            <v>MOBILGREASE XHP 461 DRUM 180KG:SG</v>
          </cell>
          <cell r="C470">
            <v>1983000</v>
          </cell>
        </row>
        <row r="471">
          <cell r="A471">
            <v>140145</v>
          </cell>
          <cell r="B471" t="str">
            <v>MOBILGREASE XHP 462 PAIL 16KG</v>
          </cell>
          <cell r="C471">
            <v>194000</v>
          </cell>
        </row>
        <row r="472">
          <cell r="A472">
            <v>140156</v>
          </cell>
          <cell r="B472" t="str">
            <v>MOBILGREASE XHP 462 DRUM 180KG:SG</v>
          </cell>
          <cell r="C472">
            <v>1983000</v>
          </cell>
        </row>
        <row r="473">
          <cell r="A473">
            <v>139949</v>
          </cell>
          <cell r="B473" t="str">
            <v>M-GREASE XHP 222 CART 40X0.39KG/13.7OZ</v>
          </cell>
          <cell r="C473">
            <v>213000</v>
          </cell>
        </row>
        <row r="474">
          <cell r="A474">
            <v>139955</v>
          </cell>
          <cell r="B474" t="str">
            <v>M-GREASE FM 222 CART 40X0.39KG/13.7OZ</v>
          </cell>
          <cell r="C474">
            <v>483000</v>
          </cell>
        </row>
        <row r="475">
          <cell r="A475">
            <v>140139</v>
          </cell>
          <cell r="B475" t="str">
            <v>MOBILGREASE XHP 221 PAIL 16KG:SG</v>
          </cell>
          <cell r="C475">
            <v>148000</v>
          </cell>
        </row>
        <row r="476">
          <cell r="A476">
            <v>140140</v>
          </cell>
          <cell r="B476" t="str">
            <v>MOBILGREASE XHP 222 PAIL 16KG:SG</v>
          </cell>
          <cell r="C476">
            <v>127000</v>
          </cell>
        </row>
        <row r="477">
          <cell r="A477">
            <v>140141</v>
          </cell>
          <cell r="B477" t="str">
            <v>MOBILGREASE XHP 222 SPECIAL PAIL 16KG:SG</v>
          </cell>
          <cell r="C477">
            <v>199000</v>
          </cell>
        </row>
        <row r="478">
          <cell r="A478">
            <v>140142</v>
          </cell>
          <cell r="B478" t="str">
            <v>MOBILGREASE XHP 223 PAIL 16KG:SG</v>
          </cell>
          <cell r="C478">
            <v>138000</v>
          </cell>
        </row>
        <row r="479">
          <cell r="A479">
            <v>140143</v>
          </cell>
          <cell r="B479" t="str">
            <v>MOBILGREASE XHP 322 MINE PAIL 16KG:SG</v>
          </cell>
          <cell r="C479">
            <v>215000</v>
          </cell>
        </row>
        <row r="480">
          <cell r="A480">
            <v>140145</v>
          </cell>
          <cell r="B480" t="str">
            <v>MOBILGREASE XHP 462 PAIL 16KG:SG</v>
          </cell>
          <cell r="C480">
            <v>194000</v>
          </cell>
        </row>
        <row r="481">
          <cell r="A481">
            <v>140148</v>
          </cell>
          <cell r="B481" t="str">
            <v>MOBILGREASE XHP 221 DRUM 180KG:SG</v>
          </cell>
          <cell r="C481">
            <v>1573000</v>
          </cell>
        </row>
        <row r="482">
          <cell r="A482">
            <v>140149</v>
          </cell>
          <cell r="B482" t="str">
            <v>MOBILGREASE XHP 222 DRUM 180KG:SG</v>
          </cell>
          <cell r="C482">
            <v>1381000</v>
          </cell>
        </row>
        <row r="483">
          <cell r="A483">
            <v>140150</v>
          </cell>
          <cell r="B483" t="str">
            <v>MOBILGREASE XHP 222SPECIAL DRUM 180KG:SG</v>
          </cell>
          <cell r="C483">
            <v>1573000</v>
          </cell>
        </row>
        <row r="484">
          <cell r="A484">
            <v>140151</v>
          </cell>
          <cell r="B484" t="str">
            <v>MOBILGREASE XHP 223 DRUM 180KG:SG</v>
          </cell>
          <cell r="C484">
            <v>1662000</v>
          </cell>
        </row>
        <row r="485">
          <cell r="A485">
            <v>140152</v>
          </cell>
          <cell r="B485" t="str">
            <v>MOBILGREASE XHP 320 MINE DRUM 180KG:SG</v>
          </cell>
          <cell r="C485">
            <v>2254000</v>
          </cell>
        </row>
        <row r="486">
          <cell r="A486">
            <v>140153</v>
          </cell>
          <cell r="B486" t="str">
            <v>MOBILGREASE XHP 321 MINE DRUM 180KG:SG</v>
          </cell>
          <cell r="C486">
            <v>2256000</v>
          </cell>
        </row>
        <row r="487">
          <cell r="A487">
            <v>141467</v>
          </cell>
          <cell r="B487" t="str">
            <v>MOBIL POLYREX EM, 16KG PAIL</v>
          </cell>
          <cell r="C487">
            <v>247000</v>
          </cell>
        </row>
        <row r="488">
          <cell r="A488">
            <v>141468</v>
          </cell>
          <cell r="B488" t="str">
            <v>POLYREX EM,180KG/396.8LB</v>
          </cell>
          <cell r="C488">
            <v>2585000</v>
          </cell>
        </row>
        <row r="489">
          <cell r="A489">
            <v>122713</v>
          </cell>
          <cell r="B489" t="str">
            <v>MOBIL ALMO 527 PAIL 20L</v>
          </cell>
          <cell r="C489">
            <v>112000</v>
          </cell>
        </row>
        <row r="490">
          <cell r="A490">
            <v>139167</v>
          </cell>
          <cell r="B490" t="str">
            <v>MOBIL FAXAM 32 DRUM 200L:KR</v>
          </cell>
          <cell r="C490">
            <v>529000</v>
          </cell>
        </row>
        <row r="491">
          <cell r="A491">
            <v>120969</v>
          </cell>
          <cell r="B491" t="str">
            <v>MOBILARMA 798,5GA (16.70KG/18.93LT),PAIL</v>
          </cell>
          <cell r="C491">
            <v>235000</v>
          </cell>
        </row>
        <row r="492">
          <cell r="A492">
            <v>139105</v>
          </cell>
          <cell r="B492" t="str">
            <v>MOBILTHERM 603 DRUM 200L:KR</v>
          </cell>
          <cell r="C492">
            <v>666000</v>
          </cell>
        </row>
        <row r="493">
          <cell r="A493">
            <v>139106</v>
          </cell>
          <cell r="B493" t="str">
            <v>MOBILTHERM 603 PAIL 20L:KR</v>
          </cell>
          <cell r="C493">
            <v>81000</v>
          </cell>
        </row>
        <row r="494">
          <cell r="A494">
            <v>139109</v>
          </cell>
          <cell r="B494" t="str">
            <v>MOBILTHERM 605 DRUM 200L:KR</v>
          </cell>
          <cell r="C494">
            <v>629000</v>
          </cell>
        </row>
        <row r="495">
          <cell r="A495">
            <v>139110</v>
          </cell>
          <cell r="B495" t="str">
            <v>MOBILTHERM 605 PAIL 20L:KR</v>
          </cell>
          <cell r="C495">
            <v>76600</v>
          </cell>
        </row>
        <row r="496">
          <cell r="A496">
            <v>142411</v>
          </cell>
          <cell r="B496" t="str">
            <v>MOBILTHERM 610 DRUM 200L:KR</v>
          </cell>
          <cell r="C496">
            <v>824000</v>
          </cell>
        </row>
        <row r="497">
          <cell r="A497">
            <v>123330</v>
          </cell>
          <cell r="B497" t="str">
            <v>VACUUM PUMP OIL, 20LT, PAIL</v>
          </cell>
          <cell r="C497">
            <v>66500</v>
          </cell>
        </row>
        <row r="498">
          <cell r="A498">
            <v>139097</v>
          </cell>
          <cell r="B498" t="str">
            <v>MOBIL VACUUM PUMP OIL DRUM 200L:KR</v>
          </cell>
          <cell r="C498">
            <v>1046000</v>
          </cell>
        </row>
        <row r="499">
          <cell r="A499">
            <v>128773</v>
          </cell>
          <cell r="B499" t="str">
            <v>AERO HF, 5GA(18.9LT), METAL</v>
          </cell>
          <cell r="C499">
            <v>346000</v>
          </cell>
        </row>
        <row r="500">
          <cell r="A500">
            <v>134601</v>
          </cell>
          <cell r="B500" t="str">
            <v>MOBIL AERO HF, 55GA DRUM</v>
          </cell>
          <cell r="C500">
            <v>3724000</v>
          </cell>
        </row>
        <row r="501">
          <cell r="A501">
            <v>135390</v>
          </cell>
          <cell r="B501" t="str">
            <v>HYJET V, 5GA PAIL</v>
          </cell>
          <cell r="C501">
            <v>524000</v>
          </cell>
        </row>
        <row r="502">
          <cell r="A502">
            <v>120084</v>
          </cell>
          <cell r="B502" t="str">
            <v>JET OIL 254 24X1QT CTN/CANS METAL</v>
          </cell>
          <cell r="C502">
            <v>458000</v>
          </cell>
        </row>
        <row r="503">
          <cell r="A503">
            <v>120089</v>
          </cell>
          <cell r="B503" t="str">
            <v>MOBIL JET OIL II,24X1QT,CTN/CANS,METAL</v>
          </cell>
          <cell r="C503">
            <v>380000</v>
          </cell>
        </row>
        <row r="504">
          <cell r="A504">
            <v>135593</v>
          </cell>
          <cell r="B504" t="str">
            <v>AVREX S TURBO 256 24X1QT</v>
          </cell>
          <cell r="C504">
            <v>626000</v>
          </cell>
        </row>
        <row r="505">
          <cell r="A505">
            <v>120082</v>
          </cell>
          <cell r="B505" t="str">
            <v>M-GREASE 28 PAIL 16KG</v>
          </cell>
          <cell r="C505">
            <v>605000</v>
          </cell>
        </row>
        <row r="506">
          <cell r="A506">
            <v>134756</v>
          </cell>
          <cell r="B506" t="str">
            <v>MOBILGREASE 33, 16KG PAIL</v>
          </cell>
          <cell r="C506">
            <v>662000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1"/>
  <sheetViews>
    <sheetView zoomScale="90" zoomScaleNormal="90" workbookViewId="0">
      <pane ySplit="1" topLeftCell="A2" activePane="bottomLeft" state="frozen"/>
      <selection activeCell="N50" sqref="N50"/>
      <selection pane="bottomLeft" activeCell="C26" sqref="C26"/>
    </sheetView>
  </sheetViews>
  <sheetFormatPr defaultRowHeight="16.5"/>
  <cols>
    <col min="1" max="2" width="16.109375" style="351" customWidth="1"/>
    <col min="3" max="3" width="28.77734375" style="351" customWidth="1"/>
    <col min="4" max="4" width="10.109375" style="351" customWidth="1"/>
    <col min="5" max="5" width="35.5546875" style="352" customWidth="1"/>
    <col min="6" max="6" width="10.77734375" style="353" customWidth="1"/>
    <col min="7" max="8" width="11.6640625" style="354" customWidth="1"/>
    <col min="9" max="9" width="31.33203125" style="352" bestFit="1" customWidth="1"/>
    <col min="10" max="16384" width="8.88671875" style="359"/>
  </cols>
  <sheetData>
    <row r="1" spans="1:9" s="365" customFormat="1" ht="18.75" customHeight="1">
      <c r="A1" s="417" t="s">
        <v>875</v>
      </c>
      <c r="B1" s="417" t="s">
        <v>876</v>
      </c>
      <c r="C1" s="418" t="s">
        <v>877</v>
      </c>
      <c r="D1" s="418" t="s">
        <v>878</v>
      </c>
      <c r="E1" s="418" t="s">
        <v>879</v>
      </c>
      <c r="F1" s="419" t="s">
        <v>880</v>
      </c>
      <c r="G1" s="417" t="s">
        <v>881</v>
      </c>
      <c r="H1" s="417" t="s">
        <v>882</v>
      </c>
      <c r="I1" s="420" t="s">
        <v>883</v>
      </c>
    </row>
    <row r="2" spans="1:9" s="365" customFormat="1" ht="18.75" customHeight="1">
      <c r="A2" s="430">
        <v>2102721484</v>
      </c>
      <c r="B2" s="430" t="s">
        <v>864</v>
      </c>
      <c r="C2" s="431" t="s">
        <v>865</v>
      </c>
      <c r="D2" s="430">
        <v>142288</v>
      </c>
      <c r="E2" s="431" t="s">
        <v>121</v>
      </c>
      <c r="F2" s="432">
        <v>20</v>
      </c>
      <c r="G2" s="433">
        <v>45399</v>
      </c>
      <c r="H2" s="433">
        <v>45497</v>
      </c>
      <c r="I2" s="434" t="s">
        <v>866</v>
      </c>
    </row>
    <row r="3" spans="1:9" s="365" customFormat="1" ht="18.75" customHeight="1">
      <c r="A3" s="430">
        <v>2102721484</v>
      </c>
      <c r="B3" s="430" t="s">
        <v>864</v>
      </c>
      <c r="C3" s="431" t="s">
        <v>865</v>
      </c>
      <c r="D3" s="430">
        <v>140259</v>
      </c>
      <c r="E3" s="431" t="s">
        <v>665</v>
      </c>
      <c r="F3" s="432">
        <v>7</v>
      </c>
      <c r="G3" s="433">
        <v>45399</v>
      </c>
      <c r="H3" s="433">
        <v>45497</v>
      </c>
      <c r="I3" s="434" t="s">
        <v>866</v>
      </c>
    </row>
    <row r="4" spans="1:9" s="365" customFormat="1" ht="18.75" customHeight="1">
      <c r="A4" s="430">
        <v>2102718592</v>
      </c>
      <c r="B4" s="430" t="s">
        <v>864</v>
      </c>
      <c r="C4" s="431" t="s">
        <v>865</v>
      </c>
      <c r="D4" s="430">
        <v>134997</v>
      </c>
      <c r="E4" s="431" t="s">
        <v>284</v>
      </c>
      <c r="F4" s="432">
        <v>7</v>
      </c>
      <c r="G4" s="433">
        <v>45393</v>
      </c>
      <c r="H4" s="433">
        <v>45491</v>
      </c>
      <c r="I4" s="434" t="s">
        <v>866</v>
      </c>
    </row>
    <row r="5" spans="1:9" s="365" customFormat="1" ht="18.75" customHeight="1">
      <c r="A5" s="430">
        <v>2102713865</v>
      </c>
      <c r="B5" s="430" t="s">
        <v>864</v>
      </c>
      <c r="C5" s="431" t="s">
        <v>865</v>
      </c>
      <c r="D5" s="430">
        <v>134997</v>
      </c>
      <c r="E5" s="431" t="s">
        <v>284</v>
      </c>
      <c r="F5" s="432">
        <v>3</v>
      </c>
      <c r="G5" s="433">
        <v>45384</v>
      </c>
      <c r="H5" s="433">
        <v>45483</v>
      </c>
      <c r="I5" s="434" t="s">
        <v>866</v>
      </c>
    </row>
    <row r="6" spans="1:9" s="365" customFormat="1" ht="18.75" customHeight="1">
      <c r="A6" s="430">
        <v>2102725749</v>
      </c>
      <c r="B6" s="430" t="s">
        <v>864</v>
      </c>
      <c r="C6" s="431" t="s">
        <v>865</v>
      </c>
      <c r="D6" s="430">
        <v>123336</v>
      </c>
      <c r="E6" s="431" t="s">
        <v>235</v>
      </c>
      <c r="F6" s="432">
        <v>28</v>
      </c>
      <c r="G6" s="433">
        <v>45406</v>
      </c>
      <c r="H6" s="433">
        <v>45411</v>
      </c>
      <c r="I6" s="434" t="s">
        <v>874</v>
      </c>
    </row>
    <row r="7" spans="1:9" s="365" customFormat="1" ht="18.75" customHeight="1">
      <c r="A7" s="430">
        <v>2102724847</v>
      </c>
      <c r="B7" s="430" t="s">
        <v>864</v>
      </c>
      <c r="C7" s="431" t="s">
        <v>865</v>
      </c>
      <c r="D7" s="430">
        <v>139041</v>
      </c>
      <c r="E7" s="431" t="s">
        <v>325</v>
      </c>
      <c r="F7" s="432">
        <v>2</v>
      </c>
      <c r="G7" s="433">
        <v>45405</v>
      </c>
      <c r="H7" s="433">
        <v>45408</v>
      </c>
      <c r="I7" s="434" t="s">
        <v>874</v>
      </c>
    </row>
    <row r="8" spans="1:9" s="365" customFormat="1" ht="18.75" customHeight="1">
      <c r="A8" s="430">
        <v>2102724847</v>
      </c>
      <c r="B8" s="430" t="s">
        <v>864</v>
      </c>
      <c r="C8" s="431" t="s">
        <v>865</v>
      </c>
      <c r="D8" s="430">
        <v>135542</v>
      </c>
      <c r="E8" s="431" t="s">
        <v>307</v>
      </c>
      <c r="F8" s="432">
        <v>10</v>
      </c>
      <c r="G8" s="433">
        <v>45405</v>
      </c>
      <c r="H8" s="433">
        <v>45408</v>
      </c>
      <c r="I8" s="434" t="s">
        <v>874</v>
      </c>
    </row>
    <row r="9" spans="1:9" s="365" customFormat="1" ht="18.75" customHeight="1">
      <c r="A9" s="430">
        <v>2102724068</v>
      </c>
      <c r="B9" s="430" t="s">
        <v>864</v>
      </c>
      <c r="C9" s="431" t="s">
        <v>865</v>
      </c>
      <c r="D9" s="430">
        <v>140200</v>
      </c>
      <c r="E9" s="431" t="s">
        <v>375</v>
      </c>
      <c r="F9" s="432">
        <v>11</v>
      </c>
      <c r="G9" s="433">
        <v>45404</v>
      </c>
      <c r="H9" s="433">
        <v>45407</v>
      </c>
      <c r="I9" s="434" t="s">
        <v>866</v>
      </c>
    </row>
    <row r="10" spans="1:9" s="365" customFormat="1" ht="18.75" customHeight="1">
      <c r="A10" s="430">
        <v>2102722228</v>
      </c>
      <c r="B10" s="430" t="s">
        <v>864</v>
      </c>
      <c r="C10" s="431" t="s">
        <v>865</v>
      </c>
      <c r="D10" s="430">
        <v>141741</v>
      </c>
      <c r="E10" s="431" t="s">
        <v>114</v>
      </c>
      <c r="F10" s="432">
        <v>28</v>
      </c>
      <c r="G10" s="433">
        <v>45400</v>
      </c>
      <c r="H10" s="433">
        <v>45405</v>
      </c>
      <c r="I10" s="434" t="s">
        <v>885</v>
      </c>
    </row>
    <row r="11" spans="1:9" s="365" customFormat="1" ht="18" customHeight="1">
      <c r="A11" s="430">
        <v>2102721485</v>
      </c>
      <c r="B11" s="430" t="s">
        <v>864</v>
      </c>
      <c r="C11" s="431" t="s">
        <v>865</v>
      </c>
      <c r="D11" s="430">
        <v>135016</v>
      </c>
      <c r="E11" s="431" t="s">
        <v>289</v>
      </c>
      <c r="F11" s="432">
        <v>4</v>
      </c>
      <c r="G11" s="433">
        <v>45399</v>
      </c>
      <c r="H11" s="433">
        <v>45404</v>
      </c>
      <c r="I11" s="434" t="s">
        <v>866</v>
      </c>
    </row>
    <row r="12" spans="1:9" s="365" customFormat="1" ht="16.5" customHeight="1">
      <c r="A12" s="430">
        <v>2102721485</v>
      </c>
      <c r="B12" s="430" t="s">
        <v>864</v>
      </c>
      <c r="C12" s="431" t="s">
        <v>865</v>
      </c>
      <c r="D12" s="430">
        <v>122837</v>
      </c>
      <c r="E12" s="431" t="s">
        <v>65</v>
      </c>
      <c r="F12" s="432">
        <v>28</v>
      </c>
      <c r="G12" s="433">
        <v>45399</v>
      </c>
      <c r="H12" s="433">
        <v>45404</v>
      </c>
      <c r="I12" s="434" t="s">
        <v>886</v>
      </c>
    </row>
    <row r="13" spans="1:9" s="365" customFormat="1" ht="18.75" customHeight="1">
      <c r="A13" s="430">
        <v>2102721485</v>
      </c>
      <c r="B13" s="430" t="s">
        <v>864</v>
      </c>
      <c r="C13" s="431" t="s">
        <v>865</v>
      </c>
      <c r="D13" s="430">
        <v>139070</v>
      </c>
      <c r="E13" s="431" t="s">
        <v>335</v>
      </c>
      <c r="F13" s="432">
        <v>5</v>
      </c>
      <c r="G13" s="433">
        <v>45399</v>
      </c>
      <c r="H13" s="433">
        <v>45404</v>
      </c>
      <c r="I13" s="434" t="s">
        <v>874</v>
      </c>
    </row>
    <row r="14" spans="1:9" s="365" customFormat="1" ht="17.25" customHeight="1">
      <c r="A14" s="430">
        <v>2102719933</v>
      </c>
      <c r="B14" s="430" t="s">
        <v>864</v>
      </c>
      <c r="C14" s="431" t="s">
        <v>865</v>
      </c>
      <c r="D14" s="430">
        <v>139154</v>
      </c>
      <c r="E14" s="431" t="s">
        <v>251</v>
      </c>
      <c r="F14" s="432">
        <v>41</v>
      </c>
      <c r="G14" s="433">
        <v>45397</v>
      </c>
      <c r="H14" s="433">
        <v>45400</v>
      </c>
      <c r="I14" s="434" t="s">
        <v>887</v>
      </c>
    </row>
    <row r="15" spans="1:9" s="365" customFormat="1" ht="17.25" customHeight="1">
      <c r="A15" s="430">
        <v>2102719933</v>
      </c>
      <c r="B15" s="430" t="s">
        <v>864</v>
      </c>
      <c r="C15" s="431" t="s">
        <v>865</v>
      </c>
      <c r="D15" s="430">
        <v>122837</v>
      </c>
      <c r="E15" s="431" t="s">
        <v>65</v>
      </c>
      <c r="F15" s="432">
        <v>28</v>
      </c>
      <c r="G15" s="433">
        <v>45397</v>
      </c>
      <c r="H15" s="433">
        <v>45400</v>
      </c>
      <c r="I15" s="434" t="s">
        <v>886</v>
      </c>
    </row>
    <row r="16" spans="1:9" s="365" customFormat="1" ht="17.25" customHeight="1">
      <c r="A16" s="430">
        <v>2102716012</v>
      </c>
      <c r="B16" s="430" t="s">
        <v>864</v>
      </c>
      <c r="C16" s="431" t="s">
        <v>865</v>
      </c>
      <c r="D16" s="430">
        <v>135454</v>
      </c>
      <c r="E16" s="431" t="s">
        <v>511</v>
      </c>
      <c r="F16" s="432">
        <v>1</v>
      </c>
      <c r="G16" s="433">
        <v>45387</v>
      </c>
      <c r="H16" s="433">
        <v>45393</v>
      </c>
      <c r="I16" s="434" t="s">
        <v>866</v>
      </c>
    </row>
    <row r="17" spans="1:9" s="365" customFormat="1" ht="16.5" customHeight="1">
      <c r="A17" s="430">
        <v>2102716012</v>
      </c>
      <c r="B17" s="430" t="s">
        <v>864</v>
      </c>
      <c r="C17" s="431" t="s">
        <v>865</v>
      </c>
      <c r="D17" s="430">
        <v>143982</v>
      </c>
      <c r="E17" s="431" t="s">
        <v>749</v>
      </c>
      <c r="F17" s="432">
        <v>1</v>
      </c>
      <c r="G17" s="433">
        <v>45387</v>
      </c>
      <c r="H17" s="433">
        <v>45393</v>
      </c>
      <c r="I17" s="434" t="s">
        <v>867</v>
      </c>
    </row>
    <row r="18" spans="1:9" s="365" customFormat="1" ht="16.5" customHeight="1">
      <c r="A18" s="430">
        <v>2102715396</v>
      </c>
      <c r="B18" s="430" t="s">
        <v>864</v>
      </c>
      <c r="C18" s="431" t="s">
        <v>865</v>
      </c>
      <c r="D18" s="430">
        <v>139074</v>
      </c>
      <c r="E18" s="431" t="s">
        <v>591</v>
      </c>
      <c r="F18" s="432">
        <v>1</v>
      </c>
      <c r="G18" s="433">
        <v>45386</v>
      </c>
      <c r="H18" s="433">
        <v>45391</v>
      </c>
      <c r="I18" s="434" t="s">
        <v>886</v>
      </c>
    </row>
    <row r="19" spans="1:9" s="365" customFormat="1" ht="17.25" customHeight="1">
      <c r="A19" s="430">
        <v>2102713736</v>
      </c>
      <c r="B19" s="430" t="s">
        <v>864</v>
      </c>
      <c r="C19" s="431" t="s">
        <v>865</v>
      </c>
      <c r="D19" s="430">
        <v>135013</v>
      </c>
      <c r="E19" s="431" t="s">
        <v>489</v>
      </c>
      <c r="F19" s="432">
        <v>1</v>
      </c>
      <c r="G19" s="433">
        <v>45384</v>
      </c>
      <c r="H19" s="433">
        <v>45387</v>
      </c>
      <c r="I19" s="434" t="s">
        <v>866</v>
      </c>
    </row>
    <row r="20" spans="1:9" s="365" customFormat="1" ht="17.25" customHeight="1">
      <c r="A20" s="430">
        <v>2102709230</v>
      </c>
      <c r="B20" s="430" t="s">
        <v>864</v>
      </c>
      <c r="C20" s="431" t="s">
        <v>865</v>
      </c>
      <c r="D20" s="430">
        <v>135016</v>
      </c>
      <c r="E20" s="431" t="s">
        <v>289</v>
      </c>
      <c r="F20" s="432">
        <v>3</v>
      </c>
      <c r="G20" s="433">
        <v>45376</v>
      </c>
      <c r="H20" s="433">
        <v>45379</v>
      </c>
      <c r="I20" s="434" t="s">
        <v>866</v>
      </c>
    </row>
    <row r="21" spans="1:9" s="365" customFormat="1" ht="18.75" customHeight="1">
      <c r="A21" s="360"/>
      <c r="B21" s="360"/>
      <c r="C21" s="361"/>
      <c r="D21" s="360"/>
      <c r="E21" s="361"/>
      <c r="F21" s="360"/>
      <c r="G21" s="360"/>
      <c r="H21" s="360"/>
      <c r="I21" s="361"/>
    </row>
    <row r="22" spans="1:9" s="365" customFormat="1" ht="18" customHeight="1">
      <c r="A22" s="360">
        <v>2102725749</v>
      </c>
      <c r="B22" s="360" t="s">
        <v>864</v>
      </c>
      <c r="C22" s="361" t="s">
        <v>865</v>
      </c>
      <c r="D22" s="360">
        <v>123330</v>
      </c>
      <c r="E22" s="361" t="s">
        <v>263</v>
      </c>
      <c r="F22" s="360">
        <v>14</v>
      </c>
      <c r="G22" s="360" t="s">
        <v>888</v>
      </c>
      <c r="H22" s="360" t="s">
        <v>889</v>
      </c>
      <c r="I22" s="361" t="s">
        <v>890</v>
      </c>
    </row>
    <row r="23" spans="1:9" s="365" customFormat="1" ht="18.75" customHeight="1">
      <c r="A23" s="360">
        <v>2102685012</v>
      </c>
      <c r="B23" s="360" t="s">
        <v>864</v>
      </c>
      <c r="C23" s="361" t="s">
        <v>865</v>
      </c>
      <c r="D23" s="360">
        <v>135152</v>
      </c>
      <c r="E23" s="361" t="s">
        <v>290</v>
      </c>
      <c r="F23" s="360">
        <v>1</v>
      </c>
      <c r="G23" s="360" t="s">
        <v>891</v>
      </c>
      <c r="H23" s="360" t="s">
        <v>892</v>
      </c>
      <c r="I23" s="361" t="s">
        <v>893</v>
      </c>
    </row>
    <row r="24" spans="1:9">
      <c r="A24" s="360"/>
      <c r="B24" s="360"/>
      <c r="C24" s="361"/>
      <c r="D24" s="360"/>
      <c r="E24" s="361"/>
      <c r="F24" s="360"/>
      <c r="G24" s="360"/>
      <c r="H24" s="360"/>
      <c r="I24" s="361"/>
    </row>
    <row r="25" spans="1:9">
      <c r="A25" s="360"/>
      <c r="B25" s="360"/>
      <c r="C25" s="361"/>
      <c r="D25" s="360"/>
      <c r="E25" s="361"/>
      <c r="F25" s="360"/>
      <c r="G25" s="360"/>
      <c r="H25" s="360"/>
      <c r="I25" s="361"/>
    </row>
    <row r="26" spans="1:9" s="365" customFormat="1" ht="18" customHeight="1">
      <c r="A26" s="360"/>
      <c r="B26" s="360"/>
      <c r="C26" s="361"/>
      <c r="D26" s="360"/>
      <c r="E26" s="361"/>
      <c r="F26" s="360"/>
      <c r="G26" s="360"/>
      <c r="H26" s="360"/>
      <c r="I26" s="361"/>
    </row>
    <row r="27" spans="1:9" s="365" customFormat="1" ht="18" customHeight="1">
      <c r="A27" s="360"/>
      <c r="B27" s="360"/>
      <c r="C27" s="361"/>
      <c r="D27" s="360"/>
      <c r="E27" s="361"/>
      <c r="F27" s="360"/>
      <c r="G27" s="360"/>
      <c r="H27" s="360"/>
      <c r="I27" s="361"/>
    </row>
    <row r="28" spans="1:9" s="365" customFormat="1" ht="18" customHeight="1">
      <c r="A28" s="360"/>
      <c r="B28" s="360"/>
      <c r="C28" s="361"/>
      <c r="D28" s="360"/>
      <c r="E28" s="361"/>
      <c r="F28" s="360"/>
      <c r="G28" s="360"/>
      <c r="H28" s="360"/>
      <c r="I28" s="361"/>
    </row>
    <row r="29" spans="1:9" s="365" customFormat="1" ht="18" customHeight="1">
      <c r="A29" s="421"/>
      <c r="B29" s="421"/>
      <c r="C29" s="422"/>
      <c r="D29" s="422"/>
      <c r="E29" s="422"/>
      <c r="F29" s="423"/>
      <c r="G29" s="424"/>
      <c r="H29" s="424"/>
      <c r="I29" s="425"/>
    </row>
    <row r="30" spans="1:9" s="365" customFormat="1" ht="18" customHeight="1">
      <c r="A30" s="360"/>
      <c r="B30" s="361"/>
      <c r="C30" s="361"/>
      <c r="D30" s="361"/>
      <c r="E30" s="361"/>
      <c r="F30" s="360"/>
      <c r="G30" s="360"/>
      <c r="H30" s="360"/>
      <c r="I30" s="361"/>
    </row>
    <row r="31" spans="1:9">
      <c r="A31" s="426"/>
      <c r="B31" s="426"/>
      <c r="C31" s="427"/>
      <c r="D31" s="426"/>
      <c r="E31" s="427"/>
      <c r="F31" s="429"/>
      <c r="G31" s="428"/>
      <c r="H31" s="426"/>
      <c r="I31" s="427"/>
    </row>
    <row r="32" spans="1:9" s="365" customFormat="1" ht="18" customHeight="1">
      <c r="A32" s="360"/>
      <c r="B32" s="361"/>
      <c r="C32" s="361"/>
      <c r="D32" s="361"/>
      <c r="E32" s="361"/>
      <c r="F32" s="360"/>
      <c r="G32" s="360"/>
      <c r="H32" s="360"/>
      <c r="I32" s="361"/>
    </row>
    <row r="33" spans="1:9" s="365" customFormat="1" ht="18" customHeight="1">
      <c r="A33" s="360"/>
      <c r="B33" s="361"/>
      <c r="C33" s="361"/>
      <c r="D33" s="361"/>
      <c r="E33" s="361"/>
      <c r="F33" s="360"/>
      <c r="G33" s="360"/>
      <c r="H33" s="360"/>
      <c r="I33" s="361"/>
    </row>
    <row r="34" spans="1:9" s="365" customFormat="1" ht="18" customHeight="1">
      <c r="A34" s="360"/>
      <c r="B34" s="361"/>
      <c r="C34" s="361"/>
      <c r="D34" s="361"/>
      <c r="E34" s="361"/>
      <c r="F34" s="360"/>
      <c r="G34" s="360"/>
      <c r="H34" s="360"/>
      <c r="I34" s="361"/>
    </row>
    <row r="35" spans="1:9" s="365" customFormat="1" ht="18" customHeight="1">
      <c r="A35" s="360"/>
      <c r="B35" s="361"/>
      <c r="C35" s="361"/>
      <c r="D35" s="361"/>
      <c r="E35" s="361"/>
      <c r="F35" s="360"/>
      <c r="G35" s="360"/>
      <c r="H35" s="360"/>
      <c r="I35" s="361"/>
    </row>
    <row r="36" spans="1:9" s="365" customFormat="1" ht="18" customHeight="1">
      <c r="A36" s="360"/>
      <c r="B36" s="361"/>
      <c r="C36" s="361"/>
      <c r="D36" s="361"/>
      <c r="E36" s="361"/>
      <c r="F36" s="360"/>
      <c r="G36" s="360"/>
      <c r="H36" s="360"/>
      <c r="I36" s="361"/>
    </row>
    <row r="37" spans="1:9" s="365" customFormat="1" ht="18" customHeight="1">
      <c r="A37" s="360"/>
      <c r="B37" s="361"/>
      <c r="C37" s="361"/>
      <c r="D37" s="361"/>
      <c r="E37" s="361"/>
      <c r="F37" s="360"/>
      <c r="G37" s="360"/>
      <c r="H37" s="360"/>
      <c r="I37" s="361"/>
    </row>
    <row r="38" spans="1:9" s="365" customFormat="1" ht="18" customHeight="1">
      <c r="A38" s="360"/>
      <c r="B38" s="361"/>
      <c r="C38" s="361"/>
      <c r="D38" s="361"/>
      <c r="E38" s="361"/>
      <c r="F38" s="360"/>
      <c r="G38" s="360"/>
      <c r="H38" s="360"/>
      <c r="I38" s="361"/>
    </row>
    <row r="39" spans="1:9" s="365" customFormat="1" ht="18" customHeight="1">
      <c r="A39" s="360"/>
      <c r="B39" s="361"/>
      <c r="C39" s="361"/>
      <c r="D39" s="361"/>
      <c r="E39" s="361"/>
      <c r="F39" s="360"/>
      <c r="G39" s="360"/>
      <c r="H39" s="360"/>
      <c r="I39" s="361"/>
    </row>
    <row r="41" spans="1:9" s="365" customFormat="1" ht="18" customHeight="1">
      <c r="A41" s="360"/>
      <c r="B41" s="361"/>
      <c r="C41" s="361"/>
      <c r="D41" s="361"/>
      <c r="E41" s="361"/>
      <c r="F41" s="360"/>
      <c r="G41" s="360"/>
      <c r="H41" s="360"/>
      <c r="I41" s="361"/>
    </row>
  </sheetData>
  <sortState xmlns:xlrd2="http://schemas.microsoft.com/office/spreadsheetml/2017/richdata2" ref="A2:I38">
    <sortCondition ref="E1"/>
  </sortState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Z558"/>
  <sheetViews>
    <sheetView zoomScale="80" zoomScaleNormal="80" workbookViewId="0">
      <selection activeCell="H13" sqref="H13"/>
    </sheetView>
  </sheetViews>
  <sheetFormatPr defaultRowHeight="13.5"/>
  <cols>
    <col min="1" max="1" width="1.21875" customWidth="1"/>
    <col min="2" max="2" width="4.6640625" style="1" customWidth="1"/>
    <col min="3" max="3" width="11.21875" style="1" customWidth="1"/>
    <col min="4" max="4" width="17.88671875" customWidth="1"/>
    <col min="5" max="6" width="10.109375" style="1" customWidth="1"/>
    <col min="7" max="7" width="13.88671875" customWidth="1"/>
    <col min="8" max="8" width="14.21875" customWidth="1"/>
    <col min="9" max="9" width="9.5546875" style="12" customWidth="1"/>
    <col min="10" max="10" width="8.6640625" style="15" customWidth="1"/>
    <col min="11" max="11" width="8.6640625" style="1" customWidth="1"/>
    <col min="12" max="12" width="7.77734375" customWidth="1"/>
    <col min="13" max="13" width="8.6640625" customWidth="1"/>
    <col min="14" max="14" width="12.109375" customWidth="1"/>
    <col min="15" max="15" width="13.33203125" customWidth="1"/>
    <col min="16" max="16" width="13.109375" customWidth="1"/>
    <col min="17" max="17" width="5.33203125" customWidth="1"/>
    <col min="18" max="18" width="7.44140625" bestFit="1" customWidth="1"/>
    <col min="19" max="19" width="4.88671875" bestFit="1" customWidth="1"/>
    <col min="20" max="20" width="1.44140625" customWidth="1"/>
    <col min="21" max="21" width="11.44140625" style="42" customWidth="1"/>
    <col min="22" max="22" width="7.88671875" style="105" bestFit="1" customWidth="1"/>
    <col min="23" max="23" width="6.109375" style="21" customWidth="1"/>
    <col min="24" max="24" width="11.6640625" style="21" customWidth="1"/>
    <col min="25" max="26" width="8.44140625" style="43" customWidth="1"/>
  </cols>
  <sheetData>
    <row r="1" spans="1:26" ht="14.25" customHeight="1" thickBot="1">
      <c r="A1" s="5"/>
      <c r="B1" s="6"/>
      <c r="C1" s="6"/>
      <c r="D1" s="5"/>
      <c r="E1" s="6"/>
      <c r="F1" s="97"/>
      <c r="G1" s="7"/>
      <c r="H1" s="7"/>
      <c r="I1" s="9"/>
      <c r="J1" s="17"/>
      <c r="K1" s="7"/>
      <c r="L1" s="7"/>
      <c r="M1" s="5"/>
      <c r="N1" s="5"/>
      <c r="O1" s="5"/>
      <c r="P1" s="5"/>
    </row>
    <row r="2" spans="1:26" s="43" customFormat="1" ht="18" customHeight="1">
      <c r="A2" s="4"/>
      <c r="B2" s="572" t="s">
        <v>1</v>
      </c>
      <c r="C2" s="573"/>
      <c r="D2" s="573"/>
      <c r="E2" s="574"/>
      <c r="F2" s="578"/>
      <c r="G2" s="579"/>
      <c r="H2" s="579"/>
      <c r="I2" s="579"/>
      <c r="J2" s="579"/>
      <c r="K2" s="579"/>
      <c r="L2" s="579"/>
      <c r="M2" s="102" t="s">
        <v>2</v>
      </c>
      <c r="N2" s="102"/>
      <c r="O2" s="101"/>
      <c r="P2" s="101"/>
      <c r="U2" s="42"/>
      <c r="V2" s="105"/>
      <c r="W2" s="21"/>
      <c r="X2" s="21"/>
    </row>
    <row r="3" spans="1:26" s="43" customFormat="1" ht="16.5" customHeight="1" thickBot="1">
      <c r="A3" s="4"/>
      <c r="B3" s="575"/>
      <c r="C3" s="576"/>
      <c r="D3" s="576"/>
      <c r="E3" s="577"/>
      <c r="F3" s="579"/>
      <c r="G3" s="579"/>
      <c r="H3" s="579"/>
      <c r="I3" s="579"/>
      <c r="J3" s="579"/>
      <c r="K3" s="579"/>
      <c r="L3" s="579"/>
      <c r="M3" s="103" t="s">
        <v>416</v>
      </c>
      <c r="N3" s="100"/>
      <c r="O3" s="4"/>
      <c r="P3" s="4"/>
      <c r="U3" s="42"/>
      <c r="V3" s="105"/>
      <c r="W3" s="21"/>
      <c r="X3" s="21"/>
    </row>
    <row r="4" spans="1:26" s="43" customFormat="1" ht="16.5" customHeight="1">
      <c r="A4" s="4"/>
      <c r="B4" s="112"/>
      <c r="C4" s="112"/>
      <c r="D4" s="4"/>
      <c r="E4" s="112"/>
      <c r="F4" s="579"/>
      <c r="G4" s="579"/>
      <c r="H4" s="579"/>
      <c r="I4" s="579"/>
      <c r="J4" s="579"/>
      <c r="K4" s="579"/>
      <c r="L4" s="579"/>
      <c r="M4" s="103" t="s">
        <v>3</v>
      </c>
      <c r="N4" s="100"/>
      <c r="O4" s="4"/>
      <c r="P4" s="4"/>
      <c r="U4" s="42"/>
      <c r="V4" s="105"/>
      <c r="W4" s="21"/>
      <c r="X4" s="21"/>
    </row>
    <row r="5" spans="1:26" s="43" customFormat="1" ht="16.5" customHeight="1">
      <c r="A5" s="4"/>
      <c r="B5" s="112"/>
      <c r="C5" s="112"/>
      <c r="D5" s="4"/>
      <c r="E5" s="112"/>
      <c r="F5" s="350"/>
      <c r="G5" s="113"/>
      <c r="H5" s="113"/>
      <c r="I5" s="114"/>
      <c r="J5" s="115"/>
      <c r="K5" s="113"/>
      <c r="L5" s="113"/>
      <c r="M5" s="103" t="s">
        <v>4</v>
      </c>
      <c r="N5" s="100"/>
      <c r="O5" s="4"/>
      <c r="P5" s="4"/>
      <c r="U5" s="42"/>
      <c r="V5" s="105"/>
      <c r="W5" s="21"/>
      <c r="X5" s="21"/>
    </row>
    <row r="6" spans="1:26" s="43" customFormat="1" ht="9" customHeight="1" thickBot="1">
      <c r="A6" s="4"/>
      <c r="B6" s="112"/>
      <c r="C6" s="112"/>
      <c r="D6" s="4"/>
      <c r="E6" s="112"/>
      <c r="F6" s="116"/>
      <c r="G6" s="4"/>
      <c r="H6" s="4"/>
      <c r="I6" s="117"/>
      <c r="J6" s="118"/>
      <c r="K6" s="112"/>
      <c r="L6" s="4"/>
      <c r="M6" s="4"/>
      <c r="N6" s="4"/>
      <c r="O6" s="4"/>
      <c r="P6" s="4"/>
      <c r="U6" s="42"/>
      <c r="V6" s="105"/>
      <c r="W6" s="21"/>
      <c r="X6" s="21"/>
    </row>
    <row r="7" spans="1:26" s="28" customFormat="1" ht="25.5" customHeight="1" thickTop="1">
      <c r="A7" s="100"/>
      <c r="B7" s="580" t="s">
        <v>5</v>
      </c>
      <c r="C7" s="581"/>
      <c r="D7" s="582" t="s">
        <v>6</v>
      </c>
      <c r="E7" s="583"/>
      <c r="F7" s="119" t="s">
        <v>7</v>
      </c>
      <c r="G7" s="584" t="s">
        <v>75</v>
      </c>
      <c r="H7" s="585"/>
      <c r="I7" s="586"/>
      <c r="J7" s="120"/>
      <c r="K7" s="121" t="s">
        <v>8</v>
      </c>
      <c r="L7" s="587">
        <f ca="1">TODAY()</f>
        <v>45981</v>
      </c>
      <c r="M7" s="588"/>
      <c r="N7" s="122" t="s">
        <v>9</v>
      </c>
      <c r="O7" s="123">
        <f ca="1">TODAY()+1</f>
        <v>45982</v>
      </c>
      <c r="P7" s="124"/>
      <c r="U7" s="29"/>
      <c r="V7" s="105"/>
      <c r="W7" s="20"/>
      <c r="X7" s="20"/>
    </row>
    <row r="8" spans="1:26" s="28" customFormat="1" ht="25.5" customHeight="1">
      <c r="A8" s="100"/>
      <c r="B8" s="589" t="s">
        <v>10</v>
      </c>
      <c r="C8" s="590"/>
      <c r="D8" s="591" t="s">
        <v>11</v>
      </c>
      <c r="E8" s="592"/>
      <c r="F8" s="125" t="s">
        <v>12</v>
      </c>
      <c r="G8" s="592" t="s">
        <v>13</v>
      </c>
      <c r="H8" s="592"/>
      <c r="I8" s="593"/>
      <c r="J8" s="120"/>
      <c r="K8" s="126" t="s">
        <v>14</v>
      </c>
      <c r="L8" s="594" t="s">
        <v>91</v>
      </c>
      <c r="M8" s="595"/>
      <c r="N8" s="358" t="s">
        <v>15</v>
      </c>
      <c r="O8" s="596" t="s">
        <v>92</v>
      </c>
      <c r="P8" s="597"/>
      <c r="U8" s="29"/>
      <c r="V8" s="105"/>
      <c r="W8" s="20"/>
      <c r="X8" s="20"/>
    </row>
    <row r="9" spans="1:26" s="28" customFormat="1" ht="25.5" customHeight="1" thickBot="1">
      <c r="A9" s="100"/>
      <c r="B9" s="564" t="s">
        <v>16</v>
      </c>
      <c r="C9" s="565"/>
      <c r="D9" s="566"/>
      <c r="E9" s="567"/>
      <c r="F9" s="567"/>
      <c r="G9" s="567"/>
      <c r="H9" s="567"/>
      <c r="I9" s="568"/>
      <c r="J9" s="120"/>
      <c r="K9" s="128" t="s">
        <v>17</v>
      </c>
      <c r="L9" s="129" t="s">
        <v>844</v>
      </c>
      <c r="M9" s="569" t="str">
        <f>IF($L9&lt;&gt;0,VLOOKUP($L9,$G$54:$K$76,2,FALSE),"")</f>
        <v>경기도 화성시 향남읍 구문천1길 43-9</v>
      </c>
      <c r="N9" s="570"/>
      <c r="O9" s="570"/>
      <c r="P9" s="571"/>
      <c r="U9" s="44"/>
      <c r="V9" s="105"/>
      <c r="W9" s="20"/>
      <c r="X9" s="20"/>
    </row>
    <row r="10" spans="1:26" ht="18" customHeight="1" thickBot="1">
      <c r="A10" s="5"/>
      <c r="B10" s="6"/>
      <c r="C10" s="6"/>
      <c r="D10" s="5"/>
      <c r="E10" s="6"/>
      <c r="F10" s="6"/>
      <c r="G10" s="5"/>
      <c r="H10" s="5"/>
      <c r="I10" s="11"/>
      <c r="J10" s="14"/>
      <c r="K10" s="6"/>
      <c r="L10" s="606"/>
      <c r="M10" s="606"/>
      <c r="N10" s="606"/>
      <c r="O10" s="606"/>
      <c r="P10" s="606"/>
    </row>
    <row r="11" spans="1:26" s="28" customFormat="1" ht="27" customHeight="1" thickTop="1">
      <c r="A11" s="100"/>
      <c r="B11" s="371" t="s">
        <v>415</v>
      </c>
      <c r="C11" s="368" t="s">
        <v>88</v>
      </c>
      <c r="D11" s="368" t="s">
        <v>408</v>
      </c>
      <c r="E11" s="368" t="s">
        <v>409</v>
      </c>
      <c r="F11" s="369" t="s">
        <v>109</v>
      </c>
      <c r="G11" s="607" t="s">
        <v>108</v>
      </c>
      <c r="H11" s="608"/>
      <c r="I11" s="609"/>
      <c r="J11" s="377" t="s">
        <v>410</v>
      </c>
      <c r="K11" s="368" t="s">
        <v>405</v>
      </c>
      <c r="L11" s="368" t="s">
        <v>406</v>
      </c>
      <c r="M11" s="368" t="s">
        <v>411</v>
      </c>
      <c r="N11" s="368" t="s">
        <v>407</v>
      </c>
      <c r="O11" s="368" t="s">
        <v>412</v>
      </c>
      <c r="P11" s="370" t="s">
        <v>93</v>
      </c>
      <c r="R11" s="610" t="s">
        <v>398</v>
      </c>
      <c r="S11" s="611"/>
      <c r="U11" s="327" t="s">
        <v>399</v>
      </c>
      <c r="V11" s="98" t="s">
        <v>402</v>
      </c>
      <c r="W11" s="98" t="s">
        <v>403</v>
      </c>
      <c r="X11" s="98" t="s">
        <v>404</v>
      </c>
      <c r="Y11" s="98" t="s">
        <v>400</v>
      </c>
      <c r="Z11" s="99" t="s">
        <v>401</v>
      </c>
    </row>
    <row r="12" spans="1:26" s="28" customFormat="1" ht="24.95" customHeight="1">
      <c r="B12" s="221">
        <v>1</v>
      </c>
      <c r="C12" s="364"/>
      <c r="D12" s="82" t="s">
        <v>955</v>
      </c>
      <c r="E12" s="85">
        <f t="shared" ref="E12:E23" si="0">IF($D12&lt;&gt;0,VLOOKUP($D12,$D$54:$E$77,2,FALSE),"")</f>
        <v>194667</v>
      </c>
      <c r="F12" s="439"/>
      <c r="G12" s="224" t="str">
        <f t="shared" ref="G12:G23" si="1">IF($F12&lt;&gt;0,VLOOKUP($F12,$E$79:$M$535,2,FALSE),"")</f>
        <v/>
      </c>
      <c r="H12" s="225"/>
      <c r="I12" s="226"/>
      <c r="J12" s="84" t="str">
        <f t="shared" ref="J12:J23" si="2">IF($F12&lt;&gt;0,VLOOKUP($F12,$E$79:$M$535,7,FALSE),"")</f>
        <v/>
      </c>
      <c r="K12" s="85" t="str">
        <f t="shared" ref="K12:K23" si="3">IF($F12&lt;&gt;0,VLOOKUP($F12,$E$79:$M$535,8,FALSE),"")</f>
        <v/>
      </c>
      <c r="L12" s="86"/>
      <c r="M12" s="87" t="str">
        <f t="shared" ref="M12:M23" si="4">IF($L12&lt;&gt;0,VLOOKUP($F12,$E$79:$M$535,9,FALSE)*$L12,"")</f>
        <v/>
      </c>
      <c r="N12" s="88" t="str">
        <f t="shared" ref="N12:N23" si="5">IF($F12&lt;&gt;0,VLOOKUP($F12,$E$62:$L$543,5,FALSE),"")</f>
        <v/>
      </c>
      <c r="O12" s="89" t="str">
        <f>IF(L12&lt;&gt;0,$L12*$N12,"")</f>
        <v/>
      </c>
      <c r="P12" s="500"/>
      <c r="R12" s="75" t="e">
        <f>VLOOKUP(F12,'파레트 제품 리스트'!$B:$F,4,0)</f>
        <v>#N/A</v>
      </c>
      <c r="S12" s="76" t="e">
        <f>VLOOKUP(F12,'파레트 제품 리스트'!$B:$F,5,0)</f>
        <v>#N/A</v>
      </c>
      <c r="U12" s="328" t="e">
        <f>O12*1.1</f>
        <v>#VALUE!</v>
      </c>
      <c r="V12" s="501" t="e">
        <f>VLOOKUP(F12,미출!$D:$F,3,0)</f>
        <v>#N/A</v>
      </c>
      <c r="W12" s="78">
        <f>COUNTIF($F$11:$F$13,F12)</f>
        <v>0</v>
      </c>
      <c r="X12" s="78" t="e">
        <f>VLOOKUP(F12,#REF!,7,0)</f>
        <v>#REF!</v>
      </c>
      <c r="Y12" s="79"/>
      <c r="Z12" s="80" t="b">
        <f>N12=Y12</f>
        <v>1</v>
      </c>
    </row>
    <row r="13" spans="1:26" s="467" customFormat="1" ht="24.95" customHeight="1">
      <c r="B13" s="468">
        <v>2</v>
      </c>
      <c r="C13" s="469"/>
      <c r="D13" s="470" t="s">
        <v>955</v>
      </c>
      <c r="E13" s="471">
        <f t="shared" si="0"/>
        <v>194667</v>
      </c>
      <c r="F13" s="446"/>
      <c r="G13" s="224" t="str">
        <f t="shared" si="1"/>
        <v/>
      </c>
      <c r="H13" s="225"/>
      <c r="I13" s="226"/>
      <c r="J13" s="84" t="str">
        <f t="shared" si="2"/>
        <v/>
      </c>
      <c r="K13" s="85" t="str">
        <f t="shared" si="3"/>
        <v/>
      </c>
      <c r="L13" s="86"/>
      <c r="M13" s="87" t="str">
        <f t="shared" si="4"/>
        <v/>
      </c>
      <c r="N13" s="478" t="str">
        <f t="shared" si="5"/>
        <v/>
      </c>
      <c r="O13" s="479" t="str">
        <f t="shared" ref="O13" si="6">IF(L13&lt;&gt;0,$L13*$N13,"")</f>
        <v/>
      </c>
      <c r="P13" s="480"/>
      <c r="R13" s="481" t="e">
        <f>VLOOKUP(F13,'파레트 제품 리스트'!$B:$F,4,0)</f>
        <v>#N/A</v>
      </c>
      <c r="S13" s="482" t="e">
        <f>VLOOKUP(F13,'파레트 제품 리스트'!$B:$F,5,0)</f>
        <v>#N/A</v>
      </c>
      <c r="U13" s="483" t="e">
        <f t="shared" ref="U13" si="7">O13*1.1</f>
        <v>#VALUE!</v>
      </c>
      <c r="V13" s="484" t="e">
        <f>VLOOKUP(F13,미출!$D:$F,3,0)</f>
        <v>#N/A</v>
      </c>
      <c r="W13" s="485">
        <f>COUNTIF($F$11:$F$13,F13)</f>
        <v>0</v>
      </c>
      <c r="X13" s="485" t="e">
        <f>VLOOKUP(F13,#REF!,7,0)</f>
        <v>#REF!</v>
      </c>
      <c r="Y13" s="486"/>
      <c r="Z13" s="487" t="b">
        <f t="shared" ref="Z13" si="8">N13=Y13</f>
        <v>1</v>
      </c>
    </row>
    <row r="14" spans="1:26" s="467" customFormat="1" ht="24.95" customHeight="1">
      <c r="B14" s="221">
        <v>3</v>
      </c>
      <c r="C14" s="469"/>
      <c r="D14" s="470" t="s">
        <v>955</v>
      </c>
      <c r="E14" s="471">
        <f t="shared" si="0"/>
        <v>194667</v>
      </c>
      <c r="F14" s="446"/>
      <c r="G14" s="224" t="str">
        <f t="shared" si="1"/>
        <v/>
      </c>
      <c r="H14" s="225"/>
      <c r="I14" s="226"/>
      <c r="J14" s="84" t="str">
        <f t="shared" si="2"/>
        <v/>
      </c>
      <c r="K14" s="85" t="str">
        <f t="shared" si="3"/>
        <v/>
      </c>
      <c r="L14" s="86"/>
      <c r="M14" s="87" t="str">
        <f t="shared" si="4"/>
        <v/>
      </c>
      <c r="N14" s="478" t="str">
        <f t="shared" si="5"/>
        <v/>
      </c>
      <c r="O14" s="479" t="str">
        <f>IF(L14&lt;&gt;0,$L14*$N14,"")</f>
        <v/>
      </c>
      <c r="P14" s="480"/>
      <c r="R14" s="481" t="e">
        <f>VLOOKUP(F14,'파레트 제품 리스트'!$B:$F,4,0)</f>
        <v>#N/A</v>
      </c>
      <c r="S14" s="482" t="e">
        <f>VLOOKUP(F14,'파레트 제품 리스트'!$B:$F,5,0)</f>
        <v>#N/A</v>
      </c>
      <c r="U14" s="483" t="e">
        <f t="shared" ref="U14:U16" si="9">O14*1.1</f>
        <v>#VALUE!</v>
      </c>
      <c r="V14" s="484" t="e">
        <f>VLOOKUP(F14,미출!$D:$F,3,0)</f>
        <v>#N/A</v>
      </c>
      <c r="W14" s="485">
        <f>COUNTIF($F$11:$F$13,F14)</f>
        <v>0</v>
      </c>
      <c r="X14" s="485" t="e">
        <f>VLOOKUP(F14,#REF!,7,0)</f>
        <v>#REF!</v>
      </c>
      <c r="Y14" s="486"/>
      <c r="Z14" s="487" t="b">
        <f t="shared" ref="Z14" si="10">N14=Y14</f>
        <v>1</v>
      </c>
    </row>
    <row r="15" spans="1:26" s="467" customFormat="1" ht="24.95" customHeight="1">
      <c r="B15" s="468">
        <v>4</v>
      </c>
      <c r="C15" s="488"/>
      <c r="D15" s="470" t="s">
        <v>955</v>
      </c>
      <c r="E15" s="471">
        <f t="shared" si="0"/>
        <v>194667</v>
      </c>
      <c r="F15" s="446"/>
      <c r="G15" s="340" t="str">
        <f t="shared" si="1"/>
        <v/>
      </c>
      <c r="H15" s="341"/>
      <c r="I15" s="342"/>
      <c r="J15" s="343" t="str">
        <f t="shared" si="2"/>
        <v/>
      </c>
      <c r="K15" s="339" t="str">
        <f t="shared" si="3"/>
        <v/>
      </c>
      <c r="L15" s="326"/>
      <c r="M15" s="344" t="str">
        <f t="shared" si="4"/>
        <v/>
      </c>
      <c r="N15" s="478" t="str">
        <f t="shared" si="5"/>
        <v/>
      </c>
      <c r="O15" s="496" t="str">
        <f t="shared" ref="O15" si="11">IF(L15&lt;&gt;0,$L15*$N15,"")</f>
        <v/>
      </c>
      <c r="P15" s="480"/>
      <c r="R15" s="481" t="e">
        <f>VLOOKUP(F15,'파레트 제품 리스트'!$B:$F,4,0)</f>
        <v>#N/A</v>
      </c>
      <c r="S15" s="482" t="e">
        <f>VLOOKUP(F15,'파레트 제품 리스트'!$B:$F,5,0)</f>
        <v>#N/A</v>
      </c>
      <c r="U15" s="483" t="e">
        <f t="shared" si="9"/>
        <v>#VALUE!</v>
      </c>
      <c r="V15" s="484" t="e">
        <f>VLOOKUP(F15,미출!$D:$F,3,0)</f>
        <v>#N/A</v>
      </c>
      <c r="W15" s="485">
        <f>COUNTIF($F$11:$F$13,F15)</f>
        <v>0</v>
      </c>
      <c r="X15" s="485" t="e">
        <f>VLOOKUP(F15,#REF!,7,0)</f>
        <v>#REF!</v>
      </c>
      <c r="Y15" s="486"/>
      <c r="Z15" s="487" t="b">
        <f t="shared" ref="Z15" si="12">N15=Y15</f>
        <v>1</v>
      </c>
    </row>
    <row r="16" spans="1:26" s="467" customFormat="1" ht="24.95" customHeight="1">
      <c r="B16" s="221">
        <v>5</v>
      </c>
      <c r="C16" s="469"/>
      <c r="D16" s="470" t="s">
        <v>955</v>
      </c>
      <c r="E16" s="471">
        <f t="shared" si="0"/>
        <v>194667</v>
      </c>
      <c r="F16" s="439"/>
      <c r="G16" s="224" t="str">
        <f t="shared" si="1"/>
        <v/>
      </c>
      <c r="H16" s="225"/>
      <c r="I16" s="226"/>
      <c r="J16" s="84" t="str">
        <f t="shared" si="2"/>
        <v/>
      </c>
      <c r="K16" s="85" t="str">
        <f t="shared" si="3"/>
        <v/>
      </c>
      <c r="L16" s="86"/>
      <c r="M16" s="87" t="str">
        <f t="shared" si="4"/>
        <v/>
      </c>
      <c r="N16" s="478" t="str">
        <f t="shared" si="5"/>
        <v/>
      </c>
      <c r="O16" s="479" t="str">
        <f>IF(L16&lt;&gt;0,$L16*$N16,"")</f>
        <v/>
      </c>
      <c r="P16" s="480"/>
      <c r="R16" s="481" t="e">
        <f>VLOOKUP(F16,'파레트 제품 리스트'!$B:$F,4,0)</f>
        <v>#N/A</v>
      </c>
      <c r="S16" s="482" t="e">
        <f>VLOOKUP(F16,'파레트 제품 리스트'!$B:$F,5,0)</f>
        <v>#N/A</v>
      </c>
      <c r="U16" s="483" t="e">
        <f t="shared" si="9"/>
        <v>#VALUE!</v>
      </c>
      <c r="V16" s="484" t="e">
        <f>VLOOKUP(F16,미출!$D:$F,3,0)</f>
        <v>#N/A</v>
      </c>
      <c r="W16" s="485">
        <f>COUNTIF($F$11:$F$13,F16)</f>
        <v>0</v>
      </c>
      <c r="X16" s="485" t="e">
        <f>VLOOKUP(F16,#REF!,7,0)</f>
        <v>#REF!</v>
      </c>
      <c r="Y16" s="486"/>
      <c r="Z16" s="487" t="b">
        <f>N16=Y16</f>
        <v>1</v>
      </c>
    </row>
    <row r="17" spans="2:26" s="28" customFormat="1" ht="24.95" customHeight="1">
      <c r="B17" s="468">
        <v>6</v>
      </c>
      <c r="C17" s="364"/>
      <c r="D17" s="470" t="s">
        <v>955</v>
      </c>
      <c r="E17" s="85">
        <f t="shared" si="0"/>
        <v>194667</v>
      </c>
      <c r="F17" s="446"/>
      <c r="G17" s="340" t="str">
        <f t="shared" si="1"/>
        <v/>
      </c>
      <c r="H17" s="341"/>
      <c r="I17" s="342"/>
      <c r="J17" s="343" t="str">
        <f t="shared" si="2"/>
        <v/>
      </c>
      <c r="K17" s="339" t="str">
        <f t="shared" si="3"/>
        <v/>
      </c>
      <c r="L17" s="326"/>
      <c r="M17" s="344" t="str">
        <f t="shared" si="4"/>
        <v/>
      </c>
      <c r="N17" s="478" t="str">
        <f t="shared" si="5"/>
        <v/>
      </c>
      <c r="O17" s="346" t="str">
        <f t="shared" ref="O17:O23" si="13">IF(L17&lt;&gt;0,$L17*$N17,"")</f>
        <v/>
      </c>
      <c r="P17" s="450"/>
      <c r="R17" s="75" t="e">
        <f>VLOOKUP(F17,'파레트 제품 리스트'!$B:$F,4,0)</f>
        <v>#N/A</v>
      </c>
      <c r="S17" s="76" t="e">
        <f>VLOOKUP(F17,'파레트 제품 리스트'!$B:$F,5,0)</f>
        <v>#N/A</v>
      </c>
      <c r="U17" s="328" t="e">
        <f t="shared" ref="U17:U34" si="14">O17*1.1</f>
        <v>#VALUE!</v>
      </c>
      <c r="V17" s="367" t="e">
        <f>VLOOKUP(F17,미출!$D:$F,3,0)</f>
        <v>#N/A</v>
      </c>
      <c r="W17" s="78">
        <f t="shared" ref="W17:W34" si="15">COUNTIF($F$11:$F$13,F17)</f>
        <v>0</v>
      </c>
      <c r="X17" s="78" t="e">
        <f>VLOOKUP(F17,#REF!,7,0)</f>
        <v>#REF!</v>
      </c>
      <c r="Y17" s="79"/>
      <c r="Z17" s="80" t="b">
        <f t="shared" ref="Z17:Z34" si="16">N17=Y17</f>
        <v>1</v>
      </c>
    </row>
    <row r="18" spans="2:26" s="28" customFormat="1" ht="24.95" customHeight="1">
      <c r="B18" s="221">
        <v>7</v>
      </c>
      <c r="C18" s="364"/>
      <c r="D18" s="470" t="s">
        <v>955</v>
      </c>
      <c r="E18" s="85">
        <f t="shared" si="0"/>
        <v>194667</v>
      </c>
      <c r="F18" s="439"/>
      <c r="G18" s="224" t="str">
        <f t="shared" si="1"/>
        <v/>
      </c>
      <c r="H18" s="225"/>
      <c r="I18" s="226"/>
      <c r="J18" s="84" t="str">
        <f t="shared" si="2"/>
        <v/>
      </c>
      <c r="K18" s="85" t="str">
        <f t="shared" si="3"/>
        <v/>
      </c>
      <c r="L18" s="86"/>
      <c r="M18" s="87" t="str">
        <f t="shared" si="4"/>
        <v/>
      </c>
      <c r="N18" s="478" t="str">
        <f t="shared" si="5"/>
        <v/>
      </c>
      <c r="O18" s="89" t="str">
        <f t="shared" si="13"/>
        <v/>
      </c>
      <c r="P18" s="450"/>
      <c r="R18" s="75" t="e">
        <f>VLOOKUP(F18,'파레트 제품 리스트'!$B:$F,4,0)</f>
        <v>#N/A</v>
      </c>
      <c r="S18" s="76" t="e">
        <f>VLOOKUP(F18,'파레트 제품 리스트'!$B:$F,5,0)</f>
        <v>#N/A</v>
      </c>
      <c r="U18" s="328" t="e">
        <f t="shared" si="14"/>
        <v>#VALUE!</v>
      </c>
      <c r="V18" s="367" t="e">
        <f>VLOOKUP(F18,미출!$D:$F,3,0)</f>
        <v>#N/A</v>
      </c>
      <c r="W18" s="78">
        <f t="shared" si="15"/>
        <v>0</v>
      </c>
      <c r="X18" s="78" t="e">
        <f>VLOOKUP(F18,#REF!,7,0)</f>
        <v>#REF!</v>
      </c>
      <c r="Y18" s="79"/>
      <c r="Z18" s="80" t="b">
        <f t="shared" si="16"/>
        <v>1</v>
      </c>
    </row>
    <row r="19" spans="2:26" s="28" customFormat="1" ht="24.95" customHeight="1">
      <c r="B19" s="468">
        <v>8</v>
      </c>
      <c r="C19" s="364"/>
      <c r="D19" s="470" t="s">
        <v>955</v>
      </c>
      <c r="E19" s="85">
        <f t="shared" si="0"/>
        <v>194667</v>
      </c>
      <c r="F19" s="446">
        <v>139137</v>
      </c>
      <c r="G19" s="340" t="str">
        <f t="shared" si="1"/>
        <v>MOBILGEAR 600 XP 320 PAIL 20L:KR</v>
      </c>
      <c r="H19" s="341"/>
      <c r="I19" s="342"/>
      <c r="J19" s="343" t="str">
        <f t="shared" si="2"/>
        <v>PAIL</v>
      </c>
      <c r="K19" s="339" t="str">
        <f t="shared" si="3"/>
        <v>IND</v>
      </c>
      <c r="L19" s="326">
        <v>28</v>
      </c>
      <c r="M19" s="344">
        <f t="shared" si="4"/>
        <v>560</v>
      </c>
      <c r="N19" s="478">
        <f t="shared" si="5"/>
        <v>80900</v>
      </c>
      <c r="O19" s="346">
        <f t="shared" si="13"/>
        <v>2265200</v>
      </c>
      <c r="P19" s="450"/>
      <c r="R19" s="75" t="str">
        <f>VLOOKUP(F19,'파레트 제품 리스트'!$B:$F,4,0)</f>
        <v>MIX (28)</v>
      </c>
      <c r="S19" s="76">
        <f>VLOOKUP(F19,'파레트 제품 리스트'!$B:$F,5,0)</f>
        <v>1</v>
      </c>
      <c r="U19" s="328">
        <f t="shared" si="14"/>
        <v>2491720</v>
      </c>
      <c r="V19" s="367" t="e">
        <f>VLOOKUP(F19,미출!$D:$F,3,0)</f>
        <v>#N/A</v>
      </c>
      <c r="W19" s="78">
        <f t="shared" si="15"/>
        <v>0</v>
      </c>
      <c r="X19" s="78" t="e">
        <f>VLOOKUP(F19,#REF!,7,0)</f>
        <v>#REF!</v>
      </c>
      <c r="Y19" s="79"/>
      <c r="Z19" s="80" t="b">
        <f t="shared" si="16"/>
        <v>0</v>
      </c>
    </row>
    <row r="20" spans="2:26" s="28" customFormat="1" ht="24.95" customHeight="1">
      <c r="B20" s="221">
        <v>9</v>
      </c>
      <c r="C20" s="364"/>
      <c r="D20" s="470" t="s">
        <v>955</v>
      </c>
      <c r="E20" s="85">
        <f t="shared" si="0"/>
        <v>194667</v>
      </c>
      <c r="F20" s="439">
        <v>140141</v>
      </c>
      <c r="G20" s="224" t="str">
        <f t="shared" si="1"/>
        <v>MOBILGREASE XHP 222 SPECIAL PAIL 16KG:SG</v>
      </c>
      <c r="H20" s="225"/>
      <c r="I20" s="226"/>
      <c r="J20" s="84" t="str">
        <f t="shared" si="2"/>
        <v>PAIL</v>
      </c>
      <c r="K20" s="85" t="str">
        <f t="shared" si="3"/>
        <v>IND</v>
      </c>
      <c r="L20" s="86">
        <v>14</v>
      </c>
      <c r="M20" s="87">
        <f t="shared" si="4"/>
        <v>224</v>
      </c>
      <c r="N20" s="478">
        <f t="shared" si="5"/>
        <v>188000</v>
      </c>
      <c r="O20" s="89">
        <f t="shared" si="13"/>
        <v>2632000</v>
      </c>
      <c r="P20" s="450">
        <v>26</v>
      </c>
      <c r="R20" s="75" t="str">
        <f>VLOOKUP(F20,'파레트 제품 리스트'!$B:$F,4,0)</f>
        <v>MIX (28)</v>
      </c>
      <c r="S20" s="76">
        <f>VLOOKUP(F20,'파레트 제품 리스트'!$B:$F,5,0)</f>
        <v>1</v>
      </c>
      <c r="U20" s="328">
        <f t="shared" si="14"/>
        <v>2895200.0000000005</v>
      </c>
      <c r="V20" s="367" t="e">
        <f>VLOOKUP(F20,미출!$D:$F,3,0)</f>
        <v>#N/A</v>
      </c>
      <c r="W20" s="78">
        <f t="shared" si="15"/>
        <v>0</v>
      </c>
      <c r="X20" s="78" t="e">
        <f>VLOOKUP(F20,#REF!,7,0)</f>
        <v>#REF!</v>
      </c>
      <c r="Y20" s="79"/>
      <c r="Z20" s="80" t="b">
        <f t="shared" si="16"/>
        <v>0</v>
      </c>
    </row>
    <row r="21" spans="2:26" s="28" customFormat="1" ht="24.95" customHeight="1">
      <c r="B21" s="468">
        <v>10</v>
      </c>
      <c r="C21" s="364"/>
      <c r="D21" s="470" t="s">
        <v>955</v>
      </c>
      <c r="E21" s="85">
        <f t="shared" si="0"/>
        <v>194667</v>
      </c>
      <c r="F21" s="439">
        <v>139143</v>
      </c>
      <c r="G21" s="224" t="str">
        <f t="shared" si="1"/>
        <v>NUTO H 32 PAIL 20L:KR</v>
      </c>
      <c r="H21" s="225"/>
      <c r="I21" s="226"/>
      <c r="J21" s="84" t="str">
        <f t="shared" si="2"/>
        <v>PAIL</v>
      </c>
      <c r="K21" s="85" t="str">
        <f t="shared" si="3"/>
        <v>IND</v>
      </c>
      <c r="L21" s="86">
        <v>14</v>
      </c>
      <c r="M21" s="87">
        <f t="shared" si="4"/>
        <v>280</v>
      </c>
      <c r="N21" s="478">
        <f t="shared" si="5"/>
        <v>44000</v>
      </c>
      <c r="O21" s="89">
        <f t="shared" si="13"/>
        <v>616000</v>
      </c>
      <c r="P21" s="450">
        <v>22</v>
      </c>
      <c r="R21" s="75" t="str">
        <f>VLOOKUP(F21,'파레트 제품 리스트'!$B:$F,4,0)</f>
        <v>MIX (28)</v>
      </c>
      <c r="S21" s="76">
        <f>VLOOKUP(F21,'파레트 제품 리스트'!$B:$F,5,0)</f>
        <v>1</v>
      </c>
      <c r="U21" s="328">
        <f t="shared" si="14"/>
        <v>677600</v>
      </c>
      <c r="V21" s="367" t="e">
        <f>VLOOKUP(F21,미출!$D:$F,3,0)</f>
        <v>#N/A</v>
      </c>
      <c r="W21" s="78">
        <f t="shared" si="15"/>
        <v>0</v>
      </c>
      <c r="X21" s="78" t="e">
        <f>VLOOKUP(F21,#REF!,7,0)</f>
        <v>#REF!</v>
      </c>
      <c r="Y21" s="79"/>
      <c r="Z21" s="80" t="b">
        <f t="shared" si="16"/>
        <v>0</v>
      </c>
    </row>
    <row r="22" spans="2:26" s="28" customFormat="1" ht="24.95" customHeight="1">
      <c r="B22" s="221">
        <v>11</v>
      </c>
      <c r="C22" s="364"/>
      <c r="D22" s="470" t="s">
        <v>955</v>
      </c>
      <c r="E22" s="85">
        <f t="shared" si="0"/>
        <v>194667</v>
      </c>
      <c r="F22" s="446">
        <v>139145</v>
      </c>
      <c r="G22" s="340" t="str">
        <f t="shared" si="1"/>
        <v>NUTO H 46 PAIL 20L:KR</v>
      </c>
      <c r="H22" s="341"/>
      <c r="I22" s="342"/>
      <c r="J22" s="343" t="str">
        <f t="shared" si="2"/>
        <v>PAIL</v>
      </c>
      <c r="K22" s="339" t="str">
        <f t="shared" si="3"/>
        <v>IND</v>
      </c>
      <c r="L22" s="326">
        <v>42</v>
      </c>
      <c r="M22" s="344">
        <f t="shared" si="4"/>
        <v>840</v>
      </c>
      <c r="N22" s="478">
        <f t="shared" si="5"/>
        <v>44000</v>
      </c>
      <c r="O22" s="346">
        <f t="shared" si="13"/>
        <v>1848000</v>
      </c>
      <c r="P22" s="450">
        <v>124</v>
      </c>
      <c r="R22" s="75" t="str">
        <f>VLOOKUP(F22,'파레트 제품 리스트'!$B:$F,4,0)</f>
        <v>Full</v>
      </c>
      <c r="S22" s="76">
        <f>VLOOKUP(F22,'파레트 제품 리스트'!$B:$F,5,0)</f>
        <v>42</v>
      </c>
      <c r="U22" s="328">
        <f t="shared" si="14"/>
        <v>2032800.0000000002</v>
      </c>
      <c r="V22" s="367" t="e">
        <f>VLOOKUP(F22,미출!$D:$F,3,0)</f>
        <v>#N/A</v>
      </c>
      <c r="W22" s="78">
        <f t="shared" si="15"/>
        <v>0</v>
      </c>
      <c r="X22" s="78" t="e">
        <f>VLOOKUP(F22,#REF!,7,0)</f>
        <v>#REF!</v>
      </c>
      <c r="Y22" s="79"/>
      <c r="Z22" s="80" t="b">
        <f t="shared" si="16"/>
        <v>0</v>
      </c>
    </row>
    <row r="23" spans="2:26" s="467" customFormat="1" ht="24.95" customHeight="1">
      <c r="B23" s="468">
        <v>12</v>
      </c>
      <c r="C23" s="469"/>
      <c r="D23" s="470" t="s">
        <v>955</v>
      </c>
      <c r="E23" s="471">
        <f t="shared" si="0"/>
        <v>194667</v>
      </c>
      <c r="F23" s="465">
        <v>140854</v>
      </c>
      <c r="G23" s="473" t="str">
        <f t="shared" si="1"/>
        <v>MOBIL SHC 630 PAIL 20L:SG</v>
      </c>
      <c r="H23" s="474"/>
      <c r="I23" s="475"/>
      <c r="J23" s="476" t="str">
        <f t="shared" si="2"/>
        <v>PAIL</v>
      </c>
      <c r="K23" s="471" t="str">
        <f t="shared" si="3"/>
        <v>IND</v>
      </c>
      <c r="L23" s="466">
        <v>28</v>
      </c>
      <c r="M23" s="477">
        <f t="shared" si="4"/>
        <v>560</v>
      </c>
      <c r="N23" s="478">
        <f t="shared" si="5"/>
        <v>287000</v>
      </c>
      <c r="O23" s="479">
        <f t="shared" si="13"/>
        <v>8036000</v>
      </c>
      <c r="P23" s="480">
        <v>425</v>
      </c>
      <c r="R23" s="481" t="str">
        <f>VLOOKUP(F23,'파레트 제품 리스트'!$B:$F,4,0)</f>
        <v>MIX (28)</v>
      </c>
      <c r="S23" s="482">
        <f>VLOOKUP(F23,'파레트 제품 리스트'!$B:$F,5,0)</f>
        <v>1</v>
      </c>
      <c r="U23" s="483">
        <f t="shared" si="14"/>
        <v>8839600</v>
      </c>
      <c r="V23" s="484" t="e">
        <f>VLOOKUP(F23,미출!$D:$F,3,0)</f>
        <v>#N/A</v>
      </c>
      <c r="W23" s="485">
        <f t="shared" si="15"/>
        <v>0</v>
      </c>
      <c r="X23" s="485" t="e">
        <f>VLOOKUP(F23,#REF!,7,0)</f>
        <v>#REF!</v>
      </c>
      <c r="Y23" s="486"/>
      <c r="Z23" s="487" t="b">
        <f t="shared" si="16"/>
        <v>0</v>
      </c>
    </row>
    <row r="24" spans="2:26" s="28" customFormat="1" ht="24.95" customHeight="1">
      <c r="B24" s="221">
        <v>13</v>
      </c>
      <c r="C24" s="445"/>
      <c r="D24" s="470" t="s">
        <v>955</v>
      </c>
      <c r="E24" s="85">
        <f>IF($D24&lt;&gt;0,VLOOKUP($D24,양식0!$D$44:$E$92,2,FALSE),"")</f>
        <v>194667</v>
      </c>
      <c r="F24" s="446">
        <v>139152</v>
      </c>
      <c r="G24" s="340" t="str">
        <f>IF($F24&lt;&gt;0,VLOOKUP($F24,양식0!$E$74:$M$539,2,FALSE),"")</f>
        <v>SPARTAN EP 220 PAIL 20L:KR</v>
      </c>
      <c r="H24" s="341"/>
      <c r="I24" s="342"/>
      <c r="J24" s="343" t="str">
        <f>IF($F24&lt;&gt;0,VLOOKUP($F24,양식0!$E$74:$M$539,7,FALSE),"")</f>
        <v>PAIL</v>
      </c>
      <c r="K24" s="339" t="str">
        <f>IF($F24&lt;&gt;0,VLOOKUP($F24,양식0!$E$74:$M$539,8,FALSE),"")</f>
        <v>IND</v>
      </c>
      <c r="L24" s="326">
        <v>28</v>
      </c>
      <c r="M24" s="344">
        <f>IF($L24&lt;&gt;0,VLOOKUP($F24,양식0!$E$74:$M$539,9,FALSE)*$L24,"")</f>
        <v>560</v>
      </c>
      <c r="N24" s="345">
        <f>IF($F24&lt;&gt;0,VLOOKUP($F24,양식0!$E$53:$L$547,5,FALSE),"")</f>
        <v>56700</v>
      </c>
      <c r="O24" s="89">
        <f t="shared" ref="O24:O32" si="17">IF(L24&lt;&gt;0,$L24*$N24,"")</f>
        <v>1587600</v>
      </c>
      <c r="P24" s="450">
        <v>100</v>
      </c>
      <c r="R24" s="75" t="str">
        <f>VLOOKUP(F24,'파레트 제품 리스트'!$B:$F,4,0)</f>
        <v>MIX (28)</v>
      </c>
      <c r="S24" s="76">
        <f>VLOOKUP(F24,'파레트 제품 리스트'!$B:$F,5,0)</f>
        <v>1</v>
      </c>
      <c r="U24" s="328">
        <f t="shared" ref="U24:U32" si="18">O24*1.1</f>
        <v>1746360.0000000002</v>
      </c>
      <c r="V24" s="367"/>
      <c r="W24" s="78">
        <f t="shared" ref="W24:W33" si="19">COUNTIF($F$24:$F$26,F24)</f>
        <v>1</v>
      </c>
      <c r="X24" s="78"/>
      <c r="Y24" s="79"/>
      <c r="Z24" s="80"/>
    </row>
    <row r="25" spans="2:26" s="467" customFormat="1" ht="24.95" customHeight="1">
      <c r="B25" s="499">
        <v>2</v>
      </c>
      <c r="C25" s="488"/>
      <c r="D25" s="497" t="s">
        <v>955</v>
      </c>
      <c r="E25" s="471">
        <f>IF($D25&lt;&gt;0,VLOOKUP($D25,양식0!$D$44:$E$92,2,FALSE),"")</f>
        <v>194667</v>
      </c>
      <c r="F25" s="472">
        <v>139156</v>
      </c>
      <c r="G25" s="489" t="str">
        <f>IF($F25&lt;&gt;0,VLOOKUP($F25,양식0!$E$74:$M$539,2,FALSE),"")</f>
        <v>SPARTAN EP 460 PAIL 20L:KR</v>
      </c>
      <c r="H25" s="490"/>
      <c r="I25" s="491"/>
      <c r="J25" s="492" t="str">
        <f>IF($F25&lt;&gt;0,VLOOKUP($F25,양식0!$E$74:$M$539,7,FALSE),"")</f>
        <v>PAIL</v>
      </c>
      <c r="K25" s="493" t="str">
        <f>IF($F25&lt;&gt;0,VLOOKUP($F25,양식0!$E$74:$M$539,8,FALSE),"")</f>
        <v>IND</v>
      </c>
      <c r="L25" s="494">
        <v>28</v>
      </c>
      <c r="M25" s="495">
        <f>IF($L25&lt;&gt;0,VLOOKUP($F25,양식0!$E$74:$M$539,9,FALSE)*$L25,"")</f>
        <v>560</v>
      </c>
      <c r="N25" s="498">
        <f>IF($F25&lt;&gt;0,VLOOKUP($F25,양식0!$E$53:$L$547,5,FALSE),"")</f>
        <v>64600</v>
      </c>
      <c r="O25" s="479">
        <f t="shared" si="17"/>
        <v>1808800</v>
      </c>
      <c r="P25" s="480">
        <v>0</v>
      </c>
      <c r="R25" s="481" t="str">
        <f>VLOOKUP(F25,'파레트 제품 리스트'!$B:$F,4,0)</f>
        <v>MIX (28)</v>
      </c>
      <c r="S25" s="482">
        <f>VLOOKUP(F25,'파레트 제품 리스트'!$B:$F,5,0)</f>
        <v>1</v>
      </c>
      <c r="U25" s="483">
        <f t="shared" si="18"/>
        <v>1989680.0000000002</v>
      </c>
      <c r="V25" s="484"/>
      <c r="W25" s="485">
        <f t="shared" si="19"/>
        <v>1</v>
      </c>
      <c r="X25" s="485"/>
      <c r="Y25" s="486"/>
      <c r="Z25" s="487"/>
    </row>
    <row r="26" spans="2:26" s="28" customFormat="1" ht="24.95" customHeight="1">
      <c r="B26" s="447">
        <v>3</v>
      </c>
      <c r="C26" s="445"/>
      <c r="D26" s="338" t="s">
        <v>955</v>
      </c>
      <c r="E26" s="85">
        <f>IF($D26&lt;&gt;0,VLOOKUP($D26,양식0!$D$44:$E$92,2,FALSE),"")</f>
        <v>194667</v>
      </c>
      <c r="F26" s="439">
        <v>148688</v>
      </c>
      <c r="G26" s="340" t="str">
        <f>IF($F26&lt;&gt;0,VLOOKUP($F26,양식0!$E$74:$M$539,2,FALSE),"")</f>
        <v>MOBIL VACUO 533-PL20L</v>
      </c>
      <c r="H26" s="225"/>
      <c r="I26" s="226"/>
      <c r="J26" s="343" t="str">
        <f>IF($F26&lt;&gt;0,VLOOKUP($F26,양식0!$E$74:$M$539,7,FALSE),"")</f>
        <v>PAIL</v>
      </c>
      <c r="K26" s="339" t="str">
        <f>IF($F26&lt;&gt;0,VLOOKUP($F26,양식0!$E$74:$M$539,8,FALSE),"")</f>
        <v>IND</v>
      </c>
      <c r="L26" s="86">
        <v>28</v>
      </c>
      <c r="M26" s="344">
        <f>IF($L26&lt;&gt;0,VLOOKUP($F26,양식0!$E$74:$M$539,9,FALSE)*$L26,"")</f>
        <v>560</v>
      </c>
      <c r="N26" s="345">
        <f>IF($F26&lt;&gt;0,VLOOKUP($F26,양식0!$E$53:$L$547,5,FALSE),"")</f>
        <v>69500</v>
      </c>
      <c r="O26" s="89">
        <f t="shared" si="17"/>
        <v>1946000</v>
      </c>
      <c r="P26" s="450">
        <v>125</v>
      </c>
      <c r="R26" s="75" t="str">
        <f>VLOOKUP(F26,'파레트 제품 리스트'!$B:$F,4,0)</f>
        <v>MIX (28)</v>
      </c>
      <c r="S26" s="76">
        <f>VLOOKUP(F26,'파레트 제품 리스트'!$B:$F,5,0)</f>
        <v>1</v>
      </c>
      <c r="U26" s="328">
        <f t="shared" si="18"/>
        <v>2140600</v>
      </c>
      <c r="V26" s="367" t="e">
        <f>VLOOKUP(F26,미출!$D:$F,3,0)</f>
        <v>#N/A</v>
      </c>
      <c r="W26" s="78">
        <f t="shared" si="19"/>
        <v>1</v>
      </c>
      <c r="X26" s="78" t="e">
        <f>VLOOKUP(F26,#REF!,7,0)</f>
        <v>#REF!</v>
      </c>
      <c r="Y26" s="79"/>
      <c r="Z26" s="80" t="b">
        <f>N26=Y26</f>
        <v>0</v>
      </c>
    </row>
    <row r="27" spans="2:26" s="28" customFormat="1" ht="24.95" customHeight="1">
      <c r="B27" s="447">
        <v>4</v>
      </c>
      <c r="C27" s="445"/>
      <c r="D27" s="338" t="s">
        <v>955</v>
      </c>
      <c r="E27" s="85">
        <f>IF($D27&lt;&gt;0,VLOOKUP($D27,양식0!$D$44:$E$92,2,FALSE),"")</f>
        <v>194667</v>
      </c>
      <c r="F27" s="446">
        <v>148661</v>
      </c>
      <c r="G27" s="340" t="str">
        <f>IF($F27&lt;&gt;0,VLOOKUP($F27,양식0!$E$74:$M$539,2,FALSE),"")</f>
        <v>MOBIL VELOCITE NO 3 PAIL 20L</v>
      </c>
      <c r="H27" s="341"/>
      <c r="I27" s="342"/>
      <c r="J27" s="343" t="str">
        <f>IF($F27&lt;&gt;0,VLOOKUP($F27,양식0!$E$74:$M$539,7,FALSE),"")</f>
        <v>PAIL</v>
      </c>
      <c r="K27" s="339" t="str">
        <f>IF($F27&lt;&gt;0,VLOOKUP($F27,양식0!$E$74:$M$539,8,FALSE),"")</f>
        <v>IND</v>
      </c>
      <c r="L27" s="326">
        <v>42</v>
      </c>
      <c r="M27" s="344">
        <f>IF($L27&lt;&gt;0,VLOOKUP($F27,양식0!$E$74:$M$539,9,FALSE)*$L27,"")</f>
        <v>840</v>
      </c>
      <c r="N27" s="345">
        <f>IF($F27&lt;&gt;0,VLOOKUP($F27,양식0!$E$53:$L$547,5,FALSE),"")</f>
        <v>63400</v>
      </c>
      <c r="O27" s="89">
        <f t="shared" si="17"/>
        <v>2662800</v>
      </c>
      <c r="P27" s="450">
        <v>0</v>
      </c>
      <c r="R27" s="75" t="str">
        <f>VLOOKUP(F27,'파레트 제품 리스트'!$B:$F,4,0)</f>
        <v>Full</v>
      </c>
      <c r="S27" s="76">
        <f>VLOOKUP(F27,'파레트 제품 리스트'!$B:$F,5,0)</f>
        <v>42</v>
      </c>
      <c r="U27" s="328">
        <f t="shared" si="18"/>
        <v>2929080.0000000005</v>
      </c>
      <c r="V27" s="367"/>
      <c r="W27" s="78">
        <f t="shared" si="19"/>
        <v>0</v>
      </c>
      <c r="X27" s="78"/>
      <c r="Y27" s="79"/>
      <c r="Z27" s="80"/>
    </row>
    <row r="28" spans="2:26" s="467" customFormat="1" ht="24.95" customHeight="1">
      <c r="B28" s="499">
        <v>5</v>
      </c>
      <c r="C28" s="488"/>
      <c r="D28" s="497" t="s">
        <v>955</v>
      </c>
      <c r="E28" s="471">
        <f>IF($D28&lt;&gt;0,VLOOKUP($D28,양식0!$D$44:$E$92,2,FALSE),"")</f>
        <v>194667</v>
      </c>
      <c r="F28" s="472">
        <v>148662</v>
      </c>
      <c r="G28" s="489" t="str">
        <f>IF($F28&lt;&gt;0,VLOOKUP($F28,양식0!$E$74:$M$539,2,FALSE),"")</f>
        <v>MOBIL VELOCITE 6, 20LT, PAIL</v>
      </c>
      <c r="H28" s="490"/>
      <c r="I28" s="491"/>
      <c r="J28" s="492" t="str">
        <f>IF($F28&lt;&gt;0,VLOOKUP($F28,양식0!$E$74:$M$539,7,FALSE),"")</f>
        <v>PAIL</v>
      </c>
      <c r="K28" s="493" t="str">
        <f>IF($F28&lt;&gt;0,VLOOKUP($F28,양식0!$E$74:$M$539,8,FALSE),"")</f>
        <v>IND</v>
      </c>
      <c r="L28" s="494">
        <v>42</v>
      </c>
      <c r="M28" s="495">
        <f>IF($L28&lt;&gt;0,VLOOKUP($F28,양식0!$E$74:$M$539,9,FALSE)*$L28,"")</f>
        <v>840</v>
      </c>
      <c r="N28" s="498">
        <f>IF($F28&lt;&gt;0,VLOOKUP($F28,양식0!$E$53:$L$547,5,FALSE),"")</f>
        <v>55400</v>
      </c>
      <c r="O28" s="479">
        <f t="shared" si="17"/>
        <v>2326800</v>
      </c>
      <c r="P28" s="480">
        <v>0</v>
      </c>
      <c r="R28" s="481" t="str">
        <f>VLOOKUP(F28,'파레트 제품 리스트'!$B:$F,4,0)</f>
        <v>Full</v>
      </c>
      <c r="S28" s="482">
        <f>VLOOKUP(F28,'파레트 제품 리스트'!$B:$F,5,0)</f>
        <v>42</v>
      </c>
      <c r="U28" s="483">
        <f t="shared" si="18"/>
        <v>2559480</v>
      </c>
      <c r="V28" s="484"/>
      <c r="W28" s="485">
        <f t="shared" si="19"/>
        <v>0</v>
      </c>
      <c r="X28" s="485"/>
      <c r="Y28" s="486"/>
      <c r="Z28" s="487"/>
    </row>
    <row r="29" spans="2:26" s="28" customFormat="1" ht="24.95" customHeight="1">
      <c r="B29" s="447">
        <v>6</v>
      </c>
      <c r="C29" s="445"/>
      <c r="D29" s="338" t="s">
        <v>955</v>
      </c>
      <c r="E29" s="85">
        <f>IF($D29&lt;&gt;0,VLOOKUP($D29,양식0!$D$44:$E$92,2,FALSE),"")</f>
        <v>194667</v>
      </c>
      <c r="F29" s="446">
        <v>140252</v>
      </c>
      <c r="G29" s="340" t="str">
        <f>IF($F29&lt;&gt;0,VLOOKUP($F29,양식0!$E$74:$M$539,2,FALSE),"")</f>
        <v>MOBILUX EP 0 PAIL 16KG:SG</v>
      </c>
      <c r="H29" s="341"/>
      <c r="I29" s="342"/>
      <c r="J29" s="343" t="str">
        <f>IF($F29&lt;&gt;0,VLOOKUP($F29,양식0!$E$74:$M$539,7,FALSE),"")</f>
        <v>PAIL</v>
      </c>
      <c r="K29" s="339" t="str">
        <f>IF($F29&lt;&gt;0,VLOOKUP($F29,양식0!$E$74:$M$539,8,FALSE),"")</f>
        <v>IND</v>
      </c>
      <c r="L29" s="326">
        <v>28</v>
      </c>
      <c r="M29" s="344">
        <f>IF($L29&lt;&gt;0,VLOOKUP($F29,양식0!$E$74:$M$539,9,FALSE)*$L29,"")</f>
        <v>448</v>
      </c>
      <c r="N29" s="345">
        <f>IF($F29&lt;&gt;0,VLOOKUP($F29,양식0!$E$53:$L$547,5,FALSE),"")</f>
        <v>81000</v>
      </c>
      <c r="O29" s="89">
        <f t="shared" si="17"/>
        <v>2268000</v>
      </c>
      <c r="P29" s="450">
        <v>78</v>
      </c>
      <c r="R29" s="75" t="str">
        <f>VLOOKUP(F29,'파레트 제품 리스트'!$B:$F,4,0)</f>
        <v>MIX (28)</v>
      </c>
      <c r="S29" s="76">
        <f>VLOOKUP(F29,'파레트 제품 리스트'!$B:$F,5,0)</f>
        <v>1</v>
      </c>
      <c r="U29" s="328">
        <f t="shared" si="18"/>
        <v>2494800</v>
      </c>
      <c r="V29" s="367"/>
      <c r="W29" s="78">
        <f t="shared" si="19"/>
        <v>0</v>
      </c>
      <c r="X29" s="78"/>
      <c r="Y29" s="79"/>
      <c r="Z29" s="80"/>
    </row>
    <row r="30" spans="2:26" s="28" customFormat="1" ht="24.95" customHeight="1">
      <c r="B30" s="447">
        <v>7</v>
      </c>
      <c r="C30" s="445"/>
      <c r="D30" s="338" t="s">
        <v>955</v>
      </c>
      <c r="E30" s="85">
        <f>IF($D30&lt;&gt;0,VLOOKUP($D30,양식0!$D$44:$E$92,2,FALSE),"")</f>
        <v>194667</v>
      </c>
      <c r="F30" s="439">
        <v>140255</v>
      </c>
      <c r="G30" s="340" t="str">
        <f>IF($F30&lt;&gt;0,VLOOKUP($F30,양식0!$E$74:$M$539,2,FALSE),"")</f>
        <v>MOBILUX EP 1 PAIL 16KG:SG</v>
      </c>
      <c r="H30" s="225"/>
      <c r="I30" s="226"/>
      <c r="J30" s="343" t="str">
        <f>IF($F30&lt;&gt;0,VLOOKUP($F30,양식0!$E$74:$M$539,7,FALSE),"")</f>
        <v>PAIL</v>
      </c>
      <c r="K30" s="339" t="str">
        <f>IF($F30&lt;&gt;0,VLOOKUP($F30,양식0!$E$74:$M$539,8,FALSE),"")</f>
        <v>IND</v>
      </c>
      <c r="L30" s="86">
        <v>28</v>
      </c>
      <c r="M30" s="344">
        <f>IF($L30&lt;&gt;0,VLOOKUP($F30,양식0!$E$74:$M$539,9,FALSE)*$L30,"")</f>
        <v>448</v>
      </c>
      <c r="N30" s="345">
        <f>IF($F30&lt;&gt;0,VLOOKUP($F30,양식0!$E$53:$L$547,5,FALSE),"")</f>
        <v>81000</v>
      </c>
      <c r="O30" s="89">
        <f t="shared" si="17"/>
        <v>2268000</v>
      </c>
      <c r="P30" s="450">
        <v>71</v>
      </c>
      <c r="R30" s="75" t="str">
        <f>VLOOKUP(F30,'파레트 제품 리스트'!$B:$F,4,0)</f>
        <v>MIX (28)</v>
      </c>
      <c r="S30" s="76">
        <f>VLOOKUP(F30,'파레트 제품 리스트'!$B:$F,5,0)</f>
        <v>1</v>
      </c>
      <c r="U30" s="328">
        <f t="shared" si="18"/>
        <v>2494800</v>
      </c>
      <c r="V30" s="367" t="e">
        <f>VLOOKUP(F30,미출!$D:$F,3,0)</f>
        <v>#N/A</v>
      </c>
      <c r="W30" s="78">
        <f t="shared" si="19"/>
        <v>0</v>
      </c>
      <c r="X30" s="78" t="e">
        <f>VLOOKUP(F30,#REF!,7,0)</f>
        <v>#REF!</v>
      </c>
      <c r="Y30" s="79"/>
      <c r="Z30" s="80" t="b">
        <f>N30=Y30</f>
        <v>0</v>
      </c>
    </row>
    <row r="31" spans="2:26" s="467" customFormat="1" ht="24.95" customHeight="1">
      <c r="B31" s="499">
        <v>8</v>
      </c>
      <c r="C31" s="488"/>
      <c r="D31" s="497" t="s">
        <v>955</v>
      </c>
      <c r="E31" s="471">
        <f>IF($D31&lt;&gt;0,VLOOKUP($D31,양식0!$D$44:$E$92,2,FALSE),"")</f>
        <v>194667</v>
      </c>
      <c r="F31" s="465">
        <v>140263</v>
      </c>
      <c r="G31" s="489" t="str">
        <f>IF($F31&lt;&gt;0,VLOOKUP($F31,양식0!$E$74:$M$539,2,FALSE),"")</f>
        <v>MOBILUX EP 2 PAIL 16KG:SG</v>
      </c>
      <c r="H31" s="474"/>
      <c r="I31" s="475"/>
      <c r="J31" s="492" t="str">
        <f>IF($F31&lt;&gt;0,VLOOKUP($F31,양식0!$E$74:$M$539,7,FALSE),"")</f>
        <v>PAIL</v>
      </c>
      <c r="K31" s="493" t="str">
        <f>IF($F31&lt;&gt;0,VLOOKUP($F31,양식0!$E$74:$M$539,8,FALSE),"")</f>
        <v>IND</v>
      </c>
      <c r="L31" s="466">
        <v>56</v>
      </c>
      <c r="M31" s="495">
        <f>IF($L31&lt;&gt;0,VLOOKUP($F31,양식0!$E$74:$M$539,9,FALSE)*$L31,"")</f>
        <v>896</v>
      </c>
      <c r="N31" s="498">
        <f>IF($F31&lt;&gt;0,VLOOKUP($F31,양식0!$E$53:$L$547,5,FALSE),"")</f>
        <v>81000</v>
      </c>
      <c r="O31" s="479">
        <f t="shared" si="17"/>
        <v>4536000</v>
      </c>
      <c r="P31" s="480">
        <v>576</v>
      </c>
      <c r="R31" s="481" t="str">
        <f>VLOOKUP(F31,'파레트 제품 리스트'!$B:$F,4,0)</f>
        <v>MIX (28)</v>
      </c>
      <c r="S31" s="482">
        <f>VLOOKUP(F31,'파레트 제품 리스트'!$B:$F,5,0)</f>
        <v>1</v>
      </c>
      <c r="U31" s="483">
        <f t="shared" si="18"/>
        <v>4989600</v>
      </c>
      <c r="V31" s="484"/>
      <c r="W31" s="485">
        <f t="shared" si="19"/>
        <v>0</v>
      </c>
      <c r="X31" s="485"/>
      <c r="Y31" s="486"/>
      <c r="Z31" s="487"/>
    </row>
    <row r="32" spans="2:26" s="28" customFormat="1" ht="24.95" customHeight="1">
      <c r="B32" s="447">
        <v>9</v>
      </c>
      <c r="C32" s="445"/>
      <c r="D32" s="338" t="s">
        <v>955</v>
      </c>
      <c r="E32" s="85">
        <f>IF($D32&lt;&gt;0,VLOOKUP($D32,양식0!$D$44:$E$92,2,FALSE),"")</f>
        <v>194667</v>
      </c>
      <c r="F32" s="446">
        <v>140256</v>
      </c>
      <c r="G32" s="340" t="str">
        <f>IF($F32&lt;&gt;0,VLOOKUP($F32,양식0!$E$74:$M$539,2,FALSE),"")</f>
        <v>MOBILUX EP 3 PAIL 16KG:SG</v>
      </c>
      <c r="H32" s="341"/>
      <c r="I32" s="342"/>
      <c r="J32" s="343" t="str">
        <f>IF($F32&lt;&gt;0,VLOOKUP($F32,양식0!$E$74:$M$539,7,FALSE),"")</f>
        <v>PAIL</v>
      </c>
      <c r="K32" s="339" t="str">
        <f>IF($F32&lt;&gt;0,VLOOKUP($F32,양식0!$E$74:$M$539,8,FALSE),"")</f>
        <v>IND</v>
      </c>
      <c r="L32" s="326">
        <v>28</v>
      </c>
      <c r="M32" s="344">
        <f>IF($L32&lt;&gt;0,VLOOKUP($F32,양식0!$E$74:$M$539,9,FALSE)*$L32,"")</f>
        <v>448</v>
      </c>
      <c r="N32" s="345">
        <f>IF($F32&lt;&gt;0,VLOOKUP($F32,양식0!$E$53:$L$547,5,FALSE),"")</f>
        <v>81000</v>
      </c>
      <c r="O32" s="89">
        <f t="shared" si="17"/>
        <v>2268000</v>
      </c>
      <c r="P32" s="450">
        <v>43</v>
      </c>
      <c r="R32" s="75" t="str">
        <f>VLOOKUP(F32,'파레트 제품 리스트'!$B:$F,4,0)</f>
        <v>MIX (28)</v>
      </c>
      <c r="S32" s="76">
        <f>VLOOKUP(F32,'파레트 제품 리스트'!$B:$F,5,0)</f>
        <v>1</v>
      </c>
      <c r="U32" s="328">
        <f t="shared" si="18"/>
        <v>2494800</v>
      </c>
      <c r="V32" s="367"/>
      <c r="W32" s="78">
        <f t="shared" si="19"/>
        <v>0</v>
      </c>
      <c r="X32" s="78"/>
      <c r="Y32" s="79"/>
      <c r="Z32" s="80"/>
    </row>
    <row r="33" spans="1:26" s="467" customFormat="1" ht="24.95" customHeight="1">
      <c r="B33" s="468">
        <v>13</v>
      </c>
      <c r="C33" s="469"/>
      <c r="D33" s="497" t="s">
        <v>955</v>
      </c>
      <c r="E33" s="471">
        <f>IF($D33&lt;&gt;0,VLOOKUP($D33,양식0!$D$44:$E$92,2,FALSE),"")</f>
        <v>194667</v>
      </c>
      <c r="F33" s="465">
        <v>144277</v>
      </c>
      <c r="G33" s="489" t="str">
        <f>IF($F33&lt;&gt;0,VLOOKUP($F33,양식0!$E$74:$M$539,2,FALSE),"")</f>
        <v>MOBIL VACUOLINE 1409 PAIL 20L</v>
      </c>
      <c r="H33" s="490"/>
      <c r="I33" s="491"/>
      <c r="J33" s="492" t="str">
        <f>IF($F33&lt;&gt;0,VLOOKUP($F33,양식0!$E$74:$M$539,7,FALSE),"")</f>
        <v>PAIL</v>
      </c>
      <c r="K33" s="493" t="str">
        <f>IF($F33&lt;&gt;0,VLOOKUP($F33,양식0!$E$74:$M$539,8,FALSE),"")</f>
        <v>IND</v>
      </c>
      <c r="L33" s="466">
        <v>42</v>
      </c>
      <c r="M33" s="495">
        <f>IF($L33&lt;&gt;0,VLOOKUP($F33,양식0!$E$74:$M$539,9,FALSE)*$L33,"")</f>
        <v>840</v>
      </c>
      <c r="N33" s="498">
        <f>IF($F33&lt;&gt;0,VLOOKUP($F33,양식0!$E$53:$L$547,5,FALSE),"")</f>
        <v>46600</v>
      </c>
      <c r="O33" s="479">
        <f t="shared" ref="O33:O34" si="20">IF(L33&lt;&gt;0,$L33*$N33,"")</f>
        <v>1957200</v>
      </c>
      <c r="P33" s="480"/>
      <c r="R33" s="481"/>
      <c r="S33" s="482"/>
      <c r="U33" s="483"/>
      <c r="V33" s="484"/>
      <c r="W33" s="485">
        <f t="shared" si="19"/>
        <v>0</v>
      </c>
      <c r="X33" s="485"/>
      <c r="Y33" s="486"/>
      <c r="Z33" s="487"/>
    </row>
    <row r="34" spans="1:26" s="28" customFormat="1" ht="24.95" customHeight="1">
      <c r="B34" s="221">
        <v>14</v>
      </c>
      <c r="C34" s="364"/>
      <c r="D34" s="82"/>
      <c r="E34" s="85" t="str">
        <f>IF($D34&lt;&gt;0,VLOOKUP($D34,양식0!$D$44:$E$92,2,FALSE),"")</f>
        <v/>
      </c>
      <c r="F34" s="439"/>
      <c r="G34" s="340" t="str">
        <f>IF($F34&lt;&gt;0,VLOOKUP($F34,양식0!$E$74:$M$539,2,FALSE),"")</f>
        <v/>
      </c>
      <c r="H34" s="341"/>
      <c r="I34" s="342"/>
      <c r="J34" s="343" t="str">
        <f>IF($F34&lt;&gt;0,VLOOKUP($F34,양식0!$E$74:$M$539,7,FALSE),"")</f>
        <v/>
      </c>
      <c r="K34" s="339" t="str">
        <f>IF($F34&lt;&gt;0,VLOOKUP($F34,양식0!$E$74:$M$539,8,FALSE),"")</f>
        <v/>
      </c>
      <c r="L34" s="86"/>
      <c r="M34" s="344" t="str">
        <f>IF($L34&lt;&gt;0,VLOOKUP($F34,양식0!$E$74:$M$539,9,FALSE)*$L34,"")</f>
        <v/>
      </c>
      <c r="N34" s="345" t="str">
        <f>IF($F34&lt;&gt;0,VLOOKUP($F34,양식0!$E$53:$L$547,5,FALSE),"")</f>
        <v/>
      </c>
      <c r="O34" s="89" t="str">
        <f t="shared" si="20"/>
        <v/>
      </c>
      <c r="P34" s="450"/>
      <c r="R34" s="75" t="e">
        <f>VLOOKUP(F34,'파레트 제품 리스트'!$B:$F,4,0)</f>
        <v>#N/A</v>
      </c>
      <c r="S34" s="76" t="e">
        <f>VLOOKUP(F34,'파레트 제품 리스트'!$B:$F,5,0)</f>
        <v>#N/A</v>
      </c>
      <c r="U34" s="328" t="e">
        <f t="shared" si="14"/>
        <v>#VALUE!</v>
      </c>
      <c r="V34" s="367" t="e">
        <f>VLOOKUP(F34,미출!$D:$F,3,0)</f>
        <v>#N/A</v>
      </c>
      <c r="W34" s="78">
        <f t="shared" si="15"/>
        <v>0</v>
      </c>
      <c r="X34" s="78" t="e">
        <f>VLOOKUP(F34,#REF!,7,0)</f>
        <v>#REF!</v>
      </c>
      <c r="Y34" s="79"/>
      <c r="Z34" s="80" t="b">
        <f t="shared" si="16"/>
        <v>1</v>
      </c>
    </row>
    <row r="35" spans="1:26" s="28" customFormat="1" ht="24.95" customHeight="1" thickBot="1">
      <c r="B35" s="355">
        <v>15</v>
      </c>
      <c r="C35" s="435"/>
      <c r="D35" s="90"/>
      <c r="E35" s="92" t="str">
        <f>IF($D35&lt;&gt;0,VLOOKUP($D35,$D$54:$E$76,2,FALSE),"")</f>
        <v/>
      </c>
      <c r="F35" s="459"/>
      <c r="G35" s="227" t="str">
        <f>IF($F35&lt;&gt;0,VLOOKUP($F35,$E$79:$M$544,2,FALSE),"")</f>
        <v/>
      </c>
      <c r="H35" s="228"/>
      <c r="I35" s="229"/>
      <c r="J35" s="91" t="str">
        <f>IF($F35&lt;&gt;0,VLOOKUP($F35,$E$79:$M$544,7,FALSE),"")</f>
        <v/>
      </c>
      <c r="K35" s="92" t="str">
        <f>IF($F35&lt;&gt;0,VLOOKUP($F35,$E$79:$M$544,8,FALSE),"")</f>
        <v/>
      </c>
      <c r="L35" s="93"/>
      <c r="M35" s="94" t="str">
        <f>IF($L35&lt;&gt;0,VLOOKUP($F35,$E$79:$M$527,9,FALSE)*$L35,"")</f>
        <v/>
      </c>
      <c r="N35" s="95" t="str">
        <f>IF($F35&lt;&gt;0,VLOOKUP($F35,$E$62:$L$543,5,FALSE),"")</f>
        <v/>
      </c>
      <c r="O35" s="96" t="str">
        <f t="shared" ref="O35" si="21">IF(L35&lt;&gt;0,$L35*$N35,"")</f>
        <v/>
      </c>
      <c r="P35" s="451"/>
      <c r="R35" s="75" t="e">
        <f>VLOOKUP(F35,'파레트 제품 리스트'!$B:$F,4,0)</f>
        <v>#N/A</v>
      </c>
      <c r="S35" s="76" t="e">
        <f>VLOOKUP(F35,'파레트 제품 리스트'!$B:$F,5,0)</f>
        <v>#N/A</v>
      </c>
      <c r="U35" s="328" t="e">
        <f t="shared" ref="U35" si="22">O35*1.1</f>
        <v>#VALUE!</v>
      </c>
      <c r="V35" s="367" t="e">
        <f>VLOOKUP(F35,미출!$D:$F,3,0)</f>
        <v>#N/A</v>
      </c>
      <c r="W35" s="78">
        <f>COUNTIF($F$11:$F$13,F35)</f>
        <v>0</v>
      </c>
      <c r="X35" s="78" t="e">
        <f>VLOOKUP(F35,#REF!,7,0)</f>
        <v>#REF!</v>
      </c>
      <c r="Y35" s="79"/>
      <c r="Z35" s="80" t="b">
        <f t="shared" ref="Z35" si="23">N35=Y35</f>
        <v>1</v>
      </c>
    </row>
    <row r="36" spans="1:26" s="43" customFormat="1" ht="12" customHeight="1" thickTop="1" thickBot="1">
      <c r="A36" s="4"/>
      <c r="B36" s="105"/>
      <c r="C36" s="105"/>
      <c r="D36" s="130"/>
      <c r="E36" s="105"/>
      <c r="F36" s="372"/>
      <c r="G36" s="373"/>
      <c r="H36" s="373"/>
      <c r="I36" s="374"/>
      <c r="J36" s="375" t="str">
        <f>IF($F36&lt;&gt;0,VLOOKUP($F36,$E$88:$M$457,7,FALSE),"")</f>
        <v/>
      </c>
      <c r="K36" s="372" t="str">
        <f>IF($F36&lt;&gt;0,VLOOKUP($F36,$E$88:$M$457,8,FALSE),"")</f>
        <v/>
      </c>
      <c r="L36" s="376"/>
      <c r="M36" s="376" t="str">
        <f>IF($L36&lt;&gt;0,VLOOKUP($F36,$E$88:$M$457,9,FALSE)*$L36,"")</f>
        <v/>
      </c>
      <c r="N36" s="100" t="str">
        <f>IF($F36&lt;&gt;0,VLOOKUP($F36,$E$88:$M$457,5,FALSE),"")</f>
        <v/>
      </c>
      <c r="O36" s="100" t="str">
        <f t="shared" ref="O36" si="24">IF(L36&lt;&gt;0,$L36*$N36,"")</f>
        <v/>
      </c>
      <c r="P36" s="100"/>
      <c r="U36" s="55"/>
      <c r="V36" s="105"/>
      <c r="W36" s="20"/>
      <c r="X36" s="78"/>
    </row>
    <row r="37" spans="1:26" s="43" customFormat="1" ht="18" customHeight="1" thickBot="1">
      <c r="A37" s="4"/>
      <c r="B37" s="105"/>
      <c r="C37" s="105"/>
      <c r="D37" s="100"/>
      <c r="E37" s="105"/>
      <c r="F37" s="105"/>
      <c r="G37" s="100"/>
      <c r="H37" s="100"/>
      <c r="I37" s="612" t="s">
        <v>18</v>
      </c>
      <c r="J37" s="106" t="s">
        <v>413</v>
      </c>
      <c r="K37" s="107">
        <f>SUM(M12:M35)</f>
        <v>8904</v>
      </c>
      <c r="L37" s="100"/>
      <c r="M37" s="614" t="s">
        <v>19</v>
      </c>
      <c r="N37" s="108" t="s">
        <v>20</v>
      </c>
      <c r="O37" s="616">
        <f>SUM(O12:O35)</f>
        <v>39026400</v>
      </c>
      <c r="P37" s="617"/>
      <c r="U37" s="55"/>
      <c r="V37" s="105"/>
      <c r="W37" s="20"/>
      <c r="X37" s="21"/>
    </row>
    <row r="38" spans="1:26" s="43" customFormat="1" ht="18" customHeight="1" thickBot="1">
      <c r="A38" s="4"/>
      <c r="B38" s="105"/>
      <c r="C38" s="105"/>
      <c r="D38" s="100"/>
      <c r="E38"/>
      <c r="F38" s="105"/>
      <c r="G38" s="100"/>
      <c r="H38" s="100"/>
      <c r="I38" s="613"/>
      <c r="J38" s="109" t="s">
        <v>414</v>
      </c>
      <c r="K38" s="110">
        <f>$K$37/200</f>
        <v>44.52</v>
      </c>
      <c r="L38" s="100"/>
      <c r="M38" s="615"/>
      <c r="N38" s="111" t="s">
        <v>21</v>
      </c>
      <c r="O38" s="618">
        <f>O37*1.1</f>
        <v>42929040</v>
      </c>
      <c r="P38" s="619"/>
      <c r="U38" s="55"/>
      <c r="V38" s="105"/>
      <c r="W38" s="20"/>
      <c r="X38" s="21"/>
    </row>
    <row r="39" spans="1:26" s="43" customFormat="1" ht="16.5" customHeight="1">
      <c r="B39" s="21"/>
      <c r="C39" s="21"/>
      <c r="E39"/>
      <c r="F39" s="21"/>
      <c r="I39" s="42"/>
      <c r="J39" s="61"/>
      <c r="K39" s="21"/>
      <c r="U39" s="42"/>
      <c r="V39" s="105"/>
      <c r="W39" s="21"/>
      <c r="X39" s="21"/>
    </row>
    <row r="40" spans="1:26" ht="16.5" customHeight="1">
      <c r="K40" s="58"/>
      <c r="S40" s="43"/>
    </row>
    <row r="41" spans="1:26" ht="16.5" customHeight="1">
      <c r="A41" s="43"/>
      <c r="L41" s="362" t="e">
        <f>#REF!+#REF!+#REF!+#REF!</f>
        <v>#REF!</v>
      </c>
      <c r="P41" s="12"/>
      <c r="S41" s="43"/>
    </row>
    <row r="42" spans="1:26" ht="16.5" customHeight="1">
      <c r="L42" s="362" t="e">
        <f>+#REF!+#REF!+#REF!+#REF!</f>
        <v>#REF!</v>
      </c>
      <c r="P42" s="12"/>
    </row>
    <row r="43" spans="1:26" ht="16.5" customHeight="1">
      <c r="L43" s="363" t="e">
        <f>L42-L41</f>
        <v>#REF!</v>
      </c>
      <c r="P43" s="12"/>
      <c r="Y43"/>
    </row>
    <row r="44" spans="1:26" ht="16.5" customHeight="1">
      <c r="L44" s="1"/>
    </row>
    <row r="45" spans="1:26" ht="16.5" customHeight="1"/>
    <row r="46" spans="1:26" ht="16.5" customHeight="1"/>
    <row r="47" spans="1:26" ht="16.5" customHeight="1"/>
    <row r="48" spans="1:26" ht="16.5" customHeight="1"/>
    <row r="49" spans="2:26" s="3" customFormat="1" ht="16.5" customHeight="1" thickBot="1">
      <c r="B49" s="2"/>
      <c r="C49" s="2"/>
      <c r="E49" s="2"/>
      <c r="F49" s="2"/>
      <c r="I49" s="13"/>
      <c r="J49" s="16"/>
      <c r="K49" s="2"/>
      <c r="U49" s="45"/>
      <c r="V49" s="366"/>
      <c r="W49" s="56"/>
      <c r="X49" s="56"/>
      <c r="Y49" s="81"/>
      <c r="Z49" s="81"/>
    </row>
    <row r="50" spans="2:26" ht="13.5" customHeight="1">
      <c r="B50" s="598" t="s">
        <v>22</v>
      </c>
      <c r="C50" s="599"/>
      <c r="D50" s="599"/>
      <c r="E50" s="600"/>
    </row>
    <row r="51" spans="2:26" ht="14.25" customHeight="1" thickBot="1">
      <c r="B51" s="601"/>
      <c r="C51" s="602"/>
      <c r="D51" s="602"/>
      <c r="E51" s="603"/>
    </row>
    <row r="52" spans="2:26" ht="14.25" customHeight="1">
      <c r="B52" s="269"/>
      <c r="C52" s="269"/>
      <c r="D52" s="269"/>
      <c r="E52" s="269"/>
      <c r="I52" s="260"/>
      <c r="J52" s="261"/>
      <c r="U52" s="285"/>
    </row>
    <row r="53" spans="2:26" ht="14.25" customHeight="1">
      <c r="B53" s="269"/>
      <c r="C53" s="269"/>
      <c r="D53" s="259" t="s">
        <v>76</v>
      </c>
      <c r="E53" s="259" t="s">
        <v>23</v>
      </c>
      <c r="G53" s="280" t="s">
        <v>77</v>
      </c>
      <c r="H53" s="286" t="s">
        <v>16</v>
      </c>
      <c r="I53" s="232"/>
      <c r="J53" s="232"/>
      <c r="K53" s="233"/>
      <c r="M53" s="274" t="s">
        <v>14</v>
      </c>
      <c r="N53" s="259" t="s">
        <v>15</v>
      </c>
      <c r="O53" s="259"/>
      <c r="U53" s="285"/>
    </row>
    <row r="54" spans="2:26">
      <c r="D54" s="281" t="s">
        <v>955</v>
      </c>
      <c r="E54" s="282">
        <v>194667</v>
      </c>
      <c r="G54" s="281" t="s">
        <v>845</v>
      </c>
      <c r="H54" s="284" t="s">
        <v>792</v>
      </c>
      <c r="I54" s="275"/>
      <c r="J54" s="276"/>
      <c r="K54" s="254"/>
      <c r="L54" s="28"/>
      <c r="M54" s="255"/>
      <c r="N54" s="255"/>
      <c r="O54" s="255"/>
    </row>
    <row r="55" spans="2:26" s="28" customFormat="1" ht="13.5" customHeight="1">
      <c r="B55" s="21"/>
      <c r="C55" s="21"/>
      <c r="D55" s="281" t="s">
        <v>753</v>
      </c>
      <c r="E55" s="282">
        <v>200584</v>
      </c>
      <c r="F55" s="20"/>
      <c r="G55" s="281" t="s">
        <v>801</v>
      </c>
      <c r="H55" s="284" t="s">
        <v>792</v>
      </c>
      <c r="I55" s="275"/>
      <c r="J55" s="276"/>
      <c r="K55" s="254"/>
      <c r="M55" s="255"/>
      <c r="N55" s="255"/>
      <c r="O55" s="255"/>
      <c r="U55" s="29"/>
      <c r="V55" s="105"/>
      <c r="W55" s="20"/>
      <c r="X55" s="20"/>
    </row>
    <row r="56" spans="2:26" s="28" customFormat="1" ht="13.5" customHeight="1">
      <c r="B56" s="21"/>
      <c r="C56" s="21"/>
      <c r="D56" s="281" t="s">
        <v>26</v>
      </c>
      <c r="E56" s="282">
        <v>194729</v>
      </c>
      <c r="F56" s="20"/>
      <c r="G56" s="281" t="s">
        <v>794</v>
      </c>
      <c r="H56" s="284" t="s">
        <v>792</v>
      </c>
      <c r="I56" s="275"/>
      <c r="J56" s="276"/>
      <c r="K56" s="254"/>
      <c r="M56" s="255"/>
      <c r="N56" s="255"/>
      <c r="O56" s="255"/>
      <c r="U56" s="29"/>
      <c r="V56" s="105"/>
      <c r="W56" s="20"/>
      <c r="X56" s="20"/>
    </row>
    <row r="57" spans="2:26" s="28" customFormat="1" ht="13.5" customHeight="1">
      <c r="B57" s="21"/>
      <c r="C57" s="21"/>
      <c r="D57" s="281" t="s">
        <v>817</v>
      </c>
      <c r="E57" s="282">
        <v>194638</v>
      </c>
      <c r="F57" s="20"/>
      <c r="G57" s="281" t="s">
        <v>807</v>
      </c>
      <c r="H57" s="284" t="s">
        <v>792</v>
      </c>
      <c r="I57" s="275"/>
      <c r="J57" s="276"/>
      <c r="K57" s="254"/>
      <c r="M57" s="255"/>
      <c r="N57" s="255"/>
      <c r="O57" s="255"/>
      <c r="U57" s="29"/>
      <c r="V57" s="105"/>
      <c r="W57" s="20"/>
      <c r="X57" s="20"/>
    </row>
    <row r="58" spans="2:26" s="28" customFormat="1" ht="13.5" customHeight="1">
      <c r="B58" s="21"/>
      <c r="C58" s="21"/>
      <c r="D58" s="281" t="s">
        <v>759</v>
      </c>
      <c r="E58" s="282">
        <v>202724</v>
      </c>
      <c r="F58" s="20"/>
      <c r="G58" s="281" t="s">
        <v>799</v>
      </c>
      <c r="H58" s="284" t="s">
        <v>792</v>
      </c>
      <c r="I58" s="275"/>
      <c r="J58" s="276"/>
      <c r="K58" s="254"/>
      <c r="M58" s="255"/>
      <c r="N58" s="255"/>
      <c r="O58" s="255"/>
      <c r="U58" s="29"/>
      <c r="V58" s="105"/>
      <c r="W58" s="20"/>
      <c r="X58" s="20"/>
    </row>
    <row r="59" spans="2:26" s="28" customFormat="1" ht="13.5" customHeight="1">
      <c r="B59" s="21"/>
      <c r="C59" s="21"/>
      <c r="D59" s="283" t="s">
        <v>785</v>
      </c>
      <c r="E59" s="282">
        <v>203805</v>
      </c>
      <c r="F59" s="20"/>
      <c r="G59" s="281" t="s">
        <v>800</v>
      </c>
      <c r="H59" s="284" t="s">
        <v>792</v>
      </c>
      <c r="I59" s="275"/>
      <c r="J59" s="276"/>
      <c r="K59" s="254"/>
      <c r="M59" s="255"/>
      <c r="N59" s="255"/>
      <c r="O59" s="255"/>
      <c r="U59" s="29"/>
      <c r="V59" s="105"/>
      <c r="W59" s="20"/>
      <c r="X59" s="20"/>
    </row>
    <row r="60" spans="2:26" s="28" customFormat="1" ht="13.5" customHeight="1">
      <c r="B60" s="21"/>
      <c r="C60" s="21"/>
      <c r="D60" s="281" t="s">
        <v>788</v>
      </c>
      <c r="E60" s="282">
        <v>215691</v>
      </c>
      <c r="F60" s="20"/>
      <c r="G60" s="281" t="s">
        <v>805</v>
      </c>
      <c r="H60" s="284" t="s">
        <v>792</v>
      </c>
      <c r="I60" s="275"/>
      <c r="J60" s="276"/>
      <c r="K60" s="254"/>
      <c r="M60" s="255"/>
      <c r="N60" s="255"/>
      <c r="O60" s="255"/>
      <c r="U60" s="29"/>
      <c r="V60" s="105"/>
      <c r="W60" s="20"/>
      <c r="X60" s="20"/>
    </row>
    <row r="61" spans="2:26" s="28" customFormat="1" ht="13.5" customHeight="1">
      <c r="B61" s="21"/>
      <c r="C61" s="21"/>
      <c r="D61" s="281" t="s">
        <v>814</v>
      </c>
      <c r="E61" s="282">
        <v>208008</v>
      </c>
      <c r="F61" s="20"/>
      <c r="G61" s="281" t="s">
        <v>808</v>
      </c>
      <c r="H61" s="284" t="s">
        <v>792</v>
      </c>
      <c r="I61" s="275"/>
      <c r="J61" s="276"/>
      <c r="K61" s="254"/>
      <c r="M61" s="255"/>
      <c r="N61" s="255"/>
      <c r="O61" s="255"/>
      <c r="U61" s="29"/>
      <c r="V61" s="105"/>
      <c r="W61" s="20"/>
      <c r="X61" s="20"/>
    </row>
    <row r="62" spans="2:26" s="28" customFormat="1" ht="13.5" customHeight="1">
      <c r="B62" s="21"/>
      <c r="C62" s="21"/>
      <c r="D62" s="281" t="s">
        <v>815</v>
      </c>
      <c r="E62" s="282">
        <v>207998</v>
      </c>
      <c r="F62" s="20"/>
      <c r="G62" s="281" t="s">
        <v>802</v>
      </c>
      <c r="H62" s="284" t="s">
        <v>792</v>
      </c>
      <c r="I62" s="275"/>
      <c r="J62" s="276"/>
      <c r="K62" s="254"/>
      <c r="M62" s="255"/>
      <c r="N62" s="255"/>
      <c r="O62" s="255"/>
      <c r="R62" s="28" t="s">
        <v>861</v>
      </c>
      <c r="U62" s="29"/>
      <c r="V62" s="105"/>
      <c r="W62" s="20"/>
      <c r="X62" s="20"/>
    </row>
    <row r="63" spans="2:26" s="28" customFormat="1" ht="13.5" customHeight="1">
      <c r="B63" s="21"/>
      <c r="C63" s="21"/>
      <c r="D63" s="281" t="s">
        <v>813</v>
      </c>
      <c r="E63" s="282">
        <v>194819</v>
      </c>
      <c r="F63" s="20"/>
      <c r="G63" s="281" t="s">
        <v>74</v>
      </c>
      <c r="H63" s="284" t="s">
        <v>818</v>
      </c>
      <c r="I63" s="275"/>
      <c r="J63" s="276"/>
      <c r="K63" s="254"/>
      <c r="M63" s="255"/>
      <c r="N63" s="255"/>
      <c r="O63" s="255"/>
      <c r="U63" s="29"/>
      <c r="V63" s="105"/>
      <c r="W63" s="20"/>
      <c r="X63" s="20"/>
    </row>
    <row r="64" spans="2:26" s="28" customFormat="1" ht="13.5" customHeight="1">
      <c r="B64" s="21"/>
      <c r="C64" s="21"/>
      <c r="D64" s="283" t="s">
        <v>816</v>
      </c>
      <c r="E64" s="282">
        <v>229113</v>
      </c>
      <c r="F64" s="20"/>
      <c r="G64" s="281" t="s">
        <v>809</v>
      </c>
      <c r="H64" s="284" t="s">
        <v>792</v>
      </c>
      <c r="I64" s="275"/>
      <c r="J64" s="276"/>
      <c r="K64" s="254"/>
      <c r="M64" s="255"/>
      <c r="N64" s="255"/>
      <c r="O64" s="255"/>
      <c r="U64" s="29"/>
      <c r="V64" s="105"/>
      <c r="W64" s="20"/>
      <c r="X64" s="20"/>
    </row>
    <row r="65" spans="1:24" s="28" customFormat="1" ht="13.5" customHeight="1">
      <c r="B65" s="21"/>
      <c r="C65" s="21"/>
      <c r="D65" s="281" t="s">
        <v>812</v>
      </c>
      <c r="E65" s="282">
        <v>237074</v>
      </c>
      <c r="F65" s="20"/>
      <c r="G65" s="281" t="s">
        <v>811</v>
      </c>
      <c r="H65" s="284" t="s">
        <v>819</v>
      </c>
      <c r="I65" s="275"/>
      <c r="J65" s="276"/>
      <c r="K65" s="254"/>
      <c r="M65" s="255"/>
      <c r="N65" s="255"/>
      <c r="O65" s="255"/>
      <c r="U65" s="29"/>
      <c r="V65" s="105"/>
      <c r="W65" s="20"/>
      <c r="X65" s="20"/>
    </row>
    <row r="66" spans="1:24" s="28" customFormat="1" ht="13.5" customHeight="1">
      <c r="B66" s="21"/>
      <c r="C66" s="21"/>
      <c r="D66" s="281" t="s">
        <v>833</v>
      </c>
      <c r="E66" s="282">
        <v>231778</v>
      </c>
      <c r="F66" s="20"/>
      <c r="G66" s="281" t="s">
        <v>810</v>
      </c>
      <c r="H66" s="284" t="s">
        <v>792</v>
      </c>
      <c r="I66" s="275"/>
      <c r="J66" s="276"/>
      <c r="K66" s="254"/>
      <c r="M66" s="255"/>
      <c r="N66" s="255"/>
      <c r="O66" s="255"/>
      <c r="U66" s="29"/>
      <c r="V66" s="105"/>
      <c r="W66" s="20"/>
      <c r="X66" s="20"/>
    </row>
    <row r="67" spans="1:24" s="28" customFormat="1" ht="13.5" customHeight="1">
      <c r="B67" s="21"/>
      <c r="C67" s="21"/>
      <c r="D67" s="283" t="s">
        <v>894</v>
      </c>
      <c r="E67" s="282">
        <v>272022</v>
      </c>
      <c r="F67" s="20"/>
      <c r="G67" s="281"/>
      <c r="H67" s="284"/>
      <c r="I67" s="275"/>
      <c r="J67" s="276"/>
      <c r="K67" s="254"/>
      <c r="M67" s="283"/>
      <c r="N67" s="283"/>
      <c r="O67" s="283"/>
      <c r="U67" s="29"/>
      <c r="V67" s="105"/>
      <c r="W67" s="20"/>
      <c r="X67" s="20"/>
    </row>
    <row r="68" spans="1:24" s="28" customFormat="1" ht="13.5" customHeight="1">
      <c r="B68" s="21"/>
      <c r="C68" s="21"/>
      <c r="D68" s="283" t="s">
        <v>832</v>
      </c>
      <c r="E68" s="282">
        <v>211914</v>
      </c>
      <c r="F68" s="20"/>
      <c r="G68" s="281"/>
      <c r="H68" s="284"/>
      <c r="I68" s="275"/>
      <c r="J68" s="276"/>
      <c r="K68" s="254"/>
      <c r="M68" s="255"/>
      <c r="N68" s="255"/>
      <c r="O68" s="255"/>
      <c r="U68" s="29"/>
      <c r="V68" s="105"/>
      <c r="W68" s="20"/>
      <c r="X68" s="20"/>
    </row>
    <row r="69" spans="1:24" s="28" customFormat="1" ht="13.5" customHeight="1">
      <c r="B69" s="21"/>
      <c r="C69" s="21"/>
      <c r="D69" s="283" t="s">
        <v>840</v>
      </c>
      <c r="E69" s="282">
        <v>238419</v>
      </c>
      <c r="F69" s="20"/>
      <c r="G69" s="281" t="s">
        <v>841</v>
      </c>
      <c r="H69" s="284" t="s">
        <v>842</v>
      </c>
      <c r="I69" s="277"/>
      <c r="J69" s="278"/>
      <c r="K69" s="20"/>
      <c r="M69" s="255"/>
      <c r="N69" s="255"/>
      <c r="O69" s="255"/>
      <c r="U69" s="29"/>
      <c r="V69" s="105"/>
      <c r="W69" s="20"/>
      <c r="X69" s="20"/>
    </row>
    <row r="70" spans="1:24" s="28" customFormat="1" ht="13.5" customHeight="1">
      <c r="B70" s="21"/>
      <c r="C70" s="21"/>
      <c r="D70" s="436" t="s">
        <v>897</v>
      </c>
      <c r="E70" s="20">
        <v>273231</v>
      </c>
      <c r="F70" s="20"/>
      <c r="G70" s="281"/>
      <c r="H70" s="284"/>
      <c r="I70" s="277"/>
      <c r="J70" s="278"/>
      <c r="K70" s="20"/>
      <c r="M70" s="255"/>
      <c r="N70" s="255"/>
      <c r="O70" s="255"/>
      <c r="U70" s="29"/>
      <c r="V70" s="105"/>
      <c r="W70" s="20"/>
      <c r="X70" s="20"/>
    </row>
    <row r="71" spans="1:24" s="28" customFormat="1" ht="13.5" customHeight="1">
      <c r="B71" s="21"/>
      <c r="C71" s="21"/>
      <c r="D71" s="283" t="s">
        <v>884</v>
      </c>
      <c r="E71" s="282">
        <v>272022</v>
      </c>
      <c r="F71" s="20"/>
      <c r="G71" s="281"/>
      <c r="H71" s="284"/>
      <c r="I71" s="275"/>
      <c r="J71" s="276"/>
      <c r="K71" s="254"/>
      <c r="M71" s="255"/>
      <c r="N71" s="255"/>
      <c r="O71" s="255"/>
      <c r="U71" s="29"/>
      <c r="V71" s="105"/>
      <c r="W71" s="20"/>
      <c r="X71" s="20"/>
    </row>
    <row r="72" spans="1:24" s="28" customFormat="1" ht="13.5" customHeight="1">
      <c r="B72" s="21"/>
      <c r="C72" s="21"/>
      <c r="D72" s="281" t="s">
        <v>898</v>
      </c>
      <c r="E72" s="282">
        <v>273458</v>
      </c>
      <c r="F72" s="20"/>
      <c r="G72" s="43"/>
      <c r="H72" s="440"/>
      <c r="I72" s="441"/>
      <c r="J72" s="442"/>
      <c r="K72" s="443"/>
      <c r="M72" s="443"/>
      <c r="N72" s="443"/>
      <c r="O72" s="443"/>
      <c r="U72" s="29"/>
      <c r="V72" s="105"/>
      <c r="W72" s="20"/>
      <c r="X72" s="20"/>
    </row>
    <row r="73" spans="1:24" s="28" customFormat="1" ht="13.5" customHeight="1">
      <c r="B73" s="21"/>
      <c r="C73" s="21"/>
      <c r="D73" s="436" t="s">
        <v>899</v>
      </c>
      <c r="E73" s="20">
        <v>239950</v>
      </c>
      <c r="F73" s="20"/>
      <c r="G73" s="43"/>
      <c r="H73" s="440"/>
      <c r="I73" s="441"/>
      <c r="J73" s="442"/>
      <c r="K73" s="443"/>
      <c r="U73" s="29"/>
      <c r="V73" s="105"/>
      <c r="W73" s="20"/>
      <c r="X73" s="20"/>
    </row>
    <row r="74" spans="1:24" s="28" customFormat="1" ht="13.5" customHeight="1">
      <c r="B74" s="21"/>
      <c r="C74" s="21"/>
      <c r="D74" s="281" t="s">
        <v>898</v>
      </c>
      <c r="E74" s="282">
        <v>273458</v>
      </c>
      <c r="F74" s="20"/>
      <c r="G74" s="281"/>
      <c r="H74" s="284"/>
      <c r="I74" s="437"/>
      <c r="J74" s="444"/>
      <c r="K74" s="255"/>
      <c r="M74" s="255"/>
      <c r="N74" s="255"/>
      <c r="O74" s="255"/>
      <c r="U74" s="29"/>
      <c r="V74" s="105"/>
      <c r="W74" s="20"/>
      <c r="X74" s="20"/>
    </row>
    <row r="75" spans="1:24" s="28" customFormat="1" ht="13.5" customHeight="1">
      <c r="B75" s="21"/>
      <c r="C75" s="21"/>
      <c r="D75" s="281" t="s">
        <v>896</v>
      </c>
      <c r="E75" s="282">
        <v>273459</v>
      </c>
      <c r="F75" s="20"/>
      <c r="G75" s="281"/>
      <c r="H75" s="284"/>
      <c r="I75" s="275"/>
      <c r="J75" s="279"/>
      <c r="K75" s="254"/>
      <c r="M75" s="255"/>
      <c r="N75" s="255"/>
      <c r="O75" s="255"/>
      <c r="U75" s="29"/>
      <c r="V75" s="105"/>
      <c r="W75" s="20"/>
      <c r="X75" s="20"/>
    </row>
    <row r="76" spans="1:24" s="28" customFormat="1" ht="13.5" customHeight="1">
      <c r="B76" s="21"/>
      <c r="C76" s="21"/>
      <c r="D76" s="436" t="s">
        <v>895</v>
      </c>
      <c r="E76" s="1">
        <v>222604</v>
      </c>
      <c r="F76" s="20"/>
      <c r="G76" s="281"/>
      <c r="H76" s="284"/>
      <c r="I76" s="437"/>
      <c r="J76" s="438"/>
      <c r="K76" s="255"/>
      <c r="M76" s="255"/>
      <c r="N76" s="255"/>
      <c r="O76" s="255"/>
      <c r="U76" s="29"/>
      <c r="V76" s="105"/>
      <c r="W76" s="20"/>
      <c r="X76" s="20"/>
    </row>
    <row r="77" spans="1:24" s="43" customFormat="1" ht="14.25" thickBot="1">
      <c r="A77"/>
      <c r="B77" s="1"/>
      <c r="C77" s="1"/>
      <c r="D77"/>
      <c r="E77" s="1"/>
      <c r="F77" s="1"/>
      <c r="G77"/>
      <c r="H77"/>
      <c r="I77" s="260"/>
      <c r="J77" s="261"/>
      <c r="K77" s="1"/>
      <c r="L77"/>
      <c r="M77"/>
      <c r="N77"/>
      <c r="O77"/>
      <c r="P77"/>
      <c r="Q77"/>
      <c r="R77"/>
      <c r="S77"/>
      <c r="T77"/>
      <c r="U77" s="42"/>
      <c r="V77" s="100"/>
    </row>
    <row r="78" spans="1:24" s="43" customFormat="1" ht="18" customHeight="1" thickBot="1">
      <c r="A78"/>
      <c r="B78" s="1"/>
      <c r="C78" s="1"/>
      <c r="D78" s="604"/>
      <c r="E78" s="605"/>
      <c r="F78" s="1"/>
      <c r="G78"/>
      <c r="H78"/>
      <c r="I78" s="12"/>
      <c r="J78" s="15"/>
      <c r="K78" s="1"/>
      <c r="L78"/>
      <c r="M78"/>
      <c r="N78"/>
      <c r="O78"/>
      <c r="P78"/>
      <c r="Q78"/>
      <c r="R78"/>
      <c r="S78"/>
      <c r="T78"/>
      <c r="U78" s="42"/>
      <c r="V78" s="100"/>
    </row>
    <row r="79" spans="1:24" s="28" customFormat="1" ht="16.5" customHeight="1">
      <c r="D79" s="329" t="s">
        <v>27</v>
      </c>
      <c r="E79" s="330" t="s">
        <v>23</v>
      </c>
      <c r="F79" s="331" t="s">
        <v>28</v>
      </c>
      <c r="G79" s="332" t="s">
        <v>28</v>
      </c>
      <c r="H79" s="332" t="s">
        <v>28</v>
      </c>
      <c r="I79" s="333" t="s">
        <v>29</v>
      </c>
      <c r="J79" s="334" t="s">
        <v>30</v>
      </c>
      <c r="K79" s="335" t="s">
        <v>31</v>
      </c>
      <c r="L79" s="335" t="s">
        <v>32</v>
      </c>
      <c r="M79" s="335" t="s">
        <v>33</v>
      </c>
      <c r="U79" s="29"/>
      <c r="V79" s="100"/>
    </row>
    <row r="80" spans="1:24" s="28" customFormat="1" ht="16.5" customHeight="1">
      <c r="B80" s="20"/>
      <c r="C80" s="20"/>
      <c r="D80" s="255"/>
      <c r="E80" s="379">
        <v>135916</v>
      </c>
      <c r="F80" s="395" t="s">
        <v>516</v>
      </c>
      <c r="G80" s="460"/>
      <c r="H80" s="461"/>
      <c r="I80" s="462">
        <v>520000</v>
      </c>
      <c r="J80" s="398">
        <v>135916</v>
      </c>
      <c r="K80" s="399" t="s">
        <v>71</v>
      </c>
      <c r="L80" s="399" t="s">
        <v>34</v>
      </c>
      <c r="M80" s="399">
        <v>200</v>
      </c>
      <c r="N80" s="356">
        <v>547000</v>
      </c>
      <c r="O80" s="28" t="b">
        <v>1</v>
      </c>
    </row>
    <row r="81" spans="2:15" s="28" customFormat="1" ht="16.5" customHeight="1">
      <c r="B81" s="20"/>
      <c r="C81" s="20"/>
      <c r="D81" s="255"/>
      <c r="E81" s="379">
        <v>139029</v>
      </c>
      <c r="F81" s="395" t="s">
        <v>574</v>
      </c>
      <c r="G81" s="460"/>
      <c r="H81" s="461"/>
      <c r="I81" s="462">
        <v>508000</v>
      </c>
      <c r="J81" s="398">
        <v>139029</v>
      </c>
      <c r="K81" s="399" t="s">
        <v>71</v>
      </c>
      <c r="L81" s="399" t="s">
        <v>34</v>
      </c>
      <c r="M81" s="399">
        <v>200</v>
      </c>
      <c r="N81" s="356">
        <v>535000</v>
      </c>
      <c r="O81" s="28" t="b">
        <v>1</v>
      </c>
    </row>
    <row r="82" spans="2:15" s="28" customFormat="1" ht="16.5" customHeight="1">
      <c r="B82" s="20"/>
      <c r="C82" s="20"/>
      <c r="D82" s="255"/>
      <c r="E82" s="379">
        <v>139030</v>
      </c>
      <c r="F82" s="395" t="s">
        <v>236</v>
      </c>
      <c r="G82" s="460"/>
      <c r="H82" s="461"/>
      <c r="I82" s="462">
        <v>54300</v>
      </c>
      <c r="J82" s="398">
        <v>139030</v>
      </c>
      <c r="K82" s="399" t="s">
        <v>70</v>
      </c>
      <c r="L82" s="399" t="s">
        <v>34</v>
      </c>
      <c r="M82" s="399">
        <v>20</v>
      </c>
      <c r="N82" s="356">
        <v>54500</v>
      </c>
      <c r="O82" s="28" t="b">
        <v>1</v>
      </c>
    </row>
    <row r="83" spans="2:15" s="28" customFormat="1" ht="16.5" customHeight="1">
      <c r="B83" s="20"/>
      <c r="C83" s="20"/>
      <c r="D83" s="255"/>
      <c r="E83" s="379">
        <v>139084</v>
      </c>
      <c r="F83" s="395" t="s">
        <v>243</v>
      </c>
      <c r="G83" s="463"/>
      <c r="H83" s="464"/>
      <c r="I83" s="462">
        <v>55700</v>
      </c>
      <c r="J83" s="399">
        <v>139084</v>
      </c>
      <c r="K83" s="399" t="s">
        <v>70</v>
      </c>
      <c r="L83" s="399" t="s">
        <v>34</v>
      </c>
      <c r="M83" s="399">
        <v>20</v>
      </c>
      <c r="N83" s="356">
        <v>58600</v>
      </c>
      <c r="O83" s="28" t="b">
        <v>1</v>
      </c>
    </row>
    <row r="84" spans="2:15" s="28" customFormat="1" ht="16.5" customHeight="1">
      <c r="B84" s="20"/>
      <c r="C84" s="20"/>
      <c r="D84" s="255"/>
      <c r="E84" s="379">
        <v>139085</v>
      </c>
      <c r="F84" s="395" t="s">
        <v>593</v>
      </c>
      <c r="G84" s="463"/>
      <c r="H84" s="464"/>
      <c r="I84" s="462">
        <v>508000</v>
      </c>
      <c r="J84" s="398">
        <v>139085</v>
      </c>
      <c r="K84" s="399" t="s">
        <v>71</v>
      </c>
      <c r="L84" s="399" t="s">
        <v>34</v>
      </c>
      <c r="M84" s="399">
        <v>200</v>
      </c>
      <c r="N84" s="356">
        <v>535000</v>
      </c>
      <c r="O84" s="28" t="b">
        <v>1</v>
      </c>
    </row>
    <row r="85" spans="2:15" s="28" customFormat="1" ht="16.5" customHeight="1">
      <c r="B85" s="20"/>
      <c r="C85" s="20"/>
      <c r="D85" s="255"/>
      <c r="E85" s="379">
        <v>139086</v>
      </c>
      <c r="F85" s="395" t="s">
        <v>226</v>
      </c>
      <c r="G85" s="463"/>
      <c r="H85" s="464"/>
      <c r="I85" s="462">
        <v>54300</v>
      </c>
      <c r="J85" s="398">
        <v>139086</v>
      </c>
      <c r="K85" s="399" t="s">
        <v>70</v>
      </c>
      <c r="L85" s="399" t="s">
        <v>34</v>
      </c>
      <c r="M85" s="399">
        <v>20</v>
      </c>
      <c r="N85" s="356">
        <v>54500</v>
      </c>
      <c r="O85" s="28" t="b">
        <v>1</v>
      </c>
    </row>
    <row r="86" spans="2:15" s="28" customFormat="1" ht="16.5" customHeight="1">
      <c r="B86" s="20"/>
      <c r="C86" s="20"/>
      <c r="D86" s="255"/>
      <c r="E86" s="379">
        <v>139087</v>
      </c>
      <c r="F86" s="395" t="s">
        <v>594</v>
      </c>
      <c r="G86" s="463"/>
      <c r="H86" s="464"/>
      <c r="I86" s="462">
        <v>520000</v>
      </c>
      <c r="J86" s="398">
        <v>139087</v>
      </c>
      <c r="K86" s="399" t="s">
        <v>71</v>
      </c>
      <c r="L86" s="399" t="s">
        <v>34</v>
      </c>
      <c r="M86" s="399">
        <v>200</v>
      </c>
      <c r="N86" s="356">
        <v>547000</v>
      </c>
      <c r="O86" s="28" t="b">
        <v>1</v>
      </c>
    </row>
    <row r="87" spans="2:15" s="28" customFormat="1" ht="16.5" customHeight="1">
      <c r="B87" s="20"/>
      <c r="C87" s="20"/>
      <c r="D87" s="255"/>
      <c r="E87" s="379">
        <v>139088</v>
      </c>
      <c r="F87" s="395" t="s">
        <v>234</v>
      </c>
      <c r="G87" s="463"/>
      <c r="H87" s="464"/>
      <c r="I87" s="462">
        <v>55700</v>
      </c>
      <c r="J87" s="398">
        <v>139088</v>
      </c>
      <c r="K87" s="399" t="s">
        <v>70</v>
      </c>
      <c r="L87" s="399" t="s">
        <v>34</v>
      </c>
      <c r="M87" s="399">
        <v>20</v>
      </c>
      <c r="N87" s="356">
        <v>58600</v>
      </c>
      <c r="O87" s="28" t="b">
        <v>1</v>
      </c>
    </row>
    <row r="88" spans="2:15" s="28" customFormat="1" ht="16.5" customHeight="1">
      <c r="B88" s="20"/>
      <c r="C88" s="20"/>
      <c r="D88" s="254"/>
      <c r="E88" s="379">
        <v>120645</v>
      </c>
      <c r="F88" s="380" t="s">
        <v>53</v>
      </c>
      <c r="G88" s="381"/>
      <c r="H88" s="382"/>
      <c r="I88" s="383">
        <v>2213000</v>
      </c>
      <c r="J88" s="384">
        <v>120645</v>
      </c>
      <c r="K88" s="378" t="s">
        <v>71</v>
      </c>
      <c r="L88" s="378" t="s">
        <v>78</v>
      </c>
      <c r="M88" s="378">
        <v>200</v>
      </c>
      <c r="N88" s="356">
        <v>2213000</v>
      </c>
      <c r="O88" s="28" t="b">
        <f>I88=N88</f>
        <v>1</v>
      </c>
    </row>
    <row r="89" spans="2:15" s="28" customFormat="1" ht="16.5" customHeight="1">
      <c r="B89" s="20"/>
      <c r="C89" s="20"/>
      <c r="D89" s="254"/>
      <c r="E89" s="379">
        <v>122916</v>
      </c>
      <c r="F89" s="380" t="s">
        <v>54</v>
      </c>
      <c r="G89" s="381"/>
      <c r="H89" s="382"/>
      <c r="I89" s="383">
        <v>140000</v>
      </c>
      <c r="J89" s="384">
        <v>122916</v>
      </c>
      <c r="K89" s="378" t="s">
        <v>72</v>
      </c>
      <c r="L89" s="378" t="s">
        <v>78</v>
      </c>
      <c r="M89" s="378">
        <v>12</v>
      </c>
      <c r="N89" s="356">
        <v>140000</v>
      </c>
      <c r="O89" s="28" t="b">
        <f t="shared" ref="O89:O136" si="25">I89=N89</f>
        <v>1</v>
      </c>
    </row>
    <row r="90" spans="2:15" s="28" customFormat="1" ht="16.5" customHeight="1">
      <c r="B90" s="20"/>
      <c r="C90" s="20"/>
      <c r="D90" s="254"/>
      <c r="E90" s="379">
        <v>129171</v>
      </c>
      <c r="F90" s="380" t="s">
        <v>58</v>
      </c>
      <c r="G90" s="381"/>
      <c r="H90" s="382"/>
      <c r="I90" s="383">
        <v>59700</v>
      </c>
      <c r="J90" s="384">
        <v>129171</v>
      </c>
      <c r="K90" s="378" t="s">
        <v>70</v>
      </c>
      <c r="L90" s="378" t="s">
        <v>0</v>
      </c>
      <c r="M90" s="378">
        <v>20</v>
      </c>
      <c r="N90" s="356">
        <v>59700</v>
      </c>
      <c r="O90" s="28" t="b">
        <f t="shared" si="25"/>
        <v>1</v>
      </c>
    </row>
    <row r="91" spans="2:15" s="28" customFormat="1" ht="16.5" customHeight="1">
      <c r="B91" s="20"/>
      <c r="C91" s="20"/>
      <c r="D91" s="254"/>
      <c r="E91" s="379">
        <v>129174</v>
      </c>
      <c r="F91" s="380" t="s">
        <v>60</v>
      </c>
      <c r="G91" s="381"/>
      <c r="H91" s="382"/>
      <c r="I91" s="383">
        <v>70200</v>
      </c>
      <c r="J91" s="384">
        <v>129174</v>
      </c>
      <c r="K91" s="378" t="s">
        <v>70</v>
      </c>
      <c r="L91" s="378" t="s">
        <v>0</v>
      </c>
      <c r="M91" s="378">
        <v>20</v>
      </c>
      <c r="N91" s="356">
        <v>70200</v>
      </c>
      <c r="O91" s="28" t="b">
        <f t="shared" si="25"/>
        <v>1</v>
      </c>
    </row>
    <row r="92" spans="2:15" s="28" customFormat="1" ht="16.5" customHeight="1">
      <c r="B92" s="20"/>
      <c r="C92" s="20"/>
      <c r="D92" s="254"/>
      <c r="E92" s="379">
        <v>134989</v>
      </c>
      <c r="F92" s="380" t="s">
        <v>42</v>
      </c>
      <c r="G92" s="381"/>
      <c r="H92" s="382"/>
      <c r="I92" s="383">
        <v>90900</v>
      </c>
      <c r="J92" s="384">
        <v>134989</v>
      </c>
      <c r="K92" s="378" t="s">
        <v>70</v>
      </c>
      <c r="L92" s="378" t="s">
        <v>0</v>
      </c>
      <c r="M92" s="378">
        <v>20</v>
      </c>
      <c r="N92" s="356">
        <v>90900</v>
      </c>
      <c r="O92" s="28" t="b">
        <f t="shared" si="25"/>
        <v>1</v>
      </c>
    </row>
    <row r="93" spans="2:15" s="28" customFormat="1" ht="16.5" customHeight="1">
      <c r="B93" s="20"/>
      <c r="C93" s="20"/>
      <c r="D93" s="254"/>
      <c r="E93" s="379">
        <v>135691</v>
      </c>
      <c r="F93" s="380" t="s">
        <v>62</v>
      </c>
      <c r="G93" s="381"/>
      <c r="H93" s="382"/>
      <c r="I93" s="383">
        <v>91100</v>
      </c>
      <c r="J93" s="384">
        <v>135691</v>
      </c>
      <c r="K93" s="378" t="s">
        <v>70</v>
      </c>
      <c r="L93" s="378" t="s">
        <v>0</v>
      </c>
      <c r="M93" s="378">
        <v>20</v>
      </c>
      <c r="N93" s="356">
        <v>91100</v>
      </c>
      <c r="O93" s="28" t="b">
        <f t="shared" si="25"/>
        <v>1</v>
      </c>
    </row>
    <row r="94" spans="2:15" s="28" customFormat="1" ht="16.5" customHeight="1">
      <c r="B94" s="20"/>
      <c r="C94" s="20"/>
      <c r="D94" s="254"/>
      <c r="E94" s="379">
        <v>138838</v>
      </c>
      <c r="F94" s="380" t="s">
        <v>40</v>
      </c>
      <c r="G94" s="381"/>
      <c r="H94" s="382"/>
      <c r="I94" s="383">
        <v>615000</v>
      </c>
      <c r="J94" s="384">
        <v>138838</v>
      </c>
      <c r="K94" s="378" t="s">
        <v>71</v>
      </c>
      <c r="L94" s="378" t="s">
        <v>0</v>
      </c>
      <c r="M94" s="378">
        <v>200</v>
      </c>
      <c r="N94" s="356">
        <v>615000</v>
      </c>
      <c r="O94" s="28" t="b">
        <f t="shared" si="25"/>
        <v>1</v>
      </c>
    </row>
    <row r="95" spans="2:15" s="28" customFormat="1" ht="16.5" customHeight="1">
      <c r="B95" s="20"/>
      <c r="C95" s="20"/>
      <c r="D95" s="254"/>
      <c r="E95" s="379">
        <v>138840</v>
      </c>
      <c r="F95" s="380" t="s">
        <v>87</v>
      </c>
      <c r="G95" s="381"/>
      <c r="H95" s="382"/>
      <c r="I95" s="383">
        <v>65600</v>
      </c>
      <c r="J95" s="384">
        <v>138840</v>
      </c>
      <c r="K95" s="378" t="s">
        <v>70</v>
      </c>
      <c r="L95" s="378" t="s">
        <v>0</v>
      </c>
      <c r="M95" s="378">
        <v>20</v>
      </c>
      <c r="N95" s="356">
        <v>65600</v>
      </c>
      <c r="O95" s="28" t="b">
        <f t="shared" si="25"/>
        <v>1</v>
      </c>
    </row>
    <row r="96" spans="2:15" s="28" customFormat="1" ht="16.5" customHeight="1">
      <c r="B96" s="20"/>
      <c r="C96" s="20"/>
      <c r="D96" s="254"/>
      <c r="E96" s="379">
        <v>138851</v>
      </c>
      <c r="F96" s="380" t="s">
        <v>48</v>
      </c>
      <c r="G96" s="381"/>
      <c r="H96" s="382"/>
      <c r="I96" s="383">
        <v>1193000</v>
      </c>
      <c r="J96" s="384">
        <v>138851</v>
      </c>
      <c r="K96" s="378" t="s">
        <v>71</v>
      </c>
      <c r="L96" s="378" t="s">
        <v>0</v>
      </c>
      <c r="M96" s="378">
        <v>208</v>
      </c>
      <c r="N96" s="356">
        <v>1193000</v>
      </c>
      <c r="O96" s="28" t="b">
        <f t="shared" si="25"/>
        <v>1</v>
      </c>
    </row>
    <row r="97" spans="2:15" s="28" customFormat="1" ht="16.5" customHeight="1">
      <c r="B97" s="20"/>
      <c r="C97" s="20"/>
      <c r="D97" s="254"/>
      <c r="E97" s="379">
        <v>138889</v>
      </c>
      <c r="F97" s="380" t="s">
        <v>55</v>
      </c>
      <c r="G97" s="381"/>
      <c r="H97" s="382"/>
      <c r="I97" s="383">
        <v>520000</v>
      </c>
      <c r="J97" s="384">
        <v>138889</v>
      </c>
      <c r="K97" s="378" t="s">
        <v>71</v>
      </c>
      <c r="L97" s="378" t="s">
        <v>0</v>
      </c>
      <c r="M97" s="378">
        <v>200</v>
      </c>
      <c r="N97" s="356">
        <v>520000</v>
      </c>
      <c r="O97" s="28" t="b">
        <f t="shared" si="25"/>
        <v>1</v>
      </c>
    </row>
    <row r="98" spans="2:15" s="28" customFormat="1" ht="16.5" customHeight="1">
      <c r="B98" s="20"/>
      <c r="C98" s="20"/>
      <c r="D98" s="254"/>
      <c r="E98" s="379">
        <v>138890</v>
      </c>
      <c r="F98" s="380" t="s">
        <v>56</v>
      </c>
      <c r="G98" s="381"/>
      <c r="H98" s="382"/>
      <c r="I98" s="383">
        <v>54000</v>
      </c>
      <c r="J98" s="384">
        <v>138890</v>
      </c>
      <c r="K98" s="378" t="s">
        <v>70</v>
      </c>
      <c r="L98" s="378" t="s">
        <v>0</v>
      </c>
      <c r="M98" s="378">
        <v>20</v>
      </c>
      <c r="N98" s="356">
        <v>54000</v>
      </c>
      <c r="O98" s="28" t="b">
        <f t="shared" si="25"/>
        <v>1</v>
      </c>
    </row>
    <row r="99" spans="2:15" s="28" customFormat="1" ht="16.5" customHeight="1">
      <c r="B99" s="20"/>
      <c r="C99" s="20"/>
      <c r="D99" s="254"/>
      <c r="E99" s="379">
        <v>138893</v>
      </c>
      <c r="F99" s="380" t="s">
        <v>57</v>
      </c>
      <c r="G99" s="381"/>
      <c r="H99" s="382"/>
      <c r="I99" s="383">
        <v>552000</v>
      </c>
      <c r="J99" s="384">
        <v>138893</v>
      </c>
      <c r="K99" s="378" t="s">
        <v>71</v>
      </c>
      <c r="L99" s="378" t="s">
        <v>0</v>
      </c>
      <c r="M99" s="378">
        <v>200</v>
      </c>
      <c r="N99" s="356">
        <v>552000</v>
      </c>
      <c r="O99" s="28" t="b">
        <f t="shared" si="25"/>
        <v>1</v>
      </c>
    </row>
    <row r="100" spans="2:15" s="28" customFormat="1" ht="16.5" customHeight="1">
      <c r="B100" s="20"/>
      <c r="C100" s="20"/>
      <c r="D100" s="254"/>
      <c r="E100" s="379">
        <v>138895</v>
      </c>
      <c r="F100" s="380" t="s">
        <v>59</v>
      </c>
      <c r="G100" s="381"/>
      <c r="H100" s="382"/>
      <c r="I100" s="383">
        <v>662000</v>
      </c>
      <c r="J100" s="384">
        <v>138895</v>
      </c>
      <c r="K100" s="378" t="s">
        <v>71</v>
      </c>
      <c r="L100" s="378" t="s">
        <v>0</v>
      </c>
      <c r="M100" s="378">
        <v>200</v>
      </c>
      <c r="N100" s="356">
        <v>662000</v>
      </c>
      <c r="O100" s="28" t="b">
        <f t="shared" si="25"/>
        <v>1</v>
      </c>
    </row>
    <row r="101" spans="2:15" s="28" customFormat="1" ht="16.5" customHeight="1">
      <c r="B101" s="20"/>
      <c r="C101" s="20"/>
      <c r="D101" s="254"/>
      <c r="E101" s="379">
        <v>138897</v>
      </c>
      <c r="F101" s="380" t="s">
        <v>61</v>
      </c>
      <c r="G101" s="381"/>
      <c r="H101" s="382"/>
      <c r="I101" s="383">
        <v>885000</v>
      </c>
      <c r="J101" s="384">
        <v>138897</v>
      </c>
      <c r="K101" s="378" t="s">
        <v>71</v>
      </c>
      <c r="L101" s="378" t="s">
        <v>0</v>
      </c>
      <c r="M101" s="378">
        <v>200</v>
      </c>
      <c r="N101" s="356">
        <v>885000</v>
      </c>
      <c r="O101" s="28" t="b">
        <f t="shared" si="25"/>
        <v>1</v>
      </c>
    </row>
    <row r="102" spans="2:15" s="28" customFormat="1" ht="16.5" customHeight="1">
      <c r="B102" s="20"/>
      <c r="C102" s="20"/>
      <c r="D102" s="254"/>
      <c r="E102" s="379">
        <v>138898</v>
      </c>
      <c r="F102" s="380" t="s">
        <v>63</v>
      </c>
      <c r="G102" s="381"/>
      <c r="H102" s="382"/>
      <c r="I102" s="383">
        <v>755000</v>
      </c>
      <c r="J102" s="384">
        <v>138898</v>
      </c>
      <c r="K102" s="378" t="s">
        <v>71</v>
      </c>
      <c r="L102" s="378" t="s">
        <v>0</v>
      </c>
      <c r="M102" s="378">
        <v>200</v>
      </c>
      <c r="N102" s="356">
        <v>755000</v>
      </c>
      <c r="O102" s="28" t="b">
        <f t="shared" si="25"/>
        <v>1</v>
      </c>
    </row>
    <row r="103" spans="2:15" s="28" customFormat="1" ht="16.5" customHeight="1">
      <c r="B103" s="20"/>
      <c r="C103" s="20"/>
      <c r="D103" s="254"/>
      <c r="E103" s="379">
        <v>138899</v>
      </c>
      <c r="F103" s="380" t="s">
        <v>64</v>
      </c>
      <c r="G103" s="381"/>
      <c r="H103" s="382"/>
      <c r="I103" s="383">
        <v>78100</v>
      </c>
      <c r="J103" s="384">
        <v>138899</v>
      </c>
      <c r="K103" s="378" t="s">
        <v>70</v>
      </c>
      <c r="L103" s="378" t="s">
        <v>0</v>
      </c>
      <c r="M103" s="378">
        <v>20</v>
      </c>
      <c r="N103" s="356">
        <v>78100</v>
      </c>
      <c r="O103" s="28" t="b">
        <f t="shared" si="25"/>
        <v>1</v>
      </c>
    </row>
    <row r="104" spans="2:15" s="28" customFormat="1" ht="16.5" customHeight="1">
      <c r="B104" s="20"/>
      <c r="C104" s="20"/>
      <c r="D104" s="254"/>
      <c r="E104" s="379">
        <v>139641</v>
      </c>
      <c r="F104" s="380" t="s">
        <v>90</v>
      </c>
      <c r="G104" s="381"/>
      <c r="H104" s="382"/>
      <c r="I104" s="383">
        <v>43600</v>
      </c>
      <c r="J104" s="384">
        <v>139641</v>
      </c>
      <c r="K104" s="378" t="s">
        <v>73</v>
      </c>
      <c r="L104" s="378" t="s">
        <v>0</v>
      </c>
      <c r="M104" s="378">
        <v>12</v>
      </c>
      <c r="N104" s="356">
        <v>43600</v>
      </c>
      <c r="O104" s="28" t="b">
        <f t="shared" si="25"/>
        <v>1</v>
      </c>
    </row>
    <row r="105" spans="2:15" s="28" customFormat="1" ht="16.5" customHeight="1">
      <c r="B105" s="20"/>
      <c r="C105" s="20"/>
      <c r="D105" s="254"/>
      <c r="E105" s="379">
        <v>139881</v>
      </c>
      <c r="F105" s="385" t="s">
        <v>101</v>
      </c>
      <c r="G105" s="386"/>
      <c r="H105" s="387"/>
      <c r="I105" s="383">
        <v>771000</v>
      </c>
      <c r="J105" s="384">
        <v>139881</v>
      </c>
      <c r="K105" s="378" t="s">
        <v>71</v>
      </c>
      <c r="L105" s="378" t="s">
        <v>78</v>
      </c>
      <c r="M105" s="378">
        <v>200</v>
      </c>
      <c r="N105" s="356">
        <v>771000</v>
      </c>
      <c r="O105" s="28" t="b">
        <f t="shared" si="25"/>
        <v>1</v>
      </c>
    </row>
    <row r="106" spans="2:15" s="28" customFormat="1" ht="16.5" customHeight="1">
      <c r="B106" s="20"/>
      <c r="C106" s="20"/>
      <c r="D106" s="254"/>
      <c r="E106" s="379">
        <v>140382</v>
      </c>
      <c r="F106" s="380" t="s">
        <v>83</v>
      </c>
      <c r="G106" s="381"/>
      <c r="H106" s="382"/>
      <c r="I106" s="383">
        <v>2212000</v>
      </c>
      <c r="J106" s="384">
        <v>140382</v>
      </c>
      <c r="K106" s="378" t="s">
        <v>71</v>
      </c>
      <c r="L106" s="378" t="s">
        <v>0</v>
      </c>
      <c r="M106" s="378">
        <v>208</v>
      </c>
      <c r="N106" s="356">
        <v>2212000</v>
      </c>
      <c r="O106" s="28" t="b">
        <f t="shared" si="25"/>
        <v>1</v>
      </c>
    </row>
    <row r="107" spans="2:15" s="28" customFormat="1" ht="16.5" customHeight="1">
      <c r="B107" s="20"/>
      <c r="C107" s="20"/>
      <c r="D107" s="254"/>
      <c r="E107" s="379">
        <v>140563</v>
      </c>
      <c r="F107" s="388" t="s">
        <v>124</v>
      </c>
      <c r="G107" s="389"/>
      <c r="H107" s="390"/>
      <c r="I107" s="383">
        <v>216000</v>
      </c>
      <c r="J107" s="391">
        <v>140563</v>
      </c>
      <c r="K107" s="392" t="s">
        <v>70</v>
      </c>
      <c r="L107" s="392" t="s">
        <v>0</v>
      </c>
      <c r="M107" s="392">
        <v>16</v>
      </c>
      <c r="N107" s="356">
        <v>216000</v>
      </c>
      <c r="O107" s="28" t="b">
        <f t="shared" si="25"/>
        <v>1</v>
      </c>
    </row>
    <row r="108" spans="2:15" s="28" customFormat="1" ht="16.5" customHeight="1">
      <c r="B108" s="20"/>
      <c r="C108" s="20"/>
      <c r="D108" s="254"/>
      <c r="E108" s="379">
        <v>143003</v>
      </c>
      <c r="F108" s="380" t="s">
        <v>132</v>
      </c>
      <c r="G108" s="381"/>
      <c r="H108" s="382"/>
      <c r="I108" s="383">
        <v>150000</v>
      </c>
      <c r="J108" s="384">
        <v>143003</v>
      </c>
      <c r="K108" s="378" t="s">
        <v>70</v>
      </c>
      <c r="L108" s="378" t="s">
        <v>0</v>
      </c>
      <c r="M108" s="378">
        <v>20</v>
      </c>
      <c r="N108" s="356">
        <v>150000</v>
      </c>
      <c r="O108" s="28" t="b">
        <f t="shared" si="25"/>
        <v>1</v>
      </c>
    </row>
    <row r="109" spans="2:15" s="28" customFormat="1" ht="16.5" customHeight="1">
      <c r="B109" s="20"/>
      <c r="C109" s="20"/>
      <c r="D109" s="254"/>
      <c r="E109" s="379">
        <v>143240</v>
      </c>
      <c r="F109" s="380" t="s">
        <v>746</v>
      </c>
      <c r="G109" s="381"/>
      <c r="H109" s="382"/>
      <c r="I109" s="383">
        <v>107800</v>
      </c>
      <c r="J109" s="384">
        <v>143240</v>
      </c>
      <c r="K109" s="378" t="s">
        <v>73</v>
      </c>
      <c r="L109" s="378" t="s">
        <v>0</v>
      </c>
      <c r="M109" s="378">
        <v>16</v>
      </c>
      <c r="N109" s="356">
        <v>107800</v>
      </c>
      <c r="O109" s="28" t="b">
        <f t="shared" si="25"/>
        <v>1</v>
      </c>
    </row>
    <row r="110" spans="2:15" s="28" customFormat="1" ht="16.5" customHeight="1">
      <c r="B110" s="20"/>
      <c r="C110" s="20"/>
      <c r="D110" s="254"/>
      <c r="E110" s="379">
        <v>138583</v>
      </c>
      <c r="F110" s="380" t="s">
        <v>740</v>
      </c>
      <c r="G110" s="381"/>
      <c r="H110" s="382"/>
      <c r="I110" s="383">
        <v>44600</v>
      </c>
      <c r="J110" s="378">
        <v>138583</v>
      </c>
      <c r="K110" s="378" t="s">
        <v>73</v>
      </c>
      <c r="L110" s="378" t="s">
        <v>741</v>
      </c>
      <c r="M110" s="378">
        <v>12</v>
      </c>
      <c r="N110" s="356" t="e">
        <v>#N/A</v>
      </c>
      <c r="O110" s="28" t="e">
        <f t="shared" si="25"/>
        <v>#N/A</v>
      </c>
    </row>
    <row r="111" spans="2:15" s="28" customFormat="1" ht="16.5" customHeight="1">
      <c r="B111" s="20"/>
      <c r="C111" s="20"/>
      <c r="D111" s="254"/>
      <c r="E111" s="379">
        <v>123205</v>
      </c>
      <c r="F111" s="380" t="s">
        <v>49</v>
      </c>
      <c r="G111" s="381"/>
      <c r="H111" s="382"/>
      <c r="I111" s="383">
        <v>60300</v>
      </c>
      <c r="J111" s="384">
        <v>123205</v>
      </c>
      <c r="K111" s="393" t="s">
        <v>73</v>
      </c>
      <c r="L111" s="378" t="s">
        <v>35</v>
      </c>
      <c r="M111" s="378">
        <v>6</v>
      </c>
      <c r="N111" s="356">
        <v>60300</v>
      </c>
      <c r="O111" s="28" t="b">
        <f t="shared" si="25"/>
        <v>1</v>
      </c>
    </row>
    <row r="112" spans="2:15" s="28" customFormat="1" ht="16.5" customHeight="1">
      <c r="B112" s="20"/>
      <c r="C112" s="20"/>
      <c r="D112" s="254"/>
      <c r="E112" s="379">
        <v>124476</v>
      </c>
      <c r="F112" s="380" t="s">
        <v>52</v>
      </c>
      <c r="G112" s="381"/>
      <c r="H112" s="382"/>
      <c r="I112" s="383">
        <v>63200</v>
      </c>
      <c r="J112" s="384">
        <v>124476</v>
      </c>
      <c r="K112" s="378" t="s">
        <v>70</v>
      </c>
      <c r="L112" s="378" t="s">
        <v>79</v>
      </c>
      <c r="M112" s="378">
        <v>20</v>
      </c>
      <c r="N112" s="356">
        <v>63200</v>
      </c>
      <c r="O112" s="28" t="b">
        <f t="shared" si="25"/>
        <v>1</v>
      </c>
    </row>
    <row r="113" spans="2:15" s="28" customFormat="1" ht="16.5" customHeight="1">
      <c r="B113" s="20"/>
      <c r="C113" s="20"/>
      <c r="D113" s="254"/>
      <c r="E113" s="379">
        <v>135080</v>
      </c>
      <c r="F113" s="380" t="s">
        <v>44</v>
      </c>
      <c r="G113" s="381"/>
      <c r="H113" s="382"/>
      <c r="I113" s="383">
        <v>110000</v>
      </c>
      <c r="J113" s="378">
        <v>135080</v>
      </c>
      <c r="K113" s="393" t="s">
        <v>73</v>
      </c>
      <c r="L113" s="378" t="s">
        <v>35</v>
      </c>
      <c r="M113" s="378">
        <v>12</v>
      </c>
      <c r="N113" s="356">
        <v>110000</v>
      </c>
      <c r="O113" s="28" t="b">
        <f t="shared" si="25"/>
        <v>1</v>
      </c>
    </row>
    <row r="114" spans="2:15" s="28" customFormat="1" ht="16.5" customHeight="1">
      <c r="B114" s="20"/>
      <c r="C114" s="20"/>
      <c r="D114" s="254"/>
      <c r="E114" s="379">
        <v>138806</v>
      </c>
      <c r="F114" s="380" t="s">
        <v>50</v>
      </c>
      <c r="G114" s="381"/>
      <c r="H114" s="382"/>
      <c r="I114" s="383">
        <v>148600</v>
      </c>
      <c r="J114" s="384">
        <v>138806</v>
      </c>
      <c r="K114" s="378" t="s">
        <v>72</v>
      </c>
      <c r="L114" s="378" t="s">
        <v>35</v>
      </c>
      <c r="M114" s="378">
        <v>9.94</v>
      </c>
      <c r="N114" s="356">
        <v>148600</v>
      </c>
      <c r="O114" s="28" t="b">
        <f t="shared" si="25"/>
        <v>1</v>
      </c>
    </row>
    <row r="115" spans="2:15" s="28" customFormat="1" ht="16.5" customHeight="1">
      <c r="B115" s="20"/>
      <c r="C115" s="20"/>
      <c r="D115" s="254"/>
      <c r="E115" s="379">
        <v>138827</v>
      </c>
      <c r="F115" s="380" t="s">
        <v>51</v>
      </c>
      <c r="G115" s="381"/>
      <c r="H115" s="382"/>
      <c r="I115" s="383">
        <v>595000</v>
      </c>
      <c r="J115" s="384">
        <v>138827</v>
      </c>
      <c r="K115" s="378" t="s">
        <v>71</v>
      </c>
      <c r="L115" s="378" t="s">
        <v>35</v>
      </c>
      <c r="M115" s="378">
        <v>200</v>
      </c>
      <c r="N115" s="356">
        <v>595000</v>
      </c>
      <c r="O115" s="28" t="b">
        <f t="shared" si="25"/>
        <v>1</v>
      </c>
    </row>
    <row r="116" spans="2:15" s="28" customFormat="1" ht="16.5" customHeight="1">
      <c r="B116" s="20"/>
      <c r="C116" s="20"/>
      <c r="D116" s="254"/>
      <c r="E116" s="379">
        <v>138888</v>
      </c>
      <c r="F116" s="380" t="s">
        <v>102</v>
      </c>
      <c r="G116" s="381"/>
      <c r="H116" s="382"/>
      <c r="I116" s="383">
        <v>233000</v>
      </c>
      <c r="J116" s="384">
        <v>138888</v>
      </c>
      <c r="K116" s="378" t="s">
        <v>70</v>
      </c>
      <c r="L116" s="378" t="s">
        <v>79</v>
      </c>
      <c r="M116" s="378">
        <v>20</v>
      </c>
      <c r="N116" s="356">
        <v>233000</v>
      </c>
      <c r="O116" s="28" t="b">
        <f t="shared" si="25"/>
        <v>1</v>
      </c>
    </row>
    <row r="117" spans="2:15" s="28" customFormat="1" ht="16.5" customHeight="1">
      <c r="B117" s="20"/>
      <c r="C117" s="20"/>
      <c r="D117" s="254"/>
      <c r="E117" s="379">
        <v>138892</v>
      </c>
      <c r="F117" s="380" t="s">
        <v>85</v>
      </c>
      <c r="G117" s="381"/>
      <c r="H117" s="382"/>
      <c r="I117" s="383">
        <v>46500</v>
      </c>
      <c r="J117" s="384">
        <v>138892</v>
      </c>
      <c r="K117" s="378" t="s">
        <v>72</v>
      </c>
      <c r="L117" s="378" t="s">
        <v>35</v>
      </c>
      <c r="M117" s="378">
        <v>16</v>
      </c>
      <c r="N117" s="356">
        <v>46500</v>
      </c>
      <c r="O117" s="28" t="b">
        <f t="shared" si="25"/>
        <v>1</v>
      </c>
    </row>
    <row r="118" spans="2:15" s="28" customFormat="1" ht="16.5" customHeight="1">
      <c r="B118" s="20"/>
      <c r="C118" s="20"/>
      <c r="D118" s="254"/>
      <c r="E118" s="379">
        <v>142227</v>
      </c>
      <c r="F118" s="380" t="s">
        <v>117</v>
      </c>
      <c r="G118" s="381"/>
      <c r="H118" s="382"/>
      <c r="I118" s="383">
        <v>853000</v>
      </c>
      <c r="J118" s="384">
        <v>142227</v>
      </c>
      <c r="K118" s="378" t="s">
        <v>103</v>
      </c>
      <c r="L118" s="378" t="s">
        <v>35</v>
      </c>
      <c r="M118" s="378">
        <v>200</v>
      </c>
      <c r="N118" s="356" t="e">
        <v>#N/A</v>
      </c>
      <c r="O118" s="28" t="e">
        <f t="shared" si="25"/>
        <v>#N/A</v>
      </c>
    </row>
    <row r="119" spans="2:15" s="28" customFormat="1" ht="16.5" customHeight="1">
      <c r="B119" s="20"/>
      <c r="C119" s="20"/>
      <c r="D119" s="254"/>
      <c r="E119" s="379">
        <v>140169</v>
      </c>
      <c r="F119" s="380" t="s">
        <v>84</v>
      </c>
      <c r="G119" s="381"/>
      <c r="H119" s="382"/>
      <c r="I119" s="383">
        <v>62400</v>
      </c>
      <c r="J119" s="384">
        <v>140169</v>
      </c>
      <c r="K119" s="393" t="s">
        <v>73</v>
      </c>
      <c r="L119" s="378" t="s">
        <v>35</v>
      </c>
      <c r="M119" s="378">
        <v>12</v>
      </c>
      <c r="N119" s="356" t="e">
        <v>#N/A</v>
      </c>
      <c r="O119" s="28" t="e">
        <f t="shared" si="25"/>
        <v>#N/A</v>
      </c>
    </row>
    <row r="120" spans="2:15" s="28" customFormat="1" ht="16.5" customHeight="1">
      <c r="B120" s="20"/>
      <c r="C120" s="20"/>
      <c r="D120" s="254"/>
      <c r="E120" s="379">
        <v>140657</v>
      </c>
      <c r="F120" s="380" t="s">
        <v>43</v>
      </c>
      <c r="G120" s="381"/>
      <c r="H120" s="382"/>
      <c r="I120" s="383">
        <v>118000</v>
      </c>
      <c r="J120" s="384">
        <v>140657</v>
      </c>
      <c r="K120" s="378" t="s">
        <v>73</v>
      </c>
      <c r="L120" s="378" t="s">
        <v>79</v>
      </c>
      <c r="M120" s="378">
        <v>12</v>
      </c>
      <c r="N120" s="356">
        <v>118000</v>
      </c>
      <c r="O120" s="28" t="b">
        <f t="shared" si="25"/>
        <v>1</v>
      </c>
    </row>
    <row r="121" spans="2:15" s="28" customFormat="1" ht="16.5" customHeight="1">
      <c r="B121" s="20"/>
      <c r="C121" s="20"/>
      <c r="D121" s="254"/>
      <c r="E121" s="379">
        <v>140660</v>
      </c>
      <c r="F121" s="380" t="s">
        <v>100</v>
      </c>
      <c r="G121" s="381"/>
      <c r="H121" s="382"/>
      <c r="I121" s="383">
        <v>118000</v>
      </c>
      <c r="J121" s="384">
        <v>140660</v>
      </c>
      <c r="K121" s="378" t="s">
        <v>73</v>
      </c>
      <c r="L121" s="378" t="s">
        <v>79</v>
      </c>
      <c r="M121" s="378">
        <v>12</v>
      </c>
      <c r="N121" s="356">
        <v>118000</v>
      </c>
      <c r="O121" s="28" t="b">
        <f t="shared" si="25"/>
        <v>1</v>
      </c>
    </row>
    <row r="122" spans="2:15" s="28" customFormat="1" ht="16.5" customHeight="1">
      <c r="B122" s="20"/>
      <c r="C122" s="20"/>
      <c r="D122" s="254"/>
      <c r="E122" s="379">
        <v>140661</v>
      </c>
      <c r="F122" s="380" t="s">
        <v>106</v>
      </c>
      <c r="G122" s="381"/>
      <c r="H122" s="382"/>
      <c r="I122" s="383">
        <v>1789000</v>
      </c>
      <c r="J122" s="378">
        <v>140661</v>
      </c>
      <c r="K122" s="378" t="s">
        <v>103</v>
      </c>
      <c r="L122" s="378" t="s">
        <v>79</v>
      </c>
      <c r="M122" s="378">
        <v>200</v>
      </c>
      <c r="N122" s="356">
        <v>1789000</v>
      </c>
      <c r="O122" s="28" t="b">
        <f t="shared" si="25"/>
        <v>1</v>
      </c>
    </row>
    <row r="123" spans="2:15" s="28" customFormat="1" ht="16.5" customHeight="1">
      <c r="B123" s="20"/>
      <c r="C123" s="20"/>
      <c r="D123" s="254"/>
      <c r="E123" s="379">
        <v>141593</v>
      </c>
      <c r="F123" s="380" t="s">
        <v>104</v>
      </c>
      <c r="G123" s="381"/>
      <c r="H123" s="382"/>
      <c r="I123" s="383">
        <v>479000</v>
      </c>
      <c r="J123" s="384">
        <v>141593</v>
      </c>
      <c r="K123" s="378" t="s">
        <v>71</v>
      </c>
      <c r="L123" s="378" t="s">
        <v>35</v>
      </c>
      <c r="M123" s="378">
        <v>200</v>
      </c>
      <c r="N123" s="356">
        <v>479000</v>
      </c>
      <c r="O123" s="28" t="b">
        <f t="shared" si="25"/>
        <v>1</v>
      </c>
    </row>
    <row r="124" spans="2:15" s="28" customFormat="1" ht="16.5" customHeight="1">
      <c r="B124" s="20"/>
      <c r="C124" s="20"/>
      <c r="D124" s="254"/>
      <c r="E124" s="379">
        <v>120082</v>
      </c>
      <c r="F124" s="380" t="s">
        <v>97</v>
      </c>
      <c r="G124" s="381"/>
      <c r="H124" s="382"/>
      <c r="I124" s="383">
        <v>605000</v>
      </c>
      <c r="J124" s="384">
        <v>120082</v>
      </c>
      <c r="K124" s="378" t="s">
        <v>70</v>
      </c>
      <c r="L124" s="378" t="s">
        <v>69</v>
      </c>
      <c r="M124" s="378">
        <v>16</v>
      </c>
      <c r="N124" s="356">
        <v>605000</v>
      </c>
      <c r="O124" s="28" t="b">
        <f t="shared" si="25"/>
        <v>1</v>
      </c>
    </row>
    <row r="125" spans="2:15" s="28" customFormat="1" ht="16.5" customHeight="1">
      <c r="B125" s="20"/>
      <c r="C125" s="20"/>
      <c r="D125" s="254"/>
      <c r="E125" s="379">
        <v>120084</v>
      </c>
      <c r="F125" s="380" t="s">
        <v>760</v>
      </c>
      <c r="G125" s="381"/>
      <c r="H125" s="382"/>
      <c r="I125" s="383">
        <v>458000</v>
      </c>
      <c r="J125" s="394">
        <v>120084</v>
      </c>
      <c r="K125" s="393" t="s">
        <v>761</v>
      </c>
      <c r="L125" s="378" t="s">
        <v>69</v>
      </c>
      <c r="M125" s="378">
        <v>22.8</v>
      </c>
      <c r="N125" s="356">
        <v>458000</v>
      </c>
      <c r="O125" s="28" t="b">
        <f t="shared" si="25"/>
        <v>1</v>
      </c>
    </row>
    <row r="126" spans="2:15" s="28" customFormat="1" ht="16.5" customHeight="1">
      <c r="B126" s="20"/>
      <c r="C126" s="20"/>
      <c r="D126" s="254"/>
      <c r="E126" s="379">
        <v>120088</v>
      </c>
      <c r="F126" s="380" t="s">
        <v>118</v>
      </c>
      <c r="G126" s="381"/>
      <c r="H126" s="382"/>
      <c r="I126" s="383">
        <v>4264030</v>
      </c>
      <c r="J126" s="384">
        <v>120088</v>
      </c>
      <c r="K126" s="378" t="s">
        <v>71</v>
      </c>
      <c r="L126" s="378" t="s">
        <v>69</v>
      </c>
      <c r="M126" s="378">
        <v>208</v>
      </c>
      <c r="N126" s="356" t="e">
        <v>#N/A</v>
      </c>
      <c r="O126" s="28" t="e">
        <f t="shared" si="25"/>
        <v>#N/A</v>
      </c>
    </row>
    <row r="127" spans="2:15" s="28" customFormat="1" ht="16.5" customHeight="1">
      <c r="B127" s="20"/>
      <c r="C127" s="20"/>
      <c r="D127" s="254"/>
      <c r="E127" s="379">
        <v>120089</v>
      </c>
      <c r="F127" s="380" t="s">
        <v>762</v>
      </c>
      <c r="G127" s="381"/>
      <c r="H127" s="382"/>
      <c r="I127" s="383">
        <v>380000</v>
      </c>
      <c r="J127" s="384">
        <v>120089</v>
      </c>
      <c r="K127" s="378" t="s">
        <v>761</v>
      </c>
      <c r="L127" s="378" t="s">
        <v>69</v>
      </c>
      <c r="M127" s="378">
        <v>22.8</v>
      </c>
      <c r="N127" s="356">
        <v>380000</v>
      </c>
      <c r="O127" s="28" t="b">
        <f t="shared" si="25"/>
        <v>1</v>
      </c>
    </row>
    <row r="128" spans="2:15" s="28" customFormat="1" ht="16.5" customHeight="1">
      <c r="B128" s="20"/>
      <c r="C128" s="20"/>
      <c r="D128" s="254"/>
      <c r="E128" s="379">
        <v>134601</v>
      </c>
      <c r="F128" s="380" t="s">
        <v>763</v>
      </c>
      <c r="G128" s="381"/>
      <c r="H128" s="382"/>
      <c r="I128" s="383">
        <v>3724000</v>
      </c>
      <c r="J128" s="384">
        <v>134601</v>
      </c>
      <c r="K128" s="378" t="s">
        <v>71</v>
      </c>
      <c r="L128" s="378" t="s">
        <v>69</v>
      </c>
      <c r="M128" s="378">
        <v>200</v>
      </c>
      <c r="N128" s="356">
        <v>3724000</v>
      </c>
      <c r="O128" s="28" t="b">
        <f t="shared" si="25"/>
        <v>1</v>
      </c>
    </row>
    <row r="129" spans="2:15" s="28" customFormat="1" ht="16.5" customHeight="1">
      <c r="B129" s="20"/>
      <c r="C129" s="20"/>
      <c r="D129" s="254"/>
      <c r="E129" s="379">
        <v>134756</v>
      </c>
      <c r="F129" s="380" t="s">
        <v>107</v>
      </c>
      <c r="G129" s="381"/>
      <c r="H129" s="382"/>
      <c r="I129" s="383">
        <v>662000</v>
      </c>
      <c r="J129" s="378">
        <v>134756</v>
      </c>
      <c r="K129" s="378" t="s">
        <v>70</v>
      </c>
      <c r="L129" s="378" t="s">
        <v>69</v>
      </c>
      <c r="M129" s="378">
        <v>16</v>
      </c>
      <c r="N129" s="356">
        <v>662000</v>
      </c>
      <c r="O129" s="28" t="b">
        <f t="shared" si="25"/>
        <v>1</v>
      </c>
    </row>
    <row r="130" spans="2:15" s="28" customFormat="1" ht="16.5" customHeight="1">
      <c r="B130" s="20"/>
      <c r="C130" s="20"/>
      <c r="D130" s="254"/>
      <c r="E130" s="379">
        <v>135390</v>
      </c>
      <c r="F130" s="380" t="s">
        <v>764</v>
      </c>
      <c r="G130" s="381"/>
      <c r="H130" s="382"/>
      <c r="I130" s="383">
        <v>524000</v>
      </c>
      <c r="J130" s="378">
        <v>135390</v>
      </c>
      <c r="K130" s="378" t="s">
        <v>70</v>
      </c>
      <c r="L130" s="378" t="s">
        <v>69</v>
      </c>
      <c r="M130" s="378">
        <v>20</v>
      </c>
      <c r="N130" s="356">
        <v>524000</v>
      </c>
      <c r="O130" s="28" t="b">
        <f t="shared" si="25"/>
        <v>1</v>
      </c>
    </row>
    <row r="131" spans="2:15" s="28" customFormat="1" ht="16.5" customHeight="1">
      <c r="B131" s="20"/>
      <c r="C131" s="20"/>
      <c r="D131" s="254"/>
      <c r="E131" s="379">
        <v>120969</v>
      </c>
      <c r="F131" s="395" t="s">
        <v>254</v>
      </c>
      <c r="G131" s="396"/>
      <c r="H131" s="397"/>
      <c r="I131" s="383">
        <v>235000</v>
      </c>
      <c r="J131" s="398">
        <v>120969</v>
      </c>
      <c r="K131" s="399" t="s">
        <v>70</v>
      </c>
      <c r="L131" s="399" t="s">
        <v>34</v>
      </c>
      <c r="M131" s="399">
        <v>18.899999999999999</v>
      </c>
      <c r="N131" s="356">
        <v>222000</v>
      </c>
      <c r="O131" s="28" t="b">
        <f t="shared" si="25"/>
        <v>0</v>
      </c>
    </row>
    <row r="132" spans="2:15" s="28" customFormat="1" ht="16.5" customHeight="1">
      <c r="B132" s="20"/>
      <c r="C132" s="20"/>
      <c r="D132" s="254"/>
      <c r="E132" s="379">
        <v>121540</v>
      </c>
      <c r="F132" s="395" t="s">
        <v>419</v>
      </c>
      <c r="G132" s="396"/>
      <c r="H132" s="397"/>
      <c r="I132" s="383">
        <v>1684000</v>
      </c>
      <c r="J132" s="398">
        <v>121540</v>
      </c>
      <c r="K132" s="399" t="s">
        <v>71</v>
      </c>
      <c r="L132" s="399" t="s">
        <v>34</v>
      </c>
      <c r="M132" s="399">
        <v>208</v>
      </c>
      <c r="N132" s="356">
        <v>1684000</v>
      </c>
      <c r="O132" s="28" t="b">
        <f t="shared" si="25"/>
        <v>1</v>
      </c>
    </row>
    <row r="133" spans="2:15" s="28" customFormat="1" ht="16.5" customHeight="1">
      <c r="B133" s="20"/>
      <c r="C133" s="20"/>
      <c r="D133" s="254"/>
      <c r="E133" s="379">
        <v>121558</v>
      </c>
      <c r="F133" s="395" t="s">
        <v>255</v>
      </c>
      <c r="G133" s="396"/>
      <c r="H133" s="397"/>
      <c r="I133" s="383">
        <v>311000</v>
      </c>
      <c r="J133" s="398">
        <v>121558</v>
      </c>
      <c r="K133" s="399" t="s">
        <v>70</v>
      </c>
      <c r="L133" s="399" t="s">
        <v>34</v>
      </c>
      <c r="M133" s="399">
        <v>17.251999999999999</v>
      </c>
      <c r="N133" s="356">
        <v>311000</v>
      </c>
      <c r="O133" s="28" t="b">
        <f t="shared" si="25"/>
        <v>1</v>
      </c>
    </row>
    <row r="134" spans="2:15" s="28" customFormat="1" ht="16.5" customHeight="1">
      <c r="B134" s="20"/>
      <c r="C134" s="20"/>
      <c r="D134" s="254"/>
      <c r="E134" s="379">
        <v>121759</v>
      </c>
      <c r="F134" s="395" t="s">
        <v>765</v>
      </c>
      <c r="G134" s="396"/>
      <c r="H134" s="397"/>
      <c r="I134" s="383">
        <v>1230000</v>
      </c>
      <c r="J134" s="399">
        <v>121759</v>
      </c>
      <c r="K134" s="399" t="s">
        <v>71</v>
      </c>
      <c r="L134" s="399" t="s">
        <v>34</v>
      </c>
      <c r="M134" s="399">
        <v>208</v>
      </c>
      <c r="N134" s="356">
        <v>1230000</v>
      </c>
      <c r="O134" s="28" t="b">
        <f t="shared" si="25"/>
        <v>1</v>
      </c>
    </row>
    <row r="135" spans="2:15" s="28" customFormat="1" ht="16.5" customHeight="1">
      <c r="B135" s="20"/>
      <c r="C135" s="20"/>
      <c r="D135" s="254"/>
      <c r="E135" s="379">
        <v>121762</v>
      </c>
      <c r="F135" s="395" t="s">
        <v>434</v>
      </c>
      <c r="G135" s="396"/>
      <c r="H135" s="397"/>
      <c r="I135" s="383">
        <v>1302000</v>
      </c>
      <c r="J135" s="399">
        <v>121762</v>
      </c>
      <c r="K135" s="399" t="s">
        <v>71</v>
      </c>
      <c r="L135" s="399" t="s">
        <v>34</v>
      </c>
      <c r="M135" s="399">
        <v>208</v>
      </c>
      <c r="N135" s="356">
        <v>1302000</v>
      </c>
      <c r="O135" s="28" t="b">
        <f t="shared" si="25"/>
        <v>1</v>
      </c>
    </row>
    <row r="136" spans="2:15" s="28" customFormat="1" ht="16.5" customHeight="1">
      <c r="B136" s="20"/>
      <c r="C136" s="20"/>
      <c r="D136" s="254"/>
      <c r="E136" s="379">
        <v>121764</v>
      </c>
      <c r="F136" s="395" t="s">
        <v>435</v>
      </c>
      <c r="G136" s="396"/>
      <c r="H136" s="397"/>
      <c r="I136" s="383">
        <v>1246000</v>
      </c>
      <c r="J136" s="399">
        <v>121764</v>
      </c>
      <c r="K136" s="399" t="s">
        <v>71</v>
      </c>
      <c r="L136" s="399" t="s">
        <v>34</v>
      </c>
      <c r="M136" s="399">
        <v>208</v>
      </c>
      <c r="N136" s="356">
        <v>1246000</v>
      </c>
      <c r="O136" s="28" t="b">
        <f t="shared" si="25"/>
        <v>1</v>
      </c>
    </row>
    <row r="137" spans="2:15" s="28" customFormat="1" ht="16.5" customHeight="1">
      <c r="B137" s="20"/>
      <c r="C137" s="20"/>
      <c r="D137" s="254"/>
      <c r="E137" s="379">
        <v>121892</v>
      </c>
      <c r="F137" s="395" t="s">
        <v>256</v>
      </c>
      <c r="G137" s="396"/>
      <c r="H137" s="397"/>
      <c r="I137" s="383">
        <v>481000</v>
      </c>
      <c r="J137" s="399">
        <v>121892</v>
      </c>
      <c r="K137" s="399" t="s">
        <v>70</v>
      </c>
      <c r="L137" s="399" t="s">
        <v>34</v>
      </c>
      <c r="M137" s="399">
        <v>18.899999999999999</v>
      </c>
      <c r="N137" s="356">
        <v>481000</v>
      </c>
      <c r="O137" s="28" t="b">
        <f t="shared" ref="O137:O199" si="26">I137=N137</f>
        <v>1</v>
      </c>
    </row>
    <row r="138" spans="2:15" s="28" customFormat="1" ht="16.5" customHeight="1">
      <c r="B138" s="20"/>
      <c r="C138" s="20"/>
      <c r="D138" s="254"/>
      <c r="E138" s="379">
        <v>121902</v>
      </c>
      <c r="F138" s="395" t="s">
        <v>257</v>
      </c>
      <c r="G138" s="396"/>
      <c r="H138" s="397"/>
      <c r="I138" s="383">
        <v>410000</v>
      </c>
      <c r="J138" s="398">
        <v>121902</v>
      </c>
      <c r="K138" s="399" t="s">
        <v>70</v>
      </c>
      <c r="L138" s="399" t="s">
        <v>34</v>
      </c>
      <c r="M138" s="399">
        <v>18.899999999999999</v>
      </c>
      <c r="N138" s="356">
        <v>410000</v>
      </c>
      <c r="O138" s="28" t="b">
        <f t="shared" si="26"/>
        <v>1</v>
      </c>
    </row>
    <row r="139" spans="2:15" s="28" customFormat="1" ht="16.5" customHeight="1">
      <c r="B139" s="20"/>
      <c r="C139" s="20"/>
      <c r="D139" s="254"/>
      <c r="E139" s="379">
        <v>121904</v>
      </c>
      <c r="F139" s="395" t="s">
        <v>258</v>
      </c>
      <c r="G139" s="396"/>
      <c r="H139" s="397"/>
      <c r="I139" s="383">
        <v>430000</v>
      </c>
      <c r="J139" s="398">
        <v>121904</v>
      </c>
      <c r="K139" s="399" t="s">
        <v>70</v>
      </c>
      <c r="L139" s="399" t="s">
        <v>34</v>
      </c>
      <c r="M139" s="399">
        <v>18.899999999999999</v>
      </c>
      <c r="N139" s="356">
        <v>430000</v>
      </c>
      <c r="O139" s="28" t="b">
        <f t="shared" si="26"/>
        <v>1</v>
      </c>
    </row>
    <row r="140" spans="2:15" s="28" customFormat="1" ht="16.5" customHeight="1">
      <c r="B140" s="20"/>
      <c r="C140" s="20"/>
      <c r="D140" s="254"/>
      <c r="E140" s="379">
        <v>121907</v>
      </c>
      <c r="F140" s="395" t="s">
        <v>259</v>
      </c>
      <c r="G140" s="396"/>
      <c r="H140" s="397"/>
      <c r="I140" s="383">
        <v>398000</v>
      </c>
      <c r="J140" s="398">
        <v>121907</v>
      </c>
      <c r="K140" s="399" t="s">
        <v>70</v>
      </c>
      <c r="L140" s="399" t="s">
        <v>34</v>
      </c>
      <c r="M140" s="399">
        <v>18.899999999999999</v>
      </c>
      <c r="N140" s="356">
        <v>398000</v>
      </c>
      <c r="O140" s="28" t="b">
        <f t="shared" si="26"/>
        <v>1</v>
      </c>
    </row>
    <row r="141" spans="2:15" s="28" customFormat="1" ht="16.5" customHeight="1">
      <c r="B141" s="20"/>
      <c r="C141" s="20"/>
      <c r="D141" s="254"/>
      <c r="E141" s="379">
        <v>122135</v>
      </c>
      <c r="F141" s="395" t="s">
        <v>437</v>
      </c>
      <c r="G141" s="396"/>
      <c r="H141" s="397"/>
      <c r="I141" s="383">
        <v>1207000</v>
      </c>
      <c r="J141" s="399">
        <v>122135</v>
      </c>
      <c r="K141" s="399" t="s">
        <v>71</v>
      </c>
      <c r="L141" s="399" t="s">
        <v>34</v>
      </c>
      <c r="M141" s="399">
        <v>208</v>
      </c>
      <c r="N141" s="356">
        <v>1207000</v>
      </c>
      <c r="O141" s="28" t="b">
        <f t="shared" si="26"/>
        <v>1</v>
      </c>
    </row>
    <row r="142" spans="2:15" s="28" customFormat="1" ht="16.5" customHeight="1">
      <c r="B142" s="20"/>
      <c r="C142" s="20"/>
      <c r="D142" s="254"/>
      <c r="E142" s="379">
        <v>122167</v>
      </c>
      <c r="F142" s="395" t="s">
        <v>438</v>
      </c>
      <c r="G142" s="396"/>
      <c r="H142" s="397"/>
      <c r="I142" s="383">
        <v>3124000</v>
      </c>
      <c r="J142" s="398">
        <v>122167</v>
      </c>
      <c r="K142" s="399" t="s">
        <v>71</v>
      </c>
      <c r="L142" s="399" t="s">
        <v>34</v>
      </c>
      <c r="M142" s="399">
        <v>208</v>
      </c>
      <c r="N142" s="356">
        <v>3124000</v>
      </c>
      <c r="O142" s="28" t="b">
        <f t="shared" si="26"/>
        <v>1</v>
      </c>
    </row>
    <row r="143" spans="2:15" s="28" customFormat="1" ht="16.5" customHeight="1">
      <c r="B143" s="20"/>
      <c r="C143" s="20"/>
      <c r="D143" s="254"/>
      <c r="E143" s="379">
        <v>122187</v>
      </c>
      <c r="F143" s="395" t="s">
        <v>439</v>
      </c>
      <c r="G143" s="396"/>
      <c r="H143" s="397"/>
      <c r="I143" s="383">
        <v>2760000</v>
      </c>
      <c r="J143" s="398">
        <v>122187</v>
      </c>
      <c r="K143" s="399" t="s">
        <v>71</v>
      </c>
      <c r="L143" s="399" t="s">
        <v>34</v>
      </c>
      <c r="M143" s="399">
        <v>208</v>
      </c>
      <c r="N143" s="356">
        <v>2760000</v>
      </c>
      <c r="O143" s="28" t="b">
        <f t="shared" si="26"/>
        <v>1</v>
      </c>
    </row>
    <row r="144" spans="2:15" s="28" customFormat="1" ht="16.5" customHeight="1">
      <c r="B144" s="20"/>
      <c r="C144" s="20"/>
      <c r="D144" s="254"/>
      <c r="E144" s="379">
        <v>122612</v>
      </c>
      <c r="F144" s="395" t="s">
        <v>446</v>
      </c>
      <c r="G144" s="396"/>
      <c r="H144" s="397"/>
      <c r="I144" s="383">
        <v>1617000</v>
      </c>
      <c r="J144" s="398">
        <v>122612</v>
      </c>
      <c r="K144" s="399" t="s">
        <v>71</v>
      </c>
      <c r="L144" s="399" t="s">
        <v>34</v>
      </c>
      <c r="M144" s="399">
        <v>208</v>
      </c>
      <c r="N144" s="356">
        <v>1525000</v>
      </c>
      <c r="O144" s="28" t="b">
        <f t="shared" si="26"/>
        <v>0</v>
      </c>
    </row>
    <row r="145" spans="2:15" s="28" customFormat="1" ht="16.5" customHeight="1">
      <c r="B145" s="20"/>
      <c r="C145" s="20"/>
      <c r="D145" s="254"/>
      <c r="E145" s="379">
        <v>122650</v>
      </c>
      <c r="F145" s="395" t="s">
        <v>447</v>
      </c>
      <c r="G145" s="396"/>
      <c r="H145" s="397"/>
      <c r="I145" s="383">
        <v>3190000</v>
      </c>
      <c r="J145" s="398">
        <v>122650</v>
      </c>
      <c r="K145" s="399" t="s">
        <v>71</v>
      </c>
      <c r="L145" s="399" t="s">
        <v>34</v>
      </c>
      <c r="M145" s="399">
        <v>208</v>
      </c>
      <c r="N145" s="356">
        <v>3190000</v>
      </c>
      <c r="O145" s="28" t="b">
        <f t="shared" si="26"/>
        <v>1</v>
      </c>
    </row>
    <row r="146" spans="2:15" s="28" customFormat="1" ht="16.5" customHeight="1">
      <c r="B146" s="20"/>
      <c r="C146" s="20"/>
      <c r="D146" s="254"/>
      <c r="E146" s="379">
        <v>122713</v>
      </c>
      <c r="F146" s="395" t="s">
        <v>67</v>
      </c>
      <c r="G146" s="396"/>
      <c r="H146" s="397"/>
      <c r="I146" s="383">
        <v>106000</v>
      </c>
      <c r="J146" s="399">
        <v>122713</v>
      </c>
      <c r="K146" s="399" t="s">
        <v>70</v>
      </c>
      <c r="L146" s="399" t="s">
        <v>34</v>
      </c>
      <c r="M146" s="399">
        <v>20</v>
      </c>
      <c r="N146" s="356">
        <v>106000</v>
      </c>
      <c r="O146" s="28" t="b">
        <f t="shared" si="26"/>
        <v>1</v>
      </c>
    </row>
    <row r="147" spans="2:15" s="28" customFormat="1" ht="16.5" customHeight="1">
      <c r="B147" s="20"/>
      <c r="C147" s="20"/>
      <c r="D147" s="254"/>
      <c r="E147" s="379">
        <v>122766</v>
      </c>
      <c r="F147" s="395" t="s">
        <v>68</v>
      </c>
      <c r="G147" s="396"/>
      <c r="H147" s="397"/>
      <c r="I147" s="383">
        <v>83600</v>
      </c>
      <c r="J147" s="398">
        <v>122766</v>
      </c>
      <c r="K147" s="399" t="s">
        <v>70</v>
      </c>
      <c r="L147" s="399" t="s">
        <v>34</v>
      </c>
      <c r="M147" s="399">
        <v>20</v>
      </c>
      <c r="N147" s="356">
        <v>83600</v>
      </c>
      <c r="O147" s="28" t="b">
        <f t="shared" si="26"/>
        <v>1</v>
      </c>
    </row>
    <row r="148" spans="2:15" s="28" customFormat="1" ht="16.5" customHeight="1">
      <c r="B148" s="20"/>
      <c r="C148" s="20"/>
      <c r="D148" s="254"/>
      <c r="E148" s="379">
        <v>122821</v>
      </c>
      <c r="F148" s="395" t="s">
        <v>448</v>
      </c>
      <c r="G148" s="396"/>
      <c r="H148" s="397"/>
      <c r="I148" s="383"/>
      <c r="J148" s="398">
        <v>122821</v>
      </c>
      <c r="K148" s="399" t="s">
        <v>71</v>
      </c>
      <c r="L148" s="399" t="s">
        <v>34</v>
      </c>
      <c r="M148" s="399">
        <v>208</v>
      </c>
      <c r="N148" s="356" t="e">
        <v>#N/A</v>
      </c>
      <c r="O148" s="28" t="e">
        <f t="shared" si="26"/>
        <v>#N/A</v>
      </c>
    </row>
    <row r="149" spans="2:15" s="28" customFormat="1" ht="16.5" customHeight="1">
      <c r="B149" s="20"/>
      <c r="C149" s="20"/>
      <c r="D149" s="254"/>
      <c r="E149" s="379">
        <v>122837</v>
      </c>
      <c r="F149" s="395" t="s">
        <v>65</v>
      </c>
      <c r="G149" s="396"/>
      <c r="H149" s="397"/>
      <c r="I149" s="383">
        <v>62800</v>
      </c>
      <c r="J149" s="398">
        <v>122837</v>
      </c>
      <c r="K149" s="399" t="s">
        <v>70</v>
      </c>
      <c r="L149" s="399" t="s">
        <v>34</v>
      </c>
      <c r="M149" s="399">
        <v>20</v>
      </c>
      <c r="N149" s="356">
        <v>62800</v>
      </c>
      <c r="O149" s="28" t="b">
        <f t="shared" si="26"/>
        <v>1</v>
      </c>
    </row>
    <row r="150" spans="2:15" s="28" customFormat="1" ht="16.5" customHeight="1">
      <c r="B150" s="20"/>
      <c r="C150" s="20"/>
      <c r="D150" s="254"/>
      <c r="E150" s="379">
        <v>122842</v>
      </c>
      <c r="F150" s="395" t="s">
        <v>238</v>
      </c>
      <c r="G150" s="396"/>
      <c r="H150" s="397"/>
      <c r="I150" s="383">
        <v>79200</v>
      </c>
      <c r="J150" s="399">
        <v>122842</v>
      </c>
      <c r="K150" s="399" t="s">
        <v>70</v>
      </c>
      <c r="L150" s="399" t="s">
        <v>34</v>
      </c>
      <c r="M150" s="399">
        <v>20</v>
      </c>
      <c r="N150" s="356">
        <v>79200</v>
      </c>
      <c r="O150" s="28" t="b">
        <f t="shared" si="26"/>
        <v>1</v>
      </c>
    </row>
    <row r="151" spans="2:15" s="28" customFormat="1" ht="16.5" customHeight="1">
      <c r="B151" s="20"/>
      <c r="C151" s="20"/>
      <c r="D151" s="254"/>
      <c r="E151" s="379">
        <v>144277</v>
      </c>
      <c r="F151" s="395" t="s">
        <v>232</v>
      </c>
      <c r="G151" s="396"/>
      <c r="H151" s="397"/>
      <c r="I151" s="383">
        <v>46600</v>
      </c>
      <c r="J151" s="398">
        <v>122885</v>
      </c>
      <c r="K151" s="399" t="s">
        <v>70</v>
      </c>
      <c r="L151" s="399" t="s">
        <v>34</v>
      </c>
      <c r="M151" s="399">
        <v>20</v>
      </c>
      <c r="N151" s="356">
        <v>46600</v>
      </c>
      <c r="O151" s="28" t="b">
        <f t="shared" si="26"/>
        <v>1</v>
      </c>
    </row>
    <row r="152" spans="2:15" s="28" customFormat="1" ht="16.5" customHeight="1">
      <c r="B152" s="20"/>
      <c r="C152" s="20"/>
      <c r="D152" s="254"/>
      <c r="E152" s="379">
        <v>123004</v>
      </c>
      <c r="F152" s="395" t="s">
        <v>41</v>
      </c>
      <c r="G152" s="396"/>
      <c r="H152" s="397"/>
      <c r="I152" s="383">
        <v>402000</v>
      </c>
      <c r="J152" s="398">
        <v>123004</v>
      </c>
      <c r="K152" s="399" t="s">
        <v>70</v>
      </c>
      <c r="L152" s="399" t="s">
        <v>34</v>
      </c>
      <c r="M152" s="399">
        <v>18</v>
      </c>
      <c r="N152" s="356">
        <v>402000</v>
      </c>
      <c r="O152" s="28" t="b">
        <f t="shared" si="26"/>
        <v>1</v>
      </c>
    </row>
    <row r="153" spans="2:15" s="28" customFormat="1" ht="16.5" customHeight="1">
      <c r="B153" s="20"/>
      <c r="C153" s="20"/>
      <c r="D153" s="254"/>
      <c r="E153" s="379">
        <v>123291</v>
      </c>
      <c r="F153" s="395" t="s">
        <v>261</v>
      </c>
      <c r="G153" s="396"/>
      <c r="H153" s="397"/>
      <c r="I153" s="383">
        <v>326000</v>
      </c>
      <c r="J153" s="398">
        <v>123291</v>
      </c>
      <c r="K153" s="399" t="s">
        <v>70</v>
      </c>
      <c r="L153" s="399" t="s">
        <v>34</v>
      </c>
      <c r="M153" s="399">
        <v>20</v>
      </c>
      <c r="N153" s="356">
        <v>326000</v>
      </c>
      <c r="O153" s="28" t="b">
        <f t="shared" si="26"/>
        <v>1</v>
      </c>
    </row>
    <row r="154" spans="2:15" s="28" customFormat="1" ht="16.5" customHeight="1">
      <c r="B154" s="20"/>
      <c r="C154" s="20"/>
      <c r="D154" s="254"/>
      <c r="E154" s="379">
        <v>148674</v>
      </c>
      <c r="F154" s="395" t="s">
        <v>262</v>
      </c>
      <c r="G154" s="396"/>
      <c r="H154" s="397"/>
      <c r="I154" s="383">
        <v>66800</v>
      </c>
      <c r="J154" s="398">
        <v>148674</v>
      </c>
      <c r="K154" s="399" t="s">
        <v>70</v>
      </c>
      <c r="L154" s="399" t="s">
        <v>34</v>
      </c>
      <c r="M154" s="399">
        <v>20</v>
      </c>
      <c r="N154" s="356">
        <v>66800</v>
      </c>
      <c r="O154" s="28" t="b">
        <f t="shared" si="26"/>
        <v>1</v>
      </c>
    </row>
    <row r="155" spans="2:15" s="28" customFormat="1" ht="16.5" customHeight="1">
      <c r="B155" s="20"/>
      <c r="C155" s="20"/>
      <c r="D155" s="254"/>
      <c r="E155" s="379">
        <v>148687</v>
      </c>
      <c r="F155" s="395" t="s">
        <v>263</v>
      </c>
      <c r="G155" s="396"/>
      <c r="H155" s="397"/>
      <c r="I155" s="383">
        <v>62700</v>
      </c>
      <c r="J155" s="398">
        <v>148687</v>
      </c>
      <c r="K155" s="399" t="s">
        <v>70</v>
      </c>
      <c r="L155" s="399" t="s">
        <v>34</v>
      </c>
      <c r="M155" s="399">
        <v>20</v>
      </c>
      <c r="N155" s="356">
        <v>62700</v>
      </c>
      <c r="O155" s="28" t="b">
        <f t="shared" si="26"/>
        <v>1</v>
      </c>
    </row>
    <row r="156" spans="2:15" s="28" customFormat="1" ht="16.5" customHeight="1">
      <c r="B156" s="20"/>
      <c r="C156" s="20"/>
      <c r="D156" s="254"/>
      <c r="E156" s="379">
        <v>148663</v>
      </c>
      <c r="F156" s="395" t="s">
        <v>264</v>
      </c>
      <c r="G156" s="396"/>
      <c r="H156" s="397"/>
      <c r="I156" s="383">
        <v>54200</v>
      </c>
      <c r="J156" s="398">
        <v>148663</v>
      </c>
      <c r="K156" s="399" t="s">
        <v>70</v>
      </c>
      <c r="L156" s="399" t="s">
        <v>34</v>
      </c>
      <c r="M156" s="399">
        <v>20</v>
      </c>
      <c r="N156" s="356">
        <v>54200</v>
      </c>
      <c r="O156" s="28" t="b">
        <f t="shared" si="26"/>
        <v>1</v>
      </c>
    </row>
    <row r="157" spans="2:15" s="28" customFormat="1" ht="16.5" customHeight="1">
      <c r="B157" s="20"/>
      <c r="C157" s="20"/>
      <c r="D157" s="254"/>
      <c r="E157" s="379">
        <v>148661</v>
      </c>
      <c r="F157" s="395" t="s">
        <v>235</v>
      </c>
      <c r="G157" s="396"/>
      <c r="H157" s="397"/>
      <c r="I157" s="383">
        <v>63400</v>
      </c>
      <c r="J157" s="398">
        <v>148661</v>
      </c>
      <c r="K157" s="399" t="s">
        <v>70</v>
      </c>
      <c r="L157" s="399" t="s">
        <v>34</v>
      </c>
      <c r="M157" s="399">
        <v>20</v>
      </c>
      <c r="N157" s="356">
        <v>63400</v>
      </c>
      <c r="O157" s="28" t="b">
        <f t="shared" si="26"/>
        <v>1</v>
      </c>
    </row>
    <row r="158" spans="2:15" s="28" customFormat="1" ht="16.5" customHeight="1">
      <c r="B158" s="20"/>
      <c r="C158" s="20"/>
      <c r="D158" s="254"/>
      <c r="E158" s="379">
        <v>148662</v>
      </c>
      <c r="F158" s="395" t="s">
        <v>225</v>
      </c>
      <c r="G158" s="396"/>
      <c r="H158" s="397"/>
      <c r="I158" s="383">
        <v>55400</v>
      </c>
      <c r="J158" s="399">
        <v>148662</v>
      </c>
      <c r="K158" s="399" t="s">
        <v>70</v>
      </c>
      <c r="L158" s="399" t="s">
        <v>34</v>
      </c>
      <c r="M158" s="399">
        <v>20</v>
      </c>
      <c r="N158" s="356">
        <v>55400</v>
      </c>
      <c r="O158" s="28" t="b">
        <f t="shared" si="26"/>
        <v>1</v>
      </c>
    </row>
    <row r="159" spans="2:15" s="28" customFormat="1" ht="16.5" customHeight="1">
      <c r="B159" s="20"/>
      <c r="C159" s="20"/>
      <c r="D159" s="254"/>
      <c r="E159" s="379">
        <v>124528</v>
      </c>
      <c r="F159" s="395" t="s">
        <v>450</v>
      </c>
      <c r="G159" s="396"/>
      <c r="H159" s="397"/>
      <c r="I159" s="383">
        <v>3634000</v>
      </c>
      <c r="J159" s="398">
        <v>124528</v>
      </c>
      <c r="K159" s="399" t="s">
        <v>71</v>
      </c>
      <c r="L159" s="399" t="s">
        <v>34</v>
      </c>
      <c r="M159" s="399">
        <v>208</v>
      </c>
      <c r="N159" s="356">
        <v>3634000</v>
      </c>
      <c r="O159" s="28" t="b">
        <f t="shared" si="26"/>
        <v>1</v>
      </c>
    </row>
    <row r="160" spans="2:15" s="28" customFormat="1" ht="16.5" customHeight="1">
      <c r="B160" s="20"/>
      <c r="C160" s="20"/>
      <c r="D160" s="254"/>
      <c r="E160" s="379">
        <v>126328</v>
      </c>
      <c r="F160" s="395" t="s">
        <v>453</v>
      </c>
      <c r="G160" s="396"/>
      <c r="H160" s="397"/>
      <c r="I160" s="383">
        <v>4056000</v>
      </c>
      <c r="J160" s="399">
        <v>126328</v>
      </c>
      <c r="K160" s="399" t="s">
        <v>71</v>
      </c>
      <c r="L160" s="399" t="s">
        <v>34</v>
      </c>
      <c r="M160" s="399">
        <v>208</v>
      </c>
      <c r="N160" s="356">
        <v>4056000</v>
      </c>
      <c r="O160" s="28" t="b">
        <f t="shared" si="26"/>
        <v>1</v>
      </c>
    </row>
    <row r="161" spans="2:15" s="28" customFormat="1" ht="16.5" customHeight="1">
      <c r="B161" s="20"/>
      <c r="C161" s="20"/>
      <c r="D161" s="254"/>
      <c r="E161" s="379">
        <v>127356</v>
      </c>
      <c r="F161" s="395" t="s">
        <v>265</v>
      </c>
      <c r="G161" s="396"/>
      <c r="H161" s="397"/>
      <c r="I161" s="383">
        <v>337000</v>
      </c>
      <c r="J161" s="398">
        <v>127356</v>
      </c>
      <c r="K161" s="399" t="s">
        <v>70</v>
      </c>
      <c r="L161" s="399" t="s">
        <v>34</v>
      </c>
      <c r="M161" s="399">
        <v>20</v>
      </c>
      <c r="N161" s="356">
        <v>337000</v>
      </c>
      <c r="O161" s="28" t="b">
        <f t="shared" si="26"/>
        <v>1</v>
      </c>
    </row>
    <row r="162" spans="2:15" s="28" customFormat="1" ht="16.5" customHeight="1">
      <c r="B162" s="20"/>
      <c r="C162" s="20"/>
      <c r="D162" s="254"/>
      <c r="E162" s="379">
        <v>128773</v>
      </c>
      <c r="F162" s="395" t="s">
        <v>766</v>
      </c>
      <c r="G162" s="396"/>
      <c r="H162" s="397"/>
      <c r="I162" s="383">
        <v>346000</v>
      </c>
      <c r="J162" s="398">
        <v>128773</v>
      </c>
      <c r="K162" s="399" t="s">
        <v>70</v>
      </c>
      <c r="L162" s="399" t="s">
        <v>34</v>
      </c>
      <c r="M162" s="399">
        <v>18.899999999999999</v>
      </c>
      <c r="N162" s="356">
        <v>346000</v>
      </c>
      <c r="O162" s="28" t="b">
        <f t="shared" si="26"/>
        <v>1</v>
      </c>
    </row>
    <row r="163" spans="2:15" s="28" customFormat="1" ht="16.5" customHeight="1">
      <c r="B163" s="20"/>
      <c r="C163" s="20"/>
      <c r="D163" s="254"/>
      <c r="E163" s="379">
        <v>129351</v>
      </c>
      <c r="F163" s="395" t="s">
        <v>266</v>
      </c>
      <c r="G163" s="396"/>
      <c r="H163" s="397"/>
      <c r="I163" s="383">
        <v>415000</v>
      </c>
      <c r="J163" s="398">
        <v>129351</v>
      </c>
      <c r="K163" s="399" t="s">
        <v>70</v>
      </c>
      <c r="L163" s="399" t="s">
        <v>34</v>
      </c>
      <c r="M163" s="399">
        <v>20</v>
      </c>
      <c r="N163" s="356">
        <v>415000</v>
      </c>
      <c r="O163" s="28" t="b">
        <f t="shared" si="26"/>
        <v>1</v>
      </c>
    </row>
    <row r="164" spans="2:15" s="28" customFormat="1" ht="16.5" customHeight="1">
      <c r="B164" s="20"/>
      <c r="C164" s="20"/>
      <c r="D164" s="254"/>
      <c r="E164" s="379">
        <v>129389</v>
      </c>
      <c r="F164" s="395" t="s">
        <v>459</v>
      </c>
      <c r="G164" s="396"/>
      <c r="H164" s="397"/>
      <c r="I164" s="383">
        <v>3962000</v>
      </c>
      <c r="J164" s="398">
        <v>129389</v>
      </c>
      <c r="K164" s="399" t="s">
        <v>71</v>
      </c>
      <c r="L164" s="399" t="s">
        <v>34</v>
      </c>
      <c r="M164" s="399">
        <v>208</v>
      </c>
      <c r="N164" s="356">
        <v>3962000</v>
      </c>
      <c r="O164" s="28" t="b">
        <f t="shared" si="26"/>
        <v>1</v>
      </c>
    </row>
    <row r="165" spans="2:15" s="28" customFormat="1" ht="16.5" customHeight="1">
      <c r="B165" s="20"/>
      <c r="C165" s="20"/>
      <c r="D165" s="254"/>
      <c r="E165" s="379">
        <v>130938</v>
      </c>
      <c r="F165" s="395" t="s">
        <v>461</v>
      </c>
      <c r="G165" s="396"/>
      <c r="H165" s="397"/>
      <c r="I165" s="383">
        <v>1918000</v>
      </c>
      <c r="J165" s="398">
        <v>130938</v>
      </c>
      <c r="K165" s="399" t="s">
        <v>71</v>
      </c>
      <c r="L165" s="399" t="s">
        <v>34</v>
      </c>
      <c r="M165" s="399">
        <v>181</v>
      </c>
      <c r="N165" s="356">
        <v>1918000</v>
      </c>
      <c r="O165" s="28" t="b">
        <f t="shared" si="26"/>
        <v>1</v>
      </c>
    </row>
    <row r="166" spans="2:15" s="28" customFormat="1" ht="16.5" customHeight="1">
      <c r="B166" s="20"/>
      <c r="C166" s="20"/>
      <c r="D166" s="254"/>
      <c r="E166" s="379">
        <v>130939</v>
      </c>
      <c r="F166" s="395" t="s">
        <v>267</v>
      </c>
      <c r="G166" s="396"/>
      <c r="H166" s="397"/>
      <c r="I166" s="383">
        <v>179000</v>
      </c>
      <c r="J166" s="398">
        <v>130939</v>
      </c>
      <c r="K166" s="399" t="s">
        <v>70</v>
      </c>
      <c r="L166" s="399" t="s">
        <v>34</v>
      </c>
      <c r="M166" s="399">
        <v>15.87</v>
      </c>
      <c r="N166" s="356">
        <v>179000</v>
      </c>
      <c r="O166" s="28" t="b">
        <f t="shared" si="26"/>
        <v>1</v>
      </c>
    </row>
    <row r="167" spans="2:15" s="28" customFormat="1" ht="16.5" customHeight="1">
      <c r="B167" s="20"/>
      <c r="C167" s="20"/>
      <c r="D167" s="254"/>
      <c r="E167" s="379">
        <v>131773</v>
      </c>
      <c r="F167" s="395" t="s">
        <v>462</v>
      </c>
      <c r="G167" s="396"/>
      <c r="H167" s="397"/>
      <c r="I167" s="383"/>
      <c r="J167" s="398">
        <v>131773</v>
      </c>
      <c r="K167" s="399" t="s">
        <v>71</v>
      </c>
      <c r="L167" s="399" t="s">
        <v>34</v>
      </c>
      <c r="M167" s="399">
        <v>208</v>
      </c>
      <c r="N167" s="356" t="e">
        <v>#N/A</v>
      </c>
      <c r="O167" s="28" t="e">
        <f t="shared" si="26"/>
        <v>#N/A</v>
      </c>
    </row>
    <row r="168" spans="2:15" s="28" customFormat="1" ht="16.5" customHeight="1">
      <c r="B168" s="20"/>
      <c r="C168" s="20"/>
      <c r="D168" s="254"/>
      <c r="E168" s="379">
        <v>132528</v>
      </c>
      <c r="F168" s="395" t="s">
        <v>270</v>
      </c>
      <c r="G168" s="396"/>
      <c r="H168" s="397"/>
      <c r="I168" s="383">
        <v>269000</v>
      </c>
      <c r="J168" s="398">
        <v>132528</v>
      </c>
      <c r="K168" s="399" t="s">
        <v>70</v>
      </c>
      <c r="L168" s="399" t="s">
        <v>34</v>
      </c>
      <c r="M168" s="399">
        <v>16</v>
      </c>
      <c r="N168" s="356">
        <v>269000</v>
      </c>
      <c r="O168" s="28" t="b">
        <f t="shared" si="26"/>
        <v>1</v>
      </c>
    </row>
    <row r="169" spans="2:15" s="28" customFormat="1" ht="16.5" customHeight="1">
      <c r="B169" s="20"/>
      <c r="C169" s="20"/>
      <c r="D169" s="254"/>
      <c r="E169" s="379">
        <v>132549</v>
      </c>
      <c r="F169" s="395" t="s">
        <v>463</v>
      </c>
      <c r="G169" s="396"/>
      <c r="H169" s="397"/>
      <c r="I169" s="383">
        <v>3029000</v>
      </c>
      <c r="J169" s="398">
        <v>132549</v>
      </c>
      <c r="K169" s="399" t="s">
        <v>71</v>
      </c>
      <c r="L169" s="399" t="s">
        <v>34</v>
      </c>
      <c r="M169" s="399">
        <v>208</v>
      </c>
      <c r="N169" s="356">
        <v>3029000</v>
      </c>
      <c r="O169" s="28" t="b">
        <f t="shared" si="26"/>
        <v>1</v>
      </c>
    </row>
    <row r="170" spans="2:15" s="28" customFormat="1" ht="16.5" customHeight="1">
      <c r="B170" s="20"/>
      <c r="C170" s="20"/>
      <c r="D170" s="254"/>
      <c r="E170" s="379">
        <v>132550</v>
      </c>
      <c r="F170" s="395" t="s">
        <v>464</v>
      </c>
      <c r="G170" s="396"/>
      <c r="H170" s="397"/>
      <c r="I170" s="383">
        <v>3173000</v>
      </c>
      <c r="J170" s="398">
        <v>132550</v>
      </c>
      <c r="K170" s="399" t="s">
        <v>71</v>
      </c>
      <c r="L170" s="399" t="s">
        <v>34</v>
      </c>
      <c r="M170" s="399">
        <v>208</v>
      </c>
      <c r="N170" s="356">
        <v>3173000</v>
      </c>
      <c r="O170" s="28" t="b">
        <f t="shared" si="26"/>
        <v>1</v>
      </c>
    </row>
    <row r="171" spans="2:15" s="28" customFormat="1" ht="16.5" customHeight="1">
      <c r="B171" s="20"/>
      <c r="C171" s="20"/>
      <c r="D171" s="254"/>
      <c r="E171" s="379">
        <v>132558</v>
      </c>
      <c r="F171" s="395" t="s">
        <v>465</v>
      </c>
      <c r="G171" s="396"/>
      <c r="H171" s="397"/>
      <c r="I171" s="383">
        <v>3541000</v>
      </c>
      <c r="J171" s="398">
        <v>132558</v>
      </c>
      <c r="K171" s="399" t="s">
        <v>71</v>
      </c>
      <c r="L171" s="399" t="s">
        <v>34</v>
      </c>
      <c r="M171" s="399">
        <v>208</v>
      </c>
      <c r="N171" s="356">
        <v>3541000</v>
      </c>
      <c r="O171" s="28" t="b">
        <f t="shared" si="26"/>
        <v>1</v>
      </c>
    </row>
    <row r="172" spans="2:15" s="28" customFormat="1" ht="16.5" customHeight="1">
      <c r="B172" s="20"/>
      <c r="C172" s="20"/>
      <c r="D172" s="254"/>
      <c r="E172" s="379">
        <v>140202</v>
      </c>
      <c r="F172" s="395" t="s">
        <v>377</v>
      </c>
      <c r="G172" s="396"/>
      <c r="H172" s="397"/>
      <c r="I172" s="383">
        <v>352000</v>
      </c>
      <c r="J172" s="398">
        <v>140202</v>
      </c>
      <c r="K172" s="399" t="s">
        <v>70</v>
      </c>
      <c r="L172" s="399" t="s">
        <v>34</v>
      </c>
      <c r="M172" s="399">
        <v>16</v>
      </c>
      <c r="N172" s="356">
        <v>352000</v>
      </c>
      <c r="O172" s="28" t="b">
        <f t="shared" si="26"/>
        <v>1</v>
      </c>
    </row>
    <row r="173" spans="2:15" s="28" customFormat="1" ht="16.5" customHeight="1">
      <c r="B173" s="20"/>
      <c r="C173" s="20"/>
      <c r="D173" s="254"/>
      <c r="E173" s="379">
        <v>140203</v>
      </c>
      <c r="F173" s="395" t="s">
        <v>273</v>
      </c>
      <c r="G173" s="396"/>
      <c r="H173" s="397"/>
      <c r="I173" s="383">
        <v>355000</v>
      </c>
      <c r="J173" s="398">
        <v>140203</v>
      </c>
      <c r="K173" s="399" t="s">
        <v>70</v>
      </c>
      <c r="L173" s="399" t="s">
        <v>34</v>
      </c>
      <c r="M173" s="399">
        <v>16</v>
      </c>
      <c r="N173" s="356">
        <v>355000</v>
      </c>
      <c r="O173" s="28" t="b">
        <f t="shared" si="26"/>
        <v>1</v>
      </c>
    </row>
    <row r="174" spans="2:15" s="28" customFormat="1" ht="16.5" customHeight="1">
      <c r="B174" s="20"/>
      <c r="C174" s="20"/>
      <c r="D174" s="254"/>
      <c r="E174" s="379">
        <v>132575</v>
      </c>
      <c r="F174" s="400" t="s">
        <v>274</v>
      </c>
      <c r="G174" s="401"/>
      <c r="H174" s="402"/>
      <c r="I174" s="383">
        <v>394000</v>
      </c>
      <c r="J174" s="398">
        <v>132575</v>
      </c>
      <c r="K174" s="399" t="s">
        <v>70</v>
      </c>
      <c r="L174" s="399" t="s">
        <v>34</v>
      </c>
      <c r="M174" s="399">
        <v>16</v>
      </c>
      <c r="N174" s="356">
        <v>394000</v>
      </c>
      <c r="O174" s="28" t="b">
        <f t="shared" si="26"/>
        <v>1</v>
      </c>
    </row>
    <row r="175" spans="2:15" s="28" customFormat="1" ht="16.5" customHeight="1">
      <c r="B175" s="20"/>
      <c r="C175" s="20"/>
      <c r="D175" s="254"/>
      <c r="E175" s="379">
        <v>132610</v>
      </c>
      <c r="F175" s="395" t="s">
        <v>466</v>
      </c>
      <c r="G175" s="396"/>
      <c r="H175" s="397"/>
      <c r="I175" s="383">
        <v>3730000</v>
      </c>
      <c r="J175" s="398">
        <v>132610</v>
      </c>
      <c r="K175" s="399" t="s">
        <v>71</v>
      </c>
      <c r="L175" s="399" t="s">
        <v>34</v>
      </c>
      <c r="M175" s="399">
        <v>174</v>
      </c>
      <c r="N175" s="356">
        <v>3730000</v>
      </c>
      <c r="O175" s="28" t="b">
        <f t="shared" si="26"/>
        <v>1</v>
      </c>
    </row>
    <row r="176" spans="2:15" s="28" customFormat="1" ht="16.5" customHeight="1">
      <c r="B176" s="20"/>
      <c r="C176" s="20"/>
      <c r="D176" s="254"/>
      <c r="E176" s="379">
        <v>132611</v>
      </c>
      <c r="F176" s="395" t="s">
        <v>275</v>
      </c>
      <c r="G176" s="396"/>
      <c r="H176" s="397"/>
      <c r="I176" s="383">
        <v>338000</v>
      </c>
      <c r="J176" s="398">
        <v>132611</v>
      </c>
      <c r="K176" s="399" t="s">
        <v>70</v>
      </c>
      <c r="L176" s="399" t="s">
        <v>34</v>
      </c>
      <c r="M176" s="399">
        <v>15.87</v>
      </c>
      <c r="N176" s="356">
        <v>338000</v>
      </c>
      <c r="O176" s="28" t="b">
        <f t="shared" si="26"/>
        <v>1</v>
      </c>
    </row>
    <row r="177" spans="2:15" s="28" customFormat="1" ht="16.5" customHeight="1">
      <c r="B177" s="20"/>
      <c r="C177" s="20"/>
      <c r="D177" s="254"/>
      <c r="E177" s="379">
        <v>140200</v>
      </c>
      <c r="F177" s="395" t="s">
        <v>276</v>
      </c>
      <c r="G177" s="396"/>
      <c r="H177" s="397"/>
      <c r="I177" s="383">
        <v>352000</v>
      </c>
      <c r="J177" s="398">
        <v>132642</v>
      </c>
      <c r="K177" s="399" t="s">
        <v>70</v>
      </c>
      <c r="L177" s="399" t="s">
        <v>34</v>
      </c>
      <c r="M177" s="399">
        <v>16</v>
      </c>
      <c r="N177" s="356">
        <v>351000</v>
      </c>
      <c r="O177" s="28" t="b">
        <f t="shared" si="26"/>
        <v>0</v>
      </c>
    </row>
    <row r="178" spans="2:15" s="28" customFormat="1" ht="16.5" customHeight="1">
      <c r="B178" s="20"/>
      <c r="C178" s="20"/>
      <c r="D178" s="254"/>
      <c r="E178" s="379">
        <v>132796</v>
      </c>
      <c r="F178" s="403" t="s">
        <v>278</v>
      </c>
      <c r="G178" s="404"/>
      <c r="H178" s="405"/>
      <c r="I178" s="383">
        <v>562000</v>
      </c>
      <c r="J178" s="398">
        <v>132796</v>
      </c>
      <c r="K178" s="406" t="s">
        <v>70</v>
      </c>
      <c r="L178" s="406" t="s">
        <v>34</v>
      </c>
      <c r="M178" s="406">
        <v>18</v>
      </c>
      <c r="N178" s="356">
        <v>562000</v>
      </c>
      <c r="O178" s="28" t="b">
        <f t="shared" si="26"/>
        <v>1</v>
      </c>
    </row>
    <row r="179" spans="2:15" s="28" customFormat="1" ht="16.5" customHeight="1">
      <c r="B179" s="20"/>
      <c r="C179" s="20"/>
      <c r="D179" s="254"/>
      <c r="E179" s="379">
        <v>132835</v>
      </c>
      <c r="F179" s="395" t="s">
        <v>474</v>
      </c>
      <c r="G179" s="396"/>
      <c r="H179" s="397"/>
      <c r="I179" s="383">
        <v>3480000</v>
      </c>
      <c r="J179" s="398">
        <v>132835</v>
      </c>
      <c r="K179" s="399" t="s">
        <v>71</v>
      </c>
      <c r="L179" s="399" t="s">
        <v>34</v>
      </c>
      <c r="M179" s="399">
        <v>208</v>
      </c>
      <c r="N179" s="356">
        <v>3480000</v>
      </c>
      <c r="O179" s="28" t="b">
        <f t="shared" si="26"/>
        <v>1</v>
      </c>
    </row>
    <row r="180" spans="2:15" s="28" customFormat="1" ht="16.5" customHeight="1">
      <c r="B180" s="20"/>
      <c r="C180" s="20"/>
      <c r="D180" s="254"/>
      <c r="E180" s="379">
        <v>133450</v>
      </c>
      <c r="F180" s="395" t="s">
        <v>475</v>
      </c>
      <c r="G180" s="396"/>
      <c r="H180" s="397"/>
      <c r="I180" s="383">
        <v>4688000</v>
      </c>
      <c r="J180" s="398">
        <v>133450</v>
      </c>
      <c r="K180" s="399" t="s">
        <v>71</v>
      </c>
      <c r="L180" s="399" t="s">
        <v>34</v>
      </c>
      <c r="M180" s="399">
        <v>208</v>
      </c>
      <c r="N180" s="356">
        <v>4688000</v>
      </c>
      <c r="O180" s="28" t="b">
        <f t="shared" si="26"/>
        <v>1</v>
      </c>
    </row>
    <row r="181" spans="2:15" s="28" customFormat="1" ht="16.5" customHeight="1">
      <c r="B181" s="20"/>
      <c r="C181" s="20"/>
      <c r="D181" s="254"/>
      <c r="E181" s="379">
        <v>134221</v>
      </c>
      <c r="F181" s="400" t="s">
        <v>476</v>
      </c>
      <c r="G181" s="401"/>
      <c r="H181" s="402"/>
      <c r="I181" s="383">
        <v>4412000</v>
      </c>
      <c r="J181" s="407">
        <v>134221</v>
      </c>
      <c r="K181" s="399" t="s">
        <v>71</v>
      </c>
      <c r="L181" s="399" t="s">
        <v>34</v>
      </c>
      <c r="M181" s="399">
        <v>216</v>
      </c>
      <c r="N181" s="356">
        <v>4412000</v>
      </c>
      <c r="O181" s="28" t="b">
        <f t="shared" si="26"/>
        <v>1</v>
      </c>
    </row>
    <row r="182" spans="2:15" s="28" customFormat="1" ht="16.5" customHeight="1">
      <c r="B182" s="20"/>
      <c r="C182" s="20"/>
      <c r="D182" s="254"/>
      <c r="E182" s="379">
        <v>134320</v>
      </c>
      <c r="F182" s="400" t="s">
        <v>477</v>
      </c>
      <c r="G182" s="396"/>
      <c r="H182" s="397"/>
      <c r="I182" s="383">
        <v>3144000</v>
      </c>
      <c r="J182" s="398">
        <v>134320</v>
      </c>
      <c r="K182" s="399" t="s">
        <v>71</v>
      </c>
      <c r="L182" s="399" t="s">
        <v>34</v>
      </c>
      <c r="M182" s="399">
        <v>208</v>
      </c>
      <c r="N182" s="356">
        <v>3144000</v>
      </c>
      <c r="O182" s="28" t="b">
        <f t="shared" si="26"/>
        <v>1</v>
      </c>
    </row>
    <row r="183" spans="2:15" s="28" customFormat="1" ht="16.5" customHeight="1">
      <c r="B183" s="20"/>
      <c r="C183" s="20"/>
      <c r="D183" s="254"/>
      <c r="E183" s="379">
        <v>134445</v>
      </c>
      <c r="F183" s="400" t="s">
        <v>239</v>
      </c>
      <c r="G183" s="396"/>
      <c r="H183" s="397"/>
      <c r="I183" s="383">
        <v>66900</v>
      </c>
      <c r="J183" s="398">
        <v>134445</v>
      </c>
      <c r="K183" s="399" t="s">
        <v>70</v>
      </c>
      <c r="L183" s="399" t="s">
        <v>34</v>
      </c>
      <c r="M183" s="399">
        <v>20</v>
      </c>
      <c r="N183" s="356">
        <v>66900</v>
      </c>
      <c r="O183" s="28" t="b">
        <f t="shared" si="26"/>
        <v>1</v>
      </c>
    </row>
    <row r="184" spans="2:15" s="28" customFormat="1" ht="16.5" customHeight="1">
      <c r="B184" s="20"/>
      <c r="C184" s="20"/>
      <c r="D184" s="254"/>
      <c r="E184" s="379">
        <v>134602</v>
      </c>
      <c r="F184" s="400" t="s">
        <v>481</v>
      </c>
      <c r="G184" s="396"/>
      <c r="H184" s="397"/>
      <c r="I184" s="383">
        <v>3680000</v>
      </c>
      <c r="J184" s="407">
        <v>134602</v>
      </c>
      <c r="K184" s="399" t="s">
        <v>71</v>
      </c>
      <c r="L184" s="399" t="s">
        <v>34</v>
      </c>
      <c r="M184" s="399">
        <v>208</v>
      </c>
      <c r="N184" s="356">
        <v>3680000</v>
      </c>
      <c r="O184" s="28" t="b">
        <f t="shared" si="26"/>
        <v>1</v>
      </c>
    </row>
    <row r="185" spans="2:15" s="28" customFormat="1" ht="16.5" customHeight="1">
      <c r="B185" s="20"/>
      <c r="C185" s="20"/>
      <c r="D185" s="254"/>
      <c r="E185" s="379">
        <v>134604</v>
      </c>
      <c r="F185" s="400" t="s">
        <v>280</v>
      </c>
      <c r="G185" s="396"/>
      <c r="H185" s="397"/>
      <c r="I185" s="383">
        <v>120000</v>
      </c>
      <c r="J185" s="398">
        <v>134604</v>
      </c>
      <c r="K185" s="399" t="s">
        <v>70</v>
      </c>
      <c r="L185" s="399" t="s">
        <v>34</v>
      </c>
      <c r="M185" s="399">
        <v>16</v>
      </c>
      <c r="N185" s="356">
        <v>120000</v>
      </c>
      <c r="O185" s="28" t="b">
        <f t="shared" si="26"/>
        <v>1</v>
      </c>
    </row>
    <row r="186" spans="2:15" s="28" customFormat="1" ht="16.5" customHeight="1">
      <c r="B186" s="20"/>
      <c r="C186" s="20"/>
      <c r="D186" s="254"/>
      <c r="E186" s="379">
        <v>134884</v>
      </c>
      <c r="F186" s="400" t="s">
        <v>281</v>
      </c>
      <c r="G186" s="396"/>
      <c r="H186" s="397"/>
      <c r="I186" s="383">
        <v>80500</v>
      </c>
      <c r="J186" s="407">
        <v>134884</v>
      </c>
      <c r="K186" s="399" t="s">
        <v>70</v>
      </c>
      <c r="L186" s="399" t="s">
        <v>34</v>
      </c>
      <c r="M186" s="399">
        <v>20</v>
      </c>
      <c r="N186" s="356">
        <v>80500</v>
      </c>
      <c r="O186" s="28" t="b">
        <f t="shared" si="26"/>
        <v>1</v>
      </c>
    </row>
    <row r="187" spans="2:15" s="28" customFormat="1" ht="16.5" customHeight="1">
      <c r="B187" s="20"/>
      <c r="C187" s="20"/>
      <c r="D187" s="254"/>
      <c r="E187" s="379">
        <v>134937</v>
      </c>
      <c r="F187" s="400" t="s">
        <v>486</v>
      </c>
      <c r="G187" s="396"/>
      <c r="H187" s="397"/>
      <c r="I187" s="383">
        <v>3079000</v>
      </c>
      <c r="J187" s="407">
        <v>134937</v>
      </c>
      <c r="K187" s="399" t="s">
        <v>71</v>
      </c>
      <c r="L187" s="399" t="s">
        <v>34</v>
      </c>
      <c r="M187" s="399">
        <v>208</v>
      </c>
      <c r="N187" s="356">
        <v>3079000</v>
      </c>
      <c r="O187" s="28" t="b">
        <f t="shared" si="26"/>
        <v>1</v>
      </c>
    </row>
    <row r="188" spans="2:15" s="28" customFormat="1" ht="16.5" customHeight="1">
      <c r="B188" s="20"/>
      <c r="C188" s="20"/>
      <c r="D188" s="254"/>
      <c r="E188" s="379">
        <v>134962</v>
      </c>
      <c r="F188" s="395" t="s">
        <v>47</v>
      </c>
      <c r="G188" s="396"/>
      <c r="H188" s="397"/>
      <c r="I188" s="383">
        <v>364000</v>
      </c>
      <c r="J188" s="398">
        <v>134962</v>
      </c>
      <c r="K188" s="399" t="s">
        <v>70</v>
      </c>
      <c r="L188" s="399" t="s">
        <v>34</v>
      </c>
      <c r="M188" s="399">
        <v>20</v>
      </c>
      <c r="N188" s="356">
        <v>364000</v>
      </c>
      <c r="O188" s="28" t="b">
        <f t="shared" si="26"/>
        <v>1</v>
      </c>
    </row>
    <row r="189" spans="2:15" s="28" customFormat="1" ht="16.5" customHeight="1">
      <c r="B189" s="20"/>
      <c r="C189" s="20"/>
      <c r="D189" s="254"/>
      <c r="E189" s="379">
        <v>134995</v>
      </c>
      <c r="F189" s="395" t="s">
        <v>283</v>
      </c>
      <c r="G189" s="396"/>
      <c r="H189" s="397"/>
      <c r="I189" s="383">
        <v>475000</v>
      </c>
      <c r="J189" s="398">
        <v>134995</v>
      </c>
      <c r="K189" s="399" t="s">
        <v>70</v>
      </c>
      <c r="L189" s="399" t="s">
        <v>34</v>
      </c>
      <c r="M189" s="399">
        <v>16</v>
      </c>
      <c r="N189" s="356">
        <v>475000</v>
      </c>
      <c r="O189" s="28" t="b">
        <f t="shared" si="26"/>
        <v>1</v>
      </c>
    </row>
    <row r="190" spans="2:15" s="28" customFormat="1" ht="16.5" customHeight="1">
      <c r="B190" s="20"/>
      <c r="C190" s="20"/>
      <c r="D190" s="254"/>
      <c r="E190" s="379">
        <v>134997</v>
      </c>
      <c r="F190" s="408" t="s">
        <v>284</v>
      </c>
      <c r="G190" s="409"/>
      <c r="H190" s="410"/>
      <c r="I190" s="383">
        <v>316000</v>
      </c>
      <c r="J190" s="398">
        <v>134997</v>
      </c>
      <c r="K190" s="378" t="s">
        <v>70</v>
      </c>
      <c r="L190" s="378" t="s">
        <v>34</v>
      </c>
      <c r="M190" s="378">
        <v>15.87</v>
      </c>
      <c r="N190" s="356">
        <v>316000</v>
      </c>
      <c r="O190" s="28" t="b">
        <f t="shared" si="26"/>
        <v>1</v>
      </c>
    </row>
    <row r="191" spans="2:15" s="28" customFormat="1" ht="16.5" customHeight="1">
      <c r="B191" s="20"/>
      <c r="C191" s="20"/>
      <c r="D191" s="254"/>
      <c r="E191" s="379">
        <v>134999</v>
      </c>
      <c r="F191" s="395" t="s">
        <v>285</v>
      </c>
      <c r="G191" s="396"/>
      <c r="H191" s="397"/>
      <c r="I191" s="383">
        <v>476000</v>
      </c>
      <c r="J191" s="398">
        <v>134999</v>
      </c>
      <c r="K191" s="399" t="s">
        <v>70</v>
      </c>
      <c r="L191" s="399" t="s">
        <v>34</v>
      </c>
      <c r="M191" s="399">
        <v>15.87</v>
      </c>
      <c r="N191" s="356">
        <v>476000</v>
      </c>
      <c r="O191" s="28" t="b">
        <f t="shared" si="26"/>
        <v>1</v>
      </c>
    </row>
    <row r="192" spans="2:15" s="28" customFormat="1" ht="16.5" customHeight="1">
      <c r="B192" s="20"/>
      <c r="C192" s="20"/>
      <c r="D192" s="254"/>
      <c r="E192" s="379">
        <v>135000</v>
      </c>
      <c r="F192" s="395" t="s">
        <v>487</v>
      </c>
      <c r="G192" s="396"/>
      <c r="H192" s="397"/>
      <c r="I192" s="383">
        <v>2918000</v>
      </c>
      <c r="J192" s="398">
        <v>135000</v>
      </c>
      <c r="K192" s="399" t="s">
        <v>71</v>
      </c>
      <c r="L192" s="399" t="s">
        <v>34</v>
      </c>
      <c r="M192" s="399">
        <v>208</v>
      </c>
      <c r="N192" s="356">
        <v>2918000</v>
      </c>
      <c r="O192" s="28" t="b">
        <f t="shared" si="26"/>
        <v>1</v>
      </c>
    </row>
    <row r="193" spans="2:15" s="28" customFormat="1" ht="16.5" customHeight="1">
      <c r="B193" s="20"/>
      <c r="C193" s="20"/>
      <c r="D193" s="254"/>
      <c r="E193" s="379">
        <v>135002</v>
      </c>
      <c r="F193" s="395" t="s">
        <v>286</v>
      </c>
      <c r="G193" s="396"/>
      <c r="H193" s="397"/>
      <c r="I193" s="383">
        <v>364000</v>
      </c>
      <c r="J193" s="398">
        <v>135002</v>
      </c>
      <c r="K193" s="399" t="s">
        <v>70</v>
      </c>
      <c r="L193" s="399" t="s">
        <v>34</v>
      </c>
      <c r="M193" s="399">
        <v>20</v>
      </c>
      <c r="N193" s="356">
        <v>364000</v>
      </c>
      <c r="O193" s="28" t="b">
        <f t="shared" si="26"/>
        <v>1</v>
      </c>
    </row>
    <row r="194" spans="2:15" s="28" customFormat="1" ht="16.5" customHeight="1">
      <c r="B194" s="20"/>
      <c r="C194" s="20"/>
      <c r="D194" s="254"/>
      <c r="E194" s="379">
        <v>135004</v>
      </c>
      <c r="F194" s="395" t="s">
        <v>287</v>
      </c>
      <c r="G194" s="396"/>
      <c r="H194" s="397"/>
      <c r="I194" s="383">
        <v>300000</v>
      </c>
      <c r="J194" s="398">
        <v>135004</v>
      </c>
      <c r="K194" s="399" t="s">
        <v>70</v>
      </c>
      <c r="L194" s="399" t="s">
        <v>34</v>
      </c>
      <c r="M194" s="399">
        <v>18.899999999999999</v>
      </c>
      <c r="N194" s="356">
        <v>300000</v>
      </c>
      <c r="O194" s="28" t="b">
        <f t="shared" si="26"/>
        <v>1</v>
      </c>
    </row>
    <row r="195" spans="2:15" s="28" customFormat="1" ht="16.5" customHeight="1">
      <c r="B195" s="20"/>
      <c r="C195" s="20"/>
      <c r="D195" s="254"/>
      <c r="E195" s="379">
        <v>135008</v>
      </c>
      <c r="F195" s="395" t="s">
        <v>288</v>
      </c>
      <c r="G195" s="396"/>
      <c r="H195" s="397"/>
      <c r="I195" s="383">
        <v>274000</v>
      </c>
      <c r="J195" s="398">
        <v>135008</v>
      </c>
      <c r="K195" s="399" t="s">
        <v>70</v>
      </c>
      <c r="L195" s="399" t="s">
        <v>34</v>
      </c>
      <c r="M195" s="399">
        <v>20</v>
      </c>
      <c r="N195" s="356">
        <v>274000</v>
      </c>
      <c r="O195" s="28" t="b">
        <f t="shared" si="26"/>
        <v>1</v>
      </c>
    </row>
    <row r="196" spans="2:15" s="28" customFormat="1" ht="16.5" customHeight="1">
      <c r="B196" s="20"/>
      <c r="C196" s="20"/>
      <c r="D196" s="254"/>
      <c r="E196" s="379">
        <v>135010</v>
      </c>
      <c r="F196" s="395" t="s">
        <v>488</v>
      </c>
      <c r="G196" s="396"/>
      <c r="H196" s="397"/>
      <c r="I196" s="383">
        <v>3777000</v>
      </c>
      <c r="J196" s="398">
        <v>135010</v>
      </c>
      <c r="K196" s="399" t="s">
        <v>71</v>
      </c>
      <c r="L196" s="399" t="s">
        <v>34</v>
      </c>
      <c r="M196" s="399">
        <v>174</v>
      </c>
      <c r="N196" s="356">
        <v>3777000</v>
      </c>
      <c r="O196" s="28" t="b">
        <f t="shared" si="26"/>
        <v>1</v>
      </c>
    </row>
    <row r="197" spans="2:15" s="28" customFormat="1" ht="16.5" customHeight="1">
      <c r="B197" s="20"/>
      <c r="C197" s="20"/>
      <c r="D197" s="254"/>
      <c r="E197" s="379">
        <v>135013</v>
      </c>
      <c r="F197" s="395" t="s">
        <v>489</v>
      </c>
      <c r="G197" s="396"/>
      <c r="H197" s="397"/>
      <c r="I197" s="383">
        <v>2922000</v>
      </c>
      <c r="J197" s="398">
        <v>135013</v>
      </c>
      <c r="K197" s="399" t="s">
        <v>71</v>
      </c>
      <c r="L197" s="399" t="s">
        <v>34</v>
      </c>
      <c r="M197" s="399">
        <v>208</v>
      </c>
      <c r="N197" s="356">
        <v>2922000</v>
      </c>
      <c r="O197" s="28" t="b">
        <f t="shared" si="26"/>
        <v>1</v>
      </c>
    </row>
    <row r="198" spans="2:15" s="28" customFormat="1" ht="16.5" customHeight="1">
      <c r="B198" s="20"/>
      <c r="C198" s="20"/>
      <c r="D198" s="254"/>
      <c r="E198" s="379">
        <v>135014</v>
      </c>
      <c r="F198" s="395" t="s">
        <v>490</v>
      </c>
      <c r="G198" s="396"/>
      <c r="H198" s="397"/>
      <c r="I198" s="383">
        <v>3151000</v>
      </c>
      <c r="J198" s="398">
        <v>135014</v>
      </c>
      <c r="K198" s="399" t="s">
        <v>71</v>
      </c>
      <c r="L198" s="399" t="s">
        <v>34</v>
      </c>
      <c r="M198" s="399">
        <v>208</v>
      </c>
      <c r="N198" s="356">
        <v>3151000</v>
      </c>
      <c r="O198" s="28" t="b">
        <f t="shared" si="26"/>
        <v>1</v>
      </c>
    </row>
    <row r="199" spans="2:15" s="28" customFormat="1" ht="16.5" customHeight="1">
      <c r="B199" s="20"/>
      <c r="C199" s="20"/>
      <c r="D199" s="254"/>
      <c r="E199" s="379">
        <v>135016</v>
      </c>
      <c r="F199" s="395" t="s">
        <v>289</v>
      </c>
      <c r="G199" s="396"/>
      <c r="H199" s="397"/>
      <c r="I199" s="383">
        <v>353000</v>
      </c>
      <c r="J199" s="398">
        <v>135016</v>
      </c>
      <c r="K199" s="399" t="s">
        <v>70</v>
      </c>
      <c r="L199" s="399" t="s">
        <v>34</v>
      </c>
      <c r="M199" s="399">
        <v>20</v>
      </c>
      <c r="N199" s="356">
        <v>353000</v>
      </c>
      <c r="O199" s="28" t="b">
        <f t="shared" si="26"/>
        <v>1</v>
      </c>
    </row>
    <row r="200" spans="2:15" s="28" customFormat="1" ht="16.5" customHeight="1">
      <c r="B200" s="20"/>
      <c r="C200" s="20"/>
      <c r="D200" s="254"/>
      <c r="E200" s="379">
        <v>135152</v>
      </c>
      <c r="F200" s="395" t="s">
        <v>290</v>
      </c>
      <c r="G200" s="396"/>
      <c r="H200" s="397"/>
      <c r="I200" s="383">
        <v>327000</v>
      </c>
      <c r="J200" s="398">
        <v>135152</v>
      </c>
      <c r="K200" s="399" t="s">
        <v>70</v>
      </c>
      <c r="L200" s="399" t="s">
        <v>34</v>
      </c>
      <c r="M200" s="399">
        <v>20</v>
      </c>
      <c r="N200" s="356">
        <v>327000</v>
      </c>
      <c r="O200" s="28" t="b">
        <f t="shared" ref="O200:O263" si="27">I200=N200</f>
        <v>1</v>
      </c>
    </row>
    <row r="201" spans="2:15" s="28" customFormat="1" ht="16.5" customHeight="1">
      <c r="B201" s="20"/>
      <c r="C201" s="20"/>
      <c r="D201" s="254"/>
      <c r="E201" s="379">
        <v>135153</v>
      </c>
      <c r="F201" s="395" t="s">
        <v>291</v>
      </c>
      <c r="G201" s="396"/>
      <c r="H201" s="397"/>
      <c r="I201" s="383">
        <v>277000</v>
      </c>
      <c r="J201" s="398">
        <v>135153</v>
      </c>
      <c r="K201" s="399" t="s">
        <v>70</v>
      </c>
      <c r="L201" s="399" t="s">
        <v>34</v>
      </c>
      <c r="M201" s="399">
        <v>20</v>
      </c>
      <c r="N201" s="356">
        <v>277000</v>
      </c>
      <c r="O201" s="28" t="b">
        <f t="shared" si="27"/>
        <v>1</v>
      </c>
    </row>
    <row r="202" spans="2:15" s="28" customFormat="1" ht="16.5" customHeight="1">
      <c r="B202" s="20"/>
      <c r="C202" s="20"/>
      <c r="D202" s="254"/>
      <c r="E202" s="379">
        <v>135179</v>
      </c>
      <c r="F202" s="395" t="s">
        <v>491</v>
      </c>
      <c r="G202" s="396"/>
      <c r="H202" s="397"/>
      <c r="I202" s="383">
        <v>2733000</v>
      </c>
      <c r="J202" s="398">
        <v>135179</v>
      </c>
      <c r="K202" s="399" t="s">
        <v>71</v>
      </c>
      <c r="L202" s="399" t="s">
        <v>34</v>
      </c>
      <c r="M202" s="399">
        <v>208</v>
      </c>
      <c r="N202" s="356">
        <v>2733000</v>
      </c>
      <c r="O202" s="28" t="b">
        <f t="shared" si="27"/>
        <v>1</v>
      </c>
    </row>
    <row r="203" spans="2:15" s="28" customFormat="1" ht="16.5" customHeight="1">
      <c r="B203" s="20"/>
      <c r="C203" s="20"/>
      <c r="D203" s="254"/>
      <c r="E203" s="379">
        <v>135180</v>
      </c>
      <c r="F203" s="395" t="s">
        <v>492</v>
      </c>
      <c r="G203" s="401"/>
      <c r="H203" s="402"/>
      <c r="I203" s="383">
        <v>3124000</v>
      </c>
      <c r="J203" s="398">
        <v>135180</v>
      </c>
      <c r="K203" s="399" t="s">
        <v>71</v>
      </c>
      <c r="L203" s="399" t="s">
        <v>34</v>
      </c>
      <c r="M203" s="399">
        <v>208</v>
      </c>
      <c r="N203" s="356">
        <v>3124000</v>
      </c>
      <c r="O203" s="28" t="b">
        <f t="shared" si="27"/>
        <v>1</v>
      </c>
    </row>
    <row r="204" spans="2:15" s="28" customFormat="1" ht="16.5" customHeight="1">
      <c r="B204" s="20"/>
      <c r="C204" s="20"/>
      <c r="D204" s="254"/>
      <c r="E204" s="379">
        <v>135181</v>
      </c>
      <c r="F204" s="395" t="s">
        <v>292</v>
      </c>
      <c r="G204" s="396"/>
      <c r="H204" s="397"/>
      <c r="I204" s="383">
        <v>269000</v>
      </c>
      <c r="J204" s="398">
        <v>135181</v>
      </c>
      <c r="K204" s="399" t="s">
        <v>70</v>
      </c>
      <c r="L204" s="399" t="s">
        <v>34</v>
      </c>
      <c r="M204" s="399">
        <v>20</v>
      </c>
      <c r="N204" s="356">
        <v>269000</v>
      </c>
      <c r="O204" s="28" t="b">
        <f t="shared" si="27"/>
        <v>1</v>
      </c>
    </row>
    <row r="205" spans="2:15" s="28" customFormat="1" ht="16.5" customHeight="1">
      <c r="B205" s="20"/>
      <c r="C205" s="20"/>
      <c r="D205" s="254"/>
      <c r="E205" s="379">
        <v>135182</v>
      </c>
      <c r="F205" s="395" t="s">
        <v>493</v>
      </c>
      <c r="G205" s="396"/>
      <c r="H205" s="397"/>
      <c r="I205" s="383">
        <v>2995000</v>
      </c>
      <c r="J205" s="398">
        <v>135182</v>
      </c>
      <c r="K205" s="399" t="s">
        <v>71</v>
      </c>
      <c r="L205" s="399" t="s">
        <v>34</v>
      </c>
      <c r="M205" s="399">
        <v>208</v>
      </c>
      <c r="N205" s="356">
        <v>2995000</v>
      </c>
      <c r="O205" s="28" t="b">
        <f t="shared" si="27"/>
        <v>1</v>
      </c>
    </row>
    <row r="206" spans="2:15" s="28" customFormat="1" ht="16.5" customHeight="1">
      <c r="B206" s="20"/>
      <c r="C206" s="20"/>
      <c r="D206" s="254"/>
      <c r="E206" s="379">
        <v>135183</v>
      </c>
      <c r="F206" s="395" t="s">
        <v>293</v>
      </c>
      <c r="G206" s="396"/>
      <c r="H206" s="397"/>
      <c r="I206" s="383">
        <v>302000</v>
      </c>
      <c r="J206" s="398">
        <v>135183</v>
      </c>
      <c r="K206" s="399" t="s">
        <v>70</v>
      </c>
      <c r="L206" s="399" t="s">
        <v>34</v>
      </c>
      <c r="M206" s="399">
        <v>20</v>
      </c>
      <c r="N206" s="356">
        <v>302000</v>
      </c>
      <c r="O206" s="28" t="b">
        <f t="shared" si="27"/>
        <v>1</v>
      </c>
    </row>
    <row r="207" spans="2:15" s="28" customFormat="1" ht="16.5" customHeight="1">
      <c r="B207" s="20"/>
      <c r="C207" s="20"/>
      <c r="D207" s="254"/>
      <c r="E207" s="379">
        <v>135184</v>
      </c>
      <c r="F207" s="395" t="s">
        <v>494</v>
      </c>
      <c r="G207" s="396"/>
      <c r="H207" s="397"/>
      <c r="I207" s="383">
        <v>3255000</v>
      </c>
      <c r="J207" s="398">
        <v>135184</v>
      </c>
      <c r="K207" s="399" t="s">
        <v>71</v>
      </c>
      <c r="L207" s="399" t="s">
        <v>34</v>
      </c>
      <c r="M207" s="399">
        <v>208</v>
      </c>
      <c r="N207" s="356">
        <v>3255000</v>
      </c>
      <c r="O207" s="28" t="b">
        <f t="shared" si="27"/>
        <v>1</v>
      </c>
    </row>
    <row r="208" spans="2:15" s="28" customFormat="1" ht="16.5" customHeight="1">
      <c r="B208" s="20"/>
      <c r="C208" s="20"/>
      <c r="D208" s="254"/>
      <c r="E208" s="379">
        <v>135185</v>
      </c>
      <c r="F208" s="395" t="s">
        <v>495</v>
      </c>
      <c r="G208" s="396"/>
      <c r="H208" s="397"/>
      <c r="I208" s="383">
        <v>3450000</v>
      </c>
      <c r="J208" s="398">
        <v>135185</v>
      </c>
      <c r="K208" s="399" t="s">
        <v>71</v>
      </c>
      <c r="L208" s="399" t="s">
        <v>34</v>
      </c>
      <c r="M208" s="399">
        <v>208</v>
      </c>
      <c r="N208" s="356">
        <v>3450000</v>
      </c>
      <c r="O208" s="28" t="b">
        <f t="shared" si="27"/>
        <v>1</v>
      </c>
    </row>
    <row r="209" spans="2:15" s="28" customFormat="1" ht="16.5" customHeight="1">
      <c r="B209" s="20"/>
      <c r="C209" s="20"/>
      <c r="D209" s="254"/>
      <c r="E209" s="379">
        <v>135186</v>
      </c>
      <c r="F209" s="395" t="s">
        <v>496</v>
      </c>
      <c r="G209" s="396"/>
      <c r="H209" s="397"/>
      <c r="I209" s="383">
        <v>3644000</v>
      </c>
      <c r="J209" s="398">
        <v>135186</v>
      </c>
      <c r="K209" s="399" t="s">
        <v>71</v>
      </c>
      <c r="L209" s="399" t="s">
        <v>34</v>
      </c>
      <c r="M209" s="399">
        <v>208</v>
      </c>
      <c r="N209" s="356">
        <v>3644000</v>
      </c>
      <c r="O209" s="28" t="b">
        <f t="shared" si="27"/>
        <v>1</v>
      </c>
    </row>
    <row r="210" spans="2:15" s="28" customFormat="1" ht="16.5" customHeight="1">
      <c r="B210" s="20"/>
      <c r="C210" s="20"/>
      <c r="D210" s="254"/>
      <c r="E210" s="379">
        <v>135187</v>
      </c>
      <c r="F210" s="395" t="s">
        <v>497</v>
      </c>
      <c r="G210" s="396"/>
      <c r="H210" s="397"/>
      <c r="I210" s="383">
        <v>3124000</v>
      </c>
      <c r="J210" s="398">
        <v>135187</v>
      </c>
      <c r="K210" s="399" t="s">
        <v>71</v>
      </c>
      <c r="L210" s="399" t="s">
        <v>34</v>
      </c>
      <c r="M210" s="399">
        <v>208</v>
      </c>
      <c r="N210" s="356">
        <v>3124000</v>
      </c>
      <c r="O210" s="28" t="b">
        <f t="shared" si="27"/>
        <v>1</v>
      </c>
    </row>
    <row r="211" spans="2:15" s="28" customFormat="1" ht="16.5" customHeight="1">
      <c r="B211" s="20"/>
      <c r="C211" s="20"/>
      <c r="D211" s="254"/>
      <c r="E211" s="379">
        <v>135188</v>
      </c>
      <c r="F211" s="395" t="s">
        <v>294</v>
      </c>
      <c r="G211" s="396"/>
      <c r="H211" s="397"/>
      <c r="I211" s="383">
        <v>315000</v>
      </c>
      <c r="J211" s="398">
        <v>135188</v>
      </c>
      <c r="K211" s="399" t="s">
        <v>70</v>
      </c>
      <c r="L211" s="399" t="s">
        <v>34</v>
      </c>
      <c r="M211" s="399">
        <v>20</v>
      </c>
      <c r="N211" s="356">
        <v>315000</v>
      </c>
      <c r="O211" s="28" t="b">
        <f t="shared" si="27"/>
        <v>1</v>
      </c>
    </row>
    <row r="212" spans="2:15" s="28" customFormat="1" ht="16.5" customHeight="1">
      <c r="B212" s="20"/>
      <c r="C212" s="20"/>
      <c r="D212" s="254"/>
      <c r="E212" s="379">
        <v>135190</v>
      </c>
      <c r="F212" s="395" t="s">
        <v>295</v>
      </c>
      <c r="G212" s="396"/>
      <c r="H212" s="397"/>
      <c r="I212" s="383">
        <v>346000</v>
      </c>
      <c r="J212" s="398">
        <v>135190</v>
      </c>
      <c r="K212" s="399" t="s">
        <v>70</v>
      </c>
      <c r="L212" s="399" t="s">
        <v>34</v>
      </c>
      <c r="M212" s="399">
        <v>20</v>
      </c>
      <c r="N212" s="356">
        <v>346000</v>
      </c>
      <c r="O212" s="28" t="b">
        <f t="shared" si="27"/>
        <v>1</v>
      </c>
    </row>
    <row r="213" spans="2:15" s="28" customFormat="1" ht="16.5" customHeight="1">
      <c r="B213" s="20"/>
      <c r="C213" s="20"/>
      <c r="D213" s="254"/>
      <c r="E213" s="379">
        <v>135249</v>
      </c>
      <c r="F213" s="395" t="s">
        <v>498</v>
      </c>
      <c r="G213" s="401"/>
      <c r="H213" s="402"/>
      <c r="I213" s="383">
        <v>1871000</v>
      </c>
      <c r="J213" s="398">
        <v>135249</v>
      </c>
      <c r="K213" s="399" t="s">
        <v>71</v>
      </c>
      <c r="L213" s="399" t="s">
        <v>34</v>
      </c>
      <c r="M213" s="399">
        <v>180</v>
      </c>
      <c r="N213" s="356">
        <v>1871000</v>
      </c>
      <c r="O213" s="28" t="b">
        <f t="shared" si="27"/>
        <v>1</v>
      </c>
    </row>
    <row r="214" spans="2:15" s="28" customFormat="1" ht="16.5" customHeight="1">
      <c r="B214" s="20"/>
      <c r="C214" s="20"/>
      <c r="D214" s="254"/>
      <c r="E214" s="379">
        <v>135304</v>
      </c>
      <c r="F214" s="395" t="s">
        <v>499</v>
      </c>
      <c r="G214" s="396"/>
      <c r="H214" s="397"/>
      <c r="I214" s="383">
        <v>3473000</v>
      </c>
      <c r="J214" s="398">
        <v>135304</v>
      </c>
      <c r="K214" s="399" t="s">
        <v>71</v>
      </c>
      <c r="L214" s="399" t="s">
        <v>34</v>
      </c>
      <c r="M214" s="399">
        <v>208</v>
      </c>
      <c r="N214" s="356">
        <v>3473000</v>
      </c>
      <c r="O214" s="28" t="b">
        <f t="shared" si="27"/>
        <v>1</v>
      </c>
    </row>
    <row r="215" spans="2:15" s="28" customFormat="1" ht="16.5" customHeight="1">
      <c r="B215" s="20"/>
      <c r="C215" s="20"/>
      <c r="D215" s="254"/>
      <c r="E215" s="379">
        <v>135361</v>
      </c>
      <c r="F215" s="395" t="s">
        <v>296</v>
      </c>
      <c r="G215" s="396"/>
      <c r="H215" s="397"/>
      <c r="I215" s="383">
        <v>317000</v>
      </c>
      <c r="J215" s="398">
        <v>135361</v>
      </c>
      <c r="K215" s="399" t="s">
        <v>70</v>
      </c>
      <c r="L215" s="399" t="s">
        <v>34</v>
      </c>
      <c r="M215" s="399">
        <v>18.899999999999999</v>
      </c>
      <c r="N215" s="356">
        <v>317000</v>
      </c>
      <c r="O215" s="28" t="b">
        <f t="shared" si="27"/>
        <v>1</v>
      </c>
    </row>
    <row r="216" spans="2:15" s="28" customFormat="1" ht="16.5" customHeight="1">
      <c r="B216" s="20"/>
      <c r="C216" s="20"/>
      <c r="D216" s="254"/>
      <c r="E216" s="379">
        <v>135421</v>
      </c>
      <c r="F216" s="395" t="s">
        <v>500</v>
      </c>
      <c r="G216" s="396"/>
      <c r="H216" s="397"/>
      <c r="I216" s="383">
        <v>5049000</v>
      </c>
      <c r="J216" s="398">
        <v>135421</v>
      </c>
      <c r="K216" s="399" t="s">
        <v>71</v>
      </c>
      <c r="L216" s="399" t="s">
        <v>34</v>
      </c>
      <c r="M216" s="399">
        <v>208</v>
      </c>
      <c r="N216" s="356">
        <v>5049000</v>
      </c>
      <c r="O216" s="28" t="b">
        <f t="shared" si="27"/>
        <v>1</v>
      </c>
    </row>
    <row r="217" spans="2:15" s="28" customFormat="1" ht="16.5" customHeight="1">
      <c r="B217" s="20"/>
      <c r="C217" s="20"/>
      <c r="D217" s="254"/>
      <c r="E217" s="379">
        <v>135431</v>
      </c>
      <c r="F217" s="395" t="s">
        <v>501</v>
      </c>
      <c r="G217" s="396"/>
      <c r="H217" s="397"/>
      <c r="I217" s="383">
        <v>3873000</v>
      </c>
      <c r="J217" s="398">
        <v>135431</v>
      </c>
      <c r="K217" s="399" t="s">
        <v>71</v>
      </c>
      <c r="L217" s="399" t="s">
        <v>34</v>
      </c>
      <c r="M217" s="399">
        <v>177</v>
      </c>
      <c r="N217" s="356">
        <v>3873000</v>
      </c>
      <c r="O217" s="28" t="b">
        <f t="shared" si="27"/>
        <v>1</v>
      </c>
    </row>
    <row r="218" spans="2:15" s="28" customFormat="1" ht="16.5" customHeight="1">
      <c r="B218" s="20"/>
      <c r="C218" s="20"/>
      <c r="D218" s="254"/>
      <c r="E218" s="379">
        <v>135432</v>
      </c>
      <c r="F218" s="395" t="s">
        <v>502</v>
      </c>
      <c r="G218" s="396"/>
      <c r="H218" s="397"/>
      <c r="I218" s="383">
        <v>3962000</v>
      </c>
      <c r="J218" s="398">
        <v>135432</v>
      </c>
      <c r="K218" s="399" t="s">
        <v>71</v>
      </c>
      <c r="L218" s="399" t="s">
        <v>34</v>
      </c>
      <c r="M218" s="399">
        <v>177</v>
      </c>
      <c r="N218" s="356">
        <v>3962000</v>
      </c>
      <c r="O218" s="28" t="b">
        <f t="shared" si="27"/>
        <v>1</v>
      </c>
    </row>
    <row r="219" spans="2:15" s="28" customFormat="1" ht="16.5" customHeight="1">
      <c r="B219" s="20"/>
      <c r="C219" s="20"/>
      <c r="D219" s="254"/>
      <c r="E219" s="379">
        <v>135437</v>
      </c>
      <c r="F219" s="395" t="s">
        <v>503</v>
      </c>
      <c r="G219" s="396"/>
      <c r="H219" s="397"/>
      <c r="I219" s="383">
        <v>3634000</v>
      </c>
      <c r="J219" s="398">
        <v>135437</v>
      </c>
      <c r="K219" s="399" t="s">
        <v>71</v>
      </c>
      <c r="L219" s="399" t="s">
        <v>34</v>
      </c>
      <c r="M219" s="399">
        <v>176.9</v>
      </c>
      <c r="N219" s="356">
        <v>3634000</v>
      </c>
      <c r="O219" s="28" t="b">
        <f t="shared" si="27"/>
        <v>1</v>
      </c>
    </row>
    <row r="220" spans="2:15" s="28" customFormat="1" ht="16.5" customHeight="1">
      <c r="B220" s="20"/>
      <c r="C220" s="20"/>
      <c r="D220" s="254"/>
      <c r="E220" s="379">
        <v>135439</v>
      </c>
      <c r="F220" s="395" t="s">
        <v>504</v>
      </c>
      <c r="G220" s="396"/>
      <c r="H220" s="397"/>
      <c r="I220" s="383">
        <v>4035000</v>
      </c>
      <c r="J220" s="398">
        <v>135439</v>
      </c>
      <c r="K220" s="399" t="s">
        <v>71</v>
      </c>
      <c r="L220" s="399" t="s">
        <v>34</v>
      </c>
      <c r="M220" s="399">
        <v>176.9</v>
      </c>
      <c r="N220" s="356">
        <v>4035000</v>
      </c>
      <c r="O220" s="28" t="b">
        <f t="shared" si="27"/>
        <v>1</v>
      </c>
    </row>
    <row r="221" spans="2:15" s="28" customFormat="1" ht="16.5" customHeight="1">
      <c r="B221" s="20"/>
      <c r="C221" s="20"/>
      <c r="D221" s="254"/>
      <c r="E221" s="379">
        <v>135440</v>
      </c>
      <c r="F221" s="395" t="s">
        <v>505</v>
      </c>
      <c r="G221" s="396"/>
      <c r="H221" s="397"/>
      <c r="I221" s="383">
        <v>2915000</v>
      </c>
      <c r="J221" s="398">
        <v>135440</v>
      </c>
      <c r="K221" s="399" t="s">
        <v>71</v>
      </c>
      <c r="L221" s="399" t="s">
        <v>34</v>
      </c>
      <c r="M221" s="399">
        <v>208</v>
      </c>
      <c r="N221" s="356">
        <v>2915000</v>
      </c>
      <c r="O221" s="28" t="b">
        <f t="shared" si="27"/>
        <v>1</v>
      </c>
    </row>
    <row r="222" spans="2:15" s="28" customFormat="1" ht="16.5" customHeight="1">
      <c r="B222" s="20"/>
      <c r="C222" s="20"/>
      <c r="D222" s="254"/>
      <c r="E222" s="379">
        <v>135444</v>
      </c>
      <c r="F222" s="395" t="s">
        <v>507</v>
      </c>
      <c r="G222" s="396"/>
      <c r="H222" s="397"/>
      <c r="I222" s="383">
        <v>4131000</v>
      </c>
      <c r="J222" s="399">
        <v>135444</v>
      </c>
      <c r="K222" s="399" t="s">
        <v>71</v>
      </c>
      <c r="L222" s="399" t="s">
        <v>34</v>
      </c>
      <c r="M222" s="399">
        <v>177</v>
      </c>
      <c r="N222" s="356">
        <v>4131000</v>
      </c>
      <c r="O222" s="28" t="b">
        <f t="shared" si="27"/>
        <v>1</v>
      </c>
    </row>
    <row r="223" spans="2:15" s="28" customFormat="1" ht="16.5" customHeight="1">
      <c r="B223" s="20"/>
      <c r="C223" s="20"/>
      <c r="D223" s="254"/>
      <c r="E223" s="379">
        <v>135448</v>
      </c>
      <c r="F223" s="395" t="s">
        <v>508</v>
      </c>
      <c r="G223" s="396"/>
      <c r="H223" s="397"/>
      <c r="I223" s="383">
        <v>3842000</v>
      </c>
      <c r="J223" s="398">
        <v>135448</v>
      </c>
      <c r="K223" s="399" t="s">
        <v>71</v>
      </c>
      <c r="L223" s="399" t="s">
        <v>34</v>
      </c>
      <c r="M223" s="399">
        <v>177</v>
      </c>
      <c r="N223" s="356">
        <v>3842000</v>
      </c>
      <c r="O223" s="28" t="b">
        <f t="shared" si="27"/>
        <v>1</v>
      </c>
    </row>
    <row r="224" spans="2:15" s="28" customFormat="1" ht="16.5" customHeight="1">
      <c r="B224" s="20"/>
      <c r="C224" s="20"/>
      <c r="D224" s="254"/>
      <c r="E224" s="379">
        <v>135449</v>
      </c>
      <c r="F224" s="395" t="s">
        <v>300</v>
      </c>
      <c r="G224" s="396"/>
      <c r="H224" s="397"/>
      <c r="I224" s="383"/>
      <c r="J224" s="398">
        <v>135449</v>
      </c>
      <c r="K224" s="399" t="s">
        <v>73</v>
      </c>
      <c r="L224" s="399" t="s">
        <v>34</v>
      </c>
      <c r="M224" s="399">
        <v>21.1</v>
      </c>
      <c r="N224" s="356" t="e">
        <v>#N/A</v>
      </c>
      <c r="O224" s="28" t="e">
        <f t="shared" si="27"/>
        <v>#N/A</v>
      </c>
    </row>
    <row r="225" spans="2:15" s="28" customFormat="1" ht="16.5" customHeight="1">
      <c r="B225" s="20"/>
      <c r="C225" s="20"/>
      <c r="D225" s="254"/>
      <c r="E225" s="379">
        <v>135451</v>
      </c>
      <c r="F225" s="395" t="s">
        <v>509</v>
      </c>
      <c r="G225" s="396"/>
      <c r="H225" s="397"/>
      <c r="I225" s="383">
        <v>3847000</v>
      </c>
      <c r="J225" s="398">
        <v>135451</v>
      </c>
      <c r="K225" s="399" t="s">
        <v>71</v>
      </c>
      <c r="L225" s="399" t="s">
        <v>34</v>
      </c>
      <c r="M225" s="399">
        <v>177</v>
      </c>
      <c r="N225" s="356">
        <v>3847000</v>
      </c>
      <c r="O225" s="28" t="b">
        <f t="shared" si="27"/>
        <v>1</v>
      </c>
    </row>
    <row r="226" spans="2:15" s="28" customFormat="1" ht="16.5" customHeight="1">
      <c r="B226" s="20"/>
      <c r="C226" s="20"/>
      <c r="D226" s="254"/>
      <c r="E226" s="379">
        <v>135452</v>
      </c>
      <c r="F226" s="395" t="s">
        <v>510</v>
      </c>
      <c r="G226" s="396"/>
      <c r="H226" s="397"/>
      <c r="I226" s="383">
        <v>2586000</v>
      </c>
      <c r="J226" s="398">
        <v>135452</v>
      </c>
      <c r="K226" s="399" t="s">
        <v>71</v>
      </c>
      <c r="L226" s="399" t="s">
        <v>34</v>
      </c>
      <c r="M226" s="399">
        <v>208</v>
      </c>
      <c r="N226" s="356">
        <v>2586000</v>
      </c>
      <c r="O226" s="28" t="b">
        <f t="shared" si="27"/>
        <v>1</v>
      </c>
    </row>
    <row r="227" spans="2:15" s="28" customFormat="1" ht="16.5" customHeight="1">
      <c r="B227" s="20"/>
      <c r="C227" s="20"/>
      <c r="D227" s="254"/>
      <c r="E227" s="379">
        <v>135453</v>
      </c>
      <c r="F227" s="395" t="s">
        <v>301</v>
      </c>
      <c r="G227" s="396"/>
      <c r="H227" s="397"/>
      <c r="I227" s="383">
        <v>262000</v>
      </c>
      <c r="J227" s="398">
        <v>135453</v>
      </c>
      <c r="K227" s="399" t="s">
        <v>70</v>
      </c>
      <c r="L227" s="399" t="s">
        <v>34</v>
      </c>
      <c r="M227" s="399">
        <v>18.899999999999999</v>
      </c>
      <c r="N227" s="356">
        <v>262000</v>
      </c>
      <c r="O227" s="28" t="b">
        <f t="shared" si="27"/>
        <v>1</v>
      </c>
    </row>
    <row r="228" spans="2:15" s="28" customFormat="1" ht="16.5" customHeight="1">
      <c r="B228" s="20"/>
      <c r="C228" s="20"/>
      <c r="D228" s="254"/>
      <c r="E228" s="379">
        <v>135454</v>
      </c>
      <c r="F228" s="395" t="s">
        <v>511</v>
      </c>
      <c r="G228" s="396"/>
      <c r="H228" s="397"/>
      <c r="I228" s="383">
        <v>2602000</v>
      </c>
      <c r="J228" s="398">
        <v>135454</v>
      </c>
      <c r="K228" s="399" t="s">
        <v>71</v>
      </c>
      <c r="L228" s="399" t="s">
        <v>34</v>
      </c>
      <c r="M228" s="399">
        <v>208</v>
      </c>
      <c r="N228" s="356">
        <v>2602000</v>
      </c>
      <c r="O228" s="28" t="b">
        <f t="shared" si="27"/>
        <v>1</v>
      </c>
    </row>
    <row r="229" spans="2:15" s="28" customFormat="1" ht="16.5" customHeight="1">
      <c r="B229" s="20"/>
      <c r="C229" s="20"/>
      <c r="D229" s="254"/>
      <c r="E229" s="379">
        <v>135455</v>
      </c>
      <c r="F229" s="395" t="s">
        <v>302</v>
      </c>
      <c r="G229" s="396"/>
      <c r="H229" s="397"/>
      <c r="I229" s="383">
        <v>282000</v>
      </c>
      <c r="J229" s="398">
        <v>135455</v>
      </c>
      <c r="K229" s="399" t="s">
        <v>70</v>
      </c>
      <c r="L229" s="399" t="s">
        <v>34</v>
      </c>
      <c r="M229" s="399">
        <v>18.899999999999999</v>
      </c>
      <c r="N229" s="356">
        <v>282000</v>
      </c>
      <c r="O229" s="28" t="b">
        <f t="shared" si="27"/>
        <v>1</v>
      </c>
    </row>
    <row r="230" spans="2:15" s="28" customFormat="1" ht="16.5" customHeight="1">
      <c r="B230" s="20"/>
      <c r="C230" s="20"/>
      <c r="D230" s="254"/>
      <c r="E230" s="379">
        <v>135456</v>
      </c>
      <c r="F230" s="395" t="s">
        <v>512</v>
      </c>
      <c r="G230" s="396"/>
      <c r="H230" s="397"/>
      <c r="I230" s="383">
        <v>2995000</v>
      </c>
      <c r="J230" s="398">
        <v>135456</v>
      </c>
      <c r="K230" s="399" t="s">
        <v>71</v>
      </c>
      <c r="L230" s="399" t="s">
        <v>34</v>
      </c>
      <c r="M230" s="399">
        <v>208</v>
      </c>
      <c r="N230" s="356">
        <v>2995000</v>
      </c>
      <c r="O230" s="28" t="b">
        <f t="shared" si="27"/>
        <v>1</v>
      </c>
    </row>
    <row r="231" spans="2:15" s="28" customFormat="1" ht="16.5" customHeight="1">
      <c r="B231" s="20"/>
      <c r="C231" s="20"/>
      <c r="D231" s="254"/>
      <c r="E231" s="379">
        <v>135457</v>
      </c>
      <c r="F231" s="395" t="s">
        <v>303</v>
      </c>
      <c r="G231" s="396"/>
      <c r="H231" s="397"/>
      <c r="I231" s="383">
        <v>287000</v>
      </c>
      <c r="J231" s="398">
        <v>135457</v>
      </c>
      <c r="K231" s="399" t="s">
        <v>70</v>
      </c>
      <c r="L231" s="399" t="s">
        <v>34</v>
      </c>
      <c r="M231" s="399">
        <v>18.899999999999999</v>
      </c>
      <c r="N231" s="356">
        <v>287000</v>
      </c>
      <c r="O231" s="28" t="b">
        <f t="shared" si="27"/>
        <v>1</v>
      </c>
    </row>
    <row r="232" spans="2:15" s="28" customFormat="1" ht="16.5" customHeight="1">
      <c r="B232" s="20"/>
      <c r="C232" s="20"/>
      <c r="D232" s="254"/>
      <c r="E232" s="379">
        <v>135458</v>
      </c>
      <c r="F232" s="395" t="s">
        <v>420</v>
      </c>
      <c r="G232" s="396"/>
      <c r="H232" s="397"/>
      <c r="I232" s="383">
        <v>2763000</v>
      </c>
      <c r="J232" s="398">
        <v>135458</v>
      </c>
      <c r="K232" s="399" t="s">
        <v>71</v>
      </c>
      <c r="L232" s="399" t="s">
        <v>34</v>
      </c>
      <c r="M232" s="399">
        <v>208</v>
      </c>
      <c r="N232" s="356">
        <v>2763000</v>
      </c>
      <c r="O232" s="28" t="b">
        <f t="shared" si="27"/>
        <v>1</v>
      </c>
    </row>
    <row r="233" spans="2:15" s="28" customFormat="1" ht="16.5" customHeight="1">
      <c r="B233" s="20"/>
      <c r="C233" s="20"/>
      <c r="D233" s="254"/>
      <c r="E233" s="379">
        <v>135460</v>
      </c>
      <c r="F233" s="395" t="s">
        <v>304</v>
      </c>
      <c r="G233" s="396"/>
      <c r="H233" s="397"/>
      <c r="I233" s="383">
        <v>337000</v>
      </c>
      <c r="J233" s="398">
        <v>135460</v>
      </c>
      <c r="K233" s="399" t="s">
        <v>70</v>
      </c>
      <c r="L233" s="399" t="s">
        <v>34</v>
      </c>
      <c r="M233" s="399">
        <v>18.899999999999999</v>
      </c>
      <c r="N233" s="356">
        <v>337000</v>
      </c>
      <c r="O233" s="28" t="b">
        <f t="shared" si="27"/>
        <v>1</v>
      </c>
    </row>
    <row r="234" spans="2:15" s="28" customFormat="1" ht="16.5" customHeight="1">
      <c r="B234" s="20"/>
      <c r="C234" s="20"/>
      <c r="D234" s="254"/>
      <c r="E234" s="379">
        <v>135461</v>
      </c>
      <c r="F234" s="395" t="s">
        <v>513</v>
      </c>
      <c r="G234" s="396"/>
      <c r="H234" s="397"/>
      <c r="I234" s="383">
        <v>3255000</v>
      </c>
      <c r="J234" s="398">
        <v>135461</v>
      </c>
      <c r="K234" s="399" t="s">
        <v>71</v>
      </c>
      <c r="L234" s="399" t="s">
        <v>34</v>
      </c>
      <c r="M234" s="399">
        <v>208</v>
      </c>
      <c r="N234" s="356">
        <v>3255000</v>
      </c>
      <c r="O234" s="28" t="b">
        <f t="shared" si="27"/>
        <v>1</v>
      </c>
    </row>
    <row r="235" spans="2:15" s="28" customFormat="1" ht="16.5" customHeight="1">
      <c r="B235" s="20"/>
      <c r="C235" s="20"/>
      <c r="D235" s="254"/>
      <c r="E235" s="379">
        <v>135462</v>
      </c>
      <c r="F235" s="395" t="s">
        <v>305</v>
      </c>
      <c r="G235" s="396"/>
      <c r="H235" s="397"/>
      <c r="I235" s="383">
        <v>351000</v>
      </c>
      <c r="J235" s="398">
        <v>135462</v>
      </c>
      <c r="K235" s="399" t="s">
        <v>70</v>
      </c>
      <c r="L235" s="399" t="s">
        <v>34</v>
      </c>
      <c r="M235" s="399">
        <v>18.899999999999999</v>
      </c>
      <c r="N235" s="356">
        <v>351000</v>
      </c>
      <c r="O235" s="28" t="b">
        <f t="shared" si="27"/>
        <v>1</v>
      </c>
    </row>
    <row r="236" spans="2:15" s="28" customFormat="1" ht="16.5" customHeight="1">
      <c r="B236" s="20"/>
      <c r="C236" s="20"/>
      <c r="D236" s="254"/>
      <c r="E236" s="379">
        <v>135463</v>
      </c>
      <c r="F236" s="395" t="s">
        <v>514</v>
      </c>
      <c r="G236" s="396"/>
      <c r="H236" s="397"/>
      <c r="I236" s="383">
        <v>3383000</v>
      </c>
      <c r="J236" s="398">
        <v>135463</v>
      </c>
      <c r="K236" s="399" t="s">
        <v>71</v>
      </c>
      <c r="L236" s="399" t="s">
        <v>34</v>
      </c>
      <c r="M236" s="399">
        <v>208</v>
      </c>
      <c r="N236" s="356">
        <v>3383000</v>
      </c>
      <c r="O236" s="28" t="b">
        <f t="shared" si="27"/>
        <v>1</v>
      </c>
    </row>
    <row r="237" spans="2:15" s="28" customFormat="1" ht="16.5" customHeight="1">
      <c r="B237" s="20"/>
      <c r="C237" s="20"/>
      <c r="D237" s="254"/>
      <c r="E237" s="379">
        <v>135464</v>
      </c>
      <c r="F237" s="395" t="s">
        <v>306</v>
      </c>
      <c r="G237" s="396"/>
      <c r="H237" s="397"/>
      <c r="I237" s="383">
        <v>364000</v>
      </c>
      <c r="J237" s="398">
        <v>135464</v>
      </c>
      <c r="K237" s="399" t="s">
        <v>70</v>
      </c>
      <c r="L237" s="399" t="s">
        <v>34</v>
      </c>
      <c r="M237" s="399">
        <v>18.899999999999999</v>
      </c>
      <c r="N237" s="356">
        <v>364000</v>
      </c>
      <c r="O237" s="28" t="b">
        <f t="shared" si="27"/>
        <v>1</v>
      </c>
    </row>
    <row r="238" spans="2:15" s="28" customFormat="1" ht="16.5" customHeight="1">
      <c r="B238" s="20"/>
      <c r="C238" s="20"/>
      <c r="D238" s="254"/>
      <c r="E238" s="379">
        <v>135488</v>
      </c>
      <c r="F238" s="395" t="s">
        <v>240</v>
      </c>
      <c r="G238" s="396"/>
      <c r="H238" s="397"/>
      <c r="I238" s="383">
        <v>47600</v>
      </c>
      <c r="J238" s="398">
        <v>135488</v>
      </c>
      <c r="K238" s="399" t="s">
        <v>70</v>
      </c>
      <c r="L238" s="399" t="s">
        <v>34</v>
      </c>
      <c r="M238" s="399">
        <v>20</v>
      </c>
      <c r="N238" s="356">
        <v>47600</v>
      </c>
      <c r="O238" s="28" t="b">
        <f t="shared" si="27"/>
        <v>1</v>
      </c>
    </row>
    <row r="239" spans="2:15" s="28" customFormat="1" ht="16.5" customHeight="1">
      <c r="B239" s="20"/>
      <c r="C239" s="20"/>
      <c r="D239" s="254"/>
      <c r="E239" s="379">
        <v>148688</v>
      </c>
      <c r="F239" s="395" t="s">
        <v>307</v>
      </c>
      <c r="G239" s="396"/>
      <c r="H239" s="397"/>
      <c r="I239" s="383">
        <v>69500</v>
      </c>
      <c r="J239" s="398">
        <v>148688</v>
      </c>
      <c r="K239" s="399" t="s">
        <v>70</v>
      </c>
      <c r="L239" s="399" t="s">
        <v>34</v>
      </c>
      <c r="M239" s="399">
        <v>20</v>
      </c>
      <c r="N239" s="356">
        <v>69500</v>
      </c>
      <c r="O239" s="28" t="b">
        <f t="shared" si="27"/>
        <v>1</v>
      </c>
    </row>
    <row r="240" spans="2:15" s="28" customFormat="1" ht="16.5" customHeight="1">
      <c r="B240" s="20"/>
      <c r="C240" s="20"/>
      <c r="D240" s="254"/>
      <c r="E240" s="379">
        <v>135627</v>
      </c>
      <c r="F240" s="395" t="s">
        <v>36</v>
      </c>
      <c r="G240" s="396"/>
      <c r="H240" s="397"/>
      <c r="I240" s="383">
        <v>4915000</v>
      </c>
      <c r="J240" s="398">
        <v>135627</v>
      </c>
      <c r="K240" s="399" t="s">
        <v>71</v>
      </c>
      <c r="L240" s="399" t="s">
        <v>34</v>
      </c>
      <c r="M240" s="399">
        <v>175</v>
      </c>
      <c r="N240" s="356">
        <v>4915000</v>
      </c>
      <c r="O240" s="28" t="b">
        <f t="shared" si="27"/>
        <v>1</v>
      </c>
    </row>
    <row r="241" spans="2:15" s="28" customFormat="1" ht="16.5" customHeight="1">
      <c r="B241" s="20"/>
      <c r="C241" s="20"/>
      <c r="D241" s="254"/>
      <c r="E241" s="379">
        <v>135836</v>
      </c>
      <c r="F241" s="395" t="s">
        <v>66</v>
      </c>
      <c r="G241" s="396"/>
      <c r="H241" s="397"/>
      <c r="I241" s="383">
        <v>3321000</v>
      </c>
      <c r="J241" s="398">
        <v>135836</v>
      </c>
      <c r="K241" s="399" t="s">
        <v>71</v>
      </c>
      <c r="L241" s="399" t="s">
        <v>34</v>
      </c>
      <c r="M241" s="399">
        <v>208</v>
      </c>
      <c r="N241" s="356">
        <v>3321000</v>
      </c>
      <c r="O241" s="28" t="b">
        <f t="shared" si="27"/>
        <v>1</v>
      </c>
    </row>
    <row r="242" spans="2:15" s="28" customFormat="1" ht="16.5" customHeight="1">
      <c r="B242" s="20"/>
      <c r="C242" s="20"/>
      <c r="D242" s="254"/>
      <c r="E242" s="379">
        <v>135877</v>
      </c>
      <c r="F242" s="395" t="s">
        <v>308</v>
      </c>
      <c r="G242" s="396"/>
      <c r="H242" s="397"/>
      <c r="I242" s="383">
        <v>474000</v>
      </c>
      <c r="J242" s="398">
        <v>135877</v>
      </c>
      <c r="K242" s="399" t="s">
        <v>70</v>
      </c>
      <c r="L242" s="399" t="s">
        <v>34</v>
      </c>
      <c r="M242" s="399">
        <v>20</v>
      </c>
      <c r="N242" s="356">
        <v>474000</v>
      </c>
      <c r="O242" s="28" t="b">
        <f t="shared" si="27"/>
        <v>1</v>
      </c>
    </row>
    <row r="243" spans="2:15" s="28" customFormat="1" ht="16.5" customHeight="1">
      <c r="B243" s="20"/>
      <c r="C243" s="20"/>
      <c r="D243" s="254"/>
      <c r="E243" s="379">
        <v>135916</v>
      </c>
      <c r="F243" s="395" t="s">
        <v>516</v>
      </c>
      <c r="G243" s="396"/>
      <c r="H243" s="397"/>
      <c r="I243" s="383">
        <v>547000</v>
      </c>
      <c r="J243" s="398">
        <v>135916</v>
      </c>
      <c r="K243" s="399" t="s">
        <v>71</v>
      </c>
      <c r="L243" s="399" t="s">
        <v>34</v>
      </c>
      <c r="M243" s="399">
        <v>200</v>
      </c>
      <c r="N243" s="356">
        <v>547000</v>
      </c>
      <c r="O243" s="28" t="b">
        <f t="shared" si="27"/>
        <v>1</v>
      </c>
    </row>
    <row r="244" spans="2:15" s="28" customFormat="1" ht="16.5" customHeight="1">
      <c r="B244" s="20"/>
      <c r="C244" s="20"/>
      <c r="D244" s="254"/>
      <c r="E244" s="379">
        <v>148680</v>
      </c>
      <c r="F244" s="395" t="s">
        <v>45</v>
      </c>
      <c r="G244" s="396"/>
      <c r="H244" s="397"/>
      <c r="I244" s="383">
        <v>850000</v>
      </c>
      <c r="J244" s="398">
        <v>148680</v>
      </c>
      <c r="K244" s="399" t="s">
        <v>71</v>
      </c>
      <c r="L244" s="399" t="s">
        <v>34</v>
      </c>
      <c r="M244" s="399">
        <v>208</v>
      </c>
      <c r="N244" s="356">
        <v>850000</v>
      </c>
      <c r="O244" s="28" t="b">
        <f t="shared" si="27"/>
        <v>1</v>
      </c>
    </row>
    <row r="245" spans="2:15" s="28" customFormat="1" ht="16.5" customHeight="1">
      <c r="B245" s="20"/>
      <c r="C245" s="20"/>
      <c r="D245" s="254"/>
      <c r="E245" s="379">
        <v>135934</v>
      </c>
      <c r="F245" s="395" t="s">
        <v>309</v>
      </c>
      <c r="G245" s="396"/>
      <c r="H245" s="397"/>
      <c r="I245" s="383">
        <v>183000</v>
      </c>
      <c r="J245" s="398">
        <v>135934</v>
      </c>
      <c r="K245" s="399" t="s">
        <v>70</v>
      </c>
      <c r="L245" s="399" t="s">
        <v>34</v>
      </c>
      <c r="M245" s="399">
        <v>16</v>
      </c>
      <c r="N245" s="356">
        <v>183000</v>
      </c>
      <c r="O245" s="28" t="b">
        <f t="shared" si="27"/>
        <v>1</v>
      </c>
    </row>
    <row r="246" spans="2:15" s="28" customFormat="1" ht="16.5" customHeight="1">
      <c r="B246" s="20"/>
      <c r="C246" s="20"/>
      <c r="D246" s="254"/>
      <c r="E246" s="379">
        <v>135935</v>
      </c>
      <c r="F246" s="395" t="s">
        <v>517</v>
      </c>
      <c r="G246" s="401"/>
      <c r="H246" s="402"/>
      <c r="I246" s="383">
        <v>1871000</v>
      </c>
      <c r="J246" s="398">
        <v>135935</v>
      </c>
      <c r="K246" s="399" t="s">
        <v>71</v>
      </c>
      <c r="L246" s="399" t="s">
        <v>34</v>
      </c>
      <c r="M246" s="399">
        <v>180</v>
      </c>
      <c r="N246" s="356">
        <v>1871000</v>
      </c>
      <c r="O246" s="28" t="b">
        <f t="shared" si="27"/>
        <v>1</v>
      </c>
    </row>
    <row r="247" spans="2:15" s="28" customFormat="1" ht="16.5" customHeight="1">
      <c r="B247" s="20"/>
      <c r="C247" s="20"/>
      <c r="D247" s="254"/>
      <c r="E247" s="379">
        <v>148676</v>
      </c>
      <c r="F247" s="395" t="s">
        <v>520</v>
      </c>
      <c r="G247" s="396"/>
      <c r="H247" s="397"/>
      <c r="I247" s="383">
        <v>645000</v>
      </c>
      <c r="J247" s="398">
        <v>148676</v>
      </c>
      <c r="K247" s="399" t="s">
        <v>71</v>
      </c>
      <c r="L247" s="399" t="s">
        <v>34</v>
      </c>
      <c r="M247" s="399">
        <v>208</v>
      </c>
      <c r="N247" s="356">
        <v>645000</v>
      </c>
      <c r="O247" s="28" t="b">
        <f t="shared" si="27"/>
        <v>1</v>
      </c>
    </row>
    <row r="248" spans="2:15" s="28" customFormat="1" ht="16.5" customHeight="1">
      <c r="B248" s="20"/>
      <c r="C248" s="20"/>
      <c r="D248" s="254"/>
      <c r="E248" s="379">
        <v>136130</v>
      </c>
      <c r="F248" s="395" t="s">
        <v>311</v>
      </c>
      <c r="G248" s="396"/>
      <c r="H248" s="397"/>
      <c r="I248" s="383">
        <v>198000</v>
      </c>
      <c r="J248" s="398">
        <v>136130</v>
      </c>
      <c r="K248" s="399" t="s">
        <v>70</v>
      </c>
      <c r="L248" s="399" t="s">
        <v>34</v>
      </c>
      <c r="M248" s="399">
        <v>16</v>
      </c>
      <c r="N248" s="356">
        <v>198000</v>
      </c>
      <c r="O248" s="28" t="b">
        <f t="shared" si="27"/>
        <v>1</v>
      </c>
    </row>
    <row r="249" spans="2:15" s="28" customFormat="1" ht="16.5" customHeight="1">
      <c r="B249" s="20"/>
      <c r="C249" s="20"/>
      <c r="D249" s="254"/>
      <c r="E249" s="379">
        <v>136131</v>
      </c>
      <c r="F249" s="395" t="s">
        <v>521</v>
      </c>
      <c r="G249" s="396"/>
      <c r="H249" s="397"/>
      <c r="I249" s="383">
        <v>2166000</v>
      </c>
      <c r="J249" s="398">
        <v>136131</v>
      </c>
      <c r="K249" s="399" t="s">
        <v>71</v>
      </c>
      <c r="L249" s="399" t="s">
        <v>34</v>
      </c>
      <c r="M249" s="399">
        <v>180</v>
      </c>
      <c r="N249" s="356">
        <v>2166000</v>
      </c>
      <c r="O249" s="28" t="b">
        <f t="shared" si="27"/>
        <v>1</v>
      </c>
    </row>
    <row r="250" spans="2:15" s="28" customFormat="1" ht="16.5" customHeight="1">
      <c r="B250" s="20"/>
      <c r="C250" s="20"/>
      <c r="D250" s="254"/>
      <c r="E250" s="379">
        <v>136132</v>
      </c>
      <c r="F250" s="395" t="s">
        <v>312</v>
      </c>
      <c r="G250" s="396"/>
      <c r="H250" s="397"/>
      <c r="I250" s="383">
        <v>198000</v>
      </c>
      <c r="J250" s="398">
        <v>136132</v>
      </c>
      <c r="K250" s="399" t="s">
        <v>70</v>
      </c>
      <c r="L250" s="399" t="s">
        <v>34</v>
      </c>
      <c r="M250" s="399">
        <v>16</v>
      </c>
      <c r="N250" s="356">
        <v>198000</v>
      </c>
      <c r="O250" s="28" t="b">
        <f t="shared" si="27"/>
        <v>1</v>
      </c>
    </row>
    <row r="251" spans="2:15" s="28" customFormat="1" ht="16.5" customHeight="1">
      <c r="B251" s="20"/>
      <c r="C251" s="20"/>
      <c r="D251" s="254"/>
      <c r="E251" s="379">
        <v>136133</v>
      </c>
      <c r="F251" s="395" t="s">
        <v>522</v>
      </c>
      <c r="G251" s="396"/>
      <c r="H251" s="397"/>
      <c r="I251" s="383">
        <v>2222000</v>
      </c>
      <c r="J251" s="398">
        <v>136133</v>
      </c>
      <c r="K251" s="399" t="s">
        <v>71</v>
      </c>
      <c r="L251" s="399" t="s">
        <v>34</v>
      </c>
      <c r="M251" s="399">
        <v>180</v>
      </c>
      <c r="N251" s="356">
        <v>2222000</v>
      </c>
      <c r="O251" s="28" t="b">
        <f t="shared" si="27"/>
        <v>1</v>
      </c>
    </row>
    <row r="252" spans="2:15" s="28" customFormat="1" ht="16.5" customHeight="1">
      <c r="B252" s="20"/>
      <c r="C252" s="20"/>
      <c r="D252" s="254"/>
      <c r="E252" s="379">
        <v>136141</v>
      </c>
      <c r="F252" s="395" t="s">
        <v>523</v>
      </c>
      <c r="G252" s="396"/>
      <c r="H252" s="397"/>
      <c r="I252" s="383">
        <v>3527000</v>
      </c>
      <c r="J252" s="398">
        <v>136141</v>
      </c>
      <c r="K252" s="399" t="s">
        <v>71</v>
      </c>
      <c r="L252" s="399" t="s">
        <v>34</v>
      </c>
      <c r="M252" s="399">
        <v>181</v>
      </c>
      <c r="N252" s="356">
        <v>3527000</v>
      </c>
      <c r="O252" s="28" t="b">
        <f t="shared" si="27"/>
        <v>1</v>
      </c>
    </row>
    <row r="253" spans="2:15" s="28" customFormat="1" ht="16.5" customHeight="1">
      <c r="B253" s="20"/>
      <c r="C253" s="20"/>
      <c r="D253" s="254"/>
      <c r="E253" s="379">
        <v>136159</v>
      </c>
      <c r="F253" s="395" t="s">
        <v>525</v>
      </c>
      <c r="G253" s="396"/>
      <c r="H253" s="397"/>
      <c r="I253" s="383">
        <v>4607000</v>
      </c>
      <c r="J253" s="398">
        <v>136159</v>
      </c>
      <c r="K253" s="399" t="s">
        <v>71</v>
      </c>
      <c r="L253" s="399" t="s">
        <v>34</v>
      </c>
      <c r="M253" s="399">
        <v>208</v>
      </c>
      <c r="N253" s="356">
        <v>4607000</v>
      </c>
      <c r="O253" s="28" t="b">
        <f t="shared" si="27"/>
        <v>1</v>
      </c>
    </row>
    <row r="254" spans="2:15" s="28" customFormat="1" ht="16.5" customHeight="1">
      <c r="B254" s="20"/>
      <c r="C254" s="20"/>
      <c r="D254" s="254"/>
      <c r="E254" s="379">
        <v>136174</v>
      </c>
      <c r="F254" s="395" t="s">
        <v>526</v>
      </c>
      <c r="G254" s="396"/>
      <c r="H254" s="397"/>
      <c r="I254" s="383">
        <v>630000</v>
      </c>
      <c r="J254" s="398">
        <v>136174</v>
      </c>
      <c r="K254" s="399" t="s">
        <v>71</v>
      </c>
      <c r="L254" s="399" t="s">
        <v>34</v>
      </c>
      <c r="M254" s="399">
        <v>200</v>
      </c>
      <c r="N254" s="356">
        <v>630000</v>
      </c>
      <c r="O254" s="28" t="b">
        <f t="shared" si="27"/>
        <v>1</v>
      </c>
    </row>
    <row r="255" spans="2:15" s="28" customFormat="1" ht="16.5" customHeight="1">
      <c r="B255" s="20"/>
      <c r="C255" s="20"/>
      <c r="D255" s="254"/>
      <c r="E255" s="379">
        <v>136235</v>
      </c>
      <c r="F255" s="395" t="s">
        <v>739</v>
      </c>
      <c r="G255" s="396"/>
      <c r="H255" s="397"/>
      <c r="I255" s="383">
        <v>858000</v>
      </c>
      <c r="J255" s="398">
        <v>136235</v>
      </c>
      <c r="K255" s="399" t="s">
        <v>71</v>
      </c>
      <c r="L255" s="399" t="s">
        <v>34</v>
      </c>
      <c r="M255" s="399">
        <v>208</v>
      </c>
      <c r="N255" s="356">
        <v>858000</v>
      </c>
      <c r="O255" s="28" t="b">
        <f t="shared" si="27"/>
        <v>1</v>
      </c>
    </row>
    <row r="256" spans="2:15" s="28" customFormat="1" ht="16.5" customHeight="1">
      <c r="B256" s="20"/>
      <c r="C256" s="20"/>
      <c r="D256" s="254"/>
      <c r="E256" s="379">
        <v>148678</v>
      </c>
      <c r="F256" s="395" t="s">
        <v>527</v>
      </c>
      <c r="G256" s="396"/>
      <c r="H256" s="397"/>
      <c r="I256" s="383">
        <v>645000</v>
      </c>
      <c r="J256" s="398">
        <v>148678</v>
      </c>
      <c r="K256" s="399" t="s">
        <v>71</v>
      </c>
      <c r="L256" s="399" t="s">
        <v>34</v>
      </c>
      <c r="M256" s="399">
        <v>208</v>
      </c>
      <c r="N256" s="356">
        <v>645000</v>
      </c>
      <c r="O256" s="28" t="b">
        <f t="shared" si="27"/>
        <v>1</v>
      </c>
    </row>
    <row r="257" spans="2:15" s="28" customFormat="1" ht="16.5" customHeight="1">
      <c r="B257" s="20"/>
      <c r="C257" s="20"/>
      <c r="D257" s="254"/>
      <c r="E257" s="379">
        <v>143561</v>
      </c>
      <c r="F257" s="395" t="s">
        <v>558</v>
      </c>
      <c r="G257" s="396"/>
      <c r="H257" s="397"/>
      <c r="I257" s="383">
        <v>728000</v>
      </c>
      <c r="J257" s="398">
        <v>138959</v>
      </c>
      <c r="K257" s="399" t="s">
        <v>71</v>
      </c>
      <c r="L257" s="399" t="s">
        <v>34</v>
      </c>
      <c r="M257" s="399">
        <v>200</v>
      </c>
      <c r="N257" s="356">
        <v>728000</v>
      </c>
      <c r="O257" s="28" t="b">
        <f t="shared" si="27"/>
        <v>1</v>
      </c>
    </row>
    <row r="258" spans="2:15" s="28" customFormat="1" ht="16.5" customHeight="1">
      <c r="B258" s="20"/>
      <c r="C258" s="20"/>
      <c r="D258" s="254"/>
      <c r="E258" s="379">
        <v>143560</v>
      </c>
      <c r="F258" s="395" t="s">
        <v>559</v>
      </c>
      <c r="G258" s="396"/>
      <c r="H258" s="397"/>
      <c r="I258" s="383">
        <v>728000</v>
      </c>
      <c r="J258" s="398">
        <v>138960</v>
      </c>
      <c r="K258" s="399" t="s">
        <v>71</v>
      </c>
      <c r="L258" s="399" t="s">
        <v>34</v>
      </c>
      <c r="M258" s="399">
        <v>200</v>
      </c>
      <c r="N258" s="356">
        <v>728000</v>
      </c>
      <c r="O258" s="28" t="b">
        <f t="shared" si="27"/>
        <v>1</v>
      </c>
    </row>
    <row r="259" spans="2:15" s="28" customFormat="1" ht="16.5" customHeight="1">
      <c r="B259" s="20"/>
      <c r="C259" s="20"/>
      <c r="D259" s="254"/>
      <c r="E259" s="379">
        <v>141666</v>
      </c>
      <c r="F259" s="395" t="s">
        <v>560</v>
      </c>
      <c r="G259" s="396"/>
      <c r="H259" s="397"/>
      <c r="I259" s="383">
        <v>755000</v>
      </c>
      <c r="J259" s="398">
        <v>138961</v>
      </c>
      <c r="K259" s="399" t="s">
        <v>71</v>
      </c>
      <c r="L259" s="399" t="s">
        <v>34</v>
      </c>
      <c r="M259" s="399">
        <v>200</v>
      </c>
      <c r="N259" s="356">
        <v>755000</v>
      </c>
      <c r="O259" s="28" t="b">
        <f t="shared" si="27"/>
        <v>1</v>
      </c>
    </row>
    <row r="260" spans="2:15" s="28" customFormat="1" ht="16.5" customHeight="1">
      <c r="B260" s="20"/>
      <c r="C260" s="20"/>
      <c r="D260" s="254"/>
      <c r="E260" s="379">
        <v>138963</v>
      </c>
      <c r="F260" s="395" t="s">
        <v>562</v>
      </c>
      <c r="G260" s="396"/>
      <c r="H260" s="397"/>
      <c r="I260" s="383">
        <v>755000</v>
      </c>
      <c r="J260" s="398">
        <v>138963</v>
      </c>
      <c r="K260" s="399" t="s">
        <v>71</v>
      </c>
      <c r="L260" s="399" t="s">
        <v>34</v>
      </c>
      <c r="M260" s="399">
        <v>200</v>
      </c>
      <c r="N260" s="356">
        <v>755000</v>
      </c>
      <c r="O260" s="28" t="b">
        <f t="shared" si="27"/>
        <v>1</v>
      </c>
    </row>
    <row r="261" spans="2:15" s="28" customFormat="1" ht="16.5" customHeight="1">
      <c r="B261" s="20"/>
      <c r="C261" s="20"/>
      <c r="D261" s="254"/>
      <c r="E261" s="379">
        <v>138964</v>
      </c>
      <c r="F261" s="395" t="s">
        <v>315</v>
      </c>
      <c r="G261" s="396"/>
      <c r="H261" s="397"/>
      <c r="I261" s="383">
        <v>79600</v>
      </c>
      <c r="J261" s="398">
        <v>138964</v>
      </c>
      <c r="K261" s="399" t="s">
        <v>70</v>
      </c>
      <c r="L261" s="399" t="s">
        <v>34</v>
      </c>
      <c r="M261" s="399">
        <v>20</v>
      </c>
      <c r="N261" s="356">
        <v>79600</v>
      </c>
      <c r="O261" s="28" t="b">
        <f t="shared" si="27"/>
        <v>1</v>
      </c>
    </row>
    <row r="262" spans="2:15" s="28" customFormat="1" ht="16.5" customHeight="1">
      <c r="B262" s="20"/>
      <c r="C262" s="20"/>
      <c r="D262" s="254"/>
      <c r="E262" s="379">
        <v>136234</v>
      </c>
      <c r="F262" s="395" t="s">
        <v>316</v>
      </c>
      <c r="G262" s="396"/>
      <c r="H262" s="397"/>
      <c r="I262" s="383">
        <v>94600</v>
      </c>
      <c r="J262" s="398">
        <v>138980</v>
      </c>
      <c r="K262" s="399" t="s">
        <v>70</v>
      </c>
      <c r="L262" s="399" t="s">
        <v>34</v>
      </c>
      <c r="M262" s="399">
        <v>20</v>
      </c>
      <c r="N262" s="356">
        <v>94600</v>
      </c>
      <c r="O262" s="28" t="b">
        <f t="shared" si="27"/>
        <v>1</v>
      </c>
    </row>
    <row r="263" spans="2:15" s="28" customFormat="1" ht="16.5" customHeight="1">
      <c r="B263" s="20"/>
      <c r="C263" s="20"/>
      <c r="D263" s="254"/>
      <c r="E263" s="379">
        <v>139023</v>
      </c>
      <c r="F263" s="395" t="s">
        <v>569</v>
      </c>
      <c r="G263" s="396"/>
      <c r="H263" s="397"/>
      <c r="I263" s="383">
        <v>893000</v>
      </c>
      <c r="J263" s="398">
        <v>139023</v>
      </c>
      <c r="K263" s="399" t="s">
        <v>71</v>
      </c>
      <c r="L263" s="399" t="s">
        <v>34</v>
      </c>
      <c r="M263" s="399">
        <v>200</v>
      </c>
      <c r="N263" s="356">
        <v>893000</v>
      </c>
      <c r="O263" s="28" t="b">
        <f t="shared" si="27"/>
        <v>1</v>
      </c>
    </row>
    <row r="264" spans="2:15" s="28" customFormat="1" ht="16.5" customHeight="1">
      <c r="B264" s="20"/>
      <c r="C264" s="20"/>
      <c r="D264" s="254"/>
      <c r="E264" s="379">
        <v>139026</v>
      </c>
      <c r="F264" s="395" t="s">
        <v>571</v>
      </c>
      <c r="G264" s="396"/>
      <c r="H264" s="397"/>
      <c r="I264" s="383">
        <v>670000</v>
      </c>
      <c r="J264" s="398">
        <v>139026</v>
      </c>
      <c r="K264" s="399" t="s">
        <v>71</v>
      </c>
      <c r="L264" s="399" t="s">
        <v>34</v>
      </c>
      <c r="M264" s="399">
        <v>200</v>
      </c>
      <c r="N264" s="356">
        <v>670000</v>
      </c>
      <c r="O264" s="28" t="b">
        <f t="shared" ref="O264:O327" si="28">I264=N264</f>
        <v>1</v>
      </c>
    </row>
    <row r="265" spans="2:15" s="28" customFormat="1" ht="16.5" customHeight="1">
      <c r="B265" s="20"/>
      <c r="C265" s="20"/>
      <c r="D265" s="254"/>
      <c r="E265" s="379">
        <v>139027</v>
      </c>
      <c r="F265" s="395" t="s">
        <v>572</v>
      </c>
      <c r="G265" s="396"/>
      <c r="H265" s="397"/>
      <c r="I265" s="383">
        <v>749000</v>
      </c>
      <c r="J265" s="398">
        <v>139027</v>
      </c>
      <c r="K265" s="399" t="s">
        <v>71</v>
      </c>
      <c r="L265" s="399" t="s">
        <v>34</v>
      </c>
      <c r="M265" s="399">
        <v>200</v>
      </c>
      <c r="N265" s="356">
        <v>749000</v>
      </c>
      <c r="O265" s="28" t="b">
        <f t="shared" si="28"/>
        <v>1</v>
      </c>
    </row>
    <row r="266" spans="2:15" s="28" customFormat="1" ht="16.5" customHeight="1">
      <c r="B266" s="20"/>
      <c r="C266" s="20"/>
      <c r="D266" s="254"/>
      <c r="E266" s="379">
        <v>139028</v>
      </c>
      <c r="F266" s="395" t="s">
        <v>573</v>
      </c>
      <c r="G266" s="396"/>
      <c r="H266" s="397"/>
      <c r="I266" s="383">
        <v>893000</v>
      </c>
      <c r="J266" s="398">
        <v>139028</v>
      </c>
      <c r="K266" s="399" t="s">
        <v>71</v>
      </c>
      <c r="L266" s="399" t="s">
        <v>34</v>
      </c>
      <c r="M266" s="399">
        <v>200</v>
      </c>
      <c r="N266" s="356">
        <v>893000</v>
      </c>
      <c r="O266" s="28" t="b">
        <f t="shared" si="28"/>
        <v>1</v>
      </c>
    </row>
    <row r="267" spans="2:15" s="28" customFormat="1" ht="16.5" customHeight="1">
      <c r="B267" s="20"/>
      <c r="C267" s="20"/>
      <c r="D267" s="254"/>
      <c r="E267" s="379">
        <v>139029</v>
      </c>
      <c r="F267" s="395" t="s">
        <v>574</v>
      </c>
      <c r="G267" s="396"/>
      <c r="H267" s="397"/>
      <c r="I267" s="383">
        <v>535000</v>
      </c>
      <c r="J267" s="398">
        <v>139029</v>
      </c>
      <c r="K267" s="399" t="s">
        <v>71</v>
      </c>
      <c r="L267" s="399" t="s">
        <v>34</v>
      </c>
      <c r="M267" s="399">
        <v>200</v>
      </c>
      <c r="N267" s="356">
        <v>535000</v>
      </c>
      <c r="O267" s="28" t="b">
        <f t="shared" si="28"/>
        <v>1</v>
      </c>
    </row>
    <row r="268" spans="2:15" s="28" customFormat="1" ht="16.5" customHeight="1">
      <c r="B268" s="20"/>
      <c r="C268" s="20"/>
      <c r="D268" s="254"/>
      <c r="E268" s="379">
        <v>139030</v>
      </c>
      <c r="F268" s="395" t="s">
        <v>236</v>
      </c>
      <c r="G268" s="396"/>
      <c r="H268" s="397"/>
      <c r="I268" s="383">
        <v>54500</v>
      </c>
      <c r="J268" s="398">
        <v>139030</v>
      </c>
      <c r="K268" s="399" t="s">
        <v>70</v>
      </c>
      <c r="L268" s="399" t="s">
        <v>34</v>
      </c>
      <c r="M268" s="399">
        <v>20</v>
      </c>
      <c r="N268" s="356">
        <v>54500</v>
      </c>
      <c r="O268" s="28" t="b">
        <f t="shared" si="28"/>
        <v>1</v>
      </c>
    </row>
    <row r="269" spans="2:15" s="28" customFormat="1" ht="16.5" customHeight="1">
      <c r="B269" s="20"/>
      <c r="C269" s="20"/>
      <c r="D269" s="254"/>
      <c r="E269" s="379">
        <v>139032</v>
      </c>
      <c r="F269" s="395" t="s">
        <v>322</v>
      </c>
      <c r="G269" s="396"/>
      <c r="H269" s="397"/>
      <c r="I269" s="383">
        <v>371000</v>
      </c>
      <c r="J269" s="398">
        <v>139032</v>
      </c>
      <c r="K269" s="399" t="s">
        <v>70</v>
      </c>
      <c r="L269" s="399" t="s">
        <v>34</v>
      </c>
      <c r="M269" s="399">
        <v>20</v>
      </c>
      <c r="N269" s="356">
        <v>371000</v>
      </c>
      <c r="O269" s="28" t="b">
        <f t="shared" si="28"/>
        <v>1</v>
      </c>
    </row>
    <row r="270" spans="2:15" s="28" customFormat="1" ht="16.5" customHeight="1">
      <c r="B270" s="20"/>
      <c r="C270" s="20"/>
      <c r="D270" s="254"/>
      <c r="E270" s="379">
        <v>139033</v>
      </c>
      <c r="F270" s="395" t="s">
        <v>323</v>
      </c>
      <c r="G270" s="396"/>
      <c r="H270" s="397"/>
      <c r="I270" s="383">
        <v>392000</v>
      </c>
      <c r="J270" s="398">
        <v>139033</v>
      </c>
      <c r="K270" s="399" t="s">
        <v>70</v>
      </c>
      <c r="L270" s="399" t="s">
        <v>34</v>
      </c>
      <c r="M270" s="399">
        <v>20</v>
      </c>
      <c r="N270" s="356">
        <v>392000</v>
      </c>
      <c r="O270" s="28" t="b">
        <f t="shared" si="28"/>
        <v>1</v>
      </c>
    </row>
    <row r="271" spans="2:15" s="28" customFormat="1" ht="16.5" customHeight="1">
      <c r="B271" s="20"/>
      <c r="C271" s="20"/>
      <c r="D271" s="254"/>
      <c r="E271" s="379">
        <v>139036</v>
      </c>
      <c r="F271" s="395" t="s">
        <v>575</v>
      </c>
      <c r="G271" s="396"/>
      <c r="H271" s="397"/>
      <c r="I271" s="383">
        <v>649000</v>
      </c>
      <c r="J271" s="398">
        <v>139036</v>
      </c>
      <c r="K271" s="399" t="s">
        <v>71</v>
      </c>
      <c r="L271" s="399" t="s">
        <v>34</v>
      </c>
      <c r="M271" s="399">
        <v>200</v>
      </c>
      <c r="N271" s="356">
        <v>649000</v>
      </c>
      <c r="O271" s="28" t="b">
        <f t="shared" si="28"/>
        <v>1</v>
      </c>
    </row>
    <row r="272" spans="2:15" s="28" customFormat="1" ht="16.5" customHeight="1">
      <c r="B272" s="20"/>
      <c r="C272" s="20"/>
      <c r="D272" s="254"/>
      <c r="E272" s="379">
        <v>139037</v>
      </c>
      <c r="F272" s="395" t="s">
        <v>324</v>
      </c>
      <c r="G272" s="396"/>
      <c r="H272" s="397"/>
      <c r="I272" s="383">
        <v>82400</v>
      </c>
      <c r="J272" s="398">
        <v>139037</v>
      </c>
      <c r="K272" s="399" t="s">
        <v>70</v>
      </c>
      <c r="L272" s="399" t="s">
        <v>34</v>
      </c>
      <c r="M272" s="399">
        <v>20</v>
      </c>
      <c r="N272" s="356">
        <v>82400</v>
      </c>
      <c r="O272" s="28" t="b">
        <f t="shared" si="28"/>
        <v>1</v>
      </c>
    </row>
    <row r="273" spans="2:15" s="28" customFormat="1" ht="16.5" customHeight="1">
      <c r="B273" s="20"/>
      <c r="C273" s="20"/>
      <c r="D273" s="254"/>
      <c r="E273" s="379">
        <v>139038</v>
      </c>
      <c r="F273" s="395" t="s">
        <v>576</v>
      </c>
      <c r="G273" s="396"/>
      <c r="H273" s="397"/>
      <c r="I273" s="383">
        <v>746000</v>
      </c>
      <c r="J273" s="398">
        <v>139038</v>
      </c>
      <c r="K273" s="399" t="s">
        <v>71</v>
      </c>
      <c r="L273" s="399" t="s">
        <v>34</v>
      </c>
      <c r="M273" s="399">
        <v>200</v>
      </c>
      <c r="N273" s="356">
        <v>746000</v>
      </c>
      <c r="O273" s="28" t="b">
        <f t="shared" si="28"/>
        <v>1</v>
      </c>
    </row>
    <row r="274" spans="2:15" s="28" customFormat="1" ht="16.5" customHeight="1">
      <c r="B274" s="20"/>
      <c r="C274" s="20"/>
      <c r="D274" s="254"/>
      <c r="E274" s="379">
        <v>139040</v>
      </c>
      <c r="F274" s="395" t="s">
        <v>577</v>
      </c>
      <c r="G274" s="396"/>
      <c r="H274" s="397"/>
      <c r="I274" s="383">
        <v>575000</v>
      </c>
      <c r="J274" s="398">
        <v>139040</v>
      </c>
      <c r="K274" s="399" t="s">
        <v>71</v>
      </c>
      <c r="L274" s="399" t="s">
        <v>34</v>
      </c>
      <c r="M274" s="399">
        <v>200</v>
      </c>
      <c r="N274" s="356">
        <v>575000</v>
      </c>
      <c r="O274" s="28" t="b">
        <f t="shared" si="28"/>
        <v>1</v>
      </c>
    </row>
    <row r="275" spans="2:15" s="28" customFormat="1" ht="16.5" customHeight="1">
      <c r="B275" s="20"/>
      <c r="C275" s="20"/>
      <c r="D275" s="254"/>
      <c r="E275" s="379">
        <v>139041</v>
      </c>
      <c r="F275" s="395" t="s">
        <v>325</v>
      </c>
      <c r="G275" s="396"/>
      <c r="H275" s="397"/>
      <c r="I275" s="383">
        <v>61300</v>
      </c>
      <c r="J275" s="398">
        <v>139041</v>
      </c>
      <c r="K275" s="399" t="s">
        <v>70</v>
      </c>
      <c r="L275" s="399" t="s">
        <v>34</v>
      </c>
      <c r="M275" s="399">
        <v>20</v>
      </c>
      <c r="N275" s="356">
        <v>61300</v>
      </c>
      <c r="O275" s="28" t="b">
        <f t="shared" si="28"/>
        <v>1</v>
      </c>
    </row>
    <row r="276" spans="2:15" s="28" customFormat="1" ht="16.5" customHeight="1">
      <c r="B276" s="20"/>
      <c r="C276" s="20"/>
      <c r="D276" s="254"/>
      <c r="E276" s="379">
        <v>139042</v>
      </c>
      <c r="F276" s="395" t="s">
        <v>578</v>
      </c>
      <c r="G276" s="396"/>
      <c r="H276" s="397"/>
      <c r="I276" s="383">
        <v>575000</v>
      </c>
      <c r="J276" s="398">
        <v>139042</v>
      </c>
      <c r="K276" s="399" t="s">
        <v>71</v>
      </c>
      <c r="L276" s="399" t="s">
        <v>34</v>
      </c>
      <c r="M276" s="399">
        <v>200</v>
      </c>
      <c r="N276" s="356">
        <v>575000</v>
      </c>
      <c r="O276" s="28" t="b">
        <f t="shared" si="28"/>
        <v>1</v>
      </c>
    </row>
    <row r="277" spans="2:15" s="28" customFormat="1" ht="16.5" customHeight="1">
      <c r="B277" s="20"/>
      <c r="C277" s="20"/>
      <c r="D277" s="254"/>
      <c r="E277" s="379">
        <v>139043</v>
      </c>
      <c r="F277" s="395" t="s">
        <v>326</v>
      </c>
      <c r="G277" s="396"/>
      <c r="H277" s="397"/>
      <c r="I277" s="383">
        <v>100000</v>
      </c>
      <c r="J277" s="398">
        <v>139043</v>
      </c>
      <c r="K277" s="399" t="s">
        <v>70</v>
      </c>
      <c r="L277" s="399" t="s">
        <v>34</v>
      </c>
      <c r="M277" s="399">
        <v>20</v>
      </c>
      <c r="N277" s="356">
        <v>100000</v>
      </c>
      <c r="O277" s="28" t="b">
        <f t="shared" si="28"/>
        <v>1</v>
      </c>
    </row>
    <row r="278" spans="2:15" s="28" customFormat="1" ht="16.5" customHeight="1">
      <c r="B278" s="20"/>
      <c r="C278" s="20"/>
      <c r="D278" s="254"/>
      <c r="E278" s="379">
        <v>139044</v>
      </c>
      <c r="F278" s="395" t="s">
        <v>579</v>
      </c>
      <c r="G278" s="396"/>
      <c r="H278" s="397"/>
      <c r="I278" s="383">
        <v>960000</v>
      </c>
      <c r="J278" s="398">
        <v>139044</v>
      </c>
      <c r="K278" s="399" t="s">
        <v>71</v>
      </c>
      <c r="L278" s="399" t="s">
        <v>34</v>
      </c>
      <c r="M278" s="399">
        <v>200</v>
      </c>
      <c r="N278" s="356">
        <v>960000</v>
      </c>
      <c r="O278" s="28" t="b">
        <f t="shared" si="28"/>
        <v>1</v>
      </c>
    </row>
    <row r="279" spans="2:15" s="28" customFormat="1" ht="16.5" customHeight="1">
      <c r="B279" s="20"/>
      <c r="C279" s="20"/>
      <c r="D279" s="254"/>
      <c r="E279" s="379">
        <v>139045</v>
      </c>
      <c r="F279" s="395" t="s">
        <v>327</v>
      </c>
      <c r="G279" s="396"/>
      <c r="H279" s="397"/>
      <c r="I279" s="383">
        <v>100000</v>
      </c>
      <c r="J279" s="398">
        <v>139045</v>
      </c>
      <c r="K279" s="399" t="s">
        <v>70</v>
      </c>
      <c r="L279" s="399" t="s">
        <v>34</v>
      </c>
      <c r="M279" s="399">
        <v>20</v>
      </c>
      <c r="N279" s="356">
        <v>100000</v>
      </c>
      <c r="O279" s="28" t="b">
        <f t="shared" si="28"/>
        <v>1</v>
      </c>
    </row>
    <row r="280" spans="2:15" s="28" customFormat="1" ht="16.5" customHeight="1">
      <c r="B280" s="20"/>
      <c r="C280" s="20"/>
      <c r="D280" s="254"/>
      <c r="E280" s="379">
        <v>139048</v>
      </c>
      <c r="F280" s="395" t="s">
        <v>328</v>
      </c>
      <c r="G280" s="396"/>
      <c r="H280" s="397"/>
      <c r="I280" s="383">
        <v>166000</v>
      </c>
      <c r="J280" s="398">
        <v>139048</v>
      </c>
      <c r="K280" s="399" t="s">
        <v>70</v>
      </c>
      <c r="L280" s="399" t="s">
        <v>34</v>
      </c>
      <c r="M280" s="399">
        <v>20</v>
      </c>
      <c r="N280" s="356">
        <v>166000</v>
      </c>
      <c r="O280" s="28" t="b">
        <f t="shared" si="28"/>
        <v>1</v>
      </c>
    </row>
    <row r="281" spans="2:15" s="28" customFormat="1" ht="16.5" customHeight="1">
      <c r="B281" s="20"/>
      <c r="C281" s="20"/>
      <c r="D281" s="254"/>
      <c r="E281" s="379">
        <v>139049</v>
      </c>
      <c r="F281" s="395" t="s">
        <v>329</v>
      </c>
      <c r="G281" s="396"/>
      <c r="H281" s="397"/>
      <c r="I281" s="383">
        <v>146000</v>
      </c>
      <c r="J281" s="398">
        <v>139049</v>
      </c>
      <c r="K281" s="399" t="s">
        <v>70</v>
      </c>
      <c r="L281" s="399" t="s">
        <v>34</v>
      </c>
      <c r="M281" s="399">
        <v>20</v>
      </c>
      <c r="N281" s="356">
        <v>146000</v>
      </c>
      <c r="O281" s="28" t="b">
        <f t="shared" si="28"/>
        <v>1</v>
      </c>
    </row>
    <row r="282" spans="2:15" s="28" customFormat="1" ht="16.5" customHeight="1">
      <c r="B282" s="20"/>
      <c r="C282" s="20"/>
      <c r="D282" s="254"/>
      <c r="E282" s="379">
        <v>139050</v>
      </c>
      <c r="F282" s="395" t="s">
        <v>330</v>
      </c>
      <c r="G282" s="396"/>
      <c r="H282" s="397"/>
      <c r="I282" s="383"/>
      <c r="J282" s="398">
        <v>139050</v>
      </c>
      <c r="K282" s="399" t="s">
        <v>70</v>
      </c>
      <c r="L282" s="399" t="s">
        <v>34</v>
      </c>
      <c r="M282" s="399">
        <v>20</v>
      </c>
      <c r="N282" s="356" t="e">
        <v>#N/A</v>
      </c>
      <c r="O282" s="28" t="e">
        <f t="shared" si="28"/>
        <v>#N/A</v>
      </c>
    </row>
    <row r="283" spans="2:15" s="28" customFormat="1" ht="16.5" customHeight="1">
      <c r="B283" s="20"/>
      <c r="C283" s="20"/>
      <c r="D283" s="254"/>
      <c r="E283" s="379">
        <v>139051</v>
      </c>
      <c r="F283" s="395" t="s">
        <v>331</v>
      </c>
      <c r="G283" s="396"/>
      <c r="H283" s="397"/>
      <c r="I283" s="383">
        <v>169000</v>
      </c>
      <c r="J283" s="398">
        <v>139051</v>
      </c>
      <c r="K283" s="399" t="s">
        <v>70</v>
      </c>
      <c r="L283" s="399" t="s">
        <v>34</v>
      </c>
      <c r="M283" s="399">
        <v>18.899999999999999</v>
      </c>
      <c r="N283" s="356">
        <v>169000</v>
      </c>
      <c r="O283" s="28" t="b">
        <f t="shared" si="28"/>
        <v>1</v>
      </c>
    </row>
    <row r="284" spans="2:15" s="28" customFormat="1" ht="16.5" customHeight="1">
      <c r="B284" s="20"/>
      <c r="C284" s="20"/>
      <c r="D284" s="254"/>
      <c r="E284" s="379">
        <v>139052</v>
      </c>
      <c r="F284" s="395" t="s">
        <v>582</v>
      </c>
      <c r="G284" s="396"/>
      <c r="H284" s="397"/>
      <c r="I284" s="383"/>
      <c r="J284" s="398">
        <v>139052</v>
      </c>
      <c r="K284" s="399" t="s">
        <v>71</v>
      </c>
      <c r="L284" s="399" t="s">
        <v>34</v>
      </c>
      <c r="M284" s="399">
        <v>200</v>
      </c>
      <c r="N284" s="356" t="e">
        <v>#N/A</v>
      </c>
      <c r="O284" s="28" t="e">
        <f t="shared" si="28"/>
        <v>#N/A</v>
      </c>
    </row>
    <row r="285" spans="2:15" s="28" customFormat="1" ht="16.5" customHeight="1">
      <c r="B285" s="20"/>
      <c r="C285" s="20"/>
      <c r="D285" s="254"/>
      <c r="E285" s="379">
        <v>139057</v>
      </c>
      <c r="F285" s="395" t="s">
        <v>583</v>
      </c>
      <c r="G285" s="396"/>
      <c r="H285" s="397"/>
      <c r="I285" s="383">
        <v>721000</v>
      </c>
      <c r="J285" s="398">
        <v>139057</v>
      </c>
      <c r="K285" s="399" t="s">
        <v>71</v>
      </c>
      <c r="L285" s="399" t="s">
        <v>34</v>
      </c>
      <c r="M285" s="399">
        <v>200</v>
      </c>
      <c r="N285" s="356">
        <v>721000</v>
      </c>
      <c r="O285" s="28" t="b">
        <f t="shared" si="28"/>
        <v>1</v>
      </c>
    </row>
    <row r="286" spans="2:15" s="28" customFormat="1" ht="16.5" customHeight="1">
      <c r="B286" s="20"/>
      <c r="C286" s="20"/>
      <c r="D286" s="254"/>
      <c r="E286" s="379">
        <v>139058</v>
      </c>
      <c r="F286" s="395" t="s">
        <v>584</v>
      </c>
      <c r="G286" s="396"/>
      <c r="H286" s="397"/>
      <c r="I286" s="383">
        <v>893000</v>
      </c>
      <c r="J286" s="398">
        <v>139058</v>
      </c>
      <c r="K286" s="399" t="s">
        <v>71</v>
      </c>
      <c r="L286" s="399" t="s">
        <v>34</v>
      </c>
      <c r="M286" s="399">
        <v>200</v>
      </c>
      <c r="N286" s="356">
        <v>893000</v>
      </c>
      <c r="O286" s="28" t="b">
        <f t="shared" si="28"/>
        <v>1</v>
      </c>
    </row>
    <row r="287" spans="2:15" s="28" customFormat="1" ht="16.5" customHeight="1">
      <c r="B287" s="20"/>
      <c r="C287" s="20"/>
      <c r="D287" s="254"/>
      <c r="E287" s="379">
        <v>139059</v>
      </c>
      <c r="F287" s="395" t="s">
        <v>585</v>
      </c>
      <c r="G287" s="396"/>
      <c r="H287" s="397"/>
      <c r="I287" s="383">
        <v>691000</v>
      </c>
      <c r="J287" s="398">
        <v>139059</v>
      </c>
      <c r="K287" s="399" t="s">
        <v>71</v>
      </c>
      <c r="L287" s="399" t="s">
        <v>34</v>
      </c>
      <c r="M287" s="399">
        <v>200</v>
      </c>
      <c r="N287" s="356">
        <v>691000</v>
      </c>
      <c r="O287" s="28" t="b">
        <f t="shared" si="28"/>
        <v>1</v>
      </c>
    </row>
    <row r="288" spans="2:15" s="28" customFormat="1" ht="16.5" customHeight="1">
      <c r="B288" s="20"/>
      <c r="C288" s="20"/>
      <c r="D288" s="254"/>
      <c r="E288" s="379">
        <v>139061</v>
      </c>
      <c r="F288" s="395" t="s">
        <v>242</v>
      </c>
      <c r="G288" s="396"/>
      <c r="H288" s="397"/>
      <c r="I288" s="383">
        <v>83600</v>
      </c>
      <c r="J288" s="398">
        <v>139061</v>
      </c>
      <c r="K288" s="399" t="s">
        <v>70</v>
      </c>
      <c r="L288" s="399" t="s">
        <v>34</v>
      </c>
      <c r="M288" s="399">
        <v>20</v>
      </c>
      <c r="N288" s="356">
        <v>83600</v>
      </c>
      <c r="O288" s="28" t="b">
        <f t="shared" si="28"/>
        <v>1</v>
      </c>
    </row>
    <row r="289" spans="2:15" s="28" customFormat="1" ht="16.5" customHeight="1">
      <c r="B289" s="20"/>
      <c r="C289" s="20"/>
      <c r="D289" s="254"/>
      <c r="E289" s="379">
        <v>139062</v>
      </c>
      <c r="F289" s="395" t="s">
        <v>586</v>
      </c>
      <c r="G289" s="396"/>
      <c r="H289" s="397"/>
      <c r="I289" s="383">
        <v>687000</v>
      </c>
      <c r="J289" s="398">
        <v>139062</v>
      </c>
      <c r="K289" s="399" t="s">
        <v>71</v>
      </c>
      <c r="L289" s="399" t="s">
        <v>34</v>
      </c>
      <c r="M289" s="399">
        <v>200</v>
      </c>
      <c r="N289" s="356">
        <v>687000</v>
      </c>
      <c r="O289" s="28" t="b">
        <f t="shared" si="28"/>
        <v>1</v>
      </c>
    </row>
    <row r="290" spans="2:15" s="28" customFormat="1" ht="16.5" customHeight="1">
      <c r="B290" s="20"/>
      <c r="C290" s="20"/>
      <c r="D290" s="254"/>
      <c r="E290" s="379">
        <v>139063</v>
      </c>
      <c r="F290" s="395" t="s">
        <v>587</v>
      </c>
      <c r="G290" s="396"/>
      <c r="H290" s="397"/>
      <c r="I290" s="383">
        <v>670000</v>
      </c>
      <c r="J290" s="398">
        <v>139063</v>
      </c>
      <c r="K290" s="399" t="s">
        <v>71</v>
      </c>
      <c r="L290" s="399" t="s">
        <v>34</v>
      </c>
      <c r="M290" s="399">
        <v>200</v>
      </c>
      <c r="N290" s="356">
        <v>670000</v>
      </c>
      <c r="O290" s="28" t="b">
        <f t="shared" si="28"/>
        <v>1</v>
      </c>
    </row>
    <row r="291" spans="2:15" s="28" customFormat="1" ht="16.5" customHeight="1">
      <c r="B291" s="20"/>
      <c r="C291" s="20"/>
      <c r="D291" s="254"/>
      <c r="E291" s="379">
        <v>139064</v>
      </c>
      <c r="F291" s="395" t="s">
        <v>233</v>
      </c>
      <c r="G291" s="396"/>
      <c r="H291" s="397"/>
      <c r="I291" s="383">
        <v>66400</v>
      </c>
      <c r="J291" s="398">
        <v>139064</v>
      </c>
      <c r="K291" s="399" t="s">
        <v>70</v>
      </c>
      <c r="L291" s="399" t="s">
        <v>34</v>
      </c>
      <c r="M291" s="399">
        <v>20</v>
      </c>
      <c r="N291" s="356">
        <v>66400</v>
      </c>
      <c r="O291" s="28" t="b">
        <f t="shared" si="28"/>
        <v>1</v>
      </c>
    </row>
    <row r="292" spans="2:15" s="28" customFormat="1" ht="16.5" customHeight="1">
      <c r="B292" s="20"/>
      <c r="C292" s="20"/>
      <c r="D292" s="254"/>
      <c r="E292" s="379">
        <v>139065</v>
      </c>
      <c r="F292" s="395" t="s">
        <v>588</v>
      </c>
      <c r="G292" s="396"/>
      <c r="H292" s="397"/>
      <c r="I292" s="383">
        <v>685000</v>
      </c>
      <c r="J292" s="398">
        <v>139065</v>
      </c>
      <c r="K292" s="399" t="s">
        <v>71</v>
      </c>
      <c r="L292" s="399" t="s">
        <v>34</v>
      </c>
      <c r="M292" s="399">
        <v>200</v>
      </c>
      <c r="N292" s="356">
        <v>685000</v>
      </c>
      <c r="O292" s="28" t="b">
        <f t="shared" si="28"/>
        <v>1</v>
      </c>
    </row>
    <row r="293" spans="2:15" s="28" customFormat="1" ht="16.5" customHeight="1">
      <c r="B293" s="20"/>
      <c r="C293" s="20"/>
      <c r="D293" s="254"/>
      <c r="E293" s="379">
        <v>139066</v>
      </c>
      <c r="F293" s="395" t="s">
        <v>332</v>
      </c>
      <c r="G293" s="396"/>
      <c r="H293" s="397"/>
      <c r="I293" s="383">
        <v>69100</v>
      </c>
      <c r="J293" s="398">
        <v>139066</v>
      </c>
      <c r="K293" s="399" t="s">
        <v>70</v>
      </c>
      <c r="L293" s="399" t="s">
        <v>34</v>
      </c>
      <c r="M293" s="399">
        <v>20</v>
      </c>
      <c r="N293" s="356">
        <v>69100</v>
      </c>
      <c r="O293" s="28" t="b">
        <f t="shared" si="28"/>
        <v>1</v>
      </c>
    </row>
    <row r="294" spans="2:15" s="28" customFormat="1" ht="16.5" customHeight="1">
      <c r="B294" s="20"/>
      <c r="C294" s="20"/>
      <c r="D294" s="254"/>
      <c r="E294" s="379">
        <v>139067</v>
      </c>
      <c r="F294" s="395" t="s">
        <v>333</v>
      </c>
      <c r="G294" s="396"/>
      <c r="H294" s="397"/>
      <c r="I294" s="383"/>
      <c r="J294" s="398">
        <v>139067</v>
      </c>
      <c r="K294" s="399" t="s">
        <v>70</v>
      </c>
      <c r="L294" s="399" t="s">
        <v>34</v>
      </c>
      <c r="M294" s="399">
        <v>18.899999999999999</v>
      </c>
      <c r="N294" s="356" t="e">
        <v>#N/A</v>
      </c>
      <c r="O294" s="28" t="e">
        <f t="shared" si="28"/>
        <v>#N/A</v>
      </c>
    </row>
    <row r="295" spans="2:15" s="28" customFormat="1" ht="16.5" customHeight="1">
      <c r="B295" s="20"/>
      <c r="C295" s="20"/>
      <c r="D295" s="254"/>
      <c r="E295" s="379">
        <v>139068</v>
      </c>
      <c r="F295" s="395" t="s">
        <v>589</v>
      </c>
      <c r="G295" s="396"/>
      <c r="H295" s="397"/>
      <c r="I295" s="383">
        <v>4688000</v>
      </c>
      <c r="J295" s="398">
        <v>139068</v>
      </c>
      <c r="K295" s="399" t="s">
        <v>71</v>
      </c>
      <c r="L295" s="399" t="s">
        <v>34</v>
      </c>
      <c r="M295" s="399">
        <v>208</v>
      </c>
      <c r="N295" s="356">
        <v>4688000</v>
      </c>
      <c r="O295" s="28" t="b">
        <f t="shared" si="28"/>
        <v>1</v>
      </c>
    </row>
    <row r="296" spans="2:15" s="28" customFormat="1" ht="16.5" customHeight="1">
      <c r="B296" s="20"/>
      <c r="C296" s="20"/>
      <c r="D296" s="254"/>
      <c r="E296" s="379">
        <v>139069</v>
      </c>
      <c r="F296" s="395" t="s">
        <v>334</v>
      </c>
      <c r="G296" s="396"/>
      <c r="H296" s="397"/>
      <c r="I296" s="383">
        <v>296000</v>
      </c>
      <c r="J296" s="398">
        <v>139069</v>
      </c>
      <c r="K296" s="399" t="s">
        <v>70</v>
      </c>
      <c r="L296" s="399" t="s">
        <v>34</v>
      </c>
      <c r="M296" s="399">
        <v>20</v>
      </c>
      <c r="N296" s="356">
        <v>296000</v>
      </c>
      <c r="O296" s="28" t="b">
        <f t="shared" si="28"/>
        <v>1</v>
      </c>
    </row>
    <row r="297" spans="2:15" s="28" customFormat="1" ht="16.5" customHeight="1">
      <c r="B297" s="20"/>
      <c r="C297" s="20"/>
      <c r="D297" s="254"/>
      <c r="E297" s="379">
        <v>139070</v>
      </c>
      <c r="F297" s="395" t="s">
        <v>335</v>
      </c>
      <c r="G297" s="396"/>
      <c r="H297" s="397"/>
      <c r="I297" s="383">
        <v>318000</v>
      </c>
      <c r="J297" s="398">
        <v>139070</v>
      </c>
      <c r="K297" s="399" t="s">
        <v>70</v>
      </c>
      <c r="L297" s="399" t="s">
        <v>34</v>
      </c>
      <c r="M297" s="399">
        <v>20</v>
      </c>
      <c r="N297" s="356">
        <v>318000</v>
      </c>
      <c r="O297" s="28" t="b">
        <f t="shared" si="28"/>
        <v>1</v>
      </c>
    </row>
    <row r="298" spans="2:15" s="28" customFormat="1" ht="16.5" customHeight="1">
      <c r="B298" s="20"/>
      <c r="C298" s="20"/>
      <c r="D298" s="254"/>
      <c r="E298" s="379">
        <v>139071</v>
      </c>
      <c r="F298" s="395" t="s">
        <v>590</v>
      </c>
      <c r="G298" s="396"/>
      <c r="H298" s="397"/>
      <c r="I298" s="383">
        <v>746000</v>
      </c>
      <c r="J298" s="398">
        <v>139071</v>
      </c>
      <c r="K298" s="399" t="s">
        <v>71</v>
      </c>
      <c r="L298" s="399" t="s">
        <v>34</v>
      </c>
      <c r="M298" s="399">
        <v>200</v>
      </c>
      <c r="N298" s="356">
        <v>746000</v>
      </c>
      <c r="O298" s="28" t="b">
        <f t="shared" si="28"/>
        <v>1</v>
      </c>
    </row>
    <row r="299" spans="2:15" s="28" customFormat="1" ht="16.5" customHeight="1">
      <c r="B299" s="20"/>
      <c r="C299" s="20"/>
      <c r="D299" s="254"/>
      <c r="E299" s="379">
        <v>139074</v>
      </c>
      <c r="F299" s="395" t="s">
        <v>591</v>
      </c>
      <c r="G299" s="396"/>
      <c r="H299" s="397"/>
      <c r="I299" s="383">
        <v>746000</v>
      </c>
      <c r="J299" s="398">
        <v>139074</v>
      </c>
      <c r="K299" s="399" t="s">
        <v>71</v>
      </c>
      <c r="L299" s="399" t="s">
        <v>34</v>
      </c>
      <c r="M299" s="399">
        <v>200</v>
      </c>
      <c r="N299" s="356">
        <v>746000</v>
      </c>
      <c r="O299" s="28" t="b">
        <f t="shared" si="28"/>
        <v>1</v>
      </c>
    </row>
    <row r="300" spans="2:15" s="28" customFormat="1" ht="16.5" customHeight="1">
      <c r="B300" s="20"/>
      <c r="C300" s="20"/>
      <c r="D300" s="254"/>
      <c r="E300" s="379">
        <v>139075</v>
      </c>
      <c r="F300" s="395" t="s">
        <v>592</v>
      </c>
      <c r="G300" s="396"/>
      <c r="H300" s="397"/>
      <c r="I300" s="383">
        <v>746000</v>
      </c>
      <c r="J300" s="398">
        <v>139075</v>
      </c>
      <c r="K300" s="399" t="s">
        <v>71</v>
      </c>
      <c r="L300" s="399" t="s">
        <v>34</v>
      </c>
      <c r="M300" s="399">
        <v>200</v>
      </c>
      <c r="N300" s="356">
        <v>746000</v>
      </c>
      <c r="O300" s="28" t="b">
        <f t="shared" si="28"/>
        <v>1</v>
      </c>
    </row>
    <row r="301" spans="2:15" s="28" customFormat="1" ht="16.5" customHeight="1">
      <c r="B301" s="20"/>
      <c r="C301" s="20"/>
      <c r="D301" s="254"/>
      <c r="E301" s="379">
        <v>139076</v>
      </c>
      <c r="F301" s="395" t="s">
        <v>336</v>
      </c>
      <c r="G301" s="396"/>
      <c r="H301" s="397"/>
      <c r="I301" s="383">
        <v>370000</v>
      </c>
      <c r="J301" s="398">
        <v>139076</v>
      </c>
      <c r="K301" s="399" t="s">
        <v>70</v>
      </c>
      <c r="L301" s="399" t="s">
        <v>34</v>
      </c>
      <c r="M301" s="399">
        <v>20</v>
      </c>
      <c r="N301" s="356">
        <v>370000</v>
      </c>
      <c r="O301" s="28" t="b">
        <f t="shared" si="28"/>
        <v>1</v>
      </c>
    </row>
    <row r="302" spans="2:15" s="28" customFormat="1" ht="16.5" customHeight="1">
      <c r="B302" s="20"/>
      <c r="C302" s="20"/>
      <c r="D302" s="254"/>
      <c r="E302" s="379">
        <v>139080</v>
      </c>
      <c r="F302" s="395" t="s">
        <v>337</v>
      </c>
      <c r="G302" s="396"/>
      <c r="H302" s="397"/>
      <c r="I302" s="383">
        <v>300000</v>
      </c>
      <c r="J302" s="398">
        <v>139080</v>
      </c>
      <c r="K302" s="399" t="s">
        <v>70</v>
      </c>
      <c r="L302" s="399" t="s">
        <v>34</v>
      </c>
      <c r="M302" s="399">
        <v>20</v>
      </c>
      <c r="N302" s="356">
        <v>300000</v>
      </c>
      <c r="O302" s="28" t="b">
        <f t="shared" si="28"/>
        <v>1</v>
      </c>
    </row>
    <row r="303" spans="2:15" s="28" customFormat="1" ht="16.5" customHeight="1">
      <c r="B303" s="20"/>
      <c r="C303" s="20"/>
      <c r="D303" s="254"/>
      <c r="E303" s="379">
        <v>139082</v>
      </c>
      <c r="F303" s="395" t="s">
        <v>338</v>
      </c>
      <c r="G303" s="396"/>
      <c r="H303" s="397"/>
      <c r="I303" s="383">
        <v>366000</v>
      </c>
      <c r="J303" s="398">
        <v>139082</v>
      </c>
      <c r="K303" s="399" t="s">
        <v>70</v>
      </c>
      <c r="L303" s="399" t="s">
        <v>34</v>
      </c>
      <c r="M303" s="399">
        <v>20</v>
      </c>
      <c r="N303" s="356">
        <v>366000</v>
      </c>
      <c r="O303" s="28" t="b">
        <f t="shared" si="28"/>
        <v>1</v>
      </c>
    </row>
    <row r="304" spans="2:15" s="28" customFormat="1" ht="16.5" customHeight="1">
      <c r="B304" s="20"/>
      <c r="C304" s="20"/>
      <c r="D304" s="254"/>
      <c r="E304" s="379">
        <v>139084</v>
      </c>
      <c r="F304" s="395" t="s">
        <v>243</v>
      </c>
      <c r="G304" s="401"/>
      <c r="H304" s="402"/>
      <c r="I304" s="383">
        <v>58600</v>
      </c>
      <c r="J304" s="399">
        <v>139084</v>
      </c>
      <c r="K304" s="399" t="s">
        <v>70</v>
      </c>
      <c r="L304" s="399" t="s">
        <v>34</v>
      </c>
      <c r="M304" s="399">
        <v>20</v>
      </c>
      <c r="N304" s="356">
        <v>58600</v>
      </c>
      <c r="O304" s="28" t="b">
        <f t="shared" si="28"/>
        <v>1</v>
      </c>
    </row>
    <row r="305" spans="2:15" s="28" customFormat="1" ht="16.5" customHeight="1">
      <c r="B305" s="20"/>
      <c r="C305" s="20"/>
      <c r="D305" s="254"/>
      <c r="E305" s="379">
        <v>139085</v>
      </c>
      <c r="F305" s="395" t="s">
        <v>593</v>
      </c>
      <c r="G305" s="401"/>
      <c r="H305" s="402"/>
      <c r="I305" s="383">
        <v>535000</v>
      </c>
      <c r="J305" s="398">
        <v>139085</v>
      </c>
      <c r="K305" s="399" t="s">
        <v>71</v>
      </c>
      <c r="L305" s="399" t="s">
        <v>34</v>
      </c>
      <c r="M305" s="399">
        <v>200</v>
      </c>
      <c r="N305" s="356">
        <v>535000</v>
      </c>
      <c r="O305" s="28" t="b">
        <f t="shared" si="28"/>
        <v>1</v>
      </c>
    </row>
    <row r="306" spans="2:15" s="28" customFormat="1" ht="16.5" customHeight="1">
      <c r="B306" s="20"/>
      <c r="C306" s="20"/>
      <c r="D306" s="254"/>
      <c r="E306" s="379">
        <v>139086</v>
      </c>
      <c r="F306" s="395" t="s">
        <v>226</v>
      </c>
      <c r="G306" s="401"/>
      <c r="H306" s="402"/>
      <c r="I306" s="383">
        <v>54500</v>
      </c>
      <c r="J306" s="398">
        <v>139086</v>
      </c>
      <c r="K306" s="399" t="s">
        <v>70</v>
      </c>
      <c r="L306" s="399" t="s">
        <v>34</v>
      </c>
      <c r="M306" s="399">
        <v>20</v>
      </c>
      <c r="N306" s="356">
        <v>54500</v>
      </c>
      <c r="O306" s="28" t="b">
        <f t="shared" si="28"/>
        <v>1</v>
      </c>
    </row>
    <row r="307" spans="2:15" s="28" customFormat="1" ht="16.5" customHeight="1">
      <c r="B307" s="20"/>
      <c r="C307" s="20"/>
      <c r="D307" s="254"/>
      <c r="E307" s="379">
        <v>139087</v>
      </c>
      <c r="F307" s="395" t="s">
        <v>594</v>
      </c>
      <c r="G307" s="401"/>
      <c r="H307" s="402"/>
      <c r="I307" s="383">
        <v>547000</v>
      </c>
      <c r="J307" s="398">
        <v>139087</v>
      </c>
      <c r="K307" s="399" t="s">
        <v>71</v>
      </c>
      <c r="L307" s="399" t="s">
        <v>34</v>
      </c>
      <c r="M307" s="399">
        <v>200</v>
      </c>
      <c r="N307" s="356">
        <v>547000</v>
      </c>
      <c r="O307" s="28" t="b">
        <f t="shared" si="28"/>
        <v>1</v>
      </c>
    </row>
    <row r="308" spans="2:15" s="28" customFormat="1" ht="16.5" customHeight="1">
      <c r="B308" s="20"/>
      <c r="C308" s="20"/>
      <c r="D308" s="254"/>
      <c r="E308" s="379">
        <v>139088</v>
      </c>
      <c r="F308" s="395" t="s">
        <v>234</v>
      </c>
      <c r="G308" s="401"/>
      <c r="H308" s="402"/>
      <c r="I308" s="383">
        <v>58600</v>
      </c>
      <c r="J308" s="398">
        <v>139088</v>
      </c>
      <c r="K308" s="399" t="s">
        <v>70</v>
      </c>
      <c r="L308" s="399" t="s">
        <v>34</v>
      </c>
      <c r="M308" s="399">
        <v>20</v>
      </c>
      <c r="N308" s="356">
        <v>58600</v>
      </c>
      <c r="O308" s="28" t="b">
        <f t="shared" si="28"/>
        <v>1</v>
      </c>
    </row>
    <row r="309" spans="2:15" s="28" customFormat="1" ht="16.5" customHeight="1">
      <c r="B309" s="20"/>
      <c r="C309" s="20"/>
      <c r="D309" s="254"/>
      <c r="E309" s="379">
        <v>139089</v>
      </c>
      <c r="F309" s="395" t="s">
        <v>595</v>
      </c>
      <c r="G309" s="401"/>
      <c r="H309" s="402"/>
      <c r="I309" s="383">
        <v>663000</v>
      </c>
      <c r="J309" s="398">
        <v>139089</v>
      </c>
      <c r="K309" s="399" t="s">
        <v>71</v>
      </c>
      <c r="L309" s="399" t="s">
        <v>34</v>
      </c>
      <c r="M309" s="399">
        <v>200</v>
      </c>
      <c r="N309" s="356">
        <v>663000</v>
      </c>
      <c r="O309" s="28" t="b">
        <f t="shared" si="28"/>
        <v>1</v>
      </c>
    </row>
    <row r="310" spans="2:15" s="28" customFormat="1" ht="16.5" customHeight="1">
      <c r="B310" s="20"/>
      <c r="C310" s="20"/>
      <c r="D310" s="254"/>
      <c r="E310" s="379">
        <v>139090</v>
      </c>
      <c r="F310" s="395" t="s">
        <v>596</v>
      </c>
      <c r="G310" s="396"/>
      <c r="H310" s="397"/>
      <c r="I310" s="383">
        <v>626000</v>
      </c>
      <c r="J310" s="398">
        <v>139090</v>
      </c>
      <c r="K310" s="399" t="s">
        <v>71</v>
      </c>
      <c r="L310" s="399" t="s">
        <v>34</v>
      </c>
      <c r="M310" s="399">
        <v>200</v>
      </c>
      <c r="N310" s="356">
        <v>626000</v>
      </c>
      <c r="O310" s="28" t="b">
        <f t="shared" si="28"/>
        <v>1</v>
      </c>
    </row>
    <row r="311" spans="2:15" s="28" customFormat="1" ht="16.5" customHeight="1">
      <c r="B311" s="20"/>
      <c r="C311" s="20"/>
      <c r="D311" s="254"/>
      <c r="E311" s="379">
        <v>139091</v>
      </c>
      <c r="F311" s="395" t="s">
        <v>597</v>
      </c>
      <c r="G311" s="401"/>
      <c r="H311" s="402"/>
      <c r="I311" s="383">
        <v>508000</v>
      </c>
      <c r="J311" s="399">
        <v>139091</v>
      </c>
      <c r="K311" s="399" t="s">
        <v>71</v>
      </c>
      <c r="L311" s="399" t="s">
        <v>34</v>
      </c>
      <c r="M311" s="399">
        <v>200</v>
      </c>
      <c r="N311" s="356">
        <v>508000</v>
      </c>
      <c r="O311" s="28" t="b">
        <f t="shared" si="28"/>
        <v>1</v>
      </c>
    </row>
    <row r="312" spans="2:15" s="28" customFormat="1" ht="16.5" customHeight="1">
      <c r="B312" s="20"/>
      <c r="C312" s="20"/>
      <c r="D312" s="254"/>
      <c r="E312" s="379">
        <v>139092</v>
      </c>
      <c r="F312" s="395" t="s">
        <v>598</v>
      </c>
      <c r="G312" s="401"/>
      <c r="H312" s="402"/>
      <c r="I312" s="383">
        <v>907000</v>
      </c>
      <c r="J312" s="398">
        <v>139092</v>
      </c>
      <c r="K312" s="399" t="s">
        <v>71</v>
      </c>
      <c r="L312" s="399" t="s">
        <v>34</v>
      </c>
      <c r="M312" s="399">
        <v>200</v>
      </c>
      <c r="N312" s="356">
        <v>907000</v>
      </c>
      <c r="O312" s="28" t="b">
        <f t="shared" si="28"/>
        <v>1</v>
      </c>
    </row>
    <row r="313" spans="2:15" s="28" customFormat="1" ht="16.5" customHeight="1">
      <c r="B313" s="20"/>
      <c r="C313" s="20"/>
      <c r="D313" s="254"/>
      <c r="E313" s="379">
        <v>139094</v>
      </c>
      <c r="F313" s="395" t="s">
        <v>599</v>
      </c>
      <c r="G313" s="401"/>
      <c r="H313" s="402"/>
      <c r="I313" s="383">
        <v>781000</v>
      </c>
      <c r="J313" s="398">
        <v>139094</v>
      </c>
      <c r="K313" s="399" t="s">
        <v>71</v>
      </c>
      <c r="L313" s="399" t="s">
        <v>34</v>
      </c>
      <c r="M313" s="399">
        <v>200</v>
      </c>
      <c r="N313" s="356">
        <v>781000</v>
      </c>
      <c r="O313" s="28" t="b">
        <f t="shared" si="28"/>
        <v>1</v>
      </c>
    </row>
    <row r="314" spans="2:15" s="28" customFormat="1" ht="16.5" customHeight="1">
      <c r="B314" s="20"/>
      <c r="C314" s="20"/>
      <c r="D314" s="254"/>
      <c r="E314" s="379">
        <v>139095</v>
      </c>
      <c r="F314" s="395" t="s">
        <v>600</v>
      </c>
      <c r="G314" s="401"/>
      <c r="H314" s="402"/>
      <c r="I314" s="383">
        <v>843000</v>
      </c>
      <c r="J314" s="398">
        <v>139095</v>
      </c>
      <c r="K314" s="399" t="s">
        <v>71</v>
      </c>
      <c r="L314" s="399" t="s">
        <v>34</v>
      </c>
      <c r="M314" s="399">
        <v>200</v>
      </c>
      <c r="N314" s="356">
        <v>843000</v>
      </c>
      <c r="O314" s="28" t="b">
        <f t="shared" si="28"/>
        <v>1</v>
      </c>
    </row>
    <row r="315" spans="2:15" s="28" customFormat="1" ht="16.5" customHeight="1">
      <c r="B315" s="20"/>
      <c r="C315" s="20"/>
      <c r="D315" s="254"/>
      <c r="E315" s="379">
        <v>139096</v>
      </c>
      <c r="F315" s="395" t="s">
        <v>339</v>
      </c>
      <c r="G315" s="401"/>
      <c r="H315" s="402"/>
      <c r="I315" s="383">
        <v>89700</v>
      </c>
      <c r="J315" s="398">
        <v>139096</v>
      </c>
      <c r="K315" s="399" t="s">
        <v>70</v>
      </c>
      <c r="L315" s="399" t="s">
        <v>34</v>
      </c>
      <c r="M315" s="399">
        <v>20</v>
      </c>
      <c r="N315" s="356">
        <v>89700</v>
      </c>
      <c r="O315" s="28" t="b">
        <f t="shared" si="28"/>
        <v>1</v>
      </c>
    </row>
    <row r="316" spans="2:15" s="28" customFormat="1" ht="16.5" customHeight="1">
      <c r="B316" s="20"/>
      <c r="C316" s="20"/>
      <c r="D316" s="254"/>
      <c r="E316" s="379">
        <v>139097</v>
      </c>
      <c r="F316" s="395" t="s">
        <v>601</v>
      </c>
      <c r="G316" s="401"/>
      <c r="H316" s="402"/>
      <c r="I316" s="383">
        <v>987000</v>
      </c>
      <c r="J316" s="398">
        <v>139097</v>
      </c>
      <c r="K316" s="399" t="s">
        <v>71</v>
      </c>
      <c r="L316" s="399" t="s">
        <v>34</v>
      </c>
      <c r="M316" s="399">
        <v>200</v>
      </c>
      <c r="N316" s="356">
        <v>987000</v>
      </c>
      <c r="O316" s="28" t="b">
        <f t="shared" si="28"/>
        <v>1</v>
      </c>
    </row>
    <row r="317" spans="2:15" s="28" customFormat="1" ht="16.5" customHeight="1">
      <c r="B317" s="20"/>
      <c r="C317" s="20"/>
      <c r="D317" s="254"/>
      <c r="E317" s="379">
        <v>139099</v>
      </c>
      <c r="F317" s="395" t="s">
        <v>602</v>
      </c>
      <c r="G317" s="396"/>
      <c r="H317" s="397"/>
      <c r="I317" s="383">
        <v>637000</v>
      </c>
      <c r="J317" s="398">
        <v>139099</v>
      </c>
      <c r="K317" s="399" t="s">
        <v>71</v>
      </c>
      <c r="L317" s="399" t="s">
        <v>34</v>
      </c>
      <c r="M317" s="399">
        <v>200</v>
      </c>
      <c r="N317" s="356">
        <v>637000</v>
      </c>
      <c r="O317" s="28" t="b">
        <f t="shared" si="28"/>
        <v>1</v>
      </c>
    </row>
    <row r="318" spans="2:15" s="28" customFormat="1" ht="16.5" customHeight="1">
      <c r="B318" s="20"/>
      <c r="C318" s="20"/>
      <c r="D318" s="254"/>
      <c r="E318" s="379">
        <v>139101</v>
      </c>
      <c r="F318" s="395" t="s">
        <v>603</v>
      </c>
      <c r="G318" s="396"/>
      <c r="H318" s="397"/>
      <c r="I318" s="383">
        <v>616000</v>
      </c>
      <c r="J318" s="398">
        <v>139101</v>
      </c>
      <c r="K318" s="399" t="s">
        <v>71</v>
      </c>
      <c r="L318" s="399" t="s">
        <v>34</v>
      </c>
      <c r="M318" s="399">
        <v>200</v>
      </c>
      <c r="N318" s="356">
        <v>616000</v>
      </c>
      <c r="O318" s="28" t="b">
        <f t="shared" si="28"/>
        <v>1</v>
      </c>
    </row>
    <row r="319" spans="2:15" s="28" customFormat="1" ht="16.5" customHeight="1">
      <c r="B319" s="20"/>
      <c r="C319" s="20"/>
      <c r="D319" s="254"/>
      <c r="E319" s="379">
        <v>139103</v>
      </c>
      <c r="F319" s="395" t="s">
        <v>604</v>
      </c>
      <c r="G319" s="396"/>
      <c r="H319" s="397"/>
      <c r="I319" s="383">
        <v>564000</v>
      </c>
      <c r="J319" s="398">
        <v>139103</v>
      </c>
      <c r="K319" s="399" t="s">
        <v>71</v>
      </c>
      <c r="L319" s="399" t="s">
        <v>34</v>
      </c>
      <c r="M319" s="399">
        <v>200</v>
      </c>
      <c r="N319" s="356">
        <v>564000</v>
      </c>
      <c r="O319" s="28" t="b">
        <f t="shared" si="28"/>
        <v>1</v>
      </c>
    </row>
    <row r="320" spans="2:15" s="28" customFormat="1" ht="16.5" customHeight="1">
      <c r="B320" s="20"/>
      <c r="C320" s="20"/>
      <c r="D320" s="254"/>
      <c r="E320" s="379">
        <v>139105</v>
      </c>
      <c r="F320" s="395" t="s">
        <v>605</v>
      </c>
      <c r="G320" s="396"/>
      <c r="H320" s="397"/>
      <c r="I320" s="383">
        <v>628000</v>
      </c>
      <c r="J320" s="398">
        <v>139105</v>
      </c>
      <c r="K320" s="399" t="s">
        <v>71</v>
      </c>
      <c r="L320" s="399" t="s">
        <v>34</v>
      </c>
      <c r="M320" s="399">
        <v>200</v>
      </c>
      <c r="N320" s="356">
        <v>628000</v>
      </c>
      <c r="O320" s="28" t="b">
        <f t="shared" si="28"/>
        <v>1</v>
      </c>
    </row>
    <row r="321" spans="2:15" s="28" customFormat="1" ht="16.5" customHeight="1">
      <c r="B321" s="20"/>
      <c r="C321" s="20"/>
      <c r="D321" s="254"/>
      <c r="E321" s="379">
        <v>139106</v>
      </c>
      <c r="F321" s="395" t="s">
        <v>340</v>
      </c>
      <c r="G321" s="396"/>
      <c r="H321" s="397"/>
      <c r="I321" s="383">
        <v>76400</v>
      </c>
      <c r="J321" s="398">
        <v>139106</v>
      </c>
      <c r="K321" s="399" t="s">
        <v>70</v>
      </c>
      <c r="L321" s="399" t="s">
        <v>34</v>
      </c>
      <c r="M321" s="399">
        <v>20</v>
      </c>
      <c r="N321" s="356">
        <v>76400</v>
      </c>
      <c r="O321" s="28" t="b">
        <f t="shared" si="28"/>
        <v>1</v>
      </c>
    </row>
    <row r="322" spans="2:15" s="28" customFormat="1" ht="16.5" customHeight="1">
      <c r="B322" s="20"/>
      <c r="C322" s="20"/>
      <c r="D322" s="254"/>
      <c r="E322" s="379">
        <v>139107</v>
      </c>
      <c r="F322" s="395" t="s">
        <v>606</v>
      </c>
      <c r="G322" s="396"/>
      <c r="H322" s="397"/>
      <c r="I322" s="383">
        <v>630000</v>
      </c>
      <c r="J322" s="398">
        <v>139107</v>
      </c>
      <c r="K322" s="399" t="s">
        <v>71</v>
      </c>
      <c r="L322" s="399" t="s">
        <v>34</v>
      </c>
      <c r="M322" s="399">
        <v>200</v>
      </c>
      <c r="N322" s="356">
        <v>630000</v>
      </c>
      <c r="O322" s="28" t="b">
        <f t="shared" si="28"/>
        <v>1</v>
      </c>
    </row>
    <row r="323" spans="2:15" s="28" customFormat="1" ht="16.5" customHeight="1">
      <c r="B323" s="20"/>
      <c r="C323" s="20"/>
      <c r="D323" s="254"/>
      <c r="E323" s="379">
        <v>139108</v>
      </c>
      <c r="F323" s="395" t="s">
        <v>341</v>
      </c>
      <c r="G323" s="396"/>
      <c r="H323" s="397"/>
      <c r="I323" s="383" t="e">
        <v>#N/A</v>
      </c>
      <c r="J323" s="398">
        <v>139108</v>
      </c>
      <c r="K323" s="399" t="s">
        <v>70</v>
      </c>
      <c r="L323" s="399" t="s">
        <v>34</v>
      </c>
      <c r="M323" s="399">
        <v>20</v>
      </c>
      <c r="N323" s="356" t="e">
        <v>#N/A</v>
      </c>
      <c r="O323" s="28" t="e">
        <f t="shared" si="28"/>
        <v>#N/A</v>
      </c>
    </row>
    <row r="324" spans="2:15" s="28" customFormat="1" ht="16.5" customHeight="1">
      <c r="B324" s="20"/>
      <c r="C324" s="20"/>
      <c r="D324" s="254"/>
      <c r="E324" s="379">
        <v>139109</v>
      </c>
      <c r="F324" s="395" t="s">
        <v>607</v>
      </c>
      <c r="G324" s="396"/>
      <c r="H324" s="397"/>
      <c r="I324" s="383">
        <v>593000</v>
      </c>
      <c r="J324" s="398">
        <v>139109</v>
      </c>
      <c r="K324" s="399" t="s">
        <v>71</v>
      </c>
      <c r="L324" s="399" t="s">
        <v>34</v>
      </c>
      <c r="M324" s="399">
        <v>200</v>
      </c>
      <c r="N324" s="356">
        <v>593000</v>
      </c>
      <c r="O324" s="28" t="b">
        <f t="shared" si="28"/>
        <v>1</v>
      </c>
    </row>
    <row r="325" spans="2:15" s="28" customFormat="1" ht="16.5" customHeight="1">
      <c r="B325" s="20"/>
      <c r="C325" s="20"/>
      <c r="D325" s="254"/>
      <c r="E325" s="379">
        <v>139110</v>
      </c>
      <c r="F325" s="395" t="s">
        <v>342</v>
      </c>
      <c r="G325" s="396"/>
      <c r="H325" s="397"/>
      <c r="I325" s="383">
        <v>72300</v>
      </c>
      <c r="J325" s="398">
        <v>139110</v>
      </c>
      <c r="K325" s="399" t="s">
        <v>70</v>
      </c>
      <c r="L325" s="399" t="s">
        <v>34</v>
      </c>
      <c r="M325" s="399">
        <v>20</v>
      </c>
      <c r="N325" s="356">
        <v>72300</v>
      </c>
      <c r="O325" s="28" t="b">
        <f t="shared" si="28"/>
        <v>1</v>
      </c>
    </row>
    <row r="326" spans="2:15" s="28" customFormat="1" ht="16.5" customHeight="1">
      <c r="B326" s="20"/>
      <c r="C326" s="20"/>
      <c r="D326" s="254"/>
      <c r="E326" s="379">
        <v>139111</v>
      </c>
      <c r="F326" s="395" t="s">
        <v>608</v>
      </c>
      <c r="G326" s="396"/>
      <c r="H326" s="397"/>
      <c r="I326" s="383">
        <v>654000</v>
      </c>
      <c r="J326" s="398">
        <v>139111</v>
      </c>
      <c r="K326" s="399" t="s">
        <v>71</v>
      </c>
      <c r="L326" s="399" t="s">
        <v>34</v>
      </c>
      <c r="M326" s="399">
        <v>200</v>
      </c>
      <c r="N326" s="356">
        <v>654000</v>
      </c>
      <c r="O326" s="28" t="b">
        <f t="shared" si="28"/>
        <v>1</v>
      </c>
    </row>
    <row r="327" spans="2:15" s="28" customFormat="1" ht="16.5" customHeight="1">
      <c r="B327" s="20"/>
      <c r="C327" s="20"/>
      <c r="D327" s="254"/>
      <c r="E327" s="379">
        <v>139112</v>
      </c>
      <c r="F327" s="395" t="s">
        <v>343</v>
      </c>
      <c r="G327" s="396"/>
      <c r="H327" s="397"/>
      <c r="I327" s="383">
        <v>465000</v>
      </c>
      <c r="J327" s="398">
        <v>139112</v>
      </c>
      <c r="K327" s="399" t="s">
        <v>70</v>
      </c>
      <c r="L327" s="399" t="s">
        <v>34</v>
      </c>
      <c r="M327" s="399">
        <v>20</v>
      </c>
      <c r="N327" s="356">
        <v>465000</v>
      </c>
      <c r="O327" s="28" t="b">
        <f t="shared" si="28"/>
        <v>1</v>
      </c>
    </row>
    <row r="328" spans="2:15" s="28" customFormat="1" ht="16.5" customHeight="1">
      <c r="B328" s="20"/>
      <c r="C328" s="20"/>
      <c r="D328" s="254"/>
      <c r="E328" s="379">
        <v>139113</v>
      </c>
      <c r="F328" s="395" t="s">
        <v>344</v>
      </c>
      <c r="G328" s="396"/>
      <c r="H328" s="397"/>
      <c r="I328" s="383">
        <v>364000</v>
      </c>
      <c r="J328" s="398">
        <v>139113</v>
      </c>
      <c r="K328" s="399" t="s">
        <v>70</v>
      </c>
      <c r="L328" s="399" t="s">
        <v>34</v>
      </c>
      <c r="M328" s="399">
        <v>20</v>
      </c>
      <c r="N328" s="356">
        <v>364000</v>
      </c>
      <c r="O328" s="28" t="b">
        <f t="shared" ref="O328:O390" si="29">I328=N328</f>
        <v>1</v>
      </c>
    </row>
    <row r="329" spans="2:15" s="28" customFormat="1" ht="16.5" customHeight="1">
      <c r="B329" s="20"/>
      <c r="C329" s="20"/>
      <c r="D329" s="254"/>
      <c r="E329" s="379">
        <v>139118</v>
      </c>
      <c r="F329" s="395" t="s">
        <v>609</v>
      </c>
      <c r="G329" s="396"/>
      <c r="H329" s="397"/>
      <c r="I329" s="383">
        <v>952000</v>
      </c>
      <c r="J329" s="398">
        <v>139118</v>
      </c>
      <c r="K329" s="399" t="s">
        <v>71</v>
      </c>
      <c r="L329" s="399" t="s">
        <v>34</v>
      </c>
      <c r="M329" s="399">
        <v>200</v>
      </c>
      <c r="N329" s="356">
        <v>952000</v>
      </c>
      <c r="O329" s="28" t="b">
        <f t="shared" si="29"/>
        <v>1</v>
      </c>
    </row>
    <row r="330" spans="2:15" s="28" customFormat="1" ht="16.5" customHeight="1">
      <c r="B330" s="20"/>
      <c r="C330" s="20"/>
      <c r="D330" s="254"/>
      <c r="E330" s="379">
        <v>139121</v>
      </c>
      <c r="F330" s="395" t="s">
        <v>610</v>
      </c>
      <c r="G330" s="396"/>
      <c r="H330" s="397"/>
      <c r="I330" s="383">
        <v>952000</v>
      </c>
      <c r="J330" s="398">
        <v>139121</v>
      </c>
      <c r="K330" s="399" t="s">
        <v>71</v>
      </c>
      <c r="L330" s="399" t="s">
        <v>34</v>
      </c>
      <c r="M330" s="399">
        <v>200</v>
      </c>
      <c r="N330" s="356">
        <v>952000</v>
      </c>
      <c r="O330" s="28" t="b">
        <f t="shared" si="29"/>
        <v>1</v>
      </c>
    </row>
    <row r="331" spans="2:15" s="28" customFormat="1" ht="16.5" customHeight="1">
      <c r="B331" s="20"/>
      <c r="C331" s="20"/>
      <c r="D331" s="254"/>
      <c r="E331" s="379">
        <v>139123</v>
      </c>
      <c r="F331" s="395" t="s">
        <v>611</v>
      </c>
      <c r="G331" s="396"/>
      <c r="H331" s="397"/>
      <c r="I331" s="383">
        <v>952000</v>
      </c>
      <c r="J331" s="398">
        <v>139123</v>
      </c>
      <c r="K331" s="399" t="s">
        <v>71</v>
      </c>
      <c r="L331" s="399" t="s">
        <v>34</v>
      </c>
      <c r="M331" s="399">
        <v>200</v>
      </c>
      <c r="N331" s="356">
        <v>952000</v>
      </c>
      <c r="O331" s="28" t="b">
        <f t="shared" si="29"/>
        <v>1</v>
      </c>
    </row>
    <row r="332" spans="2:15" s="28" customFormat="1" ht="16.5" customHeight="1">
      <c r="B332" s="20"/>
      <c r="C332" s="20"/>
      <c r="D332" s="254"/>
      <c r="E332" s="379">
        <v>139125</v>
      </c>
      <c r="F332" s="395" t="s">
        <v>612</v>
      </c>
      <c r="G332" s="396"/>
      <c r="H332" s="397"/>
      <c r="I332" s="383">
        <v>618000</v>
      </c>
      <c r="J332" s="398">
        <v>139125</v>
      </c>
      <c r="K332" s="399" t="s">
        <v>71</v>
      </c>
      <c r="L332" s="399" t="s">
        <v>34</v>
      </c>
      <c r="M332" s="399">
        <v>200</v>
      </c>
      <c r="N332" s="356">
        <v>618000</v>
      </c>
      <c r="O332" s="28" t="b">
        <f t="shared" si="29"/>
        <v>1</v>
      </c>
    </row>
    <row r="333" spans="2:15" s="28" customFormat="1" ht="16.5" customHeight="1">
      <c r="B333" s="20"/>
      <c r="C333" s="20"/>
      <c r="D333" s="254"/>
      <c r="E333" s="379">
        <v>139127</v>
      </c>
      <c r="F333" s="395" t="s">
        <v>244</v>
      </c>
      <c r="G333" s="396"/>
      <c r="H333" s="397"/>
      <c r="I333" s="383">
        <v>71000</v>
      </c>
      <c r="J333" s="398">
        <v>139127</v>
      </c>
      <c r="K333" s="399" t="s">
        <v>70</v>
      </c>
      <c r="L333" s="399" t="s">
        <v>34</v>
      </c>
      <c r="M333" s="399">
        <v>20</v>
      </c>
      <c r="N333" s="356">
        <v>71000</v>
      </c>
      <c r="O333" s="28" t="b">
        <f t="shared" si="29"/>
        <v>1</v>
      </c>
    </row>
    <row r="334" spans="2:15" s="28" customFormat="1" ht="16.5" customHeight="1">
      <c r="B334" s="20"/>
      <c r="C334" s="20"/>
      <c r="D334" s="254"/>
      <c r="E334" s="379">
        <v>139128</v>
      </c>
      <c r="F334" s="395" t="s">
        <v>613</v>
      </c>
      <c r="G334" s="396"/>
      <c r="H334" s="397"/>
      <c r="I334" s="383">
        <v>607000</v>
      </c>
      <c r="J334" s="398">
        <v>139128</v>
      </c>
      <c r="K334" s="399" t="s">
        <v>71</v>
      </c>
      <c r="L334" s="399" t="s">
        <v>34</v>
      </c>
      <c r="M334" s="399">
        <v>200</v>
      </c>
      <c r="N334" s="356">
        <v>607000</v>
      </c>
      <c r="O334" s="28" t="b">
        <f t="shared" si="29"/>
        <v>1</v>
      </c>
    </row>
    <row r="335" spans="2:15" s="28" customFormat="1" ht="16.5" customHeight="1">
      <c r="B335" s="20"/>
      <c r="C335" s="20"/>
      <c r="D335" s="254"/>
      <c r="E335" s="379">
        <v>139129</v>
      </c>
      <c r="F335" s="395" t="s">
        <v>245</v>
      </c>
      <c r="G335" s="396"/>
      <c r="H335" s="397"/>
      <c r="I335" s="383">
        <v>69800</v>
      </c>
      <c r="J335" s="398">
        <v>139129</v>
      </c>
      <c r="K335" s="399" t="s">
        <v>70</v>
      </c>
      <c r="L335" s="399" t="s">
        <v>34</v>
      </c>
      <c r="M335" s="399">
        <v>20</v>
      </c>
      <c r="N335" s="356">
        <v>69800</v>
      </c>
      <c r="O335" s="28" t="b">
        <f t="shared" si="29"/>
        <v>1</v>
      </c>
    </row>
    <row r="336" spans="2:15" s="28" customFormat="1" ht="16.5" customHeight="1">
      <c r="B336" s="20"/>
      <c r="C336" s="20"/>
      <c r="D336" s="254"/>
      <c r="E336" s="379">
        <v>139130</v>
      </c>
      <c r="F336" s="395" t="s">
        <v>614</v>
      </c>
      <c r="G336" s="396"/>
      <c r="H336" s="397"/>
      <c r="I336" s="383">
        <v>623000</v>
      </c>
      <c r="J336" s="398">
        <v>139130</v>
      </c>
      <c r="K336" s="399" t="s">
        <v>71</v>
      </c>
      <c r="L336" s="399" t="s">
        <v>34</v>
      </c>
      <c r="M336" s="399">
        <v>200</v>
      </c>
      <c r="N336" s="356">
        <v>623000</v>
      </c>
      <c r="O336" s="28" t="b">
        <f t="shared" si="29"/>
        <v>1</v>
      </c>
    </row>
    <row r="337" spans="2:15" s="28" customFormat="1" ht="16.5" customHeight="1">
      <c r="B337" s="20"/>
      <c r="C337" s="20"/>
      <c r="D337" s="254"/>
      <c r="E337" s="379">
        <v>139131</v>
      </c>
      <c r="F337" s="395" t="s">
        <v>237</v>
      </c>
      <c r="G337" s="396"/>
      <c r="H337" s="397"/>
      <c r="I337" s="383">
        <v>74600</v>
      </c>
      <c r="J337" s="398">
        <v>139131</v>
      </c>
      <c r="K337" s="399" t="s">
        <v>70</v>
      </c>
      <c r="L337" s="399" t="s">
        <v>34</v>
      </c>
      <c r="M337" s="399">
        <v>20</v>
      </c>
      <c r="N337" s="356">
        <v>74600</v>
      </c>
      <c r="O337" s="28" t="b">
        <f t="shared" si="29"/>
        <v>1</v>
      </c>
    </row>
    <row r="338" spans="2:15" s="28" customFormat="1" ht="16.5" customHeight="1">
      <c r="B338" s="20"/>
      <c r="C338" s="20"/>
      <c r="D338" s="254"/>
      <c r="E338" s="379">
        <v>139132</v>
      </c>
      <c r="F338" s="395" t="s">
        <v>615</v>
      </c>
      <c r="G338" s="396"/>
      <c r="H338" s="397"/>
      <c r="I338" s="383">
        <v>623000</v>
      </c>
      <c r="J338" s="398">
        <v>139132</v>
      </c>
      <c r="K338" s="399" t="s">
        <v>71</v>
      </c>
      <c r="L338" s="399" t="s">
        <v>34</v>
      </c>
      <c r="M338" s="399">
        <v>200</v>
      </c>
      <c r="N338" s="356">
        <v>623000</v>
      </c>
      <c r="O338" s="28" t="b">
        <f t="shared" si="29"/>
        <v>1</v>
      </c>
    </row>
    <row r="339" spans="2:15" s="28" customFormat="1" ht="16.5" customHeight="1">
      <c r="B339" s="20"/>
      <c r="C339" s="20"/>
      <c r="D339" s="254"/>
      <c r="E339" s="379">
        <v>139134</v>
      </c>
      <c r="F339" s="395" t="s">
        <v>227</v>
      </c>
      <c r="G339" s="396"/>
      <c r="H339" s="397"/>
      <c r="I339" s="383">
        <v>70900</v>
      </c>
      <c r="J339" s="398">
        <v>139134</v>
      </c>
      <c r="K339" s="399" t="s">
        <v>70</v>
      </c>
      <c r="L339" s="399" t="s">
        <v>34</v>
      </c>
      <c r="M339" s="399">
        <v>20</v>
      </c>
      <c r="N339" s="356">
        <v>70900</v>
      </c>
      <c r="O339" s="28" t="b">
        <f t="shared" si="29"/>
        <v>1</v>
      </c>
    </row>
    <row r="340" spans="2:15" s="28" customFormat="1" ht="16.5" customHeight="1">
      <c r="B340" s="20"/>
      <c r="C340" s="20"/>
      <c r="D340" s="254"/>
      <c r="E340" s="379">
        <v>139135</v>
      </c>
      <c r="F340" s="395" t="s">
        <v>616</v>
      </c>
      <c r="G340" s="396"/>
      <c r="H340" s="397"/>
      <c r="I340" s="383">
        <v>641000</v>
      </c>
      <c r="J340" s="398">
        <v>139135</v>
      </c>
      <c r="K340" s="399" t="s">
        <v>71</v>
      </c>
      <c r="L340" s="399" t="s">
        <v>34</v>
      </c>
      <c r="M340" s="399">
        <v>200</v>
      </c>
      <c r="N340" s="356">
        <v>641000</v>
      </c>
      <c r="O340" s="28" t="b">
        <f t="shared" si="29"/>
        <v>1</v>
      </c>
    </row>
    <row r="341" spans="2:15" s="28" customFormat="1" ht="16.5" customHeight="1">
      <c r="B341" s="20"/>
      <c r="C341" s="20"/>
      <c r="D341" s="254"/>
      <c r="E341" s="379">
        <v>139137</v>
      </c>
      <c r="F341" s="395" t="s">
        <v>246</v>
      </c>
      <c r="G341" s="396"/>
      <c r="H341" s="397"/>
      <c r="I341" s="383">
        <v>80900</v>
      </c>
      <c r="J341" s="398">
        <v>139137</v>
      </c>
      <c r="K341" s="399" t="s">
        <v>70</v>
      </c>
      <c r="L341" s="399" t="s">
        <v>34</v>
      </c>
      <c r="M341" s="399">
        <v>20</v>
      </c>
      <c r="N341" s="356">
        <v>80900</v>
      </c>
      <c r="O341" s="28" t="b">
        <f t="shared" si="29"/>
        <v>1</v>
      </c>
    </row>
    <row r="342" spans="2:15" s="28" customFormat="1" ht="16.5" customHeight="1">
      <c r="B342" s="20"/>
      <c r="C342" s="20"/>
      <c r="D342" s="254"/>
      <c r="E342" s="379">
        <v>139138</v>
      </c>
      <c r="F342" s="395" t="s">
        <v>617</v>
      </c>
      <c r="G342" s="396"/>
      <c r="H342" s="397"/>
      <c r="I342" s="383">
        <v>740000</v>
      </c>
      <c r="J342" s="398">
        <v>139138</v>
      </c>
      <c r="K342" s="399" t="s">
        <v>71</v>
      </c>
      <c r="L342" s="399" t="s">
        <v>34</v>
      </c>
      <c r="M342" s="399">
        <v>200</v>
      </c>
      <c r="N342" s="356">
        <v>740000</v>
      </c>
      <c r="O342" s="28" t="b">
        <f t="shared" si="29"/>
        <v>1</v>
      </c>
    </row>
    <row r="343" spans="2:15" s="28" customFormat="1" ht="16.5" customHeight="1">
      <c r="B343" s="20"/>
      <c r="C343" s="20"/>
      <c r="D343" s="254"/>
      <c r="E343" s="379">
        <v>139139</v>
      </c>
      <c r="F343" s="395" t="s">
        <v>247</v>
      </c>
      <c r="G343" s="396"/>
      <c r="H343" s="397"/>
      <c r="I343" s="383">
        <v>80900</v>
      </c>
      <c r="J343" s="398">
        <v>139139</v>
      </c>
      <c r="K343" s="399" t="s">
        <v>70</v>
      </c>
      <c r="L343" s="399" t="s">
        <v>34</v>
      </c>
      <c r="M343" s="399">
        <v>20</v>
      </c>
      <c r="N343" s="356">
        <v>80900</v>
      </c>
      <c r="O343" s="28" t="b">
        <f t="shared" si="29"/>
        <v>1</v>
      </c>
    </row>
    <row r="344" spans="2:15" s="28" customFormat="1" ht="16.5" customHeight="1">
      <c r="B344" s="20"/>
      <c r="C344" s="20"/>
      <c r="D344" s="254"/>
      <c r="E344" s="379">
        <v>139140</v>
      </c>
      <c r="F344" s="395" t="s">
        <v>618</v>
      </c>
      <c r="G344" s="396"/>
      <c r="H344" s="397"/>
      <c r="I344" s="383">
        <v>750000</v>
      </c>
      <c r="J344" s="398">
        <v>139140</v>
      </c>
      <c r="K344" s="399" t="s">
        <v>71</v>
      </c>
      <c r="L344" s="399" t="s">
        <v>34</v>
      </c>
      <c r="M344" s="399">
        <v>200</v>
      </c>
      <c r="N344" s="356">
        <v>750000</v>
      </c>
      <c r="O344" s="28" t="b">
        <f t="shared" si="29"/>
        <v>1</v>
      </c>
    </row>
    <row r="345" spans="2:15" s="28" customFormat="1" ht="16.5" customHeight="1">
      <c r="B345" s="20"/>
      <c r="C345" s="20"/>
      <c r="D345" s="254"/>
      <c r="E345" s="379">
        <v>139141</v>
      </c>
      <c r="F345" s="395" t="s">
        <v>345</v>
      </c>
      <c r="G345" s="396"/>
      <c r="H345" s="397"/>
      <c r="I345" s="383">
        <v>87100</v>
      </c>
      <c r="J345" s="398">
        <v>139141</v>
      </c>
      <c r="K345" s="399" t="s">
        <v>70</v>
      </c>
      <c r="L345" s="399" t="s">
        <v>34</v>
      </c>
      <c r="M345" s="399">
        <v>20</v>
      </c>
      <c r="N345" s="356">
        <v>87100</v>
      </c>
      <c r="O345" s="28" t="b">
        <f t="shared" si="29"/>
        <v>1</v>
      </c>
    </row>
    <row r="346" spans="2:15" s="28" customFormat="1" ht="16.5" customHeight="1">
      <c r="B346" s="20"/>
      <c r="C346" s="20"/>
      <c r="D346" s="254"/>
      <c r="E346" s="379">
        <v>139142</v>
      </c>
      <c r="F346" s="395" t="s">
        <v>619</v>
      </c>
      <c r="G346" s="396"/>
      <c r="H346" s="397"/>
      <c r="I346" s="383">
        <v>423000</v>
      </c>
      <c r="J346" s="398">
        <v>139142</v>
      </c>
      <c r="K346" s="399" t="s">
        <v>71</v>
      </c>
      <c r="L346" s="399" t="s">
        <v>34</v>
      </c>
      <c r="M346" s="399">
        <v>200</v>
      </c>
      <c r="N346" s="356">
        <v>423000</v>
      </c>
      <c r="O346" s="28" t="b">
        <f t="shared" si="29"/>
        <v>1</v>
      </c>
    </row>
    <row r="347" spans="2:15" s="28" customFormat="1" ht="16.5" customHeight="1">
      <c r="B347" s="20"/>
      <c r="C347" s="20"/>
      <c r="D347" s="254"/>
      <c r="E347" s="379">
        <v>139143</v>
      </c>
      <c r="F347" s="395" t="s">
        <v>248</v>
      </c>
      <c r="G347" s="396"/>
      <c r="H347" s="397"/>
      <c r="I347" s="383">
        <v>44000</v>
      </c>
      <c r="J347" s="398">
        <v>139143</v>
      </c>
      <c r="K347" s="399" t="s">
        <v>70</v>
      </c>
      <c r="L347" s="399" t="s">
        <v>34</v>
      </c>
      <c r="M347" s="399">
        <v>20</v>
      </c>
      <c r="N347" s="356">
        <v>44000</v>
      </c>
      <c r="O347" s="28" t="b">
        <f t="shared" si="29"/>
        <v>1</v>
      </c>
    </row>
    <row r="348" spans="2:15" s="28" customFormat="1" ht="16.5" customHeight="1">
      <c r="B348" s="20"/>
      <c r="C348" s="20"/>
      <c r="D348" s="254"/>
      <c r="E348" s="379">
        <v>139144</v>
      </c>
      <c r="F348" s="395" t="s">
        <v>620</v>
      </c>
      <c r="G348" s="396"/>
      <c r="H348" s="397"/>
      <c r="I348" s="383">
        <v>423000</v>
      </c>
      <c r="J348" s="398">
        <v>139144</v>
      </c>
      <c r="K348" s="399" t="s">
        <v>71</v>
      </c>
      <c r="L348" s="399" t="s">
        <v>34</v>
      </c>
      <c r="M348" s="399">
        <v>200</v>
      </c>
      <c r="N348" s="356">
        <v>423000</v>
      </c>
      <c r="O348" s="28" t="b">
        <f t="shared" si="29"/>
        <v>1</v>
      </c>
    </row>
    <row r="349" spans="2:15" s="28" customFormat="1" ht="16.5" customHeight="1">
      <c r="B349" s="20"/>
      <c r="C349" s="20"/>
      <c r="D349" s="254"/>
      <c r="E349" s="379">
        <v>139145</v>
      </c>
      <c r="F349" s="395" t="s">
        <v>228</v>
      </c>
      <c r="G349" s="396"/>
      <c r="H349" s="397"/>
      <c r="I349" s="383">
        <v>44000</v>
      </c>
      <c r="J349" s="398">
        <v>139145</v>
      </c>
      <c r="K349" s="399" t="s">
        <v>70</v>
      </c>
      <c r="L349" s="399" t="s">
        <v>34</v>
      </c>
      <c r="M349" s="399">
        <v>20</v>
      </c>
      <c r="N349" s="356">
        <v>44000</v>
      </c>
      <c r="O349" s="28" t="b">
        <f t="shared" si="29"/>
        <v>1</v>
      </c>
    </row>
    <row r="350" spans="2:15" s="28" customFormat="1" ht="16.5" customHeight="1">
      <c r="B350" s="20"/>
      <c r="C350" s="20"/>
      <c r="D350" s="254"/>
      <c r="E350" s="379">
        <v>139146</v>
      </c>
      <c r="F350" s="395" t="s">
        <v>621</v>
      </c>
      <c r="G350" s="396"/>
      <c r="H350" s="397"/>
      <c r="I350" s="383">
        <v>455000</v>
      </c>
      <c r="J350" s="398">
        <v>139146</v>
      </c>
      <c r="K350" s="399" t="s">
        <v>71</v>
      </c>
      <c r="L350" s="399" t="s">
        <v>34</v>
      </c>
      <c r="M350" s="399">
        <v>200</v>
      </c>
      <c r="N350" s="356">
        <v>455000</v>
      </c>
      <c r="O350" s="28" t="b">
        <f t="shared" si="29"/>
        <v>1</v>
      </c>
    </row>
    <row r="351" spans="2:15" s="28" customFormat="1" ht="16.5" customHeight="1">
      <c r="B351" s="20"/>
      <c r="C351" s="20"/>
      <c r="D351" s="254"/>
      <c r="E351" s="379">
        <v>139147</v>
      </c>
      <c r="F351" s="395" t="s">
        <v>622</v>
      </c>
      <c r="G351" s="396"/>
      <c r="H351" s="397"/>
      <c r="I351" s="383">
        <v>475000</v>
      </c>
      <c r="J351" s="398">
        <v>139147</v>
      </c>
      <c r="K351" s="399" t="s">
        <v>71</v>
      </c>
      <c r="L351" s="399" t="s">
        <v>34</v>
      </c>
      <c r="M351" s="399">
        <v>200</v>
      </c>
      <c r="N351" s="356">
        <v>475000</v>
      </c>
      <c r="O351" s="28" t="b">
        <f t="shared" si="29"/>
        <v>1</v>
      </c>
    </row>
    <row r="352" spans="2:15" s="28" customFormat="1" ht="16.5" customHeight="1">
      <c r="B352" s="20"/>
      <c r="C352" s="20"/>
      <c r="D352" s="254"/>
      <c r="E352" s="379">
        <v>139148</v>
      </c>
      <c r="F352" s="395" t="s">
        <v>346</v>
      </c>
      <c r="G352" s="396"/>
      <c r="H352" s="397"/>
      <c r="I352" s="383">
        <v>50600</v>
      </c>
      <c r="J352" s="398">
        <v>139148</v>
      </c>
      <c r="K352" s="399" t="s">
        <v>70</v>
      </c>
      <c r="L352" s="399" t="s">
        <v>34</v>
      </c>
      <c r="M352" s="399">
        <v>20</v>
      </c>
      <c r="N352" s="356">
        <v>50600</v>
      </c>
      <c r="O352" s="28" t="b">
        <f t="shared" si="29"/>
        <v>1</v>
      </c>
    </row>
    <row r="353" spans="2:15" s="28" customFormat="1" ht="16.5" customHeight="1">
      <c r="B353" s="20"/>
      <c r="C353" s="20"/>
      <c r="D353" s="254"/>
      <c r="E353" s="379">
        <v>139149</v>
      </c>
      <c r="F353" s="395" t="s">
        <v>623</v>
      </c>
      <c r="G353" s="396"/>
      <c r="H353" s="397"/>
      <c r="I353" s="383">
        <v>539000</v>
      </c>
      <c r="J353" s="398">
        <v>139149</v>
      </c>
      <c r="K353" s="399" t="s">
        <v>71</v>
      </c>
      <c r="L353" s="399" t="s">
        <v>34</v>
      </c>
      <c r="M353" s="399">
        <v>200</v>
      </c>
      <c r="N353" s="356">
        <v>539000</v>
      </c>
      <c r="O353" s="28" t="b">
        <f t="shared" si="29"/>
        <v>1</v>
      </c>
    </row>
    <row r="354" spans="2:15" s="28" customFormat="1" ht="16.5" customHeight="1">
      <c r="B354" s="20"/>
      <c r="C354" s="20"/>
      <c r="D354" s="254"/>
      <c r="E354" s="379">
        <v>139150</v>
      </c>
      <c r="F354" s="395" t="s">
        <v>249</v>
      </c>
      <c r="G354" s="396"/>
      <c r="H354" s="397"/>
      <c r="I354" s="383">
        <v>56700</v>
      </c>
      <c r="J354" s="398">
        <v>139150</v>
      </c>
      <c r="K354" s="399" t="s">
        <v>70</v>
      </c>
      <c r="L354" s="399" t="s">
        <v>34</v>
      </c>
      <c r="M354" s="399">
        <v>20</v>
      </c>
      <c r="N354" s="356">
        <v>56700</v>
      </c>
      <c r="O354" s="28" t="b">
        <f t="shared" si="29"/>
        <v>1</v>
      </c>
    </row>
    <row r="355" spans="2:15" s="28" customFormat="1" ht="16.5" customHeight="1">
      <c r="B355" s="20"/>
      <c r="C355" s="20"/>
      <c r="D355" s="254"/>
      <c r="E355" s="379">
        <v>139151</v>
      </c>
      <c r="F355" s="395" t="s">
        <v>624</v>
      </c>
      <c r="G355" s="396"/>
      <c r="H355" s="397"/>
      <c r="I355" s="383">
        <v>539000</v>
      </c>
      <c r="J355" s="398">
        <v>139151</v>
      </c>
      <c r="K355" s="399" t="s">
        <v>71</v>
      </c>
      <c r="L355" s="399" t="s">
        <v>34</v>
      </c>
      <c r="M355" s="399">
        <v>200</v>
      </c>
      <c r="N355" s="356">
        <v>539000</v>
      </c>
      <c r="O355" s="28" t="b">
        <f t="shared" si="29"/>
        <v>1</v>
      </c>
    </row>
    <row r="356" spans="2:15" s="28" customFormat="1" ht="16.5" customHeight="1">
      <c r="B356" s="20"/>
      <c r="C356" s="20"/>
      <c r="D356" s="254"/>
      <c r="E356" s="379">
        <v>139152</v>
      </c>
      <c r="F356" s="395" t="s">
        <v>250</v>
      </c>
      <c r="G356" s="396"/>
      <c r="H356" s="397"/>
      <c r="I356" s="383">
        <v>56700</v>
      </c>
      <c r="J356" s="398">
        <v>139152</v>
      </c>
      <c r="K356" s="399" t="s">
        <v>70</v>
      </c>
      <c r="L356" s="399" t="s">
        <v>34</v>
      </c>
      <c r="M356" s="399">
        <v>20</v>
      </c>
      <c r="N356" s="356">
        <v>56700</v>
      </c>
      <c r="O356" s="28" t="b">
        <f t="shared" si="29"/>
        <v>1</v>
      </c>
    </row>
    <row r="357" spans="2:15" s="28" customFormat="1" ht="16.5" customHeight="1">
      <c r="B357" s="20"/>
      <c r="C357" s="20"/>
      <c r="D357" s="254"/>
      <c r="E357" s="379">
        <v>139153</v>
      </c>
      <c r="F357" s="395" t="s">
        <v>625</v>
      </c>
      <c r="G357" s="396"/>
      <c r="H357" s="397"/>
      <c r="I357" s="383">
        <v>580000</v>
      </c>
      <c r="J357" s="398">
        <v>139153</v>
      </c>
      <c r="K357" s="399" t="s">
        <v>71</v>
      </c>
      <c r="L357" s="399" t="s">
        <v>34</v>
      </c>
      <c r="M357" s="399">
        <v>200</v>
      </c>
      <c r="N357" s="356">
        <v>580000</v>
      </c>
      <c r="O357" s="28" t="b">
        <f t="shared" si="29"/>
        <v>1</v>
      </c>
    </row>
    <row r="358" spans="2:15" s="28" customFormat="1" ht="16.5" customHeight="1">
      <c r="B358" s="20"/>
      <c r="C358" s="20"/>
      <c r="D358" s="254"/>
      <c r="E358" s="379">
        <v>139154</v>
      </c>
      <c r="F358" s="395" t="s">
        <v>251</v>
      </c>
      <c r="G358" s="396"/>
      <c r="H358" s="397"/>
      <c r="I358" s="383">
        <v>60600</v>
      </c>
      <c r="J358" s="398">
        <v>139154</v>
      </c>
      <c r="K358" s="399" t="s">
        <v>70</v>
      </c>
      <c r="L358" s="399" t="s">
        <v>34</v>
      </c>
      <c r="M358" s="399">
        <v>20</v>
      </c>
      <c r="N358" s="356">
        <v>60600</v>
      </c>
      <c r="O358" s="28" t="b">
        <f t="shared" si="29"/>
        <v>1</v>
      </c>
    </row>
    <row r="359" spans="2:15" s="28" customFormat="1" ht="16.5" customHeight="1">
      <c r="B359" s="20"/>
      <c r="C359" s="20"/>
      <c r="D359" s="254"/>
      <c r="E359" s="379">
        <v>139155</v>
      </c>
      <c r="F359" s="395" t="s">
        <v>626</v>
      </c>
      <c r="G359" s="396"/>
      <c r="H359" s="397"/>
      <c r="I359" s="383">
        <v>610000</v>
      </c>
      <c r="J359" s="398">
        <v>139155</v>
      </c>
      <c r="K359" s="399" t="s">
        <v>71</v>
      </c>
      <c r="L359" s="399" t="s">
        <v>34</v>
      </c>
      <c r="M359" s="399">
        <v>200</v>
      </c>
      <c r="N359" s="356">
        <v>610000</v>
      </c>
      <c r="O359" s="28" t="b">
        <f t="shared" si="29"/>
        <v>1</v>
      </c>
    </row>
    <row r="360" spans="2:15" s="28" customFormat="1" ht="16.5" customHeight="1">
      <c r="B360" s="20"/>
      <c r="C360" s="20"/>
      <c r="D360" s="254"/>
      <c r="E360" s="379">
        <v>139156</v>
      </c>
      <c r="F360" s="395" t="s">
        <v>252</v>
      </c>
      <c r="G360" s="396"/>
      <c r="H360" s="397"/>
      <c r="I360" s="383">
        <v>64600</v>
      </c>
      <c r="J360" s="398">
        <v>139156</v>
      </c>
      <c r="K360" s="399" t="s">
        <v>70</v>
      </c>
      <c r="L360" s="399" t="s">
        <v>34</v>
      </c>
      <c r="M360" s="399">
        <v>20</v>
      </c>
      <c r="N360" s="356">
        <v>64600</v>
      </c>
      <c r="O360" s="28" t="b">
        <f t="shared" si="29"/>
        <v>1</v>
      </c>
    </row>
    <row r="361" spans="2:15" s="28" customFormat="1" ht="16.5" customHeight="1">
      <c r="B361" s="20"/>
      <c r="C361" s="20"/>
      <c r="D361" s="254"/>
      <c r="E361" s="379">
        <v>139158</v>
      </c>
      <c r="F361" s="395" t="s">
        <v>627</v>
      </c>
      <c r="G361" s="396"/>
      <c r="H361" s="397"/>
      <c r="I361" s="383">
        <v>636000</v>
      </c>
      <c r="J361" s="398">
        <v>139158</v>
      </c>
      <c r="K361" s="399" t="s">
        <v>71</v>
      </c>
      <c r="L361" s="399" t="s">
        <v>34</v>
      </c>
      <c r="M361" s="399">
        <v>200</v>
      </c>
      <c r="N361" s="356">
        <v>636000</v>
      </c>
      <c r="O361" s="28" t="b">
        <f t="shared" si="29"/>
        <v>1</v>
      </c>
    </row>
    <row r="362" spans="2:15" s="28" customFormat="1" ht="16.5" customHeight="1">
      <c r="B362" s="20"/>
      <c r="C362" s="20"/>
      <c r="D362" s="254"/>
      <c r="E362" s="379">
        <v>139160</v>
      </c>
      <c r="F362" s="395" t="s">
        <v>628</v>
      </c>
      <c r="G362" s="396"/>
      <c r="H362" s="397"/>
      <c r="I362" s="383">
        <v>683000</v>
      </c>
      <c r="J362" s="398">
        <v>139160</v>
      </c>
      <c r="K362" s="399" t="s">
        <v>71</v>
      </c>
      <c r="L362" s="399" t="s">
        <v>34</v>
      </c>
      <c r="M362" s="399">
        <v>200</v>
      </c>
      <c r="N362" s="356">
        <v>683000</v>
      </c>
      <c r="O362" s="28" t="b">
        <f t="shared" si="29"/>
        <v>1</v>
      </c>
    </row>
    <row r="363" spans="2:15" s="28" customFormat="1" ht="16.5" customHeight="1">
      <c r="B363" s="20"/>
      <c r="C363" s="20"/>
      <c r="D363" s="254"/>
      <c r="E363" s="379">
        <v>139161</v>
      </c>
      <c r="F363" s="395" t="s">
        <v>347</v>
      </c>
      <c r="G363" s="396"/>
      <c r="H363" s="397"/>
      <c r="I363" s="383">
        <v>80500</v>
      </c>
      <c r="J363" s="398">
        <v>139161</v>
      </c>
      <c r="K363" s="399" t="s">
        <v>70</v>
      </c>
      <c r="L363" s="399" t="s">
        <v>34</v>
      </c>
      <c r="M363" s="399">
        <v>20</v>
      </c>
      <c r="N363" s="356">
        <v>80500</v>
      </c>
      <c r="O363" s="28" t="b">
        <f t="shared" si="29"/>
        <v>1</v>
      </c>
    </row>
    <row r="364" spans="2:15" s="28" customFormat="1" ht="16.5" customHeight="1">
      <c r="B364" s="20"/>
      <c r="C364" s="20"/>
      <c r="D364" s="254"/>
      <c r="E364" s="379">
        <v>139163</v>
      </c>
      <c r="F364" s="395" t="s">
        <v>629</v>
      </c>
      <c r="G364" s="396"/>
      <c r="H364" s="397"/>
      <c r="I364" s="383">
        <v>763000</v>
      </c>
      <c r="J364" s="398">
        <v>139163</v>
      </c>
      <c r="K364" s="399" t="s">
        <v>71</v>
      </c>
      <c r="L364" s="399" t="s">
        <v>34</v>
      </c>
      <c r="M364" s="399">
        <v>200</v>
      </c>
      <c r="N364" s="356">
        <v>763000</v>
      </c>
      <c r="O364" s="28" t="b">
        <f t="shared" si="29"/>
        <v>1</v>
      </c>
    </row>
    <row r="365" spans="2:15" s="28" customFormat="1" ht="16.5" customHeight="1">
      <c r="B365" s="20"/>
      <c r="C365" s="20"/>
      <c r="D365" s="254"/>
      <c r="E365" s="379">
        <v>139164</v>
      </c>
      <c r="F365" s="395" t="s">
        <v>348</v>
      </c>
      <c r="G365" s="396"/>
      <c r="H365" s="397"/>
      <c r="I365" s="383">
        <v>80500</v>
      </c>
      <c r="J365" s="398">
        <v>139164</v>
      </c>
      <c r="K365" s="399" t="s">
        <v>70</v>
      </c>
      <c r="L365" s="399" t="s">
        <v>34</v>
      </c>
      <c r="M365" s="399">
        <v>20</v>
      </c>
      <c r="N365" s="356">
        <v>80500</v>
      </c>
      <c r="O365" s="28" t="b">
        <f t="shared" si="29"/>
        <v>1</v>
      </c>
    </row>
    <row r="366" spans="2:15" s="28" customFormat="1" ht="16.5" customHeight="1">
      <c r="B366" s="20"/>
      <c r="C366" s="20"/>
      <c r="D366" s="254"/>
      <c r="E366" s="379">
        <v>139167</v>
      </c>
      <c r="F366" s="395" t="s">
        <v>630</v>
      </c>
      <c r="G366" s="396"/>
      <c r="H366" s="397"/>
      <c r="I366" s="383">
        <v>499000</v>
      </c>
      <c r="J366" s="398">
        <v>139167</v>
      </c>
      <c r="K366" s="399" t="s">
        <v>71</v>
      </c>
      <c r="L366" s="399" t="s">
        <v>34</v>
      </c>
      <c r="M366" s="399">
        <v>200</v>
      </c>
      <c r="N366" s="356">
        <v>499000</v>
      </c>
      <c r="O366" s="28" t="b">
        <f t="shared" si="29"/>
        <v>1</v>
      </c>
    </row>
    <row r="367" spans="2:15" s="28" customFormat="1" ht="16.5" customHeight="1">
      <c r="B367" s="20"/>
      <c r="C367" s="20"/>
      <c r="D367" s="254"/>
      <c r="E367" s="379">
        <v>140145</v>
      </c>
      <c r="F367" s="395" t="s">
        <v>46</v>
      </c>
      <c r="G367" s="396"/>
      <c r="H367" s="397"/>
      <c r="I367" s="383">
        <v>183000</v>
      </c>
      <c r="J367" s="398">
        <v>140145</v>
      </c>
      <c r="K367" s="399" t="s">
        <v>70</v>
      </c>
      <c r="L367" s="399" t="s">
        <v>34</v>
      </c>
      <c r="M367" s="399">
        <v>16</v>
      </c>
      <c r="N367" s="356">
        <v>183000</v>
      </c>
      <c r="O367" s="28" t="b">
        <f t="shared" si="29"/>
        <v>1</v>
      </c>
    </row>
    <row r="368" spans="2:15" s="28" customFormat="1" ht="16.5" customHeight="1">
      <c r="B368" s="20"/>
      <c r="C368" s="20"/>
      <c r="D368" s="254"/>
      <c r="E368" s="379">
        <v>139600</v>
      </c>
      <c r="F368" s="395" t="s">
        <v>767</v>
      </c>
      <c r="G368" s="396"/>
      <c r="H368" s="397"/>
      <c r="I368" s="383">
        <v>482000</v>
      </c>
      <c r="J368" s="398">
        <v>139600</v>
      </c>
      <c r="K368" s="399" t="s">
        <v>70</v>
      </c>
      <c r="L368" s="399" t="s">
        <v>34</v>
      </c>
      <c r="M368" s="399">
        <v>20</v>
      </c>
      <c r="N368" s="356">
        <v>482000</v>
      </c>
      <c r="O368" s="28" t="b">
        <f t="shared" si="29"/>
        <v>1</v>
      </c>
    </row>
    <row r="369" spans="2:15" s="28" customFormat="1" ht="16.5" customHeight="1">
      <c r="B369" s="20"/>
      <c r="C369" s="20"/>
      <c r="D369" s="254"/>
      <c r="E369" s="379">
        <v>139639</v>
      </c>
      <c r="F369" s="395" t="s">
        <v>353</v>
      </c>
      <c r="G369" s="396"/>
      <c r="H369" s="397"/>
      <c r="I369" s="383">
        <v>94100</v>
      </c>
      <c r="J369" s="398">
        <v>139639</v>
      </c>
      <c r="K369" s="399" t="s">
        <v>70</v>
      </c>
      <c r="L369" s="399" t="s">
        <v>34</v>
      </c>
      <c r="M369" s="399">
        <v>20</v>
      </c>
      <c r="N369" s="356">
        <v>94100</v>
      </c>
      <c r="O369" s="28" t="b">
        <f t="shared" si="29"/>
        <v>1</v>
      </c>
    </row>
    <row r="370" spans="2:15" s="28" customFormat="1" ht="16.5" customHeight="1">
      <c r="B370" s="20"/>
      <c r="C370" s="20"/>
      <c r="D370" s="254"/>
      <c r="E370" s="379">
        <v>139643</v>
      </c>
      <c r="F370" s="395" t="s">
        <v>354</v>
      </c>
      <c r="G370" s="396"/>
      <c r="H370" s="397"/>
      <c r="I370" s="383">
        <v>79200</v>
      </c>
      <c r="J370" s="398">
        <v>139643</v>
      </c>
      <c r="K370" s="399" t="s">
        <v>70</v>
      </c>
      <c r="L370" s="399" t="s">
        <v>34</v>
      </c>
      <c r="M370" s="399">
        <v>20</v>
      </c>
      <c r="N370" s="356">
        <v>79200</v>
      </c>
      <c r="O370" s="28" t="b">
        <f t="shared" si="29"/>
        <v>1</v>
      </c>
    </row>
    <row r="371" spans="2:15" s="28" customFormat="1" ht="16.5" customHeight="1">
      <c r="B371" s="20"/>
      <c r="C371" s="20"/>
      <c r="D371" s="254"/>
      <c r="E371" s="379">
        <v>148679</v>
      </c>
      <c r="F371" s="395" t="s">
        <v>421</v>
      </c>
      <c r="G371" s="396"/>
      <c r="H371" s="397"/>
      <c r="I371" s="383">
        <v>645000</v>
      </c>
      <c r="J371" s="398">
        <v>148679</v>
      </c>
      <c r="K371" s="399" t="s">
        <v>71</v>
      </c>
      <c r="L371" s="399" t="s">
        <v>34</v>
      </c>
      <c r="M371" s="399">
        <v>208</v>
      </c>
      <c r="N371" s="356">
        <v>645000</v>
      </c>
      <c r="O371" s="28" t="b">
        <f t="shared" si="29"/>
        <v>1</v>
      </c>
    </row>
    <row r="372" spans="2:15" s="28" customFormat="1" ht="16.5" customHeight="1">
      <c r="B372" s="20"/>
      <c r="C372" s="20"/>
      <c r="D372" s="254"/>
      <c r="E372" s="379">
        <v>141825</v>
      </c>
      <c r="F372" s="395" t="s">
        <v>641</v>
      </c>
      <c r="G372" s="396"/>
      <c r="H372" s="397"/>
      <c r="I372" s="383">
        <v>2660000</v>
      </c>
      <c r="J372" s="398">
        <v>141825</v>
      </c>
      <c r="K372" s="399" t="s">
        <v>71</v>
      </c>
      <c r="L372" s="399" t="s">
        <v>34</v>
      </c>
      <c r="M372" s="399">
        <v>208</v>
      </c>
      <c r="N372" s="356">
        <v>2660000</v>
      </c>
      <c r="O372" s="28" t="b">
        <f t="shared" si="29"/>
        <v>1</v>
      </c>
    </row>
    <row r="373" spans="2:15" s="28" customFormat="1" ht="16.5" customHeight="1">
      <c r="B373" s="20"/>
      <c r="C373" s="20"/>
      <c r="D373" s="254"/>
      <c r="E373" s="379">
        <v>139819</v>
      </c>
      <c r="F373" s="395" t="s">
        <v>642</v>
      </c>
      <c r="G373" s="396"/>
      <c r="H373" s="397"/>
      <c r="I373" s="383">
        <v>2692000</v>
      </c>
      <c r="J373" s="398">
        <v>139819</v>
      </c>
      <c r="K373" s="399" t="s">
        <v>71</v>
      </c>
      <c r="L373" s="399" t="s">
        <v>34</v>
      </c>
      <c r="M373" s="399">
        <v>208</v>
      </c>
      <c r="N373" s="356">
        <v>2692000</v>
      </c>
      <c r="O373" s="28" t="b">
        <f t="shared" si="29"/>
        <v>1</v>
      </c>
    </row>
    <row r="374" spans="2:15" s="28" customFormat="1" ht="16.5" customHeight="1">
      <c r="B374" s="20"/>
      <c r="C374" s="20"/>
      <c r="D374" s="254"/>
      <c r="E374" s="379">
        <v>139821</v>
      </c>
      <c r="F374" s="395" t="s">
        <v>643</v>
      </c>
      <c r="G374" s="396"/>
      <c r="H374" s="397"/>
      <c r="I374" s="383">
        <v>3429000</v>
      </c>
      <c r="J374" s="398">
        <v>139821</v>
      </c>
      <c r="K374" s="399" t="s">
        <v>71</v>
      </c>
      <c r="L374" s="399" t="s">
        <v>34</v>
      </c>
      <c r="M374" s="399">
        <v>208</v>
      </c>
      <c r="N374" s="356">
        <v>3429000</v>
      </c>
      <c r="O374" s="28" t="b">
        <f t="shared" si="29"/>
        <v>1</v>
      </c>
    </row>
    <row r="375" spans="2:15" s="28" customFormat="1" ht="16.5" customHeight="1">
      <c r="B375" s="20"/>
      <c r="C375" s="20"/>
      <c r="D375" s="254"/>
      <c r="E375" s="379">
        <v>143919</v>
      </c>
      <c r="F375" s="395" t="s">
        <v>863</v>
      </c>
      <c r="G375" s="396"/>
      <c r="H375" s="397"/>
      <c r="I375" s="383">
        <v>64000</v>
      </c>
      <c r="J375" s="398">
        <v>143919</v>
      </c>
      <c r="K375" s="399" t="s">
        <v>73</v>
      </c>
      <c r="L375" s="399" t="s">
        <v>34</v>
      </c>
      <c r="M375" s="399">
        <v>4.68</v>
      </c>
      <c r="N375" s="356">
        <v>64000</v>
      </c>
      <c r="O375" s="28" t="b">
        <f t="shared" si="29"/>
        <v>1</v>
      </c>
    </row>
    <row r="376" spans="2:15" s="28" customFormat="1" ht="16.5" customHeight="1">
      <c r="B376" s="20"/>
      <c r="C376" s="20"/>
      <c r="D376" s="254"/>
      <c r="E376" s="379">
        <v>141840</v>
      </c>
      <c r="F376" s="395" t="s">
        <v>358</v>
      </c>
      <c r="G376" s="396"/>
      <c r="H376" s="397"/>
      <c r="I376" s="383">
        <v>270000</v>
      </c>
      <c r="J376" s="398">
        <v>141840</v>
      </c>
      <c r="K376" s="399" t="s">
        <v>70</v>
      </c>
      <c r="L376" s="399" t="s">
        <v>34</v>
      </c>
      <c r="M376" s="399">
        <v>20</v>
      </c>
      <c r="N376" s="356">
        <v>270000</v>
      </c>
      <c r="O376" s="28" t="b">
        <f t="shared" si="29"/>
        <v>1</v>
      </c>
    </row>
    <row r="377" spans="2:15" s="28" customFormat="1" ht="16.5" customHeight="1">
      <c r="B377" s="20"/>
      <c r="C377" s="20"/>
      <c r="D377" s="254"/>
      <c r="E377" s="379">
        <v>139962</v>
      </c>
      <c r="F377" s="395" t="s">
        <v>359</v>
      </c>
      <c r="G377" s="396"/>
      <c r="H377" s="397"/>
      <c r="I377" s="383">
        <v>255000</v>
      </c>
      <c r="J377" s="398">
        <v>139962</v>
      </c>
      <c r="K377" s="399" t="s">
        <v>70</v>
      </c>
      <c r="L377" s="399" t="s">
        <v>34</v>
      </c>
      <c r="M377" s="399">
        <v>20</v>
      </c>
      <c r="N377" s="356">
        <v>255000</v>
      </c>
      <c r="O377" s="28" t="b">
        <f t="shared" si="29"/>
        <v>1</v>
      </c>
    </row>
    <row r="378" spans="2:15" s="28" customFormat="1" ht="16.5" customHeight="1">
      <c r="B378" s="20"/>
      <c r="C378" s="20"/>
      <c r="D378" s="254"/>
      <c r="E378" s="379">
        <v>139963</v>
      </c>
      <c r="F378" s="395" t="s">
        <v>360</v>
      </c>
      <c r="G378" s="396"/>
      <c r="H378" s="397"/>
      <c r="I378" s="383">
        <v>271000</v>
      </c>
      <c r="J378" s="398">
        <v>139963</v>
      </c>
      <c r="K378" s="399" t="s">
        <v>70</v>
      </c>
      <c r="L378" s="399" t="s">
        <v>34</v>
      </c>
      <c r="M378" s="399">
        <v>20</v>
      </c>
      <c r="N378" s="356">
        <v>271000</v>
      </c>
      <c r="O378" s="28" t="b">
        <f t="shared" si="29"/>
        <v>1</v>
      </c>
    </row>
    <row r="379" spans="2:15" s="28" customFormat="1" ht="16.5" customHeight="1">
      <c r="B379" s="20"/>
      <c r="C379" s="20"/>
      <c r="D379" s="254"/>
      <c r="E379" s="379">
        <v>140058</v>
      </c>
      <c r="F379" s="395" t="s">
        <v>645</v>
      </c>
      <c r="G379" s="396"/>
      <c r="H379" s="397"/>
      <c r="I379" s="383">
        <v>520000</v>
      </c>
      <c r="J379" s="398">
        <v>140058</v>
      </c>
      <c r="K379" s="399" t="s">
        <v>71</v>
      </c>
      <c r="L379" s="399" t="s">
        <v>34</v>
      </c>
      <c r="M379" s="399">
        <v>200</v>
      </c>
      <c r="N379" s="356">
        <v>520000</v>
      </c>
      <c r="O379" s="28" t="b">
        <f t="shared" si="29"/>
        <v>1</v>
      </c>
    </row>
    <row r="380" spans="2:15" s="28" customFormat="1" ht="16.5" customHeight="1">
      <c r="B380" s="20"/>
      <c r="C380" s="20"/>
      <c r="D380" s="254"/>
      <c r="E380" s="379">
        <v>140059</v>
      </c>
      <c r="F380" s="395" t="s">
        <v>361</v>
      </c>
      <c r="G380" s="396"/>
      <c r="H380" s="397"/>
      <c r="I380" s="383">
        <v>54000</v>
      </c>
      <c r="J380" s="398">
        <v>140059</v>
      </c>
      <c r="K380" s="399" t="s">
        <v>70</v>
      </c>
      <c r="L380" s="399" t="s">
        <v>34</v>
      </c>
      <c r="M380" s="399">
        <v>20</v>
      </c>
      <c r="N380" s="356">
        <v>54000</v>
      </c>
      <c r="O380" s="28" t="b">
        <f t="shared" si="29"/>
        <v>1</v>
      </c>
    </row>
    <row r="381" spans="2:15" s="28" customFormat="1" ht="16.5" customHeight="1">
      <c r="B381" s="20"/>
      <c r="C381" s="20"/>
      <c r="D381" s="254"/>
      <c r="E381" s="379">
        <v>140107</v>
      </c>
      <c r="F381" s="395" t="s">
        <v>646</v>
      </c>
      <c r="G381" s="396"/>
      <c r="H381" s="397"/>
      <c r="I381" s="383">
        <v>3193000</v>
      </c>
      <c r="J381" s="398">
        <v>140107</v>
      </c>
      <c r="K381" s="399" t="s">
        <v>71</v>
      </c>
      <c r="L381" s="399" t="s">
        <v>34</v>
      </c>
      <c r="M381" s="399">
        <v>193.8</v>
      </c>
      <c r="N381" s="356">
        <v>3193000</v>
      </c>
      <c r="O381" s="28" t="b">
        <f t="shared" si="29"/>
        <v>1</v>
      </c>
    </row>
    <row r="382" spans="2:15" s="28" customFormat="1" ht="16.5" customHeight="1">
      <c r="B382" s="20"/>
      <c r="C382" s="20"/>
      <c r="D382" s="254"/>
      <c r="E382" s="379">
        <v>140108</v>
      </c>
      <c r="F382" s="395" t="s">
        <v>647</v>
      </c>
      <c r="G382" s="396"/>
      <c r="H382" s="397"/>
      <c r="I382" s="383">
        <v>3403000</v>
      </c>
      <c r="J382" s="398">
        <v>140108</v>
      </c>
      <c r="K382" s="399" t="s">
        <v>71</v>
      </c>
      <c r="L382" s="399" t="s">
        <v>34</v>
      </c>
      <c r="M382" s="399">
        <v>193.8</v>
      </c>
      <c r="N382" s="356">
        <v>3403000</v>
      </c>
      <c r="O382" s="28" t="b">
        <f t="shared" si="29"/>
        <v>1</v>
      </c>
    </row>
    <row r="383" spans="2:15" s="28" customFormat="1" ht="16.5" customHeight="1">
      <c r="B383" s="20"/>
      <c r="C383" s="20"/>
      <c r="D383" s="254"/>
      <c r="E383" s="379">
        <v>140109</v>
      </c>
      <c r="F383" s="395" t="s">
        <v>362</v>
      </c>
      <c r="G383" s="396"/>
      <c r="H383" s="397"/>
      <c r="I383" s="383">
        <v>320000</v>
      </c>
      <c r="J383" s="398">
        <v>140109</v>
      </c>
      <c r="K383" s="399" t="s">
        <v>70</v>
      </c>
      <c r="L383" s="399" t="s">
        <v>34</v>
      </c>
      <c r="M383" s="399">
        <v>17.457000000000001</v>
      </c>
      <c r="N383" s="356">
        <v>320000</v>
      </c>
      <c r="O383" s="28" t="b">
        <f t="shared" si="29"/>
        <v>1</v>
      </c>
    </row>
    <row r="384" spans="2:15" s="28" customFormat="1" ht="16.5" customHeight="1">
      <c r="B384" s="20"/>
      <c r="C384" s="20"/>
      <c r="D384" s="254"/>
      <c r="E384" s="379">
        <v>140110</v>
      </c>
      <c r="F384" s="395" t="s">
        <v>648</v>
      </c>
      <c r="G384" s="396"/>
      <c r="H384" s="397"/>
      <c r="I384" s="383">
        <v>3231000</v>
      </c>
      <c r="J384" s="398">
        <v>140110</v>
      </c>
      <c r="K384" s="399" t="s">
        <v>71</v>
      </c>
      <c r="L384" s="399" t="s">
        <v>34</v>
      </c>
      <c r="M384" s="399">
        <v>193.8</v>
      </c>
      <c r="N384" s="356">
        <v>3231000</v>
      </c>
      <c r="O384" s="28" t="b">
        <f t="shared" si="29"/>
        <v>1</v>
      </c>
    </row>
    <row r="385" spans="2:15" s="28" customFormat="1" ht="16.5" customHeight="1">
      <c r="B385" s="20"/>
      <c r="C385" s="20"/>
      <c r="D385" s="254"/>
      <c r="E385" s="379">
        <v>140111</v>
      </c>
      <c r="F385" s="395" t="s">
        <v>363</v>
      </c>
      <c r="G385" s="396"/>
      <c r="H385" s="397"/>
      <c r="I385" s="383">
        <v>326000</v>
      </c>
      <c r="J385" s="398">
        <v>140111</v>
      </c>
      <c r="K385" s="399" t="s">
        <v>70</v>
      </c>
      <c r="L385" s="399" t="s">
        <v>34</v>
      </c>
      <c r="M385" s="399">
        <v>17.329999999999998</v>
      </c>
      <c r="N385" s="356">
        <v>326000</v>
      </c>
      <c r="O385" s="28" t="b">
        <f t="shared" si="29"/>
        <v>1</v>
      </c>
    </row>
    <row r="386" spans="2:15" s="28" customFormat="1" ht="16.5" customHeight="1">
      <c r="B386" s="20"/>
      <c r="C386" s="20"/>
      <c r="D386" s="254"/>
      <c r="E386" s="379">
        <v>140112</v>
      </c>
      <c r="F386" s="395" t="s">
        <v>364</v>
      </c>
      <c r="G386" s="396"/>
      <c r="H386" s="397"/>
      <c r="I386" s="383">
        <v>340000</v>
      </c>
      <c r="J386" s="398">
        <v>140112</v>
      </c>
      <c r="K386" s="399" t="s">
        <v>70</v>
      </c>
      <c r="L386" s="399" t="s">
        <v>34</v>
      </c>
      <c r="M386" s="399">
        <v>17.329999999999998</v>
      </c>
      <c r="N386" s="356">
        <v>340000</v>
      </c>
      <c r="O386" s="28" t="b">
        <f t="shared" si="29"/>
        <v>1</v>
      </c>
    </row>
    <row r="387" spans="2:15" s="28" customFormat="1" ht="16.5" customHeight="1">
      <c r="B387" s="20"/>
      <c r="C387" s="20"/>
      <c r="D387" s="254"/>
      <c r="E387" s="379">
        <v>140139</v>
      </c>
      <c r="F387" s="395" t="s">
        <v>368</v>
      </c>
      <c r="G387" s="396"/>
      <c r="H387" s="397"/>
      <c r="I387" s="383">
        <v>140000</v>
      </c>
      <c r="J387" s="398">
        <v>140139</v>
      </c>
      <c r="K387" s="399" t="s">
        <v>70</v>
      </c>
      <c r="L387" s="399" t="s">
        <v>34</v>
      </c>
      <c r="M387" s="399">
        <v>16</v>
      </c>
      <c r="N387" s="356">
        <v>140000</v>
      </c>
      <c r="O387" s="28" t="b">
        <f t="shared" si="29"/>
        <v>1</v>
      </c>
    </row>
    <row r="388" spans="2:15" s="28" customFormat="1" ht="16.5" customHeight="1">
      <c r="B388" s="20"/>
      <c r="C388" s="20"/>
      <c r="D388" s="254"/>
      <c r="E388" s="379">
        <v>140140</v>
      </c>
      <c r="F388" s="395" t="s">
        <v>369</v>
      </c>
      <c r="G388" s="396"/>
      <c r="H388" s="397"/>
      <c r="I388" s="383">
        <v>120000</v>
      </c>
      <c r="J388" s="398">
        <v>140140</v>
      </c>
      <c r="K388" s="399" t="s">
        <v>70</v>
      </c>
      <c r="L388" s="399" t="s">
        <v>34</v>
      </c>
      <c r="M388" s="399">
        <v>16</v>
      </c>
      <c r="N388" s="356">
        <v>120000</v>
      </c>
      <c r="O388" s="28" t="b">
        <f t="shared" si="29"/>
        <v>1</v>
      </c>
    </row>
    <row r="389" spans="2:15" s="28" customFormat="1" ht="16.5" customHeight="1">
      <c r="B389" s="20"/>
      <c r="C389" s="20"/>
      <c r="D389" s="254"/>
      <c r="E389" s="379">
        <v>140141</v>
      </c>
      <c r="F389" s="395" t="s">
        <v>370</v>
      </c>
      <c r="G389" s="396"/>
      <c r="H389" s="397"/>
      <c r="I389" s="383">
        <v>188000</v>
      </c>
      <c r="J389" s="398">
        <v>140141</v>
      </c>
      <c r="K389" s="399" t="s">
        <v>70</v>
      </c>
      <c r="L389" s="399" t="s">
        <v>34</v>
      </c>
      <c r="M389" s="399">
        <v>16</v>
      </c>
      <c r="N389" s="356">
        <v>188000</v>
      </c>
      <c r="O389" s="28" t="b">
        <f t="shared" si="29"/>
        <v>1</v>
      </c>
    </row>
    <row r="390" spans="2:15" s="28" customFormat="1" ht="16.5" customHeight="1">
      <c r="B390" s="20"/>
      <c r="C390" s="20"/>
      <c r="D390" s="254"/>
      <c r="E390" s="379">
        <v>140142</v>
      </c>
      <c r="F390" s="395" t="s">
        <v>371</v>
      </c>
      <c r="G390" s="396"/>
      <c r="H390" s="397"/>
      <c r="I390" s="383">
        <v>130000</v>
      </c>
      <c r="J390" s="398">
        <v>140142</v>
      </c>
      <c r="K390" s="399" t="s">
        <v>70</v>
      </c>
      <c r="L390" s="399" t="s">
        <v>34</v>
      </c>
      <c r="M390" s="399">
        <v>16</v>
      </c>
      <c r="N390" s="356">
        <v>130000</v>
      </c>
      <c r="O390" s="28" t="b">
        <f t="shared" si="29"/>
        <v>1</v>
      </c>
    </row>
    <row r="391" spans="2:15" s="28" customFormat="1" ht="16.5" customHeight="1">
      <c r="B391" s="20"/>
      <c r="C391" s="20"/>
      <c r="D391" s="254"/>
      <c r="E391" s="379">
        <v>140143</v>
      </c>
      <c r="F391" s="395" t="s">
        <v>372</v>
      </c>
      <c r="G391" s="396"/>
      <c r="H391" s="397"/>
      <c r="I391" s="383">
        <v>203000</v>
      </c>
      <c r="J391" s="398">
        <v>140143</v>
      </c>
      <c r="K391" s="399" t="s">
        <v>70</v>
      </c>
      <c r="L391" s="399" t="s">
        <v>34</v>
      </c>
      <c r="M391" s="399">
        <v>16</v>
      </c>
      <c r="N391" s="356">
        <v>203000</v>
      </c>
      <c r="O391" s="28" t="b">
        <f t="shared" ref="O391:O454" si="30">I391=N391</f>
        <v>1</v>
      </c>
    </row>
    <row r="392" spans="2:15" s="28" customFormat="1" ht="16.5" customHeight="1">
      <c r="B392" s="20"/>
      <c r="C392" s="20"/>
      <c r="D392" s="254"/>
      <c r="E392" s="379">
        <v>140148</v>
      </c>
      <c r="F392" s="395" t="s">
        <v>650</v>
      </c>
      <c r="G392" s="401"/>
      <c r="H392" s="402"/>
      <c r="I392" s="383">
        <v>1484000</v>
      </c>
      <c r="J392" s="398">
        <v>140148</v>
      </c>
      <c r="K392" s="399" t="s">
        <v>71</v>
      </c>
      <c r="L392" s="399" t="s">
        <v>34</v>
      </c>
      <c r="M392" s="399">
        <v>180</v>
      </c>
      <c r="N392" s="356">
        <v>1484000</v>
      </c>
      <c r="O392" s="28" t="b">
        <f t="shared" si="30"/>
        <v>1</v>
      </c>
    </row>
    <row r="393" spans="2:15" s="28" customFormat="1" ht="16.5" customHeight="1">
      <c r="B393" s="20"/>
      <c r="C393" s="20"/>
      <c r="D393" s="254"/>
      <c r="E393" s="379">
        <v>140149</v>
      </c>
      <c r="F393" s="395" t="s">
        <v>651</v>
      </c>
      <c r="G393" s="396"/>
      <c r="H393" s="397"/>
      <c r="I393" s="383">
        <v>1303000</v>
      </c>
      <c r="J393" s="398">
        <v>140149</v>
      </c>
      <c r="K393" s="399" t="s">
        <v>71</v>
      </c>
      <c r="L393" s="399" t="s">
        <v>34</v>
      </c>
      <c r="M393" s="399">
        <v>180</v>
      </c>
      <c r="N393" s="356">
        <v>1303000</v>
      </c>
      <c r="O393" s="28" t="b">
        <f t="shared" si="30"/>
        <v>1</v>
      </c>
    </row>
    <row r="394" spans="2:15" s="28" customFormat="1" ht="16.5" customHeight="1">
      <c r="B394" s="20"/>
      <c r="C394" s="20"/>
      <c r="D394" s="254"/>
      <c r="E394" s="379">
        <v>140150</v>
      </c>
      <c r="F394" s="395" t="s">
        <v>652</v>
      </c>
      <c r="G394" s="396"/>
      <c r="H394" s="397"/>
      <c r="I394" s="383">
        <v>1484000</v>
      </c>
      <c r="J394" s="398">
        <v>140150</v>
      </c>
      <c r="K394" s="399" t="s">
        <v>71</v>
      </c>
      <c r="L394" s="399" t="s">
        <v>34</v>
      </c>
      <c r="M394" s="399">
        <v>180</v>
      </c>
      <c r="N394" s="356">
        <v>1484000</v>
      </c>
      <c r="O394" s="28" t="b">
        <f t="shared" si="30"/>
        <v>1</v>
      </c>
    </row>
    <row r="395" spans="2:15" s="28" customFormat="1" ht="16.5" customHeight="1">
      <c r="B395" s="20"/>
      <c r="C395" s="20"/>
      <c r="D395" s="254"/>
      <c r="E395" s="379">
        <v>140151</v>
      </c>
      <c r="F395" s="395" t="s">
        <v>653</v>
      </c>
      <c r="G395" s="396"/>
      <c r="H395" s="397"/>
      <c r="I395" s="383">
        <v>1568000</v>
      </c>
      <c r="J395" s="398">
        <v>140151</v>
      </c>
      <c r="K395" s="399" t="s">
        <v>71</v>
      </c>
      <c r="L395" s="399" t="s">
        <v>34</v>
      </c>
      <c r="M395" s="399">
        <v>180</v>
      </c>
      <c r="N395" s="356">
        <v>1568000</v>
      </c>
      <c r="O395" s="28" t="b">
        <f t="shared" si="30"/>
        <v>1</v>
      </c>
    </row>
    <row r="396" spans="2:15" s="28" customFormat="1" ht="16.5" customHeight="1">
      <c r="B396" s="20"/>
      <c r="C396" s="20"/>
      <c r="D396" s="254"/>
      <c r="E396" s="379">
        <v>140152</v>
      </c>
      <c r="F396" s="395" t="s">
        <v>654</v>
      </c>
      <c r="G396" s="396"/>
      <c r="H396" s="397"/>
      <c r="I396" s="383">
        <v>2126000</v>
      </c>
      <c r="J396" s="398">
        <v>140152</v>
      </c>
      <c r="K396" s="399" t="s">
        <v>71</v>
      </c>
      <c r="L396" s="399" t="s">
        <v>34</v>
      </c>
      <c r="M396" s="399">
        <v>180</v>
      </c>
      <c r="N396" s="356">
        <v>2126000</v>
      </c>
      <c r="O396" s="28" t="b">
        <f t="shared" si="30"/>
        <v>1</v>
      </c>
    </row>
    <row r="397" spans="2:15" s="28" customFormat="1" ht="16.5" customHeight="1">
      <c r="B397" s="20"/>
      <c r="C397" s="20"/>
      <c r="D397" s="254"/>
      <c r="E397" s="379">
        <v>140153</v>
      </c>
      <c r="F397" s="395" t="s">
        <v>655</v>
      </c>
      <c r="G397" s="396"/>
      <c r="H397" s="397"/>
      <c r="I397" s="383">
        <v>2128000</v>
      </c>
      <c r="J397" s="398">
        <v>140153</v>
      </c>
      <c r="K397" s="399" t="s">
        <v>71</v>
      </c>
      <c r="L397" s="399" t="s">
        <v>34</v>
      </c>
      <c r="M397" s="399">
        <v>180</v>
      </c>
      <c r="N397" s="356">
        <v>2128000</v>
      </c>
      <c r="O397" s="28" t="b">
        <f t="shared" si="30"/>
        <v>1</v>
      </c>
    </row>
    <row r="398" spans="2:15" s="28" customFormat="1" ht="16.5" customHeight="1">
      <c r="B398" s="20"/>
      <c r="C398" s="20"/>
      <c r="D398" s="254"/>
      <c r="E398" s="379">
        <v>140154</v>
      </c>
      <c r="F398" s="395" t="s">
        <v>656</v>
      </c>
      <c r="G398" s="396"/>
      <c r="H398" s="397"/>
      <c r="I398" s="383" t="e">
        <v>#N/A</v>
      </c>
      <c r="J398" s="398">
        <v>140154</v>
      </c>
      <c r="K398" s="399" t="s">
        <v>71</v>
      </c>
      <c r="L398" s="399" t="s">
        <v>34</v>
      </c>
      <c r="M398" s="399">
        <v>180</v>
      </c>
      <c r="N398" s="356" t="e">
        <v>#N/A</v>
      </c>
      <c r="O398" s="28" t="e">
        <f t="shared" si="30"/>
        <v>#N/A</v>
      </c>
    </row>
    <row r="399" spans="2:15" s="28" customFormat="1" ht="16.5" customHeight="1">
      <c r="B399" s="20"/>
      <c r="C399" s="20"/>
      <c r="D399" s="254"/>
      <c r="E399" s="379">
        <v>140204</v>
      </c>
      <c r="F399" s="395" t="s">
        <v>379</v>
      </c>
      <c r="G399" s="396"/>
      <c r="H399" s="397"/>
      <c r="I399" s="383">
        <v>352000</v>
      </c>
      <c r="J399" s="398">
        <v>140204</v>
      </c>
      <c r="K399" s="399" t="s">
        <v>70</v>
      </c>
      <c r="L399" s="399" t="s">
        <v>34</v>
      </c>
      <c r="M399" s="399">
        <v>16</v>
      </c>
      <c r="N399" s="356">
        <v>352000</v>
      </c>
      <c r="O399" s="28" t="b">
        <f t="shared" si="30"/>
        <v>1</v>
      </c>
    </row>
    <row r="400" spans="2:15" s="28" customFormat="1" ht="16.5" customHeight="1">
      <c r="B400" s="20"/>
      <c r="C400" s="20"/>
      <c r="D400" s="254"/>
      <c r="E400" s="379">
        <v>140205</v>
      </c>
      <c r="F400" s="395" t="s">
        <v>380</v>
      </c>
      <c r="G400" s="401"/>
      <c r="H400" s="402"/>
      <c r="I400" s="383">
        <v>355000</v>
      </c>
      <c r="J400" s="398">
        <v>140205</v>
      </c>
      <c r="K400" s="399" t="s">
        <v>70</v>
      </c>
      <c r="L400" s="399" t="s">
        <v>34</v>
      </c>
      <c r="M400" s="399">
        <v>16</v>
      </c>
      <c r="N400" s="356">
        <v>355000</v>
      </c>
      <c r="O400" s="28" t="b">
        <f t="shared" si="30"/>
        <v>1</v>
      </c>
    </row>
    <row r="401" spans="2:15" s="28" customFormat="1" ht="16.5" customHeight="1">
      <c r="B401" s="20"/>
      <c r="C401" s="20"/>
      <c r="D401" s="254"/>
      <c r="E401" s="379">
        <v>140206</v>
      </c>
      <c r="F401" s="395" t="s">
        <v>659</v>
      </c>
      <c r="G401" s="396"/>
      <c r="H401" s="397"/>
      <c r="I401" s="383">
        <v>3685000</v>
      </c>
      <c r="J401" s="398">
        <v>140206</v>
      </c>
      <c r="K401" s="399" t="s">
        <v>71</v>
      </c>
      <c r="L401" s="399" t="s">
        <v>34</v>
      </c>
      <c r="M401" s="399">
        <v>174</v>
      </c>
      <c r="N401" s="356">
        <v>3685000</v>
      </c>
      <c r="O401" s="28" t="b">
        <f t="shared" si="30"/>
        <v>1</v>
      </c>
    </row>
    <row r="402" spans="2:15" s="28" customFormat="1" ht="16.5" customHeight="1">
      <c r="B402" s="20"/>
      <c r="C402" s="20"/>
      <c r="D402" s="254"/>
      <c r="E402" s="379">
        <v>140207</v>
      </c>
      <c r="F402" s="395" t="s">
        <v>660</v>
      </c>
      <c r="G402" s="396"/>
      <c r="H402" s="397"/>
      <c r="I402" s="383">
        <v>3777000</v>
      </c>
      <c r="J402" s="398">
        <v>140207</v>
      </c>
      <c r="K402" s="399" t="s">
        <v>71</v>
      </c>
      <c r="L402" s="399" t="s">
        <v>34</v>
      </c>
      <c r="M402" s="399">
        <v>174</v>
      </c>
      <c r="N402" s="356">
        <v>3777000</v>
      </c>
      <c r="O402" s="28" t="b">
        <f t="shared" si="30"/>
        <v>1</v>
      </c>
    </row>
    <row r="403" spans="2:15" s="28" customFormat="1" ht="16.5" customHeight="1">
      <c r="B403" s="20"/>
      <c r="C403" s="20"/>
      <c r="D403" s="254"/>
      <c r="E403" s="379">
        <v>140208</v>
      </c>
      <c r="F403" s="395" t="s">
        <v>661</v>
      </c>
      <c r="G403" s="396"/>
      <c r="H403" s="397"/>
      <c r="I403" s="383">
        <v>3689000</v>
      </c>
      <c r="J403" s="398">
        <v>140208</v>
      </c>
      <c r="K403" s="399" t="s">
        <v>71</v>
      </c>
      <c r="L403" s="399" t="s">
        <v>34</v>
      </c>
      <c r="M403" s="399">
        <v>174</v>
      </c>
      <c r="N403" s="356">
        <v>3689000</v>
      </c>
      <c r="O403" s="28" t="b">
        <f t="shared" si="30"/>
        <v>1</v>
      </c>
    </row>
    <row r="404" spans="2:15" s="28" customFormat="1" ht="16.5" customHeight="1">
      <c r="B404" s="20"/>
      <c r="C404" s="20"/>
      <c r="D404" s="254"/>
      <c r="E404" s="379">
        <v>140209</v>
      </c>
      <c r="F404" s="395" t="s">
        <v>662</v>
      </c>
      <c r="G404" s="396"/>
      <c r="H404" s="397"/>
      <c r="I404" s="383">
        <v>3730000</v>
      </c>
      <c r="J404" s="398">
        <v>140209</v>
      </c>
      <c r="K404" s="399" t="s">
        <v>71</v>
      </c>
      <c r="L404" s="399" t="s">
        <v>34</v>
      </c>
      <c r="M404" s="399">
        <v>174</v>
      </c>
      <c r="N404" s="356">
        <v>3730000</v>
      </c>
      <c r="O404" s="28" t="b">
        <f t="shared" si="30"/>
        <v>1</v>
      </c>
    </row>
    <row r="405" spans="2:15" s="28" customFormat="1" ht="16.5" customHeight="1">
      <c r="B405" s="20"/>
      <c r="C405" s="20"/>
      <c r="D405" s="254"/>
      <c r="E405" s="379">
        <v>140210</v>
      </c>
      <c r="F405" s="395" t="s">
        <v>663</v>
      </c>
      <c r="G405" s="396"/>
      <c r="H405" s="397"/>
      <c r="I405" s="383">
        <v>3687000</v>
      </c>
      <c r="J405" s="398">
        <v>140210</v>
      </c>
      <c r="K405" s="399" t="s">
        <v>71</v>
      </c>
      <c r="L405" s="399" t="s">
        <v>34</v>
      </c>
      <c r="M405" s="399">
        <v>174</v>
      </c>
      <c r="N405" s="356">
        <v>3687000</v>
      </c>
      <c r="O405" s="28" t="b">
        <f t="shared" si="30"/>
        <v>1</v>
      </c>
    </row>
    <row r="406" spans="2:15" s="28" customFormat="1" ht="16.5" customHeight="1">
      <c r="B406" s="20"/>
      <c r="C406" s="20"/>
      <c r="D406" s="254"/>
      <c r="E406" s="379">
        <v>140211</v>
      </c>
      <c r="F406" s="395" t="s">
        <v>664</v>
      </c>
      <c r="G406" s="396"/>
      <c r="H406" s="397"/>
      <c r="I406" s="383">
        <v>3730000</v>
      </c>
      <c r="J406" s="398">
        <v>140211</v>
      </c>
      <c r="K406" s="399" t="s">
        <v>71</v>
      </c>
      <c r="L406" s="399" t="s">
        <v>34</v>
      </c>
      <c r="M406" s="399">
        <v>174</v>
      </c>
      <c r="N406" s="356">
        <v>3730000</v>
      </c>
      <c r="O406" s="28" t="b">
        <f t="shared" si="30"/>
        <v>1</v>
      </c>
    </row>
    <row r="407" spans="2:15" s="28" customFormat="1" ht="16.5" customHeight="1">
      <c r="B407" s="20"/>
      <c r="C407" s="20"/>
      <c r="D407" s="254"/>
      <c r="E407" s="379">
        <v>140252</v>
      </c>
      <c r="F407" s="395" t="s">
        <v>381</v>
      </c>
      <c r="G407" s="396"/>
      <c r="H407" s="397"/>
      <c r="I407" s="383">
        <v>81000</v>
      </c>
      <c r="J407" s="398">
        <v>140252</v>
      </c>
      <c r="K407" s="399" t="s">
        <v>70</v>
      </c>
      <c r="L407" s="399" t="s">
        <v>34</v>
      </c>
      <c r="M407" s="399">
        <v>16</v>
      </c>
      <c r="N407" s="356">
        <v>81000</v>
      </c>
      <c r="O407" s="28" t="b">
        <f t="shared" si="30"/>
        <v>1</v>
      </c>
    </row>
    <row r="408" spans="2:15" s="28" customFormat="1" ht="16.5" customHeight="1">
      <c r="B408" s="20"/>
      <c r="C408" s="20"/>
      <c r="D408" s="254"/>
      <c r="E408" s="379">
        <v>140254</v>
      </c>
      <c r="F408" s="395" t="s">
        <v>382</v>
      </c>
      <c r="G408" s="396"/>
      <c r="H408" s="397"/>
      <c r="I408" s="383">
        <v>81000</v>
      </c>
      <c r="J408" s="398">
        <v>140254</v>
      </c>
      <c r="K408" s="399" t="s">
        <v>70</v>
      </c>
      <c r="L408" s="399" t="s">
        <v>34</v>
      </c>
      <c r="M408" s="399">
        <v>16</v>
      </c>
      <c r="N408" s="356">
        <v>81000</v>
      </c>
      <c r="O408" s="28" t="b">
        <f t="shared" si="30"/>
        <v>1</v>
      </c>
    </row>
    <row r="409" spans="2:15" s="28" customFormat="1" ht="16.5" customHeight="1">
      <c r="B409" s="20"/>
      <c r="C409" s="20"/>
      <c r="D409" s="254"/>
      <c r="E409" s="379">
        <v>140255</v>
      </c>
      <c r="F409" s="395" t="s">
        <v>383</v>
      </c>
      <c r="G409" s="396"/>
      <c r="H409" s="397"/>
      <c r="I409" s="383">
        <v>81000</v>
      </c>
      <c r="J409" s="398">
        <v>140255</v>
      </c>
      <c r="K409" s="399" t="s">
        <v>70</v>
      </c>
      <c r="L409" s="399" t="s">
        <v>34</v>
      </c>
      <c r="M409" s="399">
        <v>16</v>
      </c>
      <c r="N409" s="356">
        <v>81000</v>
      </c>
      <c r="O409" s="28" t="b">
        <f t="shared" si="30"/>
        <v>1</v>
      </c>
    </row>
    <row r="410" spans="2:15" s="28" customFormat="1" ht="16.5" customHeight="1">
      <c r="B410" s="20"/>
      <c r="C410" s="20"/>
      <c r="D410" s="254"/>
      <c r="E410" s="379">
        <v>140256</v>
      </c>
      <c r="F410" s="395" t="s">
        <v>384</v>
      </c>
      <c r="G410" s="396"/>
      <c r="H410" s="397"/>
      <c r="I410" s="383">
        <v>81000</v>
      </c>
      <c r="J410" s="398">
        <v>140256</v>
      </c>
      <c r="K410" s="399" t="s">
        <v>70</v>
      </c>
      <c r="L410" s="399" t="s">
        <v>34</v>
      </c>
      <c r="M410" s="399">
        <v>16</v>
      </c>
      <c r="N410" s="356">
        <v>81000</v>
      </c>
      <c r="O410" s="28" t="b">
        <f t="shared" si="30"/>
        <v>1</v>
      </c>
    </row>
    <row r="411" spans="2:15" s="28" customFormat="1" ht="16.5" customHeight="1">
      <c r="B411" s="20"/>
      <c r="C411" s="20"/>
      <c r="D411" s="254"/>
      <c r="E411" s="379">
        <v>140257</v>
      </c>
      <c r="F411" s="395" t="s">
        <v>127</v>
      </c>
      <c r="G411" s="396"/>
      <c r="H411" s="397"/>
      <c r="I411" s="383">
        <v>728000</v>
      </c>
      <c r="J411" s="398">
        <v>140257</v>
      </c>
      <c r="K411" s="399" t="s">
        <v>71</v>
      </c>
      <c r="L411" s="399" t="s">
        <v>34</v>
      </c>
      <c r="M411" s="399">
        <v>180</v>
      </c>
      <c r="N411" s="356">
        <v>728000</v>
      </c>
      <c r="O411" s="28" t="b">
        <f t="shared" si="30"/>
        <v>1</v>
      </c>
    </row>
    <row r="412" spans="2:15" s="28" customFormat="1" ht="16.5" customHeight="1">
      <c r="B412" s="20"/>
      <c r="C412" s="20"/>
      <c r="D412" s="254"/>
      <c r="E412" s="379">
        <v>140259</v>
      </c>
      <c r="F412" s="395" t="s">
        <v>665</v>
      </c>
      <c r="G412" s="396"/>
      <c r="H412" s="397"/>
      <c r="I412" s="383">
        <v>728000</v>
      </c>
      <c r="J412" s="398">
        <v>140259</v>
      </c>
      <c r="K412" s="399" t="s">
        <v>71</v>
      </c>
      <c r="L412" s="399" t="s">
        <v>34</v>
      </c>
      <c r="M412" s="399">
        <v>180</v>
      </c>
      <c r="N412" s="356">
        <v>728000</v>
      </c>
      <c r="O412" s="28" t="b">
        <f t="shared" si="30"/>
        <v>1</v>
      </c>
    </row>
    <row r="413" spans="2:15" s="28" customFormat="1" ht="16.5" customHeight="1">
      <c r="B413" s="20"/>
      <c r="C413" s="20"/>
      <c r="D413" s="254"/>
      <c r="E413" s="379">
        <v>140260</v>
      </c>
      <c r="F413" s="395" t="s">
        <v>666</v>
      </c>
      <c r="G413" s="396"/>
      <c r="H413" s="397"/>
      <c r="I413" s="383">
        <v>728000</v>
      </c>
      <c r="J413" s="398">
        <v>140260</v>
      </c>
      <c r="K413" s="399" t="s">
        <v>71</v>
      </c>
      <c r="L413" s="399" t="s">
        <v>34</v>
      </c>
      <c r="M413" s="399">
        <v>180</v>
      </c>
      <c r="N413" s="356">
        <v>728000</v>
      </c>
      <c r="O413" s="28" t="b">
        <f t="shared" si="30"/>
        <v>1</v>
      </c>
    </row>
    <row r="414" spans="2:15" s="28" customFormat="1" ht="16.5" customHeight="1">
      <c r="B414" s="20"/>
      <c r="C414" s="20"/>
      <c r="D414" s="254"/>
      <c r="E414" s="379">
        <v>140261</v>
      </c>
      <c r="F414" s="395" t="s">
        <v>667</v>
      </c>
      <c r="G414" s="396"/>
      <c r="H414" s="397"/>
      <c r="I414" s="383">
        <v>728000</v>
      </c>
      <c r="J414" s="398">
        <v>140261</v>
      </c>
      <c r="K414" s="399" t="s">
        <v>71</v>
      </c>
      <c r="L414" s="399" t="s">
        <v>34</v>
      </c>
      <c r="M414" s="399">
        <v>180</v>
      </c>
      <c r="N414" s="356">
        <v>728000</v>
      </c>
      <c r="O414" s="28" t="b">
        <f t="shared" si="30"/>
        <v>1</v>
      </c>
    </row>
    <row r="415" spans="2:15" s="28" customFormat="1" ht="16.5" customHeight="1">
      <c r="B415" s="20"/>
      <c r="C415" s="20"/>
      <c r="D415" s="254"/>
      <c r="E415" s="379">
        <v>140262</v>
      </c>
      <c r="F415" s="395" t="s">
        <v>668</v>
      </c>
      <c r="G415" s="396"/>
      <c r="H415" s="397"/>
      <c r="I415" s="383">
        <v>728000</v>
      </c>
      <c r="J415" s="398">
        <v>140262</v>
      </c>
      <c r="K415" s="399" t="s">
        <v>71</v>
      </c>
      <c r="L415" s="399" t="s">
        <v>34</v>
      </c>
      <c r="M415" s="399">
        <v>180</v>
      </c>
      <c r="N415" s="356">
        <v>728000</v>
      </c>
      <c r="O415" s="28" t="b">
        <f t="shared" si="30"/>
        <v>1</v>
      </c>
    </row>
    <row r="416" spans="2:15" s="28" customFormat="1" ht="16.5" customHeight="1">
      <c r="B416" s="20"/>
      <c r="C416" s="20"/>
      <c r="D416" s="254"/>
      <c r="E416" s="379">
        <v>140263</v>
      </c>
      <c r="F416" s="395" t="s">
        <v>126</v>
      </c>
      <c r="G416" s="396"/>
      <c r="H416" s="397"/>
      <c r="I416" s="383">
        <v>81000</v>
      </c>
      <c r="J416" s="398">
        <v>140263</v>
      </c>
      <c r="K416" s="399" t="s">
        <v>70</v>
      </c>
      <c r="L416" s="399" t="s">
        <v>34</v>
      </c>
      <c r="M416" s="399">
        <v>16</v>
      </c>
      <c r="N416" s="356">
        <v>81000</v>
      </c>
      <c r="O416" s="28" t="b">
        <f t="shared" si="30"/>
        <v>1</v>
      </c>
    </row>
    <row r="417" spans="2:15" s="28" customFormat="1" ht="16.5" customHeight="1">
      <c r="B417" s="20"/>
      <c r="C417" s="20"/>
      <c r="D417" s="254"/>
      <c r="E417" s="379">
        <v>140355</v>
      </c>
      <c r="F417" s="395" t="s">
        <v>385</v>
      </c>
      <c r="G417" s="396"/>
      <c r="H417" s="397"/>
      <c r="I417" s="383" t="e">
        <v>#N/A</v>
      </c>
      <c r="J417" s="398">
        <v>140355</v>
      </c>
      <c r="K417" s="399" t="s">
        <v>70</v>
      </c>
      <c r="L417" s="399" t="s">
        <v>34</v>
      </c>
      <c r="M417" s="399">
        <v>18</v>
      </c>
      <c r="N417" s="356" t="e">
        <v>#N/A</v>
      </c>
      <c r="O417" s="28" t="e">
        <f t="shared" si="30"/>
        <v>#N/A</v>
      </c>
    </row>
    <row r="418" spans="2:15" s="28" customFormat="1" ht="16.5" customHeight="1">
      <c r="B418" s="20"/>
      <c r="C418" s="20"/>
      <c r="D418" s="254"/>
      <c r="E418" s="379">
        <v>140435</v>
      </c>
      <c r="F418" s="395" t="s">
        <v>89</v>
      </c>
      <c r="G418" s="396"/>
      <c r="H418" s="397"/>
      <c r="I418" s="383">
        <v>395000</v>
      </c>
      <c r="J418" s="398">
        <v>140435</v>
      </c>
      <c r="K418" s="399" t="s">
        <v>70</v>
      </c>
      <c r="L418" s="399" t="s">
        <v>34</v>
      </c>
      <c r="M418" s="399">
        <v>20</v>
      </c>
      <c r="N418" s="356">
        <v>395000</v>
      </c>
      <c r="O418" s="28" t="b">
        <f t="shared" si="30"/>
        <v>1</v>
      </c>
    </row>
    <row r="419" spans="2:15" s="28" customFormat="1" ht="16.5" customHeight="1">
      <c r="B419" s="20"/>
      <c r="C419" s="20"/>
      <c r="D419" s="254"/>
      <c r="E419" s="379">
        <v>140485</v>
      </c>
      <c r="F419" s="395" t="s">
        <v>386</v>
      </c>
      <c r="G419" s="396"/>
      <c r="H419" s="397"/>
      <c r="I419" s="383">
        <v>107000</v>
      </c>
      <c r="J419" s="398">
        <v>140485</v>
      </c>
      <c r="K419" s="399" t="s">
        <v>70</v>
      </c>
      <c r="L419" s="399" t="s">
        <v>34</v>
      </c>
      <c r="M419" s="399">
        <v>20</v>
      </c>
      <c r="N419" s="356">
        <v>107000</v>
      </c>
      <c r="O419" s="28" t="b">
        <f t="shared" si="30"/>
        <v>1</v>
      </c>
    </row>
    <row r="420" spans="2:15" s="28" customFormat="1" ht="16.5" customHeight="1">
      <c r="B420" s="20"/>
      <c r="C420" s="20"/>
      <c r="D420" s="254"/>
      <c r="E420" s="379">
        <v>140499</v>
      </c>
      <c r="F420" s="395" t="s">
        <v>670</v>
      </c>
      <c r="G420" s="396"/>
      <c r="H420" s="397"/>
      <c r="I420" s="383">
        <v>3384000</v>
      </c>
      <c r="J420" s="398">
        <v>140499</v>
      </c>
      <c r="K420" s="399" t="s">
        <v>71</v>
      </c>
      <c r="L420" s="399" t="s">
        <v>34</v>
      </c>
      <c r="M420" s="399">
        <v>208</v>
      </c>
      <c r="N420" s="356">
        <v>3384000</v>
      </c>
      <c r="O420" s="28" t="b">
        <f t="shared" si="30"/>
        <v>1</v>
      </c>
    </row>
    <row r="421" spans="2:15" s="28" customFormat="1" ht="16.5" customHeight="1">
      <c r="B421" s="20"/>
      <c r="C421" s="20"/>
      <c r="D421" s="254"/>
      <c r="E421" s="379">
        <v>140501</v>
      </c>
      <c r="F421" s="395" t="s">
        <v>671</v>
      </c>
      <c r="G421" s="396"/>
      <c r="H421" s="397"/>
      <c r="I421" s="383">
        <v>4442000</v>
      </c>
      <c r="J421" s="398">
        <v>140501</v>
      </c>
      <c r="K421" s="399" t="s">
        <v>71</v>
      </c>
      <c r="L421" s="399" t="s">
        <v>34</v>
      </c>
      <c r="M421" s="399">
        <v>208</v>
      </c>
      <c r="N421" s="356">
        <v>4442000</v>
      </c>
      <c r="O421" s="28" t="b">
        <f t="shared" si="30"/>
        <v>1</v>
      </c>
    </row>
    <row r="422" spans="2:15" s="28" customFormat="1" ht="16.5" customHeight="1">
      <c r="B422" s="20"/>
      <c r="C422" s="20"/>
      <c r="D422" s="254"/>
      <c r="E422" s="379">
        <v>140503</v>
      </c>
      <c r="F422" s="395" t="s">
        <v>672</v>
      </c>
      <c r="G422" s="396"/>
      <c r="H422" s="397"/>
      <c r="I422" s="383">
        <v>4515000</v>
      </c>
      <c r="J422" s="398">
        <v>140503</v>
      </c>
      <c r="K422" s="399" t="s">
        <v>71</v>
      </c>
      <c r="L422" s="399" t="s">
        <v>34</v>
      </c>
      <c r="M422" s="399">
        <v>208</v>
      </c>
      <c r="N422" s="356">
        <v>4515000</v>
      </c>
      <c r="O422" s="28" t="b">
        <f t="shared" si="30"/>
        <v>1</v>
      </c>
    </row>
    <row r="423" spans="2:15" s="28" customFormat="1" ht="16.5" customHeight="1">
      <c r="B423" s="20"/>
      <c r="C423" s="20"/>
      <c r="D423" s="254"/>
      <c r="E423" s="379">
        <v>140541</v>
      </c>
      <c r="F423" s="395" t="s">
        <v>387</v>
      </c>
      <c r="G423" s="396"/>
      <c r="H423" s="397"/>
      <c r="I423" s="383"/>
      <c r="J423" s="398">
        <v>140541</v>
      </c>
      <c r="K423" s="399" t="s">
        <v>70</v>
      </c>
      <c r="L423" s="399" t="s">
        <v>34</v>
      </c>
      <c r="M423" s="399">
        <v>20</v>
      </c>
      <c r="N423" s="356" t="e">
        <v>#N/A</v>
      </c>
      <c r="O423" s="28" t="e">
        <f t="shared" si="30"/>
        <v>#N/A</v>
      </c>
    </row>
    <row r="424" spans="2:15" s="28" customFormat="1" ht="16.5" customHeight="1">
      <c r="B424" s="20"/>
      <c r="C424" s="20"/>
      <c r="D424" s="254"/>
      <c r="E424" s="379">
        <v>140627</v>
      </c>
      <c r="F424" s="395" t="s">
        <v>676</v>
      </c>
      <c r="G424" s="396"/>
      <c r="H424" s="397"/>
      <c r="I424" s="383">
        <v>746000</v>
      </c>
      <c r="J424" s="398">
        <v>140627</v>
      </c>
      <c r="K424" s="399" t="s">
        <v>71</v>
      </c>
      <c r="L424" s="399" t="s">
        <v>34</v>
      </c>
      <c r="M424" s="399">
        <v>200</v>
      </c>
      <c r="N424" s="356">
        <v>746000</v>
      </c>
      <c r="O424" s="28" t="b">
        <f t="shared" si="30"/>
        <v>1</v>
      </c>
    </row>
    <row r="425" spans="2:15" s="28" customFormat="1" ht="16.5" customHeight="1">
      <c r="B425" s="20"/>
      <c r="C425" s="20"/>
      <c r="D425" s="254"/>
      <c r="E425" s="379">
        <v>140629</v>
      </c>
      <c r="F425" s="395" t="s">
        <v>677</v>
      </c>
      <c r="G425" s="396"/>
      <c r="H425" s="397"/>
      <c r="I425" s="383">
        <v>746000</v>
      </c>
      <c r="J425" s="398">
        <v>140629</v>
      </c>
      <c r="K425" s="399" t="s">
        <v>71</v>
      </c>
      <c r="L425" s="399" t="s">
        <v>34</v>
      </c>
      <c r="M425" s="399">
        <v>200</v>
      </c>
      <c r="N425" s="356">
        <v>746000</v>
      </c>
      <c r="O425" s="28" t="b">
        <f t="shared" si="30"/>
        <v>1</v>
      </c>
    </row>
    <row r="426" spans="2:15" s="28" customFormat="1" ht="16.5" customHeight="1">
      <c r="B426" s="20"/>
      <c r="C426" s="20"/>
      <c r="D426" s="254"/>
      <c r="E426" s="379">
        <v>140631</v>
      </c>
      <c r="F426" s="395" t="s">
        <v>678</v>
      </c>
      <c r="G426" s="396"/>
      <c r="H426" s="397"/>
      <c r="I426" s="383">
        <v>746000</v>
      </c>
      <c r="J426" s="398">
        <v>140631</v>
      </c>
      <c r="K426" s="399" t="s">
        <v>71</v>
      </c>
      <c r="L426" s="399" t="s">
        <v>34</v>
      </c>
      <c r="M426" s="399">
        <v>200</v>
      </c>
      <c r="N426" s="356">
        <v>746000</v>
      </c>
      <c r="O426" s="28" t="b">
        <f t="shared" si="30"/>
        <v>1</v>
      </c>
    </row>
    <row r="427" spans="2:15" s="28" customFormat="1" ht="16.5" customHeight="1">
      <c r="B427" s="20"/>
      <c r="C427" s="20"/>
      <c r="D427" s="254"/>
      <c r="E427" s="379">
        <v>140675</v>
      </c>
      <c r="F427" s="395" t="s">
        <v>388</v>
      </c>
      <c r="G427" s="396"/>
      <c r="H427" s="397"/>
      <c r="I427" s="383">
        <v>79200</v>
      </c>
      <c r="J427" s="398">
        <v>140675</v>
      </c>
      <c r="K427" s="399" t="s">
        <v>70</v>
      </c>
      <c r="L427" s="399" t="s">
        <v>34</v>
      </c>
      <c r="M427" s="399">
        <v>20</v>
      </c>
      <c r="N427" s="356">
        <v>79200</v>
      </c>
      <c r="O427" s="28" t="b">
        <f t="shared" si="30"/>
        <v>1</v>
      </c>
    </row>
    <row r="428" spans="2:15" s="28" customFormat="1" ht="16.5" customHeight="1">
      <c r="B428" s="20"/>
      <c r="C428" s="20"/>
      <c r="D428" s="254"/>
      <c r="E428" s="379">
        <v>140676</v>
      </c>
      <c r="F428" s="395" t="s">
        <v>389</v>
      </c>
      <c r="G428" s="396"/>
      <c r="H428" s="397"/>
      <c r="I428" s="383">
        <v>79200</v>
      </c>
      <c r="J428" s="398">
        <v>140676</v>
      </c>
      <c r="K428" s="399" t="s">
        <v>70</v>
      </c>
      <c r="L428" s="399" t="s">
        <v>34</v>
      </c>
      <c r="M428" s="399">
        <v>20</v>
      </c>
      <c r="N428" s="356">
        <v>79200</v>
      </c>
      <c r="O428" s="28" t="b">
        <f t="shared" si="30"/>
        <v>1</v>
      </c>
    </row>
    <row r="429" spans="2:15" s="28" customFormat="1" ht="16.5" customHeight="1">
      <c r="B429" s="20"/>
      <c r="C429" s="20"/>
      <c r="D429" s="254"/>
      <c r="E429" s="379">
        <v>140677</v>
      </c>
      <c r="F429" s="395" t="s">
        <v>390</v>
      </c>
      <c r="G429" s="396"/>
      <c r="H429" s="397"/>
      <c r="I429" s="383">
        <v>79200</v>
      </c>
      <c r="J429" s="398">
        <v>140677</v>
      </c>
      <c r="K429" s="399" t="s">
        <v>70</v>
      </c>
      <c r="L429" s="399" t="s">
        <v>34</v>
      </c>
      <c r="M429" s="399">
        <v>20</v>
      </c>
      <c r="N429" s="356">
        <v>79200</v>
      </c>
      <c r="O429" s="28" t="b">
        <f t="shared" si="30"/>
        <v>1</v>
      </c>
    </row>
    <row r="430" spans="2:15" s="28" customFormat="1" ht="16.5" customHeight="1">
      <c r="B430" s="20"/>
      <c r="C430" s="20"/>
      <c r="D430" s="254"/>
      <c r="E430" s="379">
        <v>140787</v>
      </c>
      <c r="F430" s="395" t="s">
        <v>682</v>
      </c>
      <c r="G430" s="396"/>
      <c r="H430" s="397"/>
      <c r="I430" s="383">
        <v>1151000</v>
      </c>
      <c r="J430" s="398">
        <v>140787</v>
      </c>
      <c r="K430" s="399" t="s">
        <v>71</v>
      </c>
      <c r="L430" s="399" t="s">
        <v>34</v>
      </c>
      <c r="M430" s="399">
        <v>208</v>
      </c>
      <c r="N430" s="356">
        <v>1151000</v>
      </c>
      <c r="O430" s="28" t="b">
        <f t="shared" si="30"/>
        <v>1</v>
      </c>
    </row>
    <row r="431" spans="2:15" s="28" customFormat="1" ht="16.5" customHeight="1">
      <c r="B431" s="20"/>
      <c r="C431" s="20"/>
      <c r="D431" s="254"/>
      <c r="E431" s="379">
        <v>140817</v>
      </c>
      <c r="F431" s="395" t="s">
        <v>122</v>
      </c>
      <c r="G431" s="396"/>
      <c r="H431" s="397"/>
      <c r="I431" s="383" t="e">
        <v>#N/A</v>
      </c>
      <c r="J431" s="398">
        <v>140817</v>
      </c>
      <c r="K431" s="399" t="s">
        <v>71</v>
      </c>
      <c r="L431" s="399" t="s">
        <v>34</v>
      </c>
      <c r="M431" s="399">
        <v>208</v>
      </c>
      <c r="N431" s="356">
        <v>1065000</v>
      </c>
      <c r="O431" s="28" t="e">
        <f t="shared" si="30"/>
        <v>#N/A</v>
      </c>
    </row>
    <row r="432" spans="2:15" s="28" customFormat="1" ht="16.5" customHeight="1">
      <c r="B432" s="20"/>
      <c r="C432" s="20"/>
      <c r="D432" s="254"/>
      <c r="E432" s="379">
        <v>140854</v>
      </c>
      <c r="F432" s="395" t="s">
        <v>756</v>
      </c>
      <c r="G432" s="396"/>
      <c r="H432" s="397"/>
      <c r="I432" s="383">
        <v>287000</v>
      </c>
      <c r="J432" s="398">
        <v>140854</v>
      </c>
      <c r="K432" s="399" t="s">
        <v>70</v>
      </c>
      <c r="L432" s="399" t="s">
        <v>34</v>
      </c>
      <c r="M432" s="399">
        <v>20</v>
      </c>
      <c r="N432" s="356">
        <v>287000</v>
      </c>
      <c r="O432" s="28" t="b">
        <f t="shared" si="30"/>
        <v>1</v>
      </c>
    </row>
    <row r="433" spans="2:15" s="28" customFormat="1" ht="16.5" customHeight="1">
      <c r="B433" s="20"/>
      <c r="C433" s="20"/>
      <c r="D433" s="254"/>
      <c r="E433" s="379">
        <v>141187</v>
      </c>
      <c r="F433" s="395" t="s">
        <v>125</v>
      </c>
      <c r="G433" s="396"/>
      <c r="H433" s="397"/>
      <c r="I433" s="383"/>
      <c r="J433" s="398">
        <v>141187</v>
      </c>
      <c r="K433" s="399" t="s">
        <v>71</v>
      </c>
      <c r="L433" s="399" t="s">
        <v>34</v>
      </c>
      <c r="M433" s="399">
        <v>200</v>
      </c>
      <c r="N433" s="356" t="e">
        <v>#N/A</v>
      </c>
      <c r="O433" s="28" t="e">
        <f t="shared" si="30"/>
        <v>#N/A</v>
      </c>
    </row>
    <row r="434" spans="2:15" s="28" customFormat="1" ht="16.5" customHeight="1">
      <c r="B434" s="20"/>
      <c r="C434" s="20"/>
      <c r="D434" s="254"/>
      <c r="E434" s="379">
        <v>141361</v>
      </c>
      <c r="F434" s="395" t="s">
        <v>391</v>
      </c>
      <c r="G434" s="396"/>
      <c r="H434" s="397"/>
      <c r="I434" s="383">
        <v>476000</v>
      </c>
      <c r="J434" s="398">
        <v>141361</v>
      </c>
      <c r="K434" s="399" t="s">
        <v>70</v>
      </c>
      <c r="L434" s="399" t="s">
        <v>34</v>
      </c>
      <c r="M434" s="399">
        <v>16</v>
      </c>
      <c r="N434" s="356">
        <v>476000</v>
      </c>
      <c r="O434" s="28" t="b">
        <f t="shared" si="30"/>
        <v>1</v>
      </c>
    </row>
    <row r="435" spans="2:15" s="28" customFormat="1" ht="16.5" customHeight="1">
      <c r="B435" s="20"/>
      <c r="C435" s="20"/>
      <c r="D435" s="254"/>
      <c r="E435" s="379">
        <v>141367</v>
      </c>
      <c r="F435" s="395" t="s">
        <v>392</v>
      </c>
      <c r="G435" s="396"/>
      <c r="H435" s="397"/>
      <c r="I435" s="383">
        <v>107000</v>
      </c>
      <c r="J435" s="398">
        <v>141367</v>
      </c>
      <c r="K435" s="399" t="s">
        <v>70</v>
      </c>
      <c r="L435" s="399" t="s">
        <v>34</v>
      </c>
      <c r="M435" s="399">
        <v>20</v>
      </c>
      <c r="N435" s="356">
        <v>107000</v>
      </c>
      <c r="O435" s="28" t="b">
        <f t="shared" si="30"/>
        <v>1</v>
      </c>
    </row>
    <row r="436" spans="2:15" s="28" customFormat="1" ht="16.5" customHeight="1">
      <c r="B436" s="20"/>
      <c r="C436" s="20"/>
      <c r="D436" s="254"/>
      <c r="E436" s="379">
        <v>148677</v>
      </c>
      <c r="F436" s="395" t="s">
        <v>134</v>
      </c>
      <c r="G436" s="396"/>
      <c r="H436" s="397"/>
      <c r="I436" s="383">
        <v>1029000</v>
      </c>
      <c r="J436" s="398">
        <v>148677</v>
      </c>
      <c r="K436" s="399" t="s">
        <v>71</v>
      </c>
      <c r="L436" s="399" t="s">
        <v>34</v>
      </c>
      <c r="M436" s="399">
        <v>200</v>
      </c>
      <c r="N436" s="356">
        <v>1029000</v>
      </c>
      <c r="O436" s="28" t="b">
        <f t="shared" si="30"/>
        <v>1</v>
      </c>
    </row>
    <row r="437" spans="2:15" s="28" customFormat="1" ht="16.5" customHeight="1">
      <c r="B437" s="20"/>
      <c r="C437" s="20"/>
      <c r="D437" s="254"/>
      <c r="E437" s="379">
        <v>141429</v>
      </c>
      <c r="F437" s="395" t="s">
        <v>119</v>
      </c>
      <c r="G437" s="396"/>
      <c r="H437" s="397"/>
      <c r="I437" s="383">
        <v>4915000</v>
      </c>
      <c r="J437" s="398">
        <v>141429</v>
      </c>
      <c r="K437" s="399" t="s">
        <v>71</v>
      </c>
      <c r="L437" s="399" t="s">
        <v>34</v>
      </c>
      <c r="M437" s="399">
        <v>174</v>
      </c>
      <c r="N437" s="356">
        <v>4915000</v>
      </c>
      <c r="O437" s="28" t="b">
        <f t="shared" si="30"/>
        <v>1</v>
      </c>
    </row>
    <row r="438" spans="2:15" s="28" customFormat="1" ht="16.5" customHeight="1">
      <c r="B438" s="20"/>
      <c r="C438" s="20"/>
      <c r="D438" s="254"/>
      <c r="E438" s="379">
        <v>141467</v>
      </c>
      <c r="F438" s="395" t="s">
        <v>393</v>
      </c>
      <c r="G438" s="396"/>
      <c r="H438" s="397"/>
      <c r="I438" s="383">
        <v>233000</v>
      </c>
      <c r="J438" s="398">
        <v>141467</v>
      </c>
      <c r="K438" s="399" t="s">
        <v>70</v>
      </c>
      <c r="L438" s="399" t="s">
        <v>34</v>
      </c>
      <c r="M438" s="399">
        <v>15.87</v>
      </c>
      <c r="N438" s="356">
        <v>233000</v>
      </c>
      <c r="O438" s="28" t="b">
        <f t="shared" si="30"/>
        <v>1</v>
      </c>
    </row>
    <row r="439" spans="2:15" s="28" customFormat="1" ht="16.5" customHeight="1">
      <c r="B439" s="20"/>
      <c r="C439" s="20"/>
      <c r="D439" s="254"/>
      <c r="E439" s="379">
        <v>141468</v>
      </c>
      <c r="F439" s="395" t="s">
        <v>686</v>
      </c>
      <c r="G439" s="396"/>
      <c r="H439" s="397"/>
      <c r="I439" s="383">
        <v>2439000</v>
      </c>
      <c r="J439" s="398">
        <v>141468</v>
      </c>
      <c r="K439" s="399" t="s">
        <v>71</v>
      </c>
      <c r="L439" s="399" t="s">
        <v>34</v>
      </c>
      <c r="M439" s="399">
        <v>180</v>
      </c>
      <c r="N439" s="356">
        <v>2439000</v>
      </c>
      <c r="O439" s="28" t="b">
        <f t="shared" si="30"/>
        <v>1</v>
      </c>
    </row>
    <row r="440" spans="2:15" s="28" customFormat="1" ht="16.5" customHeight="1">
      <c r="B440" s="20"/>
      <c r="C440" s="20"/>
      <c r="D440" s="254"/>
      <c r="E440" s="379">
        <v>141654</v>
      </c>
      <c r="F440" s="395" t="s">
        <v>394</v>
      </c>
      <c r="G440" s="396"/>
      <c r="H440" s="397"/>
      <c r="I440" s="383">
        <v>62700</v>
      </c>
      <c r="J440" s="398">
        <v>141654</v>
      </c>
      <c r="K440" s="399" t="s">
        <v>70</v>
      </c>
      <c r="L440" s="399" t="s">
        <v>34</v>
      </c>
      <c r="M440" s="399">
        <v>20</v>
      </c>
      <c r="N440" s="356">
        <v>62700</v>
      </c>
      <c r="O440" s="28" t="b">
        <f t="shared" si="30"/>
        <v>1</v>
      </c>
    </row>
    <row r="441" spans="2:15" s="28" customFormat="1" ht="16.5" customHeight="1">
      <c r="B441" s="20"/>
      <c r="C441" s="20"/>
      <c r="D441" s="254"/>
      <c r="E441" s="379">
        <v>141655</v>
      </c>
      <c r="F441" s="395" t="s">
        <v>689</v>
      </c>
      <c r="G441" s="396"/>
      <c r="H441" s="397"/>
      <c r="I441" s="383">
        <v>582000</v>
      </c>
      <c r="J441" s="398">
        <v>141655</v>
      </c>
      <c r="K441" s="399" t="s">
        <v>71</v>
      </c>
      <c r="L441" s="399" t="s">
        <v>34</v>
      </c>
      <c r="M441" s="399">
        <v>200</v>
      </c>
      <c r="N441" s="356">
        <v>582000</v>
      </c>
      <c r="O441" s="28" t="b">
        <f t="shared" si="30"/>
        <v>1</v>
      </c>
    </row>
    <row r="442" spans="2:15" s="28" customFormat="1" ht="16.5" customHeight="1">
      <c r="B442" s="20"/>
      <c r="C442" s="20"/>
      <c r="D442" s="254"/>
      <c r="E442" s="379">
        <v>141657</v>
      </c>
      <c r="F442" s="395" t="s">
        <v>395</v>
      </c>
      <c r="G442" s="396"/>
      <c r="H442" s="397"/>
      <c r="I442" s="383">
        <v>62700</v>
      </c>
      <c r="J442" s="398">
        <v>141657</v>
      </c>
      <c r="K442" s="399" t="s">
        <v>70</v>
      </c>
      <c r="L442" s="399" t="s">
        <v>34</v>
      </c>
      <c r="M442" s="399">
        <v>20</v>
      </c>
      <c r="N442" s="356">
        <v>62700</v>
      </c>
      <c r="O442" s="28" t="b">
        <f t="shared" si="30"/>
        <v>1</v>
      </c>
    </row>
    <row r="443" spans="2:15" s="28" customFormat="1" ht="16.5" customHeight="1">
      <c r="B443" s="20"/>
      <c r="C443" s="20"/>
      <c r="D443" s="254"/>
      <c r="E443" s="379">
        <v>141658</v>
      </c>
      <c r="F443" s="395" t="s">
        <v>691</v>
      </c>
      <c r="G443" s="396"/>
      <c r="H443" s="397"/>
      <c r="I443" s="383">
        <v>582000</v>
      </c>
      <c r="J443" s="398">
        <v>141658</v>
      </c>
      <c r="K443" s="399" t="s">
        <v>71</v>
      </c>
      <c r="L443" s="399" t="s">
        <v>34</v>
      </c>
      <c r="M443" s="399">
        <v>200</v>
      </c>
      <c r="N443" s="356">
        <v>582000</v>
      </c>
      <c r="O443" s="28" t="b">
        <f t="shared" si="30"/>
        <v>1</v>
      </c>
    </row>
    <row r="444" spans="2:15" s="28" customFormat="1" ht="16.5" customHeight="1">
      <c r="B444" s="20"/>
      <c r="C444" s="20"/>
      <c r="D444" s="254"/>
      <c r="E444" s="379">
        <v>141666</v>
      </c>
      <c r="F444" s="395" t="s">
        <v>693</v>
      </c>
      <c r="G444" s="396"/>
      <c r="H444" s="397"/>
      <c r="I444" s="383">
        <v>755000</v>
      </c>
      <c r="J444" s="398">
        <v>141666</v>
      </c>
      <c r="K444" s="399" t="s">
        <v>71</v>
      </c>
      <c r="L444" s="399" t="s">
        <v>34</v>
      </c>
      <c r="M444" s="399">
        <v>200</v>
      </c>
      <c r="N444" s="356">
        <v>755000</v>
      </c>
      <c r="O444" s="28" t="b">
        <f t="shared" si="30"/>
        <v>1</v>
      </c>
    </row>
    <row r="445" spans="2:15" s="28" customFormat="1" ht="16.5" customHeight="1">
      <c r="B445" s="20"/>
      <c r="C445" s="20"/>
      <c r="D445" s="254"/>
      <c r="E445" s="379">
        <v>141667</v>
      </c>
      <c r="F445" s="395" t="s">
        <v>694</v>
      </c>
      <c r="G445" s="396"/>
      <c r="H445" s="397"/>
      <c r="I445" s="383">
        <v>755000</v>
      </c>
      <c r="J445" s="398">
        <v>141667</v>
      </c>
      <c r="K445" s="399" t="s">
        <v>71</v>
      </c>
      <c r="L445" s="399" t="s">
        <v>34</v>
      </c>
      <c r="M445" s="399">
        <v>200</v>
      </c>
      <c r="N445" s="356">
        <v>755000</v>
      </c>
      <c r="O445" s="28" t="b">
        <f t="shared" si="30"/>
        <v>1</v>
      </c>
    </row>
    <row r="446" spans="2:15" s="28" customFormat="1" ht="16.5" customHeight="1">
      <c r="B446" s="20"/>
      <c r="C446" s="20"/>
      <c r="D446" s="254"/>
      <c r="E446" s="379">
        <v>141737</v>
      </c>
      <c r="F446" s="395" t="s">
        <v>116</v>
      </c>
      <c r="G446" s="396"/>
      <c r="H446" s="397"/>
      <c r="I446" s="383">
        <v>56300</v>
      </c>
      <c r="J446" s="398">
        <v>141737</v>
      </c>
      <c r="K446" s="399" t="s">
        <v>70</v>
      </c>
      <c r="L446" s="399" t="s">
        <v>34</v>
      </c>
      <c r="M446" s="399">
        <v>20</v>
      </c>
      <c r="N446" s="356">
        <v>56300</v>
      </c>
      <c r="O446" s="28" t="b">
        <f t="shared" si="30"/>
        <v>1</v>
      </c>
    </row>
    <row r="447" spans="2:15" s="28" customFormat="1" ht="16.5" customHeight="1">
      <c r="B447" s="20"/>
      <c r="C447" s="20"/>
      <c r="D447" s="254"/>
      <c r="E447" s="379">
        <v>141738</v>
      </c>
      <c r="F447" s="395" t="s">
        <v>115</v>
      </c>
      <c r="G447" s="396"/>
      <c r="H447" s="397"/>
      <c r="I447" s="383">
        <v>520000</v>
      </c>
      <c r="J447" s="398">
        <v>141738</v>
      </c>
      <c r="K447" s="399" t="s">
        <v>71</v>
      </c>
      <c r="L447" s="399" t="s">
        <v>34</v>
      </c>
      <c r="M447" s="399">
        <v>200</v>
      </c>
      <c r="N447" s="356">
        <v>520000</v>
      </c>
      <c r="O447" s="28" t="b">
        <f t="shared" si="30"/>
        <v>1</v>
      </c>
    </row>
    <row r="448" spans="2:15" s="28" customFormat="1" ht="16.5" customHeight="1">
      <c r="B448" s="20"/>
      <c r="C448" s="20"/>
      <c r="D448" s="254"/>
      <c r="E448" s="379">
        <v>141741</v>
      </c>
      <c r="F448" s="395" t="s">
        <v>114</v>
      </c>
      <c r="G448" s="396"/>
      <c r="H448" s="397"/>
      <c r="I448" s="383">
        <v>53900</v>
      </c>
      <c r="J448" s="398">
        <v>141741</v>
      </c>
      <c r="K448" s="399" t="s">
        <v>70</v>
      </c>
      <c r="L448" s="399" t="s">
        <v>34</v>
      </c>
      <c r="M448" s="399">
        <v>20</v>
      </c>
      <c r="N448" s="356">
        <v>53900</v>
      </c>
      <c r="O448" s="28" t="b">
        <f t="shared" si="30"/>
        <v>1</v>
      </c>
    </row>
    <row r="449" spans="2:15" s="28" customFormat="1" ht="16.5" customHeight="1">
      <c r="B449" s="20"/>
      <c r="C449" s="20"/>
      <c r="D449" s="254"/>
      <c r="E449" s="379">
        <v>141742</v>
      </c>
      <c r="F449" s="395" t="s">
        <v>113</v>
      </c>
      <c r="G449" s="396"/>
      <c r="H449" s="397"/>
      <c r="I449" s="383">
        <v>492000</v>
      </c>
      <c r="J449" s="398">
        <v>141742</v>
      </c>
      <c r="K449" s="399" t="s">
        <v>71</v>
      </c>
      <c r="L449" s="399" t="s">
        <v>34</v>
      </c>
      <c r="M449" s="399">
        <v>200</v>
      </c>
      <c r="N449" s="356">
        <v>492000</v>
      </c>
      <c r="O449" s="28" t="b">
        <f t="shared" si="30"/>
        <v>1</v>
      </c>
    </row>
    <row r="450" spans="2:15" s="28" customFormat="1" ht="16.5" customHeight="1">
      <c r="B450" s="20"/>
      <c r="C450" s="20"/>
      <c r="D450" s="254"/>
      <c r="E450" s="379">
        <v>141745</v>
      </c>
      <c r="F450" s="395" t="s">
        <v>112</v>
      </c>
      <c r="G450" s="396"/>
      <c r="H450" s="397"/>
      <c r="I450" s="383">
        <v>53900</v>
      </c>
      <c r="J450" s="398">
        <v>141745</v>
      </c>
      <c r="K450" s="399" t="s">
        <v>70</v>
      </c>
      <c r="L450" s="399" t="s">
        <v>34</v>
      </c>
      <c r="M450" s="399">
        <v>20</v>
      </c>
      <c r="N450" s="356">
        <v>53900</v>
      </c>
      <c r="O450" s="28" t="b">
        <f t="shared" si="30"/>
        <v>1</v>
      </c>
    </row>
    <row r="451" spans="2:15" s="28" customFormat="1" ht="16.5" customHeight="1">
      <c r="B451" s="20"/>
      <c r="C451" s="20"/>
      <c r="D451" s="254"/>
      <c r="E451" s="379">
        <v>141746</v>
      </c>
      <c r="F451" s="395" t="s">
        <v>111</v>
      </c>
      <c r="G451" s="396"/>
      <c r="H451" s="397"/>
      <c r="I451" s="383">
        <v>492000</v>
      </c>
      <c r="J451" s="398">
        <v>141746</v>
      </c>
      <c r="K451" s="399" t="s">
        <v>71</v>
      </c>
      <c r="L451" s="399" t="s">
        <v>34</v>
      </c>
      <c r="M451" s="399">
        <v>200</v>
      </c>
      <c r="N451" s="356">
        <v>492000</v>
      </c>
      <c r="O451" s="28" t="b">
        <f t="shared" si="30"/>
        <v>1</v>
      </c>
    </row>
    <row r="452" spans="2:15" s="28" customFormat="1" ht="16.5" customHeight="1">
      <c r="B452" s="20"/>
      <c r="C452" s="20"/>
      <c r="D452" s="254"/>
      <c r="E452" s="379">
        <v>141750</v>
      </c>
      <c r="F452" s="395" t="s">
        <v>231</v>
      </c>
      <c r="G452" s="396"/>
      <c r="H452" s="397"/>
      <c r="I452" s="383">
        <v>53900</v>
      </c>
      <c r="J452" s="398">
        <v>141750</v>
      </c>
      <c r="K452" s="399" t="s">
        <v>70</v>
      </c>
      <c r="L452" s="399" t="s">
        <v>34</v>
      </c>
      <c r="M452" s="399">
        <v>20</v>
      </c>
      <c r="N452" s="356">
        <v>53900</v>
      </c>
      <c r="O452" s="28" t="b">
        <f t="shared" si="30"/>
        <v>1</v>
      </c>
    </row>
    <row r="453" spans="2:15" s="28" customFormat="1" ht="16.5" customHeight="1">
      <c r="B453" s="20"/>
      <c r="C453" s="20"/>
      <c r="D453" s="254"/>
      <c r="E453" s="379">
        <v>141751</v>
      </c>
      <c r="F453" s="395" t="s">
        <v>110</v>
      </c>
      <c r="G453" s="396"/>
      <c r="H453" s="397"/>
      <c r="I453" s="383">
        <v>492000</v>
      </c>
      <c r="J453" s="398">
        <v>141751</v>
      </c>
      <c r="K453" s="399" t="s">
        <v>71</v>
      </c>
      <c r="L453" s="399" t="s">
        <v>34</v>
      </c>
      <c r="M453" s="399">
        <v>200</v>
      </c>
      <c r="N453" s="356">
        <v>492000</v>
      </c>
      <c r="O453" s="28" t="b">
        <f t="shared" si="30"/>
        <v>1</v>
      </c>
    </row>
    <row r="454" spans="2:15" s="28" customFormat="1" ht="16.5" customHeight="1">
      <c r="B454" s="20"/>
      <c r="C454" s="20"/>
      <c r="D454" s="254"/>
      <c r="E454" s="379">
        <v>141763</v>
      </c>
      <c r="F454" s="395" t="s">
        <v>396</v>
      </c>
      <c r="G454" s="396"/>
      <c r="H454" s="397"/>
      <c r="I454" s="383">
        <v>79600</v>
      </c>
      <c r="J454" s="398">
        <v>141763</v>
      </c>
      <c r="K454" s="399" t="s">
        <v>70</v>
      </c>
      <c r="L454" s="399" t="s">
        <v>34</v>
      </c>
      <c r="M454" s="399">
        <v>20</v>
      </c>
      <c r="N454" s="356">
        <v>79600</v>
      </c>
      <c r="O454" s="28" t="b">
        <f t="shared" si="30"/>
        <v>1</v>
      </c>
    </row>
    <row r="455" spans="2:15" s="28" customFormat="1" ht="16.5" customHeight="1">
      <c r="B455" s="20"/>
      <c r="C455" s="20"/>
      <c r="D455" s="254"/>
      <c r="E455" s="379">
        <v>142012</v>
      </c>
      <c r="F455" s="395" t="s">
        <v>129</v>
      </c>
      <c r="G455" s="396"/>
      <c r="H455" s="397"/>
      <c r="I455" s="383">
        <v>46900</v>
      </c>
      <c r="J455" s="398">
        <v>142012</v>
      </c>
      <c r="K455" s="399" t="s">
        <v>70</v>
      </c>
      <c r="L455" s="399" t="s">
        <v>34</v>
      </c>
      <c r="M455" s="399">
        <v>20</v>
      </c>
      <c r="N455" s="356">
        <v>46900</v>
      </c>
      <c r="O455" s="28" t="b">
        <f t="shared" ref="O455:O502" si="31">I455=N455</f>
        <v>1</v>
      </c>
    </row>
    <row r="456" spans="2:15" s="28" customFormat="1" ht="16.5" customHeight="1">
      <c r="B456" s="20"/>
      <c r="C456" s="20"/>
      <c r="D456" s="254"/>
      <c r="E456" s="379">
        <v>142028</v>
      </c>
      <c r="F456" s="395" t="s">
        <v>768</v>
      </c>
      <c r="G456" s="396"/>
      <c r="H456" s="397"/>
      <c r="I456" s="383">
        <v>318000</v>
      </c>
      <c r="J456" s="398">
        <v>142028</v>
      </c>
      <c r="K456" s="399" t="s">
        <v>70</v>
      </c>
      <c r="L456" s="399" t="s">
        <v>34</v>
      </c>
      <c r="M456" s="399">
        <v>16</v>
      </c>
      <c r="N456" s="356">
        <v>318000</v>
      </c>
      <c r="O456" s="28" t="b">
        <f t="shared" si="31"/>
        <v>1</v>
      </c>
    </row>
    <row r="457" spans="2:15" s="28" customFormat="1" ht="16.5" customHeight="1">
      <c r="B457" s="20"/>
      <c r="C457" s="20"/>
      <c r="D457" s="254"/>
      <c r="E457" s="379">
        <v>142288</v>
      </c>
      <c r="F457" s="395" t="s">
        <v>121</v>
      </c>
      <c r="G457" s="396"/>
      <c r="H457" s="397"/>
      <c r="I457" s="383">
        <v>6002000</v>
      </c>
      <c r="J457" s="398">
        <v>142288</v>
      </c>
      <c r="K457" s="399" t="s">
        <v>71</v>
      </c>
      <c r="L457" s="399" t="s">
        <v>34</v>
      </c>
      <c r="M457" s="399">
        <v>208</v>
      </c>
      <c r="N457" s="356">
        <v>6002000</v>
      </c>
      <c r="O457" s="28" t="b">
        <f t="shared" si="31"/>
        <v>1</v>
      </c>
    </row>
    <row r="458" spans="2:15" s="28" customFormat="1" ht="16.5" customHeight="1">
      <c r="B458" s="20"/>
      <c r="C458" s="20"/>
      <c r="D458" s="254"/>
      <c r="E458" s="379">
        <v>142411</v>
      </c>
      <c r="F458" s="395" t="s">
        <v>705</v>
      </c>
      <c r="G458" s="396"/>
      <c r="H458" s="397"/>
      <c r="I458" s="383">
        <v>777000</v>
      </c>
      <c r="J458" s="398">
        <v>142411</v>
      </c>
      <c r="K458" s="399" t="s">
        <v>71</v>
      </c>
      <c r="L458" s="399" t="s">
        <v>34</v>
      </c>
      <c r="M458" s="399">
        <v>200</v>
      </c>
      <c r="N458" s="356">
        <v>777000</v>
      </c>
      <c r="O458" s="28" t="b">
        <f t="shared" si="31"/>
        <v>1</v>
      </c>
    </row>
    <row r="459" spans="2:15" s="28" customFormat="1" ht="16.5" customHeight="1">
      <c r="B459" s="20"/>
      <c r="C459" s="20"/>
      <c r="D459" s="254"/>
      <c r="E459" s="379">
        <v>142637</v>
      </c>
      <c r="F459" s="395" t="s">
        <v>707</v>
      </c>
      <c r="G459" s="396"/>
      <c r="H459" s="397"/>
      <c r="I459" s="383">
        <v>4494000</v>
      </c>
      <c r="J459" s="399">
        <v>142637</v>
      </c>
      <c r="K459" s="399" t="s">
        <v>71</v>
      </c>
      <c r="L459" s="399" t="s">
        <v>34</v>
      </c>
      <c r="M459" s="399">
        <v>200</v>
      </c>
      <c r="N459" s="356">
        <v>4494000</v>
      </c>
      <c r="O459" s="28" t="b">
        <f t="shared" si="31"/>
        <v>1</v>
      </c>
    </row>
    <row r="460" spans="2:15" s="28" customFormat="1" ht="16.5" customHeight="1">
      <c r="B460" s="20"/>
      <c r="C460" s="20"/>
      <c r="D460" s="254"/>
      <c r="E460" s="379">
        <v>143560</v>
      </c>
      <c r="F460" s="395" t="s">
        <v>724</v>
      </c>
      <c r="G460" s="396"/>
      <c r="H460" s="397"/>
      <c r="I460" s="383">
        <v>728000</v>
      </c>
      <c r="J460" s="398">
        <v>143560</v>
      </c>
      <c r="K460" s="399" t="s">
        <v>71</v>
      </c>
      <c r="L460" s="399" t="s">
        <v>34</v>
      </c>
      <c r="M460" s="399">
        <v>200</v>
      </c>
      <c r="N460" s="356">
        <v>728000</v>
      </c>
      <c r="O460" s="28" t="b">
        <f t="shared" si="31"/>
        <v>1</v>
      </c>
    </row>
    <row r="461" spans="2:15" s="28" customFormat="1" ht="16.5" customHeight="1">
      <c r="B461" s="20"/>
      <c r="C461" s="20"/>
      <c r="D461" s="254"/>
      <c r="E461" s="379">
        <v>143561</v>
      </c>
      <c r="F461" s="395" t="s">
        <v>725</v>
      </c>
      <c r="G461" s="396"/>
      <c r="H461" s="397"/>
      <c r="I461" s="383">
        <v>728000</v>
      </c>
      <c r="J461" s="398">
        <v>143561</v>
      </c>
      <c r="K461" s="399" t="s">
        <v>71</v>
      </c>
      <c r="L461" s="399" t="s">
        <v>34</v>
      </c>
      <c r="M461" s="399">
        <v>200</v>
      </c>
      <c r="N461" s="356">
        <v>728000</v>
      </c>
      <c r="O461" s="28" t="b">
        <f t="shared" si="31"/>
        <v>1</v>
      </c>
    </row>
    <row r="462" spans="2:15" s="28" customFormat="1" ht="16.5" customHeight="1">
      <c r="B462" s="20"/>
      <c r="C462" s="20"/>
      <c r="D462" s="254"/>
      <c r="E462" s="379">
        <v>143563</v>
      </c>
      <c r="F462" s="395" t="s">
        <v>726</v>
      </c>
      <c r="G462" s="396"/>
      <c r="H462" s="397"/>
      <c r="I462" s="383">
        <v>728000</v>
      </c>
      <c r="J462" s="398">
        <v>143563</v>
      </c>
      <c r="K462" s="399" t="s">
        <v>71</v>
      </c>
      <c r="L462" s="399" t="s">
        <v>34</v>
      </c>
      <c r="M462" s="399">
        <v>200</v>
      </c>
      <c r="N462" s="356">
        <v>728000</v>
      </c>
      <c r="O462" s="28" t="b">
        <f t="shared" si="31"/>
        <v>1</v>
      </c>
    </row>
    <row r="463" spans="2:15" s="28" customFormat="1" ht="16.5" customHeight="1">
      <c r="B463" s="20"/>
      <c r="C463" s="20"/>
      <c r="D463" s="254"/>
      <c r="E463" s="379">
        <v>143982</v>
      </c>
      <c r="F463" s="395" t="s">
        <v>749</v>
      </c>
      <c r="G463" s="396"/>
      <c r="H463" s="397"/>
      <c r="I463" s="383">
        <v>2995000</v>
      </c>
      <c r="J463" s="398">
        <v>143982</v>
      </c>
      <c r="K463" s="399" t="s">
        <v>71</v>
      </c>
      <c r="L463" s="399" t="s">
        <v>34</v>
      </c>
      <c r="M463" s="399">
        <v>208</v>
      </c>
      <c r="N463" s="356">
        <v>2995000</v>
      </c>
      <c r="O463" s="28" t="b">
        <f t="shared" si="31"/>
        <v>1</v>
      </c>
    </row>
    <row r="464" spans="2:15" s="28" customFormat="1" ht="16.5" customHeight="1">
      <c r="B464" s="20"/>
      <c r="C464" s="20"/>
      <c r="D464" s="254"/>
      <c r="E464" s="379">
        <v>143983</v>
      </c>
      <c r="F464" s="395" t="s">
        <v>743</v>
      </c>
      <c r="G464" s="396"/>
      <c r="H464" s="397"/>
      <c r="I464" s="383">
        <v>287000</v>
      </c>
      <c r="J464" s="399">
        <v>143983</v>
      </c>
      <c r="K464" s="399" t="s">
        <v>70</v>
      </c>
      <c r="L464" s="399" t="s">
        <v>34</v>
      </c>
      <c r="M464" s="399">
        <v>20</v>
      </c>
      <c r="N464" s="356">
        <v>287000</v>
      </c>
      <c r="O464" s="28" t="b">
        <f t="shared" si="31"/>
        <v>1</v>
      </c>
    </row>
    <row r="465" spans="2:15" s="28" customFormat="1" ht="16.5" customHeight="1">
      <c r="B465" s="20"/>
      <c r="C465" s="20"/>
      <c r="D465" s="254"/>
      <c r="E465" s="379">
        <v>143985</v>
      </c>
      <c r="F465" s="395" t="s">
        <v>769</v>
      </c>
      <c r="G465" s="396"/>
      <c r="H465" s="397"/>
      <c r="I465" s="383">
        <v>2763000</v>
      </c>
      <c r="J465" s="398">
        <v>143985</v>
      </c>
      <c r="K465" s="399" t="s">
        <v>71</v>
      </c>
      <c r="L465" s="399" t="s">
        <v>34</v>
      </c>
      <c r="M465" s="399">
        <v>208</v>
      </c>
      <c r="N465" s="356">
        <v>2763000</v>
      </c>
      <c r="O465" s="28" t="b">
        <f t="shared" si="31"/>
        <v>1</v>
      </c>
    </row>
    <row r="466" spans="2:15" s="28" customFormat="1" ht="16.5" customHeight="1">
      <c r="B466" s="20"/>
      <c r="C466" s="20"/>
      <c r="D466" s="254"/>
      <c r="E466" s="379">
        <v>143987</v>
      </c>
      <c r="F466" s="395" t="s">
        <v>747</v>
      </c>
      <c r="G466" s="396"/>
      <c r="H466" s="397"/>
      <c r="I466" s="383">
        <v>2938000</v>
      </c>
      <c r="J466" s="398">
        <v>143987</v>
      </c>
      <c r="K466" s="399" t="s">
        <v>71</v>
      </c>
      <c r="L466" s="399" t="s">
        <v>34</v>
      </c>
      <c r="M466" s="399">
        <v>208</v>
      </c>
      <c r="N466" s="356">
        <v>2938000</v>
      </c>
      <c r="O466" s="28" t="b">
        <f t="shared" si="31"/>
        <v>1</v>
      </c>
    </row>
    <row r="467" spans="2:15" s="28" customFormat="1" ht="16.5" customHeight="1">
      <c r="B467" s="20"/>
      <c r="C467" s="20"/>
      <c r="D467" s="254"/>
      <c r="E467" s="379">
        <v>143988</v>
      </c>
      <c r="F467" s="395" t="s">
        <v>742</v>
      </c>
      <c r="G467" s="396"/>
      <c r="H467" s="397"/>
      <c r="I467" s="383">
        <v>289000</v>
      </c>
      <c r="J467" s="398">
        <v>143988</v>
      </c>
      <c r="K467" s="399" t="s">
        <v>70</v>
      </c>
      <c r="L467" s="399" t="s">
        <v>34</v>
      </c>
      <c r="M467" s="399">
        <v>20</v>
      </c>
      <c r="N467" s="356">
        <v>289000</v>
      </c>
      <c r="O467" s="28" t="b">
        <f t="shared" si="31"/>
        <v>1</v>
      </c>
    </row>
    <row r="468" spans="2:15" s="28" customFormat="1" ht="16.5" customHeight="1">
      <c r="B468" s="20"/>
      <c r="C468" s="20"/>
      <c r="D468" s="254"/>
      <c r="E468" s="379">
        <v>143990</v>
      </c>
      <c r="F468" s="395" t="s">
        <v>770</v>
      </c>
      <c r="G468" s="396"/>
      <c r="H468" s="397"/>
      <c r="I468" s="383">
        <v>3124000</v>
      </c>
      <c r="J468" s="398">
        <v>143990</v>
      </c>
      <c r="K468" s="399" t="s">
        <v>71</v>
      </c>
      <c r="L468" s="399" t="s">
        <v>34</v>
      </c>
      <c r="M468" s="399">
        <v>208</v>
      </c>
      <c r="N468" s="356">
        <v>3124000</v>
      </c>
      <c r="O468" s="28" t="b">
        <f t="shared" si="31"/>
        <v>1</v>
      </c>
    </row>
    <row r="469" spans="2:15" s="28" customFormat="1" ht="16.5" customHeight="1">
      <c r="B469" s="20"/>
      <c r="C469" s="20"/>
      <c r="D469" s="254"/>
      <c r="E469" s="379">
        <v>143991</v>
      </c>
      <c r="F469" s="395" t="s">
        <v>771</v>
      </c>
      <c r="G469" s="396"/>
      <c r="H469" s="397"/>
      <c r="I469" s="383">
        <v>337000</v>
      </c>
      <c r="J469" s="398">
        <v>143991</v>
      </c>
      <c r="K469" s="399" t="s">
        <v>70</v>
      </c>
      <c r="L469" s="399" t="s">
        <v>34</v>
      </c>
      <c r="M469" s="399">
        <v>20</v>
      </c>
      <c r="N469" s="356">
        <v>337000</v>
      </c>
      <c r="O469" s="28" t="b">
        <f t="shared" si="31"/>
        <v>1</v>
      </c>
    </row>
    <row r="470" spans="2:15" s="28" customFormat="1" ht="16.5" customHeight="1">
      <c r="B470" s="20"/>
      <c r="C470" s="20"/>
      <c r="D470" s="254"/>
      <c r="E470" s="379">
        <v>143993</v>
      </c>
      <c r="F470" s="395" t="s">
        <v>772</v>
      </c>
      <c r="G470" s="396"/>
      <c r="H470" s="397"/>
      <c r="I470" s="383">
        <v>3255000</v>
      </c>
      <c r="J470" s="399">
        <v>143993</v>
      </c>
      <c r="K470" s="399" t="s">
        <v>71</v>
      </c>
      <c r="L470" s="399" t="s">
        <v>34</v>
      </c>
      <c r="M470" s="399">
        <v>208</v>
      </c>
      <c r="N470" s="356">
        <v>3255000</v>
      </c>
      <c r="O470" s="28" t="b">
        <f t="shared" si="31"/>
        <v>1</v>
      </c>
    </row>
    <row r="471" spans="2:15" s="28" customFormat="1" ht="16.5" customHeight="1">
      <c r="B471" s="20"/>
      <c r="C471" s="20"/>
      <c r="D471" s="254"/>
      <c r="E471" s="379">
        <v>143994</v>
      </c>
      <c r="F471" s="395" t="s">
        <v>773</v>
      </c>
      <c r="G471" s="396"/>
      <c r="H471" s="397"/>
      <c r="I471" s="383">
        <v>351000</v>
      </c>
      <c r="J471" s="398">
        <v>143994</v>
      </c>
      <c r="K471" s="399" t="s">
        <v>70</v>
      </c>
      <c r="L471" s="399" t="s">
        <v>34</v>
      </c>
      <c r="M471" s="399">
        <v>20</v>
      </c>
      <c r="N471" s="356">
        <v>351000</v>
      </c>
      <c r="O471" s="28" t="b">
        <f t="shared" si="31"/>
        <v>1</v>
      </c>
    </row>
    <row r="472" spans="2:15" s="28" customFormat="1" ht="16.5" customHeight="1">
      <c r="B472" s="20"/>
      <c r="C472" s="20"/>
      <c r="D472" s="254"/>
      <c r="E472" s="379">
        <v>144165</v>
      </c>
      <c r="F472" s="395" t="s">
        <v>750</v>
      </c>
      <c r="G472" s="396"/>
      <c r="H472" s="397"/>
      <c r="I472" s="383">
        <v>34300</v>
      </c>
      <c r="J472" s="398">
        <v>144165</v>
      </c>
      <c r="K472" s="399" t="s">
        <v>70</v>
      </c>
      <c r="L472" s="399" t="s">
        <v>34</v>
      </c>
      <c r="M472" s="399">
        <v>20</v>
      </c>
      <c r="N472" s="356">
        <v>34300</v>
      </c>
      <c r="O472" s="28" t="b">
        <f t="shared" si="31"/>
        <v>1</v>
      </c>
    </row>
    <row r="473" spans="2:15" s="28" customFormat="1" ht="16.5" customHeight="1">
      <c r="B473" s="20"/>
      <c r="C473" s="20"/>
      <c r="D473" s="254"/>
      <c r="E473" s="379">
        <v>144166</v>
      </c>
      <c r="F473" s="395" t="s">
        <v>748</v>
      </c>
      <c r="G473" s="396"/>
      <c r="H473" s="397"/>
      <c r="I473" s="383">
        <v>318000</v>
      </c>
      <c r="J473" s="398">
        <v>144166</v>
      </c>
      <c r="K473" s="399" t="s">
        <v>71</v>
      </c>
      <c r="L473" s="399" t="s">
        <v>34</v>
      </c>
      <c r="M473" s="399">
        <v>200</v>
      </c>
      <c r="N473" s="356">
        <v>318000</v>
      </c>
      <c r="O473" s="28" t="b">
        <f t="shared" si="31"/>
        <v>1</v>
      </c>
    </row>
    <row r="474" spans="2:15" s="28" customFormat="1" ht="16.5" customHeight="1">
      <c r="B474" s="20"/>
      <c r="C474" s="20"/>
      <c r="D474" s="254"/>
      <c r="E474" s="379">
        <v>144167</v>
      </c>
      <c r="F474" s="395" t="s">
        <v>745</v>
      </c>
      <c r="G474" s="396"/>
      <c r="H474" s="397"/>
      <c r="I474" s="383">
        <v>34300</v>
      </c>
      <c r="J474" s="398">
        <v>144167</v>
      </c>
      <c r="K474" s="399" t="s">
        <v>70</v>
      </c>
      <c r="L474" s="399" t="s">
        <v>34</v>
      </c>
      <c r="M474" s="399">
        <v>20</v>
      </c>
      <c r="N474" s="356">
        <v>34300</v>
      </c>
      <c r="O474" s="28" t="b">
        <f t="shared" si="31"/>
        <v>1</v>
      </c>
    </row>
    <row r="475" spans="2:15" s="28" customFormat="1" ht="16.5" customHeight="1">
      <c r="B475" s="20"/>
      <c r="C475" s="20"/>
      <c r="D475" s="254"/>
      <c r="E475" s="379">
        <v>144168</v>
      </c>
      <c r="F475" s="395" t="s">
        <v>744</v>
      </c>
      <c r="G475" s="396"/>
      <c r="H475" s="397"/>
      <c r="I475" s="383">
        <v>318000</v>
      </c>
      <c r="J475" s="398">
        <v>144168</v>
      </c>
      <c r="K475" s="399" t="s">
        <v>71</v>
      </c>
      <c r="L475" s="399" t="s">
        <v>34</v>
      </c>
      <c r="M475" s="399">
        <v>200</v>
      </c>
      <c r="N475" s="356">
        <v>318000</v>
      </c>
      <c r="O475" s="28" t="b">
        <f t="shared" si="31"/>
        <v>1</v>
      </c>
    </row>
    <row r="476" spans="2:15" s="28" customFormat="1" ht="16.5" customHeight="1">
      <c r="B476" s="20"/>
      <c r="C476" s="20"/>
      <c r="D476" s="254"/>
      <c r="E476" s="379">
        <v>144169</v>
      </c>
      <c r="F476" s="395" t="s">
        <v>751</v>
      </c>
      <c r="G476" s="396"/>
      <c r="H476" s="397"/>
      <c r="I476" s="383">
        <v>36600</v>
      </c>
      <c r="J476" s="398">
        <v>144169</v>
      </c>
      <c r="K476" s="399" t="s">
        <v>70</v>
      </c>
      <c r="L476" s="399" t="s">
        <v>34</v>
      </c>
      <c r="M476" s="399">
        <v>20</v>
      </c>
      <c r="N476" s="356">
        <v>35300</v>
      </c>
      <c r="O476" s="28" t="b">
        <f t="shared" si="31"/>
        <v>0</v>
      </c>
    </row>
    <row r="477" spans="2:15" s="28" customFormat="1" ht="16.5" customHeight="1">
      <c r="B477" s="20"/>
      <c r="C477" s="20"/>
      <c r="D477" s="254"/>
      <c r="E477" s="379">
        <v>144170</v>
      </c>
      <c r="F477" s="395" t="s">
        <v>752</v>
      </c>
      <c r="G477" s="396"/>
      <c r="H477" s="397"/>
      <c r="I477" s="383">
        <v>338000</v>
      </c>
      <c r="J477" s="398">
        <v>144170</v>
      </c>
      <c r="K477" s="399" t="s">
        <v>71</v>
      </c>
      <c r="L477" s="399" t="s">
        <v>34</v>
      </c>
      <c r="M477" s="399">
        <v>200</v>
      </c>
      <c r="N477" s="356">
        <v>328000</v>
      </c>
      <c r="O477" s="28" t="b">
        <f t="shared" si="31"/>
        <v>0</v>
      </c>
    </row>
    <row r="478" spans="2:15" s="28" customFormat="1" ht="16.5" customHeight="1">
      <c r="B478" s="20"/>
      <c r="C478" s="20"/>
      <c r="D478" s="254"/>
      <c r="E478" s="379">
        <v>138924</v>
      </c>
      <c r="F478" s="395" t="s">
        <v>555</v>
      </c>
      <c r="G478" s="396"/>
      <c r="H478" s="397"/>
      <c r="I478" s="383"/>
      <c r="J478" s="398">
        <v>138924</v>
      </c>
      <c r="K478" s="399" t="s">
        <v>71</v>
      </c>
      <c r="L478" s="399" t="s">
        <v>34</v>
      </c>
      <c r="M478" s="399">
        <v>200</v>
      </c>
      <c r="N478" s="356" t="e">
        <v>#N/A</v>
      </c>
      <c r="O478" s="28" t="e">
        <f t="shared" si="31"/>
        <v>#N/A</v>
      </c>
    </row>
    <row r="479" spans="2:15" s="28" customFormat="1" ht="16.5" customHeight="1">
      <c r="B479" s="20"/>
      <c r="C479" s="20"/>
      <c r="D479" s="254"/>
      <c r="E479" s="379">
        <v>144364</v>
      </c>
      <c r="F479" s="395" t="s">
        <v>780</v>
      </c>
      <c r="G479" s="396"/>
      <c r="H479" s="397"/>
      <c r="I479" s="383">
        <v>713000</v>
      </c>
      <c r="J479" s="398">
        <v>144364</v>
      </c>
      <c r="K479" s="399" t="s">
        <v>71</v>
      </c>
      <c r="L479" s="399" t="s">
        <v>34</v>
      </c>
      <c r="M479" s="399">
        <v>200</v>
      </c>
      <c r="N479" s="356">
        <v>713000</v>
      </c>
      <c r="O479" s="28" t="b">
        <f t="shared" si="31"/>
        <v>1</v>
      </c>
    </row>
    <row r="480" spans="2:15" s="28" customFormat="1" ht="16.5" customHeight="1">
      <c r="B480" s="20"/>
      <c r="C480" s="20"/>
      <c r="D480" s="254"/>
      <c r="E480" s="379">
        <v>136171</v>
      </c>
      <c r="F480" s="395" t="s">
        <v>39</v>
      </c>
      <c r="G480" s="396"/>
      <c r="H480" s="397"/>
      <c r="I480" s="383"/>
      <c r="J480" s="398">
        <v>136171</v>
      </c>
      <c r="K480" s="399" t="s">
        <v>70</v>
      </c>
      <c r="L480" s="399" t="s">
        <v>34</v>
      </c>
      <c r="M480" s="399">
        <v>20</v>
      </c>
      <c r="N480" s="356" t="e">
        <v>#N/A</v>
      </c>
      <c r="O480" s="28" t="e">
        <f t="shared" si="31"/>
        <v>#N/A</v>
      </c>
    </row>
    <row r="481" spans="2:15" s="28" customFormat="1" ht="16.5" customHeight="1">
      <c r="B481" s="20"/>
      <c r="C481" s="20"/>
      <c r="D481" s="254"/>
      <c r="E481" s="379">
        <v>148672</v>
      </c>
      <c r="F481" s="395" t="s">
        <v>779</v>
      </c>
      <c r="G481" s="396"/>
      <c r="H481" s="397"/>
      <c r="I481" s="383">
        <v>76100</v>
      </c>
      <c r="J481" s="398">
        <v>148672</v>
      </c>
      <c r="K481" s="399" t="s">
        <v>70</v>
      </c>
      <c r="L481" s="399" t="s">
        <v>34</v>
      </c>
      <c r="M481" s="399">
        <v>20</v>
      </c>
      <c r="N481" s="356">
        <v>76100</v>
      </c>
      <c r="O481" s="28" t="b">
        <f t="shared" si="31"/>
        <v>1</v>
      </c>
    </row>
    <row r="482" spans="2:15" s="28" customFormat="1" ht="16.5" customHeight="1">
      <c r="B482" s="20"/>
      <c r="C482" s="20"/>
      <c r="D482" s="254"/>
      <c r="E482" s="379">
        <v>144353</v>
      </c>
      <c r="F482" s="395" t="s">
        <v>774</v>
      </c>
      <c r="G482" s="396"/>
      <c r="H482" s="397"/>
      <c r="I482" s="383">
        <v>670000</v>
      </c>
      <c r="J482" s="398">
        <v>144353</v>
      </c>
      <c r="K482" s="399" t="s">
        <v>71</v>
      </c>
      <c r="L482" s="399" t="s">
        <v>34</v>
      </c>
      <c r="M482" s="399">
        <v>200</v>
      </c>
      <c r="N482" s="356">
        <v>670000</v>
      </c>
      <c r="O482" s="28" t="b">
        <f t="shared" si="31"/>
        <v>1</v>
      </c>
    </row>
    <row r="483" spans="2:15" s="28" customFormat="1" ht="16.5" customHeight="1">
      <c r="B483" s="20"/>
      <c r="C483" s="20"/>
      <c r="D483" s="254"/>
      <c r="E483" s="379">
        <v>148668</v>
      </c>
      <c r="F483" s="395" t="s">
        <v>758</v>
      </c>
      <c r="G483" s="396"/>
      <c r="H483" s="397"/>
      <c r="I483" s="383">
        <v>71700</v>
      </c>
      <c r="J483" s="398">
        <v>148668</v>
      </c>
      <c r="K483" s="399" t="s">
        <v>70</v>
      </c>
      <c r="L483" s="399" t="s">
        <v>34</v>
      </c>
      <c r="M483" s="399">
        <v>20</v>
      </c>
      <c r="N483" s="356">
        <v>71700</v>
      </c>
      <c r="O483" s="28" t="b">
        <f t="shared" si="31"/>
        <v>1</v>
      </c>
    </row>
    <row r="484" spans="2:15" s="28" customFormat="1" ht="16.5" customHeight="1">
      <c r="B484" s="20"/>
      <c r="C484" s="20"/>
      <c r="D484" s="254"/>
      <c r="E484" s="379">
        <v>138925</v>
      </c>
      <c r="F484" s="395" t="s">
        <v>556</v>
      </c>
      <c r="G484" s="396"/>
      <c r="H484" s="397"/>
      <c r="I484" s="383"/>
      <c r="J484" s="398">
        <v>138925</v>
      </c>
      <c r="K484" s="399" t="s">
        <v>71</v>
      </c>
      <c r="L484" s="399" t="s">
        <v>34</v>
      </c>
      <c r="M484" s="399">
        <v>200</v>
      </c>
      <c r="N484" s="356" t="e">
        <v>#N/A</v>
      </c>
      <c r="O484" s="28" t="e">
        <f t="shared" si="31"/>
        <v>#N/A</v>
      </c>
    </row>
    <row r="485" spans="2:15" s="28" customFormat="1" ht="16.5" customHeight="1">
      <c r="B485" s="20"/>
      <c r="C485" s="20"/>
      <c r="D485" s="254"/>
      <c r="E485" s="379">
        <v>144367</v>
      </c>
      <c r="F485" s="395" t="s">
        <v>782</v>
      </c>
      <c r="G485" s="396"/>
      <c r="H485" s="397"/>
      <c r="I485" s="383">
        <v>756000</v>
      </c>
      <c r="J485" s="398">
        <v>144367</v>
      </c>
      <c r="K485" s="399" t="s">
        <v>71</v>
      </c>
      <c r="L485" s="399" t="s">
        <v>34</v>
      </c>
      <c r="M485" s="399">
        <v>200</v>
      </c>
      <c r="N485" s="356">
        <v>756000</v>
      </c>
      <c r="O485" s="28" t="b">
        <f t="shared" si="31"/>
        <v>1</v>
      </c>
    </row>
    <row r="486" spans="2:15" s="28" customFormat="1" ht="16.5" customHeight="1">
      <c r="B486" s="20"/>
      <c r="C486" s="20"/>
      <c r="D486" s="254"/>
      <c r="E486" s="379">
        <v>136172</v>
      </c>
      <c r="F486" s="395" t="s">
        <v>38</v>
      </c>
      <c r="G486" s="396"/>
      <c r="H486" s="397"/>
      <c r="I486" s="383"/>
      <c r="J486" s="398">
        <v>136172</v>
      </c>
      <c r="K486" s="399" t="s">
        <v>70</v>
      </c>
      <c r="L486" s="399" t="s">
        <v>34</v>
      </c>
      <c r="M486" s="399">
        <v>20</v>
      </c>
      <c r="N486" s="356" t="e">
        <v>#N/A</v>
      </c>
      <c r="O486" s="28" t="e">
        <f t="shared" si="31"/>
        <v>#N/A</v>
      </c>
    </row>
    <row r="487" spans="2:15" s="28" customFormat="1" ht="16.5" customHeight="1">
      <c r="B487" s="20"/>
      <c r="C487" s="20"/>
      <c r="D487" s="254"/>
      <c r="E487" s="379">
        <v>148673</v>
      </c>
      <c r="F487" s="395" t="s">
        <v>781</v>
      </c>
      <c r="G487" s="396"/>
      <c r="H487" s="397"/>
      <c r="I487" s="383">
        <v>80200</v>
      </c>
      <c r="J487" s="398">
        <v>148673</v>
      </c>
      <c r="K487" s="399" t="s">
        <v>70</v>
      </c>
      <c r="L487" s="399" t="s">
        <v>34</v>
      </c>
      <c r="M487" s="399">
        <v>20</v>
      </c>
      <c r="N487" s="356">
        <v>80200</v>
      </c>
      <c r="O487" s="28" t="b">
        <f t="shared" si="31"/>
        <v>1</v>
      </c>
    </row>
    <row r="488" spans="2:15" s="28" customFormat="1" ht="16.5" customHeight="1">
      <c r="B488" s="20"/>
      <c r="C488" s="20"/>
      <c r="D488" s="254"/>
      <c r="E488" s="379">
        <v>144355</v>
      </c>
      <c r="F488" s="395" t="s">
        <v>775</v>
      </c>
      <c r="G488" s="396"/>
      <c r="H488" s="397"/>
      <c r="I488" s="383">
        <v>670000</v>
      </c>
      <c r="J488" s="398">
        <v>144355</v>
      </c>
      <c r="K488" s="399" t="s">
        <v>71</v>
      </c>
      <c r="L488" s="399" t="s">
        <v>34</v>
      </c>
      <c r="M488" s="399">
        <v>200</v>
      </c>
      <c r="N488" s="356">
        <v>670000</v>
      </c>
      <c r="O488" s="28" t="b">
        <f t="shared" si="31"/>
        <v>1</v>
      </c>
    </row>
    <row r="489" spans="2:15" s="28" customFormat="1" ht="16.5" customHeight="1">
      <c r="B489" s="20"/>
      <c r="C489" s="20"/>
      <c r="D489" s="254"/>
      <c r="E489" s="379">
        <v>148669</v>
      </c>
      <c r="F489" s="395" t="s">
        <v>755</v>
      </c>
      <c r="G489" s="396"/>
      <c r="H489" s="397"/>
      <c r="I489" s="383">
        <v>71700</v>
      </c>
      <c r="J489" s="398">
        <v>148669</v>
      </c>
      <c r="K489" s="399" t="s">
        <v>70</v>
      </c>
      <c r="L489" s="399" t="s">
        <v>34</v>
      </c>
      <c r="M489" s="399">
        <v>20</v>
      </c>
      <c r="N489" s="356">
        <v>71700</v>
      </c>
      <c r="O489" s="28" t="b">
        <f t="shared" si="31"/>
        <v>1</v>
      </c>
    </row>
    <row r="490" spans="2:15" s="28" customFormat="1" ht="16.5" customHeight="1">
      <c r="B490" s="20"/>
      <c r="C490" s="20"/>
      <c r="D490" s="254"/>
      <c r="E490" s="379">
        <v>144358</v>
      </c>
      <c r="F490" s="395" t="s">
        <v>754</v>
      </c>
      <c r="G490" s="396"/>
      <c r="H490" s="397"/>
      <c r="I490" s="383">
        <v>670000</v>
      </c>
      <c r="J490" s="398">
        <v>144358</v>
      </c>
      <c r="K490" s="399" t="s">
        <v>71</v>
      </c>
      <c r="L490" s="399" t="s">
        <v>34</v>
      </c>
      <c r="M490" s="399">
        <v>200</v>
      </c>
      <c r="N490" s="356">
        <v>670000</v>
      </c>
      <c r="O490" s="28" t="b">
        <f t="shared" si="31"/>
        <v>1</v>
      </c>
    </row>
    <row r="491" spans="2:15" s="28" customFormat="1" ht="16.5" customHeight="1">
      <c r="B491" s="20"/>
      <c r="C491" s="20"/>
      <c r="D491" s="254"/>
      <c r="E491" s="379">
        <v>148670</v>
      </c>
      <c r="F491" s="395" t="s">
        <v>776</v>
      </c>
      <c r="G491" s="396"/>
      <c r="H491" s="397"/>
      <c r="I491" s="383">
        <v>71700</v>
      </c>
      <c r="J491" s="398">
        <v>148670</v>
      </c>
      <c r="K491" s="399" t="s">
        <v>70</v>
      </c>
      <c r="L491" s="399" t="s">
        <v>34</v>
      </c>
      <c r="M491" s="399">
        <v>20</v>
      </c>
      <c r="N491" s="356">
        <v>71700</v>
      </c>
      <c r="O491" s="28" t="b">
        <f t="shared" si="31"/>
        <v>1</v>
      </c>
    </row>
    <row r="492" spans="2:15" s="28" customFormat="1" ht="16.5" customHeight="1">
      <c r="B492" s="20"/>
      <c r="C492" s="20"/>
      <c r="D492" s="254"/>
      <c r="E492" s="379">
        <v>144361</v>
      </c>
      <c r="F492" s="395" t="s">
        <v>778</v>
      </c>
      <c r="G492" s="396"/>
      <c r="H492" s="397"/>
      <c r="I492" s="383">
        <v>670000</v>
      </c>
      <c r="J492" s="398">
        <v>144361</v>
      </c>
      <c r="K492" s="399" t="s">
        <v>71</v>
      </c>
      <c r="L492" s="399" t="s">
        <v>34</v>
      </c>
      <c r="M492" s="399">
        <v>200</v>
      </c>
      <c r="N492" s="356">
        <v>670000</v>
      </c>
      <c r="O492" s="28" t="b">
        <f t="shared" si="31"/>
        <v>1</v>
      </c>
    </row>
    <row r="493" spans="2:15" s="28" customFormat="1" ht="16.5" customHeight="1">
      <c r="B493" s="20"/>
      <c r="C493" s="20"/>
      <c r="D493" s="254"/>
      <c r="E493" s="379">
        <v>148671</v>
      </c>
      <c r="F493" s="395" t="s">
        <v>777</v>
      </c>
      <c r="G493" s="396"/>
      <c r="H493" s="397"/>
      <c r="I493" s="383">
        <v>71700</v>
      </c>
      <c r="J493" s="398">
        <v>148671</v>
      </c>
      <c r="K493" s="399" t="s">
        <v>70</v>
      </c>
      <c r="L493" s="399" t="s">
        <v>34</v>
      </c>
      <c r="M493" s="399">
        <v>20</v>
      </c>
      <c r="N493" s="356">
        <v>71700</v>
      </c>
      <c r="O493" s="28" t="b">
        <f t="shared" si="31"/>
        <v>1</v>
      </c>
    </row>
    <row r="494" spans="2:15" s="28" customFormat="1" ht="16.5" customHeight="1">
      <c r="B494" s="20"/>
      <c r="C494" s="20"/>
      <c r="D494" s="254"/>
      <c r="E494" s="379">
        <v>144355</v>
      </c>
      <c r="F494" s="395" t="s">
        <v>775</v>
      </c>
      <c r="G494" s="396"/>
      <c r="H494" s="397"/>
      <c r="I494" s="383">
        <v>670000</v>
      </c>
      <c r="J494" s="398">
        <v>144355</v>
      </c>
      <c r="K494" s="399" t="s">
        <v>71</v>
      </c>
      <c r="L494" s="399" t="s">
        <v>34</v>
      </c>
      <c r="M494" s="399">
        <v>200</v>
      </c>
      <c r="N494" s="356">
        <v>670000</v>
      </c>
      <c r="O494" s="28" t="b">
        <f t="shared" si="31"/>
        <v>1</v>
      </c>
    </row>
    <row r="495" spans="2:15" s="28" customFormat="1" ht="16.5" customHeight="1">
      <c r="B495" s="20"/>
      <c r="C495" s="20"/>
      <c r="D495" s="254"/>
      <c r="E495" s="379">
        <v>148669</v>
      </c>
      <c r="F495" s="395" t="s">
        <v>755</v>
      </c>
      <c r="G495" s="396"/>
      <c r="H495" s="397"/>
      <c r="I495" s="383">
        <v>71700</v>
      </c>
      <c r="J495" s="398">
        <v>148669</v>
      </c>
      <c r="K495" s="399" t="s">
        <v>70</v>
      </c>
      <c r="L495" s="399" t="s">
        <v>34</v>
      </c>
      <c r="M495" s="399">
        <v>20</v>
      </c>
      <c r="N495" s="356">
        <v>71700</v>
      </c>
      <c r="O495" s="28" t="b">
        <f t="shared" si="31"/>
        <v>1</v>
      </c>
    </row>
    <row r="496" spans="2:15" s="28" customFormat="1" ht="16.5" customHeight="1">
      <c r="B496" s="20"/>
      <c r="C496" s="20"/>
      <c r="D496" s="254"/>
      <c r="E496" s="379">
        <v>144358</v>
      </c>
      <c r="F496" s="395" t="s">
        <v>754</v>
      </c>
      <c r="G496" s="396"/>
      <c r="H496" s="397"/>
      <c r="I496" s="383">
        <v>670000</v>
      </c>
      <c r="J496" s="398">
        <v>144358</v>
      </c>
      <c r="K496" s="399" t="s">
        <v>71</v>
      </c>
      <c r="L496" s="399" t="s">
        <v>34</v>
      </c>
      <c r="M496" s="399">
        <v>200</v>
      </c>
      <c r="N496" s="356">
        <v>670000</v>
      </c>
      <c r="O496" s="28" t="b">
        <f t="shared" si="31"/>
        <v>1</v>
      </c>
    </row>
    <row r="497" spans="2:22" s="28" customFormat="1" ht="16.5" customHeight="1">
      <c r="B497" s="20"/>
      <c r="C497" s="20"/>
      <c r="D497" s="254"/>
      <c r="E497" s="379">
        <v>148670</v>
      </c>
      <c r="F497" s="395" t="s">
        <v>776</v>
      </c>
      <c r="G497" s="396"/>
      <c r="H497" s="397"/>
      <c r="I497" s="383">
        <v>71700</v>
      </c>
      <c r="J497" s="398">
        <v>148670</v>
      </c>
      <c r="K497" s="399" t="s">
        <v>70</v>
      </c>
      <c r="L497" s="399" t="s">
        <v>34</v>
      </c>
      <c r="M497" s="399">
        <v>20</v>
      </c>
      <c r="N497" s="356">
        <v>71700</v>
      </c>
      <c r="O497" s="28" t="b">
        <f t="shared" si="31"/>
        <v>1</v>
      </c>
    </row>
    <row r="498" spans="2:22" s="28" customFormat="1" ht="16.5" customHeight="1">
      <c r="B498" s="20"/>
      <c r="C498" s="20"/>
      <c r="D498" s="254"/>
      <c r="E498" s="379">
        <v>144361</v>
      </c>
      <c r="F498" s="395" t="s">
        <v>778</v>
      </c>
      <c r="G498" s="396"/>
      <c r="H498" s="397"/>
      <c r="I498" s="383">
        <v>670000</v>
      </c>
      <c r="J498" s="398">
        <v>144361</v>
      </c>
      <c r="K498" s="399" t="s">
        <v>71</v>
      </c>
      <c r="L498" s="399" t="s">
        <v>34</v>
      </c>
      <c r="M498" s="399">
        <v>200</v>
      </c>
      <c r="N498" s="356">
        <v>670000</v>
      </c>
      <c r="O498" s="28" t="b">
        <f t="shared" si="31"/>
        <v>1</v>
      </c>
    </row>
    <row r="499" spans="2:22" s="28" customFormat="1" ht="16.5" customHeight="1">
      <c r="B499" s="20"/>
      <c r="C499" s="20"/>
      <c r="D499" s="254"/>
      <c r="E499" s="379">
        <v>148671</v>
      </c>
      <c r="F499" s="395" t="s">
        <v>777</v>
      </c>
      <c r="G499" s="396"/>
      <c r="H499" s="397"/>
      <c r="I499" s="383">
        <v>71700</v>
      </c>
      <c r="J499" s="398">
        <v>148671</v>
      </c>
      <c r="K499" s="399" t="s">
        <v>70</v>
      </c>
      <c r="L499" s="399" t="s">
        <v>34</v>
      </c>
      <c r="M499" s="399">
        <v>20</v>
      </c>
      <c r="N499" s="356">
        <v>71700</v>
      </c>
      <c r="O499" s="28" t="b">
        <f t="shared" si="31"/>
        <v>1</v>
      </c>
    </row>
    <row r="500" spans="2:22" s="28" customFormat="1" ht="16.5" customHeight="1">
      <c r="B500" s="20"/>
      <c r="C500" s="20"/>
      <c r="D500" s="254"/>
      <c r="E500" s="379">
        <v>144270</v>
      </c>
      <c r="F500" s="395" t="s">
        <v>843</v>
      </c>
      <c r="G500" s="396"/>
      <c r="H500" s="397"/>
      <c r="I500" s="383">
        <v>1005000</v>
      </c>
      <c r="J500" s="398">
        <v>144270</v>
      </c>
      <c r="K500" s="399" t="s">
        <v>71</v>
      </c>
      <c r="L500" s="399" t="s">
        <v>34</v>
      </c>
      <c r="M500" s="399">
        <v>200</v>
      </c>
      <c r="N500" s="356">
        <v>1005000</v>
      </c>
      <c r="O500" s="28" t="b">
        <f t="shared" si="31"/>
        <v>1</v>
      </c>
    </row>
    <row r="501" spans="2:22" s="28" customFormat="1" ht="16.5" customHeight="1">
      <c r="B501" s="20"/>
      <c r="C501" s="20"/>
      <c r="D501" s="254"/>
      <c r="E501" s="379">
        <v>135441</v>
      </c>
      <c r="F501" s="395" t="s">
        <v>298</v>
      </c>
      <c r="G501" s="396"/>
      <c r="H501" s="397"/>
      <c r="I501" s="383">
        <v>287000</v>
      </c>
      <c r="J501" s="398">
        <v>135441</v>
      </c>
      <c r="K501" s="399" t="s">
        <v>70</v>
      </c>
      <c r="L501" s="399" t="s">
        <v>34</v>
      </c>
      <c r="M501" s="399">
        <v>20</v>
      </c>
      <c r="N501" s="356">
        <v>287000</v>
      </c>
      <c r="O501" s="28" t="b">
        <f t="shared" si="31"/>
        <v>1</v>
      </c>
    </row>
    <row r="502" spans="2:22" s="28" customFormat="1" ht="16.5" customHeight="1">
      <c r="B502" s="20"/>
      <c r="C502" s="20"/>
      <c r="D502" s="254"/>
      <c r="E502" s="379">
        <v>128430</v>
      </c>
      <c r="F502" s="395" t="s">
        <v>847</v>
      </c>
      <c r="G502" s="396"/>
      <c r="H502" s="397"/>
      <c r="I502" s="383">
        <v>1800000</v>
      </c>
      <c r="J502" s="398">
        <v>128430</v>
      </c>
      <c r="K502" s="399" t="s">
        <v>71</v>
      </c>
      <c r="L502" s="399" t="s">
        <v>34</v>
      </c>
      <c r="M502" s="399">
        <v>181</v>
      </c>
      <c r="N502" s="356">
        <v>1800000</v>
      </c>
      <c r="O502" s="28" t="b">
        <f t="shared" si="31"/>
        <v>1</v>
      </c>
    </row>
    <row r="503" spans="2:22" s="28" customFormat="1" ht="16.5" customHeight="1">
      <c r="B503" s="20"/>
      <c r="C503" s="20"/>
      <c r="D503" s="254"/>
      <c r="E503" s="379">
        <v>141257</v>
      </c>
      <c r="F503" s="395" t="s">
        <v>856</v>
      </c>
      <c r="G503" s="396"/>
      <c r="H503" s="397"/>
      <c r="I503" s="383">
        <v>85932</v>
      </c>
      <c r="J503" s="398">
        <v>141257</v>
      </c>
      <c r="K503" s="378" t="s">
        <v>73</v>
      </c>
      <c r="L503" s="378" t="s">
        <v>35</v>
      </c>
      <c r="M503" s="399">
        <v>12</v>
      </c>
      <c r="N503" s="356" t="e">
        <v>#N/A</v>
      </c>
      <c r="V503" s="100"/>
    </row>
    <row r="504" spans="2:22" s="28" customFormat="1" ht="16.5" customHeight="1">
      <c r="B504" s="20"/>
      <c r="C504" s="20"/>
      <c r="D504" s="456"/>
      <c r="E504" s="411">
        <v>147122</v>
      </c>
      <c r="F504" s="395" t="s">
        <v>868</v>
      </c>
      <c r="G504" s="396"/>
      <c r="H504" s="397"/>
      <c r="I504" s="383">
        <v>51984</v>
      </c>
      <c r="J504" s="398">
        <v>147122</v>
      </c>
      <c r="K504" s="378" t="s">
        <v>73</v>
      </c>
      <c r="L504" s="399" t="s">
        <v>872</v>
      </c>
      <c r="M504" s="399">
        <v>12</v>
      </c>
      <c r="N504" s="356" t="e">
        <v>#N/A</v>
      </c>
      <c r="V504" s="100"/>
    </row>
    <row r="505" spans="2:22" s="28" customFormat="1" ht="16.5" customHeight="1">
      <c r="B505" s="20"/>
      <c r="C505" s="20"/>
      <c r="D505" s="254"/>
      <c r="E505" s="411">
        <v>140901</v>
      </c>
      <c r="F505" s="395" t="s">
        <v>98</v>
      </c>
      <c r="G505" s="396"/>
      <c r="H505" s="397"/>
      <c r="I505" s="383">
        <f>VLOOKUP(E505,'[1]Table 1'!$A$6:$C$21,3,0)</f>
        <v>88308</v>
      </c>
      <c r="J505" s="398">
        <v>140901</v>
      </c>
      <c r="K505" s="378" t="s">
        <v>73</v>
      </c>
      <c r="L505" s="399" t="s">
        <v>872</v>
      </c>
      <c r="M505" s="399">
        <v>20</v>
      </c>
      <c r="N505" s="356" t="e">
        <v>#N/A</v>
      </c>
      <c r="V505" s="100"/>
    </row>
    <row r="506" spans="2:22" s="28" customFormat="1" ht="16.5" customHeight="1">
      <c r="B506" s="20"/>
      <c r="C506" s="20"/>
      <c r="D506" s="254"/>
      <c r="E506" s="411">
        <v>140904</v>
      </c>
      <c r="F506" s="395" t="s">
        <v>859</v>
      </c>
      <c r="G506" s="396"/>
      <c r="H506" s="397"/>
      <c r="I506" s="383">
        <f>VLOOKUP(E506,'[1]Table 1'!$A$6:$C$21,3,0)</f>
        <v>96792</v>
      </c>
      <c r="J506" s="398">
        <v>140904</v>
      </c>
      <c r="K506" s="378" t="s">
        <v>73</v>
      </c>
      <c r="L506" s="399" t="s">
        <v>872</v>
      </c>
      <c r="M506" s="399">
        <v>20</v>
      </c>
      <c r="N506" s="356" t="e">
        <v>#N/A</v>
      </c>
      <c r="V506" s="100"/>
    </row>
    <row r="507" spans="2:22" s="28" customFormat="1" ht="16.5" customHeight="1">
      <c r="B507" s="20"/>
      <c r="C507" s="20"/>
      <c r="D507" s="457"/>
      <c r="E507" s="411">
        <v>147379</v>
      </c>
      <c r="F507" s="395" t="s">
        <v>862</v>
      </c>
      <c r="G507" s="396"/>
      <c r="H507" s="397"/>
      <c r="I507" s="383">
        <v>35928</v>
      </c>
      <c r="J507" s="398">
        <v>147379</v>
      </c>
      <c r="K507" s="378" t="s">
        <v>73</v>
      </c>
      <c r="L507" s="399" t="s">
        <v>872</v>
      </c>
      <c r="M507" s="399">
        <v>12</v>
      </c>
      <c r="N507" s="356"/>
      <c r="V507" s="100"/>
    </row>
    <row r="508" spans="2:22" s="28" customFormat="1" ht="16.5" customHeight="1">
      <c r="B508" s="20"/>
      <c r="C508" s="20"/>
      <c r="D508" s="255"/>
      <c r="E508" s="411">
        <v>138583</v>
      </c>
      <c r="F508" s="395" t="s">
        <v>740</v>
      </c>
      <c r="G508" s="396"/>
      <c r="H508" s="397"/>
      <c r="I508" s="383">
        <f>VLOOKUP(E508,'[1]Table 1'!$A$6:$C$21,3,0)</f>
        <v>44600</v>
      </c>
      <c r="J508" s="398">
        <v>138583</v>
      </c>
      <c r="K508" s="378" t="s">
        <v>73</v>
      </c>
      <c r="L508" s="399" t="s">
        <v>872</v>
      </c>
      <c r="M508" s="399">
        <v>12</v>
      </c>
      <c r="N508" s="356"/>
      <c r="V508" s="100"/>
    </row>
    <row r="509" spans="2:22" s="28" customFormat="1" ht="16.5" customHeight="1">
      <c r="B509" s="20"/>
      <c r="C509" s="20"/>
      <c r="D509" s="255"/>
      <c r="E509" s="411">
        <v>140876</v>
      </c>
      <c r="F509" s="395" t="s">
        <v>105</v>
      </c>
      <c r="G509" s="396"/>
      <c r="H509" s="397"/>
      <c r="I509" s="383">
        <f>VLOOKUP(E509,'[1]Table 1'!$A$6:$C$21,3,0)</f>
        <v>529893</v>
      </c>
      <c r="J509" s="398">
        <v>140876</v>
      </c>
      <c r="K509" s="399" t="s">
        <v>70</v>
      </c>
      <c r="L509" s="399" t="s">
        <v>872</v>
      </c>
      <c r="M509" s="399">
        <v>20</v>
      </c>
      <c r="N509" s="356"/>
      <c r="V509" s="100"/>
    </row>
    <row r="510" spans="2:22" s="28" customFormat="1" ht="16.5" customHeight="1">
      <c r="B510" s="20"/>
      <c r="C510" s="20"/>
      <c r="D510" s="255"/>
      <c r="E510" s="411">
        <v>140877</v>
      </c>
      <c r="F510" s="395" t="s">
        <v>99</v>
      </c>
      <c r="G510" s="396"/>
      <c r="H510" s="397"/>
      <c r="I510" s="383">
        <f>VLOOKUP(E510,'[1]Table 1'!$A$6:$C$21,3,0)</f>
        <v>80739</v>
      </c>
      <c r="J510" s="398">
        <v>140877</v>
      </c>
      <c r="K510" s="399" t="s">
        <v>70</v>
      </c>
      <c r="L510" s="399" t="s">
        <v>872</v>
      </c>
      <c r="M510" s="399">
        <v>20</v>
      </c>
      <c r="N510" s="356"/>
      <c r="V510" s="100"/>
    </row>
    <row r="511" spans="2:22" s="28" customFormat="1" ht="16.5" customHeight="1">
      <c r="B511" s="20"/>
      <c r="C511" s="20"/>
      <c r="D511" s="255"/>
      <c r="E511" s="411">
        <v>140878</v>
      </c>
      <c r="F511" s="395" t="s">
        <v>860</v>
      </c>
      <c r="G511" s="396"/>
      <c r="H511" s="397"/>
      <c r="I511" s="383">
        <f>VLOOKUP(E511,'[1]Table 1'!$A$6:$C$21,3,0)</f>
        <v>121830</v>
      </c>
      <c r="J511" s="398">
        <v>140878</v>
      </c>
      <c r="K511" s="399" t="s">
        <v>70</v>
      </c>
      <c r="L511" s="399" t="s">
        <v>872</v>
      </c>
      <c r="M511" s="399">
        <v>20</v>
      </c>
      <c r="N511" s="356"/>
      <c r="V511" s="100"/>
    </row>
    <row r="512" spans="2:22" s="28" customFormat="1" ht="16.5" customHeight="1">
      <c r="B512" s="20"/>
      <c r="C512" s="20"/>
      <c r="D512" s="255"/>
      <c r="E512" s="411">
        <v>140922</v>
      </c>
      <c r="F512" s="395" t="s">
        <v>94</v>
      </c>
      <c r="G512" s="396"/>
      <c r="H512" s="397"/>
      <c r="I512" s="383">
        <f>VLOOKUP(E512,'[1]Table 1'!$A$6:$C$21,3,0)</f>
        <v>210521</v>
      </c>
      <c r="J512" s="398">
        <v>140922</v>
      </c>
      <c r="K512" s="399" t="s">
        <v>70</v>
      </c>
      <c r="L512" s="399" t="s">
        <v>872</v>
      </c>
      <c r="M512" s="399">
        <v>20</v>
      </c>
      <c r="N512" s="356"/>
      <c r="V512" s="100"/>
    </row>
    <row r="513" spans="2:24" s="28" customFormat="1" ht="16.5" customHeight="1">
      <c r="B513" s="20"/>
      <c r="C513" s="20"/>
      <c r="D513" s="255"/>
      <c r="E513" s="411">
        <v>140902</v>
      </c>
      <c r="F513" s="395" t="s">
        <v>95</v>
      </c>
      <c r="G513" s="396"/>
      <c r="H513" s="397"/>
      <c r="I513" s="383">
        <f>VLOOKUP(E513,'[1]Table 1'!$A$6:$C$21,3,0)</f>
        <v>870316</v>
      </c>
      <c r="J513" s="398">
        <v>140902</v>
      </c>
      <c r="K513" s="399" t="s">
        <v>71</v>
      </c>
      <c r="L513" s="399" t="s">
        <v>872</v>
      </c>
      <c r="M513" s="399">
        <v>200</v>
      </c>
      <c r="N513" s="356"/>
      <c r="V513" s="100"/>
    </row>
    <row r="514" spans="2:24" s="28" customFormat="1" ht="16.5" customHeight="1">
      <c r="B514" s="20"/>
      <c r="C514" s="20"/>
      <c r="D514" s="255"/>
      <c r="E514" s="411">
        <v>140905</v>
      </c>
      <c r="F514" s="395" t="s">
        <v>96</v>
      </c>
      <c r="G514" s="396"/>
      <c r="H514" s="397"/>
      <c r="I514" s="383">
        <f>VLOOKUP(E514,'[1]Table 1'!$A$6:$C$21,3,0)</f>
        <v>874413</v>
      </c>
      <c r="J514" s="398">
        <v>140905</v>
      </c>
      <c r="K514" s="399" t="s">
        <v>71</v>
      </c>
      <c r="L514" s="399" t="s">
        <v>872</v>
      </c>
      <c r="M514" s="399">
        <v>200</v>
      </c>
      <c r="N514" s="356"/>
      <c r="V514" s="100"/>
    </row>
    <row r="515" spans="2:24" s="28" customFormat="1" ht="16.5" customHeight="1">
      <c r="B515" s="20"/>
      <c r="C515" s="20"/>
      <c r="D515" s="457"/>
      <c r="E515" s="411">
        <v>147284</v>
      </c>
      <c r="F515" s="395" t="s">
        <v>837</v>
      </c>
      <c r="G515" s="396"/>
      <c r="H515" s="397"/>
      <c r="I515" s="383">
        <v>526308</v>
      </c>
      <c r="J515" s="398">
        <v>147284</v>
      </c>
      <c r="K515" s="399" t="s">
        <v>71</v>
      </c>
      <c r="L515" s="399" t="s">
        <v>872</v>
      </c>
      <c r="M515" s="399">
        <v>208</v>
      </c>
      <c r="N515" s="356"/>
      <c r="V515" s="100"/>
    </row>
    <row r="516" spans="2:24" s="28" customFormat="1" ht="16.5" customHeight="1">
      <c r="B516" s="20"/>
      <c r="C516" s="20"/>
      <c r="D516" s="456"/>
      <c r="E516" s="411">
        <v>147391</v>
      </c>
      <c r="F516" s="395" t="s">
        <v>838</v>
      </c>
      <c r="G516" s="396"/>
      <c r="H516" s="397"/>
      <c r="I516" s="383">
        <v>518741</v>
      </c>
      <c r="J516" s="398">
        <v>147391</v>
      </c>
      <c r="K516" s="399" t="s">
        <v>71</v>
      </c>
      <c r="L516" s="399" t="s">
        <v>872</v>
      </c>
      <c r="M516" s="399">
        <v>208</v>
      </c>
      <c r="N516" s="356"/>
      <c r="V516" s="100"/>
    </row>
    <row r="517" spans="2:24" s="28" customFormat="1" ht="16.5" customHeight="1">
      <c r="B517" s="20"/>
      <c r="C517" s="20"/>
      <c r="D517" s="254"/>
      <c r="E517" s="411">
        <v>144515</v>
      </c>
      <c r="F517" s="395" t="s">
        <v>839</v>
      </c>
      <c r="G517" s="396"/>
      <c r="H517" s="397"/>
      <c r="I517" s="383">
        <v>631617</v>
      </c>
      <c r="J517" s="398">
        <v>144515</v>
      </c>
      <c r="K517" s="399" t="s">
        <v>71</v>
      </c>
      <c r="L517" s="399" t="s">
        <v>872</v>
      </c>
      <c r="M517" s="399">
        <v>208</v>
      </c>
      <c r="N517" s="356"/>
      <c r="V517" s="100"/>
    </row>
    <row r="518" spans="2:24" s="28" customFormat="1" ht="16.5" customHeight="1">
      <c r="B518" s="20"/>
      <c r="C518" s="20"/>
      <c r="D518" s="456"/>
      <c r="E518" s="411">
        <v>147370</v>
      </c>
      <c r="F518" s="395" t="s">
        <v>839</v>
      </c>
      <c r="G518" s="396"/>
      <c r="H518" s="397"/>
      <c r="I518" s="383">
        <v>523786</v>
      </c>
      <c r="J518" s="398">
        <v>147370</v>
      </c>
      <c r="K518" s="399" t="s">
        <v>71</v>
      </c>
      <c r="L518" s="399" t="s">
        <v>872</v>
      </c>
      <c r="M518" s="399">
        <v>208</v>
      </c>
      <c r="N518" s="356"/>
      <c r="V518" s="100"/>
    </row>
    <row r="519" spans="2:24" s="28" customFormat="1" ht="16.5" customHeight="1">
      <c r="B519" s="20"/>
      <c r="C519" s="20"/>
      <c r="D519" s="254"/>
      <c r="E519" s="411">
        <v>140597</v>
      </c>
      <c r="F519" s="395" t="s">
        <v>869</v>
      </c>
      <c r="G519" s="396"/>
      <c r="H519" s="397"/>
      <c r="I519" s="383">
        <v>124000</v>
      </c>
      <c r="J519" s="398">
        <v>140597</v>
      </c>
      <c r="K519" s="378" t="s">
        <v>73</v>
      </c>
      <c r="L519" s="399" t="s">
        <v>872</v>
      </c>
      <c r="M519" s="399">
        <v>12</v>
      </c>
      <c r="N519" s="356"/>
      <c r="V519" s="100"/>
    </row>
    <row r="520" spans="2:24" s="28" customFormat="1" ht="16.5" customHeight="1">
      <c r="B520" s="20"/>
      <c r="C520" s="20"/>
      <c r="D520" s="254"/>
      <c r="E520" s="411">
        <v>147279</v>
      </c>
      <c r="F520" s="395" t="s">
        <v>870</v>
      </c>
      <c r="G520" s="396"/>
      <c r="H520" s="397"/>
      <c r="I520" s="383">
        <f>VLOOKUP(E520,'[1]Table 1'!$A$6:$C$21,3,0)</f>
        <v>50796</v>
      </c>
      <c r="J520" s="398">
        <v>147279</v>
      </c>
      <c r="K520" s="378" t="s">
        <v>73</v>
      </c>
      <c r="L520" s="399" t="s">
        <v>872</v>
      </c>
      <c r="M520" s="399">
        <v>12</v>
      </c>
      <c r="N520" s="356"/>
      <c r="V520" s="100"/>
    </row>
    <row r="521" spans="2:24" s="28" customFormat="1" ht="16.5" customHeight="1">
      <c r="B521" s="20"/>
      <c r="C521" s="20"/>
      <c r="D521" s="254"/>
      <c r="E521" s="411">
        <v>141257</v>
      </c>
      <c r="F521" s="395" t="s">
        <v>871</v>
      </c>
      <c r="G521" s="396"/>
      <c r="H521" s="397"/>
      <c r="I521" s="383">
        <f>VLOOKUP(E521,'[1]Table 1'!$A$6:$C$21,3,0)</f>
        <v>82344</v>
      </c>
      <c r="J521" s="398">
        <v>141257</v>
      </c>
      <c r="K521" s="378" t="s">
        <v>73</v>
      </c>
      <c r="L521" s="399" t="s">
        <v>872</v>
      </c>
      <c r="M521" s="399">
        <v>12</v>
      </c>
      <c r="N521" s="356"/>
      <c r="V521" s="100"/>
    </row>
    <row r="522" spans="2:24" s="28" customFormat="1" ht="16.5" customHeight="1">
      <c r="B522" s="20"/>
      <c r="C522" s="20"/>
      <c r="D522" s="254"/>
      <c r="E522" s="379">
        <v>140909</v>
      </c>
      <c r="F522" s="395" t="s">
        <v>862</v>
      </c>
      <c r="G522" s="396"/>
      <c r="H522" s="397"/>
      <c r="I522" s="383">
        <v>45528</v>
      </c>
      <c r="J522" s="379">
        <v>140909</v>
      </c>
      <c r="K522" s="378" t="s">
        <v>73</v>
      </c>
      <c r="L522" s="399" t="s">
        <v>872</v>
      </c>
      <c r="M522" s="399">
        <v>12</v>
      </c>
      <c r="N522" s="356"/>
      <c r="V522" s="100"/>
    </row>
    <row r="523" spans="2:24" s="28" customFormat="1" ht="16.5" customHeight="1">
      <c r="B523" s="20"/>
      <c r="C523" s="20"/>
      <c r="D523" s="448"/>
      <c r="E523" s="32">
        <v>135477</v>
      </c>
      <c r="F523" s="37" t="s">
        <v>900</v>
      </c>
      <c r="G523" s="34"/>
      <c r="H523" s="35"/>
      <c r="I523" s="62">
        <v>2142400</v>
      </c>
      <c r="J523" s="33">
        <v>135477</v>
      </c>
      <c r="K523" s="32" t="s">
        <v>71</v>
      </c>
      <c r="L523" s="32" t="s">
        <v>35</v>
      </c>
      <c r="M523" s="32">
        <v>208</v>
      </c>
      <c r="N523" s="356"/>
      <c r="R523" s="43"/>
      <c r="S523" s="43"/>
      <c r="T523" s="43"/>
      <c r="U523" s="449"/>
      <c r="V523" s="449"/>
      <c r="W523" s="43"/>
      <c r="X523" s="42"/>
    </row>
    <row r="524" spans="2:24" s="28" customFormat="1" ht="16.5" customHeight="1">
      <c r="B524" s="20"/>
      <c r="C524" s="20"/>
      <c r="D524" s="456"/>
      <c r="E524" s="411">
        <v>147966</v>
      </c>
      <c r="F524" s="395" t="s">
        <v>870</v>
      </c>
      <c r="G524" s="396"/>
      <c r="H524" s="397"/>
      <c r="I524" s="383">
        <v>48876</v>
      </c>
      <c r="J524" s="398">
        <v>147279</v>
      </c>
      <c r="K524" s="378" t="s">
        <v>73</v>
      </c>
      <c r="L524" s="399" t="s">
        <v>872</v>
      </c>
      <c r="M524" s="399">
        <v>12</v>
      </c>
      <c r="N524" s="356"/>
      <c r="V524" s="100"/>
    </row>
    <row r="525" spans="2:24" s="28" customFormat="1" ht="16.5" customHeight="1">
      <c r="B525" s="20"/>
      <c r="C525" s="20"/>
      <c r="D525" s="456"/>
      <c r="E525" s="379">
        <v>147829</v>
      </c>
      <c r="F525" s="395" t="s">
        <v>913</v>
      </c>
      <c r="G525" s="396"/>
      <c r="H525" s="397"/>
      <c r="I525" s="383">
        <v>80160</v>
      </c>
      <c r="J525" s="398">
        <v>147829</v>
      </c>
      <c r="K525" s="378" t="s">
        <v>73</v>
      </c>
      <c r="L525" s="399" t="s">
        <v>872</v>
      </c>
      <c r="M525" s="399">
        <v>12</v>
      </c>
      <c r="N525" s="356"/>
      <c r="V525" s="100"/>
    </row>
    <row r="526" spans="2:24" s="28" customFormat="1" ht="16.5" customHeight="1">
      <c r="B526" s="20"/>
      <c r="C526" s="20"/>
      <c r="D526" s="457"/>
      <c r="E526" s="379">
        <v>148692</v>
      </c>
      <c r="F526" s="395" t="s">
        <v>1059</v>
      </c>
      <c r="G526" s="460"/>
      <c r="H526" s="461"/>
      <c r="I526" s="462">
        <v>48876</v>
      </c>
      <c r="J526" s="398">
        <v>148692</v>
      </c>
      <c r="K526" s="378" t="s">
        <v>73</v>
      </c>
      <c r="L526" s="399" t="s">
        <v>872</v>
      </c>
      <c r="M526" s="399">
        <v>12</v>
      </c>
      <c r="N526" s="356"/>
      <c r="V526" s="100"/>
    </row>
    <row r="527" spans="2:24" s="28" customFormat="1" ht="16.5" customHeight="1">
      <c r="B527" s="20"/>
      <c r="C527" s="20"/>
      <c r="D527" s="254"/>
      <c r="E527" s="379">
        <v>148789</v>
      </c>
      <c r="F527" s="395" t="s">
        <v>1060</v>
      </c>
      <c r="G527" s="396"/>
      <c r="H527" s="397"/>
      <c r="I527" s="383">
        <v>743243</v>
      </c>
      <c r="J527" s="398">
        <v>148789</v>
      </c>
      <c r="K527" s="32" t="s">
        <v>71</v>
      </c>
      <c r="L527" s="399" t="s">
        <v>872</v>
      </c>
      <c r="M527" s="399">
        <v>208</v>
      </c>
      <c r="N527" s="356"/>
      <c r="V527" s="100"/>
    </row>
    <row r="528" spans="2:24" s="28" customFormat="1" ht="16.5" customHeight="1">
      <c r="B528" s="20"/>
      <c r="C528" s="20"/>
      <c r="D528" s="254"/>
      <c r="E528" s="379"/>
      <c r="F528" s="395"/>
      <c r="G528" s="396"/>
      <c r="H528" s="397"/>
      <c r="I528" s="383"/>
      <c r="J528" s="398"/>
      <c r="K528" s="399"/>
      <c r="L528" s="399"/>
      <c r="M528" s="399"/>
      <c r="N528" s="356"/>
      <c r="V528" s="100"/>
    </row>
    <row r="529" spans="2:26" s="28" customFormat="1" ht="16.5" customHeight="1">
      <c r="B529" s="20"/>
      <c r="C529" s="20"/>
      <c r="D529" s="254"/>
      <c r="E529" s="379"/>
      <c r="F529" s="395"/>
      <c r="G529" s="396"/>
      <c r="H529" s="397"/>
      <c r="I529" s="383"/>
      <c r="J529" s="398"/>
      <c r="K529" s="399"/>
      <c r="L529" s="399"/>
      <c r="M529" s="399"/>
      <c r="N529" s="356"/>
      <c r="V529" s="100"/>
    </row>
    <row r="530" spans="2:26" s="28" customFormat="1" ht="16.5" customHeight="1">
      <c r="B530" s="20"/>
      <c r="C530" s="20"/>
      <c r="D530" s="254"/>
      <c r="E530" s="379"/>
      <c r="F530" s="395"/>
      <c r="G530" s="396"/>
      <c r="H530" s="397"/>
      <c r="I530" s="383"/>
      <c r="J530" s="398"/>
      <c r="K530" s="399"/>
      <c r="L530" s="399"/>
      <c r="M530" s="399"/>
      <c r="N530" s="356"/>
      <c r="V530" s="100"/>
    </row>
    <row r="531" spans="2:26" s="28" customFormat="1" ht="16.5" customHeight="1">
      <c r="B531" s="20"/>
      <c r="C531" s="20"/>
      <c r="D531" s="254"/>
      <c r="E531" s="379"/>
      <c r="F531" s="395"/>
      <c r="G531" s="396"/>
      <c r="H531" s="397"/>
      <c r="I531" s="383"/>
      <c r="J531" s="398"/>
      <c r="K531" s="399"/>
      <c r="L531" s="399"/>
      <c r="M531" s="399"/>
      <c r="N531" s="356"/>
      <c r="V531" s="100"/>
    </row>
    <row r="532" spans="2:26" s="28" customFormat="1" ht="16.5" customHeight="1">
      <c r="B532" s="20"/>
      <c r="C532" s="20"/>
      <c r="D532" s="254"/>
      <c r="E532" s="379"/>
      <c r="F532" s="395"/>
      <c r="G532" s="396"/>
      <c r="H532" s="397"/>
      <c r="I532" s="383"/>
      <c r="J532" s="398"/>
      <c r="K532" s="399"/>
      <c r="L532" s="399"/>
      <c r="M532" s="399"/>
      <c r="N532" s="356"/>
      <c r="V532" s="100"/>
    </row>
    <row r="533" spans="2:26" s="28" customFormat="1" ht="16.5" customHeight="1">
      <c r="B533" s="20"/>
      <c r="C533" s="20"/>
      <c r="D533" s="254"/>
      <c r="E533" s="379"/>
      <c r="F533" s="395"/>
      <c r="G533" s="396"/>
      <c r="H533" s="397"/>
      <c r="I533" s="383"/>
      <c r="J533" s="398"/>
      <c r="K533" s="399"/>
      <c r="L533" s="399"/>
      <c r="M533" s="399"/>
      <c r="N533" s="356"/>
      <c r="V533" s="100"/>
    </row>
    <row r="534" spans="2:26" s="28" customFormat="1" ht="16.5" customHeight="1">
      <c r="B534" s="20"/>
      <c r="C534" s="20"/>
      <c r="D534" s="254"/>
      <c r="E534" s="379"/>
      <c r="F534" s="395"/>
      <c r="G534" s="396"/>
      <c r="H534" s="397"/>
      <c r="I534" s="383"/>
      <c r="J534" s="398"/>
      <c r="K534" s="399"/>
      <c r="L534" s="399"/>
      <c r="M534" s="399"/>
      <c r="N534" s="356"/>
      <c r="V534" s="100"/>
    </row>
    <row r="535" spans="2:26">
      <c r="U535" s="12"/>
      <c r="V535" s="59"/>
      <c r="W535"/>
      <c r="X535"/>
      <c r="Y535"/>
      <c r="Z535"/>
    </row>
    <row r="536" spans="2:26">
      <c r="U536" s="12"/>
      <c r="V536" s="59"/>
      <c r="W536"/>
      <c r="X536"/>
      <c r="Y536"/>
      <c r="Z536"/>
    </row>
    <row r="537" spans="2:26">
      <c r="U537" s="12"/>
      <c r="V537" s="59"/>
      <c r="W537"/>
      <c r="X537"/>
      <c r="Y537"/>
      <c r="Z537"/>
    </row>
    <row r="538" spans="2:26">
      <c r="U538" s="12"/>
      <c r="V538" s="59"/>
      <c r="W538"/>
      <c r="X538"/>
      <c r="Y538"/>
      <c r="Z538"/>
    </row>
    <row r="539" spans="2:26">
      <c r="U539" s="12"/>
      <c r="V539" s="59"/>
      <c r="W539"/>
      <c r="X539"/>
      <c r="Y539"/>
      <c r="Z539"/>
    </row>
    <row r="540" spans="2:26">
      <c r="U540" s="12"/>
      <c r="V540" s="59"/>
      <c r="W540"/>
      <c r="X540"/>
      <c r="Y540"/>
      <c r="Z540"/>
    </row>
    <row r="541" spans="2:26">
      <c r="U541" s="12"/>
      <c r="V541" s="59"/>
      <c r="W541"/>
      <c r="X541"/>
      <c r="Y541"/>
      <c r="Z541"/>
    </row>
    <row r="542" spans="2:26">
      <c r="U542" s="12"/>
      <c r="V542" s="59"/>
      <c r="W542"/>
      <c r="X542"/>
      <c r="Y542"/>
      <c r="Z542"/>
    </row>
    <row r="543" spans="2:26">
      <c r="U543" s="12"/>
      <c r="V543" s="59"/>
      <c r="W543"/>
      <c r="X543"/>
      <c r="Y543"/>
      <c r="Z543"/>
    </row>
    <row r="544" spans="2:26">
      <c r="U544" s="12"/>
      <c r="V544" s="59"/>
      <c r="W544"/>
      <c r="X544"/>
      <c r="Y544"/>
      <c r="Z544"/>
    </row>
    <row r="545" spans="21:26">
      <c r="U545" s="12"/>
      <c r="V545" s="59"/>
      <c r="W545"/>
      <c r="X545"/>
      <c r="Y545"/>
      <c r="Z545"/>
    </row>
    <row r="546" spans="21:26">
      <c r="U546" s="12"/>
      <c r="V546" s="59"/>
      <c r="W546"/>
      <c r="X546"/>
      <c r="Y546"/>
      <c r="Z546"/>
    </row>
    <row r="547" spans="21:26">
      <c r="U547" s="12"/>
      <c r="V547" s="59"/>
      <c r="W547"/>
      <c r="X547"/>
      <c r="Y547"/>
      <c r="Z547"/>
    </row>
    <row r="548" spans="21:26">
      <c r="U548" s="12"/>
      <c r="V548" s="59"/>
      <c r="W548"/>
      <c r="X548"/>
      <c r="Y548"/>
      <c r="Z548"/>
    </row>
    <row r="549" spans="21:26">
      <c r="U549" s="12"/>
      <c r="V549" s="59"/>
      <c r="W549"/>
      <c r="X549"/>
      <c r="Y549"/>
      <c r="Z549"/>
    </row>
    <row r="550" spans="21:26">
      <c r="U550" s="12"/>
      <c r="V550" s="59"/>
      <c r="W550"/>
      <c r="X550"/>
      <c r="Y550"/>
      <c r="Z550"/>
    </row>
    <row r="551" spans="21:26">
      <c r="U551" s="12"/>
      <c r="V551" s="59"/>
      <c r="W551"/>
      <c r="X551"/>
      <c r="Y551"/>
      <c r="Z551"/>
    </row>
    <row r="552" spans="21:26">
      <c r="U552" s="12"/>
      <c r="V552" s="59"/>
      <c r="W552"/>
      <c r="X552"/>
      <c r="Y552"/>
      <c r="Z552"/>
    </row>
    <row r="553" spans="21:26">
      <c r="U553" s="12"/>
      <c r="V553" s="59"/>
      <c r="W553"/>
      <c r="X553"/>
      <c r="Y553"/>
      <c r="Z553"/>
    </row>
    <row r="554" spans="21:26">
      <c r="U554" s="12"/>
      <c r="V554" s="59"/>
      <c r="W554"/>
      <c r="X554"/>
      <c r="Y554"/>
      <c r="Z554"/>
    </row>
    <row r="555" spans="21:26">
      <c r="U555" s="12"/>
      <c r="V555" s="59"/>
      <c r="W555"/>
      <c r="X555"/>
      <c r="Y555"/>
      <c r="Z555"/>
    </row>
    <row r="556" spans="21:26">
      <c r="U556" s="12"/>
      <c r="V556" s="59"/>
      <c r="W556"/>
      <c r="X556"/>
      <c r="Y556"/>
      <c r="Z556"/>
    </row>
    <row r="557" spans="21:26">
      <c r="U557" s="12"/>
      <c r="V557" s="59"/>
      <c r="W557"/>
      <c r="X557"/>
      <c r="Y557"/>
      <c r="Z557"/>
    </row>
    <row r="558" spans="21:26">
      <c r="U558" s="12"/>
      <c r="V558" s="59"/>
      <c r="W558"/>
      <c r="X558"/>
      <c r="Y558"/>
      <c r="Z558"/>
    </row>
  </sheetData>
  <protectedRanges>
    <protectedRange sqref="M74:O76 M54:O66 M68:O72" name="범위10_1_1"/>
    <protectedRange sqref="L8" name="범위11_1"/>
    <protectedRange sqref="L8" name="범위4_1"/>
    <protectedRange sqref="D9" name="범위13_1_1"/>
    <protectedRange sqref="G8:H8" name="범위15_1_1"/>
    <protectedRange sqref="E38:E39 G74:G76 D74:E75 D54:E71 G54:G72" name="범위8_1_1_2_1_1_1"/>
    <protectedRange sqref="H69:H72 I75:J76 I71:K72 H74:H76 I74:K74 H54:K68 J74:K76" name="범위9_1_1_1_1_2"/>
    <protectedRange sqref="G7:H7" name="범위15_1_1_1"/>
    <protectedRange sqref="L9" name="범위16_1_1_1_1_1_1_1_1_1_1_1_1_1"/>
    <protectedRange sqref="D36" name="범위23_1_1_1_2_1_1"/>
    <protectedRange sqref="D36" name="범위1_3_1_1_1_1_2_1_1"/>
    <protectedRange sqref="C12:C23 C33:C35" name="범위1_3_1_2_1"/>
    <protectedRange sqref="C12:C23 C33:C35" name="범위1_3_1_2_2"/>
    <protectedRange sqref="D88:D471 D478:D488" name="범위5_1_2_1_2_1_2_1_1"/>
    <protectedRange sqref="M115 M113" name="범위26_2_1_2_1_8_1_2_1"/>
    <protectedRange sqref="G117:H117 G115:H115 G113:H113" name="범위6_1_1_1_2_1_9_2_1_1"/>
    <protectedRange sqref="F115" name="범위1_1_2_1_1"/>
    <protectedRange sqref="M116 M114 M89:M111 M119:M130" name="범위26_2_1_2_1_1_7_1_1_1"/>
    <protectedRange sqref="G116:H116 G127:H130 G104:H104 I88:I89 G89:H89 G114:H114 G90:I103 G106:H109 G119:H124 I104:I471 I478:I488" name="범위6_1_1_1_2_1_2_8_2_1"/>
    <protectedRange sqref="F127 F130" name="범위1_3_1_1_2_1"/>
    <protectedRange sqref="G110:H111" name="범위6_1_1_1_2_1_1_1_1_2_1_1"/>
    <protectedRange sqref="M118" name="범위26_2_1_2_1_1_1_1_1_1_1"/>
    <protectedRange sqref="G118:H118" name="범위6_1_1_1_2_1_2_1_1_1_1_1"/>
    <protectedRange sqref="M117" name="범위26_2_1_2_1_19_1_1_2_1_1"/>
    <protectedRange sqref="M112" name="범위26_2_1_2_1_1_4_1_2_1_1"/>
    <protectedRange sqref="G112:H112" name="범위6_1_1_1_2_1_2_4_1_2_1_1"/>
    <protectedRange sqref="M88" name="범위26_2_1_2_1_1_3_1_1_1_1"/>
    <protectedRange sqref="G88:H88" name="범위6_1_1_1_2_1_2_2_1_1_1_1"/>
    <protectedRange sqref="F88" name="범위1_3_3_1_1_1_1"/>
    <protectedRange sqref="M435 M405:M407 M415:M417" name="범위26_2_1_2_1_8_2_1_1_1"/>
    <protectedRange sqref="G405:H407 G415:H417 G421:H435" name="범위6_1_1_1_2_1_9_1_1_1_1"/>
    <protectedRange sqref="F415:F417" name="범위1_1_1_1_1_1"/>
    <protectedRange sqref="F435" name="범위1_4_2_1_1_1_1"/>
    <protectedRange sqref="M418:M420 M436:M441 M445:M471 M408:M412 M486:M488 M313:M403 M131:M311" name="범위26_2_1_2_1_1_7_3_1_1_1"/>
    <protectedRange sqref="G157:H159 G166:H166 G390:H392 G164:H164 G175:H176 G461:H461 G239:H240 G379:H381 G248:H248 G270:H270 G263:H263 G261:H261 G272:H272 G265:H265 G276:H276 G486:H488 G232:H233 G344:H344 G334:H342 G354:H354 G384:H388 G409:H412 G314:H315 G290:H311 G317:H319 G321:H331 G346:H351 G418:H420 G445:H453 G455:H459 G464:H471 G222:H229 G131:H143 G278:H285 G213:H218 G436:H441 G145:H152 G363:H374" name="범위6_1_1_1_2_1_2_8_1_2_1_1"/>
    <protectedRange sqref="G460:H460" name="범위6_1_1_1_1_1_1_1_1_1_1_1_1"/>
    <protectedRange sqref="F300:F301 F196:F198 F245:F247 F188:F190 F317 F363 F343:F344 F412 F311 F384 F290 F146:F147 F235:F238 F273:F277 F418 F266:F271 F150:F152 F249:F264" name="범위1_3_1_3_1_1_1"/>
    <protectedRange sqref="G393:H393 G395:H403" name="범위6_1_1_1_2_1_1_1_1_1_1_1_1"/>
    <protectedRange sqref="F372" name="범위1_2_1_1_1_1_1_1"/>
    <protectedRange sqref="F361" name="범위1_5_1_1_1_1_1_1"/>
    <protectedRange sqref="M421:M434" name="범위26_2_1_2_1_19_1_1_1_1_1_1"/>
    <protectedRange sqref="M404" name="범위26_2_1_2_1_1_4_1_1_1_1_1"/>
    <protectedRange sqref="G404:H404" name="범위6_1_1_1_2_1_2_4_1_1_1_1_1"/>
    <protectedRange sqref="G408:H408" name="범위6_1_1_1_2_1_2_5_1_1_1_1_1"/>
    <protectedRange sqref="M485" name="범위26_2_1_2_1_1_2_1_1_1_1_1"/>
    <protectedRange sqref="M413:M414" name="범위26_2_1_2_1_3_1_1_1_1_1"/>
    <protectedRange sqref="G413:H414" name="범위6_1_1_1_2_1_3_1_1_1_1_1"/>
    <protectedRange sqref="F413:F414" name="범위1_2_2_1_1_1_1"/>
    <protectedRange sqref="M442:M444" name="범위26_2_1_2_1_1_5_1_1_1_1_1"/>
    <protectedRange sqref="G442:H444" name="범위6_1_1_1_2_1_2_3_1_1_1_1_1"/>
    <protectedRange sqref="M312" name="범위26_2_1_2_1_1_6_1_1_1_1_1"/>
    <protectedRange sqref="G312:H312" name="범위6_1_1_1_2_1_2_6_1_1_1_1_1"/>
    <protectedRange sqref="G485:H485" name="범위6_1_1_1_2_1_4_1_1_1_1_1"/>
    <protectedRange sqref="F485" name="범위1_5_2_1_1_1_1"/>
    <protectedRange sqref="M478" name="범위26_2_1_2_1_1_8_1_1_1"/>
    <protectedRange sqref="G478:H478" name="범위6_1_1_1_2_1_2_8_1_1_1_1_1"/>
    <protectedRange sqref="F478" name="범위1_3_1_1_1_1_1_1"/>
    <protectedRange sqref="M479" name="범위26_2_1_2_1_8_1_1_2_1_1"/>
    <protectedRange sqref="M480" name="범위26_2_1_2_1_1_7_2_1_1_1_1_1"/>
    <protectedRange sqref="F481:F484" name="범위1_2_1_1_1_1"/>
    <protectedRange sqref="M484 M481" name="범위26_2_1_2_1_8_1_1_1_1_1_1"/>
    <protectedRange sqref="M482:M483" name="범위26_2_1_2_1_1_7_2_2_1_1_1"/>
    <protectedRange sqref="D34:D35 D12:D24" name="범위23_1_1_1_2_1_1_1_2_1_1_1"/>
    <protectedRange sqref="D34:D35 D12:D24" name="범위1_3_1_1_1_1_2_1_1_1_2_1_1_1"/>
    <protectedRange sqref="G73 D73:E73" name="범위8_1_1_2_1_1_1_1"/>
    <protectedRange sqref="H73:K73" name="범위9_1_1_1_1_2_1"/>
    <protectedRange sqref="D72:E72" name="범위8_1_1_2_1_1_1_2"/>
    <protectedRange sqref="D472:D477" name="범위5_1_2_1_2_1_2_1_1_1"/>
    <protectedRange sqref="I472:I477" name="범위6_1_1_1_2_1_2_8_2_1_1"/>
    <protectedRange sqref="M472:M473 M475" name="범위26_2_1_2_1_1_7_3_1_1_1_1"/>
    <protectedRange sqref="G472:H472 G475:H475" name="범위6_1_1_1_2_1_2_8_1_2_1_1_1"/>
    <protectedRange sqref="M474" name="범위26_2_1_2_1_1_2_1_1_1_1_1_1"/>
    <protectedRange sqref="F474" name="범위1_3_2_1_1_1_1_1_1"/>
    <protectedRange sqref="G477:H477" name="범위6_1_1_1_2_1_2_1_2_1_1_1_1"/>
    <protectedRange sqref="M476:M477" name="범위26_2_1_2_1_1_7_2_1_2_1_1_1"/>
    <protectedRange sqref="D80" name="범위5_1_2_1_2_1_2_1_1_2"/>
    <protectedRange sqref="I80" name="범위6_1_1_1_2_1_2_8_2_1_2"/>
    <protectedRange sqref="M80" name="범위26_2_1_2_1_1_7_3_1_1_1_2"/>
    <protectedRange sqref="D81:D82" name="범위5_1_2_1_2_1_2_1_1_1_1"/>
    <protectedRange sqref="I81:I82" name="범위6_1_1_1_2_1_2_8_2_1_1_2"/>
    <protectedRange sqref="M81:M82" name="범위26_2_1_2_1_1_7_3_1_1_1_1_1"/>
    <protectedRange sqref="F81:F82" name="범위1_3_1_3_1_1_1_1"/>
    <protectedRange sqref="D83:D87" name="범위5_1_2_1_2_1_2_1_1_2_1"/>
    <protectedRange sqref="I83:I87" name="범위6_1_1_1_2_1_2_8_2_1_2_1"/>
    <protectedRange sqref="M83:M87" name="범위26_2_1_2_1_1_7_3_1_1_1_2_1"/>
    <protectedRange sqref="G83:H87" name="범위6_1_1_1_2_1_2_8_1_2_1_1_2"/>
    <protectedRange sqref="D494:D495" name="범위5_1_2_1_2_1_2_1_2"/>
    <protectedRange sqref="D489:D493" name="범위5_1_2_1_2_1_2_1_1_3"/>
    <protectedRange sqref="D528:D534" name="범위5_1_3_2_1_1_1"/>
    <protectedRange sqref="M494:M495" name="범위26_2_1_2_1_1_7_3_2_1_1"/>
    <protectedRange sqref="G494:H495" name="범위6_1_1_1_2_1_2_8_1_3_1"/>
    <protectedRange sqref="I489:I495 I528:I534" name="범위6_1_1_1_2_1_2_8_2_1_4"/>
    <protectedRange sqref="M489:M490" name="범위26_2_1_2_1_1_7_3_1_1_1_3"/>
    <protectedRange sqref="G489:H490" name="범위6_1_1_1_2_1_2_8_1_2_1_1_3"/>
    <protectedRange sqref="G492:H492" name="범위6_1_1_1_2_1_2_1_2_1_1_1_2"/>
    <protectedRange sqref="M491:M492" name="범위26_2_1_2_1_1_7_2_1_2_1_1_2"/>
    <protectedRange sqref="M493" name="범위26_2_1_2_1_1_8_1_1_1_1"/>
    <protectedRange sqref="G493:H493" name="범위6_1_1_1_2_1_2_8_1_1_1_1_1_1"/>
    <protectedRange sqref="F493" name="범위1_3_1_1_1_1_1_1_1"/>
    <protectedRange sqref="F528:F534" name="범위1_2_1_2_1_1_1"/>
    <protectedRange sqref="M528:M534" name="범위26_2_1_2_1_1_7_2_2_2_1_1_1"/>
    <protectedRange sqref="D501" name="범위5_1_3_2_1_3"/>
    <protectedRange sqref="D496:D500" name="범위5_1_2_1_2_1_2_1_3"/>
    <protectedRange sqref="D502:D503" name="범위5_1_3_2_1_1_3"/>
    <protectedRange sqref="I500" name="범위6_1_1_1_2_1_2_8_3_2"/>
    <protectedRange sqref="G500:H500" name="범위6_1_1_1_2_1_9_1_2_2"/>
    <protectedRange sqref="M496" name="범위26_2_1_2_1_1_7_3_2_1_2"/>
    <protectedRange sqref="G496:H496" name="범위6_1_1_1_2_1_2_8_1_3_2"/>
    <protectedRange sqref="M500" name="범위26_2_1_2_1_19_1_1_1_2_2"/>
    <protectedRange sqref="G498:H498" name="범위6_1_1_1_2_1_2_1_2_2_2"/>
    <protectedRange sqref="M497:M498" name="범위26_2_1_2_1_1_7_2_1_3_2"/>
    <protectedRange sqref="M499" name="범위26_2_1_2_1_1_8_2_2"/>
    <protectedRange sqref="G499:H499" name="범위6_1_1_1_2_1_2_8_1_1_2_1_2"/>
    <protectedRange sqref="F499" name="범위1_3_1_1_1_2_2"/>
    <protectedRange sqref="I496:I499 I501:I503" name="범위6_1_1_1_2_1_2_8_2_1_5"/>
    <protectedRange sqref="G501:H501" name="범위6_1_1_1_2_1_9_1_1_1_1_2"/>
    <protectedRange sqref="M501" name="범위26_2_1_2_1_19_1_1_1_1_1_1_2"/>
    <protectedRange sqref="F502:F503" name="범위1_2_1_2_1_1_3"/>
    <protectedRange sqref="M502:M503" name="범위26_2_1_2_1_1_7_2_2_2_1_1_3"/>
    <protectedRange sqref="D504:D522 D525" name="범위5_1_3_2_1_1_1_3"/>
    <protectedRange sqref="I504:I522 I525" name="범위6_1_1_1_2_1_2_8_2_1_1_4"/>
    <protectedRange sqref="F504:F522 F525" name="범위1_2_1_2_1_1_1_3"/>
    <protectedRange sqref="M504:M522" name="범위26_2_1_2_1_1_7_2_2_2_1_1_1_3"/>
    <protectedRange sqref="D523" name="범위5_1_2_1_2_1_2"/>
    <protectedRange sqref="M523" name="범위26_2_1_2_1_1_2"/>
    <protectedRange sqref="G523:I523" name="범위6_1_1_1_2_1_1_1_2"/>
    <protectedRange sqref="M525" name="범위26_2_1_2_1_1_7_2_2_2_1_1_1_1_2"/>
    <protectedRange sqref="C24:C32" name="범위1_3_1_2_1_1"/>
    <protectedRange sqref="C24:C32" name="범위1_3_1_2_2_1"/>
    <protectedRange sqref="D25:D33" name="범위23_1_1_1_2_1_1_1_2_1_1_1_1"/>
    <protectedRange sqref="D25:D33" name="범위1_3_1_1_1_1_2_1_1_1_2_1_1_1_1"/>
    <protectedRange sqref="D524" name="범위5_1_3_2_1_1_1_1_2_1"/>
    <protectedRange sqref="I524" name="범위6_1_1_1_2_1_2_8_2_1_1_1_2_1"/>
    <protectedRange sqref="F524" name="범위1_2_1_2_1_1_1_1_2_1"/>
    <protectedRange sqref="M524" name="범위26_2_1_2_1_1_7_2_2_2_1_1_1_1_2_1"/>
    <protectedRange sqref="D527" name="범위5_1_3_2_1_1"/>
    <protectedRange sqref="I527" name="범위6_1_1_1_2_1_2_8_2_1_3"/>
    <protectedRange sqref="F527" name="범위1_2_1_2_1_1"/>
    <protectedRange sqref="M527" name="범위26_2_1_2_1_1_7_2_2_2_1_1"/>
    <protectedRange sqref="D526" name="범위5_1_3_2_1_1_1_1"/>
    <protectedRange sqref="I526" name="범위6_1_1_1_2_1_2_8_2_1_1_1"/>
    <protectedRange sqref="F526" name="범위1_2_1_2_1_1_1_1"/>
    <protectedRange sqref="M526" name="범위26_2_1_2_1_1_7_2_2_2_1_1_1_1"/>
  </protectedRanges>
  <autoFilter ref="A79:Z79" xr:uid="{00000000-0009-0000-0000-000001000000}"/>
  <mergeCells count="23">
    <mergeCell ref="B50:E51"/>
    <mergeCell ref="D78:E78"/>
    <mergeCell ref="L10:P10"/>
    <mergeCell ref="G11:I11"/>
    <mergeCell ref="R11:S11"/>
    <mergeCell ref="I37:I38"/>
    <mergeCell ref="M37:M38"/>
    <mergeCell ref="O37:P37"/>
    <mergeCell ref="O38:P38"/>
    <mergeCell ref="B9:C9"/>
    <mergeCell ref="D9:I9"/>
    <mergeCell ref="M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</mergeCells>
  <phoneticPr fontId="16" type="noConversion"/>
  <conditionalFormatting sqref="F16 F18 F20:F21 F23 F33">
    <cfRule type="duplicateValues" dxfId="11" priority="2"/>
  </conditionalFormatting>
  <conditionalFormatting sqref="F34:F79 F88:F488 F1:F12 F542:F1048576">
    <cfRule type="duplicateValues" dxfId="10" priority="4"/>
  </conditionalFormatting>
  <conditionalFormatting sqref="F80:F87">
    <cfRule type="duplicateValues" dxfId="9" priority="1"/>
  </conditionalFormatting>
  <dataValidations count="7">
    <dataValidation type="list" allowBlank="1" showInputMessage="1" showErrorMessage="1" sqref="L9" xr:uid="{00000000-0002-0000-0100-000000000000}">
      <formula1>$G$54:$G$76</formula1>
    </dataValidation>
    <dataValidation type="list" allowBlank="1" showInputMessage="1" showErrorMessage="1" sqref="L8:M8" xr:uid="{00000000-0002-0000-0100-000001000000}">
      <formula1>$M$58:$M$76</formula1>
    </dataValidation>
    <dataValidation type="list" allowBlank="1" showInputMessage="1" showErrorMessage="1" sqref="D36" xr:uid="{00000000-0002-0000-0100-000002000000}">
      <formula1>$D$58:$D$76</formula1>
    </dataValidation>
    <dataValidation type="list" allowBlank="1" showInputMessage="1" showErrorMessage="1" sqref="D523" xr:uid="{00000000-0002-0000-0100-000003000000}">
      <formula1>$D$56:$D$78</formula1>
    </dataValidation>
    <dataValidation type="list" allowBlank="1" showInputMessage="1" showErrorMessage="1" sqref="F234 F183:F187 F177:F178 F219:F221" xr:uid="{00000000-0002-0000-0100-000004000000}">
      <formula1>$A$3:$A$347</formula1>
    </dataValidation>
    <dataValidation type="list" allowBlank="1" showInputMessage="1" showErrorMessage="1" sqref="D34:D35 D12:D24" xr:uid="{00000000-0002-0000-0100-000005000000}">
      <formula1>$D$54:$D$76</formula1>
    </dataValidation>
    <dataValidation type="list" allowBlank="1" showInputMessage="1" showErrorMessage="1" sqref="D25:D33" xr:uid="{00000000-0002-0000-0100-000006000000}">
      <formula1>$D$45:$D$67</formula1>
    </dataValidation>
  </dataValidations>
  <printOptions horizontalCentered="1"/>
  <pageMargins left="7.874015748031496E-2" right="7.874015748031496E-2" top="0.3" bottom="0.28999999999999998" header="0.27559055118110237" footer="0.23622047244094491"/>
  <pageSetup paperSize="9" scale="73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12"/>
    <pageSetUpPr fitToPage="1"/>
  </sheetPr>
  <dimension ref="A1:Z562"/>
  <sheetViews>
    <sheetView zoomScale="80" zoomScaleNormal="80" workbookViewId="0">
      <selection activeCell="F18" sqref="F18"/>
    </sheetView>
  </sheetViews>
  <sheetFormatPr defaultRowHeight="13.5"/>
  <cols>
    <col min="1" max="1" width="1.21875" customWidth="1"/>
    <col min="2" max="2" width="4.6640625" style="1" customWidth="1"/>
    <col min="3" max="3" width="11.21875" style="1" customWidth="1"/>
    <col min="4" max="4" width="17.88671875" customWidth="1"/>
    <col min="5" max="6" width="10.109375" style="1" customWidth="1"/>
    <col min="7" max="7" width="13.88671875" customWidth="1"/>
    <col min="8" max="8" width="14.21875" customWidth="1"/>
    <col min="9" max="9" width="9.5546875" style="12" customWidth="1"/>
    <col min="10" max="10" width="8.6640625" style="15" customWidth="1"/>
    <col min="11" max="11" width="8.6640625" style="1" customWidth="1"/>
    <col min="12" max="12" width="7.77734375" customWidth="1"/>
    <col min="13" max="13" width="8.6640625" customWidth="1"/>
    <col min="14" max="14" width="12.109375" customWidth="1"/>
    <col min="15" max="15" width="13.33203125" customWidth="1"/>
    <col min="16" max="16" width="13" customWidth="1"/>
    <col min="17" max="17" width="5.33203125" customWidth="1"/>
    <col min="18" max="18" width="7.44140625" bestFit="1" customWidth="1"/>
    <col min="19" max="19" width="4.88671875" bestFit="1" customWidth="1"/>
    <col min="20" max="20" width="1.44140625" customWidth="1"/>
    <col min="21" max="21" width="11.44140625" style="42" customWidth="1"/>
    <col min="22" max="22" width="7.88671875" style="105" bestFit="1" customWidth="1"/>
    <col min="23" max="23" width="6.109375" style="21" customWidth="1"/>
    <col min="24" max="24" width="11.6640625" style="21" customWidth="1"/>
    <col min="25" max="26" width="8.44140625" style="43" customWidth="1"/>
  </cols>
  <sheetData>
    <row r="1" spans="1:26" ht="14.25" customHeight="1" thickBot="1">
      <c r="A1" s="5"/>
      <c r="B1" s="6"/>
      <c r="C1" s="6"/>
      <c r="D1" s="5"/>
      <c r="E1" s="6"/>
      <c r="F1" s="97"/>
      <c r="G1" s="7"/>
      <c r="H1" s="7"/>
      <c r="I1" s="9"/>
      <c r="J1" s="17"/>
      <c r="K1" s="7"/>
      <c r="L1" s="7"/>
      <c r="M1" s="5"/>
      <c r="N1" s="5"/>
      <c r="O1" s="5"/>
      <c r="P1" s="5"/>
    </row>
    <row r="2" spans="1:26" s="43" customFormat="1" ht="18" customHeight="1">
      <c r="A2" s="4"/>
      <c r="B2" s="572" t="s">
        <v>1</v>
      </c>
      <c r="C2" s="573"/>
      <c r="D2" s="573"/>
      <c r="E2" s="574"/>
      <c r="F2" s="578" t="s">
        <v>1067</v>
      </c>
      <c r="G2" s="579"/>
      <c r="H2" s="579"/>
      <c r="I2" s="579"/>
      <c r="J2" s="579"/>
      <c r="K2" s="579"/>
      <c r="L2" s="579"/>
      <c r="M2" s="102" t="s">
        <v>2</v>
      </c>
      <c r="N2" s="102"/>
      <c r="O2" s="101"/>
      <c r="P2" s="101"/>
      <c r="U2" s="42"/>
      <c r="V2" s="105"/>
      <c r="W2" s="21"/>
      <c r="X2" s="21"/>
    </row>
    <row r="3" spans="1:26" s="43" customFormat="1" ht="16.5" customHeight="1" thickBot="1">
      <c r="A3" s="4"/>
      <c r="B3" s="575"/>
      <c r="C3" s="576"/>
      <c r="D3" s="576"/>
      <c r="E3" s="577"/>
      <c r="F3" s="579"/>
      <c r="G3" s="579"/>
      <c r="H3" s="579"/>
      <c r="I3" s="579"/>
      <c r="J3" s="579"/>
      <c r="K3" s="579"/>
      <c r="L3" s="579"/>
      <c r="M3" s="103" t="s">
        <v>416</v>
      </c>
      <c r="N3" s="100"/>
      <c r="O3" s="4"/>
      <c r="P3" s="4"/>
      <c r="U3" s="42"/>
      <c r="V3" s="105"/>
      <c r="W3" s="21"/>
      <c r="X3" s="21"/>
    </row>
    <row r="4" spans="1:26" s="43" customFormat="1" ht="16.5" customHeight="1">
      <c r="A4" s="4"/>
      <c r="B4" s="112"/>
      <c r="C4" s="112"/>
      <c r="D4" s="4"/>
      <c r="E4" s="112"/>
      <c r="F4" s="579"/>
      <c r="G4" s="579"/>
      <c r="H4" s="579"/>
      <c r="I4" s="579"/>
      <c r="J4" s="579"/>
      <c r="K4" s="579"/>
      <c r="L4" s="579"/>
      <c r="M4" s="103" t="s">
        <v>3</v>
      </c>
      <c r="N4" s="100"/>
      <c r="O4" s="4"/>
      <c r="P4" s="4"/>
      <c r="U4" s="42"/>
      <c r="V4" s="105"/>
      <c r="W4" s="21"/>
      <c r="X4" s="21"/>
    </row>
    <row r="5" spans="1:26" s="43" customFormat="1" ht="16.5" customHeight="1">
      <c r="A5" s="4"/>
      <c r="B5" s="112"/>
      <c r="C5" s="112"/>
      <c r="D5" s="4"/>
      <c r="E5" s="112"/>
      <c r="F5" s="350"/>
      <c r="G5" s="113"/>
      <c r="H5" s="113"/>
      <c r="I5" s="114"/>
      <c r="J5" s="115"/>
      <c r="K5" s="113"/>
      <c r="L5" s="113"/>
      <c r="M5" s="103" t="s">
        <v>4</v>
      </c>
      <c r="N5" s="100"/>
      <c r="O5" s="4"/>
      <c r="P5" s="4"/>
      <c r="U5" s="42"/>
      <c r="V5" s="105"/>
      <c r="W5" s="21"/>
      <c r="X5" s="21"/>
    </row>
    <row r="6" spans="1:26" s="43" customFormat="1" ht="9" customHeight="1" thickBot="1">
      <c r="A6" s="4"/>
      <c r="B6" s="112"/>
      <c r="C6" s="112"/>
      <c r="D6" s="4"/>
      <c r="E6" s="112"/>
      <c r="F6" s="116"/>
      <c r="G6" s="4"/>
      <c r="H6" s="4"/>
      <c r="I6" s="117"/>
      <c r="J6" s="118"/>
      <c r="K6" s="112"/>
      <c r="L6" s="4"/>
      <c r="M6" s="4"/>
      <c r="N6" s="4"/>
      <c r="O6" s="4"/>
      <c r="P6" s="4"/>
      <c r="U6" s="42"/>
      <c r="V6" s="105"/>
      <c r="W6" s="21"/>
      <c r="X6" s="21"/>
    </row>
    <row r="7" spans="1:26" s="28" customFormat="1" ht="25.5" customHeight="1" thickTop="1">
      <c r="A7" s="100"/>
      <c r="B7" s="580" t="s">
        <v>5</v>
      </c>
      <c r="C7" s="581"/>
      <c r="D7" s="582" t="s">
        <v>6</v>
      </c>
      <c r="E7" s="583"/>
      <c r="F7" s="119" t="s">
        <v>7</v>
      </c>
      <c r="G7" s="584" t="s">
        <v>75</v>
      </c>
      <c r="H7" s="585"/>
      <c r="I7" s="586"/>
      <c r="J7" s="120"/>
      <c r="K7" s="121" t="s">
        <v>8</v>
      </c>
      <c r="L7" s="587">
        <f ca="1">TODAY()</f>
        <v>45981</v>
      </c>
      <c r="M7" s="588"/>
      <c r="N7" s="122" t="s">
        <v>9</v>
      </c>
      <c r="O7" s="123"/>
      <c r="P7" s="124"/>
      <c r="U7" s="29"/>
      <c r="V7" s="105"/>
      <c r="W7" s="20"/>
      <c r="X7" s="20"/>
    </row>
    <row r="8" spans="1:26" s="28" customFormat="1" ht="25.5" customHeight="1">
      <c r="A8" s="100"/>
      <c r="B8" s="589" t="s">
        <v>10</v>
      </c>
      <c r="C8" s="590"/>
      <c r="D8" s="591" t="s">
        <v>11</v>
      </c>
      <c r="E8" s="592"/>
      <c r="F8" s="125" t="s">
        <v>12</v>
      </c>
      <c r="G8" s="592" t="s">
        <v>13</v>
      </c>
      <c r="H8" s="592"/>
      <c r="I8" s="593"/>
      <c r="J8" s="120"/>
      <c r="K8" s="126" t="s">
        <v>14</v>
      </c>
      <c r="L8" s="594" t="s">
        <v>91</v>
      </c>
      <c r="M8" s="595"/>
      <c r="N8" s="358" t="s">
        <v>15</v>
      </c>
      <c r="O8" s="596" t="s">
        <v>92</v>
      </c>
      <c r="P8" s="597"/>
      <c r="U8" s="29"/>
      <c r="V8" s="105"/>
      <c r="W8" s="20"/>
      <c r="X8" s="20"/>
    </row>
    <row r="9" spans="1:26" s="28" customFormat="1" ht="25.5" customHeight="1" thickBot="1">
      <c r="A9" s="100"/>
      <c r="B9" s="564" t="s">
        <v>16</v>
      </c>
      <c r="C9" s="565"/>
      <c r="D9" s="566"/>
      <c r="E9" s="567"/>
      <c r="F9" s="567"/>
      <c r="G9" s="567"/>
      <c r="H9" s="567"/>
      <c r="I9" s="568"/>
      <c r="J9" s="120"/>
      <c r="K9" s="128" t="s">
        <v>17</v>
      </c>
      <c r="L9" s="129" t="s">
        <v>844</v>
      </c>
      <c r="M9" s="569" t="str">
        <f>IF($L9&lt;&gt;0,VLOOKUP($L9,$G$45:$K$70,2,FALSE),"")</f>
        <v>경기도 화성시 향남읍 구문천1길 43-9</v>
      </c>
      <c r="N9" s="570"/>
      <c r="O9" s="570"/>
      <c r="P9" s="571"/>
      <c r="U9" s="44"/>
      <c r="V9" s="105"/>
      <c r="W9" s="20"/>
      <c r="X9" s="20"/>
    </row>
    <row r="10" spans="1:26" ht="18" customHeight="1" thickBot="1">
      <c r="A10" s="5"/>
      <c r="B10" s="6"/>
      <c r="C10" s="6"/>
      <c r="D10" s="5"/>
      <c r="E10" s="6"/>
      <c r="F10" s="6"/>
      <c r="G10" s="5"/>
      <c r="H10" s="5"/>
      <c r="I10" s="11"/>
      <c r="J10" s="14"/>
      <c r="K10" s="6"/>
      <c r="L10" s="606"/>
      <c r="M10" s="606"/>
      <c r="N10" s="606"/>
      <c r="O10" s="606"/>
      <c r="P10" s="606"/>
    </row>
    <row r="11" spans="1:26" s="28" customFormat="1" ht="27" customHeight="1" thickTop="1">
      <c r="A11" s="100"/>
      <c r="B11" s="371" t="s">
        <v>415</v>
      </c>
      <c r="C11" s="368" t="s">
        <v>88</v>
      </c>
      <c r="D11" s="368" t="s">
        <v>408</v>
      </c>
      <c r="E11" s="368" t="s">
        <v>409</v>
      </c>
      <c r="F11" s="369" t="s">
        <v>109</v>
      </c>
      <c r="G11" s="607" t="s">
        <v>108</v>
      </c>
      <c r="H11" s="608"/>
      <c r="I11" s="609"/>
      <c r="J11" s="377" t="s">
        <v>410</v>
      </c>
      <c r="K11" s="368" t="s">
        <v>405</v>
      </c>
      <c r="L11" s="368" t="s">
        <v>406</v>
      </c>
      <c r="M11" s="368" t="s">
        <v>411</v>
      </c>
      <c r="N11" s="368" t="s">
        <v>407</v>
      </c>
      <c r="O11" s="368" t="s">
        <v>412</v>
      </c>
      <c r="P11" s="370" t="s">
        <v>93</v>
      </c>
      <c r="R11" s="610" t="s">
        <v>398</v>
      </c>
      <c r="S11" s="611"/>
      <c r="U11" s="327" t="s">
        <v>399</v>
      </c>
      <c r="V11" s="98" t="s">
        <v>402</v>
      </c>
      <c r="W11" s="98" t="s">
        <v>403</v>
      </c>
      <c r="X11" s="98" t="s">
        <v>404</v>
      </c>
      <c r="Y11" s="98" t="s">
        <v>400</v>
      </c>
      <c r="Z11" s="99" t="s">
        <v>401</v>
      </c>
    </row>
    <row r="12" spans="1:26" s="28" customFormat="1" ht="24.95" customHeight="1">
      <c r="B12" s="221">
        <v>1</v>
      </c>
      <c r="C12" s="445" t="s">
        <v>1080</v>
      </c>
      <c r="D12" s="82" t="s">
        <v>1070</v>
      </c>
      <c r="E12" s="85">
        <f t="shared" ref="E12:E25" si="0">IF($D12&lt;&gt;0,VLOOKUP($D12,$D$45:$E$72,2,FALSE),"")</f>
        <v>194638</v>
      </c>
      <c r="F12" s="546">
        <v>132835</v>
      </c>
      <c r="G12" s="340" t="str">
        <f t="shared" ref="G12:G26" si="1">IF($F12&lt;&gt;0,VLOOKUP($F12,$E$74:$M$539,2,FALSE),"")</f>
        <v>MOBIL GLYGOYLE 460, 208LT DRUM</v>
      </c>
      <c r="H12" s="341"/>
      <c r="I12" s="342"/>
      <c r="J12" s="343" t="str">
        <f t="shared" ref="J12:J26" si="2">IF($F12&lt;&gt;0,VLOOKUP($F12,$E$74:$M$539,7,FALSE),"")</f>
        <v>DRUM</v>
      </c>
      <c r="K12" s="339" t="str">
        <f t="shared" ref="K12:K26" si="3">IF($F12&lt;&gt;0,VLOOKUP($F12,$E$74:$M$539,8,FALSE),"")</f>
        <v>IND</v>
      </c>
      <c r="L12" s="547">
        <v>5</v>
      </c>
      <c r="M12" s="344">
        <f t="shared" ref="M12:M26" si="4">IF($L12&lt;&gt;0,VLOOKUP($F12,$E$74:$M$539,9,FALSE)*$L12,"")</f>
        <v>1040</v>
      </c>
      <c r="N12" s="563">
        <v>1755000</v>
      </c>
      <c r="O12" s="346">
        <f>IF(L12&lt;&gt;0,$L12*$N12,"")</f>
        <v>8775000</v>
      </c>
      <c r="P12" s="544">
        <v>101</v>
      </c>
      <c r="R12" s="75" t="str">
        <f>VLOOKUP(F12,'파레트 제품 리스트'!$B:$F,4,0)</f>
        <v>DRUM</v>
      </c>
      <c r="S12" s="76">
        <f>VLOOKUP(F12,'파레트 제품 리스트'!$B:$F,5,0)</f>
        <v>1</v>
      </c>
      <c r="U12" s="328">
        <f>O12*1.1</f>
        <v>9652500</v>
      </c>
      <c r="V12" s="367" t="e">
        <f>VLOOKUP(F12,미출!$D:$F,3,0)</f>
        <v>#N/A</v>
      </c>
      <c r="W12" s="78">
        <f>COUNTIF($F$11:$F$11,F12)</f>
        <v>0</v>
      </c>
      <c r="X12" s="78" t="e">
        <f>VLOOKUP(F12,#REF!,7,0)</f>
        <v>#REF!</v>
      </c>
      <c r="Y12" s="79"/>
      <c r="Z12" s="80" t="b">
        <f>N12=Y12</f>
        <v>0</v>
      </c>
    </row>
    <row r="13" spans="1:26" s="28" customFormat="1" ht="24.95" customHeight="1">
      <c r="B13" s="221">
        <v>2</v>
      </c>
      <c r="C13" s="445" t="s">
        <v>1078</v>
      </c>
      <c r="D13" s="82" t="s">
        <v>955</v>
      </c>
      <c r="E13" s="85">
        <f t="shared" si="0"/>
        <v>194667</v>
      </c>
      <c r="F13" s="472">
        <v>139040</v>
      </c>
      <c r="G13" s="340" t="str">
        <f t="shared" si="1"/>
        <v>MOBIL DTE 732 DRUM 200L:KR</v>
      </c>
      <c r="H13" s="341"/>
      <c r="I13" s="342"/>
      <c r="J13" s="343" t="str">
        <f t="shared" si="2"/>
        <v>DRUM</v>
      </c>
      <c r="K13" s="339" t="str">
        <f t="shared" si="3"/>
        <v>IND</v>
      </c>
      <c r="L13" s="494">
        <v>4</v>
      </c>
      <c r="M13" s="344">
        <f t="shared" si="4"/>
        <v>800</v>
      </c>
      <c r="N13" s="563">
        <f t="shared" ref="N13:N20" si="5">IF($F13&lt;&gt;0,VLOOKUP($F13,$E$53:$L$546,5,FALSE),"")</f>
        <v>575000</v>
      </c>
      <c r="O13" s="346">
        <f t="shared" ref="O13:O15" si="6">IF(L13&lt;&gt;0,$L13*$N13,"")</f>
        <v>2300000</v>
      </c>
      <c r="P13" s="544">
        <v>0</v>
      </c>
      <c r="R13" s="75" t="str">
        <f>VLOOKUP(F13,'파레트 제품 리스트'!$B:$F,4,0)</f>
        <v>DRUM</v>
      </c>
      <c r="S13" s="76">
        <f>VLOOKUP(F13,'파레트 제품 리스트'!$B:$F,5,0)</f>
        <v>1</v>
      </c>
      <c r="U13" s="328">
        <f t="shared" ref="U13" si="7">O13*1.1</f>
        <v>2530000</v>
      </c>
      <c r="V13" s="367" t="e">
        <f>VLOOKUP(F13,미출!$D:$F,3,0)</f>
        <v>#N/A</v>
      </c>
      <c r="W13" s="78">
        <f t="shared" ref="W13" si="8">COUNTIF($F$11:$F$11,F13)</f>
        <v>0</v>
      </c>
      <c r="X13" s="78" t="e">
        <f>VLOOKUP(F13,#REF!,7,0)</f>
        <v>#REF!</v>
      </c>
      <c r="Y13" s="79"/>
      <c r="Z13" s="80" t="b">
        <f t="shared" ref="Z13" si="9">N13=Y13</f>
        <v>0</v>
      </c>
    </row>
    <row r="14" spans="1:26" s="28" customFormat="1" ht="24.95" customHeight="1">
      <c r="B14" s="221">
        <v>3</v>
      </c>
      <c r="C14" s="445" t="s">
        <v>1077</v>
      </c>
      <c r="D14" s="82" t="s">
        <v>955</v>
      </c>
      <c r="E14" s="85">
        <f t="shared" si="0"/>
        <v>194667</v>
      </c>
      <c r="F14" s="546">
        <v>139059</v>
      </c>
      <c r="G14" s="340" t="str">
        <f t="shared" si="1"/>
        <v>MOBIL DTE OIL HEAVY MEDIUM DRUM 200L:KR</v>
      </c>
      <c r="H14" s="341"/>
      <c r="I14" s="342"/>
      <c r="J14" s="343" t="str">
        <f t="shared" si="2"/>
        <v>DRUM</v>
      </c>
      <c r="K14" s="339" t="str">
        <f t="shared" si="3"/>
        <v>IND</v>
      </c>
      <c r="L14" s="547">
        <v>1</v>
      </c>
      <c r="M14" s="344">
        <f t="shared" si="4"/>
        <v>200</v>
      </c>
      <c r="N14" s="563">
        <f t="shared" si="5"/>
        <v>691000</v>
      </c>
      <c r="O14" s="346">
        <f t="shared" si="6"/>
        <v>691000</v>
      </c>
      <c r="P14" s="544">
        <v>50</v>
      </c>
      <c r="R14" s="75" t="str">
        <f>VLOOKUP(F14,'파레트 제품 리스트'!$B:$F,4,0)</f>
        <v>DRUM</v>
      </c>
      <c r="S14" s="76">
        <f>VLOOKUP(F14,'파레트 제품 리스트'!$B:$F,5,0)</f>
        <v>1</v>
      </c>
      <c r="U14" s="328">
        <f t="shared" ref="U14:U17" si="10">O14*1.1</f>
        <v>760100.00000000012</v>
      </c>
      <c r="V14" s="367" t="e">
        <f>VLOOKUP(F14,미출!$D:$F,3,0)</f>
        <v>#N/A</v>
      </c>
      <c r="W14" s="78">
        <f t="shared" ref="W14:W17" si="11">COUNTIF($F$11:$F$11,F14)</f>
        <v>0</v>
      </c>
      <c r="X14" s="78" t="e">
        <f>VLOOKUP(F14,#REF!,7,0)</f>
        <v>#REF!</v>
      </c>
      <c r="Y14" s="79"/>
      <c r="Z14" s="80" t="b">
        <f t="shared" ref="Z14:Z17" si="12">N14=Y14</f>
        <v>0</v>
      </c>
    </row>
    <row r="15" spans="1:26" s="28" customFormat="1" ht="24.95" customHeight="1">
      <c r="B15" s="221">
        <v>4</v>
      </c>
      <c r="C15" s="364"/>
      <c r="D15" s="82" t="s">
        <v>955</v>
      </c>
      <c r="E15" s="85">
        <f t="shared" si="0"/>
        <v>194667</v>
      </c>
      <c r="F15" s="446">
        <v>144167</v>
      </c>
      <c r="G15" s="340" t="str">
        <f t="shared" si="1"/>
        <v>MOBIL HYDRAULIC AW 46 PAIL 20L:KR</v>
      </c>
      <c r="H15" s="225"/>
      <c r="I15" s="226"/>
      <c r="J15" s="343" t="str">
        <f t="shared" si="2"/>
        <v>PAIL</v>
      </c>
      <c r="K15" s="339" t="str">
        <f t="shared" si="3"/>
        <v>IND</v>
      </c>
      <c r="L15" s="326">
        <v>42</v>
      </c>
      <c r="M15" s="344">
        <f t="shared" si="4"/>
        <v>840</v>
      </c>
      <c r="N15" s="563">
        <f t="shared" si="5"/>
        <v>31200</v>
      </c>
      <c r="O15" s="346">
        <f t="shared" si="6"/>
        <v>1310400</v>
      </c>
      <c r="P15" s="544">
        <v>577</v>
      </c>
      <c r="R15" s="75" t="str">
        <f>VLOOKUP(F15,'파레트 제품 리스트'!$B:$F,4,0)</f>
        <v>Full</v>
      </c>
      <c r="S15" s="76">
        <f>VLOOKUP(F15,'파레트 제품 리스트'!$B:$F,5,0)</f>
        <v>42</v>
      </c>
      <c r="U15" s="328">
        <f>O15*1.1</f>
        <v>1441440</v>
      </c>
      <c r="V15" s="367" t="e">
        <f>VLOOKUP(F15,미출!$D:$F,3,0)</f>
        <v>#N/A</v>
      </c>
      <c r="W15" s="78">
        <f>COUNTIF($F$11:$F$11,F15)</f>
        <v>0</v>
      </c>
      <c r="X15" s="78" t="e">
        <f>VLOOKUP(F15,#REF!,7,0)</f>
        <v>#REF!</v>
      </c>
      <c r="Y15" s="79"/>
      <c r="Z15" s="80" t="b">
        <f>N15=Y15</f>
        <v>0</v>
      </c>
    </row>
    <row r="16" spans="1:26" s="28" customFormat="1" ht="24.95" customHeight="1">
      <c r="B16" s="221">
        <v>5</v>
      </c>
      <c r="C16" s="445"/>
      <c r="D16" s="82" t="s">
        <v>955</v>
      </c>
      <c r="E16" s="85">
        <f t="shared" si="0"/>
        <v>194667</v>
      </c>
      <c r="F16" s="446">
        <v>144170</v>
      </c>
      <c r="G16" s="340" t="str">
        <f t="shared" si="1"/>
        <v>MOBIL HYDRAULIC AW 68 DRUM 200L:KR</v>
      </c>
      <c r="H16" s="341"/>
      <c r="I16" s="342"/>
      <c r="J16" s="343" t="str">
        <f t="shared" si="2"/>
        <v>DRUM</v>
      </c>
      <c r="K16" s="339" t="str">
        <f t="shared" si="3"/>
        <v>IND</v>
      </c>
      <c r="L16" s="326">
        <v>2</v>
      </c>
      <c r="M16" s="344">
        <f t="shared" si="4"/>
        <v>400</v>
      </c>
      <c r="N16" s="563">
        <f t="shared" si="5"/>
        <v>314000</v>
      </c>
      <c r="O16" s="346">
        <f>IF(L16&lt;&gt;0,$L16*$N16,"")</f>
        <v>628000</v>
      </c>
      <c r="P16" s="544">
        <v>309</v>
      </c>
      <c r="R16" s="75" t="e">
        <f>VLOOKUP(F16,'파레트 제품 리스트'!$B:$F,4,0)</f>
        <v>#N/A</v>
      </c>
      <c r="S16" s="76" t="e">
        <f>VLOOKUP(F16,'파레트 제품 리스트'!$B:$F,5,0)</f>
        <v>#N/A</v>
      </c>
      <c r="U16" s="328">
        <f>O16*1.1</f>
        <v>690800</v>
      </c>
      <c r="V16" s="367" t="e">
        <f>VLOOKUP(F16,미출!$D:$F,3,0)</f>
        <v>#N/A</v>
      </c>
      <c r="W16" s="78">
        <f>COUNTIF($F$11:$F$11,F16)</f>
        <v>0</v>
      </c>
      <c r="X16" s="78" t="e">
        <f>VLOOKUP(F16,#REF!,7,0)</f>
        <v>#REF!</v>
      </c>
      <c r="Y16" s="79"/>
      <c r="Z16" s="80" t="b">
        <f>N16=Y16</f>
        <v>0</v>
      </c>
    </row>
    <row r="17" spans="1:26" s="28" customFormat="1" ht="24.95" customHeight="1">
      <c r="B17" s="221">
        <v>6</v>
      </c>
      <c r="C17" s="445"/>
      <c r="D17" s="82" t="s">
        <v>955</v>
      </c>
      <c r="E17" s="85">
        <f t="shared" si="0"/>
        <v>194667</v>
      </c>
      <c r="F17" s="446">
        <v>139144</v>
      </c>
      <c r="G17" s="340" t="str">
        <f t="shared" si="1"/>
        <v>NUTO H 46 DRUM 200L:KR</v>
      </c>
      <c r="H17" s="341"/>
      <c r="I17" s="342"/>
      <c r="J17" s="343" t="str">
        <f t="shared" si="2"/>
        <v>DRUM</v>
      </c>
      <c r="K17" s="339" t="str">
        <f t="shared" si="3"/>
        <v>IND</v>
      </c>
      <c r="L17" s="326">
        <v>4</v>
      </c>
      <c r="M17" s="344">
        <f t="shared" si="4"/>
        <v>800</v>
      </c>
      <c r="N17" s="563">
        <f t="shared" si="5"/>
        <v>423000</v>
      </c>
      <c r="O17" s="346">
        <f t="shared" ref="O17" si="13">IF(L17&lt;&gt;0,$L17*$N17,"")</f>
        <v>1692000</v>
      </c>
      <c r="P17" s="544">
        <v>49</v>
      </c>
      <c r="R17" s="75" t="str">
        <f>VLOOKUP(F17,'파레트 제품 리스트'!$B:$F,4,0)</f>
        <v>DRUM</v>
      </c>
      <c r="S17" s="76">
        <f>VLOOKUP(F17,'파레트 제품 리스트'!$B:$F,5,0)</f>
        <v>1</v>
      </c>
      <c r="U17" s="328">
        <f t="shared" si="10"/>
        <v>1861200.0000000002</v>
      </c>
      <c r="V17" s="367" t="e">
        <f>VLOOKUP(F17,미출!$D:$F,3,0)</f>
        <v>#N/A</v>
      </c>
      <c r="W17" s="78">
        <f t="shared" si="11"/>
        <v>0</v>
      </c>
      <c r="X17" s="78" t="e">
        <f>VLOOKUP(F17,#REF!,7,0)</f>
        <v>#REF!</v>
      </c>
      <c r="Y17" s="79"/>
      <c r="Z17" s="80" t="b">
        <f t="shared" si="12"/>
        <v>0</v>
      </c>
    </row>
    <row r="18" spans="1:26" s="28" customFormat="1" ht="24.95" customHeight="1">
      <c r="B18" s="221">
        <v>7</v>
      </c>
      <c r="C18" s="445"/>
      <c r="D18" s="82" t="s">
        <v>955</v>
      </c>
      <c r="E18" s="85">
        <f t="shared" si="0"/>
        <v>194667</v>
      </c>
      <c r="F18" s="446">
        <v>139145</v>
      </c>
      <c r="G18" s="340" t="str">
        <f t="shared" si="1"/>
        <v>NUTO H 46 PAIL 20L:KR</v>
      </c>
      <c r="H18" s="341"/>
      <c r="I18" s="342"/>
      <c r="J18" s="343" t="str">
        <f t="shared" si="2"/>
        <v>PAIL</v>
      </c>
      <c r="K18" s="339" t="str">
        <f t="shared" si="3"/>
        <v>IND</v>
      </c>
      <c r="L18" s="326">
        <v>42</v>
      </c>
      <c r="M18" s="344">
        <f t="shared" si="4"/>
        <v>840</v>
      </c>
      <c r="N18" s="563">
        <f t="shared" si="5"/>
        <v>44000</v>
      </c>
      <c r="O18" s="346">
        <f t="shared" ref="O18:O25" si="14">IF(L18&lt;&gt;0,$L18*$N18,"")</f>
        <v>1848000</v>
      </c>
      <c r="P18" s="544">
        <v>231</v>
      </c>
      <c r="R18" s="75" t="str">
        <f>VLOOKUP(F18,'파레트 제품 리스트'!$B:$F,4,0)</f>
        <v>Full</v>
      </c>
      <c r="S18" s="76">
        <f>VLOOKUP(F18,'파레트 제품 리스트'!$B:$F,5,0)</f>
        <v>42</v>
      </c>
      <c r="U18" s="328">
        <f t="shared" ref="U18:U19" si="15">O18*1.1</f>
        <v>2032800.0000000002</v>
      </c>
      <c r="V18" s="367" t="e">
        <f>VLOOKUP(F18,미출!$D:$F,3,0)</f>
        <v>#N/A</v>
      </c>
      <c r="W18" s="78">
        <f t="shared" ref="W18:W19" si="16">COUNTIF($F$11:$F$11,F18)</f>
        <v>0</v>
      </c>
      <c r="X18" s="78" t="e">
        <f>VLOOKUP(F18,#REF!,7,0)</f>
        <v>#REF!</v>
      </c>
      <c r="Y18" s="79"/>
      <c r="Z18" s="80" t="b">
        <f t="shared" ref="Z18:Z19" si="17">N18=Y18</f>
        <v>0</v>
      </c>
    </row>
    <row r="19" spans="1:26" s="28" customFormat="1" ht="24.95" customHeight="1">
      <c r="B19" s="221">
        <v>8</v>
      </c>
      <c r="C19" s="445"/>
      <c r="D19" s="82" t="s">
        <v>955</v>
      </c>
      <c r="E19" s="85">
        <f t="shared" si="0"/>
        <v>194667</v>
      </c>
      <c r="F19" s="446">
        <v>148662</v>
      </c>
      <c r="G19" s="340" t="str">
        <f t="shared" si="1"/>
        <v>MOBIL VELOCITE 6, 20LT, PAIL</v>
      </c>
      <c r="H19" s="341"/>
      <c r="I19" s="342"/>
      <c r="J19" s="343" t="str">
        <f t="shared" si="2"/>
        <v>PAIL</v>
      </c>
      <c r="K19" s="339" t="str">
        <f t="shared" si="3"/>
        <v>IND</v>
      </c>
      <c r="L19" s="326">
        <v>42</v>
      </c>
      <c r="M19" s="344">
        <f t="shared" si="4"/>
        <v>840</v>
      </c>
      <c r="N19" s="563">
        <f t="shared" si="5"/>
        <v>55400</v>
      </c>
      <c r="O19" s="346">
        <f t="shared" ref="O19" si="18">IF(L19&lt;&gt;0,$L19*$N19,"")</f>
        <v>2326800</v>
      </c>
      <c r="P19" s="544">
        <v>309</v>
      </c>
      <c r="R19" s="75" t="str">
        <f>VLOOKUP(F19,'파레트 제품 리스트'!$B:$F,4,0)</f>
        <v>Full</v>
      </c>
      <c r="S19" s="76">
        <f>VLOOKUP(F19,'파레트 제품 리스트'!$B:$F,5,0)</f>
        <v>42</v>
      </c>
      <c r="U19" s="328">
        <f t="shared" si="15"/>
        <v>2559480</v>
      </c>
      <c r="V19" s="367" t="e">
        <f>VLOOKUP(F19,미출!$D:$F,3,0)</f>
        <v>#N/A</v>
      </c>
      <c r="W19" s="78">
        <f t="shared" si="16"/>
        <v>0</v>
      </c>
      <c r="X19" s="78" t="e">
        <f>VLOOKUP(F19,#REF!,7,0)</f>
        <v>#REF!</v>
      </c>
      <c r="Y19" s="79"/>
      <c r="Z19" s="80" t="b">
        <f t="shared" si="17"/>
        <v>0</v>
      </c>
    </row>
    <row r="20" spans="1:26" s="28" customFormat="1" ht="24.95" customHeight="1">
      <c r="B20" s="221">
        <v>9</v>
      </c>
      <c r="C20" s="445" t="s">
        <v>1079</v>
      </c>
      <c r="D20" s="82" t="s">
        <v>955</v>
      </c>
      <c r="E20" s="85">
        <f t="shared" si="0"/>
        <v>194667</v>
      </c>
      <c r="F20" s="446">
        <v>132528</v>
      </c>
      <c r="G20" s="340" t="str">
        <f t="shared" si="1"/>
        <v>MOBILGREASE FM 222, 16KG/35.2LB</v>
      </c>
      <c r="H20" s="341"/>
      <c r="I20" s="342"/>
      <c r="J20" s="343" t="str">
        <f t="shared" si="2"/>
        <v>PAIL</v>
      </c>
      <c r="K20" s="339" t="str">
        <f t="shared" si="3"/>
        <v>IND</v>
      </c>
      <c r="L20" s="326">
        <v>10</v>
      </c>
      <c r="M20" s="344">
        <f t="shared" si="4"/>
        <v>160</v>
      </c>
      <c r="N20" s="563">
        <f t="shared" si="5"/>
        <v>269000</v>
      </c>
      <c r="O20" s="346">
        <f>IF(L20&lt;&gt;0,$L20*$N20,"")</f>
        <v>2690000</v>
      </c>
      <c r="P20" s="544">
        <v>0</v>
      </c>
      <c r="R20" s="75" t="str">
        <f>VLOOKUP(F20,'파레트 제품 리스트'!$B:$F,4,0)</f>
        <v>MIX (28)</v>
      </c>
      <c r="S20" s="76">
        <f>VLOOKUP(F20,'파레트 제품 리스트'!$B:$F,5,0)</f>
        <v>1</v>
      </c>
      <c r="U20" s="328">
        <f>O20*1.1</f>
        <v>2959000.0000000005</v>
      </c>
      <c r="V20" s="367" t="e">
        <f>VLOOKUP(F20,미출!$D:$F,3,0)</f>
        <v>#N/A</v>
      </c>
      <c r="W20" s="78">
        <f>COUNTIF($F$11:$F$11,F20)</f>
        <v>0</v>
      </c>
      <c r="X20" s="78" t="e">
        <f>VLOOKUP(F20,#REF!,7,0)</f>
        <v>#REF!</v>
      </c>
      <c r="Y20" s="79"/>
      <c r="Z20" s="80" t="b">
        <f>N20=Y20</f>
        <v>0</v>
      </c>
    </row>
    <row r="21" spans="1:26" s="28" customFormat="1" ht="24.95" customHeight="1">
      <c r="B21" s="221">
        <v>10</v>
      </c>
      <c r="C21" s="445"/>
      <c r="D21" s="82" t="s">
        <v>26</v>
      </c>
      <c r="E21" s="85">
        <f t="shared" si="0"/>
        <v>194729</v>
      </c>
      <c r="F21" s="446">
        <v>139135</v>
      </c>
      <c r="G21" s="340" t="str">
        <f t="shared" si="1"/>
        <v>MOBILGEAR 600 XP 320 DRUM 200L:KR</v>
      </c>
      <c r="H21" s="341"/>
      <c r="I21" s="342"/>
      <c r="J21" s="343" t="str">
        <f t="shared" si="2"/>
        <v>DRUM</v>
      </c>
      <c r="K21" s="339" t="str">
        <f t="shared" si="3"/>
        <v>IND</v>
      </c>
      <c r="L21" s="326">
        <v>8</v>
      </c>
      <c r="M21" s="344">
        <f t="shared" si="4"/>
        <v>1600</v>
      </c>
      <c r="N21" s="563">
        <v>502920</v>
      </c>
      <c r="O21" s="346">
        <f>IF(L21&lt;&gt;0,$L21*$N21,"")</f>
        <v>4023360</v>
      </c>
      <c r="P21" s="544">
        <v>33</v>
      </c>
      <c r="R21" s="75" t="str">
        <f>VLOOKUP(F21,'파레트 제품 리스트'!$B:$F,4,0)</f>
        <v>DRUM</v>
      </c>
      <c r="S21" s="76">
        <f>VLOOKUP(F21,'파레트 제품 리스트'!$B:$F,5,0)</f>
        <v>1</v>
      </c>
      <c r="U21" s="328">
        <f>O21*1.1</f>
        <v>4425696</v>
      </c>
      <c r="V21" s="367" t="e">
        <f>VLOOKUP(F21,미출!$D:$F,3,0)</f>
        <v>#N/A</v>
      </c>
      <c r="W21" s="78">
        <f>COUNTIF($F$11:$F$11,F21)</f>
        <v>0</v>
      </c>
      <c r="X21" s="78" t="e">
        <f>VLOOKUP(F21,#REF!,7,0)</f>
        <v>#REF!</v>
      </c>
      <c r="Y21" s="79"/>
      <c r="Z21" s="80" t="b">
        <f>N21=Y21</f>
        <v>0</v>
      </c>
    </row>
    <row r="22" spans="1:26" s="28" customFormat="1" ht="24.95" customHeight="1">
      <c r="B22" s="221">
        <v>11</v>
      </c>
      <c r="C22" s="445"/>
      <c r="D22" s="82" t="s">
        <v>753</v>
      </c>
      <c r="E22" s="85">
        <f t="shared" si="0"/>
        <v>200584</v>
      </c>
      <c r="F22" s="446">
        <v>141746</v>
      </c>
      <c r="G22" s="340" t="str">
        <f t="shared" si="1"/>
        <v>MOBIL DTE 25 ULTRA DRUM 200L:KR</v>
      </c>
      <c r="H22" s="341"/>
      <c r="I22" s="342"/>
      <c r="J22" s="343" t="str">
        <f t="shared" si="2"/>
        <v>DRUM</v>
      </c>
      <c r="K22" s="339" t="str">
        <f t="shared" si="3"/>
        <v>IND</v>
      </c>
      <c r="L22" s="326">
        <v>12</v>
      </c>
      <c r="M22" s="344">
        <f t="shared" si="4"/>
        <v>2400</v>
      </c>
      <c r="N22" s="563">
        <v>433000</v>
      </c>
      <c r="O22" s="346">
        <f>IF(L22&lt;&gt;0,$L22*$N22,"")</f>
        <v>5196000</v>
      </c>
      <c r="P22" s="544">
        <v>300</v>
      </c>
      <c r="R22" s="75" t="str">
        <f>VLOOKUP(F22,'파레트 제품 리스트'!$B:$F,4,0)</f>
        <v>DRUM</v>
      </c>
      <c r="S22" s="76">
        <f>VLOOKUP(F22,'파레트 제품 리스트'!$B:$F,5,0)</f>
        <v>1</v>
      </c>
      <c r="U22" s="328">
        <f>O22*1.1</f>
        <v>5715600</v>
      </c>
      <c r="V22" s="367" t="e">
        <f>VLOOKUP(F22,미출!$D:$F,3,0)</f>
        <v>#N/A</v>
      </c>
      <c r="W22" s="78">
        <f>COUNTIF($F$11:$F$11,F22)</f>
        <v>0</v>
      </c>
      <c r="X22" s="78" t="e">
        <f>VLOOKUP(F22,#REF!,7,0)</f>
        <v>#REF!</v>
      </c>
      <c r="Y22" s="79"/>
      <c r="Z22" s="80" t="b">
        <f>N22=Y22</f>
        <v>0</v>
      </c>
    </row>
    <row r="23" spans="1:26" s="28" customFormat="1" ht="24.95" customHeight="1">
      <c r="B23" s="221">
        <v>12</v>
      </c>
      <c r="C23" s="445"/>
      <c r="D23" s="82" t="s">
        <v>753</v>
      </c>
      <c r="E23" s="85">
        <f t="shared" si="0"/>
        <v>200584</v>
      </c>
      <c r="F23" s="446">
        <v>139134</v>
      </c>
      <c r="G23" s="340" t="str">
        <f t="shared" si="1"/>
        <v>MOBILGEAR 600 XP 220 PAIL 20L:KR</v>
      </c>
      <c r="H23" s="341"/>
      <c r="I23" s="342"/>
      <c r="J23" s="343" t="str">
        <f t="shared" si="2"/>
        <v>PAIL</v>
      </c>
      <c r="K23" s="339" t="str">
        <f t="shared" si="3"/>
        <v>IND</v>
      </c>
      <c r="L23" s="326">
        <v>42</v>
      </c>
      <c r="M23" s="344">
        <f t="shared" si="4"/>
        <v>840</v>
      </c>
      <c r="N23" s="563">
        <v>70500</v>
      </c>
      <c r="O23" s="346">
        <f>IF(L23&lt;&gt;0,$L23*$N23,"")</f>
        <v>2961000</v>
      </c>
      <c r="P23" s="544">
        <v>52</v>
      </c>
      <c r="R23" s="75" t="str">
        <f>VLOOKUP(F23,'파레트 제품 리스트'!$B:$F,4,0)</f>
        <v>Full</v>
      </c>
      <c r="S23" s="76">
        <f>VLOOKUP(F23,'파레트 제품 리스트'!$B:$F,5,0)</f>
        <v>42</v>
      </c>
      <c r="U23" s="328">
        <f t="shared" ref="U23" si="19">O23*1.1</f>
        <v>3257100.0000000005</v>
      </c>
      <c r="V23" s="367" t="e">
        <f>VLOOKUP(F23,미출!$D:$F,3,0)</f>
        <v>#N/A</v>
      </c>
      <c r="W23" s="78">
        <f t="shared" ref="W23" si="20">COUNTIF($F$11:$F$11,F23)</f>
        <v>0</v>
      </c>
      <c r="X23" s="78" t="e">
        <f>VLOOKUP(F23,#REF!,7,0)</f>
        <v>#REF!</v>
      </c>
      <c r="Y23" s="79"/>
      <c r="Z23" s="80" t="b">
        <f t="shared" ref="Z23" si="21">N23=Y23</f>
        <v>0</v>
      </c>
    </row>
    <row r="24" spans="1:26" s="28" customFormat="1" ht="24.95" customHeight="1">
      <c r="B24" s="221">
        <v>13</v>
      </c>
      <c r="C24" s="445"/>
      <c r="D24" s="82" t="s">
        <v>753</v>
      </c>
      <c r="E24" s="85">
        <f t="shared" si="0"/>
        <v>200584</v>
      </c>
      <c r="F24" s="446">
        <v>140263</v>
      </c>
      <c r="G24" s="340" t="str">
        <f t="shared" si="1"/>
        <v>MOBILUX EP 2 PAIL 16KG:SG</v>
      </c>
      <c r="H24" s="341"/>
      <c r="I24" s="342"/>
      <c r="J24" s="343" t="str">
        <f t="shared" si="2"/>
        <v>PAIL</v>
      </c>
      <c r="K24" s="339" t="str">
        <f t="shared" si="3"/>
        <v>IND</v>
      </c>
      <c r="L24" s="326">
        <v>42</v>
      </c>
      <c r="M24" s="344">
        <f t="shared" si="4"/>
        <v>672</v>
      </c>
      <c r="N24" s="563">
        <v>71800</v>
      </c>
      <c r="O24" s="346">
        <f>IF(L24&lt;&gt;0,$L24*$N24,"")</f>
        <v>3015600</v>
      </c>
      <c r="P24" s="544">
        <v>483</v>
      </c>
      <c r="R24" s="75" t="str">
        <f>VLOOKUP(F24,'파레트 제품 리스트'!$B:$F,4,0)</f>
        <v>MIX (28)</v>
      </c>
      <c r="S24" s="76">
        <f>VLOOKUP(F24,'파레트 제품 리스트'!$B:$F,5,0)</f>
        <v>1</v>
      </c>
      <c r="U24" s="328">
        <f>O24*1.1</f>
        <v>3317160.0000000005</v>
      </c>
      <c r="V24" s="367" t="e">
        <f>VLOOKUP(F24,미출!$D:$F,3,0)</f>
        <v>#N/A</v>
      </c>
      <c r="W24" s="78">
        <f>COUNTIF($F$11:$F$11,F24)</f>
        <v>0</v>
      </c>
      <c r="X24" s="78" t="e">
        <f>VLOOKUP(F24,#REF!,7,0)</f>
        <v>#REF!</v>
      </c>
      <c r="Y24" s="79"/>
      <c r="Z24" s="80" t="b">
        <f>N24=Y24</f>
        <v>0</v>
      </c>
    </row>
    <row r="25" spans="1:26" s="28" customFormat="1" ht="24.95" customHeight="1">
      <c r="B25" s="221">
        <v>14</v>
      </c>
      <c r="C25" s="445"/>
      <c r="D25" s="82" t="s">
        <v>955</v>
      </c>
      <c r="E25" s="85">
        <f t="shared" si="0"/>
        <v>194667</v>
      </c>
      <c r="F25" s="446">
        <v>144169</v>
      </c>
      <c r="G25" s="340" t="str">
        <f t="shared" si="1"/>
        <v>MOBIL HYDRAULIC AW 68 PAIL 20L:KR</v>
      </c>
      <c r="H25" s="341"/>
      <c r="I25" s="342"/>
      <c r="J25" s="343" t="str">
        <f t="shared" si="2"/>
        <v>PAIL</v>
      </c>
      <c r="K25" s="339" t="str">
        <f t="shared" si="3"/>
        <v>IND</v>
      </c>
      <c r="L25" s="326">
        <v>28</v>
      </c>
      <c r="M25" s="344">
        <f t="shared" si="4"/>
        <v>560</v>
      </c>
      <c r="N25" s="345">
        <f t="shared" ref="N25" si="22">IF($F25&lt;&gt;0,VLOOKUP($F25,$E$53:$L$546,5,FALSE),"")</f>
        <v>33900</v>
      </c>
      <c r="O25" s="346">
        <f t="shared" si="14"/>
        <v>949200</v>
      </c>
      <c r="P25" s="544"/>
      <c r="R25" s="75" t="e">
        <f>VLOOKUP(F25,'파레트 제품 리스트'!$B:$F,4,0)</f>
        <v>#N/A</v>
      </c>
      <c r="S25" s="76" t="e">
        <f>VLOOKUP(F25,'파레트 제품 리스트'!$B:$F,5,0)</f>
        <v>#N/A</v>
      </c>
      <c r="U25" s="328">
        <f t="shared" ref="U25" si="23">O25*1.1</f>
        <v>1044120.0000000001</v>
      </c>
      <c r="V25" s="367" t="e">
        <f>VLOOKUP(F25,미출!$D:$F,3,0)</f>
        <v>#N/A</v>
      </c>
      <c r="W25" s="78">
        <f t="shared" ref="W25" si="24">COUNTIF($F$11:$F$11,F25)</f>
        <v>0</v>
      </c>
      <c r="X25" s="78" t="e">
        <f>VLOOKUP(F25,#REF!,7,0)</f>
        <v>#REF!</v>
      </c>
      <c r="Y25" s="79"/>
      <c r="Z25" s="80" t="b">
        <f t="shared" ref="Z25" si="25">N25=Y25</f>
        <v>0</v>
      </c>
    </row>
    <row r="26" spans="1:26" s="28" customFormat="1" ht="24.95" customHeight="1" thickBot="1">
      <c r="B26" s="355">
        <v>15</v>
      </c>
      <c r="C26" s="435"/>
      <c r="D26" s="90"/>
      <c r="E26" s="92" t="str">
        <f>IF($D26&lt;&gt;0,VLOOKUP($D26,$D$44:$E$92,2,FALSE),"")</f>
        <v/>
      </c>
      <c r="F26" s="459"/>
      <c r="G26" s="227" t="str">
        <f t="shared" si="1"/>
        <v/>
      </c>
      <c r="H26" s="228"/>
      <c r="I26" s="229"/>
      <c r="J26" s="91" t="str">
        <f t="shared" si="2"/>
        <v/>
      </c>
      <c r="K26" s="92" t="str">
        <f t="shared" si="3"/>
        <v/>
      </c>
      <c r="L26" s="93"/>
      <c r="M26" s="94" t="str">
        <f t="shared" si="4"/>
        <v/>
      </c>
      <c r="N26" s="95"/>
      <c r="O26" s="96" t="str">
        <f t="shared" ref="O26:O27" si="26">IF(L26&lt;&gt;0,$L26*$N26,"")</f>
        <v/>
      </c>
      <c r="P26" s="545"/>
      <c r="R26" s="75" t="e">
        <f>VLOOKUP(F26,'파레트 제품 리스트'!$B:$F,4,0)</f>
        <v>#N/A</v>
      </c>
      <c r="S26" s="76" t="e">
        <f>VLOOKUP(F26,'파레트 제품 리스트'!$B:$F,5,0)</f>
        <v>#N/A</v>
      </c>
      <c r="U26" s="328" t="e">
        <f t="shared" ref="U26" si="27">O26*1.1</f>
        <v>#VALUE!</v>
      </c>
      <c r="V26" s="367" t="e">
        <f>VLOOKUP(F26,미출!$D:$F,3,0)</f>
        <v>#N/A</v>
      </c>
      <c r="W26" s="78">
        <f t="shared" ref="W26" si="28">COUNTIF($F$11:$F$11,F26)</f>
        <v>0</v>
      </c>
      <c r="X26" s="78" t="e">
        <f>VLOOKUP(F26,#REF!,7,0)</f>
        <v>#REF!</v>
      </c>
      <c r="Y26" s="79"/>
      <c r="Z26" s="80" t="b">
        <f t="shared" ref="Z26" si="29">N26=Y26</f>
        <v>1</v>
      </c>
    </row>
    <row r="27" spans="1:26" s="43" customFormat="1" ht="12" customHeight="1" thickTop="1" thickBot="1">
      <c r="A27" s="4"/>
      <c r="B27" s="105"/>
      <c r="C27" s="105"/>
      <c r="D27" s="130"/>
      <c r="E27" s="105"/>
      <c r="F27" s="105"/>
      <c r="G27" s="373"/>
      <c r="H27" s="373"/>
      <c r="I27" s="374"/>
      <c r="J27" s="375" t="str">
        <f>IF($F27&lt;&gt;0,VLOOKUP($F27,$E$91:$M$460,7,FALSE),"")</f>
        <v/>
      </c>
      <c r="K27" s="372" t="str">
        <f>IF($F27&lt;&gt;0,VLOOKUP($F27,$E$91:$M$460,8,FALSE),"")</f>
        <v/>
      </c>
      <c r="L27" s="376"/>
      <c r="M27" s="376" t="str">
        <f>IF($L27&lt;&gt;0,VLOOKUP($F27,$E$91:$M$460,9,FALSE)*$L27,"")</f>
        <v/>
      </c>
      <c r="N27" s="100" t="str">
        <f>IF($F27&lt;&gt;0,VLOOKUP($F27,$E$91:$M$460,5,FALSE),"")</f>
        <v/>
      </c>
      <c r="O27" s="100" t="str">
        <f t="shared" si="26"/>
        <v/>
      </c>
      <c r="P27" s="100"/>
      <c r="U27" s="328"/>
      <c r="V27" s="105"/>
      <c r="W27" s="20"/>
      <c r="X27" s="78"/>
    </row>
    <row r="28" spans="1:26" s="43" customFormat="1" ht="18" customHeight="1" thickBot="1">
      <c r="A28" s="4"/>
      <c r="B28" s="105"/>
      <c r="C28" s="105"/>
      <c r="D28" s="100"/>
      <c r="E28" s="105"/>
      <c r="F28" s="105"/>
      <c r="G28" s="100"/>
      <c r="H28" s="100"/>
      <c r="I28" s="612" t="s">
        <v>18</v>
      </c>
      <c r="J28" s="106" t="s">
        <v>413</v>
      </c>
      <c r="K28" s="107">
        <f>SUM(M12:M26)</f>
        <v>11992</v>
      </c>
      <c r="L28" s="100"/>
      <c r="M28" s="614" t="s">
        <v>19</v>
      </c>
      <c r="N28" s="108" t="s">
        <v>20</v>
      </c>
      <c r="O28" s="616">
        <f>SUM(O12:O26)</f>
        <v>38406360</v>
      </c>
      <c r="P28" s="617"/>
      <c r="U28" s="328"/>
      <c r="V28" s="105"/>
      <c r="W28" s="20"/>
      <c r="X28" s="21"/>
    </row>
    <row r="29" spans="1:26" s="43" customFormat="1" ht="18" customHeight="1" thickBot="1">
      <c r="A29" s="4"/>
      <c r="B29" s="105"/>
      <c r="C29" s="105"/>
      <c r="D29" s="100"/>
      <c r="E29"/>
      <c r="F29" s="105"/>
      <c r="G29" s="100"/>
      <c r="H29" s="100"/>
      <c r="I29" s="613"/>
      <c r="J29" s="109" t="s">
        <v>414</v>
      </c>
      <c r="K29" s="110">
        <f>$K$28/200</f>
        <v>59.96</v>
      </c>
      <c r="L29" s="100"/>
      <c r="M29" s="615"/>
      <c r="N29" s="111" t="s">
        <v>21</v>
      </c>
      <c r="O29" s="618">
        <f>O28*1.1</f>
        <v>42246996</v>
      </c>
      <c r="P29" s="619"/>
      <c r="U29" s="55"/>
      <c r="V29" s="105"/>
      <c r="W29" s="20"/>
      <c r="X29" s="21"/>
    </row>
    <row r="30" spans="1:26" s="43" customFormat="1" ht="16.5" customHeight="1">
      <c r="B30" s="21"/>
      <c r="C30" s="21"/>
      <c r="E30"/>
      <c r="F30" s="21"/>
      <c r="I30" s="42"/>
      <c r="J30" s="61"/>
      <c r="K30" s="21"/>
      <c r="U30" s="42"/>
      <c r="V30" s="105"/>
      <c r="W30" s="21"/>
      <c r="X30" s="21"/>
    </row>
    <row r="31" spans="1:26" ht="16.5" customHeight="1">
      <c r="K31" s="58"/>
      <c r="S31" s="43"/>
    </row>
    <row r="32" spans="1:26" ht="16.5" customHeight="1">
      <c r="A32" s="43"/>
      <c r="L32" s="362" t="e">
        <f>#REF!+#REF!+#REF!+#REF!</f>
        <v>#REF!</v>
      </c>
      <c r="P32" s="12"/>
      <c r="S32" s="43"/>
    </row>
    <row r="33" spans="2:26" ht="16.5" customHeight="1">
      <c r="L33" s="362" t="e">
        <f>+#REF!+#REF!+#REF!+#REF!</f>
        <v>#REF!</v>
      </c>
      <c r="P33" s="12"/>
    </row>
    <row r="34" spans="2:26" ht="16.5" customHeight="1">
      <c r="L34" s="363" t="e">
        <f>L33-L32</f>
        <v>#REF!</v>
      </c>
      <c r="P34" s="12"/>
      <c r="Y34"/>
    </row>
    <row r="35" spans="2:26" ht="16.5" customHeight="1">
      <c r="L35" s="1"/>
    </row>
    <row r="36" spans="2:26" ht="16.5" customHeight="1"/>
    <row r="37" spans="2:26" ht="16.5" customHeight="1"/>
    <row r="38" spans="2:26" ht="16.5" customHeight="1"/>
    <row r="39" spans="2:26" ht="16.5" customHeight="1"/>
    <row r="40" spans="2:26" s="3" customFormat="1" ht="16.5" customHeight="1" thickBot="1">
      <c r="B40" s="2"/>
      <c r="C40" s="2"/>
      <c r="E40" s="2"/>
      <c r="F40" s="2"/>
      <c r="I40" s="13"/>
      <c r="J40" s="16"/>
      <c r="K40" s="2"/>
      <c r="U40" s="45"/>
      <c r="V40" s="366"/>
      <c r="W40" s="56"/>
      <c r="X40" s="56"/>
      <c r="Y40" s="81"/>
      <c r="Z40" s="81"/>
    </row>
    <row r="41" spans="2:26" ht="13.5" customHeight="1">
      <c r="B41" s="598" t="s">
        <v>22</v>
      </c>
      <c r="C41" s="599"/>
      <c r="D41" s="599"/>
      <c r="E41" s="600"/>
    </row>
    <row r="42" spans="2:26" ht="14.25" customHeight="1" thickBot="1">
      <c r="B42" s="601"/>
      <c r="C42" s="602"/>
      <c r="D42" s="602"/>
      <c r="E42" s="603"/>
    </row>
    <row r="43" spans="2:26" ht="14.25" customHeight="1">
      <c r="B43" s="269"/>
      <c r="C43" s="269"/>
      <c r="D43" s="269"/>
      <c r="E43" s="269"/>
      <c r="I43" s="260"/>
      <c r="J43" s="261"/>
      <c r="U43" s="285"/>
    </row>
    <row r="44" spans="2:26" ht="14.25" customHeight="1">
      <c r="B44" s="269"/>
      <c r="C44" s="269"/>
      <c r="D44" s="259" t="s">
        <v>76</v>
      </c>
      <c r="E44" s="259" t="s">
        <v>23</v>
      </c>
      <c r="G44" s="280" t="s">
        <v>77</v>
      </c>
      <c r="H44" s="286" t="s">
        <v>16</v>
      </c>
      <c r="I44" s="232"/>
      <c r="J44" s="232"/>
      <c r="K44" s="233"/>
      <c r="M44" s="274" t="s">
        <v>14</v>
      </c>
      <c r="N44" s="259" t="s">
        <v>15</v>
      </c>
      <c r="O44" s="259"/>
      <c r="U44" s="285"/>
    </row>
    <row r="45" spans="2:26">
      <c r="D45" s="281" t="s">
        <v>955</v>
      </c>
      <c r="E45" s="282">
        <v>194667</v>
      </c>
      <c r="G45" s="281" t="s">
        <v>845</v>
      </c>
      <c r="H45" s="284" t="s">
        <v>792</v>
      </c>
      <c r="I45" s="275"/>
      <c r="J45" s="276"/>
      <c r="K45" s="254"/>
      <c r="L45" s="28"/>
      <c r="M45" s="255"/>
      <c r="N45" s="255"/>
      <c r="O45" s="255"/>
    </row>
    <row r="46" spans="2:26" s="28" customFormat="1" ht="13.5" customHeight="1">
      <c r="B46" s="21"/>
      <c r="C46" s="21"/>
      <c r="D46" s="281" t="s">
        <v>753</v>
      </c>
      <c r="E46" s="282">
        <v>200584</v>
      </c>
      <c r="F46" s="20"/>
      <c r="G46" s="281" t="s">
        <v>801</v>
      </c>
      <c r="H46" s="284" t="s">
        <v>792</v>
      </c>
      <c r="I46" s="275"/>
      <c r="J46" s="276"/>
      <c r="K46" s="254"/>
      <c r="M46" s="255"/>
      <c r="N46" s="255"/>
      <c r="O46" s="255"/>
      <c r="U46" s="29"/>
      <c r="V46" s="105"/>
      <c r="W46" s="20"/>
      <c r="X46" s="20"/>
    </row>
    <row r="47" spans="2:26" s="28" customFormat="1" ht="13.5" customHeight="1">
      <c r="B47" s="21"/>
      <c r="C47" s="21"/>
      <c r="D47" s="281" t="s">
        <v>26</v>
      </c>
      <c r="E47" s="282">
        <v>194729</v>
      </c>
      <c r="F47" s="20"/>
      <c r="G47" s="281" t="s">
        <v>794</v>
      </c>
      <c r="H47" s="284" t="s">
        <v>792</v>
      </c>
      <c r="I47" s="275"/>
      <c r="J47" s="276"/>
      <c r="K47" s="254"/>
      <c r="M47" s="255"/>
      <c r="N47" s="255"/>
      <c r="O47" s="255"/>
      <c r="U47" s="29"/>
      <c r="V47" s="105"/>
      <c r="W47" s="20"/>
      <c r="X47" s="20"/>
    </row>
    <row r="48" spans="2:26" s="28" customFormat="1" ht="13.5" customHeight="1">
      <c r="B48" s="21"/>
      <c r="C48" s="21"/>
      <c r="D48" s="281" t="s">
        <v>817</v>
      </c>
      <c r="E48" s="282">
        <v>194638</v>
      </c>
      <c r="F48" s="20"/>
      <c r="G48" s="281" t="s">
        <v>807</v>
      </c>
      <c r="H48" s="284" t="s">
        <v>792</v>
      </c>
      <c r="I48" s="275"/>
      <c r="J48" s="276"/>
      <c r="K48" s="254"/>
      <c r="M48" s="255"/>
      <c r="N48" s="255"/>
      <c r="O48" s="255"/>
      <c r="U48" s="29"/>
      <c r="V48" s="105"/>
      <c r="W48" s="20"/>
      <c r="X48" s="20"/>
    </row>
    <row r="49" spans="2:24" s="28" customFormat="1" ht="13.5" customHeight="1">
      <c r="B49" s="21"/>
      <c r="C49" s="21"/>
      <c r="D49" s="281" t="s">
        <v>759</v>
      </c>
      <c r="E49" s="282">
        <v>202724</v>
      </c>
      <c r="F49" s="20"/>
      <c r="G49" s="281" t="s">
        <v>799</v>
      </c>
      <c r="H49" s="284" t="s">
        <v>792</v>
      </c>
      <c r="I49" s="275"/>
      <c r="J49" s="276"/>
      <c r="K49" s="254"/>
      <c r="M49" s="255"/>
      <c r="N49" s="255"/>
      <c r="O49" s="255"/>
      <c r="U49" s="29"/>
      <c r="V49" s="105"/>
      <c r="W49" s="20"/>
      <c r="X49" s="20"/>
    </row>
    <row r="50" spans="2:24" s="28" customFormat="1" ht="13.5" customHeight="1">
      <c r="B50" s="21"/>
      <c r="C50" s="21"/>
      <c r="D50" s="283" t="s">
        <v>785</v>
      </c>
      <c r="E50" s="282">
        <v>203805</v>
      </c>
      <c r="F50" s="20"/>
      <c r="G50" s="281" t="s">
        <v>800</v>
      </c>
      <c r="H50" s="284" t="s">
        <v>792</v>
      </c>
      <c r="I50" s="275"/>
      <c r="J50" s="276"/>
      <c r="K50" s="254"/>
      <c r="M50" s="255"/>
      <c r="N50" s="255"/>
      <c r="O50" s="255"/>
      <c r="U50" s="29"/>
      <c r="V50" s="105"/>
      <c r="W50" s="20"/>
      <c r="X50" s="20"/>
    </row>
    <row r="51" spans="2:24" s="28" customFormat="1" ht="13.5" customHeight="1">
      <c r="B51" s="21"/>
      <c r="C51" s="21"/>
      <c r="D51" s="281" t="s">
        <v>788</v>
      </c>
      <c r="E51" s="282">
        <v>215691</v>
      </c>
      <c r="F51" s="20"/>
      <c r="G51" s="281" t="s">
        <v>805</v>
      </c>
      <c r="H51" s="284" t="s">
        <v>792</v>
      </c>
      <c r="I51" s="275"/>
      <c r="J51" s="276"/>
      <c r="K51" s="254"/>
      <c r="M51" s="255"/>
      <c r="N51" s="255"/>
      <c r="O51" s="255"/>
      <c r="U51" s="29"/>
      <c r="V51" s="105"/>
      <c r="W51" s="20"/>
      <c r="X51" s="20"/>
    </row>
    <row r="52" spans="2:24" s="28" customFormat="1" ht="13.5" customHeight="1">
      <c r="B52" s="21"/>
      <c r="C52" s="21"/>
      <c r="D52" s="281" t="s">
        <v>814</v>
      </c>
      <c r="E52" s="282">
        <v>208008</v>
      </c>
      <c r="F52" s="20"/>
      <c r="G52" s="281" t="s">
        <v>808</v>
      </c>
      <c r="H52" s="284" t="s">
        <v>792</v>
      </c>
      <c r="I52" s="275"/>
      <c r="J52" s="276"/>
      <c r="K52" s="254"/>
      <c r="M52" s="255"/>
      <c r="N52" s="255"/>
      <c r="O52" s="255"/>
      <c r="U52" s="29"/>
      <c r="V52" s="105"/>
      <c r="W52" s="20"/>
      <c r="X52" s="20"/>
    </row>
    <row r="53" spans="2:24" s="28" customFormat="1" ht="13.5" customHeight="1">
      <c r="B53" s="21"/>
      <c r="C53" s="21"/>
      <c r="D53" s="281" t="s">
        <v>815</v>
      </c>
      <c r="E53" s="282">
        <v>207998</v>
      </c>
      <c r="F53" s="20"/>
      <c r="G53" s="281" t="s">
        <v>802</v>
      </c>
      <c r="H53" s="284" t="s">
        <v>792</v>
      </c>
      <c r="I53" s="275"/>
      <c r="J53" s="276"/>
      <c r="K53" s="254"/>
      <c r="M53" s="255"/>
      <c r="N53" s="255"/>
      <c r="O53" s="255"/>
      <c r="R53" s="28" t="s">
        <v>861</v>
      </c>
      <c r="U53" s="29"/>
      <c r="V53" s="105"/>
      <c r="W53" s="20"/>
      <c r="X53" s="20"/>
    </row>
    <row r="54" spans="2:24" s="28" customFormat="1" ht="13.5" customHeight="1">
      <c r="B54" s="21"/>
      <c r="C54" s="21"/>
      <c r="D54" s="281" t="s">
        <v>813</v>
      </c>
      <c r="E54" s="282">
        <v>194819</v>
      </c>
      <c r="F54" s="20"/>
      <c r="G54" s="281" t="s">
        <v>74</v>
      </c>
      <c r="H54" s="284" t="s">
        <v>818</v>
      </c>
      <c r="I54" s="275"/>
      <c r="J54" s="276"/>
      <c r="K54" s="254"/>
      <c r="M54" s="255"/>
      <c r="N54" s="255"/>
      <c r="O54" s="255"/>
      <c r="U54" s="29"/>
      <c r="V54" s="105"/>
      <c r="W54" s="20"/>
      <c r="X54" s="20"/>
    </row>
    <row r="55" spans="2:24" s="28" customFormat="1" ht="13.5" customHeight="1">
      <c r="B55" s="21"/>
      <c r="C55" s="21"/>
      <c r="D55" s="283" t="s">
        <v>816</v>
      </c>
      <c r="E55" s="282">
        <v>229113</v>
      </c>
      <c r="F55" s="20"/>
      <c r="G55" s="281" t="s">
        <v>809</v>
      </c>
      <c r="H55" s="284" t="s">
        <v>792</v>
      </c>
      <c r="I55" s="275"/>
      <c r="J55" s="276"/>
      <c r="K55" s="254"/>
      <c r="M55" s="255"/>
      <c r="N55" s="255"/>
      <c r="O55" s="255"/>
      <c r="U55" s="29"/>
      <c r="V55" s="105"/>
      <c r="W55" s="20"/>
      <c r="X55" s="20"/>
    </row>
    <row r="56" spans="2:24">
      <c r="D56" s="281" t="s">
        <v>955</v>
      </c>
      <c r="E56" s="282">
        <v>194667</v>
      </c>
      <c r="G56" s="281" t="s">
        <v>845</v>
      </c>
      <c r="H56" s="284" t="s">
        <v>792</v>
      </c>
      <c r="I56" s="275"/>
      <c r="J56" s="276"/>
      <c r="K56" s="254"/>
      <c r="L56" s="28"/>
      <c r="M56" s="255"/>
      <c r="N56" s="255"/>
      <c r="O56" s="255"/>
    </row>
    <row r="57" spans="2:24" s="28" customFormat="1" ht="13.5" customHeight="1">
      <c r="B57" s="21"/>
      <c r="C57" s="21"/>
      <c r="D57" s="281" t="s">
        <v>812</v>
      </c>
      <c r="E57" s="282">
        <v>237074</v>
      </c>
      <c r="F57" s="20"/>
      <c r="G57" s="281" t="s">
        <v>811</v>
      </c>
      <c r="H57" s="284" t="s">
        <v>819</v>
      </c>
      <c r="I57" s="275"/>
      <c r="J57" s="276"/>
      <c r="K57" s="254"/>
      <c r="M57" s="255"/>
      <c r="N57" s="255"/>
      <c r="O57" s="255"/>
      <c r="U57" s="29"/>
      <c r="V57" s="105"/>
      <c r="W57" s="20"/>
      <c r="X57" s="20"/>
    </row>
    <row r="58" spans="2:24" s="28" customFormat="1" ht="13.5" customHeight="1">
      <c r="B58" s="21"/>
      <c r="C58" s="21"/>
      <c r="D58" s="281" t="s">
        <v>833</v>
      </c>
      <c r="E58" s="282">
        <v>231778</v>
      </c>
      <c r="F58" s="20"/>
      <c r="G58" s="281" t="s">
        <v>810</v>
      </c>
      <c r="H58" s="284" t="s">
        <v>792</v>
      </c>
      <c r="I58" s="275"/>
      <c r="J58" s="276"/>
      <c r="K58" s="254"/>
      <c r="M58" s="255"/>
      <c r="N58" s="255"/>
      <c r="O58" s="255"/>
      <c r="U58" s="29"/>
      <c r="V58" s="105"/>
      <c r="W58" s="20"/>
      <c r="X58" s="20"/>
    </row>
    <row r="59" spans="2:24" s="28" customFormat="1" ht="13.5" customHeight="1">
      <c r="B59" s="21"/>
      <c r="C59" s="21"/>
      <c r="D59" s="283" t="s">
        <v>832</v>
      </c>
      <c r="E59" s="282">
        <v>211914</v>
      </c>
      <c r="F59" s="20"/>
      <c r="G59" s="281"/>
      <c r="H59" s="284"/>
      <c r="I59" s="275"/>
      <c r="J59" s="276"/>
      <c r="K59" s="254"/>
      <c r="M59" s="255"/>
      <c r="N59" s="255"/>
      <c r="O59" s="255"/>
      <c r="U59" s="29"/>
      <c r="V59" s="105"/>
      <c r="W59" s="20"/>
      <c r="X59" s="20"/>
    </row>
    <row r="60" spans="2:24" s="28" customFormat="1" ht="13.5" customHeight="1">
      <c r="B60" s="21"/>
      <c r="C60" s="21"/>
      <c r="D60" s="283" t="s">
        <v>840</v>
      </c>
      <c r="E60" s="282">
        <v>238419</v>
      </c>
      <c r="F60" s="20"/>
      <c r="G60" s="281" t="s">
        <v>841</v>
      </c>
      <c r="H60" s="284" t="s">
        <v>842</v>
      </c>
      <c r="I60" s="277"/>
      <c r="J60" s="278"/>
      <c r="K60" s="20"/>
      <c r="M60" s="255"/>
      <c r="N60" s="255"/>
      <c r="O60" s="255"/>
      <c r="U60" s="29"/>
      <c r="V60" s="105"/>
      <c r="W60" s="20"/>
      <c r="X60" s="20"/>
    </row>
    <row r="61" spans="2:24" s="28" customFormat="1" ht="13.5" customHeight="1">
      <c r="B61" s="21"/>
      <c r="C61" s="21"/>
      <c r="D61" s="283" t="s">
        <v>894</v>
      </c>
      <c r="E61" s="282">
        <v>272022</v>
      </c>
      <c r="F61" s="20"/>
      <c r="G61" s="281"/>
      <c r="H61" s="284"/>
      <c r="I61" s="275"/>
      <c r="J61" s="276"/>
      <c r="K61" s="254"/>
      <c r="M61" s="283"/>
      <c r="N61" s="283"/>
      <c r="O61" s="283"/>
      <c r="U61" s="29"/>
      <c r="V61" s="105"/>
      <c r="W61" s="20"/>
      <c r="X61" s="20"/>
    </row>
    <row r="62" spans="2:24">
      <c r="D62" s="436" t="s">
        <v>1066</v>
      </c>
      <c r="E62" s="1">
        <v>238630</v>
      </c>
    </row>
    <row r="63" spans="2:24" s="28" customFormat="1" ht="13.5" customHeight="1">
      <c r="B63" s="21"/>
      <c r="C63" s="21"/>
      <c r="D63" s="436" t="s">
        <v>897</v>
      </c>
      <c r="E63" s="20">
        <v>273231</v>
      </c>
      <c r="F63" s="20"/>
      <c r="G63" s="281"/>
      <c r="H63" s="284"/>
      <c r="I63" s="277"/>
      <c r="J63" s="278"/>
      <c r="K63" s="20"/>
      <c r="M63" s="255"/>
      <c r="N63" s="255"/>
      <c r="O63" s="255"/>
      <c r="U63" s="29"/>
      <c r="V63" s="105"/>
      <c r="W63" s="20"/>
      <c r="X63" s="20"/>
    </row>
    <row r="64" spans="2:24" s="28" customFormat="1" ht="13.5" customHeight="1">
      <c r="B64" s="21"/>
      <c r="C64" s="21"/>
      <c r="D64" s="436" t="s">
        <v>899</v>
      </c>
      <c r="E64" s="20">
        <v>239950</v>
      </c>
      <c r="F64" s="20"/>
      <c r="G64" s="43"/>
      <c r="H64" s="440"/>
      <c r="I64" s="441"/>
      <c r="J64" s="442"/>
      <c r="K64" s="443"/>
      <c r="U64" s="29"/>
      <c r="V64" s="105"/>
      <c r="W64" s="20"/>
      <c r="X64" s="20"/>
    </row>
    <row r="65" spans="1:24" s="28" customFormat="1" ht="13.5" customHeight="1">
      <c r="B65" s="21"/>
      <c r="C65" s="21"/>
      <c r="D65" s="436" t="s">
        <v>947</v>
      </c>
      <c r="E65" s="20">
        <v>279329</v>
      </c>
      <c r="F65" s="20"/>
      <c r="G65" s="43"/>
      <c r="H65" s="440"/>
      <c r="I65" s="441"/>
      <c r="J65" s="442"/>
      <c r="K65" s="443"/>
      <c r="U65" s="29"/>
      <c r="V65" s="105"/>
      <c r="W65" s="20"/>
      <c r="X65" s="20"/>
    </row>
    <row r="66" spans="1:24" s="28" customFormat="1" ht="13.5" customHeight="1">
      <c r="B66" s="21"/>
      <c r="C66" s="21"/>
      <c r="D66" s="283" t="s">
        <v>884</v>
      </c>
      <c r="E66" s="282">
        <v>272022</v>
      </c>
      <c r="F66" s="20"/>
      <c r="G66" s="281"/>
      <c r="H66" s="284"/>
      <c r="I66" s="275"/>
      <c r="J66" s="276"/>
      <c r="K66" s="254"/>
      <c r="M66" s="255"/>
      <c r="N66" s="255"/>
      <c r="O66" s="255"/>
      <c r="U66" s="29"/>
      <c r="V66" s="105"/>
      <c r="W66" s="20"/>
      <c r="X66" s="20"/>
    </row>
    <row r="67" spans="1:24" s="28" customFormat="1" ht="13.5" customHeight="1">
      <c r="B67" s="21"/>
      <c r="C67" s="21"/>
      <c r="D67" s="436" t="s">
        <v>951</v>
      </c>
      <c r="E67" s="20">
        <v>278724</v>
      </c>
      <c r="F67" s="20"/>
      <c r="G67" s="559"/>
      <c r="H67" s="560"/>
      <c r="I67" s="561"/>
      <c r="J67" s="562"/>
      <c r="K67" s="552"/>
      <c r="M67" s="552"/>
      <c r="N67" s="552"/>
      <c r="O67" s="552"/>
      <c r="U67" s="29"/>
      <c r="V67" s="105"/>
      <c r="W67" s="20"/>
      <c r="X67" s="20"/>
    </row>
    <row r="68" spans="1:24" s="28" customFormat="1" ht="13.5" customHeight="1">
      <c r="B68" s="21"/>
      <c r="C68" s="21"/>
      <c r="D68" s="281" t="s">
        <v>898</v>
      </c>
      <c r="E68" s="282">
        <v>273458</v>
      </c>
      <c r="F68" s="20"/>
      <c r="G68" s="281"/>
      <c r="H68" s="284"/>
      <c r="I68" s="437"/>
      <c r="J68" s="444"/>
      <c r="K68" s="255"/>
      <c r="M68" s="255"/>
      <c r="N68" s="255"/>
      <c r="O68" s="255"/>
      <c r="U68" s="29"/>
      <c r="V68" s="105"/>
      <c r="W68" s="20"/>
      <c r="X68" s="20"/>
    </row>
    <row r="69" spans="1:24" s="28" customFormat="1" ht="13.5" customHeight="1">
      <c r="B69" s="21"/>
      <c r="C69" s="21"/>
      <c r="D69" s="281" t="s">
        <v>896</v>
      </c>
      <c r="E69" s="282">
        <v>273459</v>
      </c>
      <c r="F69" s="20"/>
      <c r="G69" s="281"/>
      <c r="H69" s="284"/>
      <c r="I69" s="275"/>
      <c r="J69" s="279"/>
      <c r="K69" s="254"/>
      <c r="M69" s="255"/>
      <c r="N69" s="255"/>
      <c r="O69" s="255"/>
      <c r="U69" s="29"/>
      <c r="V69" s="105"/>
      <c r="W69" s="20"/>
      <c r="X69" s="20"/>
    </row>
    <row r="70" spans="1:24" s="28" customFormat="1" ht="13.5" customHeight="1">
      <c r="B70" s="21"/>
      <c r="C70" s="21"/>
      <c r="D70" s="436" t="s">
        <v>895</v>
      </c>
      <c r="E70" s="1">
        <v>222604</v>
      </c>
      <c r="F70" s="20"/>
      <c r="G70" s="281"/>
      <c r="H70" s="284"/>
      <c r="I70" s="437"/>
      <c r="J70" s="438"/>
      <c r="K70" s="255"/>
      <c r="M70" s="255"/>
      <c r="N70" s="255"/>
      <c r="O70" s="255"/>
      <c r="U70" s="29"/>
      <c r="V70" s="105"/>
      <c r="W70" s="20"/>
      <c r="X70" s="20"/>
    </row>
    <row r="71" spans="1:24" s="28" customFormat="1" ht="13.5" customHeight="1">
      <c r="B71" s="21"/>
      <c r="C71" s="21"/>
      <c r="E71" s="1"/>
      <c r="F71" s="20"/>
      <c r="G71" s="43"/>
      <c r="H71" s="440"/>
      <c r="I71" s="441"/>
      <c r="J71" s="551"/>
      <c r="K71" s="443"/>
      <c r="M71" s="443"/>
      <c r="N71" s="443"/>
      <c r="O71" s="443"/>
      <c r="U71" s="29"/>
      <c r="V71" s="105"/>
      <c r="W71" s="20"/>
      <c r="X71" s="20"/>
    </row>
    <row r="72" spans="1:24" s="43" customFormat="1" ht="14.25" thickBot="1">
      <c r="A72"/>
      <c r="B72" s="1"/>
      <c r="C72" s="1"/>
      <c r="D72"/>
      <c r="E72" s="1"/>
      <c r="F72" s="1"/>
      <c r="G72"/>
      <c r="H72"/>
      <c r="I72" s="260"/>
      <c r="J72" s="261"/>
      <c r="K72" s="1"/>
      <c r="L72"/>
      <c r="M72"/>
      <c r="N72"/>
      <c r="O72"/>
      <c r="P72"/>
      <c r="Q72"/>
      <c r="R72"/>
      <c r="S72"/>
      <c r="T72"/>
      <c r="U72" s="42"/>
      <c r="V72" s="100"/>
    </row>
    <row r="73" spans="1:24" s="43" customFormat="1" ht="18" customHeight="1" thickBot="1">
      <c r="A73"/>
      <c r="B73" s="1"/>
      <c r="C73" s="1"/>
      <c r="D73" s="604"/>
      <c r="E73" s="605"/>
      <c r="F73" s="1"/>
      <c r="G73"/>
      <c r="H73"/>
      <c r="I73" s="12"/>
      <c r="J73" s="15"/>
      <c r="K73" s="1"/>
      <c r="L73"/>
      <c r="M73"/>
      <c r="N73"/>
      <c r="O73"/>
      <c r="P73"/>
      <c r="Q73"/>
      <c r="R73"/>
      <c r="S73"/>
      <c r="T73"/>
      <c r="U73" s="42"/>
      <c r="V73" s="100"/>
    </row>
    <row r="74" spans="1:24" s="28" customFormat="1" ht="16.5" customHeight="1">
      <c r="D74" s="329" t="s">
        <v>27</v>
      </c>
      <c r="E74" s="330" t="s">
        <v>23</v>
      </c>
      <c r="F74" s="331" t="s">
        <v>28</v>
      </c>
      <c r="G74" s="332" t="s">
        <v>28</v>
      </c>
      <c r="H74" s="332" t="s">
        <v>28</v>
      </c>
      <c r="I74" s="333" t="s">
        <v>29</v>
      </c>
      <c r="J74" s="334" t="s">
        <v>30</v>
      </c>
      <c r="K74" s="335" t="s">
        <v>31</v>
      </c>
      <c r="L74" s="335" t="s">
        <v>32</v>
      </c>
      <c r="M74" s="335" t="s">
        <v>33</v>
      </c>
      <c r="U74" s="29"/>
      <c r="V74" s="100"/>
    </row>
    <row r="75" spans="1:24" s="28" customFormat="1" ht="16.5" customHeight="1">
      <c r="B75" s="20"/>
      <c r="C75" s="20"/>
      <c r="D75" s="254"/>
      <c r="E75" s="379">
        <v>144165</v>
      </c>
      <c r="F75" s="395" t="s">
        <v>750</v>
      </c>
      <c r="G75" s="396"/>
      <c r="H75" s="397"/>
      <c r="I75" s="383">
        <v>31200</v>
      </c>
      <c r="J75" s="398">
        <v>144165</v>
      </c>
      <c r="K75" s="399" t="s">
        <v>70</v>
      </c>
      <c r="L75" s="399" t="s">
        <v>34</v>
      </c>
      <c r="M75" s="399">
        <v>20</v>
      </c>
      <c r="N75" s="356">
        <v>34300</v>
      </c>
      <c r="O75" s="28" t="b">
        <f t="shared" ref="O75:O80" si="30">I75=N75</f>
        <v>0</v>
      </c>
    </row>
    <row r="76" spans="1:24" s="28" customFormat="1" ht="16.5" customHeight="1">
      <c r="B76" s="20"/>
      <c r="C76" s="20"/>
      <c r="D76" s="254"/>
      <c r="E76" s="379">
        <v>144166</v>
      </c>
      <c r="F76" s="395" t="s">
        <v>748</v>
      </c>
      <c r="G76" s="396"/>
      <c r="H76" s="397"/>
      <c r="I76" s="383">
        <v>289000</v>
      </c>
      <c r="J76" s="398">
        <v>144166</v>
      </c>
      <c r="K76" s="399" t="s">
        <v>71</v>
      </c>
      <c r="L76" s="399" t="s">
        <v>34</v>
      </c>
      <c r="M76" s="399">
        <v>200</v>
      </c>
      <c r="N76" s="356">
        <v>318000</v>
      </c>
      <c r="O76" s="28" t="b">
        <f t="shared" si="30"/>
        <v>0</v>
      </c>
    </row>
    <row r="77" spans="1:24" s="28" customFormat="1" ht="16.5" customHeight="1">
      <c r="B77" s="20"/>
      <c r="C77" s="20"/>
      <c r="D77" s="254"/>
      <c r="E77" s="379">
        <v>144167</v>
      </c>
      <c r="F77" s="395" t="s">
        <v>745</v>
      </c>
      <c r="G77" s="396"/>
      <c r="H77" s="397"/>
      <c r="I77" s="383">
        <v>31200</v>
      </c>
      <c r="J77" s="398">
        <v>144167</v>
      </c>
      <c r="K77" s="399" t="s">
        <v>70</v>
      </c>
      <c r="L77" s="399" t="s">
        <v>34</v>
      </c>
      <c r="M77" s="399">
        <v>20</v>
      </c>
      <c r="N77" s="356">
        <v>34300</v>
      </c>
      <c r="O77" s="28" t="b">
        <f t="shared" si="30"/>
        <v>0</v>
      </c>
    </row>
    <row r="78" spans="1:24" s="28" customFormat="1" ht="16.5" customHeight="1">
      <c r="B78" s="20"/>
      <c r="C78" s="20"/>
      <c r="D78" s="254"/>
      <c r="E78" s="379">
        <v>144168</v>
      </c>
      <c r="F78" s="395" t="s">
        <v>744</v>
      </c>
      <c r="G78" s="396"/>
      <c r="H78" s="397"/>
      <c r="I78" s="383">
        <v>289000</v>
      </c>
      <c r="J78" s="398">
        <v>144168</v>
      </c>
      <c r="K78" s="399" t="s">
        <v>71</v>
      </c>
      <c r="L78" s="399" t="s">
        <v>34</v>
      </c>
      <c r="M78" s="399">
        <v>200</v>
      </c>
      <c r="N78" s="356">
        <v>318000</v>
      </c>
      <c r="O78" s="28" t="b">
        <f t="shared" si="30"/>
        <v>0</v>
      </c>
    </row>
    <row r="79" spans="1:24" s="28" customFormat="1" ht="16.5" customHeight="1">
      <c r="B79" s="20"/>
      <c r="C79" s="20"/>
      <c r="D79" s="254"/>
      <c r="E79" s="379">
        <v>144169</v>
      </c>
      <c r="F79" s="395" t="s">
        <v>751</v>
      </c>
      <c r="G79" s="396"/>
      <c r="H79" s="397"/>
      <c r="I79" s="383">
        <v>33900</v>
      </c>
      <c r="J79" s="398">
        <v>144169</v>
      </c>
      <c r="K79" s="399" t="s">
        <v>70</v>
      </c>
      <c r="L79" s="399" t="s">
        <v>34</v>
      </c>
      <c r="M79" s="399">
        <v>20</v>
      </c>
      <c r="N79" s="356">
        <v>35300</v>
      </c>
      <c r="O79" s="28" t="b">
        <f t="shared" si="30"/>
        <v>0</v>
      </c>
    </row>
    <row r="80" spans="1:24" s="28" customFormat="1" ht="16.5" customHeight="1">
      <c r="B80" s="20"/>
      <c r="C80" s="20"/>
      <c r="D80" s="254"/>
      <c r="E80" s="379">
        <v>144170</v>
      </c>
      <c r="F80" s="395" t="s">
        <v>752</v>
      </c>
      <c r="G80" s="396"/>
      <c r="H80" s="397"/>
      <c r="I80" s="383">
        <v>314000</v>
      </c>
      <c r="J80" s="398">
        <v>144170</v>
      </c>
      <c r="K80" s="399" t="s">
        <v>71</v>
      </c>
      <c r="L80" s="399" t="s">
        <v>34</v>
      </c>
      <c r="M80" s="399">
        <v>200</v>
      </c>
      <c r="N80" s="356">
        <v>328000</v>
      </c>
      <c r="O80" s="28" t="b">
        <f t="shared" si="30"/>
        <v>0</v>
      </c>
    </row>
    <row r="81" spans="2:15" s="28" customFormat="1" ht="16.5" customHeight="1">
      <c r="B81" s="20"/>
      <c r="C81" s="20"/>
      <c r="D81" s="255"/>
      <c r="E81" s="379">
        <v>135916</v>
      </c>
      <c r="F81" s="395" t="s">
        <v>516</v>
      </c>
      <c r="G81" s="460"/>
      <c r="H81" s="461"/>
      <c r="I81" s="462">
        <v>520000</v>
      </c>
      <c r="J81" s="398">
        <v>135916</v>
      </c>
      <c r="K81" s="399" t="s">
        <v>71</v>
      </c>
      <c r="L81" s="399" t="s">
        <v>34</v>
      </c>
      <c r="M81" s="399">
        <v>200</v>
      </c>
      <c r="N81" s="356">
        <v>547000</v>
      </c>
      <c r="O81" s="28" t="b">
        <v>1</v>
      </c>
    </row>
    <row r="82" spans="2:15" s="28" customFormat="1" ht="16.5" customHeight="1">
      <c r="B82" s="20"/>
      <c r="C82" s="20"/>
      <c r="D82" s="255"/>
      <c r="E82" s="379">
        <v>139029</v>
      </c>
      <c r="F82" s="395" t="s">
        <v>574</v>
      </c>
      <c r="G82" s="460"/>
      <c r="H82" s="461"/>
      <c r="I82" s="462">
        <v>508000</v>
      </c>
      <c r="J82" s="398">
        <v>139029</v>
      </c>
      <c r="K82" s="399" t="s">
        <v>71</v>
      </c>
      <c r="L82" s="399" t="s">
        <v>34</v>
      </c>
      <c r="M82" s="399">
        <v>200</v>
      </c>
      <c r="N82" s="356">
        <v>535000</v>
      </c>
      <c r="O82" s="28" t="b">
        <v>1</v>
      </c>
    </row>
    <row r="83" spans="2:15" s="28" customFormat="1" ht="16.5" customHeight="1">
      <c r="B83" s="20"/>
      <c r="C83" s="20"/>
      <c r="D83" s="255"/>
      <c r="E83" s="379">
        <v>139030</v>
      </c>
      <c r="F83" s="395" t="s">
        <v>236</v>
      </c>
      <c r="G83" s="460"/>
      <c r="H83" s="461"/>
      <c r="I83" s="462">
        <v>54300</v>
      </c>
      <c r="J83" s="398">
        <v>139030</v>
      </c>
      <c r="K83" s="399" t="s">
        <v>70</v>
      </c>
      <c r="L83" s="399" t="s">
        <v>34</v>
      </c>
      <c r="M83" s="399">
        <v>20</v>
      </c>
      <c r="N83" s="356">
        <v>54500</v>
      </c>
      <c r="O83" s="28" t="b">
        <v>1</v>
      </c>
    </row>
    <row r="84" spans="2:15" s="28" customFormat="1" ht="16.5" customHeight="1">
      <c r="B84" s="20"/>
      <c r="C84" s="20"/>
      <c r="D84" s="255"/>
      <c r="E84" s="379">
        <v>139084</v>
      </c>
      <c r="F84" s="395" t="s">
        <v>243</v>
      </c>
      <c r="G84" s="463"/>
      <c r="H84" s="464"/>
      <c r="I84" s="462">
        <v>55700</v>
      </c>
      <c r="J84" s="399">
        <v>139084</v>
      </c>
      <c r="K84" s="399" t="s">
        <v>70</v>
      </c>
      <c r="L84" s="399" t="s">
        <v>34</v>
      </c>
      <c r="M84" s="399">
        <v>20</v>
      </c>
      <c r="N84" s="356">
        <v>58600</v>
      </c>
      <c r="O84" s="28" t="b">
        <v>1</v>
      </c>
    </row>
    <row r="85" spans="2:15" s="28" customFormat="1" ht="16.5" customHeight="1">
      <c r="B85" s="20"/>
      <c r="C85" s="20"/>
      <c r="D85" s="255"/>
      <c r="E85" s="379">
        <v>139085</v>
      </c>
      <c r="F85" s="395" t="s">
        <v>593</v>
      </c>
      <c r="G85" s="463"/>
      <c r="H85" s="464"/>
      <c r="I85" s="462">
        <v>508000</v>
      </c>
      <c r="J85" s="398">
        <v>139085</v>
      </c>
      <c r="K85" s="399" t="s">
        <v>71</v>
      </c>
      <c r="L85" s="399" t="s">
        <v>34</v>
      </c>
      <c r="M85" s="399">
        <v>200</v>
      </c>
      <c r="N85" s="356">
        <v>535000</v>
      </c>
      <c r="O85" s="28" t="b">
        <v>1</v>
      </c>
    </row>
    <row r="86" spans="2:15" s="28" customFormat="1" ht="16.5" customHeight="1">
      <c r="B86" s="20"/>
      <c r="C86" s="20"/>
      <c r="D86" s="255"/>
      <c r="E86" s="379">
        <v>139086</v>
      </c>
      <c r="F86" s="395" t="s">
        <v>226</v>
      </c>
      <c r="G86" s="463"/>
      <c r="H86" s="464"/>
      <c r="I86" s="462">
        <v>54300</v>
      </c>
      <c r="J86" s="398">
        <v>139086</v>
      </c>
      <c r="K86" s="399" t="s">
        <v>70</v>
      </c>
      <c r="L86" s="399" t="s">
        <v>34</v>
      </c>
      <c r="M86" s="399">
        <v>20</v>
      </c>
      <c r="N86" s="356">
        <v>54500</v>
      </c>
      <c r="O86" s="28" t="b">
        <v>1</v>
      </c>
    </row>
    <row r="87" spans="2:15" s="28" customFormat="1" ht="16.5" customHeight="1">
      <c r="B87" s="20"/>
      <c r="C87" s="20"/>
      <c r="D87" s="255"/>
      <c r="E87" s="379">
        <v>139087</v>
      </c>
      <c r="F87" s="395" t="s">
        <v>594</v>
      </c>
      <c r="G87" s="463"/>
      <c r="H87" s="464"/>
      <c r="I87" s="462">
        <v>520000</v>
      </c>
      <c r="J87" s="398">
        <v>139087</v>
      </c>
      <c r="K87" s="399" t="s">
        <v>71</v>
      </c>
      <c r="L87" s="399" t="s">
        <v>34</v>
      </c>
      <c r="M87" s="399">
        <v>200</v>
      </c>
      <c r="N87" s="356">
        <v>547000</v>
      </c>
      <c r="O87" s="28" t="b">
        <v>1</v>
      </c>
    </row>
    <row r="88" spans="2:15" s="28" customFormat="1" ht="16.5" customHeight="1">
      <c r="B88" s="20"/>
      <c r="C88" s="20"/>
      <c r="D88" s="255"/>
      <c r="E88" s="379">
        <v>139088</v>
      </c>
      <c r="F88" s="395" t="s">
        <v>234</v>
      </c>
      <c r="G88" s="463"/>
      <c r="H88" s="464"/>
      <c r="I88" s="462">
        <v>55700</v>
      </c>
      <c r="J88" s="398">
        <v>139088</v>
      </c>
      <c r="K88" s="399" t="s">
        <v>70</v>
      </c>
      <c r="L88" s="399" t="s">
        <v>34</v>
      </c>
      <c r="M88" s="399">
        <v>20</v>
      </c>
      <c r="N88" s="356">
        <v>58600</v>
      </c>
      <c r="O88" s="28" t="b">
        <v>1</v>
      </c>
    </row>
    <row r="89" spans="2:15" s="28" customFormat="1" ht="16.5" customHeight="1">
      <c r="B89" s="20"/>
      <c r="C89" s="20"/>
      <c r="D89" s="255"/>
      <c r="E89" s="379">
        <v>147133</v>
      </c>
      <c r="F89" s="395" t="s">
        <v>1058</v>
      </c>
      <c r="G89" s="460"/>
      <c r="H89" s="461"/>
      <c r="I89" s="462">
        <v>1198000</v>
      </c>
      <c r="J89" s="398">
        <v>147133</v>
      </c>
      <c r="K89" s="399" t="s">
        <v>71</v>
      </c>
      <c r="L89" s="399" t="s">
        <v>34</v>
      </c>
      <c r="M89" s="399">
        <v>200</v>
      </c>
      <c r="N89" s="356"/>
    </row>
    <row r="90" spans="2:15" s="28" customFormat="1" ht="16.5" customHeight="1">
      <c r="B90" s="20"/>
      <c r="C90" s="20"/>
      <c r="D90" s="552"/>
      <c r="E90" s="553">
        <v>142722</v>
      </c>
      <c r="F90" s="554" t="s">
        <v>1075</v>
      </c>
      <c r="G90" s="555"/>
      <c r="H90" s="556"/>
      <c r="I90" s="557">
        <v>430000</v>
      </c>
      <c r="J90" s="558">
        <v>142722</v>
      </c>
      <c r="K90" s="399" t="s">
        <v>71</v>
      </c>
      <c r="L90" s="399" t="s">
        <v>34</v>
      </c>
      <c r="M90" s="399">
        <v>200</v>
      </c>
      <c r="N90" s="356"/>
    </row>
    <row r="91" spans="2:15" s="28" customFormat="1" ht="16.5" customHeight="1">
      <c r="B91" s="20"/>
      <c r="C91" s="20"/>
      <c r="D91" s="254"/>
      <c r="E91" s="379">
        <v>120645</v>
      </c>
      <c r="F91" s="380" t="s">
        <v>53</v>
      </c>
      <c r="G91" s="381"/>
      <c r="H91" s="382"/>
      <c r="I91" s="383">
        <v>2213000</v>
      </c>
      <c r="J91" s="384">
        <v>120645</v>
      </c>
      <c r="K91" s="378" t="s">
        <v>71</v>
      </c>
      <c r="L91" s="378" t="s">
        <v>78</v>
      </c>
      <c r="M91" s="378">
        <v>200</v>
      </c>
      <c r="N91" s="356">
        <v>2213000</v>
      </c>
      <c r="O91" s="28" t="b">
        <f>I91=N91</f>
        <v>1</v>
      </c>
    </row>
    <row r="92" spans="2:15" s="28" customFormat="1" ht="16.5" customHeight="1">
      <c r="B92" s="20"/>
      <c r="C92" s="20"/>
      <c r="D92" s="254"/>
      <c r="E92" s="379">
        <v>122916</v>
      </c>
      <c r="F92" s="380" t="s">
        <v>54</v>
      </c>
      <c r="G92" s="381"/>
      <c r="H92" s="382"/>
      <c r="I92" s="383">
        <v>140000</v>
      </c>
      <c r="J92" s="384">
        <v>122916</v>
      </c>
      <c r="K92" s="378" t="s">
        <v>72</v>
      </c>
      <c r="L92" s="378" t="s">
        <v>78</v>
      </c>
      <c r="M92" s="378">
        <v>12</v>
      </c>
      <c r="N92" s="356">
        <v>140000</v>
      </c>
      <c r="O92" s="28" t="b">
        <f t="shared" ref="O92:O155" si="31">I92=N92</f>
        <v>1</v>
      </c>
    </row>
    <row r="93" spans="2:15" s="28" customFormat="1" ht="16.5" customHeight="1">
      <c r="B93" s="20"/>
      <c r="C93" s="20"/>
      <c r="D93" s="254"/>
      <c r="E93" s="379">
        <v>129171</v>
      </c>
      <c r="F93" s="380" t="s">
        <v>58</v>
      </c>
      <c r="G93" s="381"/>
      <c r="H93" s="382"/>
      <c r="I93" s="383">
        <v>59700</v>
      </c>
      <c r="J93" s="384">
        <v>129171</v>
      </c>
      <c r="K93" s="378" t="s">
        <v>70</v>
      </c>
      <c r="L93" s="378" t="s">
        <v>0</v>
      </c>
      <c r="M93" s="378">
        <v>20</v>
      </c>
      <c r="N93" s="356">
        <v>59700</v>
      </c>
      <c r="O93" s="28" t="b">
        <f t="shared" si="31"/>
        <v>1</v>
      </c>
    </row>
    <row r="94" spans="2:15" s="28" customFormat="1" ht="16.5" customHeight="1">
      <c r="B94" s="20"/>
      <c r="C94" s="20"/>
      <c r="D94" s="254"/>
      <c r="E94" s="379">
        <v>129174</v>
      </c>
      <c r="F94" s="380" t="s">
        <v>60</v>
      </c>
      <c r="G94" s="381"/>
      <c r="H94" s="382"/>
      <c r="I94" s="383">
        <v>70200</v>
      </c>
      <c r="J94" s="384">
        <v>129174</v>
      </c>
      <c r="K94" s="378" t="s">
        <v>70</v>
      </c>
      <c r="L94" s="378" t="s">
        <v>0</v>
      </c>
      <c r="M94" s="378">
        <v>20</v>
      </c>
      <c r="N94" s="356">
        <v>70200</v>
      </c>
      <c r="O94" s="28" t="b">
        <f t="shared" si="31"/>
        <v>1</v>
      </c>
    </row>
    <row r="95" spans="2:15" s="28" customFormat="1" ht="16.5" customHeight="1">
      <c r="B95" s="20"/>
      <c r="C95" s="20"/>
      <c r="D95" s="254"/>
      <c r="E95" s="379">
        <v>134989</v>
      </c>
      <c r="F95" s="380" t="s">
        <v>42</v>
      </c>
      <c r="G95" s="381"/>
      <c r="H95" s="382"/>
      <c r="I95" s="383">
        <v>90900</v>
      </c>
      <c r="J95" s="384">
        <v>134989</v>
      </c>
      <c r="K95" s="378" t="s">
        <v>70</v>
      </c>
      <c r="L95" s="378" t="s">
        <v>0</v>
      </c>
      <c r="M95" s="378">
        <v>20</v>
      </c>
      <c r="N95" s="356">
        <v>90900</v>
      </c>
      <c r="O95" s="28" t="b">
        <f t="shared" si="31"/>
        <v>1</v>
      </c>
    </row>
    <row r="96" spans="2:15" s="28" customFormat="1" ht="16.5" customHeight="1">
      <c r="B96" s="20"/>
      <c r="C96" s="20"/>
      <c r="D96" s="254"/>
      <c r="E96" s="379">
        <v>135691</v>
      </c>
      <c r="F96" s="380" t="s">
        <v>62</v>
      </c>
      <c r="G96" s="381"/>
      <c r="H96" s="382"/>
      <c r="I96" s="383">
        <v>91100</v>
      </c>
      <c r="J96" s="384">
        <v>135691</v>
      </c>
      <c r="K96" s="378" t="s">
        <v>70</v>
      </c>
      <c r="L96" s="378" t="s">
        <v>0</v>
      </c>
      <c r="M96" s="378">
        <v>20</v>
      </c>
      <c r="N96" s="356">
        <v>91100</v>
      </c>
      <c r="O96" s="28" t="b">
        <f t="shared" si="31"/>
        <v>1</v>
      </c>
    </row>
    <row r="97" spans="2:15" s="28" customFormat="1" ht="16.5" customHeight="1">
      <c r="B97" s="20"/>
      <c r="C97" s="20"/>
      <c r="D97" s="254"/>
      <c r="E97" s="379">
        <v>138838</v>
      </c>
      <c r="F97" s="380" t="s">
        <v>40</v>
      </c>
      <c r="G97" s="381"/>
      <c r="H97" s="382"/>
      <c r="I97" s="383">
        <v>615000</v>
      </c>
      <c r="J97" s="384">
        <v>138838</v>
      </c>
      <c r="K97" s="378" t="s">
        <v>71</v>
      </c>
      <c r="L97" s="378" t="s">
        <v>0</v>
      </c>
      <c r="M97" s="378">
        <v>200</v>
      </c>
      <c r="N97" s="356">
        <v>615000</v>
      </c>
      <c r="O97" s="28" t="b">
        <f t="shared" si="31"/>
        <v>1</v>
      </c>
    </row>
    <row r="98" spans="2:15" s="28" customFormat="1" ht="16.5" customHeight="1">
      <c r="B98" s="20"/>
      <c r="C98" s="20"/>
      <c r="D98" s="254"/>
      <c r="E98" s="379">
        <v>138840</v>
      </c>
      <c r="F98" s="380" t="s">
        <v>87</v>
      </c>
      <c r="G98" s="381"/>
      <c r="H98" s="382"/>
      <c r="I98" s="383">
        <v>65600</v>
      </c>
      <c r="J98" s="384">
        <v>138840</v>
      </c>
      <c r="K98" s="378" t="s">
        <v>70</v>
      </c>
      <c r="L98" s="378" t="s">
        <v>0</v>
      </c>
      <c r="M98" s="378">
        <v>20</v>
      </c>
      <c r="N98" s="356">
        <v>65600</v>
      </c>
      <c r="O98" s="28" t="b">
        <f t="shared" si="31"/>
        <v>1</v>
      </c>
    </row>
    <row r="99" spans="2:15" s="28" customFormat="1" ht="16.5" customHeight="1">
      <c r="B99" s="20"/>
      <c r="C99" s="20"/>
      <c r="D99" s="254"/>
      <c r="E99" s="379">
        <v>138851</v>
      </c>
      <c r="F99" s="380" t="s">
        <v>48</v>
      </c>
      <c r="G99" s="381"/>
      <c r="H99" s="382"/>
      <c r="I99" s="383">
        <v>1193000</v>
      </c>
      <c r="J99" s="384">
        <v>138851</v>
      </c>
      <c r="K99" s="378" t="s">
        <v>71</v>
      </c>
      <c r="L99" s="378" t="s">
        <v>0</v>
      </c>
      <c r="M99" s="378">
        <v>208</v>
      </c>
      <c r="N99" s="356">
        <v>1193000</v>
      </c>
      <c r="O99" s="28" t="b">
        <f t="shared" si="31"/>
        <v>1</v>
      </c>
    </row>
    <row r="100" spans="2:15" s="28" customFormat="1" ht="16.5" customHeight="1">
      <c r="B100" s="20"/>
      <c r="C100" s="20"/>
      <c r="D100" s="254"/>
      <c r="E100" s="379">
        <v>138889</v>
      </c>
      <c r="F100" s="380" t="s">
        <v>55</v>
      </c>
      <c r="G100" s="381"/>
      <c r="H100" s="382"/>
      <c r="I100" s="383">
        <v>520000</v>
      </c>
      <c r="J100" s="384">
        <v>138889</v>
      </c>
      <c r="K100" s="378" t="s">
        <v>71</v>
      </c>
      <c r="L100" s="378" t="s">
        <v>0</v>
      </c>
      <c r="M100" s="378">
        <v>200</v>
      </c>
      <c r="N100" s="356">
        <v>520000</v>
      </c>
      <c r="O100" s="28" t="b">
        <f t="shared" si="31"/>
        <v>1</v>
      </c>
    </row>
    <row r="101" spans="2:15" s="28" customFormat="1" ht="16.5" customHeight="1">
      <c r="B101" s="20"/>
      <c r="C101" s="20"/>
      <c r="D101" s="254"/>
      <c r="E101" s="379">
        <v>138890</v>
      </c>
      <c r="F101" s="380" t="s">
        <v>56</v>
      </c>
      <c r="G101" s="381"/>
      <c r="H101" s="382"/>
      <c r="I101" s="383">
        <v>54000</v>
      </c>
      <c r="J101" s="384">
        <v>138890</v>
      </c>
      <c r="K101" s="378" t="s">
        <v>70</v>
      </c>
      <c r="L101" s="378" t="s">
        <v>0</v>
      </c>
      <c r="M101" s="378">
        <v>20</v>
      </c>
      <c r="N101" s="356">
        <v>54000</v>
      </c>
      <c r="O101" s="28" t="b">
        <f t="shared" si="31"/>
        <v>1</v>
      </c>
    </row>
    <row r="102" spans="2:15" s="28" customFormat="1" ht="16.5" customHeight="1">
      <c r="B102" s="20"/>
      <c r="C102" s="20"/>
      <c r="D102" s="254"/>
      <c r="E102" s="379">
        <v>138893</v>
      </c>
      <c r="F102" s="380" t="s">
        <v>57</v>
      </c>
      <c r="G102" s="381"/>
      <c r="H102" s="382"/>
      <c r="I102" s="383">
        <v>552000</v>
      </c>
      <c r="J102" s="384">
        <v>138893</v>
      </c>
      <c r="K102" s="378" t="s">
        <v>71</v>
      </c>
      <c r="L102" s="378" t="s">
        <v>0</v>
      </c>
      <c r="M102" s="378">
        <v>200</v>
      </c>
      <c r="N102" s="356">
        <v>552000</v>
      </c>
      <c r="O102" s="28" t="b">
        <f t="shared" si="31"/>
        <v>1</v>
      </c>
    </row>
    <row r="103" spans="2:15" s="28" customFormat="1" ht="16.5" customHeight="1">
      <c r="B103" s="20"/>
      <c r="C103" s="20"/>
      <c r="D103" s="254"/>
      <c r="E103" s="379">
        <v>138895</v>
      </c>
      <c r="F103" s="380" t="s">
        <v>59</v>
      </c>
      <c r="G103" s="381"/>
      <c r="H103" s="382"/>
      <c r="I103" s="383">
        <v>662000</v>
      </c>
      <c r="J103" s="384">
        <v>138895</v>
      </c>
      <c r="K103" s="378" t="s">
        <v>71</v>
      </c>
      <c r="L103" s="378" t="s">
        <v>0</v>
      </c>
      <c r="M103" s="378">
        <v>200</v>
      </c>
      <c r="N103" s="356">
        <v>662000</v>
      </c>
      <c r="O103" s="28" t="b">
        <f t="shared" si="31"/>
        <v>1</v>
      </c>
    </row>
    <row r="104" spans="2:15" s="28" customFormat="1" ht="16.5" customHeight="1">
      <c r="B104" s="20"/>
      <c r="C104" s="20"/>
      <c r="D104" s="254"/>
      <c r="E104" s="379">
        <v>138897</v>
      </c>
      <c r="F104" s="380" t="s">
        <v>61</v>
      </c>
      <c r="G104" s="381"/>
      <c r="H104" s="382"/>
      <c r="I104" s="383">
        <v>885000</v>
      </c>
      <c r="J104" s="384">
        <v>138897</v>
      </c>
      <c r="K104" s="378" t="s">
        <v>71</v>
      </c>
      <c r="L104" s="378" t="s">
        <v>0</v>
      </c>
      <c r="M104" s="378">
        <v>200</v>
      </c>
      <c r="N104" s="356">
        <v>885000</v>
      </c>
      <c r="O104" s="28" t="b">
        <f t="shared" si="31"/>
        <v>1</v>
      </c>
    </row>
    <row r="105" spans="2:15" s="28" customFormat="1" ht="16.5" customHeight="1">
      <c r="B105" s="20"/>
      <c r="C105" s="20"/>
      <c r="D105" s="254"/>
      <c r="E105" s="379">
        <v>138898</v>
      </c>
      <c r="F105" s="380" t="s">
        <v>63</v>
      </c>
      <c r="G105" s="381"/>
      <c r="H105" s="382"/>
      <c r="I105" s="383">
        <v>755000</v>
      </c>
      <c r="J105" s="384">
        <v>138898</v>
      </c>
      <c r="K105" s="378" t="s">
        <v>71</v>
      </c>
      <c r="L105" s="378" t="s">
        <v>0</v>
      </c>
      <c r="M105" s="378">
        <v>200</v>
      </c>
      <c r="N105" s="356">
        <v>755000</v>
      </c>
      <c r="O105" s="28" t="b">
        <f t="shared" si="31"/>
        <v>1</v>
      </c>
    </row>
    <row r="106" spans="2:15" s="28" customFormat="1" ht="16.5" customHeight="1">
      <c r="B106" s="20"/>
      <c r="C106" s="20"/>
      <c r="D106" s="254"/>
      <c r="E106" s="379">
        <v>138899</v>
      </c>
      <c r="F106" s="380" t="s">
        <v>64</v>
      </c>
      <c r="G106" s="381"/>
      <c r="H106" s="382"/>
      <c r="I106" s="383">
        <v>78100</v>
      </c>
      <c r="J106" s="384">
        <v>138899</v>
      </c>
      <c r="K106" s="378" t="s">
        <v>70</v>
      </c>
      <c r="L106" s="378" t="s">
        <v>0</v>
      </c>
      <c r="M106" s="378">
        <v>20</v>
      </c>
      <c r="N106" s="356">
        <v>78100</v>
      </c>
      <c r="O106" s="28" t="b">
        <f t="shared" si="31"/>
        <v>1</v>
      </c>
    </row>
    <row r="107" spans="2:15" s="28" customFormat="1" ht="16.5" customHeight="1">
      <c r="B107" s="20"/>
      <c r="C107" s="20"/>
      <c r="D107" s="254"/>
      <c r="E107" s="379">
        <v>139641</v>
      </c>
      <c r="F107" s="380" t="s">
        <v>90</v>
      </c>
      <c r="G107" s="381"/>
      <c r="H107" s="382"/>
      <c r="I107" s="383">
        <v>43600</v>
      </c>
      <c r="J107" s="384">
        <v>139641</v>
      </c>
      <c r="K107" s="378" t="s">
        <v>73</v>
      </c>
      <c r="L107" s="378" t="s">
        <v>0</v>
      </c>
      <c r="M107" s="378">
        <v>12</v>
      </c>
      <c r="N107" s="356">
        <v>43600</v>
      </c>
      <c r="O107" s="28" t="b">
        <f t="shared" si="31"/>
        <v>1</v>
      </c>
    </row>
    <row r="108" spans="2:15" s="28" customFormat="1" ht="16.5" customHeight="1">
      <c r="B108" s="20"/>
      <c r="C108" s="20"/>
      <c r="D108" s="254"/>
      <c r="E108" s="379">
        <v>139881</v>
      </c>
      <c r="F108" s="385" t="s">
        <v>101</v>
      </c>
      <c r="G108" s="386"/>
      <c r="H108" s="387"/>
      <c r="I108" s="383">
        <v>771000</v>
      </c>
      <c r="J108" s="384">
        <v>139881</v>
      </c>
      <c r="K108" s="378" t="s">
        <v>71</v>
      </c>
      <c r="L108" s="378" t="s">
        <v>78</v>
      </c>
      <c r="M108" s="378">
        <v>200</v>
      </c>
      <c r="N108" s="356">
        <v>771000</v>
      </c>
      <c r="O108" s="28" t="b">
        <f t="shared" si="31"/>
        <v>1</v>
      </c>
    </row>
    <row r="109" spans="2:15" s="28" customFormat="1" ht="16.5" customHeight="1">
      <c r="B109" s="20"/>
      <c r="C109" s="20"/>
      <c r="D109" s="254"/>
      <c r="E109" s="379">
        <v>140382</v>
      </c>
      <c r="F109" s="380" t="s">
        <v>83</v>
      </c>
      <c r="G109" s="381"/>
      <c r="H109" s="382"/>
      <c r="I109" s="383">
        <v>2212000</v>
      </c>
      <c r="J109" s="384">
        <v>140382</v>
      </c>
      <c r="K109" s="378" t="s">
        <v>71</v>
      </c>
      <c r="L109" s="378" t="s">
        <v>0</v>
      </c>
      <c r="M109" s="378">
        <v>208</v>
      </c>
      <c r="N109" s="356">
        <v>2212000</v>
      </c>
      <c r="O109" s="28" t="b">
        <f t="shared" si="31"/>
        <v>1</v>
      </c>
    </row>
    <row r="110" spans="2:15" s="28" customFormat="1" ht="16.5" customHeight="1">
      <c r="B110" s="20"/>
      <c r="C110" s="20"/>
      <c r="D110" s="254"/>
      <c r="E110" s="379">
        <v>140563</v>
      </c>
      <c r="F110" s="388" t="s">
        <v>124</v>
      </c>
      <c r="G110" s="389"/>
      <c r="H110" s="390"/>
      <c r="I110" s="383">
        <v>216000</v>
      </c>
      <c r="J110" s="391">
        <v>140563</v>
      </c>
      <c r="K110" s="392" t="s">
        <v>70</v>
      </c>
      <c r="L110" s="392" t="s">
        <v>0</v>
      </c>
      <c r="M110" s="392">
        <v>16</v>
      </c>
      <c r="N110" s="356">
        <v>216000</v>
      </c>
      <c r="O110" s="28" t="b">
        <f t="shared" si="31"/>
        <v>1</v>
      </c>
    </row>
    <row r="111" spans="2:15" s="28" customFormat="1" ht="16.5" customHeight="1">
      <c r="B111" s="20"/>
      <c r="C111" s="20"/>
      <c r="D111" s="254"/>
      <c r="E111" s="379">
        <v>143003</v>
      </c>
      <c r="F111" s="380" t="s">
        <v>132</v>
      </c>
      <c r="G111" s="381"/>
      <c r="H111" s="382"/>
      <c r="I111" s="383">
        <v>150000</v>
      </c>
      <c r="J111" s="384">
        <v>143003</v>
      </c>
      <c r="K111" s="378" t="s">
        <v>70</v>
      </c>
      <c r="L111" s="378" t="s">
        <v>0</v>
      </c>
      <c r="M111" s="378">
        <v>20</v>
      </c>
      <c r="N111" s="356">
        <v>150000</v>
      </c>
      <c r="O111" s="28" t="b">
        <f t="shared" si="31"/>
        <v>1</v>
      </c>
    </row>
    <row r="112" spans="2:15" s="28" customFormat="1" ht="16.5" customHeight="1">
      <c r="B112" s="20"/>
      <c r="C112" s="20"/>
      <c r="D112" s="254"/>
      <c r="E112" s="379">
        <v>143240</v>
      </c>
      <c r="F112" s="380" t="s">
        <v>746</v>
      </c>
      <c r="G112" s="381"/>
      <c r="H112" s="382"/>
      <c r="I112" s="383">
        <v>107800</v>
      </c>
      <c r="J112" s="384">
        <v>143240</v>
      </c>
      <c r="K112" s="378" t="s">
        <v>73</v>
      </c>
      <c r="L112" s="378" t="s">
        <v>0</v>
      </c>
      <c r="M112" s="378">
        <v>16</v>
      </c>
      <c r="N112" s="356">
        <v>107800</v>
      </c>
      <c r="O112" s="28" t="b">
        <f t="shared" si="31"/>
        <v>1</v>
      </c>
    </row>
    <row r="113" spans="2:15" s="28" customFormat="1" ht="16.5" customHeight="1">
      <c r="B113" s="20"/>
      <c r="C113" s="20"/>
      <c r="D113" s="254"/>
      <c r="E113" s="379">
        <v>138583</v>
      </c>
      <c r="F113" s="380" t="s">
        <v>740</v>
      </c>
      <c r="G113" s="381"/>
      <c r="H113" s="382"/>
      <c r="I113" s="383">
        <v>44600</v>
      </c>
      <c r="J113" s="378">
        <v>138583</v>
      </c>
      <c r="K113" s="378" t="s">
        <v>73</v>
      </c>
      <c r="L113" s="378" t="s">
        <v>741</v>
      </c>
      <c r="M113" s="378">
        <v>12</v>
      </c>
      <c r="N113" s="356" t="e">
        <v>#N/A</v>
      </c>
      <c r="O113" s="28" t="e">
        <f t="shared" si="31"/>
        <v>#N/A</v>
      </c>
    </row>
    <row r="114" spans="2:15" s="28" customFormat="1" ht="16.5" customHeight="1">
      <c r="B114" s="20"/>
      <c r="C114" s="20"/>
      <c r="D114" s="254"/>
      <c r="E114" s="379">
        <v>123205</v>
      </c>
      <c r="F114" s="380" t="s">
        <v>49</v>
      </c>
      <c r="G114" s="381"/>
      <c r="H114" s="382"/>
      <c r="I114" s="383">
        <v>60300</v>
      </c>
      <c r="J114" s="384">
        <v>123205</v>
      </c>
      <c r="K114" s="393" t="s">
        <v>73</v>
      </c>
      <c r="L114" s="378" t="s">
        <v>35</v>
      </c>
      <c r="M114" s="378">
        <v>6</v>
      </c>
      <c r="N114" s="356">
        <v>60300</v>
      </c>
      <c r="O114" s="28" t="b">
        <f t="shared" si="31"/>
        <v>1</v>
      </c>
    </row>
    <row r="115" spans="2:15" s="28" customFormat="1" ht="16.5" customHeight="1">
      <c r="B115" s="20"/>
      <c r="C115" s="20"/>
      <c r="D115" s="254"/>
      <c r="E115" s="379">
        <v>124476</v>
      </c>
      <c r="F115" s="380" t="s">
        <v>52</v>
      </c>
      <c r="G115" s="381"/>
      <c r="H115" s="382"/>
      <c r="I115" s="383">
        <v>63200</v>
      </c>
      <c r="J115" s="384">
        <v>124476</v>
      </c>
      <c r="K115" s="378" t="s">
        <v>70</v>
      </c>
      <c r="L115" s="378" t="s">
        <v>79</v>
      </c>
      <c r="M115" s="378">
        <v>20</v>
      </c>
      <c r="N115" s="356">
        <v>63200</v>
      </c>
      <c r="O115" s="28" t="b">
        <f t="shared" si="31"/>
        <v>1</v>
      </c>
    </row>
    <row r="116" spans="2:15" s="28" customFormat="1" ht="16.5" customHeight="1">
      <c r="B116" s="20"/>
      <c r="C116" s="20"/>
      <c r="D116" s="254"/>
      <c r="E116" s="379">
        <v>135080</v>
      </c>
      <c r="F116" s="380" t="s">
        <v>44</v>
      </c>
      <c r="G116" s="381"/>
      <c r="H116" s="382"/>
      <c r="I116" s="383">
        <v>110000</v>
      </c>
      <c r="J116" s="378">
        <v>135080</v>
      </c>
      <c r="K116" s="393" t="s">
        <v>73</v>
      </c>
      <c r="L116" s="378" t="s">
        <v>35</v>
      </c>
      <c r="M116" s="378">
        <v>12</v>
      </c>
      <c r="N116" s="356">
        <v>110000</v>
      </c>
      <c r="O116" s="28" t="b">
        <f t="shared" si="31"/>
        <v>1</v>
      </c>
    </row>
    <row r="117" spans="2:15" s="28" customFormat="1" ht="16.5" customHeight="1">
      <c r="B117" s="20"/>
      <c r="C117" s="20"/>
      <c r="D117" s="254"/>
      <c r="E117" s="379">
        <v>138806</v>
      </c>
      <c r="F117" s="380" t="s">
        <v>50</v>
      </c>
      <c r="G117" s="381"/>
      <c r="H117" s="382"/>
      <c r="I117" s="383">
        <v>148600</v>
      </c>
      <c r="J117" s="384">
        <v>138806</v>
      </c>
      <c r="K117" s="378" t="s">
        <v>72</v>
      </c>
      <c r="L117" s="378" t="s">
        <v>35</v>
      </c>
      <c r="M117" s="378">
        <v>9.94</v>
      </c>
      <c r="N117" s="356">
        <v>148600</v>
      </c>
      <c r="O117" s="28" t="b">
        <f t="shared" si="31"/>
        <v>1</v>
      </c>
    </row>
    <row r="118" spans="2:15" s="28" customFormat="1" ht="16.5" customHeight="1">
      <c r="B118" s="20"/>
      <c r="C118" s="20"/>
      <c r="D118" s="254"/>
      <c r="E118" s="379">
        <v>138827</v>
      </c>
      <c r="F118" s="380" t="s">
        <v>51</v>
      </c>
      <c r="G118" s="381"/>
      <c r="H118" s="382"/>
      <c r="I118" s="383">
        <v>595000</v>
      </c>
      <c r="J118" s="384">
        <v>138827</v>
      </c>
      <c r="K118" s="378" t="s">
        <v>71</v>
      </c>
      <c r="L118" s="378" t="s">
        <v>35</v>
      </c>
      <c r="M118" s="378">
        <v>200</v>
      </c>
      <c r="N118" s="356">
        <v>595000</v>
      </c>
      <c r="O118" s="28" t="b">
        <f t="shared" si="31"/>
        <v>1</v>
      </c>
    </row>
    <row r="119" spans="2:15" s="28" customFormat="1" ht="16.5" customHeight="1">
      <c r="B119" s="20"/>
      <c r="C119" s="20"/>
      <c r="D119" s="254"/>
      <c r="E119" s="379">
        <v>138888</v>
      </c>
      <c r="F119" s="380" t="s">
        <v>102</v>
      </c>
      <c r="G119" s="381"/>
      <c r="H119" s="382"/>
      <c r="I119" s="383">
        <v>233000</v>
      </c>
      <c r="J119" s="384">
        <v>138888</v>
      </c>
      <c r="K119" s="378" t="s">
        <v>70</v>
      </c>
      <c r="L119" s="378" t="s">
        <v>79</v>
      </c>
      <c r="M119" s="378">
        <v>20</v>
      </c>
      <c r="N119" s="356">
        <v>233000</v>
      </c>
      <c r="O119" s="28" t="b">
        <f t="shared" si="31"/>
        <v>1</v>
      </c>
    </row>
    <row r="120" spans="2:15" s="28" customFormat="1" ht="16.5" customHeight="1">
      <c r="B120" s="20"/>
      <c r="C120" s="20"/>
      <c r="D120" s="254"/>
      <c r="E120" s="379">
        <v>138892</v>
      </c>
      <c r="F120" s="380" t="s">
        <v>85</v>
      </c>
      <c r="G120" s="381"/>
      <c r="H120" s="382"/>
      <c r="I120" s="383">
        <v>46500</v>
      </c>
      <c r="J120" s="384">
        <v>138892</v>
      </c>
      <c r="K120" s="378" t="s">
        <v>72</v>
      </c>
      <c r="L120" s="378" t="s">
        <v>35</v>
      </c>
      <c r="M120" s="378">
        <v>16</v>
      </c>
      <c r="N120" s="356">
        <v>46500</v>
      </c>
      <c r="O120" s="28" t="b">
        <f t="shared" si="31"/>
        <v>1</v>
      </c>
    </row>
    <row r="121" spans="2:15" s="28" customFormat="1" ht="16.5" customHeight="1">
      <c r="B121" s="20"/>
      <c r="C121" s="20"/>
      <c r="D121" s="254"/>
      <c r="E121" s="379">
        <v>142227</v>
      </c>
      <c r="F121" s="380" t="s">
        <v>117</v>
      </c>
      <c r="G121" s="381"/>
      <c r="H121" s="382"/>
      <c r="I121" s="383">
        <v>853000</v>
      </c>
      <c r="J121" s="384">
        <v>142227</v>
      </c>
      <c r="K121" s="378" t="s">
        <v>103</v>
      </c>
      <c r="L121" s="378" t="s">
        <v>35</v>
      </c>
      <c r="M121" s="378">
        <v>200</v>
      </c>
      <c r="N121" s="356" t="e">
        <v>#N/A</v>
      </c>
      <c r="O121" s="28" t="e">
        <f t="shared" si="31"/>
        <v>#N/A</v>
      </c>
    </row>
    <row r="122" spans="2:15" s="28" customFormat="1" ht="16.5" customHeight="1">
      <c r="B122" s="20"/>
      <c r="C122" s="20"/>
      <c r="D122" s="254"/>
      <c r="E122" s="379">
        <v>140169</v>
      </c>
      <c r="F122" s="380" t="s">
        <v>84</v>
      </c>
      <c r="G122" s="381"/>
      <c r="H122" s="382"/>
      <c r="I122" s="383">
        <v>62400</v>
      </c>
      <c r="J122" s="384">
        <v>140169</v>
      </c>
      <c r="K122" s="393" t="s">
        <v>73</v>
      </c>
      <c r="L122" s="378" t="s">
        <v>35</v>
      </c>
      <c r="M122" s="378">
        <v>12</v>
      </c>
      <c r="N122" s="356" t="e">
        <v>#N/A</v>
      </c>
      <c r="O122" s="28" t="e">
        <f t="shared" si="31"/>
        <v>#N/A</v>
      </c>
    </row>
    <row r="123" spans="2:15" s="28" customFormat="1" ht="16.5" customHeight="1">
      <c r="B123" s="20"/>
      <c r="C123" s="20"/>
      <c r="D123" s="254"/>
      <c r="E123" s="379">
        <v>140657</v>
      </c>
      <c r="F123" s="380" t="s">
        <v>43</v>
      </c>
      <c r="G123" s="381"/>
      <c r="H123" s="382"/>
      <c r="I123" s="383">
        <v>118000</v>
      </c>
      <c r="J123" s="384">
        <v>140657</v>
      </c>
      <c r="K123" s="378" t="s">
        <v>73</v>
      </c>
      <c r="L123" s="378" t="s">
        <v>79</v>
      </c>
      <c r="M123" s="378">
        <v>12</v>
      </c>
      <c r="N123" s="356">
        <v>118000</v>
      </c>
      <c r="O123" s="28" t="b">
        <f t="shared" si="31"/>
        <v>1</v>
      </c>
    </row>
    <row r="124" spans="2:15" s="28" customFormat="1" ht="16.5" customHeight="1">
      <c r="B124" s="20"/>
      <c r="C124" s="20"/>
      <c r="D124" s="254"/>
      <c r="E124" s="379">
        <v>140660</v>
      </c>
      <c r="F124" s="380" t="s">
        <v>100</v>
      </c>
      <c r="G124" s="381"/>
      <c r="H124" s="382"/>
      <c r="I124" s="383">
        <v>118000</v>
      </c>
      <c r="J124" s="384">
        <v>140660</v>
      </c>
      <c r="K124" s="378" t="s">
        <v>73</v>
      </c>
      <c r="L124" s="378" t="s">
        <v>79</v>
      </c>
      <c r="M124" s="378">
        <v>12</v>
      </c>
      <c r="N124" s="356">
        <v>118000</v>
      </c>
      <c r="O124" s="28" t="b">
        <f t="shared" si="31"/>
        <v>1</v>
      </c>
    </row>
    <row r="125" spans="2:15" s="28" customFormat="1" ht="16.5" customHeight="1">
      <c r="B125" s="20"/>
      <c r="C125" s="20"/>
      <c r="D125" s="254"/>
      <c r="E125" s="379">
        <v>140661</v>
      </c>
      <c r="F125" s="380" t="s">
        <v>106</v>
      </c>
      <c r="G125" s="381"/>
      <c r="H125" s="382"/>
      <c r="I125" s="383">
        <v>1789000</v>
      </c>
      <c r="J125" s="378">
        <v>140661</v>
      </c>
      <c r="K125" s="378" t="s">
        <v>103</v>
      </c>
      <c r="L125" s="378" t="s">
        <v>79</v>
      </c>
      <c r="M125" s="378">
        <v>200</v>
      </c>
      <c r="N125" s="356">
        <v>1789000</v>
      </c>
      <c r="O125" s="28" t="b">
        <f t="shared" si="31"/>
        <v>1</v>
      </c>
    </row>
    <row r="126" spans="2:15" s="28" customFormat="1" ht="16.5" customHeight="1">
      <c r="B126" s="20"/>
      <c r="C126" s="20"/>
      <c r="D126" s="254"/>
      <c r="E126" s="379">
        <v>141593</v>
      </c>
      <c r="F126" s="380" t="s">
        <v>104</v>
      </c>
      <c r="G126" s="381"/>
      <c r="H126" s="382"/>
      <c r="I126" s="383">
        <v>479000</v>
      </c>
      <c r="J126" s="384">
        <v>141593</v>
      </c>
      <c r="K126" s="378" t="s">
        <v>71</v>
      </c>
      <c r="L126" s="378" t="s">
        <v>35</v>
      </c>
      <c r="M126" s="378">
        <v>200</v>
      </c>
      <c r="N126" s="356">
        <v>479000</v>
      </c>
      <c r="O126" s="28" t="b">
        <f t="shared" si="31"/>
        <v>1</v>
      </c>
    </row>
    <row r="127" spans="2:15" s="28" customFormat="1" ht="16.5" customHeight="1">
      <c r="B127" s="20"/>
      <c r="C127" s="20"/>
      <c r="D127" s="254"/>
      <c r="E127" s="379">
        <v>120082</v>
      </c>
      <c r="F127" s="380" t="s">
        <v>97</v>
      </c>
      <c r="G127" s="381"/>
      <c r="H127" s="382"/>
      <c r="I127" s="383">
        <v>662475</v>
      </c>
      <c r="J127" s="384">
        <v>120082</v>
      </c>
      <c r="K127" s="378" t="s">
        <v>70</v>
      </c>
      <c r="L127" s="378" t="s">
        <v>69</v>
      </c>
      <c r="M127" s="378">
        <v>16</v>
      </c>
      <c r="N127" s="356">
        <v>605000</v>
      </c>
      <c r="O127" s="28" t="b">
        <f t="shared" si="31"/>
        <v>0</v>
      </c>
    </row>
    <row r="128" spans="2:15" s="28" customFormat="1" ht="16.5" customHeight="1">
      <c r="B128" s="20"/>
      <c r="C128" s="20"/>
      <c r="D128" s="254"/>
      <c r="E128" s="379">
        <v>120084</v>
      </c>
      <c r="F128" s="380" t="s">
        <v>760</v>
      </c>
      <c r="G128" s="381"/>
      <c r="H128" s="382"/>
      <c r="I128" s="383">
        <v>501510</v>
      </c>
      <c r="J128" s="394">
        <v>120084</v>
      </c>
      <c r="K128" s="393" t="s">
        <v>761</v>
      </c>
      <c r="L128" s="378" t="s">
        <v>69</v>
      </c>
      <c r="M128" s="378">
        <v>22.8</v>
      </c>
      <c r="N128" s="356">
        <v>458000</v>
      </c>
      <c r="O128" s="28" t="b">
        <f t="shared" si="31"/>
        <v>0</v>
      </c>
    </row>
    <row r="129" spans="2:15" s="28" customFormat="1" ht="16.5" customHeight="1">
      <c r="B129" s="20"/>
      <c r="C129" s="20"/>
      <c r="D129" s="254"/>
      <c r="E129" s="379">
        <v>120088</v>
      </c>
      <c r="F129" s="380" t="s">
        <v>118</v>
      </c>
      <c r="G129" s="381"/>
      <c r="H129" s="382"/>
      <c r="I129" s="383">
        <v>4264030</v>
      </c>
      <c r="J129" s="384">
        <v>120088</v>
      </c>
      <c r="K129" s="378" t="s">
        <v>71</v>
      </c>
      <c r="L129" s="378" t="s">
        <v>69</v>
      </c>
      <c r="M129" s="378">
        <v>208</v>
      </c>
      <c r="N129" s="356" t="e">
        <v>#N/A</v>
      </c>
      <c r="O129" s="28" t="e">
        <f t="shared" si="31"/>
        <v>#N/A</v>
      </c>
    </row>
    <row r="130" spans="2:15" s="28" customFormat="1" ht="16.5" customHeight="1">
      <c r="B130" s="20"/>
      <c r="C130" s="20"/>
      <c r="D130" s="254"/>
      <c r="E130" s="379">
        <v>120089</v>
      </c>
      <c r="F130" s="380" t="s">
        <v>762</v>
      </c>
      <c r="G130" s="381"/>
      <c r="H130" s="382"/>
      <c r="I130" s="383">
        <v>416100</v>
      </c>
      <c r="J130" s="384">
        <v>120089</v>
      </c>
      <c r="K130" s="378" t="s">
        <v>761</v>
      </c>
      <c r="L130" s="378" t="s">
        <v>69</v>
      </c>
      <c r="M130" s="378">
        <v>22.8</v>
      </c>
      <c r="N130" s="356">
        <v>380000</v>
      </c>
      <c r="O130" s="28" t="b">
        <f t="shared" si="31"/>
        <v>0</v>
      </c>
    </row>
    <row r="131" spans="2:15" s="28" customFormat="1" ht="16.5" customHeight="1">
      <c r="B131" s="20"/>
      <c r="C131" s="20"/>
      <c r="D131" s="254"/>
      <c r="E131" s="379">
        <v>134601</v>
      </c>
      <c r="F131" s="380" t="s">
        <v>763</v>
      </c>
      <c r="G131" s="381"/>
      <c r="H131" s="382"/>
      <c r="I131" s="383">
        <v>4077780</v>
      </c>
      <c r="J131" s="384">
        <v>134601</v>
      </c>
      <c r="K131" s="378" t="s">
        <v>71</v>
      </c>
      <c r="L131" s="378" t="s">
        <v>69</v>
      </c>
      <c r="M131" s="378">
        <v>200</v>
      </c>
      <c r="N131" s="356">
        <v>3724000</v>
      </c>
      <c r="O131" s="28" t="b">
        <f t="shared" si="31"/>
        <v>0</v>
      </c>
    </row>
    <row r="132" spans="2:15" s="28" customFormat="1" ht="16.5" customHeight="1">
      <c r="B132" s="20"/>
      <c r="C132" s="20"/>
      <c r="D132" s="254"/>
      <c r="E132" s="379">
        <v>134756</v>
      </c>
      <c r="F132" s="380" t="s">
        <v>107</v>
      </c>
      <c r="G132" s="381"/>
      <c r="H132" s="382"/>
      <c r="I132" s="383">
        <v>724890</v>
      </c>
      <c r="J132" s="378">
        <v>134756</v>
      </c>
      <c r="K132" s="378" t="s">
        <v>70</v>
      </c>
      <c r="L132" s="378" t="s">
        <v>69</v>
      </c>
      <c r="M132" s="378">
        <v>16</v>
      </c>
      <c r="N132" s="356">
        <v>662000</v>
      </c>
      <c r="O132" s="28" t="b">
        <f t="shared" si="31"/>
        <v>0</v>
      </c>
    </row>
    <row r="133" spans="2:15" s="28" customFormat="1" ht="16.5" customHeight="1">
      <c r="B133" s="20"/>
      <c r="C133" s="20"/>
      <c r="D133" s="254"/>
      <c r="E133" s="379">
        <v>135390</v>
      </c>
      <c r="F133" s="380" t="s">
        <v>764</v>
      </c>
      <c r="G133" s="381"/>
      <c r="H133" s="382"/>
      <c r="I133" s="383">
        <v>573780</v>
      </c>
      <c r="J133" s="378">
        <v>135390</v>
      </c>
      <c r="K133" s="378" t="s">
        <v>70</v>
      </c>
      <c r="L133" s="378" t="s">
        <v>69</v>
      </c>
      <c r="M133" s="378">
        <v>20</v>
      </c>
      <c r="N133" s="356">
        <v>524000</v>
      </c>
      <c r="O133" s="28" t="b">
        <f t="shared" si="31"/>
        <v>0</v>
      </c>
    </row>
    <row r="134" spans="2:15" s="28" customFormat="1" ht="16.5" customHeight="1">
      <c r="B134" s="20"/>
      <c r="C134" s="20"/>
      <c r="D134" s="254"/>
      <c r="E134" s="379">
        <v>120969</v>
      </c>
      <c r="F134" s="395" t="s">
        <v>254</v>
      </c>
      <c r="G134" s="396"/>
      <c r="H134" s="397"/>
      <c r="I134" s="383">
        <v>235000</v>
      </c>
      <c r="J134" s="398">
        <v>120969</v>
      </c>
      <c r="K134" s="399" t="s">
        <v>70</v>
      </c>
      <c r="L134" s="399" t="s">
        <v>34</v>
      </c>
      <c r="M134" s="399">
        <v>18.899999999999999</v>
      </c>
      <c r="N134" s="356">
        <v>222000</v>
      </c>
      <c r="O134" s="28" t="b">
        <f t="shared" si="31"/>
        <v>0</v>
      </c>
    </row>
    <row r="135" spans="2:15" s="28" customFormat="1" ht="16.5" customHeight="1">
      <c r="B135" s="20"/>
      <c r="C135" s="20"/>
      <c r="D135" s="254"/>
      <c r="E135" s="379">
        <v>121540</v>
      </c>
      <c r="F135" s="395" t="s">
        <v>419</v>
      </c>
      <c r="G135" s="396"/>
      <c r="H135" s="397"/>
      <c r="I135" s="383">
        <v>1684000</v>
      </c>
      <c r="J135" s="398">
        <v>121540</v>
      </c>
      <c r="K135" s="399" t="s">
        <v>71</v>
      </c>
      <c r="L135" s="399" t="s">
        <v>34</v>
      </c>
      <c r="M135" s="399">
        <v>208</v>
      </c>
      <c r="N135" s="356">
        <v>1684000</v>
      </c>
      <c r="O135" s="28" t="b">
        <f t="shared" si="31"/>
        <v>1</v>
      </c>
    </row>
    <row r="136" spans="2:15" s="28" customFormat="1" ht="16.5" customHeight="1">
      <c r="B136" s="20"/>
      <c r="C136" s="20"/>
      <c r="D136" s="254"/>
      <c r="E136" s="379">
        <v>121558</v>
      </c>
      <c r="F136" s="395" t="s">
        <v>255</v>
      </c>
      <c r="G136" s="396"/>
      <c r="H136" s="397"/>
      <c r="I136" s="383">
        <v>311000</v>
      </c>
      <c r="J136" s="398">
        <v>121558</v>
      </c>
      <c r="K136" s="399" t="s">
        <v>70</v>
      </c>
      <c r="L136" s="399" t="s">
        <v>34</v>
      </c>
      <c r="M136" s="399">
        <v>17.251999999999999</v>
      </c>
      <c r="N136" s="356">
        <v>311000</v>
      </c>
      <c r="O136" s="28" t="b">
        <f t="shared" si="31"/>
        <v>1</v>
      </c>
    </row>
    <row r="137" spans="2:15" s="28" customFormat="1" ht="16.5" customHeight="1">
      <c r="B137" s="20"/>
      <c r="C137" s="20"/>
      <c r="D137" s="254"/>
      <c r="E137" s="379">
        <v>121759</v>
      </c>
      <c r="F137" s="395" t="s">
        <v>765</v>
      </c>
      <c r="G137" s="396"/>
      <c r="H137" s="397"/>
      <c r="I137" s="383">
        <v>1230000</v>
      </c>
      <c r="J137" s="399">
        <v>121759</v>
      </c>
      <c r="K137" s="399" t="s">
        <v>71</v>
      </c>
      <c r="L137" s="399" t="s">
        <v>34</v>
      </c>
      <c r="M137" s="399">
        <v>208</v>
      </c>
      <c r="N137" s="356">
        <v>1230000</v>
      </c>
      <c r="O137" s="28" t="b">
        <f t="shared" si="31"/>
        <v>1</v>
      </c>
    </row>
    <row r="138" spans="2:15" s="28" customFormat="1" ht="16.5" customHeight="1">
      <c r="B138" s="20"/>
      <c r="C138" s="20"/>
      <c r="D138" s="254"/>
      <c r="E138" s="379">
        <v>121762</v>
      </c>
      <c r="F138" s="395" t="s">
        <v>434</v>
      </c>
      <c r="G138" s="396"/>
      <c r="H138" s="397"/>
      <c r="I138" s="383">
        <v>1302000</v>
      </c>
      <c r="J138" s="399">
        <v>121762</v>
      </c>
      <c r="K138" s="399" t="s">
        <v>71</v>
      </c>
      <c r="L138" s="399" t="s">
        <v>34</v>
      </c>
      <c r="M138" s="399">
        <v>208</v>
      </c>
      <c r="N138" s="356">
        <v>1302000</v>
      </c>
      <c r="O138" s="28" t="b">
        <f t="shared" si="31"/>
        <v>1</v>
      </c>
    </row>
    <row r="139" spans="2:15" s="28" customFormat="1" ht="16.5" customHeight="1">
      <c r="B139" s="20"/>
      <c r="C139" s="20"/>
      <c r="D139" s="254"/>
      <c r="E139" s="379">
        <v>121764</v>
      </c>
      <c r="F139" s="395" t="s">
        <v>435</v>
      </c>
      <c r="G139" s="396"/>
      <c r="H139" s="397"/>
      <c r="I139" s="383">
        <v>1246000</v>
      </c>
      <c r="J139" s="399">
        <v>121764</v>
      </c>
      <c r="K139" s="399" t="s">
        <v>71</v>
      </c>
      <c r="L139" s="399" t="s">
        <v>34</v>
      </c>
      <c r="M139" s="399">
        <v>208</v>
      </c>
      <c r="N139" s="356">
        <v>1246000</v>
      </c>
      <c r="O139" s="28" t="b">
        <f t="shared" si="31"/>
        <v>1</v>
      </c>
    </row>
    <row r="140" spans="2:15" s="28" customFormat="1" ht="16.5" customHeight="1">
      <c r="B140" s="20"/>
      <c r="C140" s="20"/>
      <c r="D140" s="254"/>
      <c r="E140" s="379">
        <v>121892</v>
      </c>
      <c r="F140" s="395" t="s">
        <v>256</v>
      </c>
      <c r="G140" s="396"/>
      <c r="H140" s="397"/>
      <c r="I140" s="383">
        <v>481000</v>
      </c>
      <c r="J140" s="399">
        <v>121892</v>
      </c>
      <c r="K140" s="399" t="s">
        <v>70</v>
      </c>
      <c r="L140" s="399" t="s">
        <v>34</v>
      </c>
      <c r="M140" s="399">
        <v>18.899999999999999</v>
      </c>
      <c r="N140" s="356">
        <v>481000</v>
      </c>
      <c r="O140" s="28" t="b">
        <f t="shared" si="31"/>
        <v>1</v>
      </c>
    </row>
    <row r="141" spans="2:15" s="28" customFormat="1" ht="16.5" customHeight="1">
      <c r="B141" s="20"/>
      <c r="C141" s="20"/>
      <c r="D141" s="254"/>
      <c r="E141" s="379">
        <v>121902</v>
      </c>
      <c r="F141" s="395" t="s">
        <v>257</v>
      </c>
      <c r="G141" s="396"/>
      <c r="H141" s="397"/>
      <c r="I141" s="383">
        <v>410000</v>
      </c>
      <c r="J141" s="398">
        <v>121902</v>
      </c>
      <c r="K141" s="399" t="s">
        <v>70</v>
      </c>
      <c r="L141" s="399" t="s">
        <v>34</v>
      </c>
      <c r="M141" s="399">
        <v>18.899999999999999</v>
      </c>
      <c r="N141" s="356">
        <v>410000</v>
      </c>
      <c r="O141" s="28" t="b">
        <f t="shared" si="31"/>
        <v>1</v>
      </c>
    </row>
    <row r="142" spans="2:15" s="28" customFormat="1" ht="16.5" customHeight="1">
      <c r="B142" s="20"/>
      <c r="C142" s="20"/>
      <c r="D142" s="254"/>
      <c r="E142" s="379">
        <v>121904</v>
      </c>
      <c r="F142" s="395" t="s">
        <v>258</v>
      </c>
      <c r="G142" s="396"/>
      <c r="H142" s="397"/>
      <c r="I142" s="383">
        <v>430000</v>
      </c>
      <c r="J142" s="398">
        <v>121904</v>
      </c>
      <c r="K142" s="399" t="s">
        <v>70</v>
      </c>
      <c r="L142" s="399" t="s">
        <v>34</v>
      </c>
      <c r="M142" s="399">
        <v>18.899999999999999</v>
      </c>
      <c r="N142" s="356">
        <v>430000</v>
      </c>
      <c r="O142" s="28" t="b">
        <f t="shared" si="31"/>
        <v>1</v>
      </c>
    </row>
    <row r="143" spans="2:15" s="28" customFormat="1" ht="16.5" customHeight="1">
      <c r="B143" s="20"/>
      <c r="C143" s="20"/>
      <c r="D143" s="254"/>
      <c r="E143" s="379">
        <v>121907</v>
      </c>
      <c r="F143" s="395" t="s">
        <v>259</v>
      </c>
      <c r="G143" s="396"/>
      <c r="H143" s="397"/>
      <c r="I143" s="383">
        <v>398000</v>
      </c>
      <c r="J143" s="398">
        <v>121907</v>
      </c>
      <c r="K143" s="399" t="s">
        <v>70</v>
      </c>
      <c r="L143" s="399" t="s">
        <v>34</v>
      </c>
      <c r="M143" s="399">
        <v>18.899999999999999</v>
      </c>
      <c r="N143" s="356">
        <v>398000</v>
      </c>
      <c r="O143" s="28" t="b">
        <f t="shared" si="31"/>
        <v>1</v>
      </c>
    </row>
    <row r="144" spans="2:15" s="28" customFormat="1" ht="16.5" customHeight="1">
      <c r="B144" s="20"/>
      <c r="C144" s="20"/>
      <c r="D144" s="254"/>
      <c r="E144" s="379">
        <v>122135</v>
      </c>
      <c r="F144" s="395" t="s">
        <v>437</v>
      </c>
      <c r="G144" s="396"/>
      <c r="H144" s="397"/>
      <c r="I144" s="383">
        <v>1207000</v>
      </c>
      <c r="J144" s="399">
        <v>122135</v>
      </c>
      <c r="K144" s="399" t="s">
        <v>71</v>
      </c>
      <c r="L144" s="399" t="s">
        <v>34</v>
      </c>
      <c r="M144" s="399">
        <v>208</v>
      </c>
      <c r="N144" s="356">
        <v>1207000</v>
      </c>
      <c r="O144" s="28" t="b">
        <f t="shared" si="31"/>
        <v>1</v>
      </c>
    </row>
    <row r="145" spans="2:15" s="28" customFormat="1" ht="16.5" customHeight="1">
      <c r="B145" s="20"/>
      <c r="C145" s="20"/>
      <c r="D145" s="254"/>
      <c r="E145" s="379">
        <v>122167</v>
      </c>
      <c r="F145" s="395" t="s">
        <v>438</v>
      </c>
      <c r="G145" s="396"/>
      <c r="H145" s="397"/>
      <c r="I145" s="383">
        <v>3124000</v>
      </c>
      <c r="J145" s="398">
        <v>122167</v>
      </c>
      <c r="K145" s="399" t="s">
        <v>71</v>
      </c>
      <c r="L145" s="399" t="s">
        <v>34</v>
      </c>
      <c r="M145" s="399">
        <v>208</v>
      </c>
      <c r="N145" s="356">
        <v>3124000</v>
      </c>
      <c r="O145" s="28" t="b">
        <f t="shared" si="31"/>
        <v>1</v>
      </c>
    </row>
    <row r="146" spans="2:15" s="28" customFormat="1" ht="16.5" customHeight="1">
      <c r="B146" s="20"/>
      <c r="C146" s="20"/>
      <c r="D146" s="254"/>
      <c r="E146" s="379">
        <v>122187</v>
      </c>
      <c r="F146" s="395" t="s">
        <v>439</v>
      </c>
      <c r="G146" s="396"/>
      <c r="H146" s="397"/>
      <c r="I146" s="383">
        <v>2760000</v>
      </c>
      <c r="J146" s="398">
        <v>122187</v>
      </c>
      <c r="K146" s="399" t="s">
        <v>71</v>
      </c>
      <c r="L146" s="399" t="s">
        <v>34</v>
      </c>
      <c r="M146" s="399">
        <v>208</v>
      </c>
      <c r="N146" s="356">
        <v>2760000</v>
      </c>
      <c r="O146" s="28" t="b">
        <f t="shared" si="31"/>
        <v>1</v>
      </c>
    </row>
    <row r="147" spans="2:15" s="28" customFormat="1" ht="16.5" customHeight="1">
      <c r="B147" s="20"/>
      <c r="C147" s="20"/>
      <c r="D147" s="254"/>
      <c r="E147" s="379">
        <v>122612</v>
      </c>
      <c r="F147" s="395" t="s">
        <v>446</v>
      </c>
      <c r="G147" s="396"/>
      <c r="H147" s="397"/>
      <c r="I147" s="383">
        <v>1525000</v>
      </c>
      <c r="J147" s="398">
        <v>122612</v>
      </c>
      <c r="K147" s="399" t="s">
        <v>71</v>
      </c>
      <c r="L147" s="399" t="s">
        <v>34</v>
      </c>
      <c r="M147" s="399">
        <v>208</v>
      </c>
      <c r="N147" s="356">
        <v>1525000</v>
      </c>
      <c r="O147" s="28" t="b">
        <f t="shared" si="31"/>
        <v>1</v>
      </c>
    </row>
    <row r="148" spans="2:15" s="28" customFormat="1" ht="16.5" customHeight="1">
      <c r="B148" s="20"/>
      <c r="C148" s="20"/>
      <c r="D148" s="254"/>
      <c r="E148" s="379">
        <v>122650</v>
      </c>
      <c r="F148" s="395" t="s">
        <v>447</v>
      </c>
      <c r="G148" s="396"/>
      <c r="H148" s="397"/>
      <c r="I148" s="383">
        <v>3190000</v>
      </c>
      <c r="J148" s="398">
        <v>122650</v>
      </c>
      <c r="K148" s="399" t="s">
        <v>71</v>
      </c>
      <c r="L148" s="399" t="s">
        <v>34</v>
      </c>
      <c r="M148" s="399">
        <v>208</v>
      </c>
      <c r="N148" s="356">
        <v>3190000</v>
      </c>
      <c r="O148" s="28" t="b">
        <f t="shared" si="31"/>
        <v>1</v>
      </c>
    </row>
    <row r="149" spans="2:15" s="28" customFormat="1" ht="16.5" customHeight="1">
      <c r="B149" s="20"/>
      <c r="C149" s="20"/>
      <c r="D149" s="254"/>
      <c r="E149" s="379">
        <v>122713</v>
      </c>
      <c r="F149" s="395" t="s">
        <v>67</v>
      </c>
      <c r="G149" s="396"/>
      <c r="H149" s="397"/>
      <c r="I149" s="383">
        <v>106000</v>
      </c>
      <c r="J149" s="399">
        <v>122713</v>
      </c>
      <c r="K149" s="399" t="s">
        <v>70</v>
      </c>
      <c r="L149" s="399" t="s">
        <v>34</v>
      </c>
      <c r="M149" s="399">
        <v>20</v>
      </c>
      <c r="N149" s="356">
        <v>106000</v>
      </c>
      <c r="O149" s="28" t="b">
        <f t="shared" si="31"/>
        <v>1</v>
      </c>
    </row>
    <row r="150" spans="2:15" s="28" customFormat="1" ht="16.5" customHeight="1">
      <c r="B150" s="20"/>
      <c r="C150" s="20"/>
      <c r="D150" s="254"/>
      <c r="E150" s="379">
        <v>122766</v>
      </c>
      <c r="F150" s="395" t="s">
        <v>68</v>
      </c>
      <c r="G150" s="396"/>
      <c r="H150" s="397"/>
      <c r="I150" s="383">
        <v>83600</v>
      </c>
      <c r="J150" s="398">
        <v>122766</v>
      </c>
      <c r="K150" s="399" t="s">
        <v>70</v>
      </c>
      <c r="L150" s="399" t="s">
        <v>34</v>
      </c>
      <c r="M150" s="399">
        <v>20</v>
      </c>
      <c r="N150" s="356">
        <v>83600</v>
      </c>
      <c r="O150" s="28" t="b">
        <f t="shared" si="31"/>
        <v>1</v>
      </c>
    </row>
    <row r="151" spans="2:15" s="28" customFormat="1" ht="16.5" customHeight="1">
      <c r="B151" s="20"/>
      <c r="C151" s="20"/>
      <c r="D151" s="254"/>
      <c r="E151" s="379">
        <v>122821</v>
      </c>
      <c r="F151" s="395" t="s">
        <v>448</v>
      </c>
      <c r="G151" s="396"/>
      <c r="H151" s="397"/>
      <c r="I151" s="383"/>
      <c r="J151" s="398">
        <v>122821</v>
      </c>
      <c r="K151" s="399" t="s">
        <v>71</v>
      </c>
      <c r="L151" s="399" t="s">
        <v>34</v>
      </c>
      <c r="M151" s="399">
        <v>208</v>
      </c>
      <c r="N151" s="356" t="e">
        <v>#N/A</v>
      </c>
      <c r="O151" s="28" t="e">
        <f t="shared" si="31"/>
        <v>#N/A</v>
      </c>
    </row>
    <row r="152" spans="2:15" s="28" customFormat="1" ht="16.5" customHeight="1">
      <c r="B152" s="20"/>
      <c r="C152" s="20"/>
      <c r="D152" s="254"/>
      <c r="E152" s="379">
        <v>122837</v>
      </c>
      <c r="F152" s="395" t="s">
        <v>65</v>
      </c>
      <c r="G152" s="396"/>
      <c r="H152" s="397"/>
      <c r="I152" s="383">
        <v>62800</v>
      </c>
      <c r="J152" s="398">
        <v>122837</v>
      </c>
      <c r="K152" s="399" t="s">
        <v>70</v>
      </c>
      <c r="L152" s="399" t="s">
        <v>34</v>
      </c>
      <c r="M152" s="399">
        <v>20</v>
      </c>
      <c r="N152" s="356">
        <v>62800</v>
      </c>
      <c r="O152" s="28" t="b">
        <f t="shared" si="31"/>
        <v>1</v>
      </c>
    </row>
    <row r="153" spans="2:15" s="28" customFormat="1" ht="16.5" customHeight="1">
      <c r="B153" s="20"/>
      <c r="C153" s="20"/>
      <c r="D153" s="254"/>
      <c r="E153" s="379">
        <v>122842</v>
      </c>
      <c r="F153" s="395" t="s">
        <v>238</v>
      </c>
      <c r="G153" s="396"/>
      <c r="H153" s="397"/>
      <c r="I153" s="383">
        <v>79200</v>
      </c>
      <c r="J153" s="399">
        <v>122842</v>
      </c>
      <c r="K153" s="399" t="s">
        <v>70</v>
      </c>
      <c r="L153" s="399" t="s">
        <v>34</v>
      </c>
      <c r="M153" s="399">
        <v>20</v>
      </c>
      <c r="N153" s="356">
        <v>79200</v>
      </c>
      <c r="O153" s="28" t="b">
        <f t="shared" si="31"/>
        <v>1</v>
      </c>
    </row>
    <row r="154" spans="2:15" s="28" customFormat="1" ht="16.5" customHeight="1">
      <c r="B154" s="20"/>
      <c r="C154" s="20"/>
      <c r="D154" s="254"/>
      <c r="E154" s="379">
        <v>144277</v>
      </c>
      <c r="F154" s="395" t="s">
        <v>232</v>
      </c>
      <c r="G154" s="396"/>
      <c r="H154" s="397"/>
      <c r="I154" s="383">
        <v>46600</v>
      </c>
      <c r="J154" s="398">
        <v>122885</v>
      </c>
      <c r="K154" s="399" t="s">
        <v>70</v>
      </c>
      <c r="L154" s="399" t="s">
        <v>34</v>
      </c>
      <c r="M154" s="399">
        <v>20</v>
      </c>
      <c r="N154" s="356">
        <v>46600</v>
      </c>
      <c r="O154" s="28" t="b">
        <f t="shared" si="31"/>
        <v>1</v>
      </c>
    </row>
    <row r="155" spans="2:15" s="28" customFormat="1" ht="16.5" customHeight="1">
      <c r="B155" s="20"/>
      <c r="C155" s="20"/>
      <c r="D155" s="254"/>
      <c r="E155" s="379">
        <v>123004</v>
      </c>
      <c r="F155" s="395" t="s">
        <v>41</v>
      </c>
      <c r="G155" s="396"/>
      <c r="H155" s="397"/>
      <c r="I155" s="383">
        <v>402000</v>
      </c>
      <c r="J155" s="398">
        <v>123004</v>
      </c>
      <c r="K155" s="399" t="s">
        <v>70</v>
      </c>
      <c r="L155" s="399" t="s">
        <v>34</v>
      </c>
      <c r="M155" s="399">
        <v>18</v>
      </c>
      <c r="N155" s="356">
        <v>402000</v>
      </c>
      <c r="O155" s="28" t="b">
        <f t="shared" si="31"/>
        <v>1</v>
      </c>
    </row>
    <row r="156" spans="2:15" s="28" customFormat="1" ht="16.5" customHeight="1">
      <c r="B156" s="20"/>
      <c r="C156" s="20"/>
      <c r="D156" s="254"/>
      <c r="E156" s="379">
        <v>123291</v>
      </c>
      <c r="F156" s="395" t="s">
        <v>261</v>
      </c>
      <c r="G156" s="396"/>
      <c r="H156" s="397"/>
      <c r="I156" s="383">
        <v>326000</v>
      </c>
      <c r="J156" s="398">
        <v>123291</v>
      </c>
      <c r="K156" s="399" t="s">
        <v>70</v>
      </c>
      <c r="L156" s="399" t="s">
        <v>34</v>
      </c>
      <c r="M156" s="399">
        <v>20</v>
      </c>
      <c r="N156" s="356">
        <v>326000</v>
      </c>
      <c r="O156" s="28" t="b">
        <f t="shared" ref="O156:O219" si="32">I156=N156</f>
        <v>1</v>
      </c>
    </row>
    <row r="157" spans="2:15" s="28" customFormat="1" ht="16.5" customHeight="1">
      <c r="B157" s="20"/>
      <c r="C157" s="20"/>
      <c r="D157" s="254"/>
      <c r="E157" s="379">
        <v>148674</v>
      </c>
      <c r="F157" s="395" t="s">
        <v>262</v>
      </c>
      <c r="G157" s="396"/>
      <c r="H157" s="397"/>
      <c r="I157" s="383">
        <v>66800</v>
      </c>
      <c r="J157" s="398">
        <v>148674</v>
      </c>
      <c r="K157" s="399" t="s">
        <v>70</v>
      </c>
      <c r="L157" s="399" t="s">
        <v>34</v>
      </c>
      <c r="M157" s="399">
        <v>20</v>
      </c>
      <c r="N157" s="356">
        <v>66800</v>
      </c>
      <c r="O157" s="28" t="b">
        <f t="shared" si="32"/>
        <v>1</v>
      </c>
    </row>
    <row r="158" spans="2:15" s="28" customFormat="1" ht="16.5" customHeight="1">
      <c r="B158" s="20"/>
      <c r="C158" s="20"/>
      <c r="D158" s="254"/>
      <c r="E158" s="379">
        <v>148687</v>
      </c>
      <c r="F158" s="395" t="s">
        <v>263</v>
      </c>
      <c r="G158" s="396"/>
      <c r="H158" s="397"/>
      <c r="I158" s="383">
        <v>62700</v>
      </c>
      <c r="J158" s="398">
        <v>148687</v>
      </c>
      <c r="K158" s="399" t="s">
        <v>70</v>
      </c>
      <c r="L158" s="399" t="s">
        <v>34</v>
      </c>
      <c r="M158" s="399">
        <v>20</v>
      </c>
      <c r="N158" s="356">
        <v>62700</v>
      </c>
      <c r="O158" s="28" t="b">
        <f t="shared" si="32"/>
        <v>1</v>
      </c>
    </row>
    <row r="159" spans="2:15" s="28" customFormat="1" ht="16.5" customHeight="1">
      <c r="B159" s="20"/>
      <c r="C159" s="20"/>
      <c r="D159" s="254"/>
      <c r="E159" s="379">
        <v>148663</v>
      </c>
      <c r="F159" s="395" t="s">
        <v>264</v>
      </c>
      <c r="G159" s="396"/>
      <c r="H159" s="397"/>
      <c r="I159" s="383">
        <v>54200</v>
      </c>
      <c r="J159" s="398">
        <v>148663</v>
      </c>
      <c r="K159" s="399" t="s">
        <v>70</v>
      </c>
      <c r="L159" s="399" t="s">
        <v>34</v>
      </c>
      <c r="M159" s="399">
        <v>20</v>
      </c>
      <c r="N159" s="356">
        <v>54200</v>
      </c>
      <c r="O159" s="28" t="b">
        <f t="shared" si="32"/>
        <v>1</v>
      </c>
    </row>
    <row r="160" spans="2:15" s="28" customFormat="1" ht="16.5" customHeight="1">
      <c r="B160" s="20"/>
      <c r="C160" s="20"/>
      <c r="D160" s="254"/>
      <c r="E160" s="379">
        <v>148661</v>
      </c>
      <c r="F160" s="395" t="s">
        <v>235</v>
      </c>
      <c r="G160" s="396"/>
      <c r="H160" s="397"/>
      <c r="I160" s="383">
        <v>63400</v>
      </c>
      <c r="J160" s="398">
        <v>148661</v>
      </c>
      <c r="K160" s="399" t="s">
        <v>70</v>
      </c>
      <c r="L160" s="399" t="s">
        <v>34</v>
      </c>
      <c r="M160" s="399">
        <v>20</v>
      </c>
      <c r="N160" s="356">
        <v>63400</v>
      </c>
      <c r="O160" s="28" t="b">
        <f t="shared" si="32"/>
        <v>1</v>
      </c>
    </row>
    <row r="161" spans="2:15" s="28" customFormat="1" ht="16.5" customHeight="1">
      <c r="B161" s="20"/>
      <c r="C161" s="20"/>
      <c r="D161" s="254"/>
      <c r="E161" s="379">
        <v>148662</v>
      </c>
      <c r="F161" s="395" t="s">
        <v>225</v>
      </c>
      <c r="G161" s="396"/>
      <c r="H161" s="397"/>
      <c r="I161" s="383">
        <v>55400</v>
      </c>
      <c r="J161" s="399">
        <v>148662</v>
      </c>
      <c r="K161" s="399" t="s">
        <v>70</v>
      </c>
      <c r="L161" s="399" t="s">
        <v>34</v>
      </c>
      <c r="M161" s="399">
        <v>20</v>
      </c>
      <c r="N161" s="356">
        <v>55400</v>
      </c>
      <c r="O161" s="28" t="b">
        <f t="shared" si="32"/>
        <v>1</v>
      </c>
    </row>
    <row r="162" spans="2:15" s="28" customFormat="1" ht="16.5" customHeight="1">
      <c r="B162" s="20"/>
      <c r="C162" s="20"/>
      <c r="D162" s="254"/>
      <c r="E162" s="379">
        <v>124528</v>
      </c>
      <c r="F162" s="395" t="s">
        <v>450</v>
      </c>
      <c r="G162" s="396"/>
      <c r="H162" s="397"/>
      <c r="I162" s="383">
        <v>3634000</v>
      </c>
      <c r="J162" s="398">
        <v>124528</v>
      </c>
      <c r="K162" s="399" t="s">
        <v>71</v>
      </c>
      <c r="L162" s="399" t="s">
        <v>34</v>
      </c>
      <c r="M162" s="399">
        <v>208</v>
      </c>
      <c r="N162" s="356">
        <v>3634000</v>
      </c>
      <c r="O162" s="28" t="b">
        <f t="shared" si="32"/>
        <v>1</v>
      </c>
    </row>
    <row r="163" spans="2:15" s="28" customFormat="1" ht="16.5" customHeight="1">
      <c r="B163" s="20"/>
      <c r="C163" s="20"/>
      <c r="D163" s="254"/>
      <c r="E163" s="379">
        <v>126328</v>
      </c>
      <c r="F163" s="395" t="s">
        <v>453</v>
      </c>
      <c r="G163" s="396"/>
      <c r="H163" s="397"/>
      <c r="I163" s="383">
        <v>4056000</v>
      </c>
      <c r="J163" s="399">
        <v>126328</v>
      </c>
      <c r="K163" s="399" t="s">
        <v>71</v>
      </c>
      <c r="L163" s="399" t="s">
        <v>34</v>
      </c>
      <c r="M163" s="399">
        <v>208</v>
      </c>
      <c r="N163" s="356">
        <v>4056000</v>
      </c>
      <c r="O163" s="28" t="b">
        <f t="shared" si="32"/>
        <v>1</v>
      </c>
    </row>
    <row r="164" spans="2:15" s="28" customFormat="1" ht="16.5" customHeight="1">
      <c r="B164" s="20"/>
      <c r="C164" s="20"/>
      <c r="D164" s="254"/>
      <c r="E164" s="379">
        <v>127356</v>
      </c>
      <c r="F164" s="395" t="s">
        <v>265</v>
      </c>
      <c r="G164" s="396"/>
      <c r="H164" s="397"/>
      <c r="I164" s="383">
        <v>337000</v>
      </c>
      <c r="J164" s="398">
        <v>127356</v>
      </c>
      <c r="K164" s="399" t="s">
        <v>70</v>
      </c>
      <c r="L164" s="399" t="s">
        <v>34</v>
      </c>
      <c r="M164" s="399">
        <v>20</v>
      </c>
      <c r="N164" s="356">
        <v>337000</v>
      </c>
      <c r="O164" s="28" t="b">
        <f t="shared" si="32"/>
        <v>1</v>
      </c>
    </row>
    <row r="165" spans="2:15" s="28" customFormat="1" ht="16.5" customHeight="1">
      <c r="B165" s="20"/>
      <c r="C165" s="20"/>
      <c r="D165" s="254"/>
      <c r="E165" s="379">
        <v>128773</v>
      </c>
      <c r="F165" s="395" t="s">
        <v>766</v>
      </c>
      <c r="G165" s="396"/>
      <c r="H165" s="397"/>
      <c r="I165" s="383">
        <v>378870</v>
      </c>
      <c r="J165" s="398">
        <v>128773</v>
      </c>
      <c r="K165" s="399" t="s">
        <v>70</v>
      </c>
      <c r="L165" s="399" t="s">
        <v>34</v>
      </c>
      <c r="M165" s="399">
        <v>18.899999999999999</v>
      </c>
      <c r="N165" s="356">
        <v>346000</v>
      </c>
      <c r="O165" s="28" t="b">
        <f t="shared" si="32"/>
        <v>0</v>
      </c>
    </row>
    <row r="166" spans="2:15" s="28" customFormat="1" ht="16.5" customHeight="1">
      <c r="B166" s="20"/>
      <c r="C166" s="20"/>
      <c r="D166" s="254"/>
      <c r="E166" s="379">
        <v>129351</v>
      </c>
      <c r="F166" s="395" t="s">
        <v>266</v>
      </c>
      <c r="G166" s="396"/>
      <c r="H166" s="397"/>
      <c r="I166" s="383">
        <v>415000</v>
      </c>
      <c r="J166" s="398">
        <v>129351</v>
      </c>
      <c r="K166" s="399" t="s">
        <v>70</v>
      </c>
      <c r="L166" s="399" t="s">
        <v>34</v>
      </c>
      <c r="M166" s="399">
        <v>20</v>
      </c>
      <c r="N166" s="356">
        <v>415000</v>
      </c>
      <c r="O166" s="28" t="b">
        <f t="shared" si="32"/>
        <v>1</v>
      </c>
    </row>
    <row r="167" spans="2:15" s="28" customFormat="1" ht="16.5" customHeight="1">
      <c r="B167" s="20"/>
      <c r="C167" s="20"/>
      <c r="D167" s="254"/>
      <c r="E167" s="379">
        <v>129389</v>
      </c>
      <c r="F167" s="395" t="s">
        <v>459</v>
      </c>
      <c r="G167" s="396"/>
      <c r="H167" s="397"/>
      <c r="I167" s="383">
        <v>3962000</v>
      </c>
      <c r="J167" s="398">
        <v>129389</v>
      </c>
      <c r="K167" s="399" t="s">
        <v>71</v>
      </c>
      <c r="L167" s="399" t="s">
        <v>34</v>
      </c>
      <c r="M167" s="399">
        <v>208</v>
      </c>
      <c r="N167" s="356">
        <v>3962000</v>
      </c>
      <c r="O167" s="28" t="b">
        <f t="shared" si="32"/>
        <v>1</v>
      </c>
    </row>
    <row r="168" spans="2:15" s="28" customFormat="1" ht="16.5" customHeight="1">
      <c r="B168" s="20"/>
      <c r="C168" s="20"/>
      <c r="D168" s="254"/>
      <c r="E168" s="379">
        <v>130938</v>
      </c>
      <c r="F168" s="395" t="s">
        <v>461</v>
      </c>
      <c r="G168" s="396"/>
      <c r="H168" s="397"/>
      <c r="I168" s="383">
        <v>1918000</v>
      </c>
      <c r="J168" s="398">
        <v>130938</v>
      </c>
      <c r="K168" s="399" t="s">
        <v>71</v>
      </c>
      <c r="L168" s="399" t="s">
        <v>34</v>
      </c>
      <c r="M168" s="399">
        <v>181</v>
      </c>
      <c r="N168" s="356">
        <v>1918000</v>
      </c>
      <c r="O168" s="28" t="b">
        <f t="shared" si="32"/>
        <v>1</v>
      </c>
    </row>
    <row r="169" spans="2:15" s="28" customFormat="1" ht="16.5" customHeight="1">
      <c r="B169" s="20"/>
      <c r="C169" s="20"/>
      <c r="D169" s="254"/>
      <c r="E169" s="379">
        <v>130939</v>
      </c>
      <c r="F169" s="395" t="s">
        <v>267</v>
      </c>
      <c r="G169" s="396"/>
      <c r="H169" s="397"/>
      <c r="I169" s="383">
        <v>179000</v>
      </c>
      <c r="J169" s="398">
        <v>130939</v>
      </c>
      <c r="K169" s="399" t="s">
        <v>70</v>
      </c>
      <c r="L169" s="399" t="s">
        <v>34</v>
      </c>
      <c r="M169" s="399">
        <v>15.87</v>
      </c>
      <c r="N169" s="356">
        <v>179000</v>
      </c>
      <c r="O169" s="28" t="b">
        <f t="shared" si="32"/>
        <v>1</v>
      </c>
    </row>
    <row r="170" spans="2:15" s="28" customFormat="1" ht="16.5" customHeight="1">
      <c r="B170" s="20"/>
      <c r="C170" s="20"/>
      <c r="D170" s="254"/>
      <c r="E170" s="379">
        <v>131773</v>
      </c>
      <c r="F170" s="395" t="s">
        <v>462</v>
      </c>
      <c r="G170" s="396"/>
      <c r="H170" s="397"/>
      <c r="I170" s="383"/>
      <c r="J170" s="398">
        <v>131773</v>
      </c>
      <c r="K170" s="399" t="s">
        <v>71</v>
      </c>
      <c r="L170" s="399" t="s">
        <v>34</v>
      </c>
      <c r="M170" s="399">
        <v>208</v>
      </c>
      <c r="N170" s="356" t="e">
        <v>#N/A</v>
      </c>
      <c r="O170" s="28" t="e">
        <f t="shared" si="32"/>
        <v>#N/A</v>
      </c>
    </row>
    <row r="171" spans="2:15" s="28" customFormat="1" ht="16.5" customHeight="1">
      <c r="B171" s="20"/>
      <c r="C171" s="20"/>
      <c r="D171" s="254"/>
      <c r="E171" s="379">
        <v>132528</v>
      </c>
      <c r="F171" s="395" t="s">
        <v>270</v>
      </c>
      <c r="G171" s="396"/>
      <c r="H171" s="397"/>
      <c r="I171" s="383">
        <v>269000</v>
      </c>
      <c r="J171" s="398">
        <v>132528</v>
      </c>
      <c r="K171" s="399" t="s">
        <v>70</v>
      </c>
      <c r="L171" s="399" t="s">
        <v>34</v>
      </c>
      <c r="M171" s="399">
        <v>16</v>
      </c>
      <c r="N171" s="356">
        <v>269000</v>
      </c>
      <c r="O171" s="28" t="b">
        <f t="shared" si="32"/>
        <v>1</v>
      </c>
    </row>
    <row r="172" spans="2:15" s="28" customFormat="1" ht="16.5" customHeight="1">
      <c r="B172" s="20"/>
      <c r="C172" s="20"/>
      <c r="D172" s="254"/>
      <c r="E172" s="379">
        <v>132549</v>
      </c>
      <c r="F172" s="395" t="s">
        <v>463</v>
      </c>
      <c r="G172" s="396"/>
      <c r="H172" s="397"/>
      <c r="I172" s="383">
        <v>3029000</v>
      </c>
      <c r="J172" s="398">
        <v>132549</v>
      </c>
      <c r="K172" s="399" t="s">
        <v>71</v>
      </c>
      <c r="L172" s="399" t="s">
        <v>34</v>
      </c>
      <c r="M172" s="399">
        <v>208</v>
      </c>
      <c r="N172" s="356">
        <v>3029000</v>
      </c>
      <c r="O172" s="28" t="b">
        <f t="shared" si="32"/>
        <v>1</v>
      </c>
    </row>
    <row r="173" spans="2:15" s="28" customFormat="1" ht="16.5" customHeight="1">
      <c r="B173" s="20"/>
      <c r="C173" s="20"/>
      <c r="D173" s="254"/>
      <c r="E173" s="379">
        <v>132550</v>
      </c>
      <c r="F173" s="395" t="s">
        <v>464</v>
      </c>
      <c r="G173" s="396"/>
      <c r="H173" s="397"/>
      <c r="I173" s="383">
        <v>3173000</v>
      </c>
      <c r="J173" s="398">
        <v>132550</v>
      </c>
      <c r="K173" s="399" t="s">
        <v>71</v>
      </c>
      <c r="L173" s="399" t="s">
        <v>34</v>
      </c>
      <c r="M173" s="399">
        <v>208</v>
      </c>
      <c r="N173" s="356">
        <v>3173000</v>
      </c>
      <c r="O173" s="28" t="b">
        <f t="shared" si="32"/>
        <v>1</v>
      </c>
    </row>
    <row r="174" spans="2:15" s="28" customFormat="1" ht="16.5" customHeight="1">
      <c r="B174" s="20"/>
      <c r="C174" s="20"/>
      <c r="D174" s="254"/>
      <c r="E174" s="379">
        <v>132558</v>
      </c>
      <c r="F174" s="395" t="s">
        <v>465</v>
      </c>
      <c r="G174" s="396"/>
      <c r="H174" s="397"/>
      <c r="I174" s="383">
        <v>3541000</v>
      </c>
      <c r="J174" s="398">
        <v>132558</v>
      </c>
      <c r="K174" s="399" t="s">
        <v>71</v>
      </c>
      <c r="L174" s="399" t="s">
        <v>34</v>
      </c>
      <c r="M174" s="399">
        <v>208</v>
      </c>
      <c r="N174" s="356">
        <v>3541000</v>
      </c>
      <c r="O174" s="28" t="b">
        <f t="shared" si="32"/>
        <v>1</v>
      </c>
    </row>
    <row r="175" spans="2:15" s="28" customFormat="1" ht="16.5" customHeight="1">
      <c r="B175" s="20"/>
      <c r="C175" s="20"/>
      <c r="D175" s="254"/>
      <c r="E175" s="379">
        <v>140202</v>
      </c>
      <c r="F175" s="395" t="s">
        <v>377</v>
      </c>
      <c r="G175" s="396"/>
      <c r="H175" s="397"/>
      <c r="I175" s="383">
        <v>352000</v>
      </c>
      <c r="J175" s="398">
        <v>140202</v>
      </c>
      <c r="K175" s="399" t="s">
        <v>70</v>
      </c>
      <c r="L175" s="399" t="s">
        <v>34</v>
      </c>
      <c r="M175" s="399">
        <v>16</v>
      </c>
      <c r="N175" s="356">
        <v>352000</v>
      </c>
      <c r="O175" s="28" t="b">
        <f t="shared" si="32"/>
        <v>1</v>
      </c>
    </row>
    <row r="176" spans="2:15" s="28" customFormat="1" ht="16.5" customHeight="1">
      <c r="B176" s="20"/>
      <c r="C176" s="20"/>
      <c r="D176" s="254"/>
      <c r="E176" s="379">
        <v>140203</v>
      </c>
      <c r="F176" s="395" t="s">
        <v>273</v>
      </c>
      <c r="G176" s="396"/>
      <c r="H176" s="397"/>
      <c r="I176" s="383">
        <v>355000</v>
      </c>
      <c r="J176" s="398">
        <v>140203</v>
      </c>
      <c r="K176" s="399" t="s">
        <v>70</v>
      </c>
      <c r="L176" s="399" t="s">
        <v>34</v>
      </c>
      <c r="M176" s="399">
        <v>16</v>
      </c>
      <c r="N176" s="356">
        <v>355000</v>
      </c>
      <c r="O176" s="28" t="b">
        <f t="shared" si="32"/>
        <v>1</v>
      </c>
    </row>
    <row r="177" spans="2:15" s="28" customFormat="1" ht="16.5" customHeight="1">
      <c r="B177" s="20"/>
      <c r="C177" s="20"/>
      <c r="D177" s="254"/>
      <c r="E177" s="379">
        <v>132575</v>
      </c>
      <c r="F177" s="400" t="s">
        <v>274</v>
      </c>
      <c r="G177" s="401"/>
      <c r="H177" s="402"/>
      <c r="I177" s="383">
        <v>394000</v>
      </c>
      <c r="J177" s="398">
        <v>132575</v>
      </c>
      <c r="K177" s="399" t="s">
        <v>70</v>
      </c>
      <c r="L177" s="399" t="s">
        <v>34</v>
      </c>
      <c r="M177" s="399">
        <v>16</v>
      </c>
      <c r="N177" s="356">
        <v>394000</v>
      </c>
      <c r="O177" s="28" t="b">
        <f t="shared" si="32"/>
        <v>1</v>
      </c>
    </row>
    <row r="178" spans="2:15" s="28" customFormat="1" ht="16.5" customHeight="1">
      <c r="B178" s="20"/>
      <c r="C178" s="20"/>
      <c r="D178" s="254"/>
      <c r="E178" s="379">
        <v>132610</v>
      </c>
      <c r="F178" s="395" t="s">
        <v>466</v>
      </c>
      <c r="G178" s="396"/>
      <c r="H178" s="397"/>
      <c r="I178" s="383">
        <v>3730000</v>
      </c>
      <c r="J178" s="398">
        <v>132610</v>
      </c>
      <c r="K178" s="399" t="s">
        <v>71</v>
      </c>
      <c r="L178" s="399" t="s">
        <v>34</v>
      </c>
      <c r="M178" s="399">
        <v>174</v>
      </c>
      <c r="N178" s="356">
        <v>3730000</v>
      </c>
      <c r="O178" s="28" t="b">
        <f t="shared" si="32"/>
        <v>1</v>
      </c>
    </row>
    <row r="179" spans="2:15" s="28" customFormat="1" ht="16.5" customHeight="1">
      <c r="B179" s="20"/>
      <c r="C179" s="20"/>
      <c r="D179" s="254"/>
      <c r="E179" s="379">
        <v>132611</v>
      </c>
      <c r="F179" s="395" t="s">
        <v>275</v>
      </c>
      <c r="G179" s="396"/>
      <c r="H179" s="397"/>
      <c r="I179" s="383">
        <v>338000</v>
      </c>
      <c r="J179" s="398">
        <v>132611</v>
      </c>
      <c r="K179" s="399" t="s">
        <v>70</v>
      </c>
      <c r="L179" s="399" t="s">
        <v>34</v>
      </c>
      <c r="M179" s="399">
        <v>15.87</v>
      </c>
      <c r="N179" s="356">
        <v>338000</v>
      </c>
      <c r="O179" s="28" t="b">
        <f t="shared" si="32"/>
        <v>1</v>
      </c>
    </row>
    <row r="180" spans="2:15" s="28" customFormat="1" ht="16.5" customHeight="1">
      <c r="B180" s="20"/>
      <c r="C180" s="20"/>
      <c r="D180" s="254"/>
      <c r="E180" s="379">
        <v>140200</v>
      </c>
      <c r="F180" s="395" t="s">
        <v>276</v>
      </c>
      <c r="G180" s="396"/>
      <c r="H180" s="397"/>
      <c r="I180" s="383">
        <v>352000</v>
      </c>
      <c r="J180" s="398">
        <v>132642</v>
      </c>
      <c r="K180" s="399" t="s">
        <v>70</v>
      </c>
      <c r="L180" s="399" t="s">
        <v>34</v>
      </c>
      <c r="M180" s="399">
        <v>16</v>
      </c>
      <c r="N180" s="356">
        <v>351000</v>
      </c>
      <c r="O180" s="28" t="b">
        <f t="shared" si="32"/>
        <v>0</v>
      </c>
    </row>
    <row r="181" spans="2:15" s="28" customFormat="1" ht="16.5" customHeight="1">
      <c r="B181" s="20"/>
      <c r="C181" s="20"/>
      <c r="D181" s="254"/>
      <c r="E181" s="379">
        <v>132796</v>
      </c>
      <c r="F181" s="403" t="s">
        <v>278</v>
      </c>
      <c r="G181" s="404"/>
      <c r="H181" s="405"/>
      <c r="I181" s="383">
        <v>562000</v>
      </c>
      <c r="J181" s="398">
        <v>132796</v>
      </c>
      <c r="K181" s="406" t="s">
        <v>70</v>
      </c>
      <c r="L181" s="406" t="s">
        <v>34</v>
      </c>
      <c r="M181" s="406">
        <v>18</v>
      </c>
      <c r="N181" s="356">
        <v>562000</v>
      </c>
      <c r="O181" s="28" t="b">
        <f t="shared" si="32"/>
        <v>1</v>
      </c>
    </row>
    <row r="182" spans="2:15" s="28" customFormat="1" ht="16.5" customHeight="1">
      <c r="B182" s="20"/>
      <c r="C182" s="20"/>
      <c r="D182" s="254"/>
      <c r="E182" s="379">
        <v>132835</v>
      </c>
      <c r="F182" s="395" t="s">
        <v>474</v>
      </c>
      <c r="G182" s="396"/>
      <c r="H182" s="397"/>
      <c r="I182" s="383">
        <v>3480000</v>
      </c>
      <c r="J182" s="398">
        <v>132835</v>
      </c>
      <c r="K182" s="399" t="s">
        <v>71</v>
      </c>
      <c r="L182" s="399" t="s">
        <v>34</v>
      </c>
      <c r="M182" s="399">
        <v>208</v>
      </c>
      <c r="N182" s="356">
        <v>3480000</v>
      </c>
      <c r="O182" s="28" t="b">
        <f t="shared" si="32"/>
        <v>1</v>
      </c>
    </row>
    <row r="183" spans="2:15" s="28" customFormat="1" ht="16.5" customHeight="1">
      <c r="B183" s="20"/>
      <c r="C183" s="20"/>
      <c r="D183" s="254"/>
      <c r="E183" s="379">
        <v>133450</v>
      </c>
      <c r="F183" s="395" t="s">
        <v>475</v>
      </c>
      <c r="G183" s="396"/>
      <c r="H183" s="397"/>
      <c r="I183" s="383">
        <v>4688000</v>
      </c>
      <c r="J183" s="398">
        <v>133450</v>
      </c>
      <c r="K183" s="399" t="s">
        <v>71</v>
      </c>
      <c r="L183" s="399" t="s">
        <v>34</v>
      </c>
      <c r="M183" s="399">
        <v>208</v>
      </c>
      <c r="N183" s="356">
        <v>4688000</v>
      </c>
      <c r="O183" s="28" t="b">
        <f t="shared" si="32"/>
        <v>1</v>
      </c>
    </row>
    <row r="184" spans="2:15" s="28" customFormat="1" ht="16.5" customHeight="1">
      <c r="B184" s="20"/>
      <c r="C184" s="20"/>
      <c r="D184" s="254"/>
      <c r="E184" s="379">
        <v>134221</v>
      </c>
      <c r="F184" s="400" t="s">
        <v>476</v>
      </c>
      <c r="G184" s="401"/>
      <c r="H184" s="402"/>
      <c r="I184" s="383">
        <v>4412000</v>
      </c>
      <c r="J184" s="407">
        <v>134221</v>
      </c>
      <c r="K184" s="399" t="s">
        <v>71</v>
      </c>
      <c r="L184" s="399" t="s">
        <v>34</v>
      </c>
      <c r="M184" s="399">
        <v>216</v>
      </c>
      <c r="N184" s="356">
        <v>4412000</v>
      </c>
      <c r="O184" s="28" t="b">
        <f t="shared" si="32"/>
        <v>1</v>
      </c>
    </row>
    <row r="185" spans="2:15" s="28" customFormat="1" ht="16.5" customHeight="1">
      <c r="B185" s="20"/>
      <c r="C185" s="20"/>
      <c r="D185" s="254"/>
      <c r="E185" s="379">
        <v>134320</v>
      </c>
      <c r="F185" s="400" t="s">
        <v>477</v>
      </c>
      <c r="G185" s="396"/>
      <c r="H185" s="397"/>
      <c r="I185" s="383">
        <v>3144000</v>
      </c>
      <c r="J185" s="398">
        <v>134320</v>
      </c>
      <c r="K185" s="399" t="s">
        <v>71</v>
      </c>
      <c r="L185" s="399" t="s">
        <v>34</v>
      </c>
      <c r="M185" s="399">
        <v>208</v>
      </c>
      <c r="N185" s="356">
        <v>3144000</v>
      </c>
      <c r="O185" s="28" t="b">
        <f t="shared" si="32"/>
        <v>1</v>
      </c>
    </row>
    <row r="186" spans="2:15" s="28" customFormat="1" ht="16.5" customHeight="1">
      <c r="B186" s="20"/>
      <c r="C186" s="20"/>
      <c r="D186" s="254"/>
      <c r="E186" s="379">
        <v>134445</v>
      </c>
      <c r="F186" s="400" t="s">
        <v>239</v>
      </c>
      <c r="G186" s="396"/>
      <c r="H186" s="397"/>
      <c r="I186" s="383">
        <v>66900</v>
      </c>
      <c r="J186" s="398">
        <v>134445</v>
      </c>
      <c r="K186" s="399" t="s">
        <v>70</v>
      </c>
      <c r="L186" s="399" t="s">
        <v>34</v>
      </c>
      <c r="M186" s="399">
        <v>20</v>
      </c>
      <c r="N186" s="356">
        <v>66900</v>
      </c>
      <c r="O186" s="28" t="b">
        <f t="shared" si="32"/>
        <v>1</v>
      </c>
    </row>
    <row r="187" spans="2:15" s="28" customFormat="1" ht="16.5" customHeight="1">
      <c r="B187" s="20"/>
      <c r="C187" s="20"/>
      <c r="D187" s="254"/>
      <c r="E187" s="379">
        <v>134602</v>
      </c>
      <c r="F187" s="400" t="s">
        <v>481</v>
      </c>
      <c r="G187" s="396"/>
      <c r="H187" s="397"/>
      <c r="I187" s="383">
        <v>3680000</v>
      </c>
      <c r="J187" s="407">
        <v>134602</v>
      </c>
      <c r="K187" s="399" t="s">
        <v>71</v>
      </c>
      <c r="L187" s="399" t="s">
        <v>34</v>
      </c>
      <c r="M187" s="399">
        <v>208</v>
      </c>
      <c r="N187" s="356">
        <v>3680000</v>
      </c>
      <c r="O187" s="28" t="b">
        <f t="shared" si="32"/>
        <v>1</v>
      </c>
    </row>
    <row r="188" spans="2:15" s="28" customFormat="1" ht="16.5" customHeight="1">
      <c r="B188" s="20"/>
      <c r="C188" s="20"/>
      <c r="D188" s="254"/>
      <c r="E188" s="379">
        <v>134604</v>
      </c>
      <c r="F188" s="400" t="s">
        <v>280</v>
      </c>
      <c r="G188" s="396"/>
      <c r="H188" s="397"/>
      <c r="I188" s="383">
        <v>120000</v>
      </c>
      <c r="J188" s="398">
        <v>134604</v>
      </c>
      <c r="K188" s="399" t="s">
        <v>70</v>
      </c>
      <c r="L188" s="399" t="s">
        <v>34</v>
      </c>
      <c r="M188" s="399">
        <v>16</v>
      </c>
      <c r="N188" s="356">
        <v>120000</v>
      </c>
      <c r="O188" s="28" t="b">
        <f t="shared" si="32"/>
        <v>1</v>
      </c>
    </row>
    <row r="189" spans="2:15" s="28" customFormat="1" ht="16.5" customHeight="1">
      <c r="B189" s="20"/>
      <c r="C189" s="20"/>
      <c r="D189" s="254"/>
      <c r="E189" s="379">
        <v>134884</v>
      </c>
      <c r="F189" s="400" t="s">
        <v>281</v>
      </c>
      <c r="G189" s="396"/>
      <c r="H189" s="397"/>
      <c r="I189" s="383">
        <v>80500</v>
      </c>
      <c r="J189" s="407">
        <v>134884</v>
      </c>
      <c r="K189" s="399" t="s">
        <v>70</v>
      </c>
      <c r="L189" s="399" t="s">
        <v>34</v>
      </c>
      <c r="M189" s="399">
        <v>20</v>
      </c>
      <c r="N189" s="356">
        <v>80500</v>
      </c>
      <c r="O189" s="28" t="b">
        <f t="shared" si="32"/>
        <v>1</v>
      </c>
    </row>
    <row r="190" spans="2:15" s="28" customFormat="1" ht="16.5" customHeight="1">
      <c r="B190" s="20"/>
      <c r="C190" s="20"/>
      <c r="D190" s="254"/>
      <c r="E190" s="379">
        <v>134937</v>
      </c>
      <c r="F190" s="400" t="s">
        <v>486</v>
      </c>
      <c r="G190" s="396"/>
      <c r="H190" s="397"/>
      <c r="I190" s="383">
        <v>3079000</v>
      </c>
      <c r="J190" s="407">
        <v>134937</v>
      </c>
      <c r="K190" s="399" t="s">
        <v>71</v>
      </c>
      <c r="L190" s="399" t="s">
        <v>34</v>
      </c>
      <c r="M190" s="399">
        <v>208</v>
      </c>
      <c r="N190" s="356">
        <v>3079000</v>
      </c>
      <c r="O190" s="28" t="b">
        <f t="shared" si="32"/>
        <v>1</v>
      </c>
    </row>
    <row r="191" spans="2:15" s="28" customFormat="1" ht="16.5" customHeight="1">
      <c r="B191" s="20"/>
      <c r="C191" s="20"/>
      <c r="D191" s="254"/>
      <c r="E191" s="379">
        <v>134962</v>
      </c>
      <c r="F191" s="395" t="s">
        <v>47</v>
      </c>
      <c r="G191" s="396"/>
      <c r="H191" s="397"/>
      <c r="I191" s="383">
        <v>364000</v>
      </c>
      <c r="J191" s="398">
        <v>134962</v>
      </c>
      <c r="K191" s="399" t="s">
        <v>70</v>
      </c>
      <c r="L191" s="399" t="s">
        <v>34</v>
      </c>
      <c r="M191" s="399">
        <v>20</v>
      </c>
      <c r="N191" s="356">
        <v>364000</v>
      </c>
      <c r="O191" s="28" t="b">
        <f t="shared" si="32"/>
        <v>1</v>
      </c>
    </row>
    <row r="192" spans="2:15" s="28" customFormat="1" ht="16.5" customHeight="1">
      <c r="B192" s="20"/>
      <c r="C192" s="20"/>
      <c r="D192" s="254"/>
      <c r="E192" s="379">
        <v>134995</v>
      </c>
      <c r="F192" s="395" t="s">
        <v>283</v>
      </c>
      <c r="G192" s="396"/>
      <c r="H192" s="397"/>
      <c r="I192" s="383">
        <v>475000</v>
      </c>
      <c r="J192" s="398">
        <v>134995</v>
      </c>
      <c r="K192" s="399" t="s">
        <v>70</v>
      </c>
      <c r="L192" s="399" t="s">
        <v>34</v>
      </c>
      <c r="M192" s="399">
        <v>16</v>
      </c>
      <c r="N192" s="356">
        <v>475000</v>
      </c>
      <c r="O192" s="28" t="b">
        <f t="shared" si="32"/>
        <v>1</v>
      </c>
    </row>
    <row r="193" spans="2:15" s="28" customFormat="1" ht="16.5" customHeight="1">
      <c r="B193" s="20"/>
      <c r="C193" s="20"/>
      <c r="D193" s="254"/>
      <c r="E193" s="379">
        <v>134997</v>
      </c>
      <c r="F193" s="408" t="s">
        <v>284</v>
      </c>
      <c r="G193" s="409"/>
      <c r="H193" s="410"/>
      <c r="I193" s="383">
        <v>316000</v>
      </c>
      <c r="J193" s="398">
        <v>134997</v>
      </c>
      <c r="K193" s="378" t="s">
        <v>70</v>
      </c>
      <c r="L193" s="378" t="s">
        <v>34</v>
      </c>
      <c r="M193" s="378">
        <v>15.87</v>
      </c>
      <c r="N193" s="356">
        <v>316000</v>
      </c>
      <c r="O193" s="28" t="b">
        <f t="shared" si="32"/>
        <v>1</v>
      </c>
    </row>
    <row r="194" spans="2:15" s="28" customFormat="1" ht="16.5" customHeight="1">
      <c r="B194" s="20"/>
      <c r="C194" s="20"/>
      <c r="D194" s="254"/>
      <c r="E194" s="379">
        <v>134999</v>
      </c>
      <c r="F194" s="395" t="s">
        <v>285</v>
      </c>
      <c r="G194" s="396"/>
      <c r="H194" s="397"/>
      <c r="I194" s="383">
        <v>476000</v>
      </c>
      <c r="J194" s="398">
        <v>134999</v>
      </c>
      <c r="K194" s="399" t="s">
        <v>70</v>
      </c>
      <c r="L194" s="399" t="s">
        <v>34</v>
      </c>
      <c r="M194" s="399">
        <v>15.87</v>
      </c>
      <c r="N194" s="356">
        <v>476000</v>
      </c>
      <c r="O194" s="28" t="b">
        <f t="shared" si="32"/>
        <v>1</v>
      </c>
    </row>
    <row r="195" spans="2:15" s="28" customFormat="1" ht="16.5" customHeight="1">
      <c r="B195" s="20"/>
      <c r="C195" s="20"/>
      <c r="D195" s="254"/>
      <c r="E195" s="379">
        <v>135000</v>
      </c>
      <c r="F195" s="395" t="s">
        <v>487</v>
      </c>
      <c r="G195" s="396"/>
      <c r="H195" s="397"/>
      <c r="I195" s="383">
        <v>2918000</v>
      </c>
      <c r="J195" s="398">
        <v>135000</v>
      </c>
      <c r="K195" s="399" t="s">
        <v>71</v>
      </c>
      <c r="L195" s="399" t="s">
        <v>34</v>
      </c>
      <c r="M195" s="399">
        <v>208</v>
      </c>
      <c r="N195" s="356">
        <v>2918000</v>
      </c>
      <c r="O195" s="28" t="b">
        <f t="shared" si="32"/>
        <v>1</v>
      </c>
    </row>
    <row r="196" spans="2:15" s="28" customFormat="1" ht="16.5" customHeight="1">
      <c r="B196" s="20"/>
      <c r="C196" s="20"/>
      <c r="D196" s="254"/>
      <c r="E196" s="379">
        <v>135002</v>
      </c>
      <c r="F196" s="395" t="s">
        <v>286</v>
      </c>
      <c r="G196" s="396"/>
      <c r="H196" s="397"/>
      <c r="I196" s="383">
        <v>364000</v>
      </c>
      <c r="J196" s="398">
        <v>135002</v>
      </c>
      <c r="K196" s="399" t="s">
        <v>70</v>
      </c>
      <c r="L196" s="399" t="s">
        <v>34</v>
      </c>
      <c r="M196" s="399">
        <v>20</v>
      </c>
      <c r="N196" s="356">
        <v>364000</v>
      </c>
      <c r="O196" s="28" t="b">
        <f t="shared" si="32"/>
        <v>1</v>
      </c>
    </row>
    <row r="197" spans="2:15" s="28" customFormat="1" ht="16.5" customHeight="1">
      <c r="B197" s="20"/>
      <c r="C197" s="20"/>
      <c r="D197" s="254"/>
      <c r="E197" s="379">
        <v>135004</v>
      </c>
      <c r="F197" s="395" t="s">
        <v>287</v>
      </c>
      <c r="G197" s="396"/>
      <c r="H197" s="397"/>
      <c r="I197" s="383">
        <v>300000</v>
      </c>
      <c r="J197" s="398">
        <v>135004</v>
      </c>
      <c r="K197" s="399" t="s">
        <v>70</v>
      </c>
      <c r="L197" s="399" t="s">
        <v>34</v>
      </c>
      <c r="M197" s="399">
        <v>18.899999999999999</v>
      </c>
      <c r="N197" s="356">
        <v>300000</v>
      </c>
      <c r="O197" s="28" t="b">
        <f t="shared" si="32"/>
        <v>1</v>
      </c>
    </row>
    <row r="198" spans="2:15" s="28" customFormat="1" ht="16.5" customHeight="1">
      <c r="B198" s="20"/>
      <c r="C198" s="20"/>
      <c r="D198" s="254"/>
      <c r="E198" s="379">
        <v>135008</v>
      </c>
      <c r="F198" s="395" t="s">
        <v>288</v>
      </c>
      <c r="G198" s="396"/>
      <c r="H198" s="397"/>
      <c r="I198" s="383">
        <v>274000</v>
      </c>
      <c r="J198" s="398">
        <v>135008</v>
      </c>
      <c r="K198" s="399" t="s">
        <v>70</v>
      </c>
      <c r="L198" s="399" t="s">
        <v>34</v>
      </c>
      <c r="M198" s="399">
        <v>20</v>
      </c>
      <c r="N198" s="356">
        <v>274000</v>
      </c>
      <c r="O198" s="28" t="b">
        <f t="shared" si="32"/>
        <v>1</v>
      </c>
    </row>
    <row r="199" spans="2:15" s="28" customFormat="1" ht="16.5" customHeight="1">
      <c r="B199" s="20"/>
      <c r="C199" s="20"/>
      <c r="D199" s="254"/>
      <c r="E199" s="379">
        <v>135010</v>
      </c>
      <c r="F199" s="395" t="s">
        <v>488</v>
      </c>
      <c r="G199" s="396"/>
      <c r="H199" s="397"/>
      <c r="I199" s="383">
        <v>3777000</v>
      </c>
      <c r="J199" s="398">
        <v>135010</v>
      </c>
      <c r="K199" s="399" t="s">
        <v>71</v>
      </c>
      <c r="L199" s="399" t="s">
        <v>34</v>
      </c>
      <c r="M199" s="399">
        <v>174</v>
      </c>
      <c r="N199" s="356">
        <v>3777000</v>
      </c>
      <c r="O199" s="28" t="b">
        <f t="shared" si="32"/>
        <v>1</v>
      </c>
    </row>
    <row r="200" spans="2:15" s="28" customFormat="1" ht="16.5" customHeight="1">
      <c r="B200" s="20"/>
      <c r="C200" s="20"/>
      <c r="D200" s="254"/>
      <c r="E200" s="379">
        <v>135013</v>
      </c>
      <c r="F200" s="395" t="s">
        <v>489</v>
      </c>
      <c r="G200" s="396"/>
      <c r="H200" s="397"/>
      <c r="I200" s="383">
        <v>2922000</v>
      </c>
      <c r="J200" s="398">
        <v>135013</v>
      </c>
      <c r="K200" s="399" t="s">
        <v>71</v>
      </c>
      <c r="L200" s="399" t="s">
        <v>34</v>
      </c>
      <c r="M200" s="399">
        <v>208</v>
      </c>
      <c r="N200" s="356">
        <v>2922000</v>
      </c>
      <c r="O200" s="28" t="b">
        <f t="shared" si="32"/>
        <v>1</v>
      </c>
    </row>
    <row r="201" spans="2:15" s="28" customFormat="1" ht="16.5" customHeight="1">
      <c r="B201" s="20"/>
      <c r="C201" s="20"/>
      <c r="D201" s="254"/>
      <c r="E201" s="379">
        <v>135014</v>
      </c>
      <c r="F201" s="395" t="s">
        <v>490</v>
      </c>
      <c r="G201" s="396"/>
      <c r="H201" s="397"/>
      <c r="I201" s="383">
        <v>3151000</v>
      </c>
      <c r="J201" s="398">
        <v>135014</v>
      </c>
      <c r="K201" s="399" t="s">
        <v>71</v>
      </c>
      <c r="L201" s="399" t="s">
        <v>34</v>
      </c>
      <c r="M201" s="399">
        <v>208</v>
      </c>
      <c r="N201" s="356">
        <v>3151000</v>
      </c>
      <c r="O201" s="28" t="b">
        <f t="shared" si="32"/>
        <v>1</v>
      </c>
    </row>
    <row r="202" spans="2:15" s="28" customFormat="1" ht="16.5" customHeight="1">
      <c r="B202" s="20"/>
      <c r="C202" s="20"/>
      <c r="D202" s="254"/>
      <c r="E202" s="379">
        <v>135016</v>
      </c>
      <c r="F202" s="395" t="s">
        <v>289</v>
      </c>
      <c r="G202" s="396"/>
      <c r="H202" s="397"/>
      <c r="I202" s="383">
        <v>353000</v>
      </c>
      <c r="J202" s="398">
        <v>135016</v>
      </c>
      <c r="K202" s="399" t="s">
        <v>70</v>
      </c>
      <c r="L202" s="399" t="s">
        <v>34</v>
      </c>
      <c r="M202" s="399">
        <v>20</v>
      </c>
      <c r="N202" s="356">
        <v>353000</v>
      </c>
      <c r="O202" s="28" t="b">
        <f t="shared" si="32"/>
        <v>1</v>
      </c>
    </row>
    <row r="203" spans="2:15" s="28" customFormat="1" ht="16.5" customHeight="1">
      <c r="B203" s="20"/>
      <c r="C203" s="20"/>
      <c r="D203" s="254"/>
      <c r="E203" s="379">
        <v>135152</v>
      </c>
      <c r="F203" s="395" t="s">
        <v>290</v>
      </c>
      <c r="G203" s="396"/>
      <c r="H203" s="397"/>
      <c r="I203" s="383">
        <v>327000</v>
      </c>
      <c r="J203" s="398">
        <v>135152</v>
      </c>
      <c r="K203" s="399" t="s">
        <v>70</v>
      </c>
      <c r="L203" s="399" t="s">
        <v>34</v>
      </c>
      <c r="M203" s="399">
        <v>20</v>
      </c>
      <c r="N203" s="356">
        <v>327000</v>
      </c>
      <c r="O203" s="28" t="b">
        <f t="shared" si="32"/>
        <v>1</v>
      </c>
    </row>
    <row r="204" spans="2:15" s="28" customFormat="1" ht="16.5" customHeight="1">
      <c r="B204" s="20"/>
      <c r="C204" s="20"/>
      <c r="D204" s="254"/>
      <c r="E204" s="379">
        <v>135153</v>
      </c>
      <c r="F204" s="395" t="s">
        <v>291</v>
      </c>
      <c r="G204" s="396"/>
      <c r="H204" s="397"/>
      <c r="I204" s="383">
        <v>277000</v>
      </c>
      <c r="J204" s="398">
        <v>135153</v>
      </c>
      <c r="K204" s="399" t="s">
        <v>70</v>
      </c>
      <c r="L204" s="399" t="s">
        <v>34</v>
      </c>
      <c r="M204" s="399">
        <v>20</v>
      </c>
      <c r="N204" s="356">
        <v>277000</v>
      </c>
      <c r="O204" s="28" t="b">
        <f t="shared" si="32"/>
        <v>1</v>
      </c>
    </row>
    <row r="205" spans="2:15" s="28" customFormat="1" ht="16.5" customHeight="1">
      <c r="B205" s="20"/>
      <c r="C205" s="20"/>
      <c r="D205" s="254"/>
      <c r="E205" s="379">
        <v>135179</v>
      </c>
      <c r="F205" s="395" t="s">
        <v>491</v>
      </c>
      <c r="G205" s="396"/>
      <c r="H205" s="397"/>
      <c r="I205" s="383">
        <v>2733000</v>
      </c>
      <c r="J205" s="398">
        <v>135179</v>
      </c>
      <c r="K205" s="399" t="s">
        <v>71</v>
      </c>
      <c r="L205" s="399" t="s">
        <v>34</v>
      </c>
      <c r="M205" s="399">
        <v>208</v>
      </c>
      <c r="N205" s="356">
        <v>2733000</v>
      </c>
      <c r="O205" s="28" t="b">
        <f t="shared" si="32"/>
        <v>1</v>
      </c>
    </row>
    <row r="206" spans="2:15" s="28" customFormat="1" ht="16.5" customHeight="1">
      <c r="B206" s="20"/>
      <c r="C206" s="20"/>
      <c r="D206" s="254"/>
      <c r="E206" s="379">
        <v>135180</v>
      </c>
      <c r="F206" s="395" t="s">
        <v>492</v>
      </c>
      <c r="G206" s="401"/>
      <c r="H206" s="402"/>
      <c r="I206" s="383">
        <v>3124000</v>
      </c>
      <c r="J206" s="398">
        <v>135180</v>
      </c>
      <c r="K206" s="399" t="s">
        <v>71</v>
      </c>
      <c r="L206" s="399" t="s">
        <v>34</v>
      </c>
      <c r="M206" s="399">
        <v>208</v>
      </c>
      <c r="N206" s="356">
        <v>3124000</v>
      </c>
      <c r="O206" s="28" t="b">
        <f t="shared" si="32"/>
        <v>1</v>
      </c>
    </row>
    <row r="207" spans="2:15" s="28" customFormat="1" ht="16.5" customHeight="1">
      <c r="B207" s="20"/>
      <c r="C207" s="20"/>
      <c r="D207" s="254"/>
      <c r="E207" s="379">
        <v>135181</v>
      </c>
      <c r="F207" s="395" t="s">
        <v>292</v>
      </c>
      <c r="G207" s="396"/>
      <c r="H207" s="397"/>
      <c r="I207" s="383">
        <v>269000</v>
      </c>
      <c r="J207" s="398">
        <v>135181</v>
      </c>
      <c r="K207" s="399" t="s">
        <v>70</v>
      </c>
      <c r="L207" s="399" t="s">
        <v>34</v>
      </c>
      <c r="M207" s="399">
        <v>20</v>
      </c>
      <c r="N207" s="356">
        <v>269000</v>
      </c>
      <c r="O207" s="28" t="b">
        <f t="shared" si="32"/>
        <v>1</v>
      </c>
    </row>
    <row r="208" spans="2:15" s="28" customFormat="1" ht="16.5" customHeight="1">
      <c r="B208" s="20"/>
      <c r="C208" s="20"/>
      <c r="D208" s="254"/>
      <c r="E208" s="379">
        <v>135182</v>
      </c>
      <c r="F208" s="395" t="s">
        <v>493</v>
      </c>
      <c r="G208" s="396"/>
      <c r="H208" s="397"/>
      <c r="I208" s="383">
        <v>2995000</v>
      </c>
      <c r="J208" s="398">
        <v>135182</v>
      </c>
      <c r="K208" s="399" t="s">
        <v>71</v>
      </c>
      <c r="L208" s="399" t="s">
        <v>34</v>
      </c>
      <c r="M208" s="399">
        <v>208</v>
      </c>
      <c r="N208" s="356">
        <v>2995000</v>
      </c>
      <c r="O208" s="28" t="b">
        <f t="shared" si="32"/>
        <v>1</v>
      </c>
    </row>
    <row r="209" spans="2:15" s="28" customFormat="1" ht="16.5" customHeight="1">
      <c r="B209" s="20"/>
      <c r="C209" s="20"/>
      <c r="D209" s="254"/>
      <c r="E209" s="379">
        <v>135183</v>
      </c>
      <c r="F209" s="395" t="s">
        <v>293</v>
      </c>
      <c r="G209" s="396"/>
      <c r="H209" s="397"/>
      <c r="I209" s="383">
        <v>302000</v>
      </c>
      <c r="J209" s="398">
        <v>135183</v>
      </c>
      <c r="K209" s="399" t="s">
        <v>70</v>
      </c>
      <c r="L209" s="399" t="s">
        <v>34</v>
      </c>
      <c r="M209" s="399">
        <v>20</v>
      </c>
      <c r="N209" s="356">
        <v>302000</v>
      </c>
      <c r="O209" s="28" t="b">
        <f t="shared" si="32"/>
        <v>1</v>
      </c>
    </row>
    <row r="210" spans="2:15" s="28" customFormat="1" ht="16.5" customHeight="1">
      <c r="B210" s="20"/>
      <c r="C210" s="20"/>
      <c r="D210" s="254"/>
      <c r="E210" s="379">
        <v>135184</v>
      </c>
      <c r="F210" s="395" t="s">
        <v>494</v>
      </c>
      <c r="G210" s="396"/>
      <c r="H210" s="397"/>
      <c r="I210" s="383">
        <v>3255000</v>
      </c>
      <c r="J210" s="398">
        <v>135184</v>
      </c>
      <c r="K210" s="399" t="s">
        <v>71</v>
      </c>
      <c r="L210" s="399" t="s">
        <v>34</v>
      </c>
      <c r="M210" s="399">
        <v>208</v>
      </c>
      <c r="N210" s="356">
        <v>3255000</v>
      </c>
      <c r="O210" s="28" t="b">
        <f t="shared" si="32"/>
        <v>1</v>
      </c>
    </row>
    <row r="211" spans="2:15" s="28" customFormat="1" ht="16.5" customHeight="1">
      <c r="B211" s="20"/>
      <c r="C211" s="20"/>
      <c r="D211" s="254"/>
      <c r="E211" s="379">
        <v>135185</v>
      </c>
      <c r="F211" s="395" t="s">
        <v>495</v>
      </c>
      <c r="G211" s="396"/>
      <c r="H211" s="397"/>
      <c r="I211" s="383">
        <v>3450000</v>
      </c>
      <c r="J211" s="398">
        <v>135185</v>
      </c>
      <c r="K211" s="399" t="s">
        <v>71</v>
      </c>
      <c r="L211" s="399" t="s">
        <v>34</v>
      </c>
      <c r="M211" s="399">
        <v>208</v>
      </c>
      <c r="N211" s="356">
        <v>3450000</v>
      </c>
      <c r="O211" s="28" t="b">
        <f t="shared" si="32"/>
        <v>1</v>
      </c>
    </row>
    <row r="212" spans="2:15" s="28" customFormat="1" ht="16.5" customHeight="1">
      <c r="B212" s="20"/>
      <c r="C212" s="20"/>
      <c r="D212" s="254"/>
      <c r="E212" s="379">
        <v>135186</v>
      </c>
      <c r="F212" s="395" t="s">
        <v>496</v>
      </c>
      <c r="G212" s="396"/>
      <c r="H212" s="397"/>
      <c r="I212" s="383">
        <v>3644000</v>
      </c>
      <c r="J212" s="398">
        <v>135186</v>
      </c>
      <c r="K212" s="399" t="s">
        <v>71</v>
      </c>
      <c r="L212" s="399" t="s">
        <v>34</v>
      </c>
      <c r="M212" s="399">
        <v>208</v>
      </c>
      <c r="N212" s="356">
        <v>3644000</v>
      </c>
      <c r="O212" s="28" t="b">
        <f t="shared" si="32"/>
        <v>1</v>
      </c>
    </row>
    <row r="213" spans="2:15" s="28" customFormat="1" ht="16.5" customHeight="1">
      <c r="B213" s="20"/>
      <c r="C213" s="20"/>
      <c r="D213" s="254"/>
      <c r="E213" s="379">
        <v>135187</v>
      </c>
      <c r="F213" s="395" t="s">
        <v>497</v>
      </c>
      <c r="G213" s="396"/>
      <c r="H213" s="397"/>
      <c r="I213" s="383">
        <v>3124000</v>
      </c>
      <c r="J213" s="398">
        <v>135187</v>
      </c>
      <c r="K213" s="399" t="s">
        <v>71</v>
      </c>
      <c r="L213" s="399" t="s">
        <v>34</v>
      </c>
      <c r="M213" s="399">
        <v>208</v>
      </c>
      <c r="N213" s="356">
        <v>3124000</v>
      </c>
      <c r="O213" s="28" t="b">
        <f t="shared" si="32"/>
        <v>1</v>
      </c>
    </row>
    <row r="214" spans="2:15" s="28" customFormat="1" ht="16.5" customHeight="1">
      <c r="B214" s="20"/>
      <c r="C214" s="20"/>
      <c r="D214" s="254"/>
      <c r="E214" s="379">
        <v>135188</v>
      </c>
      <c r="F214" s="395" t="s">
        <v>294</v>
      </c>
      <c r="G214" s="396"/>
      <c r="H214" s="397"/>
      <c r="I214" s="383">
        <v>315000</v>
      </c>
      <c r="J214" s="398">
        <v>135188</v>
      </c>
      <c r="K214" s="399" t="s">
        <v>70</v>
      </c>
      <c r="L214" s="399" t="s">
        <v>34</v>
      </c>
      <c r="M214" s="399">
        <v>20</v>
      </c>
      <c r="N214" s="356">
        <v>315000</v>
      </c>
      <c r="O214" s="28" t="b">
        <f t="shared" si="32"/>
        <v>1</v>
      </c>
    </row>
    <row r="215" spans="2:15" s="28" customFormat="1" ht="16.5" customHeight="1">
      <c r="B215" s="20"/>
      <c r="C215" s="20"/>
      <c r="D215" s="254"/>
      <c r="E215" s="379">
        <v>135190</v>
      </c>
      <c r="F215" s="395" t="s">
        <v>295</v>
      </c>
      <c r="G215" s="396"/>
      <c r="H215" s="397"/>
      <c r="I215" s="383">
        <v>346000</v>
      </c>
      <c r="J215" s="398">
        <v>135190</v>
      </c>
      <c r="K215" s="399" t="s">
        <v>70</v>
      </c>
      <c r="L215" s="399" t="s">
        <v>34</v>
      </c>
      <c r="M215" s="399">
        <v>20</v>
      </c>
      <c r="N215" s="356">
        <v>346000</v>
      </c>
      <c r="O215" s="28" t="b">
        <f t="shared" si="32"/>
        <v>1</v>
      </c>
    </row>
    <row r="216" spans="2:15" s="28" customFormat="1" ht="16.5" customHeight="1">
      <c r="B216" s="20"/>
      <c r="C216" s="20"/>
      <c r="D216" s="254"/>
      <c r="E216" s="379">
        <v>135249</v>
      </c>
      <c r="F216" s="395" t="s">
        <v>498</v>
      </c>
      <c r="G216" s="401"/>
      <c r="H216" s="402"/>
      <c r="I216" s="383">
        <v>1871000</v>
      </c>
      <c r="J216" s="398">
        <v>135249</v>
      </c>
      <c r="K216" s="399" t="s">
        <v>71</v>
      </c>
      <c r="L216" s="399" t="s">
        <v>34</v>
      </c>
      <c r="M216" s="399">
        <v>180</v>
      </c>
      <c r="N216" s="356">
        <v>1871000</v>
      </c>
      <c r="O216" s="28" t="b">
        <f t="shared" si="32"/>
        <v>1</v>
      </c>
    </row>
    <row r="217" spans="2:15" s="28" customFormat="1" ht="16.5" customHeight="1">
      <c r="B217" s="20"/>
      <c r="C217" s="20"/>
      <c r="D217" s="254"/>
      <c r="E217" s="379">
        <v>135304</v>
      </c>
      <c r="F217" s="395" t="s">
        <v>499</v>
      </c>
      <c r="G217" s="396"/>
      <c r="H217" s="397"/>
      <c r="I217" s="383">
        <v>3473000</v>
      </c>
      <c r="J217" s="398">
        <v>135304</v>
      </c>
      <c r="K217" s="399" t="s">
        <v>71</v>
      </c>
      <c r="L217" s="399" t="s">
        <v>34</v>
      </c>
      <c r="M217" s="399">
        <v>208</v>
      </c>
      <c r="N217" s="356">
        <v>3473000</v>
      </c>
      <c r="O217" s="28" t="b">
        <f t="shared" si="32"/>
        <v>1</v>
      </c>
    </row>
    <row r="218" spans="2:15" s="28" customFormat="1" ht="16.5" customHeight="1">
      <c r="B218" s="20"/>
      <c r="C218" s="20"/>
      <c r="D218" s="254"/>
      <c r="E218" s="379">
        <v>135361</v>
      </c>
      <c r="F218" s="395" t="s">
        <v>296</v>
      </c>
      <c r="G218" s="396"/>
      <c r="H218" s="397"/>
      <c r="I218" s="383">
        <v>317000</v>
      </c>
      <c r="J218" s="398">
        <v>135361</v>
      </c>
      <c r="K218" s="399" t="s">
        <v>70</v>
      </c>
      <c r="L218" s="399" t="s">
        <v>34</v>
      </c>
      <c r="M218" s="399">
        <v>18.899999999999999</v>
      </c>
      <c r="N218" s="356">
        <v>317000</v>
      </c>
      <c r="O218" s="28" t="b">
        <f t="shared" si="32"/>
        <v>1</v>
      </c>
    </row>
    <row r="219" spans="2:15" s="28" customFormat="1" ht="16.5" customHeight="1">
      <c r="B219" s="20"/>
      <c r="C219" s="20"/>
      <c r="D219" s="254"/>
      <c r="E219" s="379">
        <v>135421</v>
      </c>
      <c r="F219" s="395" t="s">
        <v>500</v>
      </c>
      <c r="G219" s="396"/>
      <c r="H219" s="397"/>
      <c r="I219" s="383">
        <v>5049000</v>
      </c>
      <c r="J219" s="398">
        <v>135421</v>
      </c>
      <c r="K219" s="399" t="s">
        <v>71</v>
      </c>
      <c r="L219" s="399" t="s">
        <v>34</v>
      </c>
      <c r="M219" s="399">
        <v>208</v>
      </c>
      <c r="N219" s="356">
        <v>5049000</v>
      </c>
      <c r="O219" s="28" t="b">
        <f t="shared" si="32"/>
        <v>1</v>
      </c>
    </row>
    <row r="220" spans="2:15" s="28" customFormat="1" ht="16.5" customHeight="1">
      <c r="B220" s="20"/>
      <c r="C220" s="20"/>
      <c r="D220" s="254"/>
      <c r="E220" s="379">
        <v>135431</v>
      </c>
      <c r="F220" s="395" t="s">
        <v>501</v>
      </c>
      <c r="G220" s="396"/>
      <c r="H220" s="397"/>
      <c r="I220" s="383">
        <v>3873000</v>
      </c>
      <c r="J220" s="398">
        <v>135431</v>
      </c>
      <c r="K220" s="399" t="s">
        <v>71</v>
      </c>
      <c r="L220" s="399" t="s">
        <v>34</v>
      </c>
      <c r="M220" s="399">
        <v>177</v>
      </c>
      <c r="N220" s="356">
        <v>3873000</v>
      </c>
      <c r="O220" s="28" t="b">
        <f t="shared" ref="O220:O283" si="33">I220=N220</f>
        <v>1</v>
      </c>
    </row>
    <row r="221" spans="2:15" s="28" customFormat="1" ht="16.5" customHeight="1">
      <c r="B221" s="20"/>
      <c r="C221" s="20"/>
      <c r="D221" s="254"/>
      <c r="E221" s="379">
        <v>135432</v>
      </c>
      <c r="F221" s="395" t="s">
        <v>502</v>
      </c>
      <c r="G221" s="396"/>
      <c r="H221" s="397"/>
      <c r="I221" s="383">
        <v>3962000</v>
      </c>
      <c r="J221" s="398">
        <v>135432</v>
      </c>
      <c r="K221" s="399" t="s">
        <v>71</v>
      </c>
      <c r="L221" s="399" t="s">
        <v>34</v>
      </c>
      <c r="M221" s="399">
        <v>177</v>
      </c>
      <c r="N221" s="356">
        <v>3962000</v>
      </c>
      <c r="O221" s="28" t="b">
        <f t="shared" si="33"/>
        <v>1</v>
      </c>
    </row>
    <row r="222" spans="2:15" s="28" customFormat="1" ht="16.5" customHeight="1">
      <c r="B222" s="20"/>
      <c r="C222" s="20"/>
      <c r="D222" s="254"/>
      <c r="E222" s="379">
        <v>135437</v>
      </c>
      <c r="F222" s="395" t="s">
        <v>503</v>
      </c>
      <c r="G222" s="396"/>
      <c r="H222" s="397"/>
      <c r="I222" s="383">
        <v>3634000</v>
      </c>
      <c r="J222" s="398">
        <v>135437</v>
      </c>
      <c r="K222" s="399" t="s">
        <v>71</v>
      </c>
      <c r="L222" s="399" t="s">
        <v>34</v>
      </c>
      <c r="M222" s="399">
        <v>176.9</v>
      </c>
      <c r="N222" s="356">
        <v>3634000</v>
      </c>
      <c r="O222" s="28" t="b">
        <f t="shared" si="33"/>
        <v>1</v>
      </c>
    </row>
    <row r="223" spans="2:15" s="28" customFormat="1" ht="16.5" customHeight="1">
      <c r="B223" s="20"/>
      <c r="C223" s="20"/>
      <c r="D223" s="254"/>
      <c r="E223" s="379">
        <v>135439</v>
      </c>
      <c r="F223" s="395" t="s">
        <v>504</v>
      </c>
      <c r="G223" s="396"/>
      <c r="H223" s="397"/>
      <c r="I223" s="383">
        <v>4035000</v>
      </c>
      <c r="J223" s="398">
        <v>135439</v>
      </c>
      <c r="K223" s="399" t="s">
        <v>71</v>
      </c>
      <c r="L223" s="399" t="s">
        <v>34</v>
      </c>
      <c r="M223" s="399">
        <v>176.9</v>
      </c>
      <c r="N223" s="356">
        <v>4035000</v>
      </c>
      <c r="O223" s="28" t="b">
        <f t="shared" si="33"/>
        <v>1</v>
      </c>
    </row>
    <row r="224" spans="2:15" s="28" customFormat="1" ht="16.5" customHeight="1">
      <c r="B224" s="20"/>
      <c r="C224" s="20"/>
      <c r="D224" s="254"/>
      <c r="E224" s="379">
        <v>135440</v>
      </c>
      <c r="F224" s="395" t="s">
        <v>505</v>
      </c>
      <c r="G224" s="396"/>
      <c r="H224" s="397"/>
      <c r="I224" s="383">
        <v>2915000</v>
      </c>
      <c r="J224" s="398">
        <v>135440</v>
      </c>
      <c r="K224" s="399" t="s">
        <v>71</v>
      </c>
      <c r="L224" s="399" t="s">
        <v>34</v>
      </c>
      <c r="M224" s="399">
        <v>208</v>
      </c>
      <c r="N224" s="356">
        <v>2915000</v>
      </c>
      <c r="O224" s="28" t="b">
        <f t="shared" si="33"/>
        <v>1</v>
      </c>
    </row>
    <row r="225" spans="2:15" s="28" customFormat="1" ht="16.5" customHeight="1">
      <c r="B225" s="20"/>
      <c r="C225" s="20"/>
      <c r="D225" s="254"/>
      <c r="E225" s="379">
        <v>135444</v>
      </c>
      <c r="F225" s="395" t="s">
        <v>507</v>
      </c>
      <c r="G225" s="396"/>
      <c r="H225" s="397"/>
      <c r="I225" s="383">
        <v>4131000</v>
      </c>
      <c r="J225" s="399">
        <v>135444</v>
      </c>
      <c r="K225" s="399" t="s">
        <v>71</v>
      </c>
      <c r="L225" s="399" t="s">
        <v>34</v>
      </c>
      <c r="M225" s="399">
        <v>177</v>
      </c>
      <c r="N225" s="356">
        <v>4131000</v>
      </c>
      <c r="O225" s="28" t="b">
        <f t="shared" si="33"/>
        <v>1</v>
      </c>
    </row>
    <row r="226" spans="2:15" s="28" customFormat="1" ht="16.5" customHeight="1">
      <c r="B226" s="20"/>
      <c r="C226" s="20"/>
      <c r="D226" s="254"/>
      <c r="E226" s="379">
        <v>135448</v>
      </c>
      <c r="F226" s="395" t="s">
        <v>508</v>
      </c>
      <c r="G226" s="396"/>
      <c r="H226" s="397"/>
      <c r="I226" s="383">
        <v>3842000</v>
      </c>
      <c r="J226" s="398">
        <v>135448</v>
      </c>
      <c r="K226" s="399" t="s">
        <v>71</v>
      </c>
      <c r="L226" s="399" t="s">
        <v>34</v>
      </c>
      <c r="M226" s="399">
        <v>177</v>
      </c>
      <c r="N226" s="356">
        <v>3842000</v>
      </c>
      <c r="O226" s="28" t="b">
        <f t="shared" si="33"/>
        <v>1</v>
      </c>
    </row>
    <row r="227" spans="2:15" s="28" customFormat="1" ht="16.5" customHeight="1">
      <c r="B227" s="20"/>
      <c r="C227" s="20"/>
      <c r="D227" s="254"/>
      <c r="E227" s="379">
        <v>135449</v>
      </c>
      <c r="F227" s="395" t="s">
        <v>300</v>
      </c>
      <c r="G227" s="396"/>
      <c r="H227" s="397"/>
      <c r="I227" s="383"/>
      <c r="J227" s="398">
        <v>135449</v>
      </c>
      <c r="K227" s="399" t="s">
        <v>73</v>
      </c>
      <c r="L227" s="399" t="s">
        <v>34</v>
      </c>
      <c r="M227" s="399">
        <v>21.1</v>
      </c>
      <c r="N227" s="356" t="e">
        <v>#N/A</v>
      </c>
      <c r="O227" s="28" t="e">
        <f t="shared" si="33"/>
        <v>#N/A</v>
      </c>
    </row>
    <row r="228" spans="2:15" s="28" customFormat="1" ht="16.5" customHeight="1">
      <c r="B228" s="20"/>
      <c r="C228" s="20"/>
      <c r="D228" s="254"/>
      <c r="E228" s="379">
        <v>135451</v>
      </c>
      <c r="F228" s="395" t="s">
        <v>509</v>
      </c>
      <c r="G228" s="396"/>
      <c r="H228" s="397"/>
      <c r="I228" s="383">
        <v>3847000</v>
      </c>
      <c r="J228" s="398">
        <v>135451</v>
      </c>
      <c r="K228" s="399" t="s">
        <v>71</v>
      </c>
      <c r="L228" s="399" t="s">
        <v>34</v>
      </c>
      <c r="M228" s="399">
        <v>177</v>
      </c>
      <c r="N228" s="356">
        <v>3847000</v>
      </c>
      <c r="O228" s="28" t="b">
        <f t="shared" si="33"/>
        <v>1</v>
      </c>
    </row>
    <row r="229" spans="2:15" s="28" customFormat="1" ht="16.5" customHeight="1">
      <c r="B229" s="20"/>
      <c r="C229" s="20"/>
      <c r="D229" s="254"/>
      <c r="E229" s="379">
        <v>135452</v>
      </c>
      <c r="F229" s="395" t="s">
        <v>510</v>
      </c>
      <c r="G229" s="396"/>
      <c r="H229" s="397"/>
      <c r="I229" s="383">
        <v>2586000</v>
      </c>
      <c r="J229" s="398">
        <v>135452</v>
      </c>
      <c r="K229" s="399" t="s">
        <v>71</v>
      </c>
      <c r="L229" s="399" t="s">
        <v>34</v>
      </c>
      <c r="M229" s="399">
        <v>208</v>
      </c>
      <c r="N229" s="356">
        <v>2586000</v>
      </c>
      <c r="O229" s="28" t="b">
        <f t="shared" si="33"/>
        <v>1</v>
      </c>
    </row>
    <row r="230" spans="2:15" s="28" customFormat="1" ht="16.5" customHeight="1">
      <c r="B230" s="20"/>
      <c r="C230" s="20"/>
      <c r="D230" s="254"/>
      <c r="E230" s="379">
        <v>135453</v>
      </c>
      <c r="F230" s="395" t="s">
        <v>301</v>
      </c>
      <c r="G230" s="396"/>
      <c r="H230" s="397"/>
      <c r="I230" s="383">
        <v>262000</v>
      </c>
      <c r="J230" s="398">
        <v>135453</v>
      </c>
      <c r="K230" s="399" t="s">
        <v>70</v>
      </c>
      <c r="L230" s="399" t="s">
        <v>34</v>
      </c>
      <c r="M230" s="399">
        <v>18.899999999999999</v>
      </c>
      <c r="N230" s="356">
        <v>262000</v>
      </c>
      <c r="O230" s="28" t="b">
        <f t="shared" si="33"/>
        <v>1</v>
      </c>
    </row>
    <row r="231" spans="2:15" s="28" customFormat="1" ht="16.5" customHeight="1">
      <c r="B231" s="20"/>
      <c r="C231" s="20"/>
      <c r="D231" s="254"/>
      <c r="E231" s="379">
        <v>135454</v>
      </c>
      <c r="F231" s="395" t="s">
        <v>511</v>
      </c>
      <c r="G231" s="396"/>
      <c r="H231" s="397"/>
      <c r="I231" s="383">
        <v>2602000</v>
      </c>
      <c r="J231" s="398">
        <v>135454</v>
      </c>
      <c r="K231" s="399" t="s">
        <v>71</v>
      </c>
      <c r="L231" s="399" t="s">
        <v>34</v>
      </c>
      <c r="M231" s="399">
        <v>208</v>
      </c>
      <c r="N231" s="356">
        <v>2602000</v>
      </c>
      <c r="O231" s="28" t="b">
        <f t="shared" si="33"/>
        <v>1</v>
      </c>
    </row>
    <row r="232" spans="2:15" s="28" customFormat="1" ht="16.5" customHeight="1">
      <c r="B232" s="20"/>
      <c r="C232" s="20"/>
      <c r="D232" s="254"/>
      <c r="E232" s="379">
        <v>135455</v>
      </c>
      <c r="F232" s="395" t="s">
        <v>302</v>
      </c>
      <c r="G232" s="396"/>
      <c r="H232" s="397"/>
      <c r="I232" s="383">
        <v>282000</v>
      </c>
      <c r="J232" s="398">
        <v>135455</v>
      </c>
      <c r="K232" s="399" t="s">
        <v>70</v>
      </c>
      <c r="L232" s="399" t="s">
        <v>34</v>
      </c>
      <c r="M232" s="399">
        <v>18.899999999999999</v>
      </c>
      <c r="N232" s="356">
        <v>282000</v>
      </c>
      <c r="O232" s="28" t="b">
        <f t="shared" si="33"/>
        <v>1</v>
      </c>
    </row>
    <row r="233" spans="2:15" s="28" customFormat="1" ht="16.5" customHeight="1">
      <c r="B233" s="20"/>
      <c r="C233" s="20"/>
      <c r="D233" s="254"/>
      <c r="E233" s="379">
        <v>135456</v>
      </c>
      <c r="F233" s="395" t="s">
        <v>512</v>
      </c>
      <c r="G233" s="396"/>
      <c r="H233" s="397"/>
      <c r="I233" s="383">
        <v>2995000</v>
      </c>
      <c r="J233" s="398">
        <v>135456</v>
      </c>
      <c r="K233" s="399" t="s">
        <v>71</v>
      </c>
      <c r="L233" s="399" t="s">
        <v>34</v>
      </c>
      <c r="M233" s="399">
        <v>208</v>
      </c>
      <c r="N233" s="356">
        <v>2995000</v>
      </c>
      <c r="O233" s="28" t="b">
        <f t="shared" si="33"/>
        <v>1</v>
      </c>
    </row>
    <row r="234" spans="2:15" s="28" customFormat="1" ht="16.5" customHeight="1">
      <c r="B234" s="20"/>
      <c r="C234" s="20"/>
      <c r="D234" s="254"/>
      <c r="E234" s="379">
        <v>135457</v>
      </c>
      <c r="F234" s="395" t="s">
        <v>303</v>
      </c>
      <c r="G234" s="396"/>
      <c r="H234" s="397"/>
      <c r="I234" s="383">
        <v>287000</v>
      </c>
      <c r="J234" s="398">
        <v>135457</v>
      </c>
      <c r="K234" s="399" t="s">
        <v>70</v>
      </c>
      <c r="L234" s="399" t="s">
        <v>34</v>
      </c>
      <c r="M234" s="399">
        <v>18.899999999999999</v>
      </c>
      <c r="N234" s="356">
        <v>287000</v>
      </c>
      <c r="O234" s="28" t="b">
        <f t="shared" si="33"/>
        <v>1</v>
      </c>
    </row>
    <row r="235" spans="2:15" s="28" customFormat="1" ht="16.5" customHeight="1">
      <c r="B235" s="20"/>
      <c r="C235" s="20"/>
      <c r="D235" s="254"/>
      <c r="E235" s="379">
        <v>135458</v>
      </c>
      <c r="F235" s="395" t="s">
        <v>420</v>
      </c>
      <c r="G235" s="396"/>
      <c r="H235" s="397"/>
      <c r="I235" s="383">
        <v>2763000</v>
      </c>
      <c r="J235" s="398">
        <v>135458</v>
      </c>
      <c r="K235" s="399" t="s">
        <v>71</v>
      </c>
      <c r="L235" s="399" t="s">
        <v>34</v>
      </c>
      <c r="M235" s="399">
        <v>208</v>
      </c>
      <c r="N235" s="356">
        <v>2763000</v>
      </c>
      <c r="O235" s="28" t="b">
        <f t="shared" si="33"/>
        <v>1</v>
      </c>
    </row>
    <row r="236" spans="2:15" s="28" customFormat="1" ht="16.5" customHeight="1">
      <c r="B236" s="20"/>
      <c r="C236" s="20"/>
      <c r="D236" s="254"/>
      <c r="E236" s="379">
        <v>135460</v>
      </c>
      <c r="F236" s="395" t="s">
        <v>304</v>
      </c>
      <c r="G236" s="396"/>
      <c r="H236" s="397"/>
      <c r="I236" s="383">
        <v>337000</v>
      </c>
      <c r="J236" s="398">
        <v>135460</v>
      </c>
      <c r="K236" s="399" t="s">
        <v>70</v>
      </c>
      <c r="L236" s="399" t="s">
        <v>34</v>
      </c>
      <c r="M236" s="399">
        <v>18.899999999999999</v>
      </c>
      <c r="N236" s="356">
        <v>337000</v>
      </c>
      <c r="O236" s="28" t="b">
        <f t="shared" si="33"/>
        <v>1</v>
      </c>
    </row>
    <row r="237" spans="2:15" s="28" customFormat="1" ht="16.5" customHeight="1">
      <c r="B237" s="20"/>
      <c r="C237" s="20"/>
      <c r="D237" s="254"/>
      <c r="E237" s="379">
        <v>135461</v>
      </c>
      <c r="F237" s="395" t="s">
        <v>513</v>
      </c>
      <c r="G237" s="396"/>
      <c r="H237" s="397"/>
      <c r="I237" s="383">
        <v>3255000</v>
      </c>
      <c r="J237" s="398">
        <v>135461</v>
      </c>
      <c r="K237" s="399" t="s">
        <v>71</v>
      </c>
      <c r="L237" s="399" t="s">
        <v>34</v>
      </c>
      <c r="M237" s="399">
        <v>208</v>
      </c>
      <c r="N237" s="356">
        <v>3255000</v>
      </c>
      <c r="O237" s="28" t="b">
        <f t="shared" si="33"/>
        <v>1</v>
      </c>
    </row>
    <row r="238" spans="2:15" s="28" customFormat="1" ht="16.5" customHeight="1">
      <c r="B238" s="20"/>
      <c r="C238" s="20"/>
      <c r="D238" s="254"/>
      <c r="E238" s="379">
        <v>135462</v>
      </c>
      <c r="F238" s="395" t="s">
        <v>305</v>
      </c>
      <c r="G238" s="396"/>
      <c r="H238" s="397"/>
      <c r="I238" s="383">
        <v>351000</v>
      </c>
      <c r="J238" s="398">
        <v>135462</v>
      </c>
      <c r="K238" s="399" t="s">
        <v>70</v>
      </c>
      <c r="L238" s="399" t="s">
        <v>34</v>
      </c>
      <c r="M238" s="399">
        <v>18.899999999999999</v>
      </c>
      <c r="N238" s="356">
        <v>351000</v>
      </c>
      <c r="O238" s="28" t="b">
        <f t="shared" si="33"/>
        <v>1</v>
      </c>
    </row>
    <row r="239" spans="2:15" s="28" customFormat="1" ht="16.5" customHeight="1">
      <c r="B239" s="20"/>
      <c r="C239" s="20"/>
      <c r="D239" s="254"/>
      <c r="E239" s="379">
        <v>135463</v>
      </c>
      <c r="F239" s="395" t="s">
        <v>514</v>
      </c>
      <c r="G239" s="396"/>
      <c r="H239" s="397"/>
      <c r="I239" s="383">
        <v>3383000</v>
      </c>
      <c r="J239" s="398">
        <v>135463</v>
      </c>
      <c r="K239" s="399" t="s">
        <v>71</v>
      </c>
      <c r="L239" s="399" t="s">
        <v>34</v>
      </c>
      <c r="M239" s="399">
        <v>208</v>
      </c>
      <c r="N239" s="356">
        <v>3383000</v>
      </c>
      <c r="O239" s="28" t="b">
        <f t="shared" si="33"/>
        <v>1</v>
      </c>
    </row>
    <row r="240" spans="2:15" s="28" customFormat="1" ht="16.5" customHeight="1">
      <c r="B240" s="20"/>
      <c r="C240" s="20"/>
      <c r="D240" s="254"/>
      <c r="E240" s="379">
        <v>135464</v>
      </c>
      <c r="F240" s="395" t="s">
        <v>306</v>
      </c>
      <c r="G240" s="396"/>
      <c r="H240" s="397"/>
      <c r="I240" s="383">
        <v>364000</v>
      </c>
      <c r="J240" s="398">
        <v>135464</v>
      </c>
      <c r="K240" s="399" t="s">
        <v>70</v>
      </c>
      <c r="L240" s="399" t="s">
        <v>34</v>
      </c>
      <c r="M240" s="399">
        <v>18.899999999999999</v>
      </c>
      <c r="N240" s="356">
        <v>364000</v>
      </c>
      <c r="O240" s="28" t="b">
        <f t="shared" si="33"/>
        <v>1</v>
      </c>
    </row>
    <row r="241" spans="2:15" s="28" customFormat="1" ht="16.5" customHeight="1">
      <c r="B241" s="20"/>
      <c r="C241" s="20"/>
      <c r="D241" s="254"/>
      <c r="E241" s="379">
        <v>135488</v>
      </c>
      <c r="F241" s="395" t="s">
        <v>240</v>
      </c>
      <c r="G241" s="396"/>
      <c r="H241" s="397"/>
      <c r="I241" s="383">
        <v>47600</v>
      </c>
      <c r="J241" s="398">
        <v>135488</v>
      </c>
      <c r="K241" s="399" t="s">
        <v>70</v>
      </c>
      <c r="L241" s="399" t="s">
        <v>34</v>
      </c>
      <c r="M241" s="399">
        <v>20</v>
      </c>
      <c r="N241" s="356">
        <v>47600</v>
      </c>
      <c r="O241" s="28" t="b">
        <f t="shared" si="33"/>
        <v>1</v>
      </c>
    </row>
    <row r="242" spans="2:15" s="28" customFormat="1" ht="16.5" customHeight="1">
      <c r="B242" s="20"/>
      <c r="C242" s="20"/>
      <c r="D242" s="254"/>
      <c r="E242" s="379">
        <v>148688</v>
      </c>
      <c r="F242" s="395" t="s">
        <v>307</v>
      </c>
      <c r="G242" s="396"/>
      <c r="H242" s="397"/>
      <c r="I242" s="383">
        <v>69500</v>
      </c>
      <c r="J242" s="398">
        <v>148688</v>
      </c>
      <c r="K242" s="399" t="s">
        <v>70</v>
      </c>
      <c r="L242" s="399" t="s">
        <v>34</v>
      </c>
      <c r="M242" s="399">
        <v>20</v>
      </c>
      <c r="N242" s="356">
        <v>69500</v>
      </c>
      <c r="O242" s="28" t="b">
        <f t="shared" si="33"/>
        <v>1</v>
      </c>
    </row>
    <row r="243" spans="2:15" s="28" customFormat="1" ht="16.5" customHeight="1">
      <c r="B243" s="20"/>
      <c r="C243" s="20"/>
      <c r="D243" s="254"/>
      <c r="E243" s="379">
        <v>135627</v>
      </c>
      <c r="F243" s="395" t="s">
        <v>36</v>
      </c>
      <c r="G243" s="396"/>
      <c r="H243" s="397"/>
      <c r="I243" s="383">
        <v>4915000</v>
      </c>
      <c r="J243" s="398">
        <v>135627</v>
      </c>
      <c r="K243" s="399" t="s">
        <v>71</v>
      </c>
      <c r="L243" s="399" t="s">
        <v>34</v>
      </c>
      <c r="M243" s="399">
        <v>175</v>
      </c>
      <c r="N243" s="356">
        <v>4915000</v>
      </c>
      <c r="O243" s="28" t="b">
        <f t="shared" si="33"/>
        <v>1</v>
      </c>
    </row>
    <row r="244" spans="2:15" s="28" customFormat="1" ht="16.5" customHeight="1">
      <c r="B244" s="20"/>
      <c r="C244" s="20"/>
      <c r="D244" s="254"/>
      <c r="E244" s="379">
        <v>135836</v>
      </c>
      <c r="F244" s="395" t="s">
        <v>66</v>
      </c>
      <c r="G244" s="396"/>
      <c r="H244" s="397"/>
      <c r="I244" s="383">
        <v>3321000</v>
      </c>
      <c r="J244" s="398">
        <v>135836</v>
      </c>
      <c r="K244" s="399" t="s">
        <v>71</v>
      </c>
      <c r="L244" s="399" t="s">
        <v>34</v>
      </c>
      <c r="M244" s="399">
        <v>208</v>
      </c>
      <c r="N244" s="356">
        <v>3321000</v>
      </c>
      <c r="O244" s="28" t="b">
        <f t="shared" si="33"/>
        <v>1</v>
      </c>
    </row>
    <row r="245" spans="2:15" s="28" customFormat="1" ht="16.5" customHeight="1">
      <c r="B245" s="20"/>
      <c r="C245" s="20"/>
      <c r="D245" s="254"/>
      <c r="E245" s="379">
        <v>135877</v>
      </c>
      <c r="F245" s="395" t="s">
        <v>308</v>
      </c>
      <c r="G245" s="396"/>
      <c r="H245" s="397"/>
      <c r="I245" s="383">
        <v>474000</v>
      </c>
      <c r="J245" s="398">
        <v>135877</v>
      </c>
      <c r="K245" s="399" t="s">
        <v>70</v>
      </c>
      <c r="L245" s="399" t="s">
        <v>34</v>
      </c>
      <c r="M245" s="399">
        <v>20</v>
      </c>
      <c r="N245" s="356">
        <v>474000</v>
      </c>
      <c r="O245" s="28" t="b">
        <f t="shared" si="33"/>
        <v>1</v>
      </c>
    </row>
    <row r="246" spans="2:15" s="28" customFormat="1" ht="16.5" customHeight="1">
      <c r="B246" s="20"/>
      <c r="C246" s="20"/>
      <c r="D246" s="254"/>
      <c r="E246" s="379">
        <v>135916</v>
      </c>
      <c r="F246" s="395" t="s">
        <v>516</v>
      </c>
      <c r="G246" s="396"/>
      <c r="H246" s="397"/>
      <c r="I246" s="383">
        <v>547000</v>
      </c>
      <c r="J246" s="398">
        <v>135916</v>
      </c>
      <c r="K246" s="399" t="s">
        <v>71</v>
      </c>
      <c r="L246" s="399" t="s">
        <v>34</v>
      </c>
      <c r="M246" s="399">
        <v>200</v>
      </c>
      <c r="N246" s="356">
        <v>547000</v>
      </c>
      <c r="O246" s="28" t="b">
        <f t="shared" si="33"/>
        <v>1</v>
      </c>
    </row>
    <row r="247" spans="2:15" s="28" customFormat="1" ht="16.5" customHeight="1">
      <c r="B247" s="20"/>
      <c r="C247" s="20"/>
      <c r="D247" s="254"/>
      <c r="E247" s="379">
        <v>148680</v>
      </c>
      <c r="F247" s="395" t="s">
        <v>45</v>
      </c>
      <c r="G247" s="396"/>
      <c r="H247" s="397"/>
      <c r="I247" s="383">
        <v>850000</v>
      </c>
      <c r="J247" s="398">
        <v>148680</v>
      </c>
      <c r="K247" s="399" t="s">
        <v>71</v>
      </c>
      <c r="L247" s="399" t="s">
        <v>34</v>
      </c>
      <c r="M247" s="399">
        <v>208</v>
      </c>
      <c r="N247" s="356">
        <v>850000</v>
      </c>
      <c r="O247" s="28" t="b">
        <f t="shared" si="33"/>
        <v>1</v>
      </c>
    </row>
    <row r="248" spans="2:15" s="28" customFormat="1" ht="16.5" customHeight="1">
      <c r="B248" s="20"/>
      <c r="C248" s="20"/>
      <c r="D248" s="254"/>
      <c r="E248" s="379">
        <v>135934</v>
      </c>
      <c r="F248" s="395" t="s">
        <v>309</v>
      </c>
      <c r="G248" s="396"/>
      <c r="H248" s="397"/>
      <c r="I248" s="383">
        <v>183000</v>
      </c>
      <c r="J248" s="398">
        <v>135934</v>
      </c>
      <c r="K248" s="399" t="s">
        <v>70</v>
      </c>
      <c r="L248" s="399" t="s">
        <v>34</v>
      </c>
      <c r="M248" s="399">
        <v>16</v>
      </c>
      <c r="N248" s="356">
        <v>183000</v>
      </c>
      <c r="O248" s="28" t="b">
        <f t="shared" si="33"/>
        <v>1</v>
      </c>
    </row>
    <row r="249" spans="2:15" s="28" customFormat="1" ht="16.5" customHeight="1">
      <c r="B249" s="20"/>
      <c r="C249" s="20"/>
      <c r="D249" s="254"/>
      <c r="E249" s="379">
        <v>135935</v>
      </c>
      <c r="F249" s="395" t="s">
        <v>517</v>
      </c>
      <c r="G249" s="401"/>
      <c r="H249" s="402"/>
      <c r="I249" s="383">
        <v>1871000</v>
      </c>
      <c r="J249" s="398">
        <v>135935</v>
      </c>
      <c r="K249" s="399" t="s">
        <v>71</v>
      </c>
      <c r="L249" s="399" t="s">
        <v>34</v>
      </c>
      <c r="M249" s="399">
        <v>180</v>
      </c>
      <c r="N249" s="356">
        <v>1871000</v>
      </c>
      <c r="O249" s="28" t="b">
        <f t="shared" si="33"/>
        <v>1</v>
      </c>
    </row>
    <row r="250" spans="2:15" s="28" customFormat="1" ht="16.5" customHeight="1">
      <c r="B250" s="20"/>
      <c r="C250" s="20"/>
      <c r="D250" s="254"/>
      <c r="E250" s="379">
        <v>148676</v>
      </c>
      <c r="F250" s="395" t="s">
        <v>520</v>
      </c>
      <c r="G250" s="396"/>
      <c r="H250" s="397"/>
      <c r="I250" s="383">
        <v>645000</v>
      </c>
      <c r="J250" s="398">
        <v>148676</v>
      </c>
      <c r="K250" s="399" t="s">
        <v>71</v>
      </c>
      <c r="L250" s="399" t="s">
        <v>34</v>
      </c>
      <c r="M250" s="399">
        <v>208</v>
      </c>
      <c r="N250" s="356">
        <v>645000</v>
      </c>
      <c r="O250" s="28" t="b">
        <f t="shared" si="33"/>
        <v>1</v>
      </c>
    </row>
    <row r="251" spans="2:15" s="28" customFormat="1" ht="16.5" customHeight="1">
      <c r="B251" s="20"/>
      <c r="C251" s="20"/>
      <c r="D251" s="254"/>
      <c r="E251" s="379">
        <v>136130</v>
      </c>
      <c r="F251" s="395" t="s">
        <v>311</v>
      </c>
      <c r="G251" s="396"/>
      <c r="H251" s="397"/>
      <c r="I251" s="383">
        <v>198000</v>
      </c>
      <c r="J251" s="398">
        <v>136130</v>
      </c>
      <c r="K251" s="399" t="s">
        <v>70</v>
      </c>
      <c r="L251" s="399" t="s">
        <v>34</v>
      </c>
      <c r="M251" s="399">
        <v>16</v>
      </c>
      <c r="N251" s="356">
        <v>198000</v>
      </c>
      <c r="O251" s="28" t="b">
        <f t="shared" si="33"/>
        <v>1</v>
      </c>
    </row>
    <row r="252" spans="2:15" s="28" customFormat="1" ht="16.5" customHeight="1">
      <c r="B252" s="20"/>
      <c r="C252" s="20"/>
      <c r="D252" s="254"/>
      <c r="E252" s="379">
        <v>136131</v>
      </c>
      <c r="F252" s="395" t="s">
        <v>521</v>
      </c>
      <c r="G252" s="396"/>
      <c r="H252" s="397"/>
      <c r="I252" s="383">
        <v>2166000</v>
      </c>
      <c r="J252" s="398">
        <v>136131</v>
      </c>
      <c r="K252" s="399" t="s">
        <v>71</v>
      </c>
      <c r="L252" s="399" t="s">
        <v>34</v>
      </c>
      <c r="M252" s="399">
        <v>180</v>
      </c>
      <c r="N252" s="356">
        <v>2166000</v>
      </c>
      <c r="O252" s="28" t="b">
        <f t="shared" si="33"/>
        <v>1</v>
      </c>
    </row>
    <row r="253" spans="2:15" s="28" customFormat="1" ht="16.5" customHeight="1">
      <c r="B253" s="20"/>
      <c r="C253" s="20"/>
      <c r="D253" s="254"/>
      <c r="E253" s="379">
        <v>136132</v>
      </c>
      <c r="F253" s="395" t="s">
        <v>312</v>
      </c>
      <c r="G253" s="396"/>
      <c r="H253" s="397"/>
      <c r="I253" s="383">
        <v>198000</v>
      </c>
      <c r="J253" s="398">
        <v>136132</v>
      </c>
      <c r="K253" s="399" t="s">
        <v>70</v>
      </c>
      <c r="L253" s="399" t="s">
        <v>34</v>
      </c>
      <c r="M253" s="399">
        <v>16</v>
      </c>
      <c r="N253" s="356">
        <v>198000</v>
      </c>
      <c r="O253" s="28" t="b">
        <f t="shared" si="33"/>
        <v>1</v>
      </c>
    </row>
    <row r="254" spans="2:15" s="28" customFormat="1" ht="16.5" customHeight="1">
      <c r="B254" s="20"/>
      <c r="C254" s="20"/>
      <c r="D254" s="254"/>
      <c r="E254" s="379">
        <v>136133</v>
      </c>
      <c r="F254" s="395" t="s">
        <v>522</v>
      </c>
      <c r="G254" s="396"/>
      <c r="H254" s="397"/>
      <c r="I254" s="383">
        <v>2222000</v>
      </c>
      <c r="J254" s="398">
        <v>136133</v>
      </c>
      <c r="K254" s="399" t="s">
        <v>71</v>
      </c>
      <c r="L254" s="399" t="s">
        <v>34</v>
      </c>
      <c r="M254" s="399">
        <v>180</v>
      </c>
      <c r="N254" s="356">
        <v>2222000</v>
      </c>
      <c r="O254" s="28" t="b">
        <f t="shared" si="33"/>
        <v>1</v>
      </c>
    </row>
    <row r="255" spans="2:15" s="28" customFormat="1" ht="16.5" customHeight="1">
      <c r="B255" s="20"/>
      <c r="C255" s="20"/>
      <c r="D255" s="254"/>
      <c r="E255" s="379">
        <v>136141</v>
      </c>
      <c r="F255" s="395" t="s">
        <v>523</v>
      </c>
      <c r="G255" s="396"/>
      <c r="H255" s="397"/>
      <c r="I255" s="383">
        <v>3527000</v>
      </c>
      <c r="J255" s="398">
        <v>136141</v>
      </c>
      <c r="K255" s="399" t="s">
        <v>71</v>
      </c>
      <c r="L255" s="399" t="s">
        <v>34</v>
      </c>
      <c r="M255" s="399">
        <v>181</v>
      </c>
      <c r="N255" s="356">
        <v>3527000</v>
      </c>
      <c r="O255" s="28" t="b">
        <f t="shared" si="33"/>
        <v>1</v>
      </c>
    </row>
    <row r="256" spans="2:15" s="28" customFormat="1" ht="16.5" customHeight="1">
      <c r="B256" s="20"/>
      <c r="C256" s="20"/>
      <c r="D256" s="254"/>
      <c r="E256" s="379">
        <v>136159</v>
      </c>
      <c r="F256" s="395" t="s">
        <v>525</v>
      </c>
      <c r="G256" s="396"/>
      <c r="H256" s="397"/>
      <c r="I256" s="383">
        <v>4607000</v>
      </c>
      <c r="J256" s="398">
        <v>136159</v>
      </c>
      <c r="K256" s="399" t="s">
        <v>71</v>
      </c>
      <c r="L256" s="399" t="s">
        <v>34</v>
      </c>
      <c r="M256" s="399">
        <v>208</v>
      </c>
      <c r="N256" s="356">
        <v>4607000</v>
      </c>
      <c r="O256" s="28" t="b">
        <f t="shared" si="33"/>
        <v>1</v>
      </c>
    </row>
    <row r="257" spans="2:15" s="28" customFormat="1" ht="16.5" customHeight="1">
      <c r="B257" s="20"/>
      <c r="C257" s="20"/>
      <c r="D257" s="254"/>
      <c r="E257" s="379">
        <v>136174</v>
      </c>
      <c r="F257" s="395" t="s">
        <v>526</v>
      </c>
      <c r="G257" s="396"/>
      <c r="H257" s="397"/>
      <c r="I257" s="383">
        <v>630000</v>
      </c>
      <c r="J257" s="398">
        <v>136174</v>
      </c>
      <c r="K257" s="399" t="s">
        <v>71</v>
      </c>
      <c r="L257" s="399" t="s">
        <v>34</v>
      </c>
      <c r="M257" s="399">
        <v>200</v>
      </c>
      <c r="N257" s="356">
        <v>630000</v>
      </c>
      <c r="O257" s="28" t="b">
        <f t="shared" si="33"/>
        <v>1</v>
      </c>
    </row>
    <row r="258" spans="2:15" s="28" customFormat="1" ht="16.5" customHeight="1">
      <c r="B258" s="20"/>
      <c r="C258" s="20"/>
      <c r="D258" s="254"/>
      <c r="E258" s="379">
        <v>136235</v>
      </c>
      <c r="F258" s="395" t="s">
        <v>739</v>
      </c>
      <c r="G258" s="396"/>
      <c r="H258" s="397"/>
      <c r="I258" s="383">
        <v>858000</v>
      </c>
      <c r="J258" s="398">
        <v>136235</v>
      </c>
      <c r="K258" s="399" t="s">
        <v>71</v>
      </c>
      <c r="L258" s="399" t="s">
        <v>34</v>
      </c>
      <c r="M258" s="399">
        <v>208</v>
      </c>
      <c r="N258" s="356">
        <v>858000</v>
      </c>
      <c r="O258" s="28" t="b">
        <f t="shared" si="33"/>
        <v>1</v>
      </c>
    </row>
    <row r="259" spans="2:15" s="28" customFormat="1" ht="16.5" customHeight="1">
      <c r="B259" s="20"/>
      <c r="C259" s="20"/>
      <c r="D259" s="254"/>
      <c r="E259" s="379">
        <v>148678</v>
      </c>
      <c r="F259" s="395" t="s">
        <v>527</v>
      </c>
      <c r="G259" s="396"/>
      <c r="H259" s="397"/>
      <c r="I259" s="383">
        <v>645000</v>
      </c>
      <c r="J259" s="398">
        <v>148678</v>
      </c>
      <c r="K259" s="399" t="s">
        <v>71</v>
      </c>
      <c r="L259" s="399" t="s">
        <v>34</v>
      </c>
      <c r="M259" s="399">
        <v>208</v>
      </c>
      <c r="N259" s="356">
        <v>645000</v>
      </c>
      <c r="O259" s="28" t="b">
        <f t="shared" si="33"/>
        <v>1</v>
      </c>
    </row>
    <row r="260" spans="2:15" s="28" customFormat="1" ht="16.5" customHeight="1">
      <c r="B260" s="20"/>
      <c r="C260" s="20"/>
      <c r="D260" s="254"/>
      <c r="E260" s="379">
        <v>143561</v>
      </c>
      <c r="F260" s="395" t="s">
        <v>558</v>
      </c>
      <c r="G260" s="396"/>
      <c r="H260" s="397"/>
      <c r="I260" s="383">
        <v>728000</v>
      </c>
      <c r="J260" s="398">
        <v>138959</v>
      </c>
      <c r="K260" s="399" t="s">
        <v>71</v>
      </c>
      <c r="L260" s="399" t="s">
        <v>34</v>
      </c>
      <c r="M260" s="399">
        <v>200</v>
      </c>
      <c r="N260" s="356">
        <v>728000</v>
      </c>
      <c r="O260" s="28" t="b">
        <f t="shared" si="33"/>
        <v>1</v>
      </c>
    </row>
    <row r="261" spans="2:15" s="28" customFormat="1" ht="16.5" customHeight="1">
      <c r="B261" s="20"/>
      <c r="C261" s="20"/>
      <c r="D261" s="254"/>
      <c r="E261" s="379">
        <v>143560</v>
      </c>
      <c r="F261" s="395" t="s">
        <v>559</v>
      </c>
      <c r="G261" s="396"/>
      <c r="H261" s="397"/>
      <c r="I261" s="383">
        <v>728000</v>
      </c>
      <c r="J261" s="398">
        <v>138960</v>
      </c>
      <c r="K261" s="399" t="s">
        <v>71</v>
      </c>
      <c r="L261" s="399" t="s">
        <v>34</v>
      </c>
      <c r="M261" s="399">
        <v>200</v>
      </c>
      <c r="N261" s="356">
        <v>728000</v>
      </c>
      <c r="O261" s="28" t="b">
        <f t="shared" si="33"/>
        <v>1</v>
      </c>
    </row>
    <row r="262" spans="2:15" s="28" customFormat="1" ht="16.5" customHeight="1">
      <c r="B262" s="20"/>
      <c r="C262" s="20"/>
      <c r="D262" s="254"/>
      <c r="E262" s="379">
        <v>141666</v>
      </c>
      <c r="F262" s="395" t="s">
        <v>560</v>
      </c>
      <c r="G262" s="396"/>
      <c r="H262" s="397"/>
      <c r="I262" s="383">
        <v>755000</v>
      </c>
      <c r="J262" s="398">
        <v>138961</v>
      </c>
      <c r="K262" s="399" t="s">
        <v>71</v>
      </c>
      <c r="L262" s="399" t="s">
        <v>34</v>
      </c>
      <c r="M262" s="399">
        <v>200</v>
      </c>
      <c r="N262" s="356">
        <v>755000</v>
      </c>
      <c r="O262" s="28" t="b">
        <f t="shared" si="33"/>
        <v>1</v>
      </c>
    </row>
    <row r="263" spans="2:15" s="28" customFormat="1" ht="16.5" customHeight="1">
      <c r="B263" s="20"/>
      <c r="C263" s="20"/>
      <c r="D263" s="254"/>
      <c r="E263" s="379">
        <v>138963</v>
      </c>
      <c r="F263" s="395" t="s">
        <v>562</v>
      </c>
      <c r="G263" s="396"/>
      <c r="H263" s="397"/>
      <c r="I263" s="383">
        <v>755000</v>
      </c>
      <c r="J263" s="398">
        <v>138963</v>
      </c>
      <c r="K263" s="399" t="s">
        <v>71</v>
      </c>
      <c r="L263" s="399" t="s">
        <v>34</v>
      </c>
      <c r="M263" s="399">
        <v>200</v>
      </c>
      <c r="N263" s="356">
        <v>755000</v>
      </c>
      <c r="O263" s="28" t="b">
        <f t="shared" si="33"/>
        <v>1</v>
      </c>
    </row>
    <row r="264" spans="2:15" s="28" customFormat="1" ht="16.5" customHeight="1">
      <c r="B264" s="20"/>
      <c r="C264" s="20"/>
      <c r="D264" s="254"/>
      <c r="E264" s="379">
        <v>138964</v>
      </c>
      <c r="F264" s="395" t="s">
        <v>315</v>
      </c>
      <c r="G264" s="396"/>
      <c r="H264" s="397"/>
      <c r="I264" s="383">
        <v>79600</v>
      </c>
      <c r="J264" s="398">
        <v>138964</v>
      </c>
      <c r="K264" s="399" t="s">
        <v>70</v>
      </c>
      <c r="L264" s="399" t="s">
        <v>34</v>
      </c>
      <c r="M264" s="399">
        <v>20</v>
      </c>
      <c r="N264" s="356">
        <v>79600</v>
      </c>
      <c r="O264" s="28" t="b">
        <f t="shared" si="33"/>
        <v>1</v>
      </c>
    </row>
    <row r="265" spans="2:15" s="28" customFormat="1" ht="16.5" customHeight="1">
      <c r="B265" s="20"/>
      <c r="C265" s="20"/>
      <c r="D265" s="254"/>
      <c r="E265" s="379">
        <v>136234</v>
      </c>
      <c r="F265" s="395" t="s">
        <v>316</v>
      </c>
      <c r="G265" s="396"/>
      <c r="H265" s="397"/>
      <c r="I265" s="383">
        <v>94600</v>
      </c>
      <c r="J265" s="398">
        <v>138980</v>
      </c>
      <c r="K265" s="399" t="s">
        <v>70</v>
      </c>
      <c r="L265" s="399" t="s">
        <v>34</v>
      </c>
      <c r="M265" s="399">
        <v>20</v>
      </c>
      <c r="N265" s="356">
        <v>94600</v>
      </c>
      <c r="O265" s="28" t="b">
        <f t="shared" si="33"/>
        <v>1</v>
      </c>
    </row>
    <row r="266" spans="2:15" s="28" customFormat="1" ht="16.5" customHeight="1">
      <c r="B266" s="20"/>
      <c r="C266" s="20"/>
      <c r="D266" s="254"/>
      <c r="E266" s="379">
        <v>139023</v>
      </c>
      <c r="F266" s="395" t="s">
        <v>569</v>
      </c>
      <c r="G266" s="396"/>
      <c r="H266" s="397"/>
      <c r="I266" s="383">
        <v>893000</v>
      </c>
      <c r="J266" s="398">
        <v>139023</v>
      </c>
      <c r="K266" s="399" t="s">
        <v>71</v>
      </c>
      <c r="L266" s="399" t="s">
        <v>34</v>
      </c>
      <c r="M266" s="399">
        <v>200</v>
      </c>
      <c r="N266" s="356">
        <v>893000</v>
      </c>
      <c r="O266" s="28" t="b">
        <f t="shared" si="33"/>
        <v>1</v>
      </c>
    </row>
    <row r="267" spans="2:15" s="28" customFormat="1" ht="16.5" customHeight="1">
      <c r="B267" s="20"/>
      <c r="C267" s="20"/>
      <c r="D267" s="254"/>
      <c r="E267" s="379">
        <v>139026</v>
      </c>
      <c r="F267" s="395" t="s">
        <v>571</v>
      </c>
      <c r="G267" s="396"/>
      <c r="H267" s="397"/>
      <c r="I267" s="383">
        <v>670000</v>
      </c>
      <c r="J267" s="398">
        <v>139026</v>
      </c>
      <c r="K267" s="399" t="s">
        <v>71</v>
      </c>
      <c r="L267" s="399" t="s">
        <v>34</v>
      </c>
      <c r="M267" s="399">
        <v>200</v>
      </c>
      <c r="N267" s="356">
        <v>670000</v>
      </c>
      <c r="O267" s="28" t="b">
        <f t="shared" si="33"/>
        <v>1</v>
      </c>
    </row>
    <row r="268" spans="2:15" s="28" customFormat="1" ht="16.5" customHeight="1">
      <c r="B268" s="20"/>
      <c r="C268" s="20"/>
      <c r="D268" s="254"/>
      <c r="E268" s="379">
        <v>139027</v>
      </c>
      <c r="F268" s="395" t="s">
        <v>572</v>
      </c>
      <c r="G268" s="396"/>
      <c r="H268" s="397"/>
      <c r="I268" s="383">
        <v>749000</v>
      </c>
      <c r="J268" s="398">
        <v>139027</v>
      </c>
      <c r="K268" s="399" t="s">
        <v>71</v>
      </c>
      <c r="L268" s="399" t="s">
        <v>34</v>
      </c>
      <c r="M268" s="399">
        <v>200</v>
      </c>
      <c r="N268" s="356">
        <v>749000</v>
      </c>
      <c r="O268" s="28" t="b">
        <f t="shared" si="33"/>
        <v>1</v>
      </c>
    </row>
    <row r="269" spans="2:15" s="28" customFormat="1" ht="16.5" customHeight="1">
      <c r="B269" s="20"/>
      <c r="C269" s="20"/>
      <c r="D269" s="254"/>
      <c r="E269" s="379">
        <v>139028</v>
      </c>
      <c r="F269" s="395" t="s">
        <v>573</v>
      </c>
      <c r="G269" s="396"/>
      <c r="H269" s="397"/>
      <c r="I269" s="383">
        <v>893000</v>
      </c>
      <c r="J269" s="398">
        <v>139028</v>
      </c>
      <c r="K269" s="399" t="s">
        <v>71</v>
      </c>
      <c r="L269" s="399" t="s">
        <v>34</v>
      </c>
      <c r="M269" s="399">
        <v>200</v>
      </c>
      <c r="N269" s="356">
        <v>893000</v>
      </c>
      <c r="O269" s="28" t="b">
        <f t="shared" si="33"/>
        <v>1</v>
      </c>
    </row>
    <row r="270" spans="2:15" s="28" customFormat="1" ht="16.5" customHeight="1">
      <c r="B270" s="20"/>
      <c r="C270" s="20"/>
      <c r="D270" s="254"/>
      <c r="E270" s="379">
        <v>139029</v>
      </c>
      <c r="F270" s="395" t="s">
        <v>574</v>
      </c>
      <c r="G270" s="396"/>
      <c r="H270" s="397"/>
      <c r="I270" s="383">
        <v>535000</v>
      </c>
      <c r="J270" s="398">
        <v>139029</v>
      </c>
      <c r="K270" s="399" t="s">
        <v>71</v>
      </c>
      <c r="L270" s="399" t="s">
        <v>34</v>
      </c>
      <c r="M270" s="399">
        <v>200</v>
      </c>
      <c r="N270" s="356">
        <v>535000</v>
      </c>
      <c r="O270" s="28" t="b">
        <f t="shared" si="33"/>
        <v>1</v>
      </c>
    </row>
    <row r="271" spans="2:15" s="28" customFormat="1" ht="16.5" customHeight="1">
      <c r="B271" s="20"/>
      <c r="C271" s="20"/>
      <c r="D271" s="254"/>
      <c r="E271" s="379">
        <v>139030</v>
      </c>
      <c r="F271" s="395" t="s">
        <v>236</v>
      </c>
      <c r="G271" s="396"/>
      <c r="H271" s="397"/>
      <c r="I271" s="383">
        <v>54500</v>
      </c>
      <c r="J271" s="398">
        <v>139030</v>
      </c>
      <c r="K271" s="399" t="s">
        <v>70</v>
      </c>
      <c r="L271" s="399" t="s">
        <v>34</v>
      </c>
      <c r="M271" s="399">
        <v>20</v>
      </c>
      <c r="N271" s="356">
        <v>54500</v>
      </c>
      <c r="O271" s="28" t="b">
        <f t="shared" si="33"/>
        <v>1</v>
      </c>
    </row>
    <row r="272" spans="2:15" s="28" customFormat="1" ht="16.5" customHeight="1">
      <c r="B272" s="20"/>
      <c r="C272" s="20"/>
      <c r="D272" s="254"/>
      <c r="E272" s="379">
        <v>139032</v>
      </c>
      <c r="F272" s="395" t="s">
        <v>322</v>
      </c>
      <c r="G272" s="396"/>
      <c r="H272" s="397"/>
      <c r="I272" s="383">
        <v>371000</v>
      </c>
      <c r="J272" s="398">
        <v>139032</v>
      </c>
      <c r="K272" s="399" t="s">
        <v>70</v>
      </c>
      <c r="L272" s="399" t="s">
        <v>34</v>
      </c>
      <c r="M272" s="399">
        <v>20</v>
      </c>
      <c r="N272" s="356">
        <v>371000</v>
      </c>
      <c r="O272" s="28" t="b">
        <f t="shared" si="33"/>
        <v>1</v>
      </c>
    </row>
    <row r="273" spans="2:15" s="28" customFormat="1" ht="16.5" customHeight="1">
      <c r="B273" s="20"/>
      <c r="C273" s="20"/>
      <c r="D273" s="254"/>
      <c r="E273" s="379">
        <v>139033</v>
      </c>
      <c r="F273" s="395" t="s">
        <v>323</v>
      </c>
      <c r="G273" s="396"/>
      <c r="H273" s="397"/>
      <c r="I273" s="383">
        <v>392000</v>
      </c>
      <c r="J273" s="398">
        <v>139033</v>
      </c>
      <c r="K273" s="399" t="s">
        <v>70</v>
      </c>
      <c r="L273" s="399" t="s">
        <v>34</v>
      </c>
      <c r="M273" s="399">
        <v>20</v>
      </c>
      <c r="N273" s="356">
        <v>392000</v>
      </c>
      <c r="O273" s="28" t="b">
        <f t="shared" si="33"/>
        <v>1</v>
      </c>
    </row>
    <row r="274" spans="2:15" s="28" customFormat="1" ht="16.5" customHeight="1">
      <c r="B274" s="20"/>
      <c r="C274" s="20"/>
      <c r="D274" s="254"/>
      <c r="E274" s="379">
        <v>139036</v>
      </c>
      <c r="F274" s="395" t="s">
        <v>575</v>
      </c>
      <c r="G274" s="396"/>
      <c r="H274" s="397"/>
      <c r="I274" s="383">
        <v>649000</v>
      </c>
      <c r="J274" s="398">
        <v>139036</v>
      </c>
      <c r="K274" s="399" t="s">
        <v>71</v>
      </c>
      <c r="L274" s="399" t="s">
        <v>34</v>
      </c>
      <c r="M274" s="399">
        <v>200</v>
      </c>
      <c r="N274" s="356">
        <v>649000</v>
      </c>
      <c r="O274" s="28" t="b">
        <f t="shared" si="33"/>
        <v>1</v>
      </c>
    </row>
    <row r="275" spans="2:15" s="28" customFormat="1" ht="16.5" customHeight="1">
      <c r="B275" s="20"/>
      <c r="C275" s="20"/>
      <c r="D275" s="254"/>
      <c r="E275" s="379">
        <v>139037</v>
      </c>
      <c r="F275" s="395" t="s">
        <v>324</v>
      </c>
      <c r="G275" s="396"/>
      <c r="H275" s="397"/>
      <c r="I275" s="383">
        <v>82400</v>
      </c>
      <c r="J275" s="398">
        <v>139037</v>
      </c>
      <c r="K275" s="399" t="s">
        <v>70</v>
      </c>
      <c r="L275" s="399" t="s">
        <v>34</v>
      </c>
      <c r="M275" s="399">
        <v>20</v>
      </c>
      <c r="N275" s="356">
        <v>82400</v>
      </c>
      <c r="O275" s="28" t="b">
        <f t="shared" si="33"/>
        <v>1</v>
      </c>
    </row>
    <row r="276" spans="2:15" s="28" customFormat="1" ht="16.5" customHeight="1">
      <c r="B276" s="20"/>
      <c r="C276" s="20"/>
      <c r="D276" s="254"/>
      <c r="E276" s="379">
        <v>139038</v>
      </c>
      <c r="F276" s="395" t="s">
        <v>576</v>
      </c>
      <c r="G276" s="396"/>
      <c r="H276" s="397"/>
      <c r="I276" s="383">
        <v>746000</v>
      </c>
      <c r="J276" s="398">
        <v>139038</v>
      </c>
      <c r="K276" s="399" t="s">
        <v>71</v>
      </c>
      <c r="L276" s="399" t="s">
        <v>34</v>
      </c>
      <c r="M276" s="399">
        <v>200</v>
      </c>
      <c r="N276" s="356">
        <v>746000</v>
      </c>
      <c r="O276" s="28" t="b">
        <f t="shared" si="33"/>
        <v>1</v>
      </c>
    </row>
    <row r="277" spans="2:15" s="28" customFormat="1" ht="16.5" customHeight="1">
      <c r="B277" s="20"/>
      <c r="C277" s="20"/>
      <c r="D277" s="254"/>
      <c r="E277" s="379">
        <v>139040</v>
      </c>
      <c r="F277" s="395" t="s">
        <v>577</v>
      </c>
      <c r="G277" s="396"/>
      <c r="H277" s="397"/>
      <c r="I277" s="383">
        <v>575000</v>
      </c>
      <c r="J277" s="398">
        <v>139040</v>
      </c>
      <c r="K277" s="399" t="s">
        <v>71</v>
      </c>
      <c r="L277" s="399" t="s">
        <v>34</v>
      </c>
      <c r="M277" s="399">
        <v>200</v>
      </c>
      <c r="N277" s="356">
        <v>575000</v>
      </c>
      <c r="O277" s="28" t="b">
        <f t="shared" si="33"/>
        <v>1</v>
      </c>
    </row>
    <row r="278" spans="2:15" s="28" customFormat="1" ht="16.5" customHeight="1">
      <c r="B278" s="20"/>
      <c r="C278" s="20"/>
      <c r="D278" s="254"/>
      <c r="E278" s="379">
        <v>139041</v>
      </c>
      <c r="F278" s="395" t="s">
        <v>325</v>
      </c>
      <c r="G278" s="396"/>
      <c r="H278" s="397"/>
      <c r="I278" s="383">
        <v>61300</v>
      </c>
      <c r="J278" s="398">
        <v>139041</v>
      </c>
      <c r="K278" s="399" t="s">
        <v>70</v>
      </c>
      <c r="L278" s="399" t="s">
        <v>34</v>
      </c>
      <c r="M278" s="399">
        <v>20</v>
      </c>
      <c r="N278" s="356">
        <v>61300</v>
      </c>
      <c r="O278" s="28" t="b">
        <f t="shared" si="33"/>
        <v>1</v>
      </c>
    </row>
    <row r="279" spans="2:15" s="28" customFormat="1" ht="16.5" customHeight="1">
      <c r="B279" s="20"/>
      <c r="C279" s="20"/>
      <c r="D279" s="254"/>
      <c r="E279" s="379">
        <v>139042</v>
      </c>
      <c r="F279" s="395" t="s">
        <v>578</v>
      </c>
      <c r="G279" s="396"/>
      <c r="H279" s="397"/>
      <c r="I279" s="383">
        <v>575000</v>
      </c>
      <c r="J279" s="398">
        <v>139042</v>
      </c>
      <c r="K279" s="399" t="s">
        <v>71</v>
      </c>
      <c r="L279" s="399" t="s">
        <v>34</v>
      </c>
      <c r="M279" s="399">
        <v>200</v>
      </c>
      <c r="N279" s="356">
        <v>575000</v>
      </c>
      <c r="O279" s="28" t="b">
        <f t="shared" si="33"/>
        <v>1</v>
      </c>
    </row>
    <row r="280" spans="2:15" s="28" customFormat="1" ht="16.5" customHeight="1">
      <c r="B280" s="20"/>
      <c r="C280" s="20"/>
      <c r="D280" s="254"/>
      <c r="E280" s="379">
        <v>139043</v>
      </c>
      <c r="F280" s="395" t="s">
        <v>326</v>
      </c>
      <c r="G280" s="396"/>
      <c r="H280" s="397"/>
      <c r="I280" s="383">
        <v>100000</v>
      </c>
      <c r="J280" s="398">
        <v>139043</v>
      </c>
      <c r="K280" s="399" t="s">
        <v>70</v>
      </c>
      <c r="L280" s="399" t="s">
        <v>34</v>
      </c>
      <c r="M280" s="399">
        <v>20</v>
      </c>
      <c r="N280" s="356">
        <v>100000</v>
      </c>
      <c r="O280" s="28" t="b">
        <f t="shared" si="33"/>
        <v>1</v>
      </c>
    </row>
    <row r="281" spans="2:15" s="28" customFormat="1" ht="16.5" customHeight="1">
      <c r="B281" s="20"/>
      <c r="C281" s="20"/>
      <c r="D281" s="254"/>
      <c r="E281" s="379">
        <v>139044</v>
      </c>
      <c r="F281" s="395" t="s">
        <v>579</v>
      </c>
      <c r="G281" s="396"/>
      <c r="H281" s="397"/>
      <c r="I281" s="383">
        <v>960000</v>
      </c>
      <c r="J281" s="398">
        <v>139044</v>
      </c>
      <c r="K281" s="399" t="s">
        <v>71</v>
      </c>
      <c r="L281" s="399" t="s">
        <v>34</v>
      </c>
      <c r="M281" s="399">
        <v>200</v>
      </c>
      <c r="N281" s="356">
        <v>960000</v>
      </c>
      <c r="O281" s="28" t="b">
        <f t="shared" si="33"/>
        <v>1</v>
      </c>
    </row>
    <row r="282" spans="2:15" s="28" customFormat="1" ht="16.5" customHeight="1">
      <c r="B282" s="20"/>
      <c r="C282" s="20"/>
      <c r="D282" s="254"/>
      <c r="E282" s="379">
        <v>139045</v>
      </c>
      <c r="F282" s="395" t="s">
        <v>327</v>
      </c>
      <c r="G282" s="396"/>
      <c r="H282" s="397"/>
      <c r="I282" s="383">
        <v>100000</v>
      </c>
      <c r="J282" s="398">
        <v>139045</v>
      </c>
      <c r="K282" s="399" t="s">
        <v>70</v>
      </c>
      <c r="L282" s="399" t="s">
        <v>34</v>
      </c>
      <c r="M282" s="399">
        <v>20</v>
      </c>
      <c r="N282" s="356">
        <v>100000</v>
      </c>
      <c r="O282" s="28" t="b">
        <f t="shared" si="33"/>
        <v>1</v>
      </c>
    </row>
    <row r="283" spans="2:15" s="28" customFormat="1" ht="16.5" customHeight="1">
      <c r="B283" s="20"/>
      <c r="C283" s="20"/>
      <c r="D283" s="254"/>
      <c r="E283" s="379">
        <v>139048</v>
      </c>
      <c r="F283" s="395" t="s">
        <v>328</v>
      </c>
      <c r="G283" s="396"/>
      <c r="H283" s="397"/>
      <c r="I283" s="383">
        <v>166000</v>
      </c>
      <c r="J283" s="398">
        <v>139048</v>
      </c>
      <c r="K283" s="399" t="s">
        <v>70</v>
      </c>
      <c r="L283" s="399" t="s">
        <v>34</v>
      </c>
      <c r="M283" s="399">
        <v>20</v>
      </c>
      <c r="N283" s="356">
        <v>166000</v>
      </c>
      <c r="O283" s="28" t="b">
        <f t="shared" si="33"/>
        <v>1</v>
      </c>
    </row>
    <row r="284" spans="2:15" s="28" customFormat="1" ht="16.5" customHeight="1">
      <c r="B284" s="20"/>
      <c r="C284" s="20"/>
      <c r="D284" s="254"/>
      <c r="E284" s="379">
        <v>139049</v>
      </c>
      <c r="F284" s="395" t="s">
        <v>329</v>
      </c>
      <c r="G284" s="396"/>
      <c r="H284" s="397"/>
      <c r="I284" s="383">
        <v>146000</v>
      </c>
      <c r="J284" s="398">
        <v>139049</v>
      </c>
      <c r="K284" s="399" t="s">
        <v>70</v>
      </c>
      <c r="L284" s="399" t="s">
        <v>34</v>
      </c>
      <c r="M284" s="399">
        <v>20</v>
      </c>
      <c r="N284" s="356">
        <v>146000</v>
      </c>
      <c r="O284" s="28" t="b">
        <f t="shared" ref="O284:O347" si="34">I284=N284</f>
        <v>1</v>
      </c>
    </row>
    <row r="285" spans="2:15" s="28" customFormat="1" ht="16.5" customHeight="1">
      <c r="B285" s="20"/>
      <c r="C285" s="20"/>
      <c r="D285" s="254"/>
      <c r="E285" s="379">
        <v>139050</v>
      </c>
      <c r="F285" s="395" t="s">
        <v>330</v>
      </c>
      <c r="G285" s="396"/>
      <c r="H285" s="397"/>
      <c r="I285" s="383"/>
      <c r="J285" s="398">
        <v>139050</v>
      </c>
      <c r="K285" s="399" t="s">
        <v>70</v>
      </c>
      <c r="L285" s="399" t="s">
        <v>34</v>
      </c>
      <c r="M285" s="399">
        <v>20</v>
      </c>
      <c r="N285" s="356" t="e">
        <v>#N/A</v>
      </c>
      <c r="O285" s="28" t="e">
        <f t="shared" si="34"/>
        <v>#N/A</v>
      </c>
    </row>
    <row r="286" spans="2:15" s="28" customFormat="1" ht="16.5" customHeight="1">
      <c r="B286" s="20"/>
      <c r="C286" s="20"/>
      <c r="D286" s="254"/>
      <c r="E286" s="379">
        <v>139051</v>
      </c>
      <c r="F286" s="395" t="s">
        <v>331</v>
      </c>
      <c r="G286" s="396"/>
      <c r="H286" s="397"/>
      <c r="I286" s="383">
        <v>169000</v>
      </c>
      <c r="J286" s="398">
        <v>139051</v>
      </c>
      <c r="K286" s="399" t="s">
        <v>70</v>
      </c>
      <c r="L286" s="399" t="s">
        <v>34</v>
      </c>
      <c r="M286" s="399">
        <v>18.899999999999999</v>
      </c>
      <c r="N286" s="356">
        <v>169000</v>
      </c>
      <c r="O286" s="28" t="b">
        <f t="shared" si="34"/>
        <v>1</v>
      </c>
    </row>
    <row r="287" spans="2:15" s="28" customFormat="1" ht="16.5" customHeight="1">
      <c r="B287" s="20"/>
      <c r="C287" s="20"/>
      <c r="D287" s="254"/>
      <c r="E287" s="379">
        <v>139052</v>
      </c>
      <c r="F287" s="395" t="s">
        <v>582</v>
      </c>
      <c r="G287" s="396"/>
      <c r="H287" s="397"/>
      <c r="I287" s="383"/>
      <c r="J287" s="398">
        <v>139052</v>
      </c>
      <c r="K287" s="399" t="s">
        <v>71</v>
      </c>
      <c r="L287" s="399" t="s">
        <v>34</v>
      </c>
      <c r="M287" s="399">
        <v>200</v>
      </c>
      <c r="N287" s="356" t="e">
        <v>#N/A</v>
      </c>
      <c r="O287" s="28" t="e">
        <f t="shared" si="34"/>
        <v>#N/A</v>
      </c>
    </row>
    <row r="288" spans="2:15" s="28" customFormat="1" ht="16.5" customHeight="1">
      <c r="B288" s="20"/>
      <c r="C288" s="20"/>
      <c r="D288" s="254"/>
      <c r="E288" s="379">
        <v>139057</v>
      </c>
      <c r="F288" s="395" t="s">
        <v>583</v>
      </c>
      <c r="G288" s="396"/>
      <c r="H288" s="397"/>
      <c r="I288" s="383">
        <v>721000</v>
      </c>
      <c r="J288" s="398">
        <v>139057</v>
      </c>
      <c r="K288" s="399" t="s">
        <v>71</v>
      </c>
      <c r="L288" s="399" t="s">
        <v>34</v>
      </c>
      <c r="M288" s="399">
        <v>200</v>
      </c>
      <c r="N288" s="356">
        <v>721000</v>
      </c>
      <c r="O288" s="28" t="b">
        <f t="shared" si="34"/>
        <v>1</v>
      </c>
    </row>
    <row r="289" spans="2:15" s="28" customFormat="1" ht="16.5" customHeight="1">
      <c r="B289" s="20"/>
      <c r="C289" s="20"/>
      <c r="D289" s="254"/>
      <c r="E289" s="379">
        <v>139058</v>
      </c>
      <c r="F289" s="395" t="s">
        <v>584</v>
      </c>
      <c r="G289" s="396"/>
      <c r="H289" s="397"/>
      <c r="I289" s="383">
        <v>893000</v>
      </c>
      <c r="J289" s="398">
        <v>139058</v>
      </c>
      <c r="K289" s="399" t="s">
        <v>71</v>
      </c>
      <c r="L289" s="399" t="s">
        <v>34</v>
      </c>
      <c r="M289" s="399">
        <v>200</v>
      </c>
      <c r="N289" s="356">
        <v>893000</v>
      </c>
      <c r="O289" s="28" t="b">
        <f t="shared" si="34"/>
        <v>1</v>
      </c>
    </row>
    <row r="290" spans="2:15" s="28" customFormat="1" ht="16.5" customHeight="1">
      <c r="B290" s="20"/>
      <c r="C290" s="20"/>
      <c r="D290" s="254"/>
      <c r="E290" s="379">
        <v>139059</v>
      </c>
      <c r="F290" s="395" t="s">
        <v>585</v>
      </c>
      <c r="G290" s="396"/>
      <c r="H290" s="397"/>
      <c r="I290" s="383">
        <v>691000</v>
      </c>
      <c r="J290" s="398">
        <v>139059</v>
      </c>
      <c r="K290" s="399" t="s">
        <v>71</v>
      </c>
      <c r="L290" s="399" t="s">
        <v>34</v>
      </c>
      <c r="M290" s="399">
        <v>200</v>
      </c>
      <c r="N290" s="356">
        <v>691000</v>
      </c>
      <c r="O290" s="28" t="b">
        <f t="shared" si="34"/>
        <v>1</v>
      </c>
    </row>
    <row r="291" spans="2:15" s="28" customFormat="1" ht="16.5" customHeight="1">
      <c r="B291" s="20"/>
      <c r="C291" s="20"/>
      <c r="D291" s="254"/>
      <c r="E291" s="379">
        <v>139061</v>
      </c>
      <c r="F291" s="395" t="s">
        <v>242</v>
      </c>
      <c r="G291" s="396"/>
      <c r="H291" s="397"/>
      <c r="I291" s="383">
        <v>83600</v>
      </c>
      <c r="J291" s="398">
        <v>139061</v>
      </c>
      <c r="K291" s="399" t="s">
        <v>70</v>
      </c>
      <c r="L291" s="399" t="s">
        <v>34</v>
      </c>
      <c r="M291" s="399">
        <v>20</v>
      </c>
      <c r="N291" s="356">
        <v>83600</v>
      </c>
      <c r="O291" s="28" t="b">
        <f t="shared" si="34"/>
        <v>1</v>
      </c>
    </row>
    <row r="292" spans="2:15" s="28" customFormat="1" ht="16.5" customHeight="1">
      <c r="B292" s="20"/>
      <c r="C292" s="20"/>
      <c r="D292" s="254"/>
      <c r="E292" s="379">
        <v>139062</v>
      </c>
      <c r="F292" s="395" t="s">
        <v>586</v>
      </c>
      <c r="G292" s="396"/>
      <c r="H292" s="397"/>
      <c r="I292" s="383">
        <v>687000</v>
      </c>
      <c r="J292" s="398">
        <v>139062</v>
      </c>
      <c r="K292" s="399" t="s">
        <v>71</v>
      </c>
      <c r="L292" s="399" t="s">
        <v>34</v>
      </c>
      <c r="M292" s="399">
        <v>200</v>
      </c>
      <c r="N292" s="356">
        <v>687000</v>
      </c>
      <c r="O292" s="28" t="b">
        <f t="shared" si="34"/>
        <v>1</v>
      </c>
    </row>
    <row r="293" spans="2:15" s="28" customFormat="1" ht="16.5" customHeight="1">
      <c r="B293" s="20"/>
      <c r="C293" s="20"/>
      <c r="D293" s="254"/>
      <c r="E293" s="379">
        <v>139063</v>
      </c>
      <c r="F293" s="395" t="s">
        <v>587</v>
      </c>
      <c r="G293" s="396"/>
      <c r="H293" s="397"/>
      <c r="I293" s="383">
        <v>670000</v>
      </c>
      <c r="J293" s="398">
        <v>139063</v>
      </c>
      <c r="K293" s="399" t="s">
        <v>71</v>
      </c>
      <c r="L293" s="399" t="s">
        <v>34</v>
      </c>
      <c r="M293" s="399">
        <v>200</v>
      </c>
      <c r="N293" s="356">
        <v>670000</v>
      </c>
      <c r="O293" s="28" t="b">
        <f t="shared" si="34"/>
        <v>1</v>
      </c>
    </row>
    <row r="294" spans="2:15" s="28" customFormat="1" ht="16.5" customHeight="1">
      <c r="B294" s="20"/>
      <c r="C294" s="20"/>
      <c r="D294" s="254"/>
      <c r="E294" s="379">
        <v>139064</v>
      </c>
      <c r="F294" s="395" t="s">
        <v>233</v>
      </c>
      <c r="G294" s="396"/>
      <c r="H294" s="397"/>
      <c r="I294" s="383">
        <v>66400</v>
      </c>
      <c r="J294" s="398">
        <v>139064</v>
      </c>
      <c r="K294" s="399" t="s">
        <v>70</v>
      </c>
      <c r="L294" s="399" t="s">
        <v>34</v>
      </c>
      <c r="M294" s="399">
        <v>20</v>
      </c>
      <c r="N294" s="356">
        <v>66400</v>
      </c>
      <c r="O294" s="28" t="b">
        <f t="shared" si="34"/>
        <v>1</v>
      </c>
    </row>
    <row r="295" spans="2:15" s="28" customFormat="1" ht="16.5" customHeight="1">
      <c r="B295" s="20"/>
      <c r="C295" s="20"/>
      <c r="D295" s="254"/>
      <c r="E295" s="379">
        <v>139065</v>
      </c>
      <c r="F295" s="395" t="s">
        <v>588</v>
      </c>
      <c r="G295" s="396"/>
      <c r="H295" s="397"/>
      <c r="I295" s="383">
        <v>685000</v>
      </c>
      <c r="J295" s="398">
        <v>139065</v>
      </c>
      <c r="K295" s="399" t="s">
        <v>71</v>
      </c>
      <c r="L295" s="399" t="s">
        <v>34</v>
      </c>
      <c r="M295" s="399">
        <v>200</v>
      </c>
      <c r="N295" s="356">
        <v>685000</v>
      </c>
      <c r="O295" s="28" t="b">
        <f t="shared" si="34"/>
        <v>1</v>
      </c>
    </row>
    <row r="296" spans="2:15" s="28" customFormat="1" ht="16.5" customHeight="1">
      <c r="B296" s="20"/>
      <c r="C296" s="20"/>
      <c r="D296" s="254"/>
      <c r="E296" s="379">
        <v>139066</v>
      </c>
      <c r="F296" s="395" t="s">
        <v>332</v>
      </c>
      <c r="G296" s="396"/>
      <c r="H296" s="397"/>
      <c r="I296" s="383">
        <v>69100</v>
      </c>
      <c r="J296" s="398">
        <v>139066</v>
      </c>
      <c r="K296" s="399" t="s">
        <v>70</v>
      </c>
      <c r="L296" s="399" t="s">
        <v>34</v>
      </c>
      <c r="M296" s="399">
        <v>20</v>
      </c>
      <c r="N296" s="356">
        <v>69100</v>
      </c>
      <c r="O296" s="28" t="b">
        <f t="shared" si="34"/>
        <v>1</v>
      </c>
    </row>
    <row r="297" spans="2:15" s="28" customFormat="1" ht="16.5" customHeight="1">
      <c r="B297" s="20"/>
      <c r="C297" s="20"/>
      <c r="D297" s="254"/>
      <c r="E297" s="379">
        <v>139067</v>
      </c>
      <c r="F297" s="395" t="s">
        <v>333</v>
      </c>
      <c r="G297" s="396"/>
      <c r="H297" s="397"/>
      <c r="I297" s="383"/>
      <c r="J297" s="398">
        <v>139067</v>
      </c>
      <c r="K297" s="399" t="s">
        <v>70</v>
      </c>
      <c r="L297" s="399" t="s">
        <v>34</v>
      </c>
      <c r="M297" s="399">
        <v>18.899999999999999</v>
      </c>
      <c r="N297" s="356" t="e">
        <v>#N/A</v>
      </c>
      <c r="O297" s="28" t="e">
        <f t="shared" si="34"/>
        <v>#N/A</v>
      </c>
    </row>
    <row r="298" spans="2:15" s="28" customFormat="1" ht="16.5" customHeight="1">
      <c r="B298" s="20"/>
      <c r="C298" s="20"/>
      <c r="D298" s="254"/>
      <c r="E298" s="379">
        <v>139068</v>
      </c>
      <c r="F298" s="395" t="s">
        <v>589</v>
      </c>
      <c r="G298" s="396"/>
      <c r="H298" s="397"/>
      <c r="I298" s="383">
        <v>4688000</v>
      </c>
      <c r="J298" s="398">
        <v>139068</v>
      </c>
      <c r="K298" s="399" t="s">
        <v>71</v>
      </c>
      <c r="L298" s="399" t="s">
        <v>34</v>
      </c>
      <c r="M298" s="399">
        <v>208</v>
      </c>
      <c r="N298" s="356">
        <v>4688000</v>
      </c>
      <c r="O298" s="28" t="b">
        <f t="shared" si="34"/>
        <v>1</v>
      </c>
    </row>
    <row r="299" spans="2:15" s="28" customFormat="1" ht="16.5" customHeight="1">
      <c r="B299" s="20"/>
      <c r="C299" s="20"/>
      <c r="D299" s="254"/>
      <c r="E299" s="379">
        <v>139069</v>
      </c>
      <c r="F299" s="395" t="s">
        <v>334</v>
      </c>
      <c r="G299" s="396"/>
      <c r="H299" s="397"/>
      <c r="I299" s="383">
        <v>296000</v>
      </c>
      <c r="J299" s="398">
        <v>139069</v>
      </c>
      <c r="K299" s="399" t="s">
        <v>70</v>
      </c>
      <c r="L299" s="399" t="s">
        <v>34</v>
      </c>
      <c r="M299" s="399">
        <v>20</v>
      </c>
      <c r="N299" s="356">
        <v>296000</v>
      </c>
      <c r="O299" s="28" t="b">
        <f t="shared" si="34"/>
        <v>1</v>
      </c>
    </row>
    <row r="300" spans="2:15" s="28" customFormat="1" ht="16.5" customHeight="1">
      <c r="B300" s="20"/>
      <c r="C300" s="20"/>
      <c r="D300" s="254"/>
      <c r="E300" s="379">
        <v>139070</v>
      </c>
      <c r="F300" s="395" t="s">
        <v>335</v>
      </c>
      <c r="G300" s="396"/>
      <c r="H300" s="397"/>
      <c r="I300" s="383">
        <v>318000</v>
      </c>
      <c r="J300" s="398">
        <v>139070</v>
      </c>
      <c r="K300" s="399" t="s">
        <v>70</v>
      </c>
      <c r="L300" s="399" t="s">
        <v>34</v>
      </c>
      <c r="M300" s="399">
        <v>20</v>
      </c>
      <c r="N300" s="356">
        <v>318000</v>
      </c>
      <c r="O300" s="28" t="b">
        <f t="shared" si="34"/>
        <v>1</v>
      </c>
    </row>
    <row r="301" spans="2:15" s="28" customFormat="1" ht="16.5" customHeight="1">
      <c r="B301" s="20"/>
      <c r="C301" s="20"/>
      <c r="D301" s="254"/>
      <c r="E301" s="379">
        <v>139071</v>
      </c>
      <c r="F301" s="395" t="s">
        <v>590</v>
      </c>
      <c r="G301" s="396"/>
      <c r="H301" s="397"/>
      <c r="I301" s="383">
        <v>746000</v>
      </c>
      <c r="J301" s="398">
        <v>139071</v>
      </c>
      <c r="K301" s="399" t="s">
        <v>71</v>
      </c>
      <c r="L301" s="399" t="s">
        <v>34</v>
      </c>
      <c r="M301" s="399">
        <v>200</v>
      </c>
      <c r="N301" s="356">
        <v>746000</v>
      </c>
      <c r="O301" s="28" t="b">
        <f t="shared" si="34"/>
        <v>1</v>
      </c>
    </row>
    <row r="302" spans="2:15" s="28" customFormat="1" ht="16.5" customHeight="1">
      <c r="B302" s="20"/>
      <c r="C302" s="20"/>
      <c r="D302" s="254"/>
      <c r="E302" s="379">
        <v>139074</v>
      </c>
      <c r="F302" s="395" t="s">
        <v>591</v>
      </c>
      <c r="G302" s="396"/>
      <c r="H302" s="397"/>
      <c r="I302" s="383">
        <v>746000</v>
      </c>
      <c r="J302" s="398">
        <v>139074</v>
      </c>
      <c r="K302" s="399" t="s">
        <v>71</v>
      </c>
      <c r="L302" s="399" t="s">
        <v>34</v>
      </c>
      <c r="M302" s="399">
        <v>200</v>
      </c>
      <c r="N302" s="356">
        <v>746000</v>
      </c>
      <c r="O302" s="28" t="b">
        <f t="shared" si="34"/>
        <v>1</v>
      </c>
    </row>
    <row r="303" spans="2:15" s="28" customFormat="1" ht="16.5" customHeight="1">
      <c r="B303" s="20"/>
      <c r="C303" s="20"/>
      <c r="D303" s="254"/>
      <c r="E303" s="379">
        <v>139075</v>
      </c>
      <c r="F303" s="395" t="s">
        <v>592</v>
      </c>
      <c r="G303" s="396"/>
      <c r="H303" s="397"/>
      <c r="I303" s="383">
        <v>746000</v>
      </c>
      <c r="J303" s="398">
        <v>139075</v>
      </c>
      <c r="K303" s="399" t="s">
        <v>71</v>
      </c>
      <c r="L303" s="399" t="s">
        <v>34</v>
      </c>
      <c r="M303" s="399">
        <v>200</v>
      </c>
      <c r="N303" s="356">
        <v>746000</v>
      </c>
      <c r="O303" s="28" t="b">
        <f t="shared" si="34"/>
        <v>1</v>
      </c>
    </row>
    <row r="304" spans="2:15" s="28" customFormat="1" ht="16.5" customHeight="1">
      <c r="B304" s="20"/>
      <c r="C304" s="20"/>
      <c r="D304" s="254"/>
      <c r="E304" s="379">
        <v>135303</v>
      </c>
      <c r="F304" s="395" t="s">
        <v>336</v>
      </c>
      <c r="G304" s="396"/>
      <c r="H304" s="397"/>
      <c r="I304" s="383">
        <v>370000</v>
      </c>
      <c r="J304" s="398">
        <v>135303</v>
      </c>
      <c r="K304" s="399" t="s">
        <v>70</v>
      </c>
      <c r="L304" s="399" t="s">
        <v>34</v>
      </c>
      <c r="M304" s="399">
        <v>20</v>
      </c>
      <c r="N304" s="356">
        <v>370000</v>
      </c>
      <c r="O304" s="28" t="b">
        <f t="shared" si="34"/>
        <v>1</v>
      </c>
    </row>
    <row r="305" spans="2:15" s="28" customFormat="1" ht="16.5" customHeight="1">
      <c r="B305" s="20"/>
      <c r="C305" s="20"/>
      <c r="D305" s="254"/>
      <c r="E305" s="379">
        <v>139080</v>
      </c>
      <c r="F305" s="395" t="s">
        <v>337</v>
      </c>
      <c r="G305" s="396"/>
      <c r="H305" s="397"/>
      <c r="I305" s="383">
        <v>300000</v>
      </c>
      <c r="J305" s="398">
        <v>139080</v>
      </c>
      <c r="K305" s="399" t="s">
        <v>70</v>
      </c>
      <c r="L305" s="399" t="s">
        <v>34</v>
      </c>
      <c r="M305" s="399">
        <v>20</v>
      </c>
      <c r="N305" s="356">
        <v>300000</v>
      </c>
      <c r="O305" s="28" t="b">
        <f t="shared" si="34"/>
        <v>1</v>
      </c>
    </row>
    <row r="306" spans="2:15" s="28" customFormat="1" ht="16.5" customHeight="1">
      <c r="B306" s="20"/>
      <c r="C306" s="20"/>
      <c r="D306" s="254"/>
      <c r="E306" s="379">
        <v>139082</v>
      </c>
      <c r="F306" s="395" t="s">
        <v>338</v>
      </c>
      <c r="G306" s="396"/>
      <c r="H306" s="397"/>
      <c r="I306" s="383">
        <v>366000</v>
      </c>
      <c r="J306" s="398">
        <v>139082</v>
      </c>
      <c r="K306" s="399" t="s">
        <v>70</v>
      </c>
      <c r="L306" s="399" t="s">
        <v>34</v>
      </c>
      <c r="M306" s="399">
        <v>20</v>
      </c>
      <c r="N306" s="356">
        <v>366000</v>
      </c>
      <c r="O306" s="28" t="b">
        <f t="shared" si="34"/>
        <v>1</v>
      </c>
    </row>
    <row r="307" spans="2:15" s="28" customFormat="1" ht="16.5" customHeight="1">
      <c r="B307" s="20"/>
      <c r="C307" s="20"/>
      <c r="D307" s="254"/>
      <c r="E307" s="379">
        <v>139084</v>
      </c>
      <c r="F307" s="395" t="s">
        <v>243</v>
      </c>
      <c r="G307" s="401"/>
      <c r="H307" s="402"/>
      <c r="I307" s="383">
        <v>58600</v>
      </c>
      <c r="J307" s="399">
        <v>139084</v>
      </c>
      <c r="K307" s="399" t="s">
        <v>70</v>
      </c>
      <c r="L307" s="399" t="s">
        <v>34</v>
      </c>
      <c r="M307" s="399">
        <v>20</v>
      </c>
      <c r="N307" s="356">
        <v>58600</v>
      </c>
      <c r="O307" s="28" t="b">
        <f t="shared" si="34"/>
        <v>1</v>
      </c>
    </row>
    <row r="308" spans="2:15" s="28" customFormat="1" ht="16.5" customHeight="1">
      <c r="B308" s="20"/>
      <c r="C308" s="20"/>
      <c r="D308" s="254"/>
      <c r="E308" s="379">
        <v>139085</v>
      </c>
      <c r="F308" s="395" t="s">
        <v>593</v>
      </c>
      <c r="G308" s="401"/>
      <c r="H308" s="402"/>
      <c r="I308" s="383">
        <v>535000</v>
      </c>
      <c r="J308" s="398">
        <v>139085</v>
      </c>
      <c r="K308" s="399" t="s">
        <v>71</v>
      </c>
      <c r="L308" s="399" t="s">
        <v>34</v>
      </c>
      <c r="M308" s="399">
        <v>200</v>
      </c>
      <c r="N308" s="356">
        <v>535000</v>
      </c>
      <c r="O308" s="28" t="b">
        <f t="shared" si="34"/>
        <v>1</v>
      </c>
    </row>
    <row r="309" spans="2:15" s="28" customFormat="1" ht="16.5" customHeight="1">
      <c r="B309" s="20"/>
      <c r="C309" s="20"/>
      <c r="D309" s="254"/>
      <c r="E309" s="379">
        <v>139086</v>
      </c>
      <c r="F309" s="395" t="s">
        <v>226</v>
      </c>
      <c r="G309" s="401"/>
      <c r="H309" s="402"/>
      <c r="I309" s="383">
        <v>54500</v>
      </c>
      <c r="J309" s="398">
        <v>139086</v>
      </c>
      <c r="K309" s="399" t="s">
        <v>70</v>
      </c>
      <c r="L309" s="399" t="s">
        <v>34</v>
      </c>
      <c r="M309" s="399">
        <v>20</v>
      </c>
      <c r="N309" s="356">
        <v>54500</v>
      </c>
      <c r="O309" s="28" t="b">
        <f t="shared" si="34"/>
        <v>1</v>
      </c>
    </row>
    <row r="310" spans="2:15" s="28" customFormat="1" ht="16.5" customHeight="1">
      <c r="B310" s="20"/>
      <c r="C310" s="20"/>
      <c r="D310" s="254"/>
      <c r="E310" s="379">
        <v>139087</v>
      </c>
      <c r="F310" s="395" t="s">
        <v>594</v>
      </c>
      <c r="G310" s="401"/>
      <c r="H310" s="402"/>
      <c r="I310" s="383">
        <v>547000</v>
      </c>
      <c r="J310" s="398">
        <v>139087</v>
      </c>
      <c r="K310" s="399" t="s">
        <v>71</v>
      </c>
      <c r="L310" s="399" t="s">
        <v>34</v>
      </c>
      <c r="M310" s="399">
        <v>200</v>
      </c>
      <c r="N310" s="356">
        <v>547000</v>
      </c>
      <c r="O310" s="28" t="b">
        <f t="shared" si="34"/>
        <v>1</v>
      </c>
    </row>
    <row r="311" spans="2:15" s="28" customFormat="1" ht="16.5" customHeight="1">
      <c r="B311" s="20"/>
      <c r="C311" s="20"/>
      <c r="D311" s="254"/>
      <c r="E311" s="379">
        <v>139088</v>
      </c>
      <c r="F311" s="395" t="s">
        <v>234</v>
      </c>
      <c r="G311" s="401"/>
      <c r="H311" s="402"/>
      <c r="I311" s="383">
        <v>58600</v>
      </c>
      <c r="J311" s="398">
        <v>139088</v>
      </c>
      <c r="K311" s="399" t="s">
        <v>70</v>
      </c>
      <c r="L311" s="399" t="s">
        <v>34</v>
      </c>
      <c r="M311" s="399">
        <v>20</v>
      </c>
      <c r="N311" s="356">
        <v>58600</v>
      </c>
      <c r="O311" s="28" t="b">
        <f t="shared" si="34"/>
        <v>1</v>
      </c>
    </row>
    <row r="312" spans="2:15" s="28" customFormat="1" ht="16.5" customHeight="1">
      <c r="B312" s="20"/>
      <c r="C312" s="20"/>
      <c r="D312" s="254"/>
      <c r="E312" s="379">
        <v>139089</v>
      </c>
      <c r="F312" s="395" t="s">
        <v>595</v>
      </c>
      <c r="G312" s="401"/>
      <c r="H312" s="402"/>
      <c r="I312" s="383">
        <v>663000</v>
      </c>
      <c r="J312" s="398">
        <v>139089</v>
      </c>
      <c r="K312" s="399" t="s">
        <v>71</v>
      </c>
      <c r="L312" s="399" t="s">
        <v>34</v>
      </c>
      <c r="M312" s="399">
        <v>200</v>
      </c>
      <c r="N312" s="356">
        <v>663000</v>
      </c>
      <c r="O312" s="28" t="b">
        <f t="shared" si="34"/>
        <v>1</v>
      </c>
    </row>
    <row r="313" spans="2:15" s="28" customFormat="1" ht="16.5" customHeight="1">
      <c r="B313" s="20"/>
      <c r="C313" s="20"/>
      <c r="D313" s="254"/>
      <c r="E313" s="379">
        <v>139090</v>
      </c>
      <c r="F313" s="395" t="s">
        <v>596</v>
      </c>
      <c r="G313" s="396"/>
      <c r="H313" s="397"/>
      <c r="I313" s="383">
        <v>626000</v>
      </c>
      <c r="J313" s="398">
        <v>139090</v>
      </c>
      <c r="K313" s="399" t="s">
        <v>71</v>
      </c>
      <c r="L313" s="399" t="s">
        <v>34</v>
      </c>
      <c r="M313" s="399">
        <v>200</v>
      </c>
      <c r="N313" s="356">
        <v>626000</v>
      </c>
      <c r="O313" s="28" t="b">
        <f t="shared" si="34"/>
        <v>1</v>
      </c>
    </row>
    <row r="314" spans="2:15" s="28" customFormat="1" ht="16.5" customHeight="1">
      <c r="B314" s="20"/>
      <c r="C314" s="20"/>
      <c r="D314" s="254"/>
      <c r="E314" s="379">
        <v>139091</v>
      </c>
      <c r="F314" s="395" t="s">
        <v>597</v>
      </c>
      <c r="G314" s="401"/>
      <c r="H314" s="402"/>
      <c r="I314" s="383">
        <v>508000</v>
      </c>
      <c r="J314" s="399">
        <v>139091</v>
      </c>
      <c r="K314" s="399" t="s">
        <v>71</v>
      </c>
      <c r="L314" s="399" t="s">
        <v>34</v>
      </c>
      <c r="M314" s="399">
        <v>200</v>
      </c>
      <c r="N314" s="356">
        <v>508000</v>
      </c>
      <c r="O314" s="28" t="b">
        <f t="shared" si="34"/>
        <v>1</v>
      </c>
    </row>
    <row r="315" spans="2:15" s="28" customFormat="1" ht="16.5" customHeight="1">
      <c r="B315" s="20"/>
      <c r="C315" s="20"/>
      <c r="D315" s="254"/>
      <c r="E315" s="379">
        <v>139092</v>
      </c>
      <c r="F315" s="395" t="s">
        <v>598</v>
      </c>
      <c r="G315" s="401"/>
      <c r="H315" s="402"/>
      <c r="I315" s="383">
        <v>907000</v>
      </c>
      <c r="J315" s="398">
        <v>139092</v>
      </c>
      <c r="K315" s="399" t="s">
        <v>71</v>
      </c>
      <c r="L315" s="399" t="s">
        <v>34</v>
      </c>
      <c r="M315" s="399">
        <v>200</v>
      </c>
      <c r="N315" s="356">
        <v>907000</v>
      </c>
      <c r="O315" s="28" t="b">
        <f t="shared" si="34"/>
        <v>1</v>
      </c>
    </row>
    <row r="316" spans="2:15" s="28" customFormat="1" ht="16.5" customHeight="1">
      <c r="B316" s="20"/>
      <c r="C316" s="20"/>
      <c r="D316" s="254"/>
      <c r="E316" s="379">
        <v>139094</v>
      </c>
      <c r="F316" s="395" t="s">
        <v>599</v>
      </c>
      <c r="G316" s="401"/>
      <c r="H316" s="402"/>
      <c r="I316" s="383">
        <v>781000</v>
      </c>
      <c r="J316" s="398">
        <v>139094</v>
      </c>
      <c r="K316" s="399" t="s">
        <v>71</v>
      </c>
      <c r="L316" s="399" t="s">
        <v>34</v>
      </c>
      <c r="M316" s="399">
        <v>200</v>
      </c>
      <c r="N316" s="356">
        <v>781000</v>
      </c>
      <c r="O316" s="28" t="b">
        <f t="shared" si="34"/>
        <v>1</v>
      </c>
    </row>
    <row r="317" spans="2:15" s="28" customFormat="1" ht="16.5" customHeight="1">
      <c r="B317" s="20"/>
      <c r="C317" s="20"/>
      <c r="D317" s="254"/>
      <c r="E317" s="379">
        <v>139095</v>
      </c>
      <c r="F317" s="395" t="s">
        <v>600</v>
      </c>
      <c r="G317" s="401"/>
      <c r="H317" s="402"/>
      <c r="I317" s="383">
        <v>843000</v>
      </c>
      <c r="J317" s="398">
        <v>139095</v>
      </c>
      <c r="K317" s="399" t="s">
        <v>71</v>
      </c>
      <c r="L317" s="399" t="s">
        <v>34</v>
      </c>
      <c r="M317" s="399">
        <v>200</v>
      </c>
      <c r="N317" s="356">
        <v>843000</v>
      </c>
      <c r="O317" s="28" t="b">
        <f t="shared" si="34"/>
        <v>1</v>
      </c>
    </row>
    <row r="318" spans="2:15" s="28" customFormat="1" ht="16.5" customHeight="1">
      <c r="B318" s="20"/>
      <c r="C318" s="20"/>
      <c r="D318" s="254"/>
      <c r="E318" s="379">
        <v>139096</v>
      </c>
      <c r="F318" s="395" t="s">
        <v>339</v>
      </c>
      <c r="G318" s="401"/>
      <c r="H318" s="402"/>
      <c r="I318" s="383">
        <v>89700</v>
      </c>
      <c r="J318" s="398">
        <v>139096</v>
      </c>
      <c r="K318" s="399" t="s">
        <v>70</v>
      </c>
      <c r="L318" s="399" t="s">
        <v>34</v>
      </c>
      <c r="M318" s="399">
        <v>20</v>
      </c>
      <c r="N318" s="356">
        <v>89700</v>
      </c>
      <c r="O318" s="28" t="b">
        <f t="shared" si="34"/>
        <v>1</v>
      </c>
    </row>
    <row r="319" spans="2:15" s="28" customFormat="1" ht="16.5" customHeight="1">
      <c r="B319" s="20"/>
      <c r="C319" s="20"/>
      <c r="D319" s="254"/>
      <c r="E319" s="379">
        <v>139097</v>
      </c>
      <c r="F319" s="395" t="s">
        <v>601</v>
      </c>
      <c r="G319" s="401"/>
      <c r="H319" s="402"/>
      <c r="I319" s="383">
        <v>987000</v>
      </c>
      <c r="J319" s="398">
        <v>139097</v>
      </c>
      <c r="K319" s="399" t="s">
        <v>71</v>
      </c>
      <c r="L319" s="399" t="s">
        <v>34</v>
      </c>
      <c r="M319" s="399">
        <v>200</v>
      </c>
      <c r="N319" s="356">
        <v>987000</v>
      </c>
      <c r="O319" s="28" t="b">
        <f t="shared" si="34"/>
        <v>1</v>
      </c>
    </row>
    <row r="320" spans="2:15" s="28" customFormat="1" ht="16.5" customHeight="1">
      <c r="B320" s="20"/>
      <c r="C320" s="20"/>
      <c r="D320" s="254"/>
      <c r="E320" s="379">
        <v>139099</v>
      </c>
      <c r="F320" s="395" t="s">
        <v>602</v>
      </c>
      <c r="G320" s="396"/>
      <c r="H320" s="397"/>
      <c r="I320" s="383">
        <v>637000</v>
      </c>
      <c r="J320" s="398">
        <v>139099</v>
      </c>
      <c r="K320" s="399" t="s">
        <v>71</v>
      </c>
      <c r="L320" s="399" t="s">
        <v>34</v>
      </c>
      <c r="M320" s="399">
        <v>200</v>
      </c>
      <c r="N320" s="356">
        <v>637000</v>
      </c>
      <c r="O320" s="28" t="b">
        <f t="shared" si="34"/>
        <v>1</v>
      </c>
    </row>
    <row r="321" spans="2:15" s="28" customFormat="1" ht="16.5" customHeight="1">
      <c r="B321" s="20"/>
      <c r="C321" s="20"/>
      <c r="D321" s="254"/>
      <c r="E321" s="379">
        <v>139101</v>
      </c>
      <c r="F321" s="395" t="s">
        <v>603</v>
      </c>
      <c r="G321" s="396"/>
      <c r="H321" s="397"/>
      <c r="I321" s="383">
        <v>616000</v>
      </c>
      <c r="J321" s="398">
        <v>139101</v>
      </c>
      <c r="K321" s="399" t="s">
        <v>71</v>
      </c>
      <c r="L321" s="399" t="s">
        <v>34</v>
      </c>
      <c r="M321" s="399">
        <v>200</v>
      </c>
      <c r="N321" s="356">
        <v>616000</v>
      </c>
      <c r="O321" s="28" t="b">
        <f t="shared" si="34"/>
        <v>1</v>
      </c>
    </row>
    <row r="322" spans="2:15" s="28" customFormat="1" ht="16.5" customHeight="1">
      <c r="B322" s="20"/>
      <c r="C322" s="20"/>
      <c r="D322" s="254"/>
      <c r="E322" s="379">
        <v>139103</v>
      </c>
      <c r="F322" s="395" t="s">
        <v>604</v>
      </c>
      <c r="G322" s="396"/>
      <c r="H322" s="397"/>
      <c r="I322" s="383">
        <v>564000</v>
      </c>
      <c r="J322" s="398">
        <v>139103</v>
      </c>
      <c r="K322" s="399" t="s">
        <v>71</v>
      </c>
      <c r="L322" s="399" t="s">
        <v>34</v>
      </c>
      <c r="M322" s="399">
        <v>200</v>
      </c>
      <c r="N322" s="356">
        <v>564000</v>
      </c>
      <c r="O322" s="28" t="b">
        <f t="shared" si="34"/>
        <v>1</v>
      </c>
    </row>
    <row r="323" spans="2:15" s="28" customFormat="1" ht="16.5" customHeight="1">
      <c r="B323" s="20"/>
      <c r="C323" s="20"/>
      <c r="D323" s="254"/>
      <c r="E323" s="379">
        <v>139105</v>
      </c>
      <c r="F323" s="395" t="s">
        <v>605</v>
      </c>
      <c r="G323" s="396"/>
      <c r="H323" s="397"/>
      <c r="I323" s="383">
        <v>628000</v>
      </c>
      <c r="J323" s="398">
        <v>139105</v>
      </c>
      <c r="K323" s="399" t="s">
        <v>71</v>
      </c>
      <c r="L323" s="399" t="s">
        <v>34</v>
      </c>
      <c r="M323" s="399">
        <v>200</v>
      </c>
      <c r="N323" s="356">
        <v>628000</v>
      </c>
      <c r="O323" s="28" t="b">
        <f t="shared" si="34"/>
        <v>1</v>
      </c>
    </row>
    <row r="324" spans="2:15" s="28" customFormat="1" ht="16.5" customHeight="1">
      <c r="B324" s="20"/>
      <c r="C324" s="20"/>
      <c r="D324" s="254"/>
      <c r="E324" s="379">
        <v>139106</v>
      </c>
      <c r="F324" s="395" t="s">
        <v>340</v>
      </c>
      <c r="G324" s="396"/>
      <c r="H324" s="397"/>
      <c r="I324" s="383">
        <v>76400</v>
      </c>
      <c r="J324" s="398">
        <v>139106</v>
      </c>
      <c r="K324" s="399" t="s">
        <v>70</v>
      </c>
      <c r="L324" s="399" t="s">
        <v>34</v>
      </c>
      <c r="M324" s="399">
        <v>20</v>
      </c>
      <c r="N324" s="356">
        <v>76400</v>
      </c>
      <c r="O324" s="28" t="b">
        <f t="shared" si="34"/>
        <v>1</v>
      </c>
    </row>
    <row r="325" spans="2:15" s="28" customFormat="1" ht="16.5" customHeight="1">
      <c r="B325" s="20"/>
      <c r="C325" s="20"/>
      <c r="D325" s="254"/>
      <c r="E325" s="379">
        <v>139107</v>
      </c>
      <c r="F325" s="395" t="s">
        <v>606</v>
      </c>
      <c r="G325" s="396"/>
      <c r="H325" s="397"/>
      <c r="I325" s="383">
        <v>630000</v>
      </c>
      <c r="J325" s="398">
        <v>139107</v>
      </c>
      <c r="K325" s="399" t="s">
        <v>71</v>
      </c>
      <c r="L325" s="399" t="s">
        <v>34</v>
      </c>
      <c r="M325" s="399">
        <v>200</v>
      </c>
      <c r="N325" s="356">
        <v>630000</v>
      </c>
      <c r="O325" s="28" t="b">
        <f t="shared" si="34"/>
        <v>1</v>
      </c>
    </row>
    <row r="326" spans="2:15" s="28" customFormat="1" ht="16.5" customHeight="1">
      <c r="B326" s="20"/>
      <c r="C326" s="20"/>
      <c r="D326" s="254"/>
      <c r="E326" s="379">
        <v>139108</v>
      </c>
      <c r="F326" s="395" t="s">
        <v>341</v>
      </c>
      <c r="G326" s="396"/>
      <c r="H326" s="397"/>
      <c r="I326" s="383" t="e">
        <v>#N/A</v>
      </c>
      <c r="J326" s="398">
        <v>139108</v>
      </c>
      <c r="K326" s="399" t="s">
        <v>70</v>
      </c>
      <c r="L326" s="399" t="s">
        <v>34</v>
      </c>
      <c r="M326" s="399">
        <v>20</v>
      </c>
      <c r="N326" s="356" t="e">
        <v>#N/A</v>
      </c>
      <c r="O326" s="28" t="e">
        <f t="shared" si="34"/>
        <v>#N/A</v>
      </c>
    </row>
    <row r="327" spans="2:15" s="28" customFormat="1" ht="16.5" customHeight="1">
      <c r="B327" s="20"/>
      <c r="C327" s="20"/>
      <c r="D327" s="254"/>
      <c r="E327" s="379">
        <v>139109</v>
      </c>
      <c r="F327" s="395" t="s">
        <v>607</v>
      </c>
      <c r="G327" s="396"/>
      <c r="H327" s="397"/>
      <c r="I327" s="383">
        <v>593000</v>
      </c>
      <c r="J327" s="398">
        <v>139109</v>
      </c>
      <c r="K327" s="399" t="s">
        <v>71</v>
      </c>
      <c r="L327" s="399" t="s">
        <v>34</v>
      </c>
      <c r="M327" s="399">
        <v>200</v>
      </c>
      <c r="N327" s="356">
        <v>593000</v>
      </c>
      <c r="O327" s="28" t="b">
        <f t="shared" si="34"/>
        <v>1</v>
      </c>
    </row>
    <row r="328" spans="2:15" s="28" customFormat="1" ht="16.5" customHeight="1">
      <c r="B328" s="20"/>
      <c r="C328" s="20"/>
      <c r="D328" s="254"/>
      <c r="E328" s="379">
        <v>139110</v>
      </c>
      <c r="F328" s="395" t="s">
        <v>342</v>
      </c>
      <c r="G328" s="396"/>
      <c r="H328" s="397"/>
      <c r="I328" s="383">
        <v>72300</v>
      </c>
      <c r="J328" s="398">
        <v>139110</v>
      </c>
      <c r="K328" s="399" t="s">
        <v>70</v>
      </c>
      <c r="L328" s="399" t="s">
        <v>34</v>
      </c>
      <c r="M328" s="399">
        <v>20</v>
      </c>
      <c r="N328" s="356">
        <v>72300</v>
      </c>
      <c r="O328" s="28" t="b">
        <f t="shared" si="34"/>
        <v>1</v>
      </c>
    </row>
    <row r="329" spans="2:15" s="28" customFormat="1" ht="16.5" customHeight="1">
      <c r="B329" s="20"/>
      <c r="C329" s="20"/>
      <c r="D329" s="254"/>
      <c r="E329" s="379">
        <v>139111</v>
      </c>
      <c r="F329" s="395" t="s">
        <v>608</v>
      </c>
      <c r="G329" s="396"/>
      <c r="H329" s="397"/>
      <c r="I329" s="383">
        <v>654000</v>
      </c>
      <c r="J329" s="398">
        <v>139111</v>
      </c>
      <c r="K329" s="399" t="s">
        <v>71</v>
      </c>
      <c r="L329" s="399" t="s">
        <v>34</v>
      </c>
      <c r="M329" s="399">
        <v>200</v>
      </c>
      <c r="N329" s="356">
        <v>654000</v>
      </c>
      <c r="O329" s="28" t="b">
        <f t="shared" si="34"/>
        <v>1</v>
      </c>
    </row>
    <row r="330" spans="2:15" s="28" customFormat="1" ht="16.5" customHeight="1">
      <c r="B330" s="20"/>
      <c r="C330" s="20"/>
      <c r="D330" s="254"/>
      <c r="E330" s="379">
        <v>139112</v>
      </c>
      <c r="F330" s="395" t="s">
        <v>343</v>
      </c>
      <c r="G330" s="396"/>
      <c r="H330" s="397"/>
      <c r="I330" s="383">
        <v>465000</v>
      </c>
      <c r="J330" s="398">
        <v>139112</v>
      </c>
      <c r="K330" s="399" t="s">
        <v>70</v>
      </c>
      <c r="L330" s="399" t="s">
        <v>34</v>
      </c>
      <c r="M330" s="399">
        <v>20</v>
      </c>
      <c r="N330" s="356">
        <v>465000</v>
      </c>
      <c r="O330" s="28" t="b">
        <f t="shared" si="34"/>
        <v>1</v>
      </c>
    </row>
    <row r="331" spans="2:15" s="28" customFormat="1" ht="16.5" customHeight="1">
      <c r="B331" s="20"/>
      <c r="C331" s="20"/>
      <c r="D331" s="254"/>
      <c r="E331" s="379">
        <v>139113</v>
      </c>
      <c r="F331" s="395" t="s">
        <v>344</v>
      </c>
      <c r="G331" s="396"/>
      <c r="H331" s="397"/>
      <c r="I331" s="383">
        <v>364000</v>
      </c>
      <c r="J331" s="398">
        <v>139113</v>
      </c>
      <c r="K331" s="399" t="s">
        <v>70</v>
      </c>
      <c r="L331" s="399" t="s">
        <v>34</v>
      </c>
      <c r="M331" s="399">
        <v>20</v>
      </c>
      <c r="N331" s="356">
        <v>364000</v>
      </c>
      <c r="O331" s="28" t="b">
        <f t="shared" si="34"/>
        <v>1</v>
      </c>
    </row>
    <row r="332" spans="2:15" s="28" customFormat="1" ht="16.5" customHeight="1">
      <c r="B332" s="20"/>
      <c r="C332" s="20"/>
      <c r="D332" s="254"/>
      <c r="E332" s="379">
        <v>139118</v>
      </c>
      <c r="F332" s="395" t="s">
        <v>609</v>
      </c>
      <c r="G332" s="396"/>
      <c r="H332" s="397"/>
      <c r="I332" s="383">
        <v>952000</v>
      </c>
      <c r="J332" s="398">
        <v>139118</v>
      </c>
      <c r="K332" s="399" t="s">
        <v>71</v>
      </c>
      <c r="L332" s="399" t="s">
        <v>34</v>
      </c>
      <c r="M332" s="399">
        <v>200</v>
      </c>
      <c r="N332" s="356">
        <v>952000</v>
      </c>
      <c r="O332" s="28" t="b">
        <f t="shared" si="34"/>
        <v>1</v>
      </c>
    </row>
    <row r="333" spans="2:15" s="28" customFormat="1" ht="16.5" customHeight="1">
      <c r="B333" s="20"/>
      <c r="C333" s="20"/>
      <c r="D333" s="254"/>
      <c r="E333" s="379">
        <v>139121</v>
      </c>
      <c r="F333" s="395" t="s">
        <v>610</v>
      </c>
      <c r="G333" s="396"/>
      <c r="H333" s="397"/>
      <c r="I333" s="383">
        <v>952000</v>
      </c>
      <c r="J333" s="398">
        <v>139121</v>
      </c>
      <c r="K333" s="399" t="s">
        <v>71</v>
      </c>
      <c r="L333" s="399" t="s">
        <v>34</v>
      </c>
      <c r="M333" s="399">
        <v>200</v>
      </c>
      <c r="N333" s="356">
        <v>952000</v>
      </c>
      <c r="O333" s="28" t="b">
        <f t="shared" si="34"/>
        <v>1</v>
      </c>
    </row>
    <row r="334" spans="2:15" s="28" customFormat="1" ht="16.5" customHeight="1">
      <c r="B334" s="20"/>
      <c r="C334" s="20"/>
      <c r="D334" s="254"/>
      <c r="E334" s="379">
        <v>139123</v>
      </c>
      <c r="F334" s="395" t="s">
        <v>611</v>
      </c>
      <c r="G334" s="396"/>
      <c r="H334" s="397"/>
      <c r="I334" s="383">
        <v>952000</v>
      </c>
      <c r="J334" s="398">
        <v>139123</v>
      </c>
      <c r="K334" s="399" t="s">
        <v>71</v>
      </c>
      <c r="L334" s="399" t="s">
        <v>34</v>
      </c>
      <c r="M334" s="399">
        <v>200</v>
      </c>
      <c r="N334" s="356">
        <v>952000</v>
      </c>
      <c r="O334" s="28" t="b">
        <f t="shared" si="34"/>
        <v>1</v>
      </c>
    </row>
    <row r="335" spans="2:15" s="28" customFormat="1" ht="16.5" customHeight="1">
      <c r="B335" s="20"/>
      <c r="C335" s="20"/>
      <c r="D335" s="254"/>
      <c r="E335" s="379">
        <v>139125</v>
      </c>
      <c r="F335" s="395" t="s">
        <v>612</v>
      </c>
      <c r="G335" s="396"/>
      <c r="H335" s="397"/>
      <c r="I335" s="383">
        <v>618000</v>
      </c>
      <c r="J335" s="398">
        <v>139125</v>
      </c>
      <c r="K335" s="399" t="s">
        <v>71</v>
      </c>
      <c r="L335" s="399" t="s">
        <v>34</v>
      </c>
      <c r="M335" s="399">
        <v>200</v>
      </c>
      <c r="N335" s="356">
        <v>618000</v>
      </c>
      <c r="O335" s="28" t="b">
        <f t="shared" si="34"/>
        <v>1</v>
      </c>
    </row>
    <row r="336" spans="2:15" s="28" customFormat="1" ht="16.5" customHeight="1">
      <c r="B336" s="20"/>
      <c r="C336" s="20"/>
      <c r="D336" s="254"/>
      <c r="E336" s="379">
        <v>139127</v>
      </c>
      <c r="F336" s="395" t="s">
        <v>244</v>
      </c>
      <c r="G336" s="396"/>
      <c r="H336" s="397"/>
      <c r="I336" s="383">
        <v>71000</v>
      </c>
      <c r="J336" s="398">
        <v>139127</v>
      </c>
      <c r="K336" s="399" t="s">
        <v>70</v>
      </c>
      <c r="L336" s="399" t="s">
        <v>34</v>
      </c>
      <c r="M336" s="399">
        <v>20</v>
      </c>
      <c r="N336" s="356">
        <v>71000</v>
      </c>
      <c r="O336" s="28" t="b">
        <f t="shared" si="34"/>
        <v>1</v>
      </c>
    </row>
    <row r="337" spans="2:15" s="28" customFormat="1" ht="16.5" customHeight="1">
      <c r="B337" s="20"/>
      <c r="C337" s="20"/>
      <c r="D337" s="254"/>
      <c r="E337" s="379">
        <v>139128</v>
      </c>
      <c r="F337" s="395" t="s">
        <v>613</v>
      </c>
      <c r="G337" s="396"/>
      <c r="H337" s="397"/>
      <c r="I337" s="383">
        <v>607000</v>
      </c>
      <c r="J337" s="398">
        <v>139128</v>
      </c>
      <c r="K337" s="399" t="s">
        <v>71</v>
      </c>
      <c r="L337" s="399" t="s">
        <v>34</v>
      </c>
      <c r="M337" s="399">
        <v>200</v>
      </c>
      <c r="N337" s="356">
        <v>607000</v>
      </c>
      <c r="O337" s="28" t="b">
        <f t="shared" si="34"/>
        <v>1</v>
      </c>
    </row>
    <row r="338" spans="2:15" s="28" customFormat="1" ht="16.5" customHeight="1">
      <c r="B338" s="20"/>
      <c r="C338" s="20"/>
      <c r="D338" s="254"/>
      <c r="E338" s="379">
        <v>139129</v>
      </c>
      <c r="F338" s="395" t="s">
        <v>245</v>
      </c>
      <c r="G338" s="396"/>
      <c r="H338" s="397"/>
      <c r="I338" s="383">
        <v>69800</v>
      </c>
      <c r="J338" s="398">
        <v>139129</v>
      </c>
      <c r="K338" s="399" t="s">
        <v>70</v>
      </c>
      <c r="L338" s="399" t="s">
        <v>34</v>
      </c>
      <c r="M338" s="399">
        <v>20</v>
      </c>
      <c r="N338" s="356">
        <v>69800</v>
      </c>
      <c r="O338" s="28" t="b">
        <f t="shared" si="34"/>
        <v>1</v>
      </c>
    </row>
    <row r="339" spans="2:15" s="28" customFormat="1" ht="16.5" customHeight="1">
      <c r="B339" s="20"/>
      <c r="C339" s="20"/>
      <c r="D339" s="254"/>
      <c r="E339" s="379">
        <v>139130</v>
      </c>
      <c r="F339" s="395" t="s">
        <v>614</v>
      </c>
      <c r="G339" s="396"/>
      <c r="H339" s="397"/>
      <c r="I339" s="383">
        <v>623000</v>
      </c>
      <c r="J339" s="398">
        <v>139130</v>
      </c>
      <c r="K339" s="399" t="s">
        <v>71</v>
      </c>
      <c r="L339" s="399" t="s">
        <v>34</v>
      </c>
      <c r="M339" s="399">
        <v>200</v>
      </c>
      <c r="N339" s="356">
        <v>623000</v>
      </c>
      <c r="O339" s="28" t="b">
        <f t="shared" si="34"/>
        <v>1</v>
      </c>
    </row>
    <row r="340" spans="2:15" s="28" customFormat="1" ht="16.5" customHeight="1">
      <c r="B340" s="20"/>
      <c r="C340" s="20"/>
      <c r="D340" s="254"/>
      <c r="E340" s="379">
        <v>139131</v>
      </c>
      <c r="F340" s="395" t="s">
        <v>237</v>
      </c>
      <c r="G340" s="396"/>
      <c r="H340" s="397"/>
      <c r="I340" s="383">
        <v>74600</v>
      </c>
      <c r="J340" s="398">
        <v>139131</v>
      </c>
      <c r="K340" s="399" t="s">
        <v>70</v>
      </c>
      <c r="L340" s="399" t="s">
        <v>34</v>
      </c>
      <c r="M340" s="399">
        <v>20</v>
      </c>
      <c r="N340" s="356">
        <v>74600</v>
      </c>
      <c r="O340" s="28" t="b">
        <f t="shared" si="34"/>
        <v>1</v>
      </c>
    </row>
    <row r="341" spans="2:15" s="28" customFormat="1" ht="16.5" customHeight="1">
      <c r="B341" s="20"/>
      <c r="C341" s="20"/>
      <c r="D341" s="254"/>
      <c r="E341" s="379">
        <v>139132</v>
      </c>
      <c r="F341" s="395" t="s">
        <v>615</v>
      </c>
      <c r="G341" s="396"/>
      <c r="H341" s="397"/>
      <c r="I341" s="383">
        <v>623000</v>
      </c>
      <c r="J341" s="398">
        <v>139132</v>
      </c>
      <c r="K341" s="399" t="s">
        <v>71</v>
      </c>
      <c r="L341" s="399" t="s">
        <v>34</v>
      </c>
      <c r="M341" s="399">
        <v>200</v>
      </c>
      <c r="N341" s="356">
        <v>623000</v>
      </c>
      <c r="O341" s="28" t="b">
        <f t="shared" si="34"/>
        <v>1</v>
      </c>
    </row>
    <row r="342" spans="2:15" s="28" customFormat="1" ht="16.5" customHeight="1">
      <c r="B342" s="20"/>
      <c r="C342" s="20"/>
      <c r="D342" s="254"/>
      <c r="E342" s="379">
        <v>139134</v>
      </c>
      <c r="F342" s="395" t="s">
        <v>227</v>
      </c>
      <c r="G342" s="396"/>
      <c r="H342" s="397"/>
      <c r="I342" s="383">
        <v>70900</v>
      </c>
      <c r="J342" s="398">
        <v>139134</v>
      </c>
      <c r="K342" s="399" t="s">
        <v>70</v>
      </c>
      <c r="L342" s="399" t="s">
        <v>34</v>
      </c>
      <c r="M342" s="399">
        <v>20</v>
      </c>
      <c r="N342" s="356">
        <v>70900</v>
      </c>
      <c r="O342" s="28" t="b">
        <f t="shared" si="34"/>
        <v>1</v>
      </c>
    </row>
    <row r="343" spans="2:15" s="28" customFormat="1" ht="16.5" customHeight="1">
      <c r="B343" s="20"/>
      <c r="C343" s="20"/>
      <c r="D343" s="254"/>
      <c r="E343" s="379">
        <v>139135</v>
      </c>
      <c r="F343" s="395" t="s">
        <v>616</v>
      </c>
      <c r="G343" s="396"/>
      <c r="H343" s="397"/>
      <c r="I343" s="383">
        <v>641000</v>
      </c>
      <c r="J343" s="398">
        <v>139135</v>
      </c>
      <c r="K343" s="399" t="s">
        <v>71</v>
      </c>
      <c r="L343" s="399" t="s">
        <v>34</v>
      </c>
      <c r="M343" s="399">
        <v>200</v>
      </c>
      <c r="N343" s="356">
        <v>641000</v>
      </c>
      <c r="O343" s="28" t="b">
        <f t="shared" si="34"/>
        <v>1</v>
      </c>
    </row>
    <row r="344" spans="2:15" s="28" customFormat="1" ht="16.5" customHeight="1">
      <c r="B344" s="20"/>
      <c r="C344" s="20"/>
      <c r="D344" s="254"/>
      <c r="E344" s="379">
        <v>139137</v>
      </c>
      <c r="F344" s="395" t="s">
        <v>246</v>
      </c>
      <c r="G344" s="396"/>
      <c r="H344" s="397"/>
      <c r="I344" s="383">
        <v>80900</v>
      </c>
      <c r="J344" s="398">
        <v>139137</v>
      </c>
      <c r="K344" s="399" t="s">
        <v>70</v>
      </c>
      <c r="L344" s="399" t="s">
        <v>34</v>
      </c>
      <c r="M344" s="399">
        <v>20</v>
      </c>
      <c r="N344" s="356">
        <v>80900</v>
      </c>
      <c r="O344" s="28" t="b">
        <f t="shared" si="34"/>
        <v>1</v>
      </c>
    </row>
    <row r="345" spans="2:15" s="28" customFormat="1" ht="16.5" customHeight="1">
      <c r="B345" s="20"/>
      <c r="C345" s="20"/>
      <c r="D345" s="254"/>
      <c r="E345" s="379">
        <v>139138</v>
      </c>
      <c r="F345" s="395" t="s">
        <v>617</v>
      </c>
      <c r="G345" s="396"/>
      <c r="H345" s="397"/>
      <c r="I345" s="383">
        <v>740000</v>
      </c>
      <c r="J345" s="398">
        <v>139138</v>
      </c>
      <c r="K345" s="399" t="s">
        <v>71</v>
      </c>
      <c r="L345" s="399" t="s">
        <v>34</v>
      </c>
      <c r="M345" s="399">
        <v>200</v>
      </c>
      <c r="N345" s="356">
        <v>740000</v>
      </c>
      <c r="O345" s="28" t="b">
        <f t="shared" si="34"/>
        <v>1</v>
      </c>
    </row>
    <row r="346" spans="2:15" s="28" customFormat="1" ht="16.5" customHeight="1">
      <c r="B346" s="20"/>
      <c r="C346" s="20"/>
      <c r="D346" s="254"/>
      <c r="E346" s="379">
        <v>139139</v>
      </c>
      <c r="F346" s="395" t="s">
        <v>247</v>
      </c>
      <c r="G346" s="396"/>
      <c r="H346" s="397"/>
      <c r="I346" s="383">
        <v>80900</v>
      </c>
      <c r="J346" s="398">
        <v>139139</v>
      </c>
      <c r="K346" s="399" t="s">
        <v>70</v>
      </c>
      <c r="L346" s="399" t="s">
        <v>34</v>
      </c>
      <c r="M346" s="399">
        <v>20</v>
      </c>
      <c r="N346" s="356">
        <v>80900</v>
      </c>
      <c r="O346" s="28" t="b">
        <f t="shared" si="34"/>
        <v>1</v>
      </c>
    </row>
    <row r="347" spans="2:15" s="28" customFormat="1" ht="16.5" customHeight="1">
      <c r="B347" s="20"/>
      <c r="C347" s="20"/>
      <c r="D347" s="254"/>
      <c r="E347" s="379">
        <v>139140</v>
      </c>
      <c r="F347" s="395" t="s">
        <v>618</v>
      </c>
      <c r="G347" s="396"/>
      <c r="H347" s="397"/>
      <c r="I347" s="383">
        <v>750000</v>
      </c>
      <c r="J347" s="398">
        <v>139140</v>
      </c>
      <c r="K347" s="399" t="s">
        <v>71</v>
      </c>
      <c r="L347" s="399" t="s">
        <v>34</v>
      </c>
      <c r="M347" s="399">
        <v>200</v>
      </c>
      <c r="N347" s="356">
        <v>750000</v>
      </c>
      <c r="O347" s="28" t="b">
        <f t="shared" si="34"/>
        <v>1</v>
      </c>
    </row>
    <row r="348" spans="2:15" s="28" customFormat="1" ht="16.5" customHeight="1">
      <c r="B348" s="20"/>
      <c r="C348" s="20"/>
      <c r="D348" s="254"/>
      <c r="E348" s="379">
        <v>139141</v>
      </c>
      <c r="F348" s="395" t="s">
        <v>345</v>
      </c>
      <c r="G348" s="396"/>
      <c r="H348" s="397"/>
      <c r="I348" s="383">
        <v>87100</v>
      </c>
      <c r="J348" s="398">
        <v>139141</v>
      </c>
      <c r="K348" s="399" t="s">
        <v>70</v>
      </c>
      <c r="L348" s="399" t="s">
        <v>34</v>
      </c>
      <c r="M348" s="399">
        <v>20</v>
      </c>
      <c r="N348" s="356">
        <v>87100</v>
      </c>
      <c r="O348" s="28" t="b">
        <f t="shared" ref="O348:O411" si="35">I348=N348</f>
        <v>1</v>
      </c>
    </row>
    <row r="349" spans="2:15" s="28" customFormat="1" ht="16.5" customHeight="1">
      <c r="B349" s="20"/>
      <c r="C349" s="20"/>
      <c r="D349" s="254"/>
      <c r="E349" s="379">
        <v>139142</v>
      </c>
      <c r="F349" s="395" t="s">
        <v>619</v>
      </c>
      <c r="G349" s="396"/>
      <c r="H349" s="397"/>
      <c r="I349" s="383">
        <v>423000</v>
      </c>
      <c r="J349" s="398">
        <v>139142</v>
      </c>
      <c r="K349" s="399" t="s">
        <v>71</v>
      </c>
      <c r="L349" s="399" t="s">
        <v>34</v>
      </c>
      <c r="M349" s="399">
        <v>200</v>
      </c>
      <c r="N349" s="356">
        <v>423000</v>
      </c>
      <c r="O349" s="28" t="b">
        <f t="shared" si="35"/>
        <v>1</v>
      </c>
    </row>
    <row r="350" spans="2:15" s="28" customFormat="1" ht="16.5" customHeight="1">
      <c r="B350" s="20"/>
      <c r="C350" s="20"/>
      <c r="D350" s="254"/>
      <c r="E350" s="379">
        <v>139143</v>
      </c>
      <c r="F350" s="395" t="s">
        <v>248</v>
      </c>
      <c r="G350" s="396"/>
      <c r="H350" s="397"/>
      <c r="I350" s="383">
        <v>44000</v>
      </c>
      <c r="J350" s="398">
        <v>139143</v>
      </c>
      <c r="K350" s="399" t="s">
        <v>70</v>
      </c>
      <c r="L350" s="399" t="s">
        <v>34</v>
      </c>
      <c r="M350" s="399">
        <v>20</v>
      </c>
      <c r="N350" s="356">
        <v>44000</v>
      </c>
      <c r="O350" s="28" t="b">
        <f t="shared" si="35"/>
        <v>1</v>
      </c>
    </row>
    <row r="351" spans="2:15" s="28" customFormat="1" ht="16.5" customHeight="1">
      <c r="B351" s="20"/>
      <c r="C351" s="20"/>
      <c r="D351" s="254"/>
      <c r="E351" s="379">
        <v>139144</v>
      </c>
      <c r="F351" s="395" t="s">
        <v>620</v>
      </c>
      <c r="G351" s="396"/>
      <c r="H351" s="397"/>
      <c r="I351" s="383">
        <v>423000</v>
      </c>
      <c r="J351" s="398">
        <v>139144</v>
      </c>
      <c r="K351" s="399" t="s">
        <v>71</v>
      </c>
      <c r="L351" s="399" t="s">
        <v>34</v>
      </c>
      <c r="M351" s="399">
        <v>200</v>
      </c>
      <c r="N351" s="356">
        <v>423000</v>
      </c>
      <c r="O351" s="28" t="b">
        <f t="shared" si="35"/>
        <v>1</v>
      </c>
    </row>
    <row r="352" spans="2:15" s="28" customFormat="1" ht="16.5" customHeight="1">
      <c r="B352" s="20"/>
      <c r="C352" s="20"/>
      <c r="D352" s="254"/>
      <c r="E352" s="379">
        <v>139145</v>
      </c>
      <c r="F352" s="395" t="s">
        <v>228</v>
      </c>
      <c r="G352" s="396"/>
      <c r="H352" s="397"/>
      <c r="I352" s="383">
        <v>44000</v>
      </c>
      <c r="J352" s="398">
        <v>139145</v>
      </c>
      <c r="K352" s="399" t="s">
        <v>70</v>
      </c>
      <c r="L352" s="399" t="s">
        <v>34</v>
      </c>
      <c r="M352" s="399">
        <v>20</v>
      </c>
      <c r="N352" s="356">
        <v>44000</v>
      </c>
      <c r="O352" s="28" t="b">
        <f t="shared" si="35"/>
        <v>1</v>
      </c>
    </row>
    <row r="353" spans="2:15" s="28" customFormat="1" ht="16.5" customHeight="1">
      <c r="B353" s="20"/>
      <c r="C353" s="20"/>
      <c r="D353" s="254"/>
      <c r="E353" s="379">
        <v>139146</v>
      </c>
      <c r="F353" s="395" t="s">
        <v>621</v>
      </c>
      <c r="G353" s="396"/>
      <c r="H353" s="397"/>
      <c r="I353" s="383">
        <v>455000</v>
      </c>
      <c r="J353" s="398">
        <v>139146</v>
      </c>
      <c r="K353" s="399" t="s">
        <v>71</v>
      </c>
      <c r="L353" s="399" t="s">
        <v>34</v>
      </c>
      <c r="M353" s="399">
        <v>200</v>
      </c>
      <c r="N353" s="356">
        <v>455000</v>
      </c>
      <c r="O353" s="28" t="b">
        <f t="shared" si="35"/>
        <v>1</v>
      </c>
    </row>
    <row r="354" spans="2:15" s="28" customFormat="1" ht="16.5" customHeight="1">
      <c r="B354" s="20"/>
      <c r="C354" s="20"/>
      <c r="D354" s="254"/>
      <c r="E354" s="379">
        <v>139147</v>
      </c>
      <c r="F354" s="395" t="s">
        <v>622</v>
      </c>
      <c r="G354" s="396"/>
      <c r="H354" s="397"/>
      <c r="I354" s="383">
        <v>475000</v>
      </c>
      <c r="J354" s="398">
        <v>139147</v>
      </c>
      <c r="K354" s="399" t="s">
        <v>71</v>
      </c>
      <c r="L354" s="399" t="s">
        <v>34</v>
      </c>
      <c r="M354" s="399">
        <v>200</v>
      </c>
      <c r="N354" s="356">
        <v>475000</v>
      </c>
      <c r="O354" s="28" t="b">
        <f t="shared" si="35"/>
        <v>1</v>
      </c>
    </row>
    <row r="355" spans="2:15" s="28" customFormat="1" ht="16.5" customHeight="1">
      <c r="B355" s="20"/>
      <c r="C355" s="20"/>
      <c r="D355" s="254"/>
      <c r="E355" s="379">
        <v>139148</v>
      </c>
      <c r="F355" s="395" t="s">
        <v>346</v>
      </c>
      <c r="G355" s="396"/>
      <c r="H355" s="397"/>
      <c r="I355" s="383">
        <v>50600</v>
      </c>
      <c r="J355" s="398">
        <v>139148</v>
      </c>
      <c r="K355" s="399" t="s">
        <v>70</v>
      </c>
      <c r="L355" s="399" t="s">
        <v>34</v>
      </c>
      <c r="M355" s="399">
        <v>20</v>
      </c>
      <c r="N355" s="356">
        <v>50600</v>
      </c>
      <c r="O355" s="28" t="b">
        <f t="shared" si="35"/>
        <v>1</v>
      </c>
    </row>
    <row r="356" spans="2:15" s="28" customFormat="1" ht="16.5" customHeight="1">
      <c r="B356" s="20"/>
      <c r="C356" s="20"/>
      <c r="D356" s="254"/>
      <c r="E356" s="379">
        <v>139149</v>
      </c>
      <c r="F356" s="395" t="s">
        <v>623</v>
      </c>
      <c r="G356" s="396"/>
      <c r="H356" s="397"/>
      <c r="I356" s="383">
        <v>539000</v>
      </c>
      <c r="J356" s="398">
        <v>139149</v>
      </c>
      <c r="K356" s="399" t="s">
        <v>71</v>
      </c>
      <c r="L356" s="399" t="s">
        <v>34</v>
      </c>
      <c r="M356" s="399">
        <v>200</v>
      </c>
      <c r="N356" s="356">
        <v>539000</v>
      </c>
      <c r="O356" s="28" t="b">
        <f t="shared" si="35"/>
        <v>1</v>
      </c>
    </row>
    <row r="357" spans="2:15" s="28" customFormat="1" ht="16.5" customHeight="1">
      <c r="B357" s="20"/>
      <c r="C357" s="20"/>
      <c r="D357" s="254"/>
      <c r="E357" s="379">
        <v>139150</v>
      </c>
      <c r="F357" s="395" t="s">
        <v>249</v>
      </c>
      <c r="G357" s="396"/>
      <c r="H357" s="397"/>
      <c r="I357" s="383">
        <v>56700</v>
      </c>
      <c r="J357" s="398">
        <v>139150</v>
      </c>
      <c r="K357" s="399" t="s">
        <v>70</v>
      </c>
      <c r="L357" s="399" t="s">
        <v>34</v>
      </c>
      <c r="M357" s="399">
        <v>20</v>
      </c>
      <c r="N357" s="356">
        <v>56700</v>
      </c>
      <c r="O357" s="28" t="b">
        <f t="shared" si="35"/>
        <v>1</v>
      </c>
    </row>
    <row r="358" spans="2:15" s="28" customFormat="1" ht="16.5" customHeight="1">
      <c r="B358" s="20"/>
      <c r="C358" s="20"/>
      <c r="D358" s="254"/>
      <c r="E358" s="379">
        <v>139151</v>
      </c>
      <c r="F358" s="395" t="s">
        <v>624</v>
      </c>
      <c r="G358" s="396"/>
      <c r="H358" s="397"/>
      <c r="I358" s="383">
        <v>539000</v>
      </c>
      <c r="J358" s="398">
        <v>139151</v>
      </c>
      <c r="K358" s="399" t="s">
        <v>71</v>
      </c>
      <c r="L358" s="399" t="s">
        <v>34</v>
      </c>
      <c r="M358" s="399">
        <v>200</v>
      </c>
      <c r="N358" s="356">
        <v>539000</v>
      </c>
      <c r="O358" s="28" t="b">
        <f t="shared" si="35"/>
        <v>1</v>
      </c>
    </row>
    <row r="359" spans="2:15" s="28" customFormat="1" ht="16.5" customHeight="1">
      <c r="B359" s="20"/>
      <c r="C359" s="20"/>
      <c r="D359" s="254"/>
      <c r="E359" s="379">
        <v>139152</v>
      </c>
      <c r="F359" s="395" t="s">
        <v>250</v>
      </c>
      <c r="G359" s="396"/>
      <c r="H359" s="397"/>
      <c r="I359" s="383">
        <v>56700</v>
      </c>
      <c r="J359" s="398">
        <v>139152</v>
      </c>
      <c r="K359" s="399" t="s">
        <v>70</v>
      </c>
      <c r="L359" s="399" t="s">
        <v>34</v>
      </c>
      <c r="M359" s="399">
        <v>20</v>
      </c>
      <c r="N359" s="356">
        <v>56700</v>
      </c>
      <c r="O359" s="28" t="b">
        <f t="shared" si="35"/>
        <v>1</v>
      </c>
    </row>
    <row r="360" spans="2:15" s="28" customFormat="1" ht="16.5" customHeight="1">
      <c r="B360" s="20"/>
      <c r="C360" s="20"/>
      <c r="D360" s="254"/>
      <c r="E360" s="379">
        <v>139153</v>
      </c>
      <c r="F360" s="395" t="s">
        <v>625</v>
      </c>
      <c r="G360" s="396"/>
      <c r="H360" s="397"/>
      <c r="I360" s="383">
        <v>580000</v>
      </c>
      <c r="J360" s="398">
        <v>139153</v>
      </c>
      <c r="K360" s="399" t="s">
        <v>71</v>
      </c>
      <c r="L360" s="399" t="s">
        <v>34</v>
      </c>
      <c r="M360" s="399">
        <v>200</v>
      </c>
      <c r="N360" s="356">
        <v>580000</v>
      </c>
      <c r="O360" s="28" t="b">
        <f t="shared" si="35"/>
        <v>1</v>
      </c>
    </row>
    <row r="361" spans="2:15" s="28" customFormat="1" ht="16.5" customHeight="1">
      <c r="B361" s="20"/>
      <c r="C361" s="20"/>
      <c r="D361" s="254"/>
      <c r="E361" s="379">
        <v>139154</v>
      </c>
      <c r="F361" s="395" t="s">
        <v>251</v>
      </c>
      <c r="G361" s="396"/>
      <c r="H361" s="397"/>
      <c r="I361" s="383">
        <v>60600</v>
      </c>
      <c r="J361" s="398">
        <v>139154</v>
      </c>
      <c r="K361" s="399" t="s">
        <v>70</v>
      </c>
      <c r="L361" s="399" t="s">
        <v>34</v>
      </c>
      <c r="M361" s="399">
        <v>20</v>
      </c>
      <c r="N361" s="356">
        <v>60600</v>
      </c>
      <c r="O361" s="28" t="b">
        <f t="shared" si="35"/>
        <v>1</v>
      </c>
    </row>
    <row r="362" spans="2:15" s="28" customFormat="1" ht="16.5" customHeight="1">
      <c r="B362" s="20"/>
      <c r="C362" s="20"/>
      <c r="D362" s="254"/>
      <c r="E362" s="379">
        <v>139155</v>
      </c>
      <c r="F362" s="395" t="s">
        <v>626</v>
      </c>
      <c r="G362" s="396"/>
      <c r="H362" s="397"/>
      <c r="I362" s="383">
        <v>610000</v>
      </c>
      <c r="J362" s="398">
        <v>139155</v>
      </c>
      <c r="K362" s="399" t="s">
        <v>71</v>
      </c>
      <c r="L362" s="399" t="s">
        <v>34</v>
      </c>
      <c r="M362" s="399">
        <v>200</v>
      </c>
      <c r="N362" s="356">
        <v>610000</v>
      </c>
      <c r="O362" s="28" t="b">
        <f t="shared" si="35"/>
        <v>1</v>
      </c>
    </row>
    <row r="363" spans="2:15" s="28" customFormat="1" ht="16.5" customHeight="1">
      <c r="B363" s="20"/>
      <c r="C363" s="20"/>
      <c r="D363" s="254"/>
      <c r="E363" s="379">
        <v>139156</v>
      </c>
      <c r="F363" s="395" t="s">
        <v>252</v>
      </c>
      <c r="G363" s="396"/>
      <c r="H363" s="397"/>
      <c r="I363" s="383">
        <v>64600</v>
      </c>
      <c r="J363" s="398">
        <v>139156</v>
      </c>
      <c r="K363" s="399" t="s">
        <v>70</v>
      </c>
      <c r="L363" s="399" t="s">
        <v>34</v>
      </c>
      <c r="M363" s="399">
        <v>20</v>
      </c>
      <c r="N363" s="356">
        <v>64600</v>
      </c>
      <c r="O363" s="28" t="b">
        <f t="shared" si="35"/>
        <v>1</v>
      </c>
    </row>
    <row r="364" spans="2:15" s="28" customFormat="1" ht="16.5" customHeight="1">
      <c r="B364" s="20"/>
      <c r="C364" s="20"/>
      <c r="D364" s="254"/>
      <c r="E364" s="379">
        <v>139158</v>
      </c>
      <c r="F364" s="395" t="s">
        <v>627</v>
      </c>
      <c r="G364" s="396"/>
      <c r="H364" s="397"/>
      <c r="I364" s="383">
        <v>636000</v>
      </c>
      <c r="J364" s="398">
        <v>139158</v>
      </c>
      <c r="K364" s="399" t="s">
        <v>71</v>
      </c>
      <c r="L364" s="399" t="s">
        <v>34</v>
      </c>
      <c r="M364" s="399">
        <v>200</v>
      </c>
      <c r="N364" s="356">
        <v>636000</v>
      </c>
      <c r="O364" s="28" t="b">
        <f t="shared" si="35"/>
        <v>1</v>
      </c>
    </row>
    <row r="365" spans="2:15" s="28" customFormat="1" ht="16.5" customHeight="1">
      <c r="B365" s="20"/>
      <c r="C365" s="20"/>
      <c r="D365" s="254"/>
      <c r="E365" s="379">
        <v>139160</v>
      </c>
      <c r="F365" s="395" t="s">
        <v>628</v>
      </c>
      <c r="G365" s="396"/>
      <c r="H365" s="397"/>
      <c r="I365" s="383">
        <v>683000</v>
      </c>
      <c r="J365" s="398">
        <v>139160</v>
      </c>
      <c r="K365" s="399" t="s">
        <v>71</v>
      </c>
      <c r="L365" s="399" t="s">
        <v>34</v>
      </c>
      <c r="M365" s="399">
        <v>200</v>
      </c>
      <c r="N365" s="356">
        <v>683000</v>
      </c>
      <c r="O365" s="28" t="b">
        <f t="shared" si="35"/>
        <v>1</v>
      </c>
    </row>
    <row r="366" spans="2:15" s="28" customFormat="1" ht="16.5" customHeight="1">
      <c r="B366" s="20"/>
      <c r="C366" s="20"/>
      <c r="D366" s="254"/>
      <c r="E366" s="379">
        <v>139161</v>
      </c>
      <c r="F366" s="395" t="s">
        <v>347</v>
      </c>
      <c r="G366" s="396"/>
      <c r="H366" s="397"/>
      <c r="I366" s="383">
        <v>80500</v>
      </c>
      <c r="J366" s="398">
        <v>139161</v>
      </c>
      <c r="K366" s="399" t="s">
        <v>70</v>
      </c>
      <c r="L366" s="399" t="s">
        <v>34</v>
      </c>
      <c r="M366" s="399">
        <v>20</v>
      </c>
      <c r="N366" s="356">
        <v>80500</v>
      </c>
      <c r="O366" s="28" t="b">
        <f t="shared" si="35"/>
        <v>1</v>
      </c>
    </row>
    <row r="367" spans="2:15" s="28" customFormat="1" ht="16.5" customHeight="1">
      <c r="B367" s="20"/>
      <c r="C367" s="20"/>
      <c r="D367" s="254"/>
      <c r="E367" s="379">
        <v>139163</v>
      </c>
      <c r="F367" s="395" t="s">
        <v>629</v>
      </c>
      <c r="G367" s="396"/>
      <c r="H367" s="397"/>
      <c r="I367" s="383">
        <v>763000</v>
      </c>
      <c r="J367" s="398">
        <v>139163</v>
      </c>
      <c r="K367" s="399" t="s">
        <v>71</v>
      </c>
      <c r="L367" s="399" t="s">
        <v>34</v>
      </c>
      <c r="M367" s="399">
        <v>200</v>
      </c>
      <c r="N367" s="356">
        <v>763000</v>
      </c>
      <c r="O367" s="28" t="b">
        <f t="shared" si="35"/>
        <v>1</v>
      </c>
    </row>
    <row r="368" spans="2:15" s="28" customFormat="1" ht="16.5" customHeight="1">
      <c r="B368" s="20"/>
      <c r="C368" s="20"/>
      <c r="D368" s="254"/>
      <c r="E368" s="379">
        <v>139164</v>
      </c>
      <c r="F368" s="395" t="s">
        <v>348</v>
      </c>
      <c r="G368" s="396"/>
      <c r="H368" s="397"/>
      <c r="I368" s="383">
        <v>80500</v>
      </c>
      <c r="J368" s="398">
        <v>139164</v>
      </c>
      <c r="K368" s="399" t="s">
        <v>70</v>
      </c>
      <c r="L368" s="399" t="s">
        <v>34</v>
      </c>
      <c r="M368" s="399">
        <v>20</v>
      </c>
      <c r="N368" s="356">
        <v>80500</v>
      </c>
      <c r="O368" s="28" t="b">
        <f t="shared" si="35"/>
        <v>1</v>
      </c>
    </row>
    <row r="369" spans="2:15" s="28" customFormat="1" ht="16.5" customHeight="1">
      <c r="B369" s="20"/>
      <c r="C369" s="20"/>
      <c r="D369" s="254"/>
      <c r="E369" s="379">
        <v>139167</v>
      </c>
      <c r="F369" s="395" t="s">
        <v>630</v>
      </c>
      <c r="G369" s="396"/>
      <c r="H369" s="397"/>
      <c r="I369" s="383">
        <v>499000</v>
      </c>
      <c r="J369" s="398">
        <v>139167</v>
      </c>
      <c r="K369" s="399" t="s">
        <v>71</v>
      </c>
      <c r="L369" s="399" t="s">
        <v>34</v>
      </c>
      <c r="M369" s="399">
        <v>200</v>
      </c>
      <c r="N369" s="356">
        <v>499000</v>
      </c>
      <c r="O369" s="28" t="b">
        <f t="shared" si="35"/>
        <v>1</v>
      </c>
    </row>
    <row r="370" spans="2:15" s="28" customFormat="1" ht="16.5" customHeight="1">
      <c r="B370" s="20"/>
      <c r="C370" s="20"/>
      <c r="D370" s="254"/>
      <c r="E370" s="379">
        <v>140145</v>
      </c>
      <c r="F370" s="395" t="s">
        <v>46</v>
      </c>
      <c r="G370" s="396"/>
      <c r="H370" s="397"/>
      <c r="I370" s="383">
        <v>183000</v>
      </c>
      <c r="J370" s="398">
        <v>140145</v>
      </c>
      <c r="K370" s="399" t="s">
        <v>70</v>
      </c>
      <c r="L370" s="399" t="s">
        <v>34</v>
      </c>
      <c r="M370" s="399">
        <v>16</v>
      </c>
      <c r="N370" s="356">
        <v>183000</v>
      </c>
      <c r="O370" s="28" t="b">
        <f t="shared" si="35"/>
        <v>1</v>
      </c>
    </row>
    <row r="371" spans="2:15" s="28" customFormat="1" ht="16.5" customHeight="1">
      <c r="B371" s="20"/>
      <c r="C371" s="20"/>
      <c r="D371" s="254"/>
      <c r="E371" s="379">
        <v>139600</v>
      </c>
      <c r="F371" s="395" t="s">
        <v>767</v>
      </c>
      <c r="G371" s="396"/>
      <c r="H371" s="397"/>
      <c r="I371" s="383">
        <v>482000</v>
      </c>
      <c r="J371" s="398">
        <v>139600</v>
      </c>
      <c r="K371" s="399" t="s">
        <v>70</v>
      </c>
      <c r="L371" s="399" t="s">
        <v>34</v>
      </c>
      <c r="M371" s="399">
        <v>20</v>
      </c>
      <c r="N371" s="356">
        <v>482000</v>
      </c>
      <c r="O371" s="28" t="b">
        <f t="shared" si="35"/>
        <v>1</v>
      </c>
    </row>
    <row r="372" spans="2:15" s="28" customFormat="1" ht="16.5" customHeight="1">
      <c r="B372" s="20"/>
      <c r="C372" s="20"/>
      <c r="D372" s="254"/>
      <c r="E372" s="379">
        <v>139639</v>
      </c>
      <c r="F372" s="395" t="s">
        <v>353</v>
      </c>
      <c r="G372" s="396"/>
      <c r="H372" s="397"/>
      <c r="I372" s="383">
        <v>94100</v>
      </c>
      <c r="J372" s="398">
        <v>139639</v>
      </c>
      <c r="K372" s="399" t="s">
        <v>70</v>
      </c>
      <c r="L372" s="399" t="s">
        <v>34</v>
      </c>
      <c r="M372" s="399">
        <v>20</v>
      </c>
      <c r="N372" s="356">
        <v>94100</v>
      </c>
      <c r="O372" s="28" t="b">
        <f t="shared" si="35"/>
        <v>1</v>
      </c>
    </row>
    <row r="373" spans="2:15" s="28" customFormat="1" ht="16.5" customHeight="1">
      <c r="B373" s="20"/>
      <c r="C373" s="20"/>
      <c r="D373" s="254"/>
      <c r="E373" s="379">
        <v>139643</v>
      </c>
      <c r="F373" s="395" t="s">
        <v>354</v>
      </c>
      <c r="G373" s="396"/>
      <c r="H373" s="397"/>
      <c r="I373" s="383">
        <v>79200</v>
      </c>
      <c r="J373" s="398">
        <v>139643</v>
      </c>
      <c r="K373" s="399" t="s">
        <v>70</v>
      </c>
      <c r="L373" s="399" t="s">
        <v>34</v>
      </c>
      <c r="M373" s="399">
        <v>20</v>
      </c>
      <c r="N373" s="356">
        <v>79200</v>
      </c>
      <c r="O373" s="28" t="b">
        <f t="shared" si="35"/>
        <v>1</v>
      </c>
    </row>
    <row r="374" spans="2:15" s="28" customFormat="1" ht="16.5" customHeight="1">
      <c r="B374" s="20"/>
      <c r="C374" s="20"/>
      <c r="D374" s="254"/>
      <c r="E374" s="379">
        <v>148679</v>
      </c>
      <c r="F374" s="395" t="s">
        <v>421</v>
      </c>
      <c r="G374" s="396"/>
      <c r="H374" s="397"/>
      <c r="I374" s="383">
        <v>645000</v>
      </c>
      <c r="J374" s="398">
        <v>148679</v>
      </c>
      <c r="K374" s="399" t="s">
        <v>71</v>
      </c>
      <c r="L374" s="399" t="s">
        <v>34</v>
      </c>
      <c r="M374" s="399">
        <v>208</v>
      </c>
      <c r="N374" s="356">
        <v>645000</v>
      </c>
      <c r="O374" s="28" t="b">
        <f t="shared" si="35"/>
        <v>1</v>
      </c>
    </row>
    <row r="375" spans="2:15" s="28" customFormat="1" ht="16.5" customHeight="1">
      <c r="B375" s="20"/>
      <c r="C375" s="20"/>
      <c r="D375" s="254"/>
      <c r="E375" s="379">
        <v>141825</v>
      </c>
      <c r="F375" s="395" t="s">
        <v>641</v>
      </c>
      <c r="G375" s="396"/>
      <c r="H375" s="397"/>
      <c r="I375" s="383">
        <v>2660000</v>
      </c>
      <c r="J375" s="398">
        <v>141825</v>
      </c>
      <c r="K375" s="399" t="s">
        <v>71</v>
      </c>
      <c r="L375" s="399" t="s">
        <v>34</v>
      </c>
      <c r="M375" s="399">
        <v>208</v>
      </c>
      <c r="N375" s="356">
        <v>2660000</v>
      </c>
      <c r="O375" s="28" t="b">
        <f t="shared" si="35"/>
        <v>1</v>
      </c>
    </row>
    <row r="376" spans="2:15" s="28" customFormat="1" ht="16.5" customHeight="1">
      <c r="B376" s="20"/>
      <c r="C376" s="20"/>
      <c r="D376" s="254"/>
      <c r="E376" s="379">
        <v>139819</v>
      </c>
      <c r="F376" s="395" t="s">
        <v>642</v>
      </c>
      <c r="G376" s="396"/>
      <c r="H376" s="397"/>
      <c r="I376" s="383">
        <v>2692000</v>
      </c>
      <c r="J376" s="398">
        <v>139819</v>
      </c>
      <c r="K376" s="399" t="s">
        <v>71</v>
      </c>
      <c r="L376" s="399" t="s">
        <v>34</v>
      </c>
      <c r="M376" s="399">
        <v>208</v>
      </c>
      <c r="N376" s="356">
        <v>2692000</v>
      </c>
      <c r="O376" s="28" t="b">
        <f t="shared" si="35"/>
        <v>1</v>
      </c>
    </row>
    <row r="377" spans="2:15" s="28" customFormat="1" ht="16.5" customHeight="1">
      <c r="B377" s="20"/>
      <c r="C377" s="20"/>
      <c r="D377" s="254"/>
      <c r="E377" s="379">
        <v>139821</v>
      </c>
      <c r="F377" s="395" t="s">
        <v>643</v>
      </c>
      <c r="G377" s="396"/>
      <c r="H377" s="397"/>
      <c r="I377" s="383">
        <v>3429000</v>
      </c>
      <c r="J377" s="398">
        <v>139821</v>
      </c>
      <c r="K377" s="399" t="s">
        <v>71</v>
      </c>
      <c r="L377" s="399" t="s">
        <v>34</v>
      </c>
      <c r="M377" s="399">
        <v>208</v>
      </c>
      <c r="N377" s="356">
        <v>3429000</v>
      </c>
      <c r="O377" s="28" t="b">
        <f t="shared" si="35"/>
        <v>1</v>
      </c>
    </row>
    <row r="378" spans="2:15" s="28" customFormat="1" ht="16.5" customHeight="1">
      <c r="B378" s="20"/>
      <c r="C378" s="20"/>
      <c r="D378" s="254"/>
      <c r="E378" s="379">
        <v>143919</v>
      </c>
      <c r="F378" s="395" t="s">
        <v>863</v>
      </c>
      <c r="G378" s="396"/>
      <c r="H378" s="397"/>
      <c r="I378" s="383">
        <v>64000</v>
      </c>
      <c r="J378" s="398">
        <v>143919</v>
      </c>
      <c r="K378" s="399" t="s">
        <v>73</v>
      </c>
      <c r="L378" s="399" t="s">
        <v>34</v>
      </c>
      <c r="M378" s="399">
        <v>4.68</v>
      </c>
      <c r="N378" s="356">
        <v>64000</v>
      </c>
      <c r="O378" s="28" t="b">
        <f t="shared" si="35"/>
        <v>1</v>
      </c>
    </row>
    <row r="379" spans="2:15" s="28" customFormat="1" ht="16.5" customHeight="1">
      <c r="B379" s="20"/>
      <c r="C379" s="20"/>
      <c r="D379" s="254"/>
      <c r="E379" s="379">
        <v>141840</v>
      </c>
      <c r="F379" s="395" t="s">
        <v>358</v>
      </c>
      <c r="G379" s="396"/>
      <c r="H379" s="397"/>
      <c r="I379" s="383">
        <v>270000</v>
      </c>
      <c r="J379" s="398">
        <v>141840</v>
      </c>
      <c r="K379" s="399" t="s">
        <v>70</v>
      </c>
      <c r="L379" s="399" t="s">
        <v>34</v>
      </c>
      <c r="M379" s="399">
        <v>20</v>
      </c>
      <c r="N379" s="356">
        <v>270000</v>
      </c>
      <c r="O379" s="28" t="b">
        <f t="shared" si="35"/>
        <v>1</v>
      </c>
    </row>
    <row r="380" spans="2:15" s="28" customFormat="1" ht="16.5" customHeight="1">
      <c r="B380" s="20"/>
      <c r="C380" s="20"/>
      <c r="D380" s="254"/>
      <c r="E380" s="379">
        <v>139962</v>
      </c>
      <c r="F380" s="395" t="s">
        <v>359</v>
      </c>
      <c r="G380" s="396"/>
      <c r="H380" s="397"/>
      <c r="I380" s="383">
        <v>255000</v>
      </c>
      <c r="J380" s="398">
        <v>139962</v>
      </c>
      <c r="K380" s="399" t="s">
        <v>70</v>
      </c>
      <c r="L380" s="399" t="s">
        <v>34</v>
      </c>
      <c r="M380" s="399">
        <v>20</v>
      </c>
      <c r="N380" s="356">
        <v>255000</v>
      </c>
      <c r="O380" s="28" t="b">
        <f t="shared" si="35"/>
        <v>1</v>
      </c>
    </row>
    <row r="381" spans="2:15" s="28" customFormat="1" ht="16.5" customHeight="1">
      <c r="B381" s="20"/>
      <c r="C381" s="20"/>
      <c r="D381" s="254"/>
      <c r="E381" s="379">
        <v>139963</v>
      </c>
      <c r="F381" s="395" t="s">
        <v>360</v>
      </c>
      <c r="G381" s="396"/>
      <c r="H381" s="397"/>
      <c r="I381" s="383">
        <v>271000</v>
      </c>
      <c r="J381" s="398">
        <v>139963</v>
      </c>
      <c r="K381" s="399" t="s">
        <v>70</v>
      </c>
      <c r="L381" s="399" t="s">
        <v>34</v>
      </c>
      <c r="M381" s="399">
        <v>20</v>
      </c>
      <c r="N381" s="356">
        <v>271000</v>
      </c>
      <c r="O381" s="28" t="b">
        <f t="shared" si="35"/>
        <v>1</v>
      </c>
    </row>
    <row r="382" spans="2:15" s="28" customFormat="1" ht="16.5" customHeight="1">
      <c r="B382" s="20"/>
      <c r="C382" s="20"/>
      <c r="D382" s="254"/>
      <c r="E382" s="379">
        <v>140058</v>
      </c>
      <c r="F382" s="395" t="s">
        <v>645</v>
      </c>
      <c r="G382" s="396"/>
      <c r="H382" s="397"/>
      <c r="I382" s="383">
        <v>520000</v>
      </c>
      <c r="J382" s="398">
        <v>140058</v>
      </c>
      <c r="K382" s="399" t="s">
        <v>71</v>
      </c>
      <c r="L382" s="399" t="s">
        <v>34</v>
      </c>
      <c r="M382" s="399">
        <v>200</v>
      </c>
      <c r="N382" s="356">
        <v>520000</v>
      </c>
      <c r="O382" s="28" t="b">
        <f t="shared" si="35"/>
        <v>1</v>
      </c>
    </row>
    <row r="383" spans="2:15" s="28" customFormat="1" ht="16.5" customHeight="1">
      <c r="B383" s="20"/>
      <c r="C383" s="20"/>
      <c r="D383" s="254"/>
      <c r="E383" s="379">
        <v>140059</v>
      </c>
      <c r="F383" s="395" t="s">
        <v>361</v>
      </c>
      <c r="G383" s="396"/>
      <c r="H383" s="397"/>
      <c r="I383" s="383">
        <v>54000</v>
      </c>
      <c r="J383" s="398">
        <v>140059</v>
      </c>
      <c r="K383" s="399" t="s">
        <v>70</v>
      </c>
      <c r="L383" s="399" t="s">
        <v>34</v>
      </c>
      <c r="M383" s="399">
        <v>20</v>
      </c>
      <c r="N383" s="356">
        <v>54000</v>
      </c>
      <c r="O383" s="28" t="b">
        <f t="shared" si="35"/>
        <v>1</v>
      </c>
    </row>
    <row r="384" spans="2:15" s="28" customFormat="1" ht="16.5" customHeight="1">
      <c r="B384" s="20"/>
      <c r="C384" s="20"/>
      <c r="D384" s="254"/>
      <c r="E384" s="379">
        <v>140107</v>
      </c>
      <c r="F384" s="395" t="s">
        <v>646</v>
      </c>
      <c r="G384" s="396"/>
      <c r="H384" s="397"/>
      <c r="I384" s="383">
        <v>3193000</v>
      </c>
      <c r="J384" s="398">
        <v>140107</v>
      </c>
      <c r="K384" s="399" t="s">
        <v>71</v>
      </c>
      <c r="L384" s="399" t="s">
        <v>34</v>
      </c>
      <c r="M384" s="399">
        <v>193.8</v>
      </c>
      <c r="N384" s="356">
        <v>3193000</v>
      </c>
      <c r="O384" s="28" t="b">
        <f t="shared" si="35"/>
        <v>1</v>
      </c>
    </row>
    <row r="385" spans="2:15" s="28" customFormat="1" ht="16.5" customHeight="1">
      <c r="B385" s="20"/>
      <c r="C385" s="20"/>
      <c r="D385" s="254"/>
      <c r="E385" s="379">
        <v>140108</v>
      </c>
      <c r="F385" s="395" t="s">
        <v>647</v>
      </c>
      <c r="G385" s="396"/>
      <c r="H385" s="397"/>
      <c r="I385" s="383">
        <v>3403000</v>
      </c>
      <c r="J385" s="398">
        <v>140108</v>
      </c>
      <c r="K385" s="399" t="s">
        <v>71</v>
      </c>
      <c r="L385" s="399" t="s">
        <v>34</v>
      </c>
      <c r="M385" s="399">
        <v>193.8</v>
      </c>
      <c r="N385" s="356">
        <v>3403000</v>
      </c>
      <c r="O385" s="28" t="b">
        <f t="shared" si="35"/>
        <v>1</v>
      </c>
    </row>
    <row r="386" spans="2:15" s="28" customFormat="1" ht="16.5" customHeight="1">
      <c r="B386" s="20"/>
      <c r="C386" s="20"/>
      <c r="D386" s="254"/>
      <c r="E386" s="379">
        <v>140109</v>
      </c>
      <c r="F386" s="395" t="s">
        <v>362</v>
      </c>
      <c r="G386" s="396"/>
      <c r="H386" s="397"/>
      <c r="I386" s="383">
        <v>320000</v>
      </c>
      <c r="J386" s="398">
        <v>140109</v>
      </c>
      <c r="K386" s="399" t="s">
        <v>70</v>
      </c>
      <c r="L386" s="399" t="s">
        <v>34</v>
      </c>
      <c r="M386" s="399">
        <v>17.457000000000001</v>
      </c>
      <c r="N386" s="356">
        <v>320000</v>
      </c>
      <c r="O386" s="28" t="b">
        <f t="shared" si="35"/>
        <v>1</v>
      </c>
    </row>
    <row r="387" spans="2:15" s="28" customFormat="1" ht="16.5" customHeight="1">
      <c r="B387" s="20"/>
      <c r="C387" s="20"/>
      <c r="D387" s="254"/>
      <c r="E387" s="379">
        <v>140110</v>
      </c>
      <c r="F387" s="395" t="s">
        <v>648</v>
      </c>
      <c r="G387" s="396"/>
      <c r="H387" s="397"/>
      <c r="I387" s="383">
        <v>3231000</v>
      </c>
      <c r="J387" s="398">
        <v>140110</v>
      </c>
      <c r="K387" s="399" t="s">
        <v>71</v>
      </c>
      <c r="L387" s="399" t="s">
        <v>34</v>
      </c>
      <c r="M387" s="399">
        <v>193.8</v>
      </c>
      <c r="N387" s="356">
        <v>3231000</v>
      </c>
      <c r="O387" s="28" t="b">
        <f t="shared" si="35"/>
        <v>1</v>
      </c>
    </row>
    <row r="388" spans="2:15" s="28" customFormat="1" ht="16.5" customHeight="1">
      <c r="B388" s="20"/>
      <c r="C388" s="20"/>
      <c r="D388" s="254"/>
      <c r="E388" s="379">
        <v>140111</v>
      </c>
      <c r="F388" s="395" t="s">
        <v>363</v>
      </c>
      <c r="G388" s="396"/>
      <c r="H388" s="397"/>
      <c r="I388" s="383">
        <v>326000</v>
      </c>
      <c r="J388" s="398">
        <v>140111</v>
      </c>
      <c r="K388" s="399" t="s">
        <v>70</v>
      </c>
      <c r="L388" s="399" t="s">
        <v>34</v>
      </c>
      <c r="M388" s="399">
        <v>17.329999999999998</v>
      </c>
      <c r="N388" s="356">
        <v>326000</v>
      </c>
      <c r="O388" s="28" t="b">
        <f t="shared" si="35"/>
        <v>1</v>
      </c>
    </row>
    <row r="389" spans="2:15" s="28" customFormat="1" ht="16.5" customHeight="1">
      <c r="B389" s="20"/>
      <c r="C389" s="20"/>
      <c r="D389" s="254"/>
      <c r="E389" s="379">
        <v>140112</v>
      </c>
      <c r="F389" s="395" t="s">
        <v>364</v>
      </c>
      <c r="G389" s="396"/>
      <c r="H389" s="397"/>
      <c r="I389" s="383">
        <v>340000</v>
      </c>
      <c r="J389" s="398">
        <v>140112</v>
      </c>
      <c r="K389" s="399" t="s">
        <v>70</v>
      </c>
      <c r="L389" s="399" t="s">
        <v>34</v>
      </c>
      <c r="M389" s="399">
        <v>17.329999999999998</v>
      </c>
      <c r="N389" s="356">
        <v>340000</v>
      </c>
      <c r="O389" s="28" t="b">
        <f t="shared" si="35"/>
        <v>1</v>
      </c>
    </row>
    <row r="390" spans="2:15" s="28" customFormat="1" ht="16.5" customHeight="1">
      <c r="B390" s="20"/>
      <c r="C390" s="20"/>
      <c r="D390" s="254"/>
      <c r="E390" s="379">
        <v>140139</v>
      </c>
      <c r="F390" s="395" t="s">
        <v>368</v>
      </c>
      <c r="G390" s="396"/>
      <c r="H390" s="397"/>
      <c r="I390" s="383">
        <v>140000</v>
      </c>
      <c r="J390" s="398">
        <v>140139</v>
      </c>
      <c r="K390" s="399" t="s">
        <v>70</v>
      </c>
      <c r="L390" s="399" t="s">
        <v>34</v>
      </c>
      <c r="M390" s="399">
        <v>16</v>
      </c>
      <c r="N390" s="356">
        <v>140000</v>
      </c>
      <c r="O390" s="28" t="b">
        <f t="shared" si="35"/>
        <v>1</v>
      </c>
    </row>
    <row r="391" spans="2:15" s="28" customFormat="1" ht="16.5" customHeight="1">
      <c r="B391" s="20"/>
      <c r="C391" s="20"/>
      <c r="D391" s="254"/>
      <c r="E391" s="379">
        <v>140140</v>
      </c>
      <c r="F391" s="395" t="s">
        <v>369</v>
      </c>
      <c r="G391" s="396"/>
      <c r="H391" s="397"/>
      <c r="I391" s="383">
        <v>120000</v>
      </c>
      <c r="J391" s="398">
        <v>140140</v>
      </c>
      <c r="K391" s="399" t="s">
        <v>70</v>
      </c>
      <c r="L391" s="399" t="s">
        <v>34</v>
      </c>
      <c r="M391" s="399">
        <v>16</v>
      </c>
      <c r="N391" s="356">
        <v>120000</v>
      </c>
      <c r="O391" s="28" t="b">
        <f t="shared" si="35"/>
        <v>1</v>
      </c>
    </row>
    <row r="392" spans="2:15" s="28" customFormat="1" ht="16.5" customHeight="1">
      <c r="B392" s="20"/>
      <c r="C392" s="20"/>
      <c r="D392" s="254"/>
      <c r="E392" s="379">
        <v>140141</v>
      </c>
      <c r="F392" s="395" t="s">
        <v>370</v>
      </c>
      <c r="G392" s="396"/>
      <c r="H392" s="397"/>
      <c r="I392" s="383">
        <v>188000</v>
      </c>
      <c r="J392" s="398">
        <v>140141</v>
      </c>
      <c r="K392" s="399" t="s">
        <v>70</v>
      </c>
      <c r="L392" s="399" t="s">
        <v>34</v>
      </c>
      <c r="M392" s="399">
        <v>16</v>
      </c>
      <c r="N392" s="356">
        <v>188000</v>
      </c>
      <c r="O392" s="28" t="b">
        <f t="shared" si="35"/>
        <v>1</v>
      </c>
    </row>
    <row r="393" spans="2:15" s="28" customFormat="1" ht="16.5" customHeight="1">
      <c r="B393" s="20"/>
      <c r="C393" s="20"/>
      <c r="D393" s="254"/>
      <c r="E393" s="379">
        <v>140142</v>
      </c>
      <c r="F393" s="395" t="s">
        <v>371</v>
      </c>
      <c r="G393" s="396"/>
      <c r="H393" s="397"/>
      <c r="I393" s="383">
        <v>130000</v>
      </c>
      <c r="J393" s="398">
        <v>140142</v>
      </c>
      <c r="K393" s="399" t="s">
        <v>70</v>
      </c>
      <c r="L393" s="399" t="s">
        <v>34</v>
      </c>
      <c r="M393" s="399">
        <v>16</v>
      </c>
      <c r="N393" s="356">
        <v>130000</v>
      </c>
      <c r="O393" s="28" t="b">
        <f t="shared" si="35"/>
        <v>1</v>
      </c>
    </row>
    <row r="394" spans="2:15" s="28" customFormat="1" ht="16.5" customHeight="1">
      <c r="B394" s="20"/>
      <c r="C394" s="20"/>
      <c r="D394" s="254"/>
      <c r="E394" s="379">
        <v>140143</v>
      </c>
      <c r="F394" s="395" t="s">
        <v>372</v>
      </c>
      <c r="G394" s="396"/>
      <c r="H394" s="397"/>
      <c r="I394" s="383">
        <v>203000</v>
      </c>
      <c r="J394" s="398">
        <v>140143</v>
      </c>
      <c r="K394" s="399" t="s">
        <v>70</v>
      </c>
      <c r="L394" s="399" t="s">
        <v>34</v>
      </c>
      <c r="M394" s="399">
        <v>16</v>
      </c>
      <c r="N394" s="356">
        <v>203000</v>
      </c>
      <c r="O394" s="28" t="b">
        <f t="shared" si="35"/>
        <v>1</v>
      </c>
    </row>
    <row r="395" spans="2:15" s="28" customFormat="1" ht="16.5" customHeight="1">
      <c r="B395" s="20"/>
      <c r="C395" s="20"/>
      <c r="D395" s="254"/>
      <c r="E395" s="379">
        <v>140148</v>
      </c>
      <c r="F395" s="395" t="s">
        <v>650</v>
      </c>
      <c r="G395" s="401"/>
      <c r="H395" s="402"/>
      <c r="I395" s="383">
        <v>1484000</v>
      </c>
      <c r="J395" s="398">
        <v>140148</v>
      </c>
      <c r="K395" s="399" t="s">
        <v>71</v>
      </c>
      <c r="L395" s="399" t="s">
        <v>34</v>
      </c>
      <c r="M395" s="399">
        <v>180</v>
      </c>
      <c r="N395" s="356">
        <v>1484000</v>
      </c>
      <c r="O395" s="28" t="b">
        <f t="shared" si="35"/>
        <v>1</v>
      </c>
    </row>
    <row r="396" spans="2:15" s="28" customFormat="1" ht="16.5" customHeight="1">
      <c r="B396" s="20"/>
      <c r="C396" s="20"/>
      <c r="D396" s="254"/>
      <c r="E396" s="379">
        <v>140149</v>
      </c>
      <c r="F396" s="395" t="s">
        <v>651</v>
      </c>
      <c r="G396" s="396"/>
      <c r="H396" s="397"/>
      <c r="I396" s="383">
        <v>1303000</v>
      </c>
      <c r="J396" s="398">
        <v>140149</v>
      </c>
      <c r="K396" s="399" t="s">
        <v>71</v>
      </c>
      <c r="L396" s="399" t="s">
        <v>34</v>
      </c>
      <c r="M396" s="399">
        <v>180</v>
      </c>
      <c r="N396" s="356">
        <v>1303000</v>
      </c>
      <c r="O396" s="28" t="b">
        <f t="shared" si="35"/>
        <v>1</v>
      </c>
    </row>
    <row r="397" spans="2:15" s="28" customFormat="1" ht="16.5" customHeight="1">
      <c r="B397" s="20"/>
      <c r="C397" s="20"/>
      <c r="D397" s="254"/>
      <c r="E397" s="379">
        <v>140150</v>
      </c>
      <c r="F397" s="395" t="s">
        <v>652</v>
      </c>
      <c r="G397" s="396"/>
      <c r="H397" s="397"/>
      <c r="I397" s="383">
        <v>1484000</v>
      </c>
      <c r="J397" s="398">
        <v>140150</v>
      </c>
      <c r="K397" s="399" t="s">
        <v>71</v>
      </c>
      <c r="L397" s="399" t="s">
        <v>34</v>
      </c>
      <c r="M397" s="399">
        <v>180</v>
      </c>
      <c r="N397" s="356">
        <v>1484000</v>
      </c>
      <c r="O397" s="28" t="b">
        <f t="shared" si="35"/>
        <v>1</v>
      </c>
    </row>
    <row r="398" spans="2:15" s="28" customFormat="1" ht="16.5" customHeight="1">
      <c r="B398" s="20"/>
      <c r="C398" s="20"/>
      <c r="D398" s="254"/>
      <c r="E398" s="379">
        <v>140151</v>
      </c>
      <c r="F398" s="395" t="s">
        <v>653</v>
      </c>
      <c r="G398" s="396"/>
      <c r="H398" s="397"/>
      <c r="I398" s="383">
        <v>1568000</v>
      </c>
      <c r="J398" s="398">
        <v>140151</v>
      </c>
      <c r="K398" s="399" t="s">
        <v>71</v>
      </c>
      <c r="L398" s="399" t="s">
        <v>34</v>
      </c>
      <c r="M398" s="399">
        <v>180</v>
      </c>
      <c r="N398" s="356">
        <v>1568000</v>
      </c>
      <c r="O398" s="28" t="b">
        <f t="shared" si="35"/>
        <v>1</v>
      </c>
    </row>
    <row r="399" spans="2:15" s="28" customFormat="1" ht="16.5" customHeight="1">
      <c r="B399" s="20"/>
      <c r="C399" s="20"/>
      <c r="D399" s="254"/>
      <c r="E399" s="379">
        <v>140152</v>
      </c>
      <c r="F399" s="395" t="s">
        <v>654</v>
      </c>
      <c r="G399" s="396"/>
      <c r="H399" s="397"/>
      <c r="I399" s="383">
        <v>2126000</v>
      </c>
      <c r="J399" s="398">
        <v>140152</v>
      </c>
      <c r="K399" s="399" t="s">
        <v>71</v>
      </c>
      <c r="L399" s="399" t="s">
        <v>34</v>
      </c>
      <c r="M399" s="399">
        <v>180</v>
      </c>
      <c r="N399" s="356">
        <v>2126000</v>
      </c>
      <c r="O399" s="28" t="b">
        <f t="shared" si="35"/>
        <v>1</v>
      </c>
    </row>
    <row r="400" spans="2:15" s="28" customFormat="1" ht="16.5" customHeight="1">
      <c r="B400" s="20"/>
      <c r="C400" s="20"/>
      <c r="D400" s="254"/>
      <c r="E400" s="379">
        <v>140153</v>
      </c>
      <c r="F400" s="395" t="s">
        <v>655</v>
      </c>
      <c r="G400" s="396"/>
      <c r="H400" s="397"/>
      <c r="I400" s="383">
        <v>2128000</v>
      </c>
      <c r="J400" s="398">
        <v>140153</v>
      </c>
      <c r="K400" s="399" t="s">
        <v>71</v>
      </c>
      <c r="L400" s="399" t="s">
        <v>34</v>
      </c>
      <c r="M400" s="399">
        <v>180</v>
      </c>
      <c r="N400" s="356">
        <v>2128000</v>
      </c>
      <c r="O400" s="28" t="b">
        <f t="shared" si="35"/>
        <v>1</v>
      </c>
    </row>
    <row r="401" spans="2:15" s="28" customFormat="1" ht="16.5" customHeight="1">
      <c r="B401" s="20"/>
      <c r="C401" s="20"/>
      <c r="D401" s="254"/>
      <c r="E401" s="379">
        <v>140154</v>
      </c>
      <c r="F401" s="395" t="s">
        <v>656</v>
      </c>
      <c r="G401" s="396"/>
      <c r="H401" s="397"/>
      <c r="I401" s="383" t="e">
        <v>#N/A</v>
      </c>
      <c r="J401" s="398">
        <v>140154</v>
      </c>
      <c r="K401" s="399" t="s">
        <v>71</v>
      </c>
      <c r="L401" s="399" t="s">
        <v>34</v>
      </c>
      <c r="M401" s="399">
        <v>180</v>
      </c>
      <c r="N401" s="356" t="e">
        <v>#N/A</v>
      </c>
      <c r="O401" s="28" t="e">
        <f t="shared" si="35"/>
        <v>#N/A</v>
      </c>
    </row>
    <row r="402" spans="2:15" s="28" customFormat="1" ht="16.5" customHeight="1">
      <c r="B402" s="20"/>
      <c r="C402" s="20"/>
      <c r="D402" s="254"/>
      <c r="E402" s="379">
        <v>140204</v>
      </c>
      <c r="F402" s="395" t="s">
        <v>379</v>
      </c>
      <c r="G402" s="396"/>
      <c r="H402" s="397"/>
      <c r="I402" s="383">
        <v>352000</v>
      </c>
      <c r="J402" s="398">
        <v>140204</v>
      </c>
      <c r="K402" s="399" t="s">
        <v>70</v>
      </c>
      <c r="L402" s="399" t="s">
        <v>34</v>
      </c>
      <c r="M402" s="399">
        <v>16</v>
      </c>
      <c r="N402" s="356">
        <v>352000</v>
      </c>
      <c r="O402" s="28" t="b">
        <f t="shared" si="35"/>
        <v>1</v>
      </c>
    </row>
    <row r="403" spans="2:15" s="28" customFormat="1" ht="16.5" customHeight="1">
      <c r="B403" s="20"/>
      <c r="C403" s="20"/>
      <c r="D403" s="254"/>
      <c r="E403" s="379">
        <v>140205</v>
      </c>
      <c r="F403" s="395" t="s">
        <v>380</v>
      </c>
      <c r="G403" s="401"/>
      <c r="H403" s="402"/>
      <c r="I403" s="383">
        <v>355000</v>
      </c>
      <c r="J403" s="398">
        <v>140205</v>
      </c>
      <c r="K403" s="399" t="s">
        <v>70</v>
      </c>
      <c r="L403" s="399" t="s">
        <v>34</v>
      </c>
      <c r="M403" s="399">
        <v>16</v>
      </c>
      <c r="N403" s="356">
        <v>355000</v>
      </c>
      <c r="O403" s="28" t="b">
        <f t="shared" si="35"/>
        <v>1</v>
      </c>
    </row>
    <row r="404" spans="2:15" s="28" customFormat="1" ht="16.5" customHeight="1">
      <c r="B404" s="20"/>
      <c r="C404" s="20"/>
      <c r="D404" s="254"/>
      <c r="E404" s="379">
        <v>140206</v>
      </c>
      <c r="F404" s="395" t="s">
        <v>659</v>
      </c>
      <c r="G404" s="396"/>
      <c r="H404" s="397"/>
      <c r="I404" s="383">
        <v>3685000</v>
      </c>
      <c r="J404" s="398">
        <v>140206</v>
      </c>
      <c r="K404" s="399" t="s">
        <v>71</v>
      </c>
      <c r="L404" s="399" t="s">
        <v>34</v>
      </c>
      <c r="M404" s="399">
        <v>174</v>
      </c>
      <c r="N404" s="356">
        <v>3685000</v>
      </c>
      <c r="O404" s="28" t="b">
        <f t="shared" si="35"/>
        <v>1</v>
      </c>
    </row>
    <row r="405" spans="2:15" s="28" customFormat="1" ht="16.5" customHeight="1">
      <c r="B405" s="20"/>
      <c r="C405" s="20"/>
      <c r="D405" s="254"/>
      <c r="E405" s="379">
        <v>140207</v>
      </c>
      <c r="F405" s="395" t="s">
        <v>660</v>
      </c>
      <c r="G405" s="396"/>
      <c r="H405" s="397"/>
      <c r="I405" s="383">
        <v>3777000</v>
      </c>
      <c r="J405" s="398">
        <v>140207</v>
      </c>
      <c r="K405" s="399" t="s">
        <v>71</v>
      </c>
      <c r="L405" s="399" t="s">
        <v>34</v>
      </c>
      <c r="M405" s="399">
        <v>174</v>
      </c>
      <c r="N405" s="356">
        <v>3777000</v>
      </c>
      <c r="O405" s="28" t="b">
        <f t="shared" si="35"/>
        <v>1</v>
      </c>
    </row>
    <row r="406" spans="2:15" s="28" customFormat="1" ht="16.5" customHeight="1">
      <c r="B406" s="20"/>
      <c r="C406" s="20"/>
      <c r="D406" s="254"/>
      <c r="E406" s="379">
        <v>140208</v>
      </c>
      <c r="F406" s="395" t="s">
        <v>661</v>
      </c>
      <c r="G406" s="396"/>
      <c r="H406" s="397"/>
      <c r="I406" s="383">
        <v>3689000</v>
      </c>
      <c r="J406" s="398">
        <v>140208</v>
      </c>
      <c r="K406" s="399" t="s">
        <v>71</v>
      </c>
      <c r="L406" s="399" t="s">
        <v>34</v>
      </c>
      <c r="M406" s="399">
        <v>174</v>
      </c>
      <c r="N406" s="356">
        <v>3689000</v>
      </c>
      <c r="O406" s="28" t="b">
        <f t="shared" si="35"/>
        <v>1</v>
      </c>
    </row>
    <row r="407" spans="2:15" s="28" customFormat="1" ht="16.5" customHeight="1">
      <c r="B407" s="20"/>
      <c r="C407" s="20"/>
      <c r="D407" s="254"/>
      <c r="E407" s="379">
        <v>140209</v>
      </c>
      <c r="F407" s="395" t="s">
        <v>662</v>
      </c>
      <c r="G407" s="396"/>
      <c r="H407" s="397"/>
      <c r="I407" s="383">
        <v>3730000</v>
      </c>
      <c r="J407" s="398">
        <v>140209</v>
      </c>
      <c r="K407" s="399" t="s">
        <v>71</v>
      </c>
      <c r="L407" s="399" t="s">
        <v>34</v>
      </c>
      <c r="M407" s="399">
        <v>174</v>
      </c>
      <c r="N407" s="356">
        <v>3730000</v>
      </c>
      <c r="O407" s="28" t="b">
        <f t="shared" si="35"/>
        <v>1</v>
      </c>
    </row>
    <row r="408" spans="2:15" s="28" customFormat="1" ht="16.5" customHeight="1">
      <c r="B408" s="20"/>
      <c r="C408" s="20"/>
      <c r="D408" s="254"/>
      <c r="E408" s="379">
        <v>140210</v>
      </c>
      <c r="F408" s="395" t="s">
        <v>663</v>
      </c>
      <c r="G408" s="396"/>
      <c r="H408" s="397"/>
      <c r="I408" s="383">
        <v>3687000</v>
      </c>
      <c r="J408" s="398">
        <v>140210</v>
      </c>
      <c r="K408" s="399" t="s">
        <v>71</v>
      </c>
      <c r="L408" s="399" t="s">
        <v>34</v>
      </c>
      <c r="M408" s="399">
        <v>174</v>
      </c>
      <c r="N408" s="356">
        <v>3687000</v>
      </c>
      <c r="O408" s="28" t="b">
        <f t="shared" si="35"/>
        <v>1</v>
      </c>
    </row>
    <row r="409" spans="2:15" s="28" customFormat="1" ht="16.5" customHeight="1">
      <c r="B409" s="20"/>
      <c r="C409" s="20"/>
      <c r="D409" s="254"/>
      <c r="E409" s="379">
        <v>140211</v>
      </c>
      <c r="F409" s="395" t="s">
        <v>664</v>
      </c>
      <c r="G409" s="396"/>
      <c r="H409" s="397"/>
      <c r="I409" s="383">
        <v>3730000</v>
      </c>
      <c r="J409" s="398">
        <v>140211</v>
      </c>
      <c r="K409" s="399" t="s">
        <v>71</v>
      </c>
      <c r="L409" s="399" t="s">
        <v>34</v>
      </c>
      <c r="M409" s="399">
        <v>174</v>
      </c>
      <c r="N409" s="356">
        <v>3730000</v>
      </c>
      <c r="O409" s="28" t="b">
        <f t="shared" si="35"/>
        <v>1</v>
      </c>
    </row>
    <row r="410" spans="2:15" s="28" customFormat="1" ht="16.5" customHeight="1">
      <c r="B410" s="20"/>
      <c r="C410" s="20"/>
      <c r="D410" s="254"/>
      <c r="E410" s="379">
        <v>140252</v>
      </c>
      <c r="F410" s="395" t="s">
        <v>381</v>
      </c>
      <c r="G410" s="396"/>
      <c r="H410" s="397"/>
      <c r="I410" s="383">
        <v>81000</v>
      </c>
      <c r="J410" s="398">
        <v>140252</v>
      </c>
      <c r="K410" s="399" t="s">
        <v>70</v>
      </c>
      <c r="L410" s="399" t="s">
        <v>34</v>
      </c>
      <c r="M410" s="399">
        <v>16</v>
      </c>
      <c r="N410" s="356">
        <v>81000</v>
      </c>
      <c r="O410" s="28" t="b">
        <f t="shared" si="35"/>
        <v>1</v>
      </c>
    </row>
    <row r="411" spans="2:15" s="28" customFormat="1" ht="16.5" customHeight="1">
      <c r="B411" s="20"/>
      <c r="C411" s="20"/>
      <c r="D411" s="254"/>
      <c r="E411" s="379">
        <v>140254</v>
      </c>
      <c r="F411" s="395" t="s">
        <v>382</v>
      </c>
      <c r="G411" s="396"/>
      <c r="H411" s="397"/>
      <c r="I411" s="383">
        <v>81000</v>
      </c>
      <c r="J411" s="398">
        <v>140254</v>
      </c>
      <c r="K411" s="399" t="s">
        <v>70</v>
      </c>
      <c r="L411" s="399" t="s">
        <v>34</v>
      </c>
      <c r="M411" s="399">
        <v>16</v>
      </c>
      <c r="N411" s="356">
        <v>81000</v>
      </c>
      <c r="O411" s="28" t="b">
        <f t="shared" si="35"/>
        <v>1</v>
      </c>
    </row>
    <row r="412" spans="2:15" s="28" customFormat="1" ht="16.5" customHeight="1">
      <c r="B412" s="20"/>
      <c r="C412" s="20"/>
      <c r="D412" s="254"/>
      <c r="E412" s="379">
        <v>140255</v>
      </c>
      <c r="F412" s="395" t="s">
        <v>383</v>
      </c>
      <c r="G412" s="396"/>
      <c r="H412" s="397"/>
      <c r="I412" s="383">
        <v>81000</v>
      </c>
      <c r="J412" s="398">
        <v>140255</v>
      </c>
      <c r="K412" s="399" t="s">
        <v>70</v>
      </c>
      <c r="L412" s="399" t="s">
        <v>34</v>
      </c>
      <c r="M412" s="399">
        <v>16</v>
      </c>
      <c r="N412" s="356">
        <v>81000</v>
      </c>
      <c r="O412" s="28" t="b">
        <f t="shared" ref="O412:O475" si="36">I412=N412</f>
        <v>1</v>
      </c>
    </row>
    <row r="413" spans="2:15" s="28" customFormat="1" ht="16.5" customHeight="1">
      <c r="B413" s="20"/>
      <c r="C413" s="20"/>
      <c r="D413" s="254"/>
      <c r="E413" s="379">
        <v>140256</v>
      </c>
      <c r="F413" s="395" t="s">
        <v>384</v>
      </c>
      <c r="G413" s="396"/>
      <c r="H413" s="397"/>
      <c r="I413" s="383">
        <v>81000</v>
      </c>
      <c r="J413" s="398">
        <v>140256</v>
      </c>
      <c r="K413" s="399" t="s">
        <v>70</v>
      </c>
      <c r="L413" s="399" t="s">
        <v>34</v>
      </c>
      <c r="M413" s="399">
        <v>16</v>
      </c>
      <c r="N413" s="356">
        <v>81000</v>
      </c>
      <c r="O413" s="28" t="b">
        <f t="shared" si="36"/>
        <v>1</v>
      </c>
    </row>
    <row r="414" spans="2:15" s="28" customFormat="1" ht="16.5" customHeight="1">
      <c r="B414" s="20"/>
      <c r="C414" s="20"/>
      <c r="D414" s="254"/>
      <c r="E414" s="379">
        <v>140257</v>
      </c>
      <c r="F414" s="395" t="s">
        <v>127</v>
      </c>
      <c r="G414" s="396"/>
      <c r="H414" s="397"/>
      <c r="I414" s="383">
        <v>728000</v>
      </c>
      <c r="J414" s="398">
        <v>140257</v>
      </c>
      <c r="K414" s="399" t="s">
        <v>71</v>
      </c>
      <c r="L414" s="399" t="s">
        <v>34</v>
      </c>
      <c r="M414" s="399">
        <v>180</v>
      </c>
      <c r="N414" s="356">
        <v>728000</v>
      </c>
      <c r="O414" s="28" t="b">
        <f t="shared" si="36"/>
        <v>1</v>
      </c>
    </row>
    <row r="415" spans="2:15" s="28" customFormat="1" ht="16.5" customHeight="1">
      <c r="B415" s="20"/>
      <c r="C415" s="20"/>
      <c r="D415" s="254"/>
      <c r="E415" s="379">
        <v>140259</v>
      </c>
      <c r="F415" s="395" t="s">
        <v>665</v>
      </c>
      <c r="G415" s="396"/>
      <c r="H415" s="397"/>
      <c r="I415" s="383">
        <v>728000</v>
      </c>
      <c r="J415" s="398">
        <v>140259</v>
      </c>
      <c r="K415" s="399" t="s">
        <v>71</v>
      </c>
      <c r="L415" s="399" t="s">
        <v>34</v>
      </c>
      <c r="M415" s="399">
        <v>180</v>
      </c>
      <c r="N415" s="356">
        <v>728000</v>
      </c>
      <c r="O415" s="28" t="b">
        <f t="shared" si="36"/>
        <v>1</v>
      </c>
    </row>
    <row r="416" spans="2:15" s="28" customFormat="1" ht="16.5" customHeight="1">
      <c r="B416" s="20"/>
      <c r="C416" s="20"/>
      <c r="D416" s="254"/>
      <c r="E416" s="379">
        <v>140260</v>
      </c>
      <c r="F416" s="395" t="s">
        <v>666</v>
      </c>
      <c r="G416" s="396"/>
      <c r="H416" s="397"/>
      <c r="I416" s="383">
        <v>728000</v>
      </c>
      <c r="J416" s="398">
        <v>140260</v>
      </c>
      <c r="K416" s="399" t="s">
        <v>71</v>
      </c>
      <c r="L416" s="399" t="s">
        <v>34</v>
      </c>
      <c r="M416" s="399">
        <v>180</v>
      </c>
      <c r="N416" s="356">
        <v>728000</v>
      </c>
      <c r="O416" s="28" t="b">
        <f t="shared" si="36"/>
        <v>1</v>
      </c>
    </row>
    <row r="417" spans="2:15" s="28" customFormat="1" ht="16.5" customHeight="1">
      <c r="B417" s="20"/>
      <c r="C417" s="20"/>
      <c r="D417" s="254"/>
      <c r="E417" s="379">
        <v>140261</v>
      </c>
      <c r="F417" s="395" t="s">
        <v>667</v>
      </c>
      <c r="G417" s="396"/>
      <c r="H417" s="397"/>
      <c r="I417" s="383">
        <v>728000</v>
      </c>
      <c r="J417" s="398">
        <v>140261</v>
      </c>
      <c r="K417" s="399" t="s">
        <v>71</v>
      </c>
      <c r="L417" s="399" t="s">
        <v>34</v>
      </c>
      <c r="M417" s="399">
        <v>180</v>
      </c>
      <c r="N417" s="356">
        <v>728000</v>
      </c>
      <c r="O417" s="28" t="b">
        <f t="shared" si="36"/>
        <v>1</v>
      </c>
    </row>
    <row r="418" spans="2:15" s="28" customFormat="1" ht="16.5" customHeight="1">
      <c r="B418" s="20"/>
      <c r="C418" s="20"/>
      <c r="D418" s="254"/>
      <c r="E418" s="379">
        <v>140262</v>
      </c>
      <c r="F418" s="395" t="s">
        <v>668</v>
      </c>
      <c r="G418" s="396"/>
      <c r="H418" s="397"/>
      <c r="I418" s="383">
        <v>728000</v>
      </c>
      <c r="J418" s="398">
        <v>140262</v>
      </c>
      <c r="K418" s="399" t="s">
        <v>71</v>
      </c>
      <c r="L418" s="399" t="s">
        <v>34</v>
      </c>
      <c r="M418" s="399">
        <v>180</v>
      </c>
      <c r="N418" s="356">
        <v>728000</v>
      </c>
      <c r="O418" s="28" t="b">
        <f t="shared" si="36"/>
        <v>1</v>
      </c>
    </row>
    <row r="419" spans="2:15" s="28" customFormat="1" ht="16.5" customHeight="1">
      <c r="B419" s="20"/>
      <c r="C419" s="20"/>
      <c r="D419" s="254"/>
      <c r="E419" s="379">
        <v>140263</v>
      </c>
      <c r="F419" s="395" t="s">
        <v>126</v>
      </c>
      <c r="G419" s="396"/>
      <c r="H419" s="397"/>
      <c r="I419" s="383">
        <v>81000</v>
      </c>
      <c r="J419" s="398">
        <v>140263</v>
      </c>
      <c r="K419" s="399" t="s">
        <v>70</v>
      </c>
      <c r="L419" s="399" t="s">
        <v>34</v>
      </c>
      <c r="M419" s="399">
        <v>16</v>
      </c>
      <c r="N419" s="356">
        <v>81000</v>
      </c>
      <c r="O419" s="28" t="b">
        <f t="shared" si="36"/>
        <v>1</v>
      </c>
    </row>
    <row r="420" spans="2:15" s="28" customFormat="1" ht="16.5" customHeight="1">
      <c r="B420" s="20"/>
      <c r="C420" s="20"/>
      <c r="D420" s="254"/>
      <c r="E420" s="379">
        <v>140355</v>
      </c>
      <c r="F420" s="395" t="s">
        <v>385</v>
      </c>
      <c r="G420" s="396"/>
      <c r="H420" s="397"/>
      <c r="I420" s="383" t="e">
        <v>#N/A</v>
      </c>
      <c r="J420" s="398">
        <v>140355</v>
      </c>
      <c r="K420" s="399" t="s">
        <v>70</v>
      </c>
      <c r="L420" s="399" t="s">
        <v>34</v>
      </c>
      <c r="M420" s="399">
        <v>18</v>
      </c>
      <c r="N420" s="356" t="e">
        <v>#N/A</v>
      </c>
      <c r="O420" s="28" t="e">
        <f t="shared" si="36"/>
        <v>#N/A</v>
      </c>
    </row>
    <row r="421" spans="2:15" s="28" customFormat="1" ht="16.5" customHeight="1">
      <c r="B421" s="20"/>
      <c r="C421" s="20"/>
      <c r="D421" s="254"/>
      <c r="E421" s="379">
        <v>140435</v>
      </c>
      <c r="F421" s="395" t="s">
        <v>89</v>
      </c>
      <c r="G421" s="396"/>
      <c r="H421" s="397"/>
      <c r="I421" s="383">
        <v>395000</v>
      </c>
      <c r="J421" s="398">
        <v>140435</v>
      </c>
      <c r="K421" s="399" t="s">
        <v>70</v>
      </c>
      <c r="L421" s="399" t="s">
        <v>34</v>
      </c>
      <c r="M421" s="399">
        <v>20</v>
      </c>
      <c r="N421" s="356">
        <v>395000</v>
      </c>
      <c r="O421" s="28" t="b">
        <f t="shared" si="36"/>
        <v>1</v>
      </c>
    </row>
    <row r="422" spans="2:15" s="28" customFormat="1" ht="16.5" customHeight="1">
      <c r="B422" s="20"/>
      <c r="C422" s="20"/>
      <c r="D422" s="254"/>
      <c r="E422" s="379">
        <v>140485</v>
      </c>
      <c r="F422" s="395" t="s">
        <v>386</v>
      </c>
      <c r="G422" s="396"/>
      <c r="H422" s="397"/>
      <c r="I422" s="383">
        <v>107000</v>
      </c>
      <c r="J422" s="398">
        <v>140485</v>
      </c>
      <c r="K422" s="399" t="s">
        <v>70</v>
      </c>
      <c r="L422" s="399" t="s">
        <v>34</v>
      </c>
      <c r="M422" s="399">
        <v>20</v>
      </c>
      <c r="N422" s="356">
        <v>107000</v>
      </c>
      <c r="O422" s="28" t="b">
        <f t="shared" si="36"/>
        <v>1</v>
      </c>
    </row>
    <row r="423" spans="2:15" s="28" customFormat="1" ht="16.5" customHeight="1">
      <c r="B423" s="20"/>
      <c r="C423" s="20"/>
      <c r="D423" s="254"/>
      <c r="E423" s="379">
        <v>140499</v>
      </c>
      <c r="F423" s="395" t="s">
        <v>670</v>
      </c>
      <c r="G423" s="396"/>
      <c r="H423" s="397"/>
      <c r="I423" s="383">
        <v>3384000</v>
      </c>
      <c r="J423" s="398">
        <v>140499</v>
      </c>
      <c r="K423" s="399" t="s">
        <v>71</v>
      </c>
      <c r="L423" s="399" t="s">
        <v>34</v>
      </c>
      <c r="M423" s="399">
        <v>208</v>
      </c>
      <c r="N423" s="356">
        <v>3384000</v>
      </c>
      <c r="O423" s="28" t="b">
        <f t="shared" si="36"/>
        <v>1</v>
      </c>
    </row>
    <row r="424" spans="2:15" s="28" customFormat="1" ht="16.5" customHeight="1">
      <c r="B424" s="20"/>
      <c r="C424" s="20"/>
      <c r="D424" s="254"/>
      <c r="E424" s="379">
        <v>140501</v>
      </c>
      <c r="F424" s="395" t="s">
        <v>671</v>
      </c>
      <c r="G424" s="396"/>
      <c r="H424" s="397"/>
      <c r="I424" s="383">
        <v>4442000</v>
      </c>
      <c r="J424" s="398">
        <v>140501</v>
      </c>
      <c r="K424" s="399" t="s">
        <v>71</v>
      </c>
      <c r="L424" s="399" t="s">
        <v>34</v>
      </c>
      <c r="M424" s="399">
        <v>208</v>
      </c>
      <c r="N424" s="356">
        <v>4442000</v>
      </c>
      <c r="O424" s="28" t="b">
        <f t="shared" si="36"/>
        <v>1</v>
      </c>
    </row>
    <row r="425" spans="2:15" s="28" customFormat="1" ht="16.5" customHeight="1">
      <c r="B425" s="20"/>
      <c r="C425" s="20"/>
      <c r="D425" s="254"/>
      <c r="E425" s="379">
        <v>140503</v>
      </c>
      <c r="F425" s="395" t="s">
        <v>672</v>
      </c>
      <c r="G425" s="396"/>
      <c r="H425" s="397"/>
      <c r="I425" s="383">
        <v>4515000</v>
      </c>
      <c r="J425" s="398">
        <v>140503</v>
      </c>
      <c r="K425" s="399" t="s">
        <v>71</v>
      </c>
      <c r="L425" s="399" t="s">
        <v>34</v>
      </c>
      <c r="M425" s="399">
        <v>208</v>
      </c>
      <c r="N425" s="356">
        <v>4515000</v>
      </c>
      <c r="O425" s="28" t="b">
        <f t="shared" si="36"/>
        <v>1</v>
      </c>
    </row>
    <row r="426" spans="2:15" s="28" customFormat="1" ht="16.5" customHeight="1">
      <c r="B426" s="20"/>
      <c r="C426" s="20"/>
      <c r="D426" s="254"/>
      <c r="E426" s="379">
        <v>140541</v>
      </c>
      <c r="F426" s="395" t="s">
        <v>387</v>
      </c>
      <c r="G426" s="396"/>
      <c r="H426" s="397"/>
      <c r="I426" s="383"/>
      <c r="J426" s="398">
        <v>140541</v>
      </c>
      <c r="K426" s="399" t="s">
        <v>70</v>
      </c>
      <c r="L426" s="399" t="s">
        <v>34</v>
      </c>
      <c r="M426" s="399">
        <v>20</v>
      </c>
      <c r="N426" s="356" t="e">
        <v>#N/A</v>
      </c>
      <c r="O426" s="28" t="e">
        <f t="shared" si="36"/>
        <v>#N/A</v>
      </c>
    </row>
    <row r="427" spans="2:15" s="28" customFormat="1" ht="16.5" customHeight="1">
      <c r="B427" s="20"/>
      <c r="C427" s="20"/>
      <c r="D427" s="254"/>
      <c r="E427" s="379">
        <v>140627</v>
      </c>
      <c r="F427" s="395" t="s">
        <v>676</v>
      </c>
      <c r="G427" s="396"/>
      <c r="H427" s="397"/>
      <c r="I427" s="383">
        <v>746000</v>
      </c>
      <c r="J427" s="398">
        <v>140627</v>
      </c>
      <c r="K427" s="399" t="s">
        <v>71</v>
      </c>
      <c r="L427" s="399" t="s">
        <v>34</v>
      </c>
      <c r="M427" s="399">
        <v>200</v>
      </c>
      <c r="N427" s="356">
        <v>746000</v>
      </c>
      <c r="O427" s="28" t="b">
        <f t="shared" si="36"/>
        <v>1</v>
      </c>
    </row>
    <row r="428" spans="2:15" s="28" customFormat="1" ht="16.5" customHeight="1">
      <c r="B428" s="20"/>
      <c r="C428" s="20"/>
      <c r="D428" s="254"/>
      <c r="E428" s="379">
        <v>140629</v>
      </c>
      <c r="F428" s="395" t="s">
        <v>677</v>
      </c>
      <c r="G428" s="396"/>
      <c r="H428" s="397"/>
      <c r="I428" s="383">
        <v>746000</v>
      </c>
      <c r="J428" s="398">
        <v>140629</v>
      </c>
      <c r="K428" s="399" t="s">
        <v>71</v>
      </c>
      <c r="L428" s="399" t="s">
        <v>34</v>
      </c>
      <c r="M428" s="399">
        <v>200</v>
      </c>
      <c r="N428" s="356">
        <v>746000</v>
      </c>
      <c r="O428" s="28" t="b">
        <f t="shared" si="36"/>
        <v>1</v>
      </c>
    </row>
    <row r="429" spans="2:15" s="28" customFormat="1" ht="16.5" customHeight="1">
      <c r="B429" s="20"/>
      <c r="C429" s="20"/>
      <c r="D429" s="254"/>
      <c r="E429" s="379">
        <v>140631</v>
      </c>
      <c r="F429" s="395" t="s">
        <v>678</v>
      </c>
      <c r="G429" s="396"/>
      <c r="H429" s="397"/>
      <c r="I429" s="383">
        <v>746000</v>
      </c>
      <c r="J429" s="398">
        <v>140631</v>
      </c>
      <c r="K429" s="399" t="s">
        <v>71</v>
      </c>
      <c r="L429" s="399" t="s">
        <v>34</v>
      </c>
      <c r="M429" s="399">
        <v>200</v>
      </c>
      <c r="N429" s="356">
        <v>746000</v>
      </c>
      <c r="O429" s="28" t="b">
        <f t="shared" si="36"/>
        <v>1</v>
      </c>
    </row>
    <row r="430" spans="2:15" s="28" customFormat="1" ht="16.5" customHeight="1">
      <c r="B430" s="20"/>
      <c r="C430" s="20"/>
      <c r="D430" s="254"/>
      <c r="E430" s="379">
        <v>140675</v>
      </c>
      <c r="F430" s="395" t="s">
        <v>388</v>
      </c>
      <c r="G430" s="396"/>
      <c r="H430" s="397"/>
      <c r="I430" s="383">
        <v>79200</v>
      </c>
      <c r="J430" s="398">
        <v>140675</v>
      </c>
      <c r="K430" s="399" t="s">
        <v>70</v>
      </c>
      <c r="L430" s="399" t="s">
        <v>34</v>
      </c>
      <c r="M430" s="399">
        <v>20</v>
      </c>
      <c r="N430" s="356">
        <v>79200</v>
      </c>
      <c r="O430" s="28" t="b">
        <f t="shared" si="36"/>
        <v>1</v>
      </c>
    </row>
    <row r="431" spans="2:15" s="28" customFormat="1" ht="16.5" customHeight="1">
      <c r="B431" s="20"/>
      <c r="C431" s="20"/>
      <c r="D431" s="254"/>
      <c r="E431" s="379">
        <v>140676</v>
      </c>
      <c r="F431" s="395" t="s">
        <v>389</v>
      </c>
      <c r="G431" s="396"/>
      <c r="H431" s="397"/>
      <c r="I431" s="383">
        <v>79200</v>
      </c>
      <c r="J431" s="398">
        <v>140676</v>
      </c>
      <c r="K431" s="399" t="s">
        <v>70</v>
      </c>
      <c r="L431" s="399" t="s">
        <v>34</v>
      </c>
      <c r="M431" s="399">
        <v>20</v>
      </c>
      <c r="N431" s="356">
        <v>79200</v>
      </c>
      <c r="O431" s="28" t="b">
        <f t="shared" si="36"/>
        <v>1</v>
      </c>
    </row>
    <row r="432" spans="2:15" s="28" customFormat="1" ht="16.5" customHeight="1">
      <c r="B432" s="20"/>
      <c r="C432" s="20"/>
      <c r="D432" s="254"/>
      <c r="E432" s="379">
        <v>140677</v>
      </c>
      <c r="F432" s="395" t="s">
        <v>390</v>
      </c>
      <c r="G432" s="396"/>
      <c r="H432" s="397"/>
      <c r="I432" s="383">
        <v>79200</v>
      </c>
      <c r="J432" s="398">
        <v>140677</v>
      </c>
      <c r="K432" s="399" t="s">
        <v>70</v>
      </c>
      <c r="L432" s="399" t="s">
        <v>34</v>
      </c>
      <c r="M432" s="399">
        <v>20</v>
      </c>
      <c r="N432" s="356">
        <v>79200</v>
      </c>
      <c r="O432" s="28" t="b">
        <f t="shared" si="36"/>
        <v>1</v>
      </c>
    </row>
    <row r="433" spans="2:15" s="28" customFormat="1" ht="16.5" customHeight="1">
      <c r="B433" s="20"/>
      <c r="C433" s="20"/>
      <c r="D433" s="254"/>
      <c r="E433" s="379">
        <v>140787</v>
      </c>
      <c r="F433" s="395" t="s">
        <v>682</v>
      </c>
      <c r="G433" s="396"/>
      <c r="H433" s="397"/>
      <c r="I433" s="383">
        <v>1151000</v>
      </c>
      <c r="J433" s="398">
        <v>140787</v>
      </c>
      <c r="K433" s="399" t="s">
        <v>71</v>
      </c>
      <c r="L433" s="399" t="s">
        <v>34</v>
      </c>
      <c r="M433" s="399">
        <v>208</v>
      </c>
      <c r="N433" s="356">
        <v>1151000</v>
      </c>
      <c r="O433" s="28" t="b">
        <f t="shared" si="36"/>
        <v>1</v>
      </c>
    </row>
    <row r="434" spans="2:15" s="28" customFormat="1" ht="16.5" customHeight="1">
      <c r="B434" s="20"/>
      <c r="C434" s="20"/>
      <c r="D434" s="254"/>
      <c r="E434" s="379">
        <v>140817</v>
      </c>
      <c r="F434" s="395" t="s">
        <v>122</v>
      </c>
      <c r="G434" s="396"/>
      <c r="H434" s="397"/>
      <c r="I434" s="383" t="e">
        <v>#N/A</v>
      </c>
      <c r="J434" s="398">
        <v>140817</v>
      </c>
      <c r="K434" s="399" t="s">
        <v>71</v>
      </c>
      <c r="L434" s="399" t="s">
        <v>34</v>
      </c>
      <c r="M434" s="399">
        <v>208</v>
      </c>
      <c r="N434" s="356">
        <v>1065000</v>
      </c>
      <c r="O434" s="28" t="e">
        <f t="shared" si="36"/>
        <v>#N/A</v>
      </c>
    </row>
    <row r="435" spans="2:15" s="28" customFormat="1" ht="16.5" customHeight="1">
      <c r="B435" s="20"/>
      <c r="C435" s="20"/>
      <c r="D435" s="254"/>
      <c r="E435" s="379">
        <v>140854</v>
      </c>
      <c r="F435" s="395" t="s">
        <v>756</v>
      </c>
      <c r="G435" s="396"/>
      <c r="H435" s="397"/>
      <c r="I435" s="383">
        <v>287000</v>
      </c>
      <c r="J435" s="398">
        <v>140854</v>
      </c>
      <c r="K435" s="399" t="s">
        <v>70</v>
      </c>
      <c r="L435" s="399" t="s">
        <v>34</v>
      </c>
      <c r="M435" s="399">
        <v>20</v>
      </c>
      <c r="N435" s="356">
        <v>287000</v>
      </c>
      <c r="O435" s="28" t="b">
        <f t="shared" si="36"/>
        <v>1</v>
      </c>
    </row>
    <row r="436" spans="2:15" s="28" customFormat="1" ht="16.5" customHeight="1">
      <c r="B436" s="20"/>
      <c r="C436" s="20"/>
      <c r="D436" s="254"/>
      <c r="E436" s="379">
        <v>141187</v>
      </c>
      <c r="F436" s="395" t="s">
        <v>125</v>
      </c>
      <c r="G436" s="396"/>
      <c r="H436" s="397"/>
      <c r="I436" s="383"/>
      <c r="J436" s="398">
        <v>141187</v>
      </c>
      <c r="K436" s="399" t="s">
        <v>71</v>
      </c>
      <c r="L436" s="399" t="s">
        <v>34</v>
      </c>
      <c r="M436" s="399">
        <v>200</v>
      </c>
      <c r="N436" s="356" t="e">
        <v>#N/A</v>
      </c>
      <c r="O436" s="28" t="e">
        <f t="shared" si="36"/>
        <v>#N/A</v>
      </c>
    </row>
    <row r="437" spans="2:15" s="28" customFormat="1" ht="16.5" customHeight="1">
      <c r="B437" s="20"/>
      <c r="C437" s="20"/>
      <c r="D437" s="254"/>
      <c r="E437" s="379">
        <v>141361</v>
      </c>
      <c r="F437" s="395" t="s">
        <v>391</v>
      </c>
      <c r="G437" s="396"/>
      <c r="H437" s="397"/>
      <c r="I437" s="383">
        <v>476000</v>
      </c>
      <c r="J437" s="398">
        <v>141361</v>
      </c>
      <c r="K437" s="399" t="s">
        <v>70</v>
      </c>
      <c r="L437" s="399" t="s">
        <v>34</v>
      </c>
      <c r="M437" s="399">
        <v>16</v>
      </c>
      <c r="N437" s="356">
        <v>476000</v>
      </c>
      <c r="O437" s="28" t="b">
        <f t="shared" si="36"/>
        <v>1</v>
      </c>
    </row>
    <row r="438" spans="2:15" s="28" customFormat="1" ht="16.5" customHeight="1">
      <c r="B438" s="20"/>
      <c r="C438" s="20"/>
      <c r="D438" s="254"/>
      <c r="E438" s="379">
        <v>141367</v>
      </c>
      <c r="F438" s="395" t="s">
        <v>392</v>
      </c>
      <c r="G438" s="396"/>
      <c r="H438" s="397"/>
      <c r="I438" s="383">
        <v>107000</v>
      </c>
      <c r="J438" s="398">
        <v>141367</v>
      </c>
      <c r="K438" s="399" t="s">
        <v>70</v>
      </c>
      <c r="L438" s="399" t="s">
        <v>34</v>
      </c>
      <c r="M438" s="399">
        <v>20</v>
      </c>
      <c r="N438" s="356">
        <v>107000</v>
      </c>
      <c r="O438" s="28" t="b">
        <f t="shared" si="36"/>
        <v>1</v>
      </c>
    </row>
    <row r="439" spans="2:15" s="28" customFormat="1" ht="16.5" customHeight="1">
      <c r="B439" s="20"/>
      <c r="C439" s="20"/>
      <c r="D439" s="254"/>
      <c r="E439" s="379">
        <v>148677</v>
      </c>
      <c r="F439" s="395" t="s">
        <v>134</v>
      </c>
      <c r="G439" s="396"/>
      <c r="H439" s="397"/>
      <c r="I439" s="383">
        <v>1029000</v>
      </c>
      <c r="J439" s="398">
        <v>148677</v>
      </c>
      <c r="K439" s="399" t="s">
        <v>71</v>
      </c>
      <c r="L439" s="399" t="s">
        <v>34</v>
      </c>
      <c r="M439" s="399">
        <v>200</v>
      </c>
      <c r="N439" s="356">
        <v>1029000</v>
      </c>
      <c r="O439" s="28" t="b">
        <f t="shared" si="36"/>
        <v>1</v>
      </c>
    </row>
    <row r="440" spans="2:15" s="28" customFormat="1" ht="16.5" customHeight="1">
      <c r="B440" s="20"/>
      <c r="C440" s="20"/>
      <c r="D440" s="254"/>
      <c r="E440" s="379">
        <v>141429</v>
      </c>
      <c r="F440" s="395" t="s">
        <v>119</v>
      </c>
      <c r="G440" s="396"/>
      <c r="H440" s="397"/>
      <c r="I440" s="383">
        <v>4915000</v>
      </c>
      <c r="J440" s="398">
        <v>141429</v>
      </c>
      <c r="K440" s="399" t="s">
        <v>71</v>
      </c>
      <c r="L440" s="399" t="s">
        <v>34</v>
      </c>
      <c r="M440" s="399">
        <v>174</v>
      </c>
      <c r="N440" s="356">
        <v>4915000</v>
      </c>
      <c r="O440" s="28" t="b">
        <f t="shared" si="36"/>
        <v>1</v>
      </c>
    </row>
    <row r="441" spans="2:15" s="28" customFormat="1" ht="16.5" customHeight="1">
      <c r="B441" s="20"/>
      <c r="C441" s="20"/>
      <c r="D441" s="254"/>
      <c r="E441" s="379">
        <v>141467</v>
      </c>
      <c r="F441" s="395" t="s">
        <v>393</v>
      </c>
      <c r="G441" s="396"/>
      <c r="H441" s="397"/>
      <c r="I441" s="383">
        <v>233000</v>
      </c>
      <c r="J441" s="398">
        <v>141467</v>
      </c>
      <c r="K441" s="399" t="s">
        <v>70</v>
      </c>
      <c r="L441" s="399" t="s">
        <v>34</v>
      </c>
      <c r="M441" s="399">
        <v>15.87</v>
      </c>
      <c r="N441" s="356">
        <v>233000</v>
      </c>
      <c r="O441" s="28" t="b">
        <f t="shared" si="36"/>
        <v>1</v>
      </c>
    </row>
    <row r="442" spans="2:15" s="28" customFormat="1" ht="16.5" customHeight="1">
      <c r="B442" s="20"/>
      <c r="C442" s="20"/>
      <c r="D442" s="254"/>
      <c r="E442" s="379">
        <v>141468</v>
      </c>
      <c r="F442" s="395" t="s">
        <v>686</v>
      </c>
      <c r="G442" s="396"/>
      <c r="H442" s="397"/>
      <c r="I442" s="383">
        <v>2439000</v>
      </c>
      <c r="J442" s="398">
        <v>141468</v>
      </c>
      <c r="K442" s="399" t="s">
        <v>71</v>
      </c>
      <c r="L442" s="399" t="s">
        <v>34</v>
      </c>
      <c r="M442" s="399">
        <v>180</v>
      </c>
      <c r="N442" s="356">
        <v>2439000</v>
      </c>
      <c r="O442" s="28" t="b">
        <f t="shared" si="36"/>
        <v>1</v>
      </c>
    </row>
    <row r="443" spans="2:15" s="28" customFormat="1" ht="16.5" customHeight="1">
      <c r="B443" s="20"/>
      <c r="C443" s="20"/>
      <c r="D443" s="254"/>
      <c r="E443" s="379">
        <v>141654</v>
      </c>
      <c r="F443" s="395" t="s">
        <v>394</v>
      </c>
      <c r="G443" s="396"/>
      <c r="H443" s="397"/>
      <c r="I443" s="383">
        <v>62700</v>
      </c>
      <c r="J443" s="398">
        <v>141654</v>
      </c>
      <c r="K443" s="399" t="s">
        <v>70</v>
      </c>
      <c r="L443" s="399" t="s">
        <v>34</v>
      </c>
      <c r="M443" s="399">
        <v>20</v>
      </c>
      <c r="N443" s="356">
        <v>62700</v>
      </c>
      <c r="O443" s="28" t="b">
        <f t="shared" si="36"/>
        <v>1</v>
      </c>
    </row>
    <row r="444" spans="2:15" s="28" customFormat="1" ht="16.5" customHeight="1">
      <c r="B444" s="20"/>
      <c r="C444" s="20"/>
      <c r="D444" s="254"/>
      <c r="E444" s="379">
        <v>141655</v>
      </c>
      <c r="F444" s="395" t="s">
        <v>689</v>
      </c>
      <c r="G444" s="396"/>
      <c r="H444" s="397"/>
      <c r="I444" s="383">
        <v>582000</v>
      </c>
      <c r="J444" s="398">
        <v>141655</v>
      </c>
      <c r="K444" s="399" t="s">
        <v>71</v>
      </c>
      <c r="L444" s="399" t="s">
        <v>34</v>
      </c>
      <c r="M444" s="399">
        <v>200</v>
      </c>
      <c r="N444" s="356">
        <v>582000</v>
      </c>
      <c r="O444" s="28" t="b">
        <f t="shared" si="36"/>
        <v>1</v>
      </c>
    </row>
    <row r="445" spans="2:15" s="28" customFormat="1" ht="16.5" customHeight="1">
      <c r="B445" s="20"/>
      <c r="C445" s="20"/>
      <c r="D445" s="254"/>
      <c r="E445" s="379">
        <v>141657</v>
      </c>
      <c r="F445" s="395" t="s">
        <v>395</v>
      </c>
      <c r="G445" s="396"/>
      <c r="H445" s="397"/>
      <c r="I445" s="383">
        <v>62700</v>
      </c>
      <c r="J445" s="398">
        <v>141657</v>
      </c>
      <c r="K445" s="399" t="s">
        <v>70</v>
      </c>
      <c r="L445" s="399" t="s">
        <v>34</v>
      </c>
      <c r="M445" s="399">
        <v>20</v>
      </c>
      <c r="N445" s="356">
        <v>62700</v>
      </c>
      <c r="O445" s="28" t="b">
        <f t="shared" si="36"/>
        <v>1</v>
      </c>
    </row>
    <row r="446" spans="2:15" s="28" customFormat="1" ht="16.5" customHeight="1">
      <c r="B446" s="20"/>
      <c r="C446" s="20"/>
      <c r="D446" s="254"/>
      <c r="E446" s="379">
        <v>141658</v>
      </c>
      <c r="F446" s="395" t="s">
        <v>691</v>
      </c>
      <c r="G446" s="396"/>
      <c r="H446" s="397"/>
      <c r="I446" s="383">
        <v>582000</v>
      </c>
      <c r="J446" s="398">
        <v>141658</v>
      </c>
      <c r="K446" s="399" t="s">
        <v>71</v>
      </c>
      <c r="L446" s="399" t="s">
        <v>34</v>
      </c>
      <c r="M446" s="399">
        <v>200</v>
      </c>
      <c r="N446" s="356">
        <v>582000</v>
      </c>
      <c r="O446" s="28" t="b">
        <f t="shared" si="36"/>
        <v>1</v>
      </c>
    </row>
    <row r="447" spans="2:15" s="28" customFormat="1" ht="16.5" customHeight="1">
      <c r="B447" s="20"/>
      <c r="C447" s="20"/>
      <c r="D447" s="254"/>
      <c r="E447" s="379">
        <v>141666</v>
      </c>
      <c r="F447" s="395" t="s">
        <v>693</v>
      </c>
      <c r="G447" s="396"/>
      <c r="H447" s="397"/>
      <c r="I447" s="383">
        <v>755000</v>
      </c>
      <c r="J447" s="398">
        <v>141666</v>
      </c>
      <c r="K447" s="399" t="s">
        <v>71</v>
      </c>
      <c r="L447" s="399" t="s">
        <v>34</v>
      </c>
      <c r="M447" s="399">
        <v>200</v>
      </c>
      <c r="N447" s="356">
        <v>755000</v>
      </c>
      <c r="O447" s="28" t="b">
        <f t="shared" si="36"/>
        <v>1</v>
      </c>
    </row>
    <row r="448" spans="2:15" s="28" customFormat="1" ht="16.5" customHeight="1">
      <c r="B448" s="20"/>
      <c r="C448" s="20"/>
      <c r="D448" s="254"/>
      <c r="E448" s="379">
        <v>141667</v>
      </c>
      <c r="F448" s="395" t="s">
        <v>694</v>
      </c>
      <c r="G448" s="396"/>
      <c r="H448" s="397"/>
      <c r="I448" s="383">
        <v>755000</v>
      </c>
      <c r="J448" s="398">
        <v>141667</v>
      </c>
      <c r="K448" s="399" t="s">
        <v>71</v>
      </c>
      <c r="L448" s="399" t="s">
        <v>34</v>
      </c>
      <c r="M448" s="399">
        <v>200</v>
      </c>
      <c r="N448" s="356">
        <v>755000</v>
      </c>
      <c r="O448" s="28" t="b">
        <f t="shared" si="36"/>
        <v>1</v>
      </c>
    </row>
    <row r="449" spans="2:15" s="28" customFormat="1" ht="16.5" customHeight="1">
      <c r="B449" s="20"/>
      <c r="C449" s="20"/>
      <c r="D449" s="254"/>
      <c r="E449" s="379">
        <v>141737</v>
      </c>
      <c r="F449" s="395" t="s">
        <v>116</v>
      </c>
      <c r="G449" s="396"/>
      <c r="H449" s="397"/>
      <c r="I449" s="383">
        <v>56300</v>
      </c>
      <c r="J449" s="398">
        <v>141737</v>
      </c>
      <c r="K449" s="399" t="s">
        <v>70</v>
      </c>
      <c r="L449" s="399" t="s">
        <v>34</v>
      </c>
      <c r="M449" s="399">
        <v>20</v>
      </c>
      <c r="N449" s="356">
        <v>56300</v>
      </c>
      <c r="O449" s="28" t="b">
        <f t="shared" si="36"/>
        <v>1</v>
      </c>
    </row>
    <row r="450" spans="2:15" s="28" customFormat="1" ht="16.5" customHeight="1">
      <c r="B450" s="20"/>
      <c r="C450" s="20"/>
      <c r="D450" s="254"/>
      <c r="E450" s="379">
        <v>141738</v>
      </c>
      <c r="F450" s="395" t="s">
        <v>115</v>
      </c>
      <c r="G450" s="396"/>
      <c r="H450" s="397"/>
      <c r="I450" s="383">
        <v>520000</v>
      </c>
      <c r="J450" s="398">
        <v>141738</v>
      </c>
      <c r="K450" s="399" t="s">
        <v>71</v>
      </c>
      <c r="L450" s="399" t="s">
        <v>34</v>
      </c>
      <c r="M450" s="399">
        <v>200</v>
      </c>
      <c r="N450" s="356">
        <v>520000</v>
      </c>
      <c r="O450" s="28" t="b">
        <f t="shared" si="36"/>
        <v>1</v>
      </c>
    </row>
    <row r="451" spans="2:15" s="28" customFormat="1" ht="16.5" customHeight="1">
      <c r="B451" s="20"/>
      <c r="C451" s="20"/>
      <c r="D451" s="254"/>
      <c r="E451" s="379">
        <v>141741</v>
      </c>
      <c r="F451" s="395" t="s">
        <v>114</v>
      </c>
      <c r="G451" s="396"/>
      <c r="H451" s="397"/>
      <c r="I451" s="383">
        <v>53900</v>
      </c>
      <c r="J451" s="398">
        <v>141741</v>
      </c>
      <c r="K451" s="399" t="s">
        <v>70</v>
      </c>
      <c r="L451" s="399" t="s">
        <v>34</v>
      </c>
      <c r="M451" s="399">
        <v>20</v>
      </c>
      <c r="N451" s="356">
        <v>53900</v>
      </c>
      <c r="O451" s="28" t="b">
        <f t="shared" si="36"/>
        <v>1</v>
      </c>
    </row>
    <row r="452" spans="2:15" s="28" customFormat="1" ht="16.5" customHeight="1">
      <c r="B452" s="20"/>
      <c r="C452" s="20"/>
      <c r="D452" s="254"/>
      <c r="E452" s="379">
        <v>141742</v>
      </c>
      <c r="F452" s="395" t="s">
        <v>113</v>
      </c>
      <c r="G452" s="396"/>
      <c r="H452" s="397"/>
      <c r="I452" s="383">
        <v>492000</v>
      </c>
      <c r="J452" s="398">
        <v>141742</v>
      </c>
      <c r="K452" s="399" t="s">
        <v>71</v>
      </c>
      <c r="L452" s="399" t="s">
        <v>34</v>
      </c>
      <c r="M452" s="399">
        <v>200</v>
      </c>
      <c r="N452" s="356">
        <v>492000</v>
      </c>
      <c r="O452" s="28" t="b">
        <f t="shared" si="36"/>
        <v>1</v>
      </c>
    </row>
    <row r="453" spans="2:15" s="28" customFormat="1" ht="16.5" customHeight="1">
      <c r="B453" s="20"/>
      <c r="C453" s="20"/>
      <c r="D453" s="254"/>
      <c r="E453" s="379">
        <v>141745</v>
      </c>
      <c r="F453" s="395" t="s">
        <v>112</v>
      </c>
      <c r="G453" s="396"/>
      <c r="H453" s="397"/>
      <c r="I453" s="383">
        <v>53900</v>
      </c>
      <c r="J453" s="398">
        <v>141745</v>
      </c>
      <c r="K453" s="399" t="s">
        <v>70</v>
      </c>
      <c r="L453" s="399" t="s">
        <v>34</v>
      </c>
      <c r="M453" s="399">
        <v>20</v>
      </c>
      <c r="N453" s="356">
        <v>53900</v>
      </c>
      <c r="O453" s="28" t="b">
        <f t="shared" si="36"/>
        <v>1</v>
      </c>
    </row>
    <row r="454" spans="2:15" s="28" customFormat="1" ht="16.5" customHeight="1">
      <c r="B454" s="20"/>
      <c r="C454" s="20"/>
      <c r="D454" s="254"/>
      <c r="E454" s="379">
        <v>141746</v>
      </c>
      <c r="F454" s="395" t="s">
        <v>111</v>
      </c>
      <c r="G454" s="396"/>
      <c r="H454" s="397"/>
      <c r="I454" s="383">
        <v>492000</v>
      </c>
      <c r="J454" s="398">
        <v>141746</v>
      </c>
      <c r="K454" s="399" t="s">
        <v>71</v>
      </c>
      <c r="L454" s="399" t="s">
        <v>34</v>
      </c>
      <c r="M454" s="399">
        <v>200</v>
      </c>
      <c r="N454" s="356">
        <v>492000</v>
      </c>
      <c r="O454" s="28" t="b">
        <f t="shared" si="36"/>
        <v>1</v>
      </c>
    </row>
    <row r="455" spans="2:15" s="28" customFormat="1" ht="16.5" customHeight="1">
      <c r="B455" s="20"/>
      <c r="C455" s="20"/>
      <c r="D455" s="254"/>
      <c r="E455" s="379">
        <v>141750</v>
      </c>
      <c r="F455" s="395" t="s">
        <v>231</v>
      </c>
      <c r="G455" s="396"/>
      <c r="H455" s="397"/>
      <c r="I455" s="383">
        <v>53900</v>
      </c>
      <c r="J455" s="398">
        <v>141750</v>
      </c>
      <c r="K455" s="399" t="s">
        <v>70</v>
      </c>
      <c r="L455" s="399" t="s">
        <v>34</v>
      </c>
      <c r="M455" s="399">
        <v>20</v>
      </c>
      <c r="N455" s="356">
        <v>53900</v>
      </c>
      <c r="O455" s="28" t="b">
        <f t="shared" si="36"/>
        <v>1</v>
      </c>
    </row>
    <row r="456" spans="2:15" s="28" customFormat="1" ht="16.5" customHeight="1">
      <c r="B456" s="20"/>
      <c r="C456" s="20"/>
      <c r="D456" s="254"/>
      <c r="E456" s="379">
        <v>141751</v>
      </c>
      <c r="F456" s="395" t="s">
        <v>110</v>
      </c>
      <c r="G456" s="396"/>
      <c r="H456" s="397"/>
      <c r="I456" s="383">
        <v>492000</v>
      </c>
      <c r="J456" s="398">
        <v>141751</v>
      </c>
      <c r="K456" s="399" t="s">
        <v>71</v>
      </c>
      <c r="L456" s="399" t="s">
        <v>34</v>
      </c>
      <c r="M456" s="399">
        <v>200</v>
      </c>
      <c r="N456" s="356">
        <v>492000</v>
      </c>
      <c r="O456" s="28" t="b">
        <f t="shared" si="36"/>
        <v>1</v>
      </c>
    </row>
    <row r="457" spans="2:15" s="28" customFormat="1" ht="16.5" customHeight="1">
      <c r="B457" s="20"/>
      <c r="C457" s="20"/>
      <c r="D457" s="254"/>
      <c r="E457" s="379">
        <v>141763</v>
      </c>
      <c r="F457" s="395" t="s">
        <v>396</v>
      </c>
      <c r="G457" s="396"/>
      <c r="H457" s="397"/>
      <c r="I457" s="383">
        <v>79600</v>
      </c>
      <c r="J457" s="398">
        <v>141763</v>
      </c>
      <c r="K457" s="399" t="s">
        <v>70</v>
      </c>
      <c r="L457" s="399" t="s">
        <v>34</v>
      </c>
      <c r="M457" s="399">
        <v>20</v>
      </c>
      <c r="N457" s="356">
        <v>79600</v>
      </c>
      <c r="O457" s="28" t="b">
        <f t="shared" si="36"/>
        <v>1</v>
      </c>
    </row>
    <row r="458" spans="2:15" s="28" customFormat="1" ht="16.5" customHeight="1">
      <c r="B458" s="20"/>
      <c r="C458" s="20"/>
      <c r="D458" s="254"/>
      <c r="E458" s="379">
        <v>142012</v>
      </c>
      <c r="F458" s="395" t="s">
        <v>129</v>
      </c>
      <c r="G458" s="396"/>
      <c r="H458" s="397"/>
      <c r="I458" s="383">
        <v>46900</v>
      </c>
      <c r="J458" s="398">
        <v>142012</v>
      </c>
      <c r="K458" s="399" t="s">
        <v>70</v>
      </c>
      <c r="L458" s="399" t="s">
        <v>34</v>
      </c>
      <c r="M458" s="399">
        <v>20</v>
      </c>
      <c r="N458" s="356">
        <v>46900</v>
      </c>
      <c r="O458" s="28" t="b">
        <f t="shared" si="36"/>
        <v>1</v>
      </c>
    </row>
    <row r="459" spans="2:15" s="28" customFormat="1" ht="16.5" customHeight="1">
      <c r="B459" s="20"/>
      <c r="C459" s="20"/>
      <c r="D459" s="254"/>
      <c r="E459" s="379">
        <v>142028</v>
      </c>
      <c r="F459" s="395" t="s">
        <v>768</v>
      </c>
      <c r="G459" s="396"/>
      <c r="H459" s="397"/>
      <c r="I459" s="383">
        <v>318000</v>
      </c>
      <c r="J459" s="398">
        <v>142028</v>
      </c>
      <c r="K459" s="399" t="s">
        <v>70</v>
      </c>
      <c r="L459" s="399" t="s">
        <v>34</v>
      </c>
      <c r="M459" s="399">
        <v>16</v>
      </c>
      <c r="N459" s="356">
        <v>318000</v>
      </c>
      <c r="O459" s="28" t="b">
        <f t="shared" si="36"/>
        <v>1</v>
      </c>
    </row>
    <row r="460" spans="2:15" s="28" customFormat="1" ht="16.5" customHeight="1">
      <c r="B460" s="20"/>
      <c r="C460" s="20"/>
      <c r="D460" s="254"/>
      <c r="E460" s="379">
        <v>142288</v>
      </c>
      <c r="F460" s="395" t="s">
        <v>121</v>
      </c>
      <c r="G460" s="396"/>
      <c r="H460" s="397"/>
      <c r="I460" s="383">
        <v>6002000</v>
      </c>
      <c r="J460" s="398">
        <v>142288</v>
      </c>
      <c r="K460" s="399" t="s">
        <v>71</v>
      </c>
      <c r="L460" s="399" t="s">
        <v>34</v>
      </c>
      <c r="M460" s="399">
        <v>208</v>
      </c>
      <c r="N460" s="356">
        <v>6002000</v>
      </c>
      <c r="O460" s="28" t="b">
        <f t="shared" si="36"/>
        <v>1</v>
      </c>
    </row>
    <row r="461" spans="2:15" s="28" customFormat="1" ht="16.5" customHeight="1">
      <c r="B461" s="20"/>
      <c r="C461" s="20"/>
      <c r="D461" s="254"/>
      <c r="E461" s="379">
        <v>142411</v>
      </c>
      <c r="F461" s="395" t="s">
        <v>705</v>
      </c>
      <c r="G461" s="396"/>
      <c r="H461" s="397"/>
      <c r="I461" s="383">
        <v>777000</v>
      </c>
      <c r="J461" s="398">
        <v>142411</v>
      </c>
      <c r="K461" s="399" t="s">
        <v>71</v>
      </c>
      <c r="L461" s="399" t="s">
        <v>34</v>
      </c>
      <c r="M461" s="399">
        <v>200</v>
      </c>
      <c r="N461" s="356">
        <v>777000</v>
      </c>
      <c r="O461" s="28" t="b">
        <f t="shared" si="36"/>
        <v>1</v>
      </c>
    </row>
    <row r="462" spans="2:15" s="28" customFormat="1" ht="16.5" customHeight="1">
      <c r="B462" s="20"/>
      <c r="C462" s="20"/>
      <c r="D462" s="254"/>
      <c r="E462" s="379">
        <v>142637</v>
      </c>
      <c r="F462" s="395" t="s">
        <v>707</v>
      </c>
      <c r="G462" s="396"/>
      <c r="H462" s="397"/>
      <c r="I462" s="383">
        <v>4494000</v>
      </c>
      <c r="J462" s="399">
        <v>142637</v>
      </c>
      <c r="K462" s="399" t="s">
        <v>71</v>
      </c>
      <c r="L462" s="399" t="s">
        <v>34</v>
      </c>
      <c r="M462" s="399">
        <v>200</v>
      </c>
      <c r="N462" s="356">
        <v>4494000</v>
      </c>
      <c r="O462" s="28" t="b">
        <f t="shared" si="36"/>
        <v>1</v>
      </c>
    </row>
    <row r="463" spans="2:15" s="28" customFormat="1" ht="16.5" customHeight="1">
      <c r="B463" s="20"/>
      <c r="C463" s="20"/>
      <c r="D463" s="254"/>
      <c r="E463" s="379">
        <v>143560</v>
      </c>
      <c r="F463" s="395" t="s">
        <v>724</v>
      </c>
      <c r="G463" s="396"/>
      <c r="H463" s="397"/>
      <c r="I463" s="383">
        <v>728000</v>
      </c>
      <c r="J463" s="398">
        <v>143560</v>
      </c>
      <c r="K463" s="399" t="s">
        <v>71</v>
      </c>
      <c r="L463" s="399" t="s">
        <v>34</v>
      </c>
      <c r="M463" s="399">
        <v>200</v>
      </c>
      <c r="N463" s="356">
        <v>728000</v>
      </c>
      <c r="O463" s="28" t="b">
        <f t="shared" si="36"/>
        <v>1</v>
      </c>
    </row>
    <row r="464" spans="2:15" s="28" customFormat="1" ht="16.5" customHeight="1">
      <c r="B464" s="20"/>
      <c r="C464" s="20"/>
      <c r="D464" s="254"/>
      <c r="E464" s="379">
        <v>143561</v>
      </c>
      <c r="F464" s="395" t="s">
        <v>725</v>
      </c>
      <c r="G464" s="396"/>
      <c r="H464" s="397"/>
      <c r="I464" s="383">
        <v>728000</v>
      </c>
      <c r="J464" s="398">
        <v>143561</v>
      </c>
      <c r="K464" s="399" t="s">
        <v>71</v>
      </c>
      <c r="L464" s="399" t="s">
        <v>34</v>
      </c>
      <c r="M464" s="399">
        <v>200</v>
      </c>
      <c r="N464" s="356">
        <v>728000</v>
      </c>
      <c r="O464" s="28" t="b">
        <f t="shared" si="36"/>
        <v>1</v>
      </c>
    </row>
    <row r="465" spans="2:15" s="28" customFormat="1" ht="16.5" customHeight="1">
      <c r="B465" s="20"/>
      <c r="C465" s="20"/>
      <c r="D465" s="254"/>
      <c r="E465" s="379">
        <v>143563</v>
      </c>
      <c r="F465" s="395" t="s">
        <v>726</v>
      </c>
      <c r="G465" s="396"/>
      <c r="H465" s="397"/>
      <c r="I465" s="383">
        <v>728000</v>
      </c>
      <c r="J465" s="398">
        <v>143563</v>
      </c>
      <c r="K465" s="399" t="s">
        <v>71</v>
      </c>
      <c r="L465" s="399" t="s">
        <v>34</v>
      </c>
      <c r="M465" s="399">
        <v>200</v>
      </c>
      <c r="N465" s="356">
        <v>728000</v>
      </c>
      <c r="O465" s="28" t="b">
        <f t="shared" si="36"/>
        <v>1</v>
      </c>
    </row>
    <row r="466" spans="2:15" s="28" customFormat="1" ht="16.5" customHeight="1">
      <c r="B466" s="20"/>
      <c r="C466" s="20"/>
      <c r="D466" s="254"/>
      <c r="E466" s="379">
        <v>143982</v>
      </c>
      <c r="F466" s="395" t="s">
        <v>749</v>
      </c>
      <c r="G466" s="396"/>
      <c r="H466" s="397"/>
      <c r="I466" s="383">
        <v>2995000</v>
      </c>
      <c r="J466" s="398">
        <v>143982</v>
      </c>
      <c r="K466" s="399" t="s">
        <v>71</v>
      </c>
      <c r="L466" s="399" t="s">
        <v>34</v>
      </c>
      <c r="M466" s="399">
        <v>208</v>
      </c>
      <c r="N466" s="356">
        <v>2995000</v>
      </c>
      <c r="O466" s="28" t="b">
        <f t="shared" si="36"/>
        <v>1</v>
      </c>
    </row>
    <row r="467" spans="2:15" s="28" customFormat="1" ht="16.5" customHeight="1">
      <c r="B467" s="20"/>
      <c r="C467" s="20"/>
      <c r="D467" s="254"/>
      <c r="E467" s="379">
        <v>143983</v>
      </c>
      <c r="F467" s="395" t="s">
        <v>743</v>
      </c>
      <c r="G467" s="396"/>
      <c r="H467" s="397"/>
      <c r="I467" s="383">
        <v>287000</v>
      </c>
      <c r="J467" s="399">
        <v>143983</v>
      </c>
      <c r="K467" s="399" t="s">
        <v>70</v>
      </c>
      <c r="L467" s="399" t="s">
        <v>34</v>
      </c>
      <c r="M467" s="399">
        <v>20</v>
      </c>
      <c r="N467" s="356">
        <v>287000</v>
      </c>
      <c r="O467" s="28" t="b">
        <f t="shared" si="36"/>
        <v>1</v>
      </c>
    </row>
    <row r="468" spans="2:15" s="28" customFormat="1" ht="16.5" customHeight="1">
      <c r="B468" s="20"/>
      <c r="C468" s="20"/>
      <c r="D468" s="254"/>
      <c r="E468" s="379">
        <v>143985</v>
      </c>
      <c r="F468" s="395" t="s">
        <v>769</v>
      </c>
      <c r="G468" s="396"/>
      <c r="H468" s="397"/>
      <c r="I468" s="383">
        <v>2763000</v>
      </c>
      <c r="J468" s="398">
        <v>143985</v>
      </c>
      <c r="K468" s="399" t="s">
        <v>71</v>
      </c>
      <c r="L468" s="399" t="s">
        <v>34</v>
      </c>
      <c r="M468" s="399">
        <v>208</v>
      </c>
      <c r="N468" s="356">
        <v>2763000</v>
      </c>
      <c r="O468" s="28" t="b">
        <f t="shared" si="36"/>
        <v>1</v>
      </c>
    </row>
    <row r="469" spans="2:15" s="28" customFormat="1" ht="16.5" customHeight="1">
      <c r="B469" s="20"/>
      <c r="C469" s="20"/>
      <c r="D469" s="254"/>
      <c r="E469" s="379">
        <v>143987</v>
      </c>
      <c r="F469" s="395" t="s">
        <v>747</v>
      </c>
      <c r="G469" s="396"/>
      <c r="H469" s="397"/>
      <c r="I469" s="383">
        <v>2938000</v>
      </c>
      <c r="J469" s="398">
        <v>143987</v>
      </c>
      <c r="K469" s="399" t="s">
        <v>71</v>
      </c>
      <c r="L469" s="399" t="s">
        <v>34</v>
      </c>
      <c r="M469" s="399">
        <v>208</v>
      </c>
      <c r="N469" s="356">
        <v>2938000</v>
      </c>
      <c r="O469" s="28" t="b">
        <f t="shared" si="36"/>
        <v>1</v>
      </c>
    </row>
    <row r="470" spans="2:15" s="28" customFormat="1" ht="16.5" customHeight="1">
      <c r="B470" s="20"/>
      <c r="C470" s="20"/>
      <c r="D470" s="254"/>
      <c r="E470" s="379">
        <v>143988</v>
      </c>
      <c r="F470" s="395" t="s">
        <v>742</v>
      </c>
      <c r="G470" s="396"/>
      <c r="H470" s="397"/>
      <c r="I470" s="383">
        <v>289000</v>
      </c>
      <c r="J470" s="398">
        <v>143988</v>
      </c>
      <c r="K470" s="399" t="s">
        <v>70</v>
      </c>
      <c r="L470" s="399" t="s">
        <v>34</v>
      </c>
      <c r="M470" s="399">
        <v>20</v>
      </c>
      <c r="N470" s="356">
        <v>289000</v>
      </c>
      <c r="O470" s="28" t="b">
        <f t="shared" si="36"/>
        <v>1</v>
      </c>
    </row>
    <row r="471" spans="2:15" s="28" customFormat="1" ht="16.5" customHeight="1">
      <c r="B471" s="20"/>
      <c r="C471" s="20"/>
      <c r="D471" s="254"/>
      <c r="E471" s="379">
        <v>143990</v>
      </c>
      <c r="F471" s="395" t="s">
        <v>770</v>
      </c>
      <c r="G471" s="396"/>
      <c r="H471" s="397"/>
      <c r="I471" s="383">
        <v>3124000</v>
      </c>
      <c r="J471" s="398">
        <v>143990</v>
      </c>
      <c r="K471" s="399" t="s">
        <v>71</v>
      </c>
      <c r="L471" s="399" t="s">
        <v>34</v>
      </c>
      <c r="M471" s="399">
        <v>208</v>
      </c>
      <c r="N471" s="356">
        <v>3124000</v>
      </c>
      <c r="O471" s="28" t="b">
        <f t="shared" si="36"/>
        <v>1</v>
      </c>
    </row>
    <row r="472" spans="2:15" s="28" customFormat="1" ht="16.5" customHeight="1">
      <c r="B472" s="20"/>
      <c r="C472" s="20"/>
      <c r="D472" s="254"/>
      <c r="E472" s="379">
        <v>143991</v>
      </c>
      <c r="F472" s="395" t="s">
        <v>771</v>
      </c>
      <c r="G472" s="396"/>
      <c r="H472" s="397"/>
      <c r="I472" s="383">
        <v>337000</v>
      </c>
      <c r="J472" s="398">
        <v>143991</v>
      </c>
      <c r="K472" s="399" t="s">
        <v>70</v>
      </c>
      <c r="L472" s="399" t="s">
        <v>34</v>
      </c>
      <c r="M472" s="399">
        <v>20</v>
      </c>
      <c r="N472" s="356">
        <v>337000</v>
      </c>
      <c r="O472" s="28" t="b">
        <f t="shared" si="36"/>
        <v>1</v>
      </c>
    </row>
    <row r="473" spans="2:15" s="28" customFormat="1" ht="16.5" customHeight="1">
      <c r="B473" s="20"/>
      <c r="C473" s="20"/>
      <c r="D473" s="254"/>
      <c r="E473" s="379">
        <v>143993</v>
      </c>
      <c r="F473" s="395" t="s">
        <v>772</v>
      </c>
      <c r="G473" s="396"/>
      <c r="H473" s="397"/>
      <c r="I473" s="383">
        <v>3255000</v>
      </c>
      <c r="J473" s="399">
        <v>143993</v>
      </c>
      <c r="K473" s="399" t="s">
        <v>71</v>
      </c>
      <c r="L473" s="399" t="s">
        <v>34</v>
      </c>
      <c r="M473" s="399">
        <v>208</v>
      </c>
      <c r="N473" s="356">
        <v>3255000</v>
      </c>
      <c r="O473" s="28" t="b">
        <f t="shared" si="36"/>
        <v>1</v>
      </c>
    </row>
    <row r="474" spans="2:15" s="28" customFormat="1" ht="16.5" customHeight="1">
      <c r="B474" s="20"/>
      <c r="C474" s="20"/>
      <c r="D474" s="254"/>
      <c r="E474" s="379">
        <v>143994</v>
      </c>
      <c r="F474" s="395" t="s">
        <v>773</v>
      </c>
      <c r="G474" s="396"/>
      <c r="H474" s="397"/>
      <c r="I474" s="383">
        <v>351000</v>
      </c>
      <c r="J474" s="398">
        <v>143994</v>
      </c>
      <c r="K474" s="399" t="s">
        <v>70</v>
      </c>
      <c r="L474" s="399" t="s">
        <v>34</v>
      </c>
      <c r="M474" s="399">
        <v>20</v>
      </c>
      <c r="N474" s="356">
        <v>351000</v>
      </c>
      <c r="O474" s="28" t="b">
        <f t="shared" si="36"/>
        <v>1</v>
      </c>
    </row>
    <row r="475" spans="2:15" s="28" customFormat="1" ht="16.5" customHeight="1">
      <c r="B475" s="20"/>
      <c r="C475" s="20"/>
      <c r="D475" s="254"/>
      <c r="E475" s="379">
        <v>144165</v>
      </c>
      <c r="F475" s="395" t="s">
        <v>750</v>
      </c>
      <c r="G475" s="396"/>
      <c r="H475" s="397"/>
      <c r="I475" s="383">
        <v>34300</v>
      </c>
      <c r="J475" s="398">
        <v>144165</v>
      </c>
      <c r="K475" s="399" t="s">
        <v>70</v>
      </c>
      <c r="L475" s="399" t="s">
        <v>34</v>
      </c>
      <c r="M475" s="399">
        <v>20</v>
      </c>
      <c r="N475" s="356">
        <v>34300</v>
      </c>
      <c r="O475" s="28" t="b">
        <f t="shared" si="36"/>
        <v>1</v>
      </c>
    </row>
    <row r="476" spans="2:15" s="28" customFormat="1" ht="16.5" customHeight="1">
      <c r="B476" s="20"/>
      <c r="C476" s="20"/>
      <c r="D476" s="254"/>
      <c r="E476" s="379">
        <v>144166</v>
      </c>
      <c r="F476" s="395" t="s">
        <v>748</v>
      </c>
      <c r="G476" s="396"/>
      <c r="H476" s="397"/>
      <c r="I476" s="383">
        <v>318000</v>
      </c>
      <c r="J476" s="398">
        <v>144166</v>
      </c>
      <c r="K476" s="399" t="s">
        <v>71</v>
      </c>
      <c r="L476" s="399" t="s">
        <v>34</v>
      </c>
      <c r="M476" s="399">
        <v>200</v>
      </c>
      <c r="N476" s="356">
        <v>318000</v>
      </c>
      <c r="O476" s="28" t="b">
        <f t="shared" ref="O476:O505" si="37">I476=N476</f>
        <v>1</v>
      </c>
    </row>
    <row r="477" spans="2:15" s="28" customFormat="1" ht="16.5" customHeight="1">
      <c r="B477" s="20"/>
      <c r="C477" s="20"/>
      <c r="D477" s="254"/>
      <c r="E477" s="379">
        <v>144167</v>
      </c>
      <c r="F477" s="395" t="s">
        <v>745</v>
      </c>
      <c r="G477" s="396"/>
      <c r="H477" s="397"/>
      <c r="I477" s="383">
        <v>34300</v>
      </c>
      <c r="J477" s="398">
        <v>144167</v>
      </c>
      <c r="K477" s="399" t="s">
        <v>70</v>
      </c>
      <c r="L477" s="399" t="s">
        <v>34</v>
      </c>
      <c r="M477" s="399">
        <v>20</v>
      </c>
      <c r="N477" s="356">
        <v>34300</v>
      </c>
      <c r="O477" s="28" t="b">
        <f t="shared" si="37"/>
        <v>1</v>
      </c>
    </row>
    <row r="478" spans="2:15" s="28" customFormat="1" ht="16.5" customHeight="1">
      <c r="B478" s="20"/>
      <c r="C478" s="20"/>
      <c r="D478" s="254"/>
      <c r="E478" s="379">
        <v>144168</v>
      </c>
      <c r="F478" s="395" t="s">
        <v>744</v>
      </c>
      <c r="G478" s="396"/>
      <c r="H478" s="397"/>
      <c r="I478" s="383">
        <v>318000</v>
      </c>
      <c r="J478" s="398">
        <v>144168</v>
      </c>
      <c r="K478" s="399" t="s">
        <v>71</v>
      </c>
      <c r="L478" s="399" t="s">
        <v>34</v>
      </c>
      <c r="M478" s="399">
        <v>200</v>
      </c>
      <c r="N478" s="356">
        <v>318000</v>
      </c>
      <c r="O478" s="28" t="b">
        <f t="shared" si="37"/>
        <v>1</v>
      </c>
    </row>
    <row r="479" spans="2:15" s="28" customFormat="1" ht="16.5" customHeight="1">
      <c r="B479" s="20"/>
      <c r="C479" s="20"/>
      <c r="D479" s="254"/>
      <c r="E479" s="379">
        <v>144169</v>
      </c>
      <c r="F479" s="395" t="s">
        <v>751</v>
      </c>
      <c r="G479" s="396"/>
      <c r="H479" s="397"/>
      <c r="I479" s="383">
        <v>36600</v>
      </c>
      <c r="J479" s="398">
        <v>144169</v>
      </c>
      <c r="K479" s="399" t="s">
        <v>70</v>
      </c>
      <c r="L479" s="399" t="s">
        <v>34</v>
      </c>
      <c r="M479" s="399">
        <v>20</v>
      </c>
      <c r="N479" s="356">
        <v>35300</v>
      </c>
      <c r="O479" s="28" t="b">
        <f t="shared" si="37"/>
        <v>0</v>
      </c>
    </row>
    <row r="480" spans="2:15" s="28" customFormat="1" ht="16.5" customHeight="1">
      <c r="B480" s="20"/>
      <c r="C480" s="20"/>
      <c r="D480" s="254"/>
      <c r="E480" s="379">
        <v>144170</v>
      </c>
      <c r="F480" s="395" t="s">
        <v>752</v>
      </c>
      <c r="G480" s="396"/>
      <c r="H480" s="397"/>
      <c r="I480" s="383">
        <v>338000</v>
      </c>
      <c r="J480" s="398">
        <v>144170</v>
      </c>
      <c r="K480" s="399" t="s">
        <v>71</v>
      </c>
      <c r="L480" s="399" t="s">
        <v>34</v>
      </c>
      <c r="M480" s="399">
        <v>200</v>
      </c>
      <c r="N480" s="356">
        <v>328000</v>
      </c>
      <c r="O480" s="28" t="b">
        <f t="shared" si="37"/>
        <v>0</v>
      </c>
    </row>
    <row r="481" spans="2:15" s="28" customFormat="1" ht="16.5" customHeight="1">
      <c r="B481" s="20"/>
      <c r="C481" s="20"/>
      <c r="D481" s="254"/>
      <c r="E481" s="379">
        <v>138924</v>
      </c>
      <c r="F481" s="395" t="s">
        <v>555</v>
      </c>
      <c r="G481" s="396"/>
      <c r="H481" s="397"/>
      <c r="I481" s="383"/>
      <c r="J481" s="398">
        <v>138924</v>
      </c>
      <c r="K481" s="399" t="s">
        <v>71</v>
      </c>
      <c r="L481" s="399" t="s">
        <v>34</v>
      </c>
      <c r="M481" s="399">
        <v>200</v>
      </c>
      <c r="N481" s="356" t="e">
        <v>#N/A</v>
      </c>
      <c r="O481" s="28" t="e">
        <f t="shared" si="37"/>
        <v>#N/A</v>
      </c>
    </row>
    <row r="482" spans="2:15" s="28" customFormat="1" ht="16.5" customHeight="1">
      <c r="B482" s="20"/>
      <c r="C482" s="20"/>
      <c r="D482" s="254"/>
      <c r="E482" s="379">
        <v>144364</v>
      </c>
      <c r="F482" s="395" t="s">
        <v>780</v>
      </c>
      <c r="G482" s="396"/>
      <c r="H482" s="397"/>
      <c r="I482" s="383">
        <v>713000</v>
      </c>
      <c r="J482" s="398">
        <v>144364</v>
      </c>
      <c r="K482" s="399" t="s">
        <v>71</v>
      </c>
      <c r="L482" s="399" t="s">
        <v>34</v>
      </c>
      <c r="M482" s="399">
        <v>200</v>
      </c>
      <c r="N482" s="356">
        <v>713000</v>
      </c>
      <c r="O482" s="28" t="b">
        <f t="shared" si="37"/>
        <v>1</v>
      </c>
    </row>
    <row r="483" spans="2:15" s="28" customFormat="1" ht="16.5" customHeight="1">
      <c r="B483" s="20"/>
      <c r="C483" s="20"/>
      <c r="D483" s="254"/>
      <c r="E483" s="379">
        <v>136171</v>
      </c>
      <c r="F483" s="395" t="s">
        <v>39</v>
      </c>
      <c r="G483" s="396"/>
      <c r="H483" s="397"/>
      <c r="I483" s="383"/>
      <c r="J483" s="398">
        <v>136171</v>
      </c>
      <c r="K483" s="399" t="s">
        <v>70</v>
      </c>
      <c r="L483" s="399" t="s">
        <v>34</v>
      </c>
      <c r="M483" s="399">
        <v>20</v>
      </c>
      <c r="N483" s="356" t="e">
        <v>#N/A</v>
      </c>
      <c r="O483" s="28" t="e">
        <f t="shared" si="37"/>
        <v>#N/A</v>
      </c>
    </row>
    <row r="484" spans="2:15" s="28" customFormat="1" ht="16.5" customHeight="1">
      <c r="B484" s="20"/>
      <c r="C484" s="20"/>
      <c r="D484" s="254"/>
      <c r="E484" s="379">
        <v>148672</v>
      </c>
      <c r="F484" s="395" t="s">
        <v>779</v>
      </c>
      <c r="G484" s="396"/>
      <c r="H484" s="397"/>
      <c r="I484" s="383">
        <v>76100</v>
      </c>
      <c r="J484" s="398">
        <v>148672</v>
      </c>
      <c r="K484" s="399" t="s">
        <v>70</v>
      </c>
      <c r="L484" s="399" t="s">
        <v>34</v>
      </c>
      <c r="M484" s="399">
        <v>20</v>
      </c>
      <c r="N484" s="356">
        <v>76100</v>
      </c>
      <c r="O484" s="28" t="b">
        <f t="shared" si="37"/>
        <v>1</v>
      </c>
    </row>
    <row r="485" spans="2:15" s="28" customFormat="1" ht="16.5" customHeight="1">
      <c r="B485" s="20"/>
      <c r="C485" s="20"/>
      <c r="D485" s="254"/>
      <c r="E485" s="379">
        <v>144353</v>
      </c>
      <c r="F485" s="395" t="s">
        <v>774</v>
      </c>
      <c r="G485" s="396"/>
      <c r="H485" s="397"/>
      <c r="I485" s="383">
        <v>670000</v>
      </c>
      <c r="J485" s="398">
        <v>144353</v>
      </c>
      <c r="K485" s="399" t="s">
        <v>71</v>
      </c>
      <c r="L485" s="399" t="s">
        <v>34</v>
      </c>
      <c r="M485" s="399">
        <v>200</v>
      </c>
      <c r="N485" s="356">
        <v>670000</v>
      </c>
      <c r="O485" s="28" t="b">
        <f t="shared" si="37"/>
        <v>1</v>
      </c>
    </row>
    <row r="486" spans="2:15" s="28" customFormat="1" ht="16.5" customHeight="1">
      <c r="B486" s="20"/>
      <c r="C486" s="20"/>
      <c r="D486" s="254"/>
      <c r="E486" s="379">
        <v>148668</v>
      </c>
      <c r="F486" s="395" t="s">
        <v>758</v>
      </c>
      <c r="G486" s="396"/>
      <c r="H486" s="397"/>
      <c r="I486" s="383">
        <v>71700</v>
      </c>
      <c r="J486" s="398">
        <v>148668</v>
      </c>
      <c r="K486" s="399" t="s">
        <v>70</v>
      </c>
      <c r="L486" s="399" t="s">
        <v>34</v>
      </c>
      <c r="M486" s="399">
        <v>20</v>
      </c>
      <c r="N486" s="356">
        <v>71700</v>
      </c>
      <c r="O486" s="28" t="b">
        <f t="shared" si="37"/>
        <v>1</v>
      </c>
    </row>
    <row r="487" spans="2:15" s="28" customFormat="1" ht="16.5" customHeight="1">
      <c r="B487" s="20"/>
      <c r="C487" s="20"/>
      <c r="D487" s="254"/>
      <c r="E487" s="379">
        <v>138925</v>
      </c>
      <c r="F487" s="395" t="s">
        <v>556</v>
      </c>
      <c r="G487" s="396"/>
      <c r="H487" s="397"/>
      <c r="I487" s="383"/>
      <c r="J487" s="398">
        <v>138925</v>
      </c>
      <c r="K487" s="399" t="s">
        <v>71</v>
      </c>
      <c r="L487" s="399" t="s">
        <v>34</v>
      </c>
      <c r="M487" s="399">
        <v>200</v>
      </c>
      <c r="N487" s="356" t="e">
        <v>#N/A</v>
      </c>
      <c r="O487" s="28" t="e">
        <f t="shared" si="37"/>
        <v>#N/A</v>
      </c>
    </row>
    <row r="488" spans="2:15" s="28" customFormat="1" ht="16.5" customHeight="1">
      <c r="B488" s="20"/>
      <c r="C488" s="20"/>
      <c r="D488" s="254"/>
      <c r="E488" s="379">
        <v>144367</v>
      </c>
      <c r="F488" s="395" t="s">
        <v>782</v>
      </c>
      <c r="G488" s="396"/>
      <c r="H488" s="397"/>
      <c r="I488" s="383">
        <v>756000</v>
      </c>
      <c r="J488" s="398">
        <v>144367</v>
      </c>
      <c r="K488" s="399" t="s">
        <v>71</v>
      </c>
      <c r="L488" s="399" t="s">
        <v>34</v>
      </c>
      <c r="M488" s="399">
        <v>200</v>
      </c>
      <c r="N488" s="356">
        <v>756000</v>
      </c>
      <c r="O488" s="28" t="b">
        <f t="shared" si="37"/>
        <v>1</v>
      </c>
    </row>
    <row r="489" spans="2:15" s="28" customFormat="1" ht="16.5" customHeight="1">
      <c r="B489" s="20"/>
      <c r="C489" s="20"/>
      <c r="D489" s="254"/>
      <c r="E489" s="379">
        <v>136172</v>
      </c>
      <c r="F489" s="395" t="s">
        <v>38</v>
      </c>
      <c r="G489" s="396"/>
      <c r="H489" s="397"/>
      <c r="I489" s="383"/>
      <c r="J489" s="398">
        <v>136172</v>
      </c>
      <c r="K489" s="399" t="s">
        <v>70</v>
      </c>
      <c r="L489" s="399" t="s">
        <v>34</v>
      </c>
      <c r="M489" s="399">
        <v>20</v>
      </c>
      <c r="N489" s="356" t="e">
        <v>#N/A</v>
      </c>
      <c r="O489" s="28" t="e">
        <f t="shared" si="37"/>
        <v>#N/A</v>
      </c>
    </row>
    <row r="490" spans="2:15" s="28" customFormat="1" ht="16.5" customHeight="1">
      <c r="B490" s="20"/>
      <c r="C490" s="20"/>
      <c r="D490" s="254"/>
      <c r="E490" s="379">
        <v>148673</v>
      </c>
      <c r="F490" s="395" t="s">
        <v>781</v>
      </c>
      <c r="G490" s="396"/>
      <c r="H490" s="397"/>
      <c r="I490" s="383">
        <v>80200</v>
      </c>
      <c r="J490" s="398">
        <v>148673</v>
      </c>
      <c r="K490" s="399" t="s">
        <v>70</v>
      </c>
      <c r="L490" s="399" t="s">
        <v>34</v>
      </c>
      <c r="M490" s="399">
        <v>20</v>
      </c>
      <c r="N490" s="356">
        <v>80200</v>
      </c>
      <c r="O490" s="28" t="b">
        <f t="shared" si="37"/>
        <v>1</v>
      </c>
    </row>
    <row r="491" spans="2:15" s="28" customFormat="1" ht="16.5" customHeight="1">
      <c r="B491" s="20"/>
      <c r="C491" s="20"/>
      <c r="D491" s="254"/>
      <c r="E491" s="379">
        <v>144355</v>
      </c>
      <c r="F491" s="395" t="s">
        <v>775</v>
      </c>
      <c r="G491" s="396"/>
      <c r="H491" s="397"/>
      <c r="I491" s="383">
        <v>670000</v>
      </c>
      <c r="J491" s="398">
        <v>144355</v>
      </c>
      <c r="K491" s="399" t="s">
        <v>71</v>
      </c>
      <c r="L491" s="399" t="s">
        <v>34</v>
      </c>
      <c r="M491" s="399">
        <v>200</v>
      </c>
      <c r="N491" s="356">
        <v>670000</v>
      </c>
      <c r="O491" s="28" t="b">
        <f t="shared" si="37"/>
        <v>1</v>
      </c>
    </row>
    <row r="492" spans="2:15" s="28" customFormat="1" ht="16.5" customHeight="1">
      <c r="B492" s="20"/>
      <c r="C492" s="20"/>
      <c r="D492" s="254"/>
      <c r="E492" s="379">
        <v>148669</v>
      </c>
      <c r="F492" s="395" t="s">
        <v>755</v>
      </c>
      <c r="G492" s="396"/>
      <c r="H492" s="397"/>
      <c r="I492" s="383">
        <v>71700</v>
      </c>
      <c r="J492" s="398">
        <v>148669</v>
      </c>
      <c r="K492" s="399" t="s">
        <v>70</v>
      </c>
      <c r="L492" s="399" t="s">
        <v>34</v>
      </c>
      <c r="M492" s="399">
        <v>20</v>
      </c>
      <c r="N492" s="356">
        <v>71700</v>
      </c>
      <c r="O492" s="28" t="b">
        <f t="shared" si="37"/>
        <v>1</v>
      </c>
    </row>
    <row r="493" spans="2:15" s="28" customFormat="1" ht="16.5" customHeight="1">
      <c r="B493" s="20"/>
      <c r="C493" s="20"/>
      <c r="D493" s="254"/>
      <c r="E493" s="379">
        <v>144358</v>
      </c>
      <c r="F493" s="395" t="s">
        <v>754</v>
      </c>
      <c r="G493" s="396"/>
      <c r="H493" s="397"/>
      <c r="I493" s="383">
        <v>670000</v>
      </c>
      <c r="J493" s="398">
        <v>144358</v>
      </c>
      <c r="K493" s="399" t="s">
        <v>71</v>
      </c>
      <c r="L493" s="399" t="s">
        <v>34</v>
      </c>
      <c r="M493" s="399">
        <v>200</v>
      </c>
      <c r="N493" s="356">
        <v>670000</v>
      </c>
      <c r="O493" s="28" t="b">
        <f t="shared" si="37"/>
        <v>1</v>
      </c>
    </row>
    <row r="494" spans="2:15" s="28" customFormat="1" ht="16.5" customHeight="1">
      <c r="B494" s="20"/>
      <c r="C494" s="20"/>
      <c r="D494" s="254"/>
      <c r="E494" s="379">
        <v>148670</v>
      </c>
      <c r="F494" s="395" t="s">
        <v>776</v>
      </c>
      <c r="G494" s="396"/>
      <c r="H494" s="397"/>
      <c r="I494" s="383">
        <v>71700</v>
      </c>
      <c r="J494" s="398">
        <v>148670</v>
      </c>
      <c r="K494" s="399" t="s">
        <v>70</v>
      </c>
      <c r="L494" s="399" t="s">
        <v>34</v>
      </c>
      <c r="M494" s="399">
        <v>20</v>
      </c>
      <c r="N494" s="356">
        <v>71700</v>
      </c>
      <c r="O494" s="28" t="b">
        <f t="shared" si="37"/>
        <v>1</v>
      </c>
    </row>
    <row r="495" spans="2:15" s="28" customFormat="1" ht="16.5" customHeight="1">
      <c r="B495" s="20"/>
      <c r="C495" s="20"/>
      <c r="D495" s="254"/>
      <c r="E495" s="379">
        <v>144361</v>
      </c>
      <c r="F495" s="395" t="s">
        <v>778</v>
      </c>
      <c r="G495" s="396"/>
      <c r="H495" s="397"/>
      <c r="I495" s="383">
        <v>670000</v>
      </c>
      <c r="J495" s="398">
        <v>144361</v>
      </c>
      <c r="K495" s="399" t="s">
        <v>71</v>
      </c>
      <c r="L495" s="399" t="s">
        <v>34</v>
      </c>
      <c r="M495" s="399">
        <v>200</v>
      </c>
      <c r="N495" s="356">
        <v>670000</v>
      </c>
      <c r="O495" s="28" t="b">
        <f t="shared" si="37"/>
        <v>1</v>
      </c>
    </row>
    <row r="496" spans="2:15" s="28" customFormat="1" ht="16.5" customHeight="1">
      <c r="B496" s="20"/>
      <c r="C496" s="20"/>
      <c r="D496" s="254"/>
      <c r="E496" s="379">
        <v>148671</v>
      </c>
      <c r="F496" s="395" t="s">
        <v>777</v>
      </c>
      <c r="G496" s="396"/>
      <c r="H496" s="397"/>
      <c r="I496" s="383">
        <v>71700</v>
      </c>
      <c r="J496" s="398">
        <v>148671</v>
      </c>
      <c r="K496" s="399" t="s">
        <v>70</v>
      </c>
      <c r="L496" s="399" t="s">
        <v>34</v>
      </c>
      <c r="M496" s="399">
        <v>20</v>
      </c>
      <c r="N496" s="356">
        <v>71700</v>
      </c>
      <c r="O496" s="28" t="b">
        <f t="shared" si="37"/>
        <v>1</v>
      </c>
    </row>
    <row r="497" spans="2:22" s="28" customFormat="1" ht="16.5" customHeight="1">
      <c r="B497" s="20"/>
      <c r="C497" s="20"/>
      <c r="D497" s="254"/>
      <c r="E497" s="379">
        <v>144355</v>
      </c>
      <c r="F497" s="395" t="s">
        <v>775</v>
      </c>
      <c r="G497" s="396"/>
      <c r="H497" s="397"/>
      <c r="I497" s="383">
        <v>670000</v>
      </c>
      <c r="J497" s="398">
        <v>144355</v>
      </c>
      <c r="K497" s="399" t="s">
        <v>71</v>
      </c>
      <c r="L497" s="399" t="s">
        <v>34</v>
      </c>
      <c r="M497" s="399">
        <v>200</v>
      </c>
      <c r="N497" s="356">
        <v>670000</v>
      </c>
      <c r="O497" s="28" t="b">
        <f t="shared" si="37"/>
        <v>1</v>
      </c>
    </row>
    <row r="498" spans="2:22" s="28" customFormat="1" ht="16.5" customHeight="1">
      <c r="B498" s="20"/>
      <c r="C498" s="20"/>
      <c r="D498" s="254"/>
      <c r="E498" s="379">
        <v>148669</v>
      </c>
      <c r="F498" s="395" t="s">
        <v>755</v>
      </c>
      <c r="G498" s="396"/>
      <c r="H498" s="397"/>
      <c r="I498" s="383">
        <v>71700</v>
      </c>
      <c r="J498" s="398">
        <v>148669</v>
      </c>
      <c r="K498" s="399" t="s">
        <v>70</v>
      </c>
      <c r="L498" s="399" t="s">
        <v>34</v>
      </c>
      <c r="M498" s="399">
        <v>20</v>
      </c>
      <c r="N498" s="356">
        <v>71700</v>
      </c>
      <c r="O498" s="28" t="b">
        <f t="shared" si="37"/>
        <v>1</v>
      </c>
    </row>
    <row r="499" spans="2:22" s="28" customFormat="1" ht="16.5" customHeight="1">
      <c r="B499" s="20"/>
      <c r="C499" s="20"/>
      <c r="D499" s="254"/>
      <c r="E499" s="379">
        <v>144358</v>
      </c>
      <c r="F499" s="395" t="s">
        <v>754</v>
      </c>
      <c r="G499" s="396"/>
      <c r="H499" s="397"/>
      <c r="I499" s="383">
        <v>670000</v>
      </c>
      <c r="J499" s="398">
        <v>144358</v>
      </c>
      <c r="K499" s="399" t="s">
        <v>71</v>
      </c>
      <c r="L499" s="399" t="s">
        <v>34</v>
      </c>
      <c r="M499" s="399">
        <v>200</v>
      </c>
      <c r="N499" s="356">
        <v>670000</v>
      </c>
      <c r="O499" s="28" t="b">
        <f t="shared" si="37"/>
        <v>1</v>
      </c>
    </row>
    <row r="500" spans="2:22" s="28" customFormat="1" ht="16.5" customHeight="1">
      <c r="B500" s="20"/>
      <c r="C500" s="20"/>
      <c r="D500" s="254"/>
      <c r="E500" s="379">
        <v>148670</v>
      </c>
      <c r="F500" s="395" t="s">
        <v>776</v>
      </c>
      <c r="G500" s="396"/>
      <c r="H500" s="397"/>
      <c r="I500" s="383">
        <v>71700</v>
      </c>
      <c r="J500" s="398">
        <v>148670</v>
      </c>
      <c r="K500" s="399" t="s">
        <v>70</v>
      </c>
      <c r="L500" s="399" t="s">
        <v>34</v>
      </c>
      <c r="M500" s="399">
        <v>20</v>
      </c>
      <c r="N500" s="356">
        <v>71700</v>
      </c>
      <c r="O500" s="28" t="b">
        <f t="shared" si="37"/>
        <v>1</v>
      </c>
    </row>
    <row r="501" spans="2:22" s="28" customFormat="1" ht="16.5" customHeight="1">
      <c r="B501" s="20"/>
      <c r="C501" s="20"/>
      <c r="D501" s="254"/>
      <c r="E501" s="379">
        <v>144361</v>
      </c>
      <c r="F501" s="395" t="s">
        <v>778</v>
      </c>
      <c r="G501" s="396"/>
      <c r="H501" s="397"/>
      <c r="I501" s="383">
        <v>670000</v>
      </c>
      <c r="J501" s="398">
        <v>144361</v>
      </c>
      <c r="K501" s="399" t="s">
        <v>71</v>
      </c>
      <c r="L501" s="399" t="s">
        <v>34</v>
      </c>
      <c r="M501" s="399">
        <v>200</v>
      </c>
      <c r="N501" s="356">
        <v>670000</v>
      </c>
      <c r="O501" s="28" t="b">
        <f t="shared" si="37"/>
        <v>1</v>
      </c>
    </row>
    <row r="502" spans="2:22" s="28" customFormat="1" ht="16.5" customHeight="1">
      <c r="B502" s="20"/>
      <c r="C502" s="20"/>
      <c r="D502" s="254"/>
      <c r="E502" s="379">
        <v>148671</v>
      </c>
      <c r="F502" s="395" t="s">
        <v>777</v>
      </c>
      <c r="G502" s="396"/>
      <c r="H502" s="397"/>
      <c r="I502" s="383">
        <v>71700</v>
      </c>
      <c r="J502" s="398">
        <v>148671</v>
      </c>
      <c r="K502" s="399" t="s">
        <v>70</v>
      </c>
      <c r="L502" s="399" t="s">
        <v>34</v>
      </c>
      <c r="M502" s="399">
        <v>20</v>
      </c>
      <c r="N502" s="356">
        <v>71700</v>
      </c>
      <c r="O502" s="28" t="b">
        <f t="shared" si="37"/>
        <v>1</v>
      </c>
    </row>
    <row r="503" spans="2:22" s="28" customFormat="1" ht="16.5" customHeight="1">
      <c r="B503" s="20"/>
      <c r="C503" s="20"/>
      <c r="D503" s="254"/>
      <c r="E503" s="379">
        <v>144270</v>
      </c>
      <c r="F503" s="395" t="s">
        <v>843</v>
      </c>
      <c r="G503" s="396"/>
      <c r="H503" s="397"/>
      <c r="I503" s="383">
        <v>1005000</v>
      </c>
      <c r="J503" s="398">
        <v>144270</v>
      </c>
      <c r="K503" s="399" t="s">
        <v>71</v>
      </c>
      <c r="L503" s="399" t="s">
        <v>34</v>
      </c>
      <c r="M503" s="399">
        <v>200</v>
      </c>
      <c r="N503" s="356">
        <v>1005000</v>
      </c>
      <c r="O503" s="28" t="b">
        <f t="shared" si="37"/>
        <v>1</v>
      </c>
    </row>
    <row r="504" spans="2:22" s="28" customFormat="1" ht="16.5" customHeight="1">
      <c r="B504" s="20"/>
      <c r="C504" s="20"/>
      <c r="D504" s="254"/>
      <c r="E504" s="379">
        <v>135441</v>
      </c>
      <c r="F504" s="395" t="s">
        <v>298</v>
      </c>
      <c r="G504" s="396"/>
      <c r="H504" s="397"/>
      <c r="I504" s="383">
        <v>287000</v>
      </c>
      <c r="J504" s="398">
        <v>135441</v>
      </c>
      <c r="K504" s="399" t="s">
        <v>70</v>
      </c>
      <c r="L504" s="399" t="s">
        <v>34</v>
      </c>
      <c r="M504" s="399">
        <v>20</v>
      </c>
      <c r="N504" s="356">
        <v>287000</v>
      </c>
      <c r="O504" s="28" t="b">
        <f t="shared" si="37"/>
        <v>1</v>
      </c>
    </row>
    <row r="505" spans="2:22" s="28" customFormat="1" ht="16.5" customHeight="1">
      <c r="B505" s="20"/>
      <c r="C505" s="20"/>
      <c r="D505" s="254"/>
      <c r="E505" s="379">
        <v>128430</v>
      </c>
      <c r="F505" s="395" t="s">
        <v>847</v>
      </c>
      <c r="G505" s="396"/>
      <c r="H505" s="397"/>
      <c r="I505" s="383">
        <v>1800000</v>
      </c>
      <c r="J505" s="398">
        <v>128430</v>
      </c>
      <c r="K505" s="399" t="s">
        <v>71</v>
      </c>
      <c r="L505" s="399" t="s">
        <v>34</v>
      </c>
      <c r="M505" s="399">
        <v>181</v>
      </c>
      <c r="N505" s="356">
        <v>1800000</v>
      </c>
      <c r="O505" s="28" t="b">
        <f t="shared" si="37"/>
        <v>1</v>
      </c>
    </row>
    <row r="506" spans="2:22" s="28" customFormat="1" ht="16.5" customHeight="1">
      <c r="B506" s="20"/>
      <c r="C506" s="20"/>
      <c r="D506" s="254"/>
      <c r="E506" s="379">
        <v>141257</v>
      </c>
      <c r="F506" s="395" t="s">
        <v>856</v>
      </c>
      <c r="G506" s="396"/>
      <c r="H506" s="397"/>
      <c r="I506" s="383">
        <v>85932</v>
      </c>
      <c r="J506" s="398">
        <v>141257</v>
      </c>
      <c r="K506" s="378" t="s">
        <v>73</v>
      </c>
      <c r="L506" s="378" t="s">
        <v>35</v>
      </c>
      <c r="M506" s="399">
        <v>12</v>
      </c>
      <c r="N506" s="356" t="e">
        <v>#N/A</v>
      </c>
      <c r="V506" s="100"/>
    </row>
    <row r="507" spans="2:22" s="28" customFormat="1" ht="16.5" customHeight="1">
      <c r="B507" s="20"/>
      <c r="C507" s="20"/>
      <c r="D507" s="456"/>
      <c r="E507" s="411">
        <v>147122</v>
      </c>
      <c r="F507" s="395" t="s">
        <v>868</v>
      </c>
      <c r="G507" s="396"/>
      <c r="H507" s="397"/>
      <c r="I507" s="383">
        <v>49896</v>
      </c>
      <c r="J507" s="398">
        <v>147122</v>
      </c>
      <c r="K507" s="378" t="s">
        <v>73</v>
      </c>
      <c r="L507" s="399" t="s">
        <v>872</v>
      </c>
      <c r="M507" s="399">
        <v>12</v>
      </c>
      <c r="N507" s="356" t="e">
        <v>#N/A</v>
      </c>
      <c r="V507" s="100"/>
    </row>
    <row r="508" spans="2:22" s="28" customFormat="1" ht="16.5" customHeight="1">
      <c r="B508" s="20"/>
      <c r="C508" s="20"/>
      <c r="D508" s="254"/>
      <c r="E508" s="411">
        <v>140901</v>
      </c>
      <c r="F508" s="395" t="s">
        <v>98</v>
      </c>
      <c r="G508" s="396"/>
      <c r="H508" s="397"/>
      <c r="I508" s="383">
        <f>VLOOKUP(E508,'[1]Table 1'!$A$6:$C$21,3,0)</f>
        <v>88308</v>
      </c>
      <c r="J508" s="398">
        <v>140901</v>
      </c>
      <c r="K508" s="378" t="s">
        <v>73</v>
      </c>
      <c r="L508" s="399" t="s">
        <v>872</v>
      </c>
      <c r="M508" s="399">
        <v>20</v>
      </c>
      <c r="N508" s="356" t="e">
        <v>#N/A</v>
      </c>
      <c r="V508" s="100"/>
    </row>
    <row r="509" spans="2:22" s="28" customFormat="1" ht="16.5" customHeight="1">
      <c r="B509" s="20"/>
      <c r="C509" s="20"/>
      <c r="D509" s="254"/>
      <c r="E509" s="411">
        <v>140904</v>
      </c>
      <c r="F509" s="395" t="s">
        <v>859</v>
      </c>
      <c r="G509" s="396"/>
      <c r="H509" s="397"/>
      <c r="I509" s="383">
        <f>VLOOKUP(E509,'[1]Table 1'!$A$6:$C$21,3,0)</f>
        <v>96792</v>
      </c>
      <c r="J509" s="398">
        <v>140904</v>
      </c>
      <c r="K509" s="378" t="s">
        <v>73</v>
      </c>
      <c r="L509" s="399" t="s">
        <v>872</v>
      </c>
      <c r="M509" s="399">
        <v>20</v>
      </c>
      <c r="N509" s="356" t="e">
        <v>#N/A</v>
      </c>
      <c r="V509" s="100"/>
    </row>
    <row r="510" spans="2:22" s="28" customFormat="1" ht="16.5" customHeight="1">
      <c r="B510" s="20"/>
      <c r="C510" s="20"/>
      <c r="D510" s="457"/>
      <c r="E510" s="411">
        <v>147379</v>
      </c>
      <c r="F510" s="395" t="s">
        <v>862</v>
      </c>
      <c r="G510" s="396"/>
      <c r="H510" s="397"/>
      <c r="I510" s="383">
        <v>35928</v>
      </c>
      <c r="J510" s="398">
        <v>147379</v>
      </c>
      <c r="K510" s="378" t="s">
        <v>73</v>
      </c>
      <c r="L510" s="399" t="s">
        <v>872</v>
      </c>
      <c r="M510" s="399">
        <v>12</v>
      </c>
      <c r="N510" s="356"/>
      <c r="V510" s="100"/>
    </row>
    <row r="511" spans="2:22" s="28" customFormat="1" ht="16.5" customHeight="1">
      <c r="B511" s="20"/>
      <c r="C511" s="20"/>
      <c r="D511" s="255"/>
      <c r="E511" s="411">
        <v>138583</v>
      </c>
      <c r="F511" s="395" t="s">
        <v>740</v>
      </c>
      <c r="G511" s="396"/>
      <c r="H511" s="397"/>
      <c r="I511" s="383">
        <f>VLOOKUP(E511,'[1]Table 1'!$A$6:$C$21,3,0)</f>
        <v>44600</v>
      </c>
      <c r="J511" s="398">
        <v>138583</v>
      </c>
      <c r="K511" s="378" t="s">
        <v>73</v>
      </c>
      <c r="L511" s="399" t="s">
        <v>872</v>
      </c>
      <c r="M511" s="399">
        <v>12</v>
      </c>
      <c r="N511" s="356"/>
      <c r="V511" s="100"/>
    </row>
    <row r="512" spans="2:22" s="28" customFormat="1" ht="16.5" customHeight="1">
      <c r="B512" s="20"/>
      <c r="C512" s="20"/>
      <c r="D512" s="255"/>
      <c r="E512" s="411">
        <v>140876</v>
      </c>
      <c r="F512" s="395" t="s">
        <v>105</v>
      </c>
      <c r="G512" s="396"/>
      <c r="H512" s="397"/>
      <c r="I512" s="383">
        <f>VLOOKUP(E512,'[1]Table 1'!$A$6:$C$21,3,0)</f>
        <v>529893</v>
      </c>
      <c r="J512" s="398">
        <v>140876</v>
      </c>
      <c r="K512" s="399" t="s">
        <v>70</v>
      </c>
      <c r="L512" s="399" t="s">
        <v>872</v>
      </c>
      <c r="M512" s="399">
        <v>20</v>
      </c>
      <c r="N512" s="356"/>
      <c r="V512" s="100"/>
    </row>
    <row r="513" spans="2:24" s="28" customFormat="1" ht="16.5" customHeight="1">
      <c r="B513" s="20"/>
      <c r="C513" s="20"/>
      <c r="D513" s="255"/>
      <c r="E513" s="411">
        <v>140877</v>
      </c>
      <c r="F513" s="395" t="s">
        <v>99</v>
      </c>
      <c r="G513" s="396"/>
      <c r="H513" s="397"/>
      <c r="I513" s="383">
        <f>VLOOKUP(E513,'[1]Table 1'!$A$6:$C$21,3,0)</f>
        <v>80739</v>
      </c>
      <c r="J513" s="398">
        <v>140877</v>
      </c>
      <c r="K513" s="399" t="s">
        <v>70</v>
      </c>
      <c r="L513" s="399" t="s">
        <v>872</v>
      </c>
      <c r="M513" s="399">
        <v>20</v>
      </c>
      <c r="N513" s="356"/>
      <c r="V513" s="100"/>
    </row>
    <row r="514" spans="2:24" s="28" customFormat="1" ht="16.5" customHeight="1">
      <c r="B514" s="20"/>
      <c r="C514" s="20"/>
      <c r="D514" s="255"/>
      <c r="E514" s="411">
        <v>140878</v>
      </c>
      <c r="F514" s="395" t="s">
        <v>860</v>
      </c>
      <c r="G514" s="396"/>
      <c r="H514" s="397"/>
      <c r="I514" s="383">
        <f>VLOOKUP(E514,'[1]Table 1'!$A$6:$C$21,3,0)</f>
        <v>121830</v>
      </c>
      <c r="J514" s="398">
        <v>140878</v>
      </c>
      <c r="K514" s="399" t="s">
        <v>70</v>
      </c>
      <c r="L514" s="399" t="s">
        <v>872</v>
      </c>
      <c r="M514" s="399">
        <v>20</v>
      </c>
      <c r="N514" s="356"/>
      <c r="V514" s="100"/>
    </row>
    <row r="515" spans="2:24" s="28" customFormat="1" ht="16.5" customHeight="1">
      <c r="B515" s="20"/>
      <c r="C515" s="20"/>
      <c r="D515" s="255"/>
      <c r="E515" s="411">
        <v>140922</v>
      </c>
      <c r="F515" s="395" t="s">
        <v>94</v>
      </c>
      <c r="G515" s="396"/>
      <c r="H515" s="397"/>
      <c r="I515" s="383">
        <f>VLOOKUP(E515,'[1]Table 1'!$A$6:$C$21,3,0)</f>
        <v>210521</v>
      </c>
      <c r="J515" s="398">
        <v>140922</v>
      </c>
      <c r="K515" s="399" t="s">
        <v>70</v>
      </c>
      <c r="L515" s="399" t="s">
        <v>872</v>
      </c>
      <c r="M515" s="399">
        <v>20</v>
      </c>
      <c r="N515" s="356"/>
      <c r="V515" s="100"/>
    </row>
    <row r="516" spans="2:24" s="28" customFormat="1" ht="16.5" customHeight="1">
      <c r="B516" s="20"/>
      <c r="C516" s="20"/>
      <c r="D516" s="255"/>
      <c r="E516" s="411">
        <v>140902</v>
      </c>
      <c r="F516" s="395" t="s">
        <v>95</v>
      </c>
      <c r="G516" s="396"/>
      <c r="H516" s="397"/>
      <c r="I516" s="383">
        <f>VLOOKUP(E516,'[1]Table 1'!$A$6:$C$21,3,0)</f>
        <v>870316</v>
      </c>
      <c r="J516" s="398">
        <v>140902</v>
      </c>
      <c r="K516" s="399" t="s">
        <v>71</v>
      </c>
      <c r="L516" s="399" t="s">
        <v>872</v>
      </c>
      <c r="M516" s="399">
        <v>200</v>
      </c>
      <c r="N516" s="356"/>
      <c r="V516" s="100"/>
    </row>
    <row r="517" spans="2:24" s="28" customFormat="1" ht="16.5" customHeight="1">
      <c r="B517" s="20"/>
      <c r="C517" s="20"/>
      <c r="D517" s="255"/>
      <c r="E517" s="411">
        <v>140905</v>
      </c>
      <c r="F517" s="395" t="s">
        <v>96</v>
      </c>
      <c r="G517" s="396"/>
      <c r="H517" s="397"/>
      <c r="I517" s="383">
        <f>VLOOKUP(E517,'[1]Table 1'!$A$6:$C$21,3,0)</f>
        <v>874413</v>
      </c>
      <c r="J517" s="398">
        <v>140905</v>
      </c>
      <c r="K517" s="399" t="s">
        <v>71</v>
      </c>
      <c r="L517" s="399" t="s">
        <v>872</v>
      </c>
      <c r="M517" s="399">
        <v>200</v>
      </c>
      <c r="N517" s="356"/>
      <c r="V517" s="100"/>
    </row>
    <row r="518" spans="2:24" s="28" customFormat="1" ht="16.5" customHeight="1">
      <c r="B518" s="20"/>
      <c r="C518" s="20"/>
      <c r="D518" s="457"/>
      <c r="E518" s="411">
        <v>147284</v>
      </c>
      <c r="F518" s="395" t="s">
        <v>837</v>
      </c>
      <c r="G518" s="396"/>
      <c r="H518" s="397"/>
      <c r="I518" s="383">
        <v>526308</v>
      </c>
      <c r="J518" s="398">
        <v>147284</v>
      </c>
      <c r="K518" s="399" t="s">
        <v>71</v>
      </c>
      <c r="L518" s="399" t="s">
        <v>872</v>
      </c>
      <c r="M518" s="399">
        <v>208</v>
      </c>
      <c r="N518" s="356"/>
      <c r="V518" s="100"/>
    </row>
    <row r="519" spans="2:24" s="28" customFormat="1" ht="16.5" customHeight="1">
      <c r="B519" s="20"/>
      <c r="C519" s="20"/>
      <c r="D519" s="456"/>
      <c r="E519" s="411">
        <v>147391</v>
      </c>
      <c r="F519" s="395" t="s">
        <v>838</v>
      </c>
      <c r="G519" s="396"/>
      <c r="H519" s="397"/>
      <c r="I519" s="383">
        <v>518741</v>
      </c>
      <c r="J519" s="398">
        <v>147391</v>
      </c>
      <c r="K519" s="399" t="s">
        <v>71</v>
      </c>
      <c r="L519" s="399" t="s">
        <v>872</v>
      </c>
      <c r="M519" s="399">
        <v>208</v>
      </c>
      <c r="N519" s="356"/>
      <c r="V519" s="100"/>
    </row>
    <row r="520" spans="2:24" s="28" customFormat="1" ht="16.5" customHeight="1">
      <c r="B520" s="20"/>
      <c r="C520" s="20"/>
      <c r="D520" s="254"/>
      <c r="E520" s="411">
        <v>144515</v>
      </c>
      <c r="F520" s="395" t="s">
        <v>839</v>
      </c>
      <c r="G520" s="396"/>
      <c r="H520" s="397"/>
      <c r="I520" s="383">
        <v>631617</v>
      </c>
      <c r="J520" s="398">
        <v>144515</v>
      </c>
      <c r="K520" s="399" t="s">
        <v>71</v>
      </c>
      <c r="L520" s="399" t="s">
        <v>872</v>
      </c>
      <c r="M520" s="399">
        <v>208</v>
      </c>
      <c r="N520" s="356"/>
      <c r="V520" s="100"/>
    </row>
    <row r="521" spans="2:24" s="28" customFormat="1" ht="16.5" customHeight="1">
      <c r="B521" s="20"/>
      <c r="C521" s="20"/>
      <c r="D521" s="456"/>
      <c r="E521" s="411">
        <v>147370</v>
      </c>
      <c r="F521" s="395" t="s">
        <v>839</v>
      </c>
      <c r="G521" s="396"/>
      <c r="H521" s="397"/>
      <c r="I521" s="383">
        <v>523786</v>
      </c>
      <c r="J521" s="398">
        <v>147370</v>
      </c>
      <c r="K521" s="399" t="s">
        <v>71</v>
      </c>
      <c r="L521" s="399" t="s">
        <v>872</v>
      </c>
      <c r="M521" s="399">
        <v>208</v>
      </c>
      <c r="N521" s="356"/>
      <c r="V521" s="100"/>
    </row>
    <row r="522" spans="2:24" s="28" customFormat="1" ht="16.5" customHeight="1">
      <c r="B522" s="20"/>
      <c r="C522" s="20"/>
      <c r="D522" s="254"/>
      <c r="E522" s="411">
        <v>140597</v>
      </c>
      <c r="F522" s="395" t="s">
        <v>869</v>
      </c>
      <c r="G522" s="396"/>
      <c r="H522" s="397"/>
      <c r="I522" s="383">
        <v>124000</v>
      </c>
      <c r="J522" s="398">
        <v>140597</v>
      </c>
      <c r="K522" s="378" t="s">
        <v>73</v>
      </c>
      <c r="L522" s="399" t="s">
        <v>872</v>
      </c>
      <c r="M522" s="399">
        <v>12</v>
      </c>
      <c r="N522" s="356"/>
      <c r="V522" s="100"/>
    </row>
    <row r="523" spans="2:24" s="28" customFormat="1" ht="16.5" customHeight="1">
      <c r="B523" s="20"/>
      <c r="C523" s="20"/>
      <c r="D523" s="254"/>
      <c r="E523" s="411">
        <v>147279</v>
      </c>
      <c r="F523" s="395" t="s">
        <v>870</v>
      </c>
      <c r="G523" s="396"/>
      <c r="H523" s="397"/>
      <c r="I523" s="383">
        <f>VLOOKUP(E523,'[1]Table 1'!$A$6:$C$21,3,0)</f>
        <v>50796</v>
      </c>
      <c r="J523" s="398">
        <v>147279</v>
      </c>
      <c r="K523" s="378" t="s">
        <v>73</v>
      </c>
      <c r="L523" s="399" t="s">
        <v>872</v>
      </c>
      <c r="M523" s="399">
        <v>12</v>
      </c>
      <c r="N523" s="356"/>
      <c r="V523" s="100"/>
    </row>
    <row r="524" spans="2:24" s="28" customFormat="1" ht="16.5" customHeight="1">
      <c r="B524" s="20"/>
      <c r="C524" s="20"/>
      <c r="D524" s="254"/>
      <c r="E524" s="411">
        <v>141257</v>
      </c>
      <c r="F524" s="395" t="s">
        <v>871</v>
      </c>
      <c r="G524" s="396"/>
      <c r="H524" s="397"/>
      <c r="I524" s="383">
        <f>VLOOKUP(E524,'[1]Table 1'!$A$6:$C$21,3,0)</f>
        <v>82344</v>
      </c>
      <c r="J524" s="398">
        <v>141257</v>
      </c>
      <c r="K524" s="378" t="s">
        <v>73</v>
      </c>
      <c r="L524" s="399" t="s">
        <v>872</v>
      </c>
      <c r="M524" s="399">
        <v>12</v>
      </c>
      <c r="N524" s="356"/>
      <c r="V524" s="100"/>
    </row>
    <row r="525" spans="2:24" s="28" customFormat="1" ht="16.5" customHeight="1">
      <c r="B525" s="20"/>
      <c r="C525" s="20"/>
      <c r="D525" s="254"/>
      <c r="E525" s="379">
        <v>140909</v>
      </c>
      <c r="F525" s="395" t="s">
        <v>862</v>
      </c>
      <c r="G525" s="396"/>
      <c r="H525" s="397"/>
      <c r="I525" s="383">
        <v>45528</v>
      </c>
      <c r="J525" s="379">
        <v>140909</v>
      </c>
      <c r="K525" s="378" t="s">
        <v>73</v>
      </c>
      <c r="L525" s="399" t="s">
        <v>872</v>
      </c>
      <c r="M525" s="399">
        <v>12</v>
      </c>
      <c r="N525" s="356"/>
      <c r="V525" s="100"/>
    </row>
    <row r="526" spans="2:24" s="28" customFormat="1" ht="16.5" customHeight="1">
      <c r="B526" s="20"/>
      <c r="C526" s="20"/>
      <c r="D526" s="448"/>
      <c r="E526" s="32">
        <v>148006</v>
      </c>
      <c r="F526" s="37" t="s">
        <v>900</v>
      </c>
      <c r="G526" s="34"/>
      <c r="H526" s="35"/>
      <c r="I526" s="62">
        <v>2142400</v>
      </c>
      <c r="J526" s="33">
        <v>135477</v>
      </c>
      <c r="K526" s="32" t="s">
        <v>71</v>
      </c>
      <c r="L526" s="32" t="s">
        <v>1076</v>
      </c>
      <c r="M526" s="32">
        <v>208</v>
      </c>
      <c r="N526" s="356"/>
      <c r="R526" s="43"/>
      <c r="S526" s="43"/>
      <c r="T526" s="43"/>
      <c r="U526" s="449"/>
      <c r="V526" s="449"/>
      <c r="W526" s="43"/>
      <c r="X526" s="42"/>
    </row>
    <row r="527" spans="2:24" s="28" customFormat="1" ht="16.5" customHeight="1">
      <c r="B527" s="20"/>
      <c r="C527" s="20"/>
      <c r="D527" s="456"/>
      <c r="E527" s="411">
        <v>147966</v>
      </c>
      <c r="F527" s="395" t="s">
        <v>870</v>
      </c>
      <c r="G527" s="396"/>
      <c r="H527" s="397"/>
      <c r="I527" s="383">
        <v>48876</v>
      </c>
      <c r="J527" s="398">
        <v>147279</v>
      </c>
      <c r="K527" s="378" t="s">
        <v>73</v>
      </c>
      <c r="L527" s="399" t="s">
        <v>872</v>
      </c>
      <c r="M527" s="399">
        <v>12</v>
      </c>
      <c r="N527" s="356"/>
      <c r="V527" s="100"/>
    </row>
    <row r="528" spans="2:24" s="28" customFormat="1" ht="16.5" customHeight="1">
      <c r="B528" s="20"/>
      <c r="C528" s="20"/>
      <c r="D528" s="456"/>
      <c r="E528" s="379">
        <v>147829</v>
      </c>
      <c r="F528" s="395" t="s">
        <v>913</v>
      </c>
      <c r="G528" s="396"/>
      <c r="H528" s="397"/>
      <c r="I528" s="383">
        <v>80160</v>
      </c>
      <c r="J528" s="398">
        <v>147829</v>
      </c>
      <c r="K528" s="378" t="s">
        <v>73</v>
      </c>
      <c r="L528" s="399" t="s">
        <v>872</v>
      </c>
      <c r="M528" s="399">
        <v>12</v>
      </c>
      <c r="N528" s="356"/>
      <c r="V528" s="100"/>
    </row>
    <row r="529" spans="2:26" s="28" customFormat="1" ht="16.5" customHeight="1">
      <c r="B529" s="20"/>
      <c r="C529" s="20"/>
      <c r="D529" s="457"/>
      <c r="E529" s="379">
        <v>148692</v>
      </c>
      <c r="F529" s="395" t="s">
        <v>1059</v>
      </c>
      <c r="G529" s="460"/>
      <c r="H529" s="461"/>
      <c r="I529" s="462">
        <v>48876</v>
      </c>
      <c r="J529" s="398">
        <v>148692</v>
      </c>
      <c r="K529" s="378" t="s">
        <v>73</v>
      </c>
      <c r="L529" s="399" t="s">
        <v>872</v>
      </c>
      <c r="M529" s="399">
        <v>12</v>
      </c>
      <c r="N529" s="356"/>
      <c r="V529" s="100"/>
    </row>
    <row r="530" spans="2:26" s="28" customFormat="1" ht="16.5" customHeight="1">
      <c r="B530" s="20"/>
      <c r="C530" s="20"/>
      <c r="D530" s="254"/>
      <c r="E530" s="379">
        <v>148789</v>
      </c>
      <c r="F530" s="395" t="s">
        <v>1060</v>
      </c>
      <c r="G530" s="396"/>
      <c r="H530" s="397"/>
      <c r="I530" s="383">
        <v>743243</v>
      </c>
      <c r="J530" s="398">
        <v>148789</v>
      </c>
      <c r="K530" s="32" t="s">
        <v>71</v>
      </c>
      <c r="L530" s="399" t="s">
        <v>872</v>
      </c>
      <c r="M530" s="399">
        <v>208</v>
      </c>
      <c r="N530" s="356"/>
      <c r="V530" s="100"/>
    </row>
    <row r="531" spans="2:26" s="28" customFormat="1" ht="16.5" customHeight="1">
      <c r="B531" s="20"/>
      <c r="C531" s="20"/>
      <c r="D531" s="254"/>
      <c r="E531" s="379">
        <v>134799</v>
      </c>
      <c r="F531" s="395" t="s">
        <v>1063</v>
      </c>
      <c r="G531" s="396"/>
      <c r="H531" s="397"/>
      <c r="I531" s="383">
        <v>778800</v>
      </c>
      <c r="J531" s="398">
        <v>134799</v>
      </c>
      <c r="K531" s="399" t="s">
        <v>1064</v>
      </c>
      <c r="L531" s="399" t="s">
        <v>1065</v>
      </c>
      <c r="M531" s="399">
        <v>22</v>
      </c>
      <c r="N531" s="356"/>
      <c r="V531" s="100"/>
    </row>
    <row r="532" spans="2:26" s="28" customFormat="1" ht="16.5" customHeight="1">
      <c r="B532" s="20"/>
      <c r="C532" s="20"/>
      <c r="D532" s="254"/>
      <c r="E532" s="379"/>
      <c r="F532" s="395"/>
      <c r="G532" s="396"/>
      <c r="H532" s="397"/>
      <c r="I532" s="383"/>
      <c r="J532" s="398"/>
      <c r="K532" s="399"/>
      <c r="L532" s="399"/>
      <c r="M532" s="399"/>
      <c r="N532" s="356"/>
      <c r="V532" s="100"/>
    </row>
    <row r="533" spans="2:26" s="28" customFormat="1" ht="16.5" customHeight="1">
      <c r="B533" s="20"/>
      <c r="C533" s="20"/>
      <c r="D533" s="254"/>
      <c r="E533" s="379"/>
      <c r="F533" s="395"/>
      <c r="G533" s="396"/>
      <c r="H533" s="397"/>
      <c r="I533" s="383"/>
      <c r="J533" s="398"/>
      <c r="K533" s="399"/>
      <c r="L533" s="399"/>
      <c r="M533" s="399"/>
      <c r="N533" s="356"/>
      <c r="V533" s="100"/>
    </row>
    <row r="534" spans="2:26" s="28" customFormat="1" ht="16.5" customHeight="1">
      <c r="B534" s="20"/>
      <c r="C534" s="20"/>
      <c r="D534" s="254"/>
      <c r="E534" s="379"/>
      <c r="F534" s="395"/>
      <c r="G534" s="396"/>
      <c r="H534" s="397"/>
      <c r="I534" s="383"/>
      <c r="J534" s="398"/>
      <c r="K534" s="399"/>
      <c r="L534" s="399"/>
      <c r="M534" s="399"/>
      <c r="N534" s="356"/>
      <c r="V534" s="100"/>
    </row>
    <row r="535" spans="2:26" s="28" customFormat="1" ht="16.5" customHeight="1">
      <c r="B535" s="20"/>
      <c r="C535" s="20"/>
      <c r="D535" s="254"/>
      <c r="E535" s="379"/>
      <c r="F535" s="395"/>
      <c r="G535" s="396"/>
      <c r="H535" s="397"/>
      <c r="I535" s="383"/>
      <c r="J535" s="398"/>
      <c r="K535" s="399"/>
      <c r="L535" s="399"/>
      <c r="M535" s="399"/>
      <c r="N535" s="356"/>
      <c r="V535" s="100"/>
    </row>
    <row r="536" spans="2:26" s="28" customFormat="1" ht="16.5" customHeight="1">
      <c r="B536" s="20"/>
      <c r="C536" s="20"/>
      <c r="D536" s="254"/>
      <c r="E536" s="379"/>
      <c r="F536" s="395"/>
      <c r="G536" s="396"/>
      <c r="H536" s="397"/>
      <c r="I536" s="383"/>
      <c r="J536" s="398"/>
      <c r="K536" s="399"/>
      <c r="L536" s="399"/>
      <c r="M536" s="399"/>
      <c r="N536" s="356"/>
      <c r="V536" s="100"/>
    </row>
    <row r="537" spans="2:26" s="28" customFormat="1" ht="16.5" customHeight="1">
      <c r="B537" s="20"/>
      <c r="C537" s="20"/>
      <c r="D537" s="254"/>
      <c r="E537" s="379"/>
      <c r="F537" s="395"/>
      <c r="G537" s="396"/>
      <c r="H537" s="397"/>
      <c r="I537" s="383"/>
      <c r="J537" s="398"/>
      <c r="K537" s="399"/>
      <c r="L537" s="399"/>
      <c r="M537" s="399"/>
      <c r="N537" s="356"/>
      <c r="V537" s="100"/>
    </row>
    <row r="538" spans="2:26" s="28" customFormat="1" ht="16.5" customHeight="1">
      <c r="B538" s="20"/>
      <c r="C538" s="20"/>
      <c r="D538" s="254"/>
      <c r="E538" s="379"/>
      <c r="F538" s="395"/>
      <c r="G538" s="396"/>
      <c r="H538" s="397"/>
      <c r="I538" s="383"/>
      <c r="J538" s="398"/>
      <c r="K538" s="399"/>
      <c r="L538" s="399"/>
      <c r="M538" s="399"/>
      <c r="N538" s="356"/>
      <c r="V538" s="100"/>
    </row>
    <row r="539" spans="2:26">
      <c r="U539" s="12"/>
      <c r="V539" s="59"/>
      <c r="W539"/>
      <c r="X539"/>
      <c r="Y539"/>
      <c r="Z539"/>
    </row>
    <row r="540" spans="2:26">
      <c r="U540" s="12"/>
      <c r="V540" s="59"/>
      <c r="W540"/>
      <c r="X540"/>
      <c r="Y540"/>
      <c r="Z540"/>
    </row>
    <row r="541" spans="2:26">
      <c r="U541" s="12"/>
      <c r="V541" s="59"/>
      <c r="W541"/>
      <c r="X541"/>
      <c r="Y541"/>
      <c r="Z541"/>
    </row>
    <row r="542" spans="2:26">
      <c r="U542" s="12"/>
      <c r="V542" s="59"/>
      <c r="W542"/>
      <c r="X542"/>
      <c r="Y542"/>
      <c r="Z542"/>
    </row>
    <row r="543" spans="2:26">
      <c r="U543" s="12"/>
      <c r="V543" s="59"/>
      <c r="W543"/>
      <c r="X543"/>
      <c r="Y543"/>
      <c r="Z543"/>
    </row>
    <row r="544" spans="2:26">
      <c r="U544" s="12"/>
      <c r="V544" s="59"/>
      <c r="W544"/>
      <c r="X544"/>
      <c r="Y544"/>
      <c r="Z544"/>
    </row>
    <row r="545" spans="21:26">
      <c r="U545" s="12"/>
      <c r="V545" s="59"/>
      <c r="W545"/>
      <c r="X545"/>
      <c r="Y545"/>
      <c r="Z545"/>
    </row>
    <row r="546" spans="21:26">
      <c r="U546" s="12"/>
      <c r="V546" s="59"/>
      <c r="W546"/>
      <c r="X546"/>
      <c r="Y546"/>
      <c r="Z546"/>
    </row>
    <row r="547" spans="21:26">
      <c r="U547" s="12"/>
      <c r="V547" s="59"/>
      <c r="W547"/>
      <c r="X547"/>
      <c r="Y547"/>
      <c r="Z547"/>
    </row>
    <row r="548" spans="21:26">
      <c r="U548" s="12"/>
      <c r="V548" s="59"/>
      <c r="W548"/>
      <c r="X548"/>
      <c r="Y548"/>
      <c r="Z548"/>
    </row>
    <row r="549" spans="21:26">
      <c r="U549" s="12"/>
      <c r="V549" s="59"/>
      <c r="W549"/>
      <c r="X549"/>
      <c r="Y549"/>
      <c r="Z549"/>
    </row>
    <row r="550" spans="21:26">
      <c r="U550" s="12"/>
      <c r="V550" s="59"/>
      <c r="W550"/>
      <c r="X550"/>
      <c r="Y550"/>
      <c r="Z550"/>
    </row>
    <row r="551" spans="21:26">
      <c r="U551" s="12"/>
      <c r="V551" s="59"/>
      <c r="W551"/>
      <c r="X551"/>
      <c r="Y551"/>
      <c r="Z551"/>
    </row>
    <row r="552" spans="21:26">
      <c r="U552" s="12"/>
      <c r="V552" s="59"/>
      <c r="W552"/>
      <c r="X552"/>
      <c r="Y552"/>
      <c r="Z552"/>
    </row>
    <row r="553" spans="21:26">
      <c r="U553" s="12"/>
      <c r="V553" s="59"/>
      <c r="W553"/>
      <c r="X553"/>
      <c r="Y553"/>
      <c r="Z553"/>
    </row>
    <row r="554" spans="21:26">
      <c r="U554" s="12"/>
      <c r="V554" s="59"/>
      <c r="W554"/>
      <c r="X554"/>
      <c r="Y554"/>
      <c r="Z554"/>
    </row>
    <row r="555" spans="21:26">
      <c r="U555" s="12"/>
      <c r="V555" s="59"/>
      <c r="W555"/>
      <c r="X555"/>
      <c r="Y555"/>
      <c r="Z555"/>
    </row>
    <row r="556" spans="21:26">
      <c r="U556" s="12"/>
      <c r="V556" s="59"/>
      <c r="W556"/>
      <c r="X556"/>
      <c r="Y556"/>
      <c r="Z556"/>
    </row>
    <row r="557" spans="21:26">
      <c r="U557" s="12"/>
      <c r="V557" s="59"/>
      <c r="W557"/>
      <c r="X557"/>
      <c r="Y557"/>
      <c r="Z557"/>
    </row>
    <row r="558" spans="21:26">
      <c r="U558" s="12"/>
      <c r="V558" s="59"/>
      <c r="W558"/>
      <c r="X558"/>
      <c r="Y558"/>
      <c r="Z558"/>
    </row>
    <row r="559" spans="21:26">
      <c r="U559" s="12"/>
      <c r="V559" s="59"/>
      <c r="W559"/>
      <c r="X559"/>
      <c r="Y559"/>
      <c r="Z559"/>
    </row>
    <row r="560" spans="21:26">
      <c r="U560" s="12"/>
      <c r="V560" s="59"/>
      <c r="W560"/>
      <c r="X560"/>
      <c r="Y560"/>
      <c r="Z560"/>
    </row>
    <row r="561" spans="21:26">
      <c r="U561" s="12"/>
      <c r="V561" s="59"/>
      <c r="W561"/>
      <c r="X561"/>
      <c r="Y561"/>
      <c r="Z561"/>
    </row>
    <row r="562" spans="21:26">
      <c r="U562" s="12"/>
      <c r="V562" s="59"/>
      <c r="W562"/>
      <c r="X562"/>
      <c r="Y562"/>
      <c r="Z562"/>
    </row>
  </sheetData>
  <protectedRanges>
    <protectedRange sqref="M45:O55 M66:O71 M63:O63 M57:O60" name="범위10_1_1"/>
    <protectedRange sqref="L8" name="범위11_1"/>
    <protectedRange sqref="L8" name="범위4_1"/>
    <protectedRange sqref="D9" name="범위13_1_1"/>
    <protectedRange sqref="G8:H8" name="범위15_1_1"/>
    <protectedRange sqref="E29:E30 G45:G55 D45:E55 D63:E66 D57:E61 G57:G61 G63:G71 D68:E69" name="범위8_1_1_2_1_1_1"/>
    <protectedRange sqref="H60 I69:J71 J66:K71 I66:K68 H63 H45:K55 H64:K65 H57:K59 H66:H71 H61:K61" name="범위9_1_1_1_1_2"/>
    <protectedRange sqref="G7:H7" name="범위15_1_1_1"/>
    <protectedRange sqref="L9" name="범위16_1_1_1_1_1_1_1_1_1_1_1_1_1"/>
    <protectedRange sqref="D27" name="범위23_1_1_1_2_1_1"/>
    <protectedRange sqref="D27" name="범위1_3_1_1_1_1_2_1_1"/>
    <protectedRange sqref="C26 C12:C13 C16" name="범위1_3_1_2_1"/>
    <protectedRange sqref="C26 C12:C13 C16" name="범위1_3_1_2_2"/>
    <protectedRange sqref="D504" name="범위5_1_3_2_1"/>
    <protectedRange sqref="D497:D503" name="범위5_1_2_1_2_1_2_1"/>
    <protectedRange sqref="D89:D496 D75:D80" name="범위5_1_2_1_2_1_2_1_1"/>
    <protectedRange sqref="D505:D506 D530:D538" name="범위5_1_3_2_1_1"/>
    <protectedRange sqref="I503" name="범위6_1_1_1_2_1_2_8_3"/>
    <protectedRange sqref="G503:H503" name="범위6_1_1_1_2_1_9_1_2"/>
    <protectedRange sqref="M497:M499" name="범위26_2_1_2_1_1_7_3_2_1"/>
    <protectedRange sqref="G497:H499" name="범위6_1_1_1_2_1_2_8_1_3"/>
    <protectedRange sqref="M503" name="범위26_2_1_2_1_19_1_1_1_2"/>
    <protectedRange sqref="G501:H501" name="범위6_1_1_1_2_1_2_1_2_2"/>
    <protectedRange sqref="M500:M501" name="범위26_2_1_2_1_1_7_2_1_3"/>
    <protectedRange sqref="M502" name="범위26_2_1_2_1_1_8_2"/>
    <protectedRange sqref="G502:H502" name="범위6_1_1_1_2_1_2_8_1_1_2_1"/>
    <protectedRange sqref="F502" name="범위1_3_1_1_1_2"/>
    <protectedRange sqref="M118 M116" name="범위26_2_1_2_1_8_1_2_1"/>
    <protectedRange sqref="G120:H120 G118:H118 G116:H116" name="범위6_1_1_1_2_1_9_2_1_1"/>
    <protectedRange sqref="F118" name="범위1_1_2_1_1"/>
    <protectedRange sqref="M119 M117 M92:M114 M122:M133" name="범위26_2_1_2_1_1_7_1_1_1"/>
    <protectedRange sqref="G119:H119 G130:H133 G107:H107 G92:H92 G117:H117 G93:I106 G109:H112 G122:H127 I107:I502 I504:I506 I530:I538 I89:I92 I75:I80" name="범위6_1_1_1_2_1_2_8_2_1"/>
    <protectedRange sqref="F130 F133" name="범위1_3_1_1_2_1"/>
    <protectedRange sqref="G113:H114" name="범위6_1_1_1_2_1_1_1_1_2_1_1"/>
    <protectedRange sqref="M121" name="범위26_2_1_2_1_1_1_1_1_1_1"/>
    <protectedRange sqref="G121:H121" name="범위6_1_1_1_2_1_2_1_1_1_1_1"/>
    <protectedRange sqref="M120" name="범위26_2_1_2_1_19_1_1_2_1_1"/>
    <protectedRange sqref="M115" name="범위26_2_1_2_1_1_4_1_2_1_1"/>
    <protectedRange sqref="G115:H115" name="범위6_1_1_1_2_1_2_4_1_2_1_1"/>
    <protectedRange sqref="M91" name="범위26_2_1_2_1_1_3_1_1_1_1"/>
    <protectedRange sqref="G91:H91" name="범위6_1_1_1_2_1_2_2_1_1_1_1"/>
    <protectedRange sqref="F91" name="범위1_3_3_1_1_1_1"/>
    <protectedRange sqref="M438 M408:M410 M418:M420" name="범위26_2_1_2_1_8_2_1_1_1"/>
    <protectedRange sqref="G408:H410 G418:H420 G424:H438 G504:H504" name="범위6_1_1_1_2_1_9_1_1_1_1"/>
    <protectedRange sqref="F418:F420" name="범위1_1_1_1_1_1"/>
    <protectedRange sqref="F438" name="범위1_4_2_1_1_1_1"/>
    <protectedRange sqref="M421:M423 M439:M444 M448:M476 M411:M415 M478 M489:M493 M316:M406 M134:M314 M75:M76 M78" name="범위26_2_1_2_1_1_7_3_1_1_1"/>
    <protectedRange sqref="G160:H162 G169:H169 G393:H395 G167:H167 G178:H179 G464:H464 G242:H243 G382:H384 G251:H251 G273:H273 G266:H266 G264:H264 G275:H275 G268:H268 G279:H279 G489:H493 G235:H236 G347:H347 G337:H345 G357:H357 G387:H391 G412:H415 G317:H318 G293:H314 G320:H322 G324:H334 G349:H354 G421:H423 G448:H456 G458:H462 G467:H475 G478:H478 G225:H232 G134:H146 G281:H288 G216:H221 G439:H444 G148:H155 G366:H377 G75:H75 G78:H78" name="범위6_1_1_1_2_1_2_8_1_2_1_1"/>
    <protectedRange sqref="G463:H463" name="범위6_1_1_1_1_1_1_1_1_1_1_1_1"/>
    <protectedRange sqref="F303:F304 F199:F201 F248:F250 F191:F193 F320 F366 F346:F347 F415 F314 F387 F293 F149:F150 F238:F241 F276:F280 F421 F269:F274 F153:F155 F252:F267" name="범위1_3_1_3_1_1_1"/>
    <protectedRange sqref="G396:H396 G398:H406" name="범위6_1_1_1_2_1_1_1_1_1_1_1_1"/>
    <protectedRange sqref="F375" name="범위1_2_1_1_1_1_1_1"/>
    <protectedRange sqref="F364" name="범위1_5_1_1_1_1_1_1"/>
    <protectedRange sqref="M424:M437 M504" name="범위26_2_1_2_1_19_1_1_1_1_1_1"/>
    <protectedRange sqref="M407" name="범위26_2_1_2_1_1_4_1_1_1_1_1"/>
    <protectedRange sqref="G407:H407" name="범위6_1_1_1_2_1_2_4_1_1_1_1_1"/>
    <protectedRange sqref="G411:H411" name="범위6_1_1_1_2_1_2_5_1_1_1_1_1"/>
    <protectedRange sqref="M477 M488 M77" name="범위26_2_1_2_1_1_2_1_1_1_1_1"/>
    <protectedRange sqref="F477 F77" name="범위1_3_2_1_1_1_1_1"/>
    <protectedRange sqref="M416:M417" name="범위26_2_1_2_1_3_1_1_1_1_1"/>
    <protectedRange sqref="G416:H417" name="범위6_1_1_1_2_1_3_1_1_1_1_1"/>
    <protectedRange sqref="F416:F417" name="범위1_2_2_1_1_1_1"/>
    <protectedRange sqref="M445:M447" name="범위26_2_1_2_1_1_5_1_1_1_1_1"/>
    <protectedRange sqref="G445:H447" name="범위6_1_1_1_2_1_2_3_1_1_1_1_1"/>
    <protectedRange sqref="M315" name="범위26_2_1_2_1_1_6_1_1_1_1_1"/>
    <protectedRange sqref="G315:H315" name="범위6_1_1_1_2_1_2_6_1_1_1_1_1"/>
    <protectedRange sqref="G488:H488" name="범위6_1_1_1_2_1_4_1_1_1_1_1"/>
    <protectedRange sqref="F488" name="범위1_5_2_1_1_1_1"/>
    <protectedRange sqref="G495:H495 G480:H480 G89:H90 G80:H80" name="범위6_1_1_1_2_1_2_1_2_1_1_1"/>
    <protectedRange sqref="M494:M495 M479:M480 M79:M80 M89:M90" name="범위26_2_1_2_1_1_7_2_1_2_1_1"/>
    <protectedRange sqref="M496 M481" name="범위26_2_1_2_1_1_8_1_1_1"/>
    <protectedRange sqref="G496:H496 G481:H481" name="범위6_1_1_1_2_1_2_8_1_1_1_1_1"/>
    <protectedRange sqref="F496 F481" name="범위1_3_1_1_1_1_1_1"/>
    <protectedRange sqref="M482" name="범위26_2_1_2_1_8_1_1_2_1_1"/>
    <protectedRange sqref="M483" name="범위26_2_1_2_1_1_7_2_1_1_1_1_1"/>
    <protectedRange sqref="F484:F487" name="범위1_2_1_1_1_1"/>
    <protectedRange sqref="M487 M484" name="범위26_2_1_2_1_8_1_1_1_1_1_1"/>
    <protectedRange sqref="M485:M486" name="범위26_2_1_2_1_1_7_2_2_1_1_1"/>
    <protectedRange sqref="F505:F506 F530:F538" name="범위1_2_1_2_1_1"/>
    <protectedRange sqref="M505:M506 M530:M538" name="범위26_2_1_2_1_1_7_2_2_2_1_1"/>
    <protectedRange sqref="D26" name="범위23_1_1_1_2_1_1_1_2_1_1_1"/>
    <protectedRange sqref="D26" name="범위1_3_1_1_1_1_2_1_1_1_2_1_1_1"/>
    <protectedRange sqref="M56:O56" name="범위10_1_1_1"/>
    <protectedRange sqref="G56 D56:E56" name="범위8_1_1_2_1_1_1_1"/>
    <protectedRange sqref="H56:K56" name="범위9_1_1_1_1_2_1"/>
    <protectedRange sqref="D507:D525 D528:D529" name="범위5_1_3_2_1_1_1"/>
    <protectedRange sqref="I507:I525 I528:I529" name="범위6_1_1_1_2_1_2_8_2_1_1"/>
    <protectedRange sqref="F507:F525 F528:F529" name="범위1_2_1_2_1_1_1"/>
    <protectedRange sqref="M507:M525" name="범위26_2_1_2_1_1_7_2_2_2_1_1_1"/>
    <protectedRange sqref="D526" name="범위5_1_2_1_2_1"/>
    <protectedRange sqref="M526" name="범위26_2_1_2_1_1"/>
    <protectedRange sqref="G526:I526" name="범위6_1_1_1_2_1_1_1"/>
    <protectedRange sqref="M528:M529" name="범위26_2_1_2_1_1_7_2_2_2_1_1_1_1"/>
    <protectedRange sqref="D81" name="범위5_1_2_1_2_1_2_1_1_2"/>
    <protectedRange sqref="I81" name="범위6_1_1_1_2_1_2_8_2_1_2"/>
    <protectedRange sqref="M81" name="범위26_2_1_2_1_1_7_3_1_1_1_2"/>
    <protectedRange sqref="D82:D83" name="범위5_1_2_1_2_1_2_1_1_1_1"/>
    <protectedRange sqref="I82:I83" name="범위6_1_1_1_2_1_2_8_2_1_1_2"/>
    <protectedRange sqref="M82:M83" name="범위26_2_1_2_1_1_7_3_1_1_1_1_1"/>
    <protectedRange sqref="F82:F83" name="범위1_3_1_3_1_1_1_1"/>
    <protectedRange sqref="D84:D88" name="범위5_1_2_1_2_1_2_1_1_2_1"/>
    <protectedRange sqref="I84:I88" name="범위6_1_1_1_2_1_2_8_2_1_2_1"/>
    <protectedRange sqref="M84:M88" name="범위26_2_1_2_1_1_7_3_1_1_1_2_1"/>
    <protectedRange sqref="G84:H88" name="범위6_1_1_1_2_1_2_8_1_2_1_1_2"/>
    <protectedRange sqref="C17:C25 C14:C15" name="범위1_3_1_2_1_1"/>
    <protectedRange sqref="C17:C25 C14:C15" name="범위1_3_1_2_2_1"/>
    <protectedRange sqref="D12:D25" name="범위23_1_1_1_2_1_1_1_2_1_1_1_1"/>
    <protectedRange sqref="D12:D25" name="범위1_3_1_1_1_1_2_1_1_1_2_1_1_1_1"/>
    <protectedRange sqref="D527" name="범위5_1_3_2_1_1_1_1_2"/>
    <protectedRange sqref="I527" name="범위6_1_1_1_2_1_2_8_2_1_1_1_2"/>
    <protectedRange sqref="F527" name="범위1_2_1_2_1_1_1_1_2"/>
    <protectedRange sqref="M527" name="범위26_2_1_2_1_1_7_2_2_2_1_1_1_1_2"/>
    <protectedRange sqref="D67:E67" name="범위8_1_1_2_1_1_1_2"/>
  </protectedRanges>
  <autoFilter ref="A74:Z74" xr:uid="{00000000-0009-0000-0000-000002000000}"/>
  <mergeCells count="23">
    <mergeCell ref="B41:E42"/>
    <mergeCell ref="D73:E73"/>
    <mergeCell ref="L10:P10"/>
    <mergeCell ref="G11:I11"/>
    <mergeCell ref="R11:S11"/>
    <mergeCell ref="I28:I29"/>
    <mergeCell ref="M28:M29"/>
    <mergeCell ref="O28:P28"/>
    <mergeCell ref="O29:P29"/>
    <mergeCell ref="B9:C9"/>
    <mergeCell ref="D9:I9"/>
    <mergeCell ref="M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</mergeCells>
  <phoneticPr fontId="16" type="noConversion"/>
  <conditionalFormatting sqref="F1:F1048576">
    <cfRule type="duplicateValues" dxfId="8" priority="1"/>
  </conditionalFormatting>
  <dataValidations count="6">
    <dataValidation type="list" allowBlank="1" showInputMessage="1" showErrorMessage="1" sqref="D27" xr:uid="{00000000-0002-0000-0200-000000000000}">
      <formula1>$D$49:$D$70</formula1>
    </dataValidation>
    <dataValidation type="list" allowBlank="1" showInputMessage="1" showErrorMessage="1" sqref="L8:M8" xr:uid="{00000000-0002-0000-0200-000001000000}">
      <formula1>$M$49:$M$70</formula1>
    </dataValidation>
    <dataValidation type="list" allowBlank="1" showInputMessage="1" showErrorMessage="1" sqref="L9" xr:uid="{00000000-0002-0000-0200-000002000000}">
      <formula1>$G$45:$G$70</formula1>
    </dataValidation>
    <dataValidation type="list" allowBlank="1" showInputMessage="1" showErrorMessage="1" sqref="D526" xr:uid="{00000000-0002-0000-0200-000003000000}">
      <formula1>$D$47:$D$73</formula1>
    </dataValidation>
    <dataValidation type="list" allowBlank="1" showInputMessage="1" showErrorMessage="1" sqref="D12:D26" xr:uid="{00000000-0002-0000-0200-000004000000}">
      <formula1>$D$45:$D$70</formula1>
    </dataValidation>
    <dataValidation type="list" allowBlank="1" showInputMessage="1" showErrorMessage="1" sqref="F237 F222:F224 F180:F181 F186:F190" xr:uid="{00000000-0002-0000-0200-000005000000}">
      <formula1>$A$3:$A$350</formula1>
    </dataValidation>
  </dataValidations>
  <printOptions horizontalCentered="1"/>
  <pageMargins left="7.874015748031496E-2" right="7.874015748031496E-2" top="0.3" bottom="0.28999999999999998" header="0.27559055118110237" footer="0.23622047244094491"/>
  <pageSetup paperSize="9" scale="73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2"/>
    <pageSetUpPr fitToPage="1"/>
  </sheetPr>
  <dimension ref="A1:Z558"/>
  <sheetViews>
    <sheetView tabSelected="1" zoomScale="80" zoomScaleNormal="80" workbookViewId="0">
      <selection activeCell="H14" sqref="H14"/>
    </sheetView>
  </sheetViews>
  <sheetFormatPr defaultRowHeight="13.5"/>
  <cols>
    <col min="1" max="1" width="1.21875" customWidth="1"/>
    <col min="2" max="2" width="4.6640625" style="1" customWidth="1"/>
    <col min="3" max="3" width="11.21875" style="1" customWidth="1"/>
    <col min="4" max="4" width="17.88671875" customWidth="1"/>
    <col min="5" max="6" width="10.109375" style="1" customWidth="1"/>
    <col min="7" max="7" width="13.88671875" customWidth="1"/>
    <col min="8" max="8" width="14.21875" customWidth="1"/>
    <col min="9" max="9" width="9.5546875" style="12" customWidth="1"/>
    <col min="10" max="10" width="8.6640625" style="15" customWidth="1"/>
    <col min="11" max="11" width="8.6640625" style="1" customWidth="1"/>
    <col min="12" max="12" width="7.77734375" customWidth="1"/>
    <col min="13" max="13" width="8.6640625" customWidth="1"/>
    <col min="14" max="14" width="12.109375" customWidth="1"/>
    <col min="15" max="15" width="13.33203125" customWidth="1"/>
    <col min="16" max="16" width="13.109375" customWidth="1"/>
    <col min="17" max="17" width="5.33203125" customWidth="1"/>
    <col min="18" max="18" width="7.44140625" bestFit="1" customWidth="1"/>
    <col min="19" max="19" width="4.88671875" bestFit="1" customWidth="1"/>
    <col min="20" max="20" width="1.44140625" customWidth="1"/>
    <col min="21" max="21" width="11.44140625" style="42" customWidth="1"/>
    <col min="22" max="22" width="7.88671875" style="105" bestFit="1" customWidth="1"/>
    <col min="23" max="23" width="6.109375" style="21" customWidth="1"/>
    <col min="24" max="24" width="11.6640625" style="21" customWidth="1"/>
    <col min="25" max="26" width="8.44140625" style="43" customWidth="1"/>
  </cols>
  <sheetData>
    <row r="1" spans="1:26" ht="14.25" customHeight="1" thickBot="1">
      <c r="A1" s="5"/>
      <c r="B1" s="6"/>
      <c r="C1" s="6"/>
      <c r="D1" s="5"/>
      <c r="E1" s="6"/>
      <c r="F1" s="97"/>
      <c r="G1" s="7"/>
      <c r="H1" s="7"/>
      <c r="I1" s="9"/>
      <c r="J1" s="17"/>
      <c r="K1" s="7"/>
      <c r="L1" s="7"/>
      <c r="M1" s="5"/>
      <c r="N1" s="5"/>
      <c r="O1" s="5"/>
      <c r="P1" s="5"/>
    </row>
    <row r="2" spans="1:26" s="43" customFormat="1" ht="18" customHeight="1">
      <c r="A2" s="4"/>
      <c r="B2" s="572" t="s">
        <v>1</v>
      </c>
      <c r="C2" s="573"/>
      <c r="D2" s="573"/>
      <c r="E2" s="574"/>
      <c r="F2" s="578"/>
      <c r="G2" s="579"/>
      <c r="H2" s="579"/>
      <c r="I2" s="579"/>
      <c r="J2" s="579"/>
      <c r="K2" s="579"/>
      <c r="L2" s="579"/>
      <c r="M2" s="102" t="s">
        <v>2</v>
      </c>
      <c r="N2" s="102"/>
      <c r="O2" s="101"/>
      <c r="P2" s="101"/>
      <c r="U2" s="42"/>
      <c r="V2" s="105"/>
      <c r="W2" s="21"/>
      <c r="X2" s="21"/>
    </row>
    <row r="3" spans="1:26" s="43" customFormat="1" ht="16.5" customHeight="1" thickBot="1">
      <c r="A3" s="4"/>
      <c r="B3" s="575"/>
      <c r="C3" s="576"/>
      <c r="D3" s="576"/>
      <c r="E3" s="577"/>
      <c r="F3" s="579"/>
      <c r="G3" s="579"/>
      <c r="H3" s="579"/>
      <c r="I3" s="579"/>
      <c r="J3" s="579"/>
      <c r="K3" s="579"/>
      <c r="L3" s="579"/>
      <c r="M3" s="103" t="s">
        <v>416</v>
      </c>
      <c r="N3" s="100"/>
      <c r="O3" s="4"/>
      <c r="P3" s="4"/>
      <c r="U3" s="42"/>
      <c r="V3" s="105"/>
      <c r="W3" s="21"/>
      <c r="X3" s="21"/>
    </row>
    <row r="4" spans="1:26" s="43" customFormat="1" ht="16.5" customHeight="1">
      <c r="A4" s="4"/>
      <c r="B4" s="112"/>
      <c r="C4" s="112"/>
      <c r="D4" s="4"/>
      <c r="E4" s="112"/>
      <c r="F4" s="579"/>
      <c r="G4" s="579"/>
      <c r="H4" s="579"/>
      <c r="I4" s="579"/>
      <c r="J4" s="579"/>
      <c r="K4" s="579"/>
      <c r="L4" s="579"/>
      <c r="M4" s="103" t="s">
        <v>3</v>
      </c>
      <c r="N4" s="100"/>
      <c r="O4" s="4"/>
      <c r="P4" s="4"/>
      <c r="U4" s="42"/>
      <c r="V4" s="105"/>
      <c r="W4" s="21"/>
      <c r="X4" s="21"/>
    </row>
    <row r="5" spans="1:26" s="43" customFormat="1" ht="16.5" customHeight="1">
      <c r="A5" s="4"/>
      <c r="B5" s="112"/>
      <c r="C5" s="112"/>
      <c r="D5" s="4"/>
      <c r="E5" s="112"/>
      <c r="F5" s="350"/>
      <c r="G5" s="113"/>
      <c r="H5" s="113"/>
      <c r="I5" s="114"/>
      <c r="J5" s="115"/>
      <c r="K5" s="113"/>
      <c r="L5" s="113"/>
      <c r="M5" s="103" t="s">
        <v>4</v>
      </c>
      <c r="N5" s="100"/>
      <c r="O5" s="4"/>
      <c r="P5" s="4"/>
      <c r="U5" s="42"/>
      <c r="V5" s="105"/>
      <c r="W5" s="21"/>
      <c r="X5" s="21"/>
    </row>
    <row r="6" spans="1:26" s="43" customFormat="1" ht="9" customHeight="1" thickBot="1">
      <c r="A6" s="4"/>
      <c r="B6" s="112"/>
      <c r="C6" s="112"/>
      <c r="D6" s="4"/>
      <c r="E6" s="112"/>
      <c r="F6" s="116"/>
      <c r="G6" s="4"/>
      <c r="H6" s="4"/>
      <c r="I6" s="117"/>
      <c r="J6" s="118"/>
      <c r="K6" s="112"/>
      <c r="L6" s="4"/>
      <c r="M6" s="4"/>
      <c r="N6" s="4"/>
      <c r="O6" s="4"/>
      <c r="P6" s="4"/>
      <c r="U6" s="42"/>
      <c r="V6" s="105"/>
      <c r="W6" s="21"/>
      <c r="X6" s="21"/>
    </row>
    <row r="7" spans="1:26" s="28" customFormat="1" ht="25.5" customHeight="1" thickTop="1">
      <c r="A7" s="100"/>
      <c r="B7" s="580" t="s">
        <v>5</v>
      </c>
      <c r="C7" s="581"/>
      <c r="D7" s="582" t="s">
        <v>6</v>
      </c>
      <c r="E7" s="583"/>
      <c r="F7" s="119" t="s">
        <v>7</v>
      </c>
      <c r="G7" s="584" t="s">
        <v>75</v>
      </c>
      <c r="H7" s="585"/>
      <c r="I7" s="586"/>
      <c r="J7" s="120"/>
      <c r="K7" s="121" t="s">
        <v>8</v>
      </c>
      <c r="L7" s="587">
        <f ca="1">TODAY()</f>
        <v>45981</v>
      </c>
      <c r="M7" s="588"/>
      <c r="N7" s="122" t="s">
        <v>9</v>
      </c>
      <c r="O7" s="123">
        <f ca="1">TODAY()+1</f>
        <v>45982</v>
      </c>
      <c r="P7" s="124"/>
      <c r="U7" s="29"/>
      <c r="V7" s="105"/>
      <c r="W7" s="20"/>
      <c r="X7" s="20"/>
    </row>
    <row r="8" spans="1:26" s="28" customFormat="1" ht="25.5" customHeight="1">
      <c r="A8" s="100"/>
      <c r="B8" s="589" t="s">
        <v>10</v>
      </c>
      <c r="C8" s="590"/>
      <c r="D8" s="591" t="s">
        <v>11</v>
      </c>
      <c r="E8" s="592"/>
      <c r="F8" s="125" t="s">
        <v>12</v>
      </c>
      <c r="G8" s="592" t="s">
        <v>13</v>
      </c>
      <c r="H8" s="592"/>
      <c r="I8" s="593"/>
      <c r="J8" s="120"/>
      <c r="K8" s="126" t="s">
        <v>14</v>
      </c>
      <c r="L8" s="594" t="s">
        <v>91</v>
      </c>
      <c r="M8" s="595"/>
      <c r="N8" s="358" t="s">
        <v>15</v>
      </c>
      <c r="O8" s="596" t="s">
        <v>92</v>
      </c>
      <c r="P8" s="597"/>
      <c r="U8" s="29"/>
      <c r="V8" s="105"/>
      <c r="W8" s="20"/>
      <c r="X8" s="20"/>
    </row>
    <row r="9" spans="1:26" s="28" customFormat="1" ht="25.5" customHeight="1" thickBot="1">
      <c r="A9" s="100"/>
      <c r="B9" s="564" t="s">
        <v>16</v>
      </c>
      <c r="C9" s="565"/>
      <c r="D9" s="566"/>
      <c r="E9" s="567"/>
      <c r="F9" s="567"/>
      <c r="G9" s="567"/>
      <c r="H9" s="567"/>
      <c r="I9" s="568"/>
      <c r="J9" s="120"/>
      <c r="K9" s="128" t="s">
        <v>17</v>
      </c>
      <c r="L9" s="129" t="s">
        <v>844</v>
      </c>
      <c r="M9" s="569" t="str">
        <f>IF($L9&lt;&gt;0,VLOOKUP($L9,$G$45:$K$70,2,FALSE),"")</f>
        <v>경기도 화성시 향남읍 구문천1길 43-9</v>
      </c>
      <c r="N9" s="570"/>
      <c r="O9" s="570"/>
      <c r="P9" s="571"/>
      <c r="U9" s="44"/>
      <c r="V9" s="105"/>
      <c r="W9" s="20"/>
      <c r="X9" s="20"/>
    </row>
    <row r="10" spans="1:26" ht="18" customHeight="1" thickBot="1">
      <c r="A10" s="5"/>
      <c r="B10" s="6"/>
      <c r="C10" s="6"/>
      <c r="D10" s="5"/>
      <c r="E10" s="6"/>
      <c r="F10" s="6"/>
      <c r="G10" s="5"/>
      <c r="H10" s="5"/>
      <c r="I10" s="11"/>
      <c r="J10" s="14"/>
      <c r="K10" s="6"/>
      <c r="L10" s="606"/>
      <c r="M10" s="606"/>
      <c r="N10" s="606"/>
      <c r="O10" s="606"/>
      <c r="P10" s="606"/>
    </row>
    <row r="11" spans="1:26" s="28" customFormat="1" ht="27" customHeight="1" thickTop="1">
      <c r="A11" s="100"/>
      <c r="B11" s="371" t="s">
        <v>415</v>
      </c>
      <c r="C11" s="368" t="s">
        <v>88</v>
      </c>
      <c r="D11" s="368" t="s">
        <v>408</v>
      </c>
      <c r="E11" s="368" t="s">
        <v>409</v>
      </c>
      <c r="F11" s="369" t="s">
        <v>109</v>
      </c>
      <c r="G11" s="607" t="s">
        <v>108</v>
      </c>
      <c r="H11" s="608"/>
      <c r="I11" s="609"/>
      <c r="J11" s="377" t="s">
        <v>410</v>
      </c>
      <c r="K11" s="368" t="s">
        <v>405</v>
      </c>
      <c r="L11" s="368" t="s">
        <v>406</v>
      </c>
      <c r="M11" s="368" t="s">
        <v>411</v>
      </c>
      <c r="N11" s="368" t="s">
        <v>407</v>
      </c>
      <c r="O11" s="368" t="s">
        <v>412</v>
      </c>
      <c r="P11" s="370" t="s">
        <v>93</v>
      </c>
      <c r="R11" s="610" t="s">
        <v>398</v>
      </c>
      <c r="S11" s="611"/>
      <c r="U11" s="327" t="s">
        <v>399</v>
      </c>
      <c r="V11" s="98" t="s">
        <v>402</v>
      </c>
      <c r="W11" s="98" t="s">
        <v>403</v>
      </c>
      <c r="X11" s="98" t="s">
        <v>404</v>
      </c>
      <c r="Y11" s="98" t="s">
        <v>400</v>
      </c>
      <c r="Z11" s="99" t="s">
        <v>401</v>
      </c>
    </row>
    <row r="12" spans="1:26" s="28" customFormat="1" ht="24.95" customHeight="1">
      <c r="B12" s="221">
        <v>1</v>
      </c>
      <c r="C12" s="364" t="s">
        <v>1081</v>
      </c>
      <c r="D12" s="82" t="s">
        <v>955</v>
      </c>
      <c r="E12" s="85">
        <f t="shared" ref="E12:E25" si="0">IF($D12&lt;&gt;0,VLOOKUP($D12,$D$45:$E$71,2,FALSE),"")</f>
        <v>194667</v>
      </c>
      <c r="F12" s="472">
        <v>140677</v>
      </c>
      <c r="G12" s="224" t="str">
        <f t="shared" ref="G12:G26" si="1">IF($F12&lt;&gt;0,VLOOKUP($F12,$E$73:$M$535,2,FALSE),"")</f>
        <v>MOBIL RARUS 68 EXCEL 20LT:KR</v>
      </c>
      <c r="H12" s="341"/>
      <c r="I12" s="342"/>
      <c r="J12" s="84" t="str">
        <f t="shared" ref="J12:J26" si="2">IF($F12&lt;&gt;0,VLOOKUP($F12,$E$73:$M$535,7,FALSE),"")</f>
        <v>PAIL</v>
      </c>
      <c r="K12" s="85" t="str">
        <f t="shared" ref="K12:K26" si="3">IF($F12&lt;&gt;0,VLOOKUP($F12,$E$73:$M$535,8,FALSE),"")</f>
        <v>IND</v>
      </c>
      <c r="L12" s="494">
        <v>20</v>
      </c>
      <c r="M12" s="87">
        <f t="shared" ref="M12:M26" si="4">IF($L12&lt;&gt;0,VLOOKUP($F12,$E$73:$M$535,9,FALSE)*$L12,"")</f>
        <v>400</v>
      </c>
      <c r="N12" s="88">
        <f t="shared" ref="N12:N23" si="5">IF($F12&lt;&gt;0,VLOOKUP($F12,$E$53:$L$543,5,FALSE),"")</f>
        <v>79200</v>
      </c>
      <c r="O12" s="89">
        <f t="shared" ref="O12:O21" si="6">IF(L12&lt;&gt;0,$L12*$N12,"")</f>
        <v>1584000</v>
      </c>
      <c r="P12" s="450"/>
      <c r="R12" s="75" t="str">
        <f>VLOOKUP(F12,'파레트 제품 리스트'!$B:$F,4,0)</f>
        <v>MIX (28)</v>
      </c>
      <c r="S12" s="76">
        <f>VLOOKUP(F12,'파레트 제품 리스트'!$B:$F,5,0)</f>
        <v>1</v>
      </c>
      <c r="U12" s="328">
        <f>O12*1.1</f>
        <v>1742400.0000000002</v>
      </c>
      <c r="V12" s="367"/>
      <c r="W12" s="78"/>
      <c r="X12" s="78"/>
      <c r="Y12" s="79"/>
      <c r="Z12" s="80"/>
    </row>
    <row r="13" spans="1:26" s="28" customFormat="1" ht="24.95" customHeight="1">
      <c r="B13" s="221">
        <v>2</v>
      </c>
      <c r="C13" s="364"/>
      <c r="D13" s="82" t="s">
        <v>955</v>
      </c>
      <c r="E13" s="85">
        <f t="shared" si="0"/>
        <v>194667</v>
      </c>
      <c r="F13" s="446"/>
      <c r="G13" s="224" t="str">
        <f t="shared" si="1"/>
        <v/>
      </c>
      <c r="H13" s="341"/>
      <c r="I13" s="342"/>
      <c r="J13" s="84" t="str">
        <f t="shared" si="2"/>
        <v/>
      </c>
      <c r="K13" s="85" t="str">
        <f t="shared" si="3"/>
        <v/>
      </c>
      <c r="L13" s="326"/>
      <c r="M13" s="87" t="str">
        <f t="shared" si="4"/>
        <v/>
      </c>
      <c r="N13" s="88" t="str">
        <f t="shared" si="5"/>
        <v/>
      </c>
      <c r="O13" s="89" t="str">
        <f t="shared" si="6"/>
        <v/>
      </c>
      <c r="P13" s="450"/>
      <c r="R13" s="75" t="e">
        <f>VLOOKUP(F13,'파레트 제품 리스트'!$B:$F,4,0)</f>
        <v>#N/A</v>
      </c>
      <c r="S13" s="76" t="e">
        <f>VLOOKUP(F13,'파레트 제품 리스트'!$B:$F,5,0)</f>
        <v>#N/A</v>
      </c>
      <c r="U13" s="328" t="e">
        <f>O13*1.1</f>
        <v>#VALUE!</v>
      </c>
      <c r="V13" s="367"/>
      <c r="W13" s="78"/>
      <c r="X13" s="78"/>
      <c r="Y13" s="79"/>
      <c r="Z13" s="80"/>
    </row>
    <row r="14" spans="1:26" s="28" customFormat="1" ht="24.95" customHeight="1">
      <c r="B14" s="221">
        <v>3</v>
      </c>
      <c r="C14" s="364"/>
      <c r="D14" s="82" t="s">
        <v>955</v>
      </c>
      <c r="E14" s="85">
        <f t="shared" si="0"/>
        <v>194667</v>
      </c>
      <c r="F14" s="446"/>
      <c r="G14" s="224" t="str">
        <f t="shared" si="1"/>
        <v/>
      </c>
      <c r="H14" s="341"/>
      <c r="I14" s="342"/>
      <c r="J14" s="84" t="str">
        <f t="shared" si="2"/>
        <v/>
      </c>
      <c r="K14" s="85" t="str">
        <f t="shared" si="3"/>
        <v/>
      </c>
      <c r="L14" s="326"/>
      <c r="M14" s="87" t="str">
        <f t="shared" si="4"/>
        <v/>
      </c>
      <c r="N14" s="88" t="str">
        <f t="shared" si="5"/>
        <v/>
      </c>
      <c r="O14" s="89" t="str">
        <f>IF(L14&lt;&gt;0,$L14*$N14,"")</f>
        <v/>
      </c>
      <c r="P14" s="450"/>
      <c r="R14" s="75" t="e">
        <f>VLOOKUP(F14,'파레트 제품 리스트'!$B:$F,4,0)</f>
        <v>#N/A</v>
      </c>
      <c r="S14" s="76" t="e">
        <f>VLOOKUP(F14,'파레트 제품 리스트'!$B:$F,5,0)</f>
        <v>#N/A</v>
      </c>
      <c r="U14" s="328" t="e">
        <f>O14*1.1</f>
        <v>#VALUE!</v>
      </c>
      <c r="V14" s="367"/>
      <c r="W14" s="78"/>
      <c r="X14" s="78"/>
      <c r="Y14" s="79"/>
      <c r="Z14" s="80"/>
    </row>
    <row r="15" spans="1:26" s="28" customFormat="1" ht="24.95" customHeight="1">
      <c r="B15" s="221">
        <v>4</v>
      </c>
      <c r="C15" s="364"/>
      <c r="D15" s="82" t="s">
        <v>955</v>
      </c>
      <c r="E15" s="85">
        <f t="shared" si="0"/>
        <v>194667</v>
      </c>
      <c r="F15" s="446"/>
      <c r="G15" s="224" t="str">
        <f t="shared" si="1"/>
        <v/>
      </c>
      <c r="H15" s="341"/>
      <c r="I15" s="342"/>
      <c r="J15" s="84" t="str">
        <f t="shared" si="2"/>
        <v/>
      </c>
      <c r="K15" s="85" t="str">
        <f t="shared" si="3"/>
        <v/>
      </c>
      <c r="L15" s="326"/>
      <c r="M15" s="87" t="str">
        <f t="shared" si="4"/>
        <v/>
      </c>
      <c r="N15" s="88" t="str">
        <f t="shared" si="5"/>
        <v/>
      </c>
      <c r="O15" s="89" t="str">
        <f t="shared" si="6"/>
        <v/>
      </c>
      <c r="P15" s="450"/>
      <c r="R15" s="75" t="e">
        <f>VLOOKUP(F15,'파레트 제품 리스트'!$B:$F,4,0)</f>
        <v>#N/A</v>
      </c>
      <c r="S15" s="76" t="e">
        <f>VLOOKUP(F15,'파레트 제품 리스트'!$B:$F,5,0)</f>
        <v>#N/A</v>
      </c>
      <c r="U15" s="328" t="e">
        <f t="shared" ref="U15" si="7">O15*1.1</f>
        <v>#VALUE!</v>
      </c>
      <c r="V15" s="367"/>
      <c r="W15" s="78"/>
      <c r="X15" s="78"/>
      <c r="Y15" s="79"/>
      <c r="Z15" s="80"/>
    </row>
    <row r="16" spans="1:26" s="28" customFormat="1" ht="24.95" customHeight="1">
      <c r="B16" s="221">
        <v>5</v>
      </c>
      <c r="C16" s="364"/>
      <c r="D16" s="82" t="s">
        <v>955</v>
      </c>
      <c r="E16" s="85">
        <f t="shared" si="0"/>
        <v>194667</v>
      </c>
      <c r="F16" s="546"/>
      <c r="G16" s="224" t="str">
        <f t="shared" si="1"/>
        <v/>
      </c>
      <c r="H16" s="341"/>
      <c r="I16" s="342"/>
      <c r="J16" s="84" t="str">
        <f t="shared" si="2"/>
        <v/>
      </c>
      <c r="K16" s="85" t="str">
        <f t="shared" si="3"/>
        <v/>
      </c>
      <c r="L16" s="547"/>
      <c r="M16" s="87" t="str">
        <f t="shared" si="4"/>
        <v/>
      </c>
      <c r="N16" s="88" t="str">
        <f t="shared" si="5"/>
        <v/>
      </c>
      <c r="O16" s="89" t="str">
        <f>IF(L16&lt;&gt;0,$L16*$N16,"")</f>
        <v/>
      </c>
      <c r="P16" s="450"/>
      <c r="R16" s="75" t="e">
        <f>VLOOKUP(F16,'파레트 제품 리스트'!$B:$F,4,0)</f>
        <v>#N/A</v>
      </c>
      <c r="S16" s="76" t="e">
        <f>VLOOKUP(F16,'파레트 제품 리스트'!$B:$F,5,0)</f>
        <v>#N/A</v>
      </c>
      <c r="U16" s="328" t="e">
        <f>O16*1.1</f>
        <v>#VALUE!</v>
      </c>
      <c r="V16" s="367"/>
      <c r="W16" s="78"/>
      <c r="X16" s="78"/>
      <c r="Y16" s="79"/>
      <c r="Z16" s="80"/>
    </row>
    <row r="17" spans="1:26" s="28" customFormat="1" ht="24.95" customHeight="1">
      <c r="B17" s="221">
        <v>6</v>
      </c>
      <c r="C17" s="364"/>
      <c r="D17" s="82" t="s">
        <v>955</v>
      </c>
      <c r="E17" s="85">
        <f t="shared" si="0"/>
        <v>194667</v>
      </c>
      <c r="F17" s="472"/>
      <c r="G17" s="224" t="str">
        <f t="shared" si="1"/>
        <v/>
      </c>
      <c r="H17" s="341"/>
      <c r="I17" s="342"/>
      <c r="J17" s="84" t="str">
        <f t="shared" si="2"/>
        <v/>
      </c>
      <c r="K17" s="85" t="str">
        <f t="shared" si="3"/>
        <v/>
      </c>
      <c r="L17" s="494"/>
      <c r="M17" s="87" t="str">
        <f t="shared" si="4"/>
        <v/>
      </c>
      <c r="N17" s="88" t="str">
        <f t="shared" si="5"/>
        <v/>
      </c>
      <c r="O17" s="89" t="str">
        <f>IF(L17&lt;&gt;0,$L17*$N17,"")</f>
        <v/>
      </c>
      <c r="P17" s="450"/>
      <c r="R17" s="75" t="e">
        <f>VLOOKUP(F17,'파레트 제품 리스트'!$B:$F,4,0)</f>
        <v>#N/A</v>
      </c>
      <c r="S17" s="76" t="e">
        <f>VLOOKUP(F17,'파레트 제품 리스트'!$B:$F,5,0)</f>
        <v>#N/A</v>
      </c>
      <c r="U17" s="328" t="e">
        <f>O17*1.1</f>
        <v>#VALUE!</v>
      </c>
      <c r="V17" s="367"/>
      <c r="W17" s="78"/>
      <c r="X17" s="78"/>
      <c r="Y17" s="79"/>
      <c r="Z17" s="80"/>
    </row>
    <row r="18" spans="1:26" s="28" customFormat="1" ht="24.95" customHeight="1">
      <c r="B18" s="221">
        <v>7</v>
      </c>
      <c r="C18" s="364"/>
      <c r="D18" s="82" t="s">
        <v>955</v>
      </c>
      <c r="E18" s="85">
        <f t="shared" si="0"/>
        <v>194667</v>
      </c>
      <c r="F18" s="446"/>
      <c r="G18" s="224" t="str">
        <f t="shared" si="1"/>
        <v/>
      </c>
      <c r="H18" s="341"/>
      <c r="I18" s="342"/>
      <c r="J18" s="84" t="str">
        <f t="shared" si="2"/>
        <v/>
      </c>
      <c r="K18" s="85" t="str">
        <f t="shared" si="3"/>
        <v/>
      </c>
      <c r="L18" s="326"/>
      <c r="M18" s="87" t="str">
        <f t="shared" si="4"/>
        <v/>
      </c>
      <c r="N18" s="88" t="str">
        <f t="shared" si="5"/>
        <v/>
      </c>
      <c r="O18" s="89" t="str">
        <f>IF(L18&lt;&gt;0,$L18*$N18,"")</f>
        <v/>
      </c>
      <c r="P18" s="450"/>
      <c r="R18" s="75" t="e">
        <f>VLOOKUP(F18,'파레트 제품 리스트'!$B:$F,4,0)</f>
        <v>#N/A</v>
      </c>
      <c r="S18" s="76" t="e">
        <f>VLOOKUP(F18,'파레트 제품 리스트'!$B:$F,5,0)</f>
        <v>#N/A</v>
      </c>
      <c r="U18" s="328" t="e">
        <f>O18*1.1</f>
        <v>#VALUE!</v>
      </c>
      <c r="V18" s="367"/>
      <c r="W18" s="78"/>
      <c r="X18" s="78"/>
      <c r="Y18" s="79"/>
      <c r="Z18" s="80"/>
    </row>
    <row r="19" spans="1:26" s="28" customFormat="1" ht="24.95" customHeight="1">
      <c r="B19" s="221">
        <v>8</v>
      </c>
      <c r="C19" s="364"/>
      <c r="D19" s="82" t="s">
        <v>955</v>
      </c>
      <c r="E19" s="85">
        <f t="shared" si="0"/>
        <v>194667</v>
      </c>
      <c r="F19" s="446"/>
      <c r="G19" s="340" t="str">
        <f t="shared" si="1"/>
        <v/>
      </c>
      <c r="H19" s="341"/>
      <c r="I19" s="342"/>
      <c r="J19" s="343" t="str">
        <f t="shared" si="2"/>
        <v/>
      </c>
      <c r="K19" s="339" t="str">
        <f t="shared" si="3"/>
        <v/>
      </c>
      <c r="L19" s="326"/>
      <c r="M19" s="344" t="str">
        <f t="shared" si="4"/>
        <v/>
      </c>
      <c r="N19" s="88" t="str">
        <f t="shared" si="5"/>
        <v/>
      </c>
      <c r="O19" s="346" t="str">
        <f>IF(L19&lt;&gt;0,$L19*$N19,"")</f>
        <v/>
      </c>
      <c r="P19" s="450"/>
      <c r="R19" s="75" t="e">
        <f>VLOOKUP(F19,'파레트 제품 리스트'!$B:$F,4,0)</f>
        <v>#N/A</v>
      </c>
      <c r="S19" s="76" t="e">
        <f>VLOOKUP(F19,'파레트 제품 리스트'!$B:$F,5,0)</f>
        <v>#N/A</v>
      </c>
      <c r="U19" s="328" t="e">
        <f>O19*1.1</f>
        <v>#VALUE!</v>
      </c>
      <c r="V19" s="367"/>
      <c r="W19" s="78"/>
      <c r="X19" s="78"/>
      <c r="Y19" s="79"/>
      <c r="Z19" s="80"/>
    </row>
    <row r="20" spans="1:26" s="28" customFormat="1" ht="24.95" customHeight="1">
      <c r="B20" s="221">
        <v>9</v>
      </c>
      <c r="C20" s="364"/>
      <c r="D20" s="82" t="s">
        <v>955</v>
      </c>
      <c r="E20" s="85">
        <f t="shared" si="0"/>
        <v>194667</v>
      </c>
      <c r="F20" s="446"/>
      <c r="G20" s="224" t="str">
        <f t="shared" si="1"/>
        <v/>
      </c>
      <c r="H20" s="341"/>
      <c r="I20" s="342"/>
      <c r="J20" s="84" t="str">
        <f t="shared" si="2"/>
        <v/>
      </c>
      <c r="K20" s="85" t="str">
        <f t="shared" si="3"/>
        <v/>
      </c>
      <c r="L20" s="326"/>
      <c r="M20" s="87" t="str">
        <f t="shared" si="4"/>
        <v/>
      </c>
      <c r="N20" s="88" t="str">
        <f t="shared" si="5"/>
        <v/>
      </c>
      <c r="O20" s="89" t="str">
        <f t="shared" si="6"/>
        <v/>
      </c>
      <c r="P20" s="450"/>
      <c r="R20" s="75" t="e">
        <f>VLOOKUP(F20,'파레트 제품 리스트'!$B:$F,4,0)</f>
        <v>#N/A</v>
      </c>
      <c r="S20" s="76" t="e">
        <f>VLOOKUP(F20,'파레트 제품 리스트'!$B:$F,5,0)</f>
        <v>#N/A</v>
      </c>
      <c r="U20" s="328" t="e">
        <f t="shared" ref="U20" si="8">O20*1.1</f>
        <v>#VALUE!</v>
      </c>
      <c r="V20" s="367"/>
      <c r="W20" s="78"/>
      <c r="X20" s="78"/>
      <c r="Y20" s="79"/>
      <c r="Z20" s="80"/>
    </row>
    <row r="21" spans="1:26" s="28" customFormat="1" ht="24.95" customHeight="1">
      <c r="B21" s="221">
        <v>10</v>
      </c>
      <c r="C21" s="364"/>
      <c r="D21" s="82" t="s">
        <v>955</v>
      </c>
      <c r="E21" s="85">
        <f t="shared" si="0"/>
        <v>194667</v>
      </c>
      <c r="F21" s="546"/>
      <c r="G21" s="224" t="str">
        <f t="shared" si="1"/>
        <v/>
      </c>
      <c r="H21" s="341"/>
      <c r="I21" s="342"/>
      <c r="J21" s="84" t="str">
        <f t="shared" si="2"/>
        <v/>
      </c>
      <c r="K21" s="85" t="str">
        <f t="shared" si="3"/>
        <v/>
      </c>
      <c r="L21" s="547"/>
      <c r="M21" s="87" t="str">
        <f t="shared" si="4"/>
        <v/>
      </c>
      <c r="N21" s="88" t="str">
        <f t="shared" si="5"/>
        <v/>
      </c>
      <c r="O21" s="89" t="str">
        <f t="shared" si="6"/>
        <v/>
      </c>
      <c r="P21" s="450"/>
      <c r="R21" s="75" t="e">
        <f>VLOOKUP(F21,'파레트 제품 리스트'!$B:$F,4,0)</f>
        <v>#N/A</v>
      </c>
      <c r="S21" s="76" t="e">
        <f>VLOOKUP(F21,'파레트 제품 리스트'!$B:$F,5,0)</f>
        <v>#N/A</v>
      </c>
      <c r="U21" s="328" t="e">
        <f>O21*1.1</f>
        <v>#VALUE!</v>
      </c>
      <c r="V21" s="367"/>
      <c r="W21" s="78"/>
      <c r="X21" s="78"/>
      <c r="Y21" s="79"/>
      <c r="Z21" s="80"/>
    </row>
    <row r="22" spans="1:26" s="28" customFormat="1" ht="24.95" customHeight="1">
      <c r="B22" s="221">
        <v>11</v>
      </c>
      <c r="C22" s="364"/>
      <c r="D22" s="82" t="s">
        <v>955</v>
      </c>
      <c r="E22" s="85">
        <f t="shared" si="0"/>
        <v>194667</v>
      </c>
      <c r="F22" s="446"/>
      <c r="G22" s="224" t="str">
        <f t="shared" si="1"/>
        <v/>
      </c>
      <c r="H22" s="341"/>
      <c r="I22" s="342"/>
      <c r="J22" s="84" t="str">
        <f t="shared" si="2"/>
        <v/>
      </c>
      <c r="K22" s="85" t="str">
        <f t="shared" si="3"/>
        <v/>
      </c>
      <c r="L22" s="326"/>
      <c r="M22" s="87" t="str">
        <f t="shared" si="4"/>
        <v/>
      </c>
      <c r="N22" s="88" t="str">
        <f t="shared" si="5"/>
        <v/>
      </c>
      <c r="O22" s="89" t="str">
        <f>IF(L22&lt;&gt;0,$L22*$N22,"")</f>
        <v/>
      </c>
      <c r="P22" s="450"/>
      <c r="R22" s="75" t="e">
        <f>VLOOKUP(F22,'파레트 제품 리스트'!$B:$F,4,0)</f>
        <v>#N/A</v>
      </c>
      <c r="S22" s="76" t="e">
        <f>VLOOKUP(F22,'파레트 제품 리스트'!$B:$F,5,0)</f>
        <v>#N/A</v>
      </c>
      <c r="U22" s="328" t="e">
        <f>O22*1.1</f>
        <v>#VALUE!</v>
      </c>
      <c r="V22" s="367"/>
      <c r="W22" s="78"/>
      <c r="X22" s="78"/>
      <c r="Y22" s="79"/>
      <c r="Z22" s="80"/>
    </row>
    <row r="23" spans="1:26" s="28" customFormat="1" ht="24.95" customHeight="1">
      <c r="B23" s="221">
        <v>12</v>
      </c>
      <c r="C23" s="364"/>
      <c r="D23" s="82" t="s">
        <v>955</v>
      </c>
      <c r="E23" s="85">
        <f t="shared" si="0"/>
        <v>194667</v>
      </c>
      <c r="F23" s="446"/>
      <c r="G23" s="224" t="str">
        <f t="shared" si="1"/>
        <v/>
      </c>
      <c r="H23" s="341"/>
      <c r="I23" s="342"/>
      <c r="J23" s="84" t="str">
        <f t="shared" si="2"/>
        <v/>
      </c>
      <c r="K23" s="85" t="str">
        <f t="shared" si="3"/>
        <v/>
      </c>
      <c r="L23" s="326"/>
      <c r="M23" s="87" t="str">
        <f t="shared" si="4"/>
        <v/>
      </c>
      <c r="N23" s="88" t="str">
        <f t="shared" si="5"/>
        <v/>
      </c>
      <c r="O23" s="89" t="str">
        <f t="shared" ref="O23:O26" si="9">IF(L23&lt;&gt;0,$L23*$N23,"")</f>
        <v/>
      </c>
      <c r="P23" s="450"/>
      <c r="R23" s="75" t="e">
        <f>VLOOKUP(F23,'파레트 제품 리스트'!$B:$F,4,0)</f>
        <v>#N/A</v>
      </c>
      <c r="S23" s="76" t="e">
        <f>VLOOKUP(F23,'파레트 제품 리스트'!$B:$F,5,0)</f>
        <v>#N/A</v>
      </c>
      <c r="U23" s="328" t="e">
        <f>O23*1.1</f>
        <v>#VALUE!</v>
      </c>
      <c r="V23" s="367"/>
      <c r="W23" s="78"/>
      <c r="X23" s="78"/>
      <c r="Y23" s="79"/>
      <c r="Z23" s="80"/>
    </row>
    <row r="24" spans="1:26" s="28" customFormat="1" ht="24.95" customHeight="1">
      <c r="B24" s="221">
        <v>13</v>
      </c>
      <c r="C24" s="364"/>
      <c r="D24" s="82" t="s">
        <v>955</v>
      </c>
      <c r="E24" s="85">
        <f t="shared" si="0"/>
        <v>194667</v>
      </c>
      <c r="F24" s="446"/>
      <c r="G24" s="224" t="str">
        <f t="shared" si="1"/>
        <v/>
      </c>
      <c r="H24" s="341"/>
      <c r="I24" s="342"/>
      <c r="J24" s="84" t="str">
        <f t="shared" si="2"/>
        <v/>
      </c>
      <c r="K24" s="85" t="str">
        <f t="shared" si="3"/>
        <v/>
      </c>
      <c r="L24" s="326"/>
      <c r="M24" s="87" t="str">
        <f t="shared" si="4"/>
        <v/>
      </c>
      <c r="N24" s="88" t="str">
        <f>IF($F24&lt;&gt;0,VLOOKUP($F24,$E$53:$L$543,5,FALSE),"")</f>
        <v/>
      </c>
      <c r="O24" s="89" t="str">
        <f>IF(L24&lt;&gt;0,$L24*$N24,"")</f>
        <v/>
      </c>
      <c r="P24" s="450"/>
      <c r="R24" s="75" t="e">
        <f>VLOOKUP(F24,'파레트 제품 리스트'!$B:$F,4,0)</f>
        <v>#N/A</v>
      </c>
      <c r="S24" s="76" t="e">
        <f>VLOOKUP(F24,'파레트 제품 리스트'!$B:$F,5,0)</f>
        <v>#N/A</v>
      </c>
      <c r="U24" s="328" t="e">
        <f>O24*1.1</f>
        <v>#VALUE!</v>
      </c>
      <c r="V24" s="367"/>
      <c r="W24" s="78"/>
      <c r="X24" s="78"/>
      <c r="Y24" s="79"/>
      <c r="Z24" s="80"/>
    </row>
    <row r="25" spans="1:26" s="28" customFormat="1" ht="24.95" customHeight="1">
      <c r="B25" s="221">
        <v>14</v>
      </c>
      <c r="C25" s="364"/>
      <c r="D25" s="82" t="s">
        <v>955</v>
      </c>
      <c r="E25" s="85">
        <f t="shared" si="0"/>
        <v>194667</v>
      </c>
      <c r="F25" s="446"/>
      <c r="G25" s="224" t="str">
        <f t="shared" si="1"/>
        <v/>
      </c>
      <c r="H25" s="341"/>
      <c r="I25" s="342"/>
      <c r="J25" s="84" t="str">
        <f t="shared" si="2"/>
        <v/>
      </c>
      <c r="K25" s="85" t="str">
        <f t="shared" si="3"/>
        <v/>
      </c>
      <c r="L25" s="326"/>
      <c r="M25" s="87" t="str">
        <f t="shared" si="4"/>
        <v/>
      </c>
      <c r="N25" s="88" t="str">
        <f>IF($F25&lt;&gt;0,VLOOKUP($F25,$E$53:$L$543,5,FALSE),"")</f>
        <v/>
      </c>
      <c r="O25" s="89" t="str">
        <f>IF(L25&lt;&gt;0,$L25*$N25,"")</f>
        <v/>
      </c>
      <c r="P25" s="450"/>
      <c r="R25" s="75" t="e">
        <f>VLOOKUP(F25,'파레트 제품 리스트'!$B:$F,4,0)</f>
        <v>#N/A</v>
      </c>
      <c r="S25" s="76" t="e">
        <f>VLOOKUP(F25,'파레트 제품 리스트'!$B:$F,5,0)</f>
        <v>#N/A</v>
      </c>
      <c r="U25" s="328" t="e">
        <f t="shared" ref="U25" si="10">O25*1.1</f>
        <v>#VALUE!</v>
      </c>
      <c r="V25" s="367"/>
      <c r="W25" s="78"/>
      <c r="X25" s="78"/>
      <c r="Y25" s="79"/>
      <c r="Z25" s="80"/>
    </row>
    <row r="26" spans="1:26" s="28" customFormat="1" ht="24.95" customHeight="1" thickBot="1">
      <c r="B26" s="355">
        <v>15</v>
      </c>
      <c r="C26" s="435"/>
      <c r="D26" s="90"/>
      <c r="E26" s="92"/>
      <c r="F26" s="459"/>
      <c r="G26" s="227" t="str">
        <f t="shared" si="1"/>
        <v/>
      </c>
      <c r="H26" s="228"/>
      <c r="I26" s="229"/>
      <c r="J26" s="91" t="str">
        <f t="shared" si="2"/>
        <v/>
      </c>
      <c r="K26" s="92" t="str">
        <f t="shared" si="3"/>
        <v/>
      </c>
      <c r="L26" s="93"/>
      <c r="M26" s="94" t="str">
        <f t="shared" si="4"/>
        <v/>
      </c>
      <c r="N26" s="95" t="str">
        <f>IF($F26&lt;&gt;0,VLOOKUP($F26,$E$53:$L$543,5,FALSE),"")</f>
        <v/>
      </c>
      <c r="O26" s="96" t="str">
        <f t="shared" si="9"/>
        <v/>
      </c>
      <c r="P26" s="451"/>
      <c r="R26" s="75"/>
      <c r="S26" s="76"/>
      <c r="U26" s="328" t="e">
        <f>O26*1.1</f>
        <v>#VALUE!</v>
      </c>
      <c r="V26" s="367"/>
      <c r="W26" s="78"/>
      <c r="X26" s="78"/>
      <c r="Y26" s="79"/>
      <c r="Z26" s="80"/>
    </row>
    <row r="27" spans="1:26" s="43" customFormat="1" ht="12" customHeight="1" thickTop="1" thickBot="1">
      <c r="A27" s="4"/>
      <c r="B27" s="105"/>
      <c r="C27" s="105"/>
      <c r="D27" s="130"/>
      <c r="E27" s="105"/>
      <c r="F27" s="372"/>
      <c r="G27" s="373"/>
      <c r="H27" s="373"/>
      <c r="I27" s="374"/>
      <c r="J27" s="375" t="str">
        <f>IF($F27&lt;&gt;0,VLOOKUP($F27,$E$88:$M$457,7,FALSE),"")</f>
        <v/>
      </c>
      <c r="K27" s="372" t="str">
        <f>IF($F27&lt;&gt;0,VLOOKUP($F27,$E$88:$M$457,8,FALSE),"")</f>
        <v/>
      </c>
      <c r="L27" s="376"/>
      <c r="M27" s="376" t="str">
        <f>IF($L27&lt;&gt;0,VLOOKUP($F27,$E$88:$M$457,9,FALSE)*$L27,"")</f>
        <v/>
      </c>
      <c r="N27" s="100" t="str">
        <f>IF($F27&lt;&gt;0,VLOOKUP($F27,$E$88:$M$457,5,FALSE),"")</f>
        <v/>
      </c>
      <c r="O27" s="100" t="str">
        <f t="shared" ref="O27" si="11">IF(L27&lt;&gt;0,$L27*$N27,"")</f>
        <v/>
      </c>
      <c r="P27" s="100"/>
      <c r="U27" s="55"/>
      <c r="V27" s="105"/>
      <c r="W27" s="20"/>
      <c r="X27" s="78"/>
    </row>
    <row r="28" spans="1:26" s="43" customFormat="1" ht="18" customHeight="1" thickBot="1">
      <c r="A28" s="4"/>
      <c r="B28" s="105"/>
      <c r="C28" s="105"/>
      <c r="D28" s="100"/>
      <c r="E28" s="105"/>
      <c r="F28" s="105"/>
      <c r="G28" s="100"/>
      <c r="H28" s="100"/>
      <c r="I28" s="612" t="s">
        <v>18</v>
      </c>
      <c r="J28" s="106" t="s">
        <v>413</v>
      </c>
      <c r="K28" s="107">
        <f>SUM(M12:M26)</f>
        <v>400</v>
      </c>
      <c r="L28" s="100"/>
      <c r="M28" s="614" t="s">
        <v>19</v>
      </c>
      <c r="N28" s="108" t="s">
        <v>20</v>
      </c>
      <c r="O28" s="616">
        <f>SUM(O12:O27)</f>
        <v>1584000</v>
      </c>
      <c r="P28" s="617"/>
      <c r="U28" s="55"/>
      <c r="V28" s="105"/>
      <c r="W28" s="20"/>
      <c r="X28" s="21"/>
    </row>
    <row r="29" spans="1:26" s="43" customFormat="1" ht="18" customHeight="1" thickBot="1">
      <c r="A29" s="4"/>
      <c r="B29" s="105"/>
      <c r="C29" s="105"/>
      <c r="D29" s="100"/>
      <c r="E29"/>
      <c r="F29" s="105"/>
      <c r="G29" s="100"/>
      <c r="H29" s="100"/>
      <c r="I29" s="613"/>
      <c r="J29" s="109" t="s">
        <v>414</v>
      </c>
      <c r="K29" s="110">
        <f>$K$28/200</f>
        <v>2</v>
      </c>
      <c r="L29" s="100"/>
      <c r="M29" s="615"/>
      <c r="N29" s="111" t="s">
        <v>21</v>
      </c>
      <c r="O29" s="618">
        <f>O28*1.1</f>
        <v>1742400.0000000002</v>
      </c>
      <c r="P29" s="619"/>
      <c r="U29" s="55"/>
      <c r="V29" s="105"/>
      <c r="W29" s="20"/>
      <c r="X29" s="21"/>
    </row>
    <row r="30" spans="1:26" s="43" customFormat="1" ht="16.5" customHeight="1">
      <c r="B30" s="21"/>
      <c r="C30" s="21"/>
      <c r="E30"/>
      <c r="F30" s="21"/>
      <c r="I30" s="42"/>
      <c r="J30" s="61"/>
      <c r="K30" s="21"/>
      <c r="U30" s="42"/>
      <c r="V30" s="105"/>
      <c r="W30" s="21"/>
      <c r="X30" s="21"/>
    </row>
    <row r="31" spans="1:26" ht="16.5" customHeight="1">
      <c r="K31" s="58"/>
      <c r="S31" s="43"/>
    </row>
    <row r="32" spans="1:26" ht="16.5" customHeight="1">
      <c r="A32" s="43"/>
      <c r="L32" s="362" t="e">
        <f>#REF!+#REF!+#REF!+#REF!</f>
        <v>#REF!</v>
      </c>
      <c r="P32" s="12"/>
      <c r="S32" s="43"/>
    </row>
    <row r="33" spans="2:26" ht="16.5" customHeight="1">
      <c r="L33" s="362" t="e">
        <f>+#REF!+#REF!+#REF!+#REF!</f>
        <v>#REF!</v>
      </c>
      <c r="P33" s="12"/>
    </row>
    <row r="34" spans="2:26" ht="16.5" customHeight="1">
      <c r="L34" s="363" t="e">
        <f>L33-L32</f>
        <v>#REF!</v>
      </c>
      <c r="P34" s="12"/>
      <c r="Y34"/>
    </row>
    <row r="35" spans="2:26" ht="16.5" customHeight="1">
      <c r="L35" s="1"/>
    </row>
    <row r="36" spans="2:26" ht="16.5" customHeight="1"/>
    <row r="37" spans="2:26" ht="16.5" customHeight="1"/>
    <row r="38" spans="2:26" ht="16.5" customHeight="1"/>
    <row r="39" spans="2:26" ht="16.5" customHeight="1"/>
    <row r="40" spans="2:26" s="3" customFormat="1" ht="16.5" customHeight="1" thickBot="1">
      <c r="B40" s="2"/>
      <c r="C40" s="2"/>
      <c r="E40" s="2"/>
      <c r="F40" s="2"/>
      <c r="I40" s="13"/>
      <c r="J40" s="16"/>
      <c r="K40" s="2"/>
      <c r="U40" s="45"/>
      <c r="V40" s="366"/>
      <c r="W40" s="56"/>
      <c r="X40" s="56"/>
      <c r="Y40" s="81"/>
      <c r="Z40" s="81"/>
    </row>
    <row r="41" spans="2:26" ht="13.5" customHeight="1">
      <c r="B41" s="598" t="s">
        <v>22</v>
      </c>
      <c r="C41" s="599"/>
      <c r="D41" s="599"/>
      <c r="E41" s="600"/>
    </row>
    <row r="42" spans="2:26" ht="14.25" customHeight="1" thickBot="1">
      <c r="B42" s="601"/>
      <c r="C42" s="602"/>
      <c r="D42" s="602"/>
      <c r="E42" s="603"/>
    </row>
    <row r="43" spans="2:26" ht="14.25" customHeight="1">
      <c r="B43" s="269"/>
      <c r="C43" s="269"/>
      <c r="D43" s="269"/>
      <c r="E43" s="269"/>
      <c r="I43" s="260"/>
      <c r="J43" s="261"/>
      <c r="U43" s="285"/>
    </row>
    <row r="44" spans="2:26" ht="14.25" customHeight="1">
      <c r="B44" s="269"/>
      <c r="C44" s="269"/>
      <c r="D44" s="259" t="s">
        <v>76</v>
      </c>
      <c r="E44" s="259" t="s">
        <v>23</v>
      </c>
      <c r="G44" s="280" t="s">
        <v>77</v>
      </c>
      <c r="H44" s="286" t="s">
        <v>16</v>
      </c>
      <c r="I44" s="232"/>
      <c r="J44" s="232"/>
      <c r="K44" s="233"/>
      <c r="M44" s="274" t="s">
        <v>14</v>
      </c>
      <c r="N44" s="259" t="s">
        <v>15</v>
      </c>
      <c r="O44" s="259"/>
      <c r="U44" s="285"/>
    </row>
    <row r="45" spans="2:26">
      <c r="D45" s="281" t="s">
        <v>955</v>
      </c>
      <c r="E45" s="282">
        <v>194667</v>
      </c>
      <c r="G45" s="281" t="s">
        <v>845</v>
      </c>
      <c r="H45" s="284" t="s">
        <v>792</v>
      </c>
      <c r="I45" s="275"/>
      <c r="J45" s="276"/>
      <c r="K45" s="254"/>
      <c r="L45" s="28"/>
      <c r="M45" s="255"/>
      <c r="N45" s="255"/>
      <c r="O45" s="255"/>
    </row>
    <row r="46" spans="2:26" s="28" customFormat="1" ht="13.5" customHeight="1">
      <c r="B46" s="21"/>
      <c r="C46" s="21"/>
      <c r="D46" s="281" t="s">
        <v>753</v>
      </c>
      <c r="E46" s="282">
        <v>200584</v>
      </c>
      <c r="F46" s="20"/>
      <c r="G46" s="281" t="s">
        <v>801</v>
      </c>
      <c r="H46" s="284" t="s">
        <v>792</v>
      </c>
      <c r="I46" s="275"/>
      <c r="J46" s="276"/>
      <c r="K46" s="254"/>
      <c r="M46" s="255"/>
      <c r="N46" s="255"/>
      <c r="O46" s="255"/>
      <c r="U46" s="29"/>
      <c r="V46" s="105"/>
      <c r="W46" s="20"/>
      <c r="X46" s="20"/>
    </row>
    <row r="47" spans="2:26" s="28" customFormat="1" ht="13.5" customHeight="1">
      <c r="B47" s="21"/>
      <c r="C47" s="21"/>
      <c r="D47" s="281" t="s">
        <v>26</v>
      </c>
      <c r="E47" s="282">
        <v>194729</v>
      </c>
      <c r="F47" s="20"/>
      <c r="G47" s="281" t="s">
        <v>794</v>
      </c>
      <c r="H47" s="284" t="s">
        <v>792</v>
      </c>
      <c r="I47" s="275"/>
      <c r="J47" s="276"/>
      <c r="K47" s="254"/>
      <c r="M47" s="255"/>
      <c r="N47" s="255"/>
      <c r="O47" s="255"/>
      <c r="U47" s="29"/>
      <c r="V47" s="105"/>
      <c r="W47" s="20"/>
      <c r="X47" s="20"/>
    </row>
    <row r="48" spans="2:26" s="28" customFormat="1" ht="13.5" customHeight="1">
      <c r="B48" s="21"/>
      <c r="C48" s="21"/>
      <c r="D48" s="281" t="s">
        <v>817</v>
      </c>
      <c r="E48" s="282">
        <v>194638</v>
      </c>
      <c r="F48" s="20"/>
      <c r="G48" s="281" t="s">
        <v>807</v>
      </c>
      <c r="H48" s="284" t="s">
        <v>792</v>
      </c>
      <c r="I48" s="275"/>
      <c r="J48" s="276"/>
      <c r="K48" s="254"/>
      <c r="M48" s="255"/>
      <c r="N48" s="255"/>
      <c r="O48" s="255"/>
      <c r="U48" s="29"/>
      <c r="V48" s="105"/>
      <c r="W48" s="20"/>
      <c r="X48" s="20"/>
    </row>
    <row r="49" spans="2:24" s="28" customFormat="1" ht="13.5" customHeight="1">
      <c r="B49" s="21"/>
      <c r="C49" s="21"/>
      <c r="D49" s="281" t="s">
        <v>759</v>
      </c>
      <c r="E49" s="282">
        <v>202724</v>
      </c>
      <c r="F49" s="20"/>
      <c r="G49" s="281" t="s">
        <v>799</v>
      </c>
      <c r="H49" s="284" t="s">
        <v>792</v>
      </c>
      <c r="I49" s="275"/>
      <c r="J49" s="276"/>
      <c r="K49" s="254"/>
      <c r="M49" s="255"/>
      <c r="N49" s="255"/>
      <c r="O49" s="255"/>
      <c r="U49" s="29"/>
      <c r="V49" s="105"/>
      <c r="W49" s="20"/>
      <c r="X49" s="20"/>
    </row>
    <row r="50" spans="2:24" s="28" customFormat="1" ht="13.5" customHeight="1">
      <c r="B50" s="21"/>
      <c r="C50" s="21"/>
      <c r="D50" s="283" t="s">
        <v>785</v>
      </c>
      <c r="E50" s="282">
        <v>203805</v>
      </c>
      <c r="F50" s="20"/>
      <c r="G50" s="281" t="s">
        <v>800</v>
      </c>
      <c r="H50" s="284" t="s">
        <v>792</v>
      </c>
      <c r="I50" s="275"/>
      <c r="J50" s="276"/>
      <c r="K50" s="254"/>
      <c r="M50" s="255"/>
      <c r="N50" s="255"/>
      <c r="O50" s="255"/>
      <c r="U50" s="29"/>
      <c r="V50" s="105"/>
      <c r="W50" s="20"/>
      <c r="X50" s="20"/>
    </row>
    <row r="51" spans="2:24" s="28" customFormat="1" ht="13.5" customHeight="1">
      <c r="B51" s="21"/>
      <c r="C51" s="21"/>
      <c r="D51" s="281" t="s">
        <v>788</v>
      </c>
      <c r="E51" s="282">
        <v>215691</v>
      </c>
      <c r="F51" s="20"/>
      <c r="G51" s="281" t="s">
        <v>805</v>
      </c>
      <c r="H51" s="284" t="s">
        <v>792</v>
      </c>
      <c r="I51" s="275"/>
      <c r="J51" s="276"/>
      <c r="K51" s="254"/>
      <c r="M51" s="255"/>
      <c r="N51" s="255"/>
      <c r="O51" s="255"/>
      <c r="U51" s="29"/>
      <c r="V51" s="105"/>
      <c r="W51" s="20"/>
      <c r="X51" s="20"/>
    </row>
    <row r="52" spans="2:24" s="28" customFormat="1" ht="13.5" customHeight="1">
      <c r="B52" s="21"/>
      <c r="C52" s="21"/>
      <c r="D52" s="281" t="s">
        <v>814</v>
      </c>
      <c r="E52" s="282">
        <v>208008</v>
      </c>
      <c r="F52" s="20"/>
      <c r="G52" s="281" t="s">
        <v>808</v>
      </c>
      <c r="H52" s="284" t="s">
        <v>792</v>
      </c>
      <c r="I52" s="275"/>
      <c r="J52" s="276"/>
      <c r="K52" s="254"/>
      <c r="M52" s="255"/>
      <c r="N52" s="255"/>
      <c r="O52" s="255"/>
      <c r="U52" s="29"/>
      <c r="V52" s="105"/>
      <c r="W52" s="20"/>
      <c r="X52" s="20"/>
    </row>
    <row r="53" spans="2:24" s="28" customFormat="1" ht="13.5" customHeight="1">
      <c r="B53" s="21"/>
      <c r="C53" s="21"/>
      <c r="D53" s="281" t="s">
        <v>815</v>
      </c>
      <c r="E53" s="282">
        <v>207998</v>
      </c>
      <c r="F53" s="20"/>
      <c r="G53" s="281" t="s">
        <v>802</v>
      </c>
      <c r="H53" s="284" t="s">
        <v>792</v>
      </c>
      <c r="I53" s="275"/>
      <c r="J53" s="276"/>
      <c r="K53" s="254"/>
      <c r="M53" s="255"/>
      <c r="N53" s="255"/>
      <c r="O53" s="255"/>
      <c r="R53" s="28" t="s">
        <v>861</v>
      </c>
      <c r="U53" s="29"/>
      <c r="V53" s="105"/>
      <c r="W53" s="20"/>
      <c r="X53" s="20"/>
    </row>
    <row r="54" spans="2:24" s="28" customFormat="1" ht="13.5" customHeight="1">
      <c r="B54" s="21"/>
      <c r="C54" s="21"/>
      <c r="D54" s="281" t="s">
        <v>813</v>
      </c>
      <c r="E54" s="282">
        <v>194819</v>
      </c>
      <c r="F54" s="20"/>
      <c r="G54" s="281" t="s">
        <v>74</v>
      </c>
      <c r="H54" s="284" t="s">
        <v>818</v>
      </c>
      <c r="I54" s="275"/>
      <c r="J54" s="276"/>
      <c r="K54" s="254"/>
      <c r="M54" s="255"/>
      <c r="N54" s="255"/>
      <c r="O54" s="255"/>
      <c r="U54" s="29"/>
      <c r="V54" s="105"/>
      <c r="W54" s="20"/>
      <c r="X54" s="20"/>
    </row>
    <row r="55" spans="2:24" s="28" customFormat="1" ht="13.5" customHeight="1">
      <c r="B55" s="21"/>
      <c r="C55" s="21"/>
      <c r="D55" s="283" t="s">
        <v>816</v>
      </c>
      <c r="E55" s="282">
        <v>229113</v>
      </c>
      <c r="F55" s="20"/>
      <c r="G55" s="281" t="s">
        <v>809</v>
      </c>
      <c r="H55" s="284" t="s">
        <v>792</v>
      </c>
      <c r="I55" s="275"/>
      <c r="J55" s="276"/>
      <c r="K55" s="254"/>
      <c r="M55" s="255"/>
      <c r="N55" s="255"/>
      <c r="O55" s="255"/>
      <c r="U55" s="29"/>
      <c r="V55" s="105"/>
      <c r="W55" s="20"/>
      <c r="X55" s="20"/>
    </row>
    <row r="56" spans="2:24" s="28" customFormat="1" ht="13.5" customHeight="1">
      <c r="B56" s="21"/>
      <c r="C56" s="21"/>
      <c r="D56" s="281" t="s">
        <v>812</v>
      </c>
      <c r="E56" s="282">
        <v>237074</v>
      </c>
      <c r="F56" s="20"/>
      <c r="G56" s="281" t="s">
        <v>811</v>
      </c>
      <c r="H56" s="284" t="s">
        <v>819</v>
      </c>
      <c r="I56" s="275"/>
      <c r="J56" s="276"/>
      <c r="K56" s="254"/>
      <c r="M56" s="255"/>
      <c r="N56" s="255"/>
      <c r="O56" s="255"/>
      <c r="U56" s="29"/>
      <c r="V56" s="105"/>
      <c r="W56" s="20"/>
      <c r="X56" s="20"/>
    </row>
    <row r="57" spans="2:24" s="28" customFormat="1" ht="13.5" customHeight="1">
      <c r="B57" s="21"/>
      <c r="C57" s="21"/>
      <c r="D57" s="281" t="s">
        <v>833</v>
      </c>
      <c r="E57" s="282">
        <v>231778</v>
      </c>
      <c r="F57" s="20"/>
      <c r="G57" s="281" t="s">
        <v>810</v>
      </c>
      <c r="H57" s="284" t="s">
        <v>792</v>
      </c>
      <c r="I57" s="275"/>
      <c r="J57" s="276"/>
      <c r="K57" s="254"/>
      <c r="M57" s="255"/>
      <c r="N57" s="255"/>
      <c r="O57" s="255"/>
      <c r="U57" s="29"/>
      <c r="V57" s="105"/>
      <c r="W57" s="20"/>
      <c r="X57" s="20"/>
    </row>
    <row r="58" spans="2:24" s="28" customFormat="1" ht="13.5" customHeight="1">
      <c r="B58" s="21"/>
      <c r="C58" s="21"/>
      <c r="D58" s="283" t="s">
        <v>894</v>
      </c>
      <c r="E58" s="282">
        <v>272022</v>
      </c>
      <c r="F58" s="20"/>
      <c r="G58" s="281"/>
      <c r="H58" s="284"/>
      <c r="I58" s="275"/>
      <c r="J58" s="276"/>
      <c r="K58" s="254"/>
      <c r="M58" s="283"/>
      <c r="N58" s="283"/>
      <c r="O58" s="283"/>
      <c r="U58" s="29"/>
      <c r="V58" s="105"/>
      <c r="W58" s="20"/>
      <c r="X58" s="20"/>
    </row>
    <row r="59" spans="2:24" s="28" customFormat="1" ht="13.5" customHeight="1">
      <c r="B59" s="21"/>
      <c r="C59" s="21"/>
      <c r="D59" s="283" t="s">
        <v>832</v>
      </c>
      <c r="E59" s="282">
        <v>211914</v>
      </c>
      <c r="F59" s="20"/>
      <c r="G59" s="281"/>
      <c r="H59" s="284"/>
      <c r="I59" s="275"/>
      <c r="J59" s="276"/>
      <c r="K59" s="254"/>
      <c r="M59" s="255"/>
      <c r="N59" s="255"/>
      <c r="O59" s="255"/>
      <c r="U59" s="29"/>
      <c r="V59" s="105"/>
      <c r="W59" s="20"/>
      <c r="X59" s="20"/>
    </row>
    <row r="60" spans="2:24" s="28" customFormat="1" ht="13.5" customHeight="1">
      <c r="B60" s="21"/>
      <c r="C60" s="21"/>
      <c r="D60" s="283" t="s">
        <v>840</v>
      </c>
      <c r="E60" s="282">
        <v>238419</v>
      </c>
      <c r="F60" s="20"/>
      <c r="G60" s="281" t="s">
        <v>841</v>
      </c>
      <c r="H60" s="284" t="s">
        <v>842</v>
      </c>
      <c r="I60" s="277"/>
      <c r="J60" s="278"/>
      <c r="K60" s="20"/>
      <c r="M60" s="255"/>
      <c r="N60" s="255"/>
      <c r="O60" s="255"/>
      <c r="U60" s="29"/>
      <c r="V60" s="105"/>
      <c r="W60" s="20"/>
      <c r="X60" s="20"/>
    </row>
    <row r="61" spans="2:24" s="28" customFormat="1" ht="13.5" customHeight="1">
      <c r="B61" s="21"/>
      <c r="C61" s="21"/>
      <c r="D61" s="281" t="s">
        <v>923</v>
      </c>
      <c r="E61" s="282">
        <v>278285</v>
      </c>
      <c r="F61" s="20"/>
      <c r="G61" s="281"/>
      <c r="H61" s="284"/>
      <c r="I61" s="441"/>
      <c r="J61" s="442"/>
      <c r="K61" s="443"/>
      <c r="M61" s="283"/>
      <c r="N61" s="283"/>
      <c r="O61" s="283"/>
      <c r="U61" s="29"/>
      <c r="V61" s="105"/>
      <c r="W61" s="20"/>
      <c r="X61" s="20"/>
    </row>
    <row r="62" spans="2:24" s="28" customFormat="1" ht="13.5" customHeight="1">
      <c r="B62" s="21"/>
      <c r="C62" s="21"/>
      <c r="D62" s="436" t="s">
        <v>897</v>
      </c>
      <c r="E62" s="20">
        <v>273231</v>
      </c>
      <c r="F62" s="20"/>
      <c r="G62" s="281"/>
      <c r="H62" s="284"/>
      <c r="I62" s="277"/>
      <c r="J62" s="278"/>
      <c r="K62" s="20"/>
      <c r="M62" s="255"/>
      <c r="N62" s="255"/>
      <c r="O62" s="255"/>
      <c r="U62" s="29"/>
      <c r="V62" s="105"/>
      <c r="W62" s="20"/>
      <c r="X62" s="20"/>
    </row>
    <row r="63" spans="2:24" s="28" customFormat="1" ht="13.5" customHeight="1">
      <c r="B63" s="21"/>
      <c r="C63" s="21"/>
      <c r="D63" s="436" t="s">
        <v>951</v>
      </c>
      <c r="E63" s="20">
        <v>278724</v>
      </c>
      <c r="F63" s="20"/>
      <c r="G63" s="281"/>
      <c r="H63" s="284"/>
      <c r="I63" s="277"/>
      <c r="J63" s="278"/>
      <c r="K63" s="20"/>
      <c r="M63" s="255"/>
      <c r="N63" s="255"/>
      <c r="O63" s="255"/>
      <c r="U63" s="29"/>
      <c r="V63" s="105"/>
      <c r="W63" s="20"/>
      <c r="X63" s="20"/>
    </row>
    <row r="64" spans="2:24" s="28" customFormat="1" ht="13.5" customHeight="1">
      <c r="B64" s="21"/>
      <c r="C64" s="21"/>
      <c r="D64" s="283" t="s">
        <v>884</v>
      </c>
      <c r="E64" s="282">
        <v>272022</v>
      </c>
      <c r="F64" s="20"/>
      <c r="G64" s="281"/>
      <c r="H64" s="284"/>
      <c r="I64" s="275"/>
      <c r="J64" s="276"/>
      <c r="K64" s="254"/>
      <c r="M64" s="255"/>
      <c r="N64" s="255"/>
      <c r="O64" s="255"/>
      <c r="U64" s="29"/>
      <c r="V64" s="105"/>
      <c r="W64" s="20"/>
      <c r="X64" s="20"/>
    </row>
    <row r="65" spans="1:24" s="28" customFormat="1" ht="13.5" customHeight="1">
      <c r="B65" s="21"/>
      <c r="C65" s="21"/>
      <c r="D65" s="281" t="s">
        <v>898</v>
      </c>
      <c r="E65" s="282">
        <v>273458</v>
      </c>
      <c r="F65" s="20"/>
      <c r="G65" s="43"/>
      <c r="H65" s="440"/>
      <c r="I65" s="441"/>
      <c r="J65" s="442"/>
      <c r="K65" s="443"/>
      <c r="M65" s="443"/>
      <c r="N65" s="443"/>
      <c r="O65" s="443"/>
      <c r="U65" s="29"/>
      <c r="V65" s="105"/>
      <c r="W65" s="20"/>
      <c r="X65" s="20"/>
    </row>
    <row r="66" spans="1:24" s="28" customFormat="1" ht="13.5" customHeight="1">
      <c r="B66" s="21"/>
      <c r="C66" s="21"/>
      <c r="D66" s="436" t="s">
        <v>952</v>
      </c>
      <c r="E66" s="20">
        <v>239950</v>
      </c>
      <c r="F66" s="20"/>
      <c r="G66" s="43"/>
      <c r="H66" s="440"/>
      <c r="I66" s="441"/>
      <c r="J66" s="442"/>
      <c r="K66" s="443"/>
      <c r="U66" s="29"/>
      <c r="V66" s="105"/>
      <c r="W66" s="20"/>
      <c r="X66" s="20"/>
    </row>
    <row r="67" spans="1:24" s="28" customFormat="1" ht="13.5" customHeight="1">
      <c r="B67" s="21"/>
      <c r="C67" s="21"/>
      <c r="D67" s="281" t="s">
        <v>898</v>
      </c>
      <c r="E67" s="282">
        <v>273458</v>
      </c>
      <c r="F67" s="20"/>
      <c r="G67" s="281"/>
      <c r="H67" s="284"/>
      <c r="I67" s="437"/>
      <c r="J67" s="444"/>
      <c r="K67" s="255"/>
      <c r="M67" s="255"/>
      <c r="N67" s="255"/>
      <c r="O67" s="255"/>
      <c r="U67" s="29"/>
      <c r="V67" s="105"/>
      <c r="W67" s="20"/>
      <c r="X67" s="20"/>
    </row>
    <row r="68" spans="1:24" s="28" customFormat="1" ht="13.5" customHeight="1">
      <c r="B68" s="21"/>
      <c r="C68" s="21"/>
      <c r="D68" s="281" t="s">
        <v>896</v>
      </c>
      <c r="E68" s="282">
        <v>273459</v>
      </c>
      <c r="F68" s="20"/>
      <c r="G68" s="281"/>
      <c r="H68" s="284"/>
      <c r="I68" s="275"/>
      <c r="J68" s="279"/>
      <c r="K68" s="254"/>
      <c r="M68" s="255"/>
      <c r="N68" s="255"/>
      <c r="O68" s="255"/>
      <c r="U68" s="29"/>
      <c r="V68" s="105"/>
      <c r="W68" s="20"/>
      <c r="X68" s="20"/>
    </row>
    <row r="69" spans="1:24" s="28" customFormat="1" ht="13.5" customHeight="1">
      <c r="B69" s="21"/>
      <c r="C69" s="21"/>
      <c r="D69" s="514" t="s">
        <v>954</v>
      </c>
      <c r="E69" s="20">
        <v>279329</v>
      </c>
      <c r="F69" s="20"/>
      <c r="G69" s="281"/>
      <c r="H69" s="284"/>
      <c r="I69" s="437"/>
      <c r="J69" s="438"/>
      <c r="K69" s="255"/>
      <c r="M69" s="255"/>
      <c r="N69" s="255"/>
      <c r="O69" s="255"/>
      <c r="U69" s="29"/>
      <c r="V69" s="105"/>
      <c r="W69" s="20"/>
      <c r="X69" s="20"/>
    </row>
    <row r="70" spans="1:24" s="28" customFormat="1" ht="13.5" customHeight="1">
      <c r="B70" s="21"/>
      <c r="C70" s="21"/>
      <c r="D70" s="436" t="s">
        <v>895</v>
      </c>
      <c r="E70" s="1">
        <v>222604</v>
      </c>
      <c r="F70" s="20"/>
      <c r="G70" s="281"/>
      <c r="H70" s="284"/>
      <c r="I70" s="437"/>
      <c r="J70" s="438"/>
      <c r="K70" s="255"/>
      <c r="M70" s="255"/>
      <c r="N70" s="255"/>
      <c r="O70" s="255"/>
      <c r="U70" s="29"/>
      <c r="V70" s="105"/>
      <c r="W70" s="20"/>
      <c r="X70" s="20"/>
    </row>
    <row r="71" spans="1:24" s="43" customFormat="1" ht="14.25" thickBot="1">
      <c r="A71"/>
      <c r="B71" s="1"/>
      <c r="C71" s="1"/>
      <c r="D71"/>
      <c r="E71" s="1"/>
      <c r="F71" s="1"/>
      <c r="G71"/>
      <c r="H71"/>
      <c r="I71" s="260"/>
      <c r="J71" s="261"/>
      <c r="K71" s="1"/>
      <c r="L71"/>
      <c r="M71"/>
      <c r="N71"/>
      <c r="O71"/>
      <c r="P71"/>
      <c r="Q71"/>
      <c r="R71"/>
      <c r="S71"/>
      <c r="T71"/>
      <c r="U71" s="42"/>
      <c r="V71" s="100"/>
    </row>
    <row r="72" spans="1:24" s="43" customFormat="1" ht="18" customHeight="1" thickBot="1">
      <c r="A72"/>
      <c r="B72" s="1"/>
      <c r="C72" s="1"/>
      <c r="D72" s="604"/>
      <c r="E72" s="605"/>
      <c r="F72" s="1"/>
      <c r="G72"/>
      <c r="H72"/>
      <c r="I72" s="12"/>
      <c r="J72" s="15"/>
      <c r="K72" s="1"/>
      <c r="L72"/>
      <c r="M72"/>
      <c r="N72"/>
      <c r="O72"/>
      <c r="P72"/>
      <c r="Q72"/>
      <c r="R72"/>
      <c r="S72"/>
      <c r="T72"/>
      <c r="U72" s="42"/>
      <c r="V72" s="100"/>
    </row>
    <row r="73" spans="1:24" s="28" customFormat="1" ht="16.5" customHeight="1">
      <c r="D73" s="329" t="s">
        <v>27</v>
      </c>
      <c r="E73" s="330" t="s">
        <v>23</v>
      </c>
      <c r="F73" s="331" t="s">
        <v>28</v>
      </c>
      <c r="G73" s="332" t="s">
        <v>28</v>
      </c>
      <c r="H73" s="332" t="s">
        <v>28</v>
      </c>
      <c r="I73" s="333" t="s">
        <v>29</v>
      </c>
      <c r="J73" s="334" t="s">
        <v>30</v>
      </c>
      <c r="K73" s="335" t="s">
        <v>31</v>
      </c>
      <c r="L73" s="335" t="s">
        <v>32</v>
      </c>
      <c r="M73" s="335" t="s">
        <v>33</v>
      </c>
      <c r="U73" s="29"/>
      <c r="V73" s="100"/>
    </row>
    <row r="74" spans="1:24" s="28" customFormat="1" ht="16.5" customHeight="1">
      <c r="B74" s="20"/>
      <c r="C74" s="20"/>
      <c r="D74" s="254"/>
      <c r="E74" s="379">
        <v>144165</v>
      </c>
      <c r="F74" s="395" t="s">
        <v>750</v>
      </c>
      <c r="G74" s="396"/>
      <c r="H74" s="397"/>
      <c r="I74" s="383">
        <v>31200</v>
      </c>
      <c r="J74" s="398">
        <v>144165</v>
      </c>
      <c r="K74" s="399" t="s">
        <v>70</v>
      </c>
      <c r="L74" s="399" t="s">
        <v>34</v>
      </c>
      <c r="M74" s="399">
        <v>20</v>
      </c>
      <c r="N74" s="356">
        <v>34300</v>
      </c>
      <c r="O74" s="28" t="b">
        <f t="shared" ref="O74:O79" si="12">I74=N74</f>
        <v>0</v>
      </c>
    </row>
    <row r="75" spans="1:24" s="28" customFormat="1" ht="16.5" customHeight="1">
      <c r="B75" s="20"/>
      <c r="C75" s="20"/>
      <c r="D75" s="254"/>
      <c r="E75" s="379">
        <v>144166</v>
      </c>
      <c r="F75" s="395" t="s">
        <v>748</v>
      </c>
      <c r="G75" s="396"/>
      <c r="H75" s="397"/>
      <c r="I75" s="383">
        <v>289000</v>
      </c>
      <c r="J75" s="398">
        <v>144166</v>
      </c>
      <c r="K75" s="399" t="s">
        <v>71</v>
      </c>
      <c r="L75" s="399" t="s">
        <v>34</v>
      </c>
      <c r="M75" s="399">
        <v>200</v>
      </c>
      <c r="N75" s="356">
        <v>318000</v>
      </c>
      <c r="O75" s="28" t="b">
        <f t="shared" si="12"/>
        <v>0</v>
      </c>
    </row>
    <row r="76" spans="1:24" s="28" customFormat="1" ht="16.5" customHeight="1">
      <c r="B76" s="20"/>
      <c r="C76" s="20"/>
      <c r="D76" s="254"/>
      <c r="E76" s="379">
        <v>144167</v>
      </c>
      <c r="F76" s="395" t="s">
        <v>745</v>
      </c>
      <c r="G76" s="396"/>
      <c r="H76" s="397"/>
      <c r="I76" s="383">
        <v>31200</v>
      </c>
      <c r="J76" s="398">
        <v>144167</v>
      </c>
      <c r="K76" s="399" t="s">
        <v>70</v>
      </c>
      <c r="L76" s="399" t="s">
        <v>34</v>
      </c>
      <c r="M76" s="399">
        <v>20</v>
      </c>
      <c r="N76" s="356">
        <v>34300</v>
      </c>
      <c r="O76" s="28" t="b">
        <f t="shared" si="12"/>
        <v>0</v>
      </c>
    </row>
    <row r="77" spans="1:24" s="28" customFormat="1" ht="16.5" customHeight="1">
      <c r="B77" s="20"/>
      <c r="C77" s="20"/>
      <c r="D77" s="254"/>
      <c r="E77" s="379">
        <v>144168</v>
      </c>
      <c r="F77" s="395" t="s">
        <v>744</v>
      </c>
      <c r="G77" s="396"/>
      <c r="H77" s="397"/>
      <c r="I77" s="383">
        <v>289000</v>
      </c>
      <c r="J77" s="398">
        <v>144168</v>
      </c>
      <c r="K77" s="399" t="s">
        <v>71</v>
      </c>
      <c r="L77" s="399" t="s">
        <v>34</v>
      </c>
      <c r="M77" s="399">
        <v>200</v>
      </c>
      <c r="N77" s="356">
        <v>318000</v>
      </c>
      <c r="O77" s="28" t="b">
        <f t="shared" si="12"/>
        <v>0</v>
      </c>
    </row>
    <row r="78" spans="1:24" s="28" customFormat="1" ht="16.5" customHeight="1">
      <c r="B78" s="20"/>
      <c r="C78" s="20"/>
      <c r="D78" s="254"/>
      <c r="E78" s="379">
        <v>144169</v>
      </c>
      <c r="F78" s="395" t="s">
        <v>751</v>
      </c>
      <c r="G78" s="396"/>
      <c r="H78" s="397"/>
      <c r="I78" s="383">
        <v>33900</v>
      </c>
      <c r="J78" s="398">
        <v>144169</v>
      </c>
      <c r="K78" s="399" t="s">
        <v>70</v>
      </c>
      <c r="L78" s="399" t="s">
        <v>34</v>
      </c>
      <c r="M78" s="399">
        <v>20</v>
      </c>
      <c r="N78" s="356">
        <v>35300</v>
      </c>
      <c r="O78" s="28" t="b">
        <f t="shared" si="12"/>
        <v>0</v>
      </c>
    </row>
    <row r="79" spans="1:24" s="28" customFormat="1" ht="16.5" customHeight="1">
      <c r="B79" s="20"/>
      <c r="C79" s="20"/>
      <c r="D79" s="254"/>
      <c r="E79" s="379">
        <v>144170</v>
      </c>
      <c r="F79" s="395" t="s">
        <v>752</v>
      </c>
      <c r="G79" s="396"/>
      <c r="H79" s="397"/>
      <c r="I79" s="383">
        <v>314000</v>
      </c>
      <c r="J79" s="398">
        <v>144170</v>
      </c>
      <c r="K79" s="399" t="s">
        <v>71</v>
      </c>
      <c r="L79" s="399" t="s">
        <v>34</v>
      </c>
      <c r="M79" s="399">
        <v>200</v>
      </c>
      <c r="N79" s="356">
        <v>328000</v>
      </c>
      <c r="O79" s="28" t="b">
        <f t="shared" si="12"/>
        <v>0</v>
      </c>
    </row>
    <row r="80" spans="1:24" s="28" customFormat="1" ht="16.5" customHeight="1">
      <c r="B80" s="20"/>
      <c r="C80" s="20"/>
      <c r="D80" s="255"/>
      <c r="E80" s="379">
        <v>135916</v>
      </c>
      <c r="F80" s="395" t="s">
        <v>516</v>
      </c>
      <c r="G80" s="460"/>
      <c r="H80" s="461"/>
      <c r="I80" s="462">
        <v>520000</v>
      </c>
      <c r="J80" s="398">
        <v>135916</v>
      </c>
      <c r="K80" s="399" t="s">
        <v>71</v>
      </c>
      <c r="L80" s="399" t="s">
        <v>34</v>
      </c>
      <c r="M80" s="399">
        <v>200</v>
      </c>
      <c r="N80" s="356">
        <v>547000</v>
      </c>
      <c r="O80" s="28" t="b">
        <v>1</v>
      </c>
    </row>
    <row r="81" spans="2:15" s="28" customFormat="1" ht="16.5" customHeight="1">
      <c r="B81" s="20"/>
      <c r="C81" s="20"/>
      <c r="D81" s="255"/>
      <c r="E81" s="379">
        <v>139029</v>
      </c>
      <c r="F81" s="395" t="s">
        <v>574</v>
      </c>
      <c r="G81" s="460"/>
      <c r="H81" s="461"/>
      <c r="I81" s="462">
        <v>508000</v>
      </c>
      <c r="J81" s="398">
        <v>139029</v>
      </c>
      <c r="K81" s="399" t="s">
        <v>71</v>
      </c>
      <c r="L81" s="399" t="s">
        <v>34</v>
      </c>
      <c r="M81" s="399">
        <v>200</v>
      </c>
      <c r="N81" s="356">
        <v>535000</v>
      </c>
      <c r="O81" s="28" t="b">
        <v>1</v>
      </c>
    </row>
    <row r="82" spans="2:15" s="28" customFormat="1" ht="16.5" customHeight="1">
      <c r="B82" s="20"/>
      <c r="C82" s="20"/>
      <c r="D82" s="255"/>
      <c r="E82" s="379">
        <v>139030</v>
      </c>
      <c r="F82" s="395" t="s">
        <v>236</v>
      </c>
      <c r="G82" s="460"/>
      <c r="H82" s="461"/>
      <c r="I82" s="462">
        <v>54300</v>
      </c>
      <c r="J82" s="398">
        <v>139030</v>
      </c>
      <c r="K82" s="399" t="s">
        <v>70</v>
      </c>
      <c r="L82" s="399" t="s">
        <v>34</v>
      </c>
      <c r="M82" s="399">
        <v>20</v>
      </c>
      <c r="N82" s="356">
        <v>54500</v>
      </c>
      <c r="O82" s="28" t="b">
        <v>1</v>
      </c>
    </row>
    <row r="83" spans="2:15" s="28" customFormat="1" ht="16.5" customHeight="1">
      <c r="B83" s="20"/>
      <c r="C83" s="20"/>
      <c r="D83" s="255"/>
      <c r="E83" s="379">
        <v>139084</v>
      </c>
      <c r="F83" s="395" t="s">
        <v>243</v>
      </c>
      <c r="G83" s="463"/>
      <c r="H83" s="464"/>
      <c r="I83" s="462">
        <v>55700</v>
      </c>
      <c r="J83" s="399">
        <v>139084</v>
      </c>
      <c r="K83" s="399" t="s">
        <v>70</v>
      </c>
      <c r="L83" s="399" t="s">
        <v>34</v>
      </c>
      <c r="M83" s="399">
        <v>20</v>
      </c>
      <c r="N83" s="356">
        <v>58600</v>
      </c>
      <c r="O83" s="28" t="b">
        <v>1</v>
      </c>
    </row>
    <row r="84" spans="2:15" s="28" customFormat="1" ht="16.5" customHeight="1">
      <c r="B84" s="20"/>
      <c r="C84" s="20"/>
      <c r="D84" s="255"/>
      <c r="E84" s="379">
        <v>139085</v>
      </c>
      <c r="F84" s="395" t="s">
        <v>593</v>
      </c>
      <c r="G84" s="463"/>
      <c r="H84" s="464"/>
      <c r="I84" s="462">
        <v>508000</v>
      </c>
      <c r="J84" s="398">
        <v>139085</v>
      </c>
      <c r="K84" s="399" t="s">
        <v>71</v>
      </c>
      <c r="L84" s="399" t="s">
        <v>34</v>
      </c>
      <c r="M84" s="399">
        <v>200</v>
      </c>
      <c r="N84" s="356">
        <v>535000</v>
      </c>
      <c r="O84" s="28" t="b">
        <v>1</v>
      </c>
    </row>
    <row r="85" spans="2:15" s="28" customFormat="1" ht="16.5" customHeight="1">
      <c r="B85" s="20"/>
      <c r="C85" s="20"/>
      <c r="D85" s="255"/>
      <c r="E85" s="379">
        <v>139086</v>
      </c>
      <c r="F85" s="395" t="s">
        <v>226</v>
      </c>
      <c r="G85" s="463"/>
      <c r="H85" s="464"/>
      <c r="I85" s="462">
        <v>54300</v>
      </c>
      <c r="J85" s="398">
        <v>139086</v>
      </c>
      <c r="K85" s="399" t="s">
        <v>70</v>
      </c>
      <c r="L85" s="399" t="s">
        <v>34</v>
      </c>
      <c r="M85" s="399">
        <v>20</v>
      </c>
      <c r="N85" s="356">
        <v>54500</v>
      </c>
      <c r="O85" s="28" t="b">
        <v>1</v>
      </c>
    </row>
    <row r="86" spans="2:15" s="28" customFormat="1" ht="16.5" customHeight="1">
      <c r="B86" s="20"/>
      <c r="C86" s="20"/>
      <c r="D86" s="255"/>
      <c r="E86" s="379">
        <v>139087</v>
      </c>
      <c r="F86" s="395" t="s">
        <v>594</v>
      </c>
      <c r="G86" s="463"/>
      <c r="H86" s="464"/>
      <c r="I86" s="462">
        <v>520000</v>
      </c>
      <c r="J86" s="398">
        <v>139087</v>
      </c>
      <c r="K86" s="399" t="s">
        <v>71</v>
      </c>
      <c r="L86" s="399" t="s">
        <v>34</v>
      </c>
      <c r="M86" s="399">
        <v>200</v>
      </c>
      <c r="N86" s="356">
        <v>547000</v>
      </c>
      <c r="O86" s="28" t="b">
        <v>1</v>
      </c>
    </row>
    <row r="87" spans="2:15" s="28" customFormat="1" ht="16.5" customHeight="1">
      <c r="B87" s="20"/>
      <c r="C87" s="20"/>
      <c r="D87" s="255"/>
      <c r="E87" s="379">
        <v>139088</v>
      </c>
      <c r="F87" s="395" t="s">
        <v>234</v>
      </c>
      <c r="G87" s="463"/>
      <c r="H87" s="464"/>
      <c r="I87" s="462">
        <v>55700</v>
      </c>
      <c r="J87" s="398">
        <v>139088</v>
      </c>
      <c r="K87" s="399" t="s">
        <v>70</v>
      </c>
      <c r="L87" s="399" t="s">
        <v>34</v>
      </c>
      <c r="M87" s="399">
        <v>20</v>
      </c>
      <c r="N87" s="356">
        <v>58600</v>
      </c>
      <c r="O87" s="28" t="b">
        <v>1</v>
      </c>
    </row>
    <row r="88" spans="2:15" s="28" customFormat="1" ht="16.5" customHeight="1">
      <c r="B88" s="20"/>
      <c r="C88" s="20"/>
      <c r="D88" s="255"/>
      <c r="E88" s="379">
        <v>147133</v>
      </c>
      <c r="F88" s="395" t="s">
        <v>1058</v>
      </c>
      <c r="G88" s="460"/>
      <c r="H88" s="461"/>
      <c r="I88" s="462">
        <v>1198000</v>
      </c>
      <c r="J88" s="398">
        <v>147133</v>
      </c>
      <c r="K88" s="399" t="s">
        <v>71</v>
      </c>
      <c r="L88" s="399" t="s">
        <v>34</v>
      </c>
      <c r="M88" s="399">
        <v>200</v>
      </c>
      <c r="N88" s="356"/>
    </row>
    <row r="89" spans="2:15" s="28" customFormat="1" ht="16.5" customHeight="1">
      <c r="B89" s="20"/>
      <c r="C89" s="20"/>
      <c r="D89" s="254"/>
      <c r="E89" s="379">
        <v>120645</v>
      </c>
      <c r="F89" s="380" t="s">
        <v>53</v>
      </c>
      <c r="G89" s="381"/>
      <c r="H89" s="382"/>
      <c r="I89" s="383">
        <v>2213000</v>
      </c>
      <c r="J89" s="384">
        <v>120645</v>
      </c>
      <c r="K89" s="378" t="s">
        <v>71</v>
      </c>
      <c r="L89" s="378" t="s">
        <v>78</v>
      </c>
      <c r="M89" s="378">
        <v>200</v>
      </c>
      <c r="N89" s="356">
        <v>2213000</v>
      </c>
      <c r="O89" s="28" t="b">
        <f>I89=N89</f>
        <v>1</v>
      </c>
    </row>
    <row r="90" spans="2:15" s="28" customFormat="1" ht="16.5" customHeight="1">
      <c r="B90" s="20"/>
      <c r="C90" s="20"/>
      <c r="D90" s="254"/>
      <c r="E90" s="379">
        <v>122916</v>
      </c>
      <c r="F90" s="380" t="s">
        <v>54</v>
      </c>
      <c r="G90" s="381"/>
      <c r="H90" s="382"/>
      <c r="I90" s="383">
        <v>140000</v>
      </c>
      <c r="J90" s="384">
        <v>122916</v>
      </c>
      <c r="K90" s="378" t="s">
        <v>72</v>
      </c>
      <c r="L90" s="378" t="s">
        <v>78</v>
      </c>
      <c r="M90" s="378">
        <v>12</v>
      </c>
      <c r="N90" s="356">
        <v>140000</v>
      </c>
      <c r="O90" s="28" t="b">
        <f t="shared" ref="O90:O153" si="13">I90=N90</f>
        <v>1</v>
      </c>
    </row>
    <row r="91" spans="2:15" s="28" customFormat="1" ht="16.5" customHeight="1">
      <c r="B91" s="20"/>
      <c r="C91" s="20"/>
      <c r="D91" s="254"/>
      <c r="E91" s="379">
        <v>129171</v>
      </c>
      <c r="F91" s="380" t="s">
        <v>58</v>
      </c>
      <c r="G91" s="381"/>
      <c r="H91" s="382"/>
      <c r="I91" s="383">
        <v>59700</v>
      </c>
      <c r="J91" s="384">
        <v>129171</v>
      </c>
      <c r="K91" s="378" t="s">
        <v>70</v>
      </c>
      <c r="L91" s="378" t="s">
        <v>0</v>
      </c>
      <c r="M91" s="378">
        <v>20</v>
      </c>
      <c r="N91" s="356">
        <v>59700</v>
      </c>
      <c r="O91" s="28" t="b">
        <f t="shared" si="13"/>
        <v>1</v>
      </c>
    </row>
    <row r="92" spans="2:15" s="28" customFormat="1" ht="16.5" customHeight="1">
      <c r="B92" s="20"/>
      <c r="C92" s="20"/>
      <c r="D92" s="254"/>
      <c r="E92" s="379">
        <v>129174</v>
      </c>
      <c r="F92" s="380" t="s">
        <v>60</v>
      </c>
      <c r="G92" s="381"/>
      <c r="H92" s="382"/>
      <c r="I92" s="383">
        <v>70200</v>
      </c>
      <c r="J92" s="384">
        <v>129174</v>
      </c>
      <c r="K92" s="378" t="s">
        <v>70</v>
      </c>
      <c r="L92" s="378" t="s">
        <v>0</v>
      </c>
      <c r="M92" s="378">
        <v>20</v>
      </c>
      <c r="N92" s="356">
        <v>70200</v>
      </c>
      <c r="O92" s="28" t="b">
        <f t="shared" si="13"/>
        <v>1</v>
      </c>
    </row>
    <row r="93" spans="2:15" s="28" customFormat="1" ht="16.5" customHeight="1">
      <c r="B93" s="20"/>
      <c r="C93" s="20"/>
      <c r="D93" s="254"/>
      <c r="E93" s="379">
        <v>134989</v>
      </c>
      <c r="F93" s="380" t="s">
        <v>42</v>
      </c>
      <c r="G93" s="381"/>
      <c r="H93" s="382"/>
      <c r="I93" s="383">
        <v>90900</v>
      </c>
      <c r="J93" s="384">
        <v>134989</v>
      </c>
      <c r="K93" s="378" t="s">
        <v>70</v>
      </c>
      <c r="L93" s="378" t="s">
        <v>0</v>
      </c>
      <c r="M93" s="378">
        <v>20</v>
      </c>
      <c r="N93" s="356">
        <v>90900</v>
      </c>
      <c r="O93" s="28" t="b">
        <f t="shared" si="13"/>
        <v>1</v>
      </c>
    </row>
    <row r="94" spans="2:15" s="28" customFormat="1" ht="16.5" customHeight="1">
      <c r="B94" s="20"/>
      <c r="C94" s="20"/>
      <c r="D94" s="254"/>
      <c r="E94" s="379">
        <v>135691</v>
      </c>
      <c r="F94" s="380" t="s">
        <v>62</v>
      </c>
      <c r="G94" s="381"/>
      <c r="H94" s="382"/>
      <c r="I94" s="383">
        <v>91100</v>
      </c>
      <c r="J94" s="384">
        <v>135691</v>
      </c>
      <c r="K94" s="378" t="s">
        <v>70</v>
      </c>
      <c r="L94" s="378" t="s">
        <v>0</v>
      </c>
      <c r="M94" s="378">
        <v>20</v>
      </c>
      <c r="N94" s="356">
        <v>91100</v>
      </c>
      <c r="O94" s="28" t="b">
        <f t="shared" si="13"/>
        <v>1</v>
      </c>
    </row>
    <row r="95" spans="2:15" s="28" customFormat="1" ht="16.5" customHeight="1">
      <c r="B95" s="20"/>
      <c r="C95" s="20"/>
      <c r="D95" s="254"/>
      <c r="E95" s="379">
        <v>138838</v>
      </c>
      <c r="F95" s="380" t="s">
        <v>40</v>
      </c>
      <c r="G95" s="381"/>
      <c r="H95" s="382"/>
      <c r="I95" s="383">
        <v>615000</v>
      </c>
      <c r="J95" s="384">
        <v>138838</v>
      </c>
      <c r="K95" s="378" t="s">
        <v>71</v>
      </c>
      <c r="L95" s="378" t="s">
        <v>0</v>
      </c>
      <c r="M95" s="378">
        <v>200</v>
      </c>
      <c r="N95" s="356">
        <v>615000</v>
      </c>
      <c r="O95" s="28" t="b">
        <f t="shared" si="13"/>
        <v>1</v>
      </c>
    </row>
    <row r="96" spans="2:15" s="28" customFormat="1" ht="16.5" customHeight="1">
      <c r="B96" s="20"/>
      <c r="C96" s="20"/>
      <c r="D96" s="254"/>
      <c r="E96" s="379">
        <v>138840</v>
      </c>
      <c r="F96" s="380" t="s">
        <v>87</v>
      </c>
      <c r="G96" s="381"/>
      <c r="H96" s="382"/>
      <c r="I96" s="383">
        <v>65600</v>
      </c>
      <c r="J96" s="384">
        <v>138840</v>
      </c>
      <c r="K96" s="378" t="s">
        <v>70</v>
      </c>
      <c r="L96" s="378" t="s">
        <v>0</v>
      </c>
      <c r="M96" s="378">
        <v>20</v>
      </c>
      <c r="N96" s="356">
        <v>65600</v>
      </c>
      <c r="O96" s="28" t="b">
        <f t="shared" si="13"/>
        <v>1</v>
      </c>
    </row>
    <row r="97" spans="2:15" s="28" customFormat="1" ht="16.5" customHeight="1">
      <c r="B97" s="20"/>
      <c r="C97" s="20"/>
      <c r="D97" s="254"/>
      <c r="E97" s="379">
        <v>138851</v>
      </c>
      <c r="F97" s="380" t="s">
        <v>48</v>
      </c>
      <c r="G97" s="381"/>
      <c r="H97" s="382"/>
      <c r="I97" s="383">
        <v>1193000</v>
      </c>
      <c r="J97" s="384">
        <v>138851</v>
      </c>
      <c r="K97" s="378" t="s">
        <v>71</v>
      </c>
      <c r="L97" s="378" t="s">
        <v>0</v>
      </c>
      <c r="M97" s="378">
        <v>208</v>
      </c>
      <c r="N97" s="356">
        <v>1193000</v>
      </c>
      <c r="O97" s="28" t="b">
        <f t="shared" si="13"/>
        <v>1</v>
      </c>
    </row>
    <row r="98" spans="2:15" s="28" customFormat="1" ht="16.5" customHeight="1">
      <c r="B98" s="20"/>
      <c r="C98" s="20"/>
      <c r="D98" s="254"/>
      <c r="E98" s="379">
        <v>138889</v>
      </c>
      <c r="F98" s="380" t="s">
        <v>55</v>
      </c>
      <c r="G98" s="381"/>
      <c r="H98" s="382"/>
      <c r="I98" s="383">
        <v>520000</v>
      </c>
      <c r="J98" s="384">
        <v>138889</v>
      </c>
      <c r="K98" s="378" t="s">
        <v>71</v>
      </c>
      <c r="L98" s="378" t="s">
        <v>0</v>
      </c>
      <c r="M98" s="378">
        <v>200</v>
      </c>
      <c r="N98" s="356">
        <v>520000</v>
      </c>
      <c r="O98" s="28" t="b">
        <f t="shared" si="13"/>
        <v>1</v>
      </c>
    </row>
    <row r="99" spans="2:15" s="28" customFormat="1" ht="16.5" customHeight="1">
      <c r="B99" s="20"/>
      <c r="C99" s="20"/>
      <c r="D99" s="254"/>
      <c r="E99" s="379">
        <v>138890</v>
      </c>
      <c r="F99" s="380" t="s">
        <v>56</v>
      </c>
      <c r="G99" s="381"/>
      <c r="H99" s="382"/>
      <c r="I99" s="383">
        <v>54000</v>
      </c>
      <c r="J99" s="384">
        <v>138890</v>
      </c>
      <c r="K99" s="378" t="s">
        <v>70</v>
      </c>
      <c r="L99" s="378" t="s">
        <v>0</v>
      </c>
      <c r="M99" s="378">
        <v>20</v>
      </c>
      <c r="N99" s="356">
        <v>54000</v>
      </c>
      <c r="O99" s="28" t="b">
        <f t="shared" si="13"/>
        <v>1</v>
      </c>
    </row>
    <row r="100" spans="2:15" s="28" customFormat="1" ht="16.5" customHeight="1">
      <c r="B100" s="20"/>
      <c r="C100" s="20"/>
      <c r="D100" s="254"/>
      <c r="E100" s="379">
        <v>138893</v>
      </c>
      <c r="F100" s="380" t="s">
        <v>57</v>
      </c>
      <c r="G100" s="381"/>
      <c r="H100" s="382"/>
      <c r="I100" s="383">
        <v>552000</v>
      </c>
      <c r="J100" s="384">
        <v>138893</v>
      </c>
      <c r="K100" s="378" t="s">
        <v>71</v>
      </c>
      <c r="L100" s="378" t="s">
        <v>0</v>
      </c>
      <c r="M100" s="378">
        <v>200</v>
      </c>
      <c r="N100" s="356">
        <v>552000</v>
      </c>
      <c r="O100" s="28" t="b">
        <f t="shared" si="13"/>
        <v>1</v>
      </c>
    </row>
    <row r="101" spans="2:15" s="28" customFormat="1" ht="16.5" customHeight="1">
      <c r="B101" s="20"/>
      <c r="C101" s="20"/>
      <c r="D101" s="254"/>
      <c r="E101" s="379">
        <v>138895</v>
      </c>
      <c r="F101" s="380" t="s">
        <v>59</v>
      </c>
      <c r="G101" s="381"/>
      <c r="H101" s="382"/>
      <c r="I101" s="383">
        <v>662000</v>
      </c>
      <c r="J101" s="384">
        <v>138895</v>
      </c>
      <c r="K101" s="378" t="s">
        <v>71</v>
      </c>
      <c r="L101" s="378" t="s">
        <v>0</v>
      </c>
      <c r="M101" s="378">
        <v>200</v>
      </c>
      <c r="N101" s="356">
        <v>662000</v>
      </c>
      <c r="O101" s="28" t="b">
        <f t="shared" si="13"/>
        <v>1</v>
      </c>
    </row>
    <row r="102" spans="2:15" s="28" customFormat="1" ht="16.5" customHeight="1">
      <c r="B102" s="20"/>
      <c r="C102" s="20"/>
      <c r="D102" s="254"/>
      <c r="E102" s="379">
        <v>138897</v>
      </c>
      <c r="F102" s="380" t="s">
        <v>61</v>
      </c>
      <c r="G102" s="381"/>
      <c r="H102" s="382"/>
      <c r="I102" s="383">
        <v>885000</v>
      </c>
      <c r="J102" s="384">
        <v>138897</v>
      </c>
      <c r="K102" s="378" t="s">
        <v>71</v>
      </c>
      <c r="L102" s="378" t="s">
        <v>0</v>
      </c>
      <c r="M102" s="378">
        <v>200</v>
      </c>
      <c r="N102" s="356">
        <v>885000</v>
      </c>
      <c r="O102" s="28" t="b">
        <f t="shared" si="13"/>
        <v>1</v>
      </c>
    </row>
    <row r="103" spans="2:15" s="28" customFormat="1" ht="16.5" customHeight="1">
      <c r="B103" s="20"/>
      <c r="C103" s="20"/>
      <c r="D103" s="254"/>
      <c r="E103" s="379">
        <v>138898</v>
      </c>
      <c r="F103" s="380" t="s">
        <v>63</v>
      </c>
      <c r="G103" s="381"/>
      <c r="H103" s="382"/>
      <c r="I103" s="383">
        <v>755000</v>
      </c>
      <c r="J103" s="384">
        <v>138898</v>
      </c>
      <c r="K103" s="378" t="s">
        <v>71</v>
      </c>
      <c r="L103" s="378" t="s">
        <v>0</v>
      </c>
      <c r="M103" s="378">
        <v>200</v>
      </c>
      <c r="N103" s="356">
        <v>755000</v>
      </c>
      <c r="O103" s="28" t="b">
        <f t="shared" si="13"/>
        <v>1</v>
      </c>
    </row>
    <row r="104" spans="2:15" s="28" customFormat="1" ht="16.5" customHeight="1">
      <c r="B104" s="20"/>
      <c r="C104" s="20"/>
      <c r="D104" s="254"/>
      <c r="E104" s="379">
        <v>138899</v>
      </c>
      <c r="F104" s="380" t="s">
        <v>64</v>
      </c>
      <c r="G104" s="381"/>
      <c r="H104" s="382"/>
      <c r="I104" s="383">
        <v>78100</v>
      </c>
      <c r="J104" s="384">
        <v>138899</v>
      </c>
      <c r="K104" s="378" t="s">
        <v>70</v>
      </c>
      <c r="L104" s="378" t="s">
        <v>0</v>
      </c>
      <c r="M104" s="378">
        <v>20</v>
      </c>
      <c r="N104" s="356">
        <v>78100</v>
      </c>
      <c r="O104" s="28" t="b">
        <f t="shared" si="13"/>
        <v>1</v>
      </c>
    </row>
    <row r="105" spans="2:15" s="28" customFormat="1" ht="16.5" customHeight="1">
      <c r="B105" s="20"/>
      <c r="C105" s="20"/>
      <c r="D105" s="254"/>
      <c r="E105" s="379">
        <v>139641</v>
      </c>
      <c r="F105" s="380" t="s">
        <v>90</v>
      </c>
      <c r="G105" s="381"/>
      <c r="H105" s="382"/>
      <c r="I105" s="383">
        <v>43600</v>
      </c>
      <c r="J105" s="384">
        <v>139641</v>
      </c>
      <c r="K105" s="378" t="s">
        <v>73</v>
      </c>
      <c r="L105" s="378" t="s">
        <v>0</v>
      </c>
      <c r="M105" s="378">
        <v>12</v>
      </c>
      <c r="N105" s="356">
        <v>43600</v>
      </c>
      <c r="O105" s="28" t="b">
        <f t="shared" si="13"/>
        <v>1</v>
      </c>
    </row>
    <row r="106" spans="2:15" s="28" customFormat="1" ht="16.5" customHeight="1">
      <c r="B106" s="20"/>
      <c r="C106" s="20"/>
      <c r="D106" s="254"/>
      <c r="E106" s="379">
        <v>139881</v>
      </c>
      <c r="F106" s="385" t="s">
        <v>101</v>
      </c>
      <c r="G106" s="386"/>
      <c r="H106" s="387"/>
      <c r="I106" s="383">
        <v>771000</v>
      </c>
      <c r="J106" s="384">
        <v>139881</v>
      </c>
      <c r="K106" s="378" t="s">
        <v>71</v>
      </c>
      <c r="L106" s="378" t="s">
        <v>78</v>
      </c>
      <c r="M106" s="378">
        <v>200</v>
      </c>
      <c r="N106" s="356">
        <v>771000</v>
      </c>
      <c r="O106" s="28" t="b">
        <f t="shared" si="13"/>
        <v>1</v>
      </c>
    </row>
    <row r="107" spans="2:15" s="28" customFormat="1" ht="16.5" customHeight="1">
      <c r="B107" s="20"/>
      <c r="C107" s="20"/>
      <c r="D107" s="254"/>
      <c r="E107" s="379">
        <v>140382</v>
      </c>
      <c r="F107" s="380" t="s">
        <v>83</v>
      </c>
      <c r="G107" s="381"/>
      <c r="H107" s="382"/>
      <c r="I107" s="383">
        <v>2212000</v>
      </c>
      <c r="J107" s="384">
        <v>140382</v>
      </c>
      <c r="K107" s="378" t="s">
        <v>71</v>
      </c>
      <c r="L107" s="378" t="s">
        <v>0</v>
      </c>
      <c r="M107" s="378">
        <v>208</v>
      </c>
      <c r="N107" s="356">
        <v>2212000</v>
      </c>
      <c r="O107" s="28" t="b">
        <f t="shared" si="13"/>
        <v>1</v>
      </c>
    </row>
    <row r="108" spans="2:15" s="28" customFormat="1" ht="16.5" customHeight="1">
      <c r="B108" s="20"/>
      <c r="C108" s="20"/>
      <c r="D108" s="254"/>
      <c r="E108" s="379">
        <v>140563</v>
      </c>
      <c r="F108" s="388" t="s">
        <v>124</v>
      </c>
      <c r="G108" s="389"/>
      <c r="H108" s="390"/>
      <c r="I108" s="383">
        <v>216000</v>
      </c>
      <c r="J108" s="391">
        <v>140563</v>
      </c>
      <c r="K108" s="392" t="s">
        <v>70</v>
      </c>
      <c r="L108" s="392" t="s">
        <v>0</v>
      </c>
      <c r="M108" s="392">
        <v>16</v>
      </c>
      <c r="N108" s="356">
        <v>216000</v>
      </c>
      <c r="O108" s="28" t="b">
        <f t="shared" si="13"/>
        <v>1</v>
      </c>
    </row>
    <row r="109" spans="2:15" s="28" customFormat="1" ht="16.5" customHeight="1">
      <c r="B109" s="20"/>
      <c r="C109" s="20"/>
      <c r="D109" s="254"/>
      <c r="E109" s="379">
        <v>143003</v>
      </c>
      <c r="F109" s="380" t="s">
        <v>132</v>
      </c>
      <c r="G109" s="381"/>
      <c r="H109" s="382"/>
      <c r="I109" s="383">
        <v>150000</v>
      </c>
      <c r="J109" s="384">
        <v>143003</v>
      </c>
      <c r="K109" s="378" t="s">
        <v>70</v>
      </c>
      <c r="L109" s="378" t="s">
        <v>0</v>
      </c>
      <c r="M109" s="378">
        <v>20</v>
      </c>
      <c r="N109" s="356">
        <v>150000</v>
      </c>
      <c r="O109" s="28" t="b">
        <f t="shared" si="13"/>
        <v>1</v>
      </c>
    </row>
    <row r="110" spans="2:15" s="28" customFormat="1" ht="16.5" customHeight="1">
      <c r="B110" s="20"/>
      <c r="C110" s="20"/>
      <c r="D110" s="254"/>
      <c r="E110" s="379">
        <v>143240</v>
      </c>
      <c r="F110" s="380" t="s">
        <v>746</v>
      </c>
      <c r="G110" s="381"/>
      <c r="H110" s="382"/>
      <c r="I110" s="383">
        <v>107800</v>
      </c>
      <c r="J110" s="384">
        <v>143240</v>
      </c>
      <c r="K110" s="378" t="s">
        <v>73</v>
      </c>
      <c r="L110" s="378" t="s">
        <v>0</v>
      </c>
      <c r="M110" s="378">
        <v>16</v>
      </c>
      <c r="N110" s="356">
        <v>107800</v>
      </c>
      <c r="O110" s="28" t="b">
        <f t="shared" si="13"/>
        <v>1</v>
      </c>
    </row>
    <row r="111" spans="2:15" s="28" customFormat="1" ht="16.5" customHeight="1">
      <c r="B111" s="20"/>
      <c r="C111" s="20"/>
      <c r="D111" s="254"/>
      <c r="E111" s="379">
        <v>138583</v>
      </c>
      <c r="F111" s="380" t="s">
        <v>740</v>
      </c>
      <c r="G111" s="381"/>
      <c r="H111" s="382"/>
      <c r="I111" s="383">
        <v>44600</v>
      </c>
      <c r="J111" s="378">
        <v>138583</v>
      </c>
      <c r="K111" s="378" t="s">
        <v>73</v>
      </c>
      <c r="L111" s="378" t="s">
        <v>741</v>
      </c>
      <c r="M111" s="378">
        <v>12</v>
      </c>
      <c r="N111" s="356" t="e">
        <v>#N/A</v>
      </c>
      <c r="O111" s="28" t="e">
        <f t="shared" si="13"/>
        <v>#N/A</v>
      </c>
    </row>
    <row r="112" spans="2:15" s="28" customFormat="1" ht="16.5" customHeight="1">
      <c r="B112" s="20"/>
      <c r="C112" s="20"/>
      <c r="D112" s="254"/>
      <c r="E112" s="379">
        <v>123205</v>
      </c>
      <c r="F112" s="380" t="s">
        <v>49</v>
      </c>
      <c r="G112" s="381"/>
      <c r="H112" s="382"/>
      <c r="I112" s="383">
        <v>60300</v>
      </c>
      <c r="J112" s="384">
        <v>123205</v>
      </c>
      <c r="K112" s="393" t="s">
        <v>73</v>
      </c>
      <c r="L112" s="378" t="s">
        <v>35</v>
      </c>
      <c r="M112" s="378">
        <v>6</v>
      </c>
      <c r="N112" s="356">
        <v>60300</v>
      </c>
      <c r="O112" s="28" t="b">
        <f t="shared" si="13"/>
        <v>1</v>
      </c>
    </row>
    <row r="113" spans="2:15" s="28" customFormat="1" ht="16.5" customHeight="1">
      <c r="B113" s="20"/>
      <c r="C113" s="20"/>
      <c r="D113" s="254"/>
      <c r="E113" s="379">
        <v>124476</v>
      </c>
      <c r="F113" s="380" t="s">
        <v>52</v>
      </c>
      <c r="G113" s="381"/>
      <c r="H113" s="382"/>
      <c r="I113" s="383">
        <v>63200</v>
      </c>
      <c r="J113" s="384">
        <v>124476</v>
      </c>
      <c r="K113" s="378" t="s">
        <v>70</v>
      </c>
      <c r="L113" s="378" t="s">
        <v>79</v>
      </c>
      <c r="M113" s="378">
        <v>20</v>
      </c>
      <c r="N113" s="356">
        <v>63200</v>
      </c>
      <c r="O113" s="28" t="b">
        <f t="shared" si="13"/>
        <v>1</v>
      </c>
    </row>
    <row r="114" spans="2:15" s="28" customFormat="1" ht="16.5" customHeight="1">
      <c r="B114" s="20"/>
      <c r="C114" s="20"/>
      <c r="D114" s="254"/>
      <c r="E114" s="379">
        <v>135080</v>
      </c>
      <c r="F114" s="380" t="s">
        <v>44</v>
      </c>
      <c r="G114" s="381"/>
      <c r="H114" s="382"/>
      <c r="I114" s="383">
        <v>110000</v>
      </c>
      <c r="J114" s="378">
        <v>135080</v>
      </c>
      <c r="K114" s="393" t="s">
        <v>73</v>
      </c>
      <c r="L114" s="378" t="s">
        <v>35</v>
      </c>
      <c r="M114" s="378">
        <v>12</v>
      </c>
      <c r="N114" s="356">
        <v>110000</v>
      </c>
      <c r="O114" s="28" t="b">
        <f t="shared" si="13"/>
        <v>1</v>
      </c>
    </row>
    <row r="115" spans="2:15" s="28" customFormat="1" ht="16.5" customHeight="1">
      <c r="B115" s="20"/>
      <c r="C115" s="20"/>
      <c r="D115" s="254"/>
      <c r="E115" s="379">
        <v>138806</v>
      </c>
      <c r="F115" s="380" t="s">
        <v>50</v>
      </c>
      <c r="G115" s="381"/>
      <c r="H115" s="382"/>
      <c r="I115" s="383">
        <v>148600</v>
      </c>
      <c r="J115" s="384">
        <v>138806</v>
      </c>
      <c r="K115" s="378" t="s">
        <v>72</v>
      </c>
      <c r="L115" s="378" t="s">
        <v>35</v>
      </c>
      <c r="M115" s="378">
        <v>9.94</v>
      </c>
      <c r="N115" s="356">
        <v>148600</v>
      </c>
      <c r="O115" s="28" t="b">
        <f t="shared" si="13"/>
        <v>1</v>
      </c>
    </row>
    <row r="116" spans="2:15" s="28" customFormat="1" ht="16.5" customHeight="1">
      <c r="B116" s="20"/>
      <c r="C116" s="20"/>
      <c r="D116" s="254"/>
      <c r="E116" s="379">
        <v>138827</v>
      </c>
      <c r="F116" s="380" t="s">
        <v>51</v>
      </c>
      <c r="G116" s="381"/>
      <c r="H116" s="382"/>
      <c r="I116" s="383">
        <v>595000</v>
      </c>
      <c r="J116" s="384">
        <v>138827</v>
      </c>
      <c r="K116" s="378" t="s">
        <v>71</v>
      </c>
      <c r="L116" s="378" t="s">
        <v>35</v>
      </c>
      <c r="M116" s="378">
        <v>200</v>
      </c>
      <c r="N116" s="356">
        <v>595000</v>
      </c>
      <c r="O116" s="28" t="b">
        <f t="shared" si="13"/>
        <v>1</v>
      </c>
    </row>
    <row r="117" spans="2:15" s="28" customFormat="1" ht="16.5" customHeight="1">
      <c r="B117" s="20"/>
      <c r="C117" s="20"/>
      <c r="D117" s="254"/>
      <c r="E117" s="379">
        <v>138888</v>
      </c>
      <c r="F117" s="380" t="s">
        <v>102</v>
      </c>
      <c r="G117" s="381"/>
      <c r="H117" s="382"/>
      <c r="I117" s="383">
        <v>233000</v>
      </c>
      <c r="J117" s="384">
        <v>138888</v>
      </c>
      <c r="K117" s="378" t="s">
        <v>70</v>
      </c>
      <c r="L117" s="378" t="s">
        <v>79</v>
      </c>
      <c r="M117" s="378">
        <v>20</v>
      </c>
      <c r="N117" s="356">
        <v>233000</v>
      </c>
      <c r="O117" s="28" t="b">
        <f t="shared" si="13"/>
        <v>1</v>
      </c>
    </row>
    <row r="118" spans="2:15" s="28" customFormat="1" ht="16.5" customHeight="1">
      <c r="B118" s="20"/>
      <c r="C118" s="20"/>
      <c r="D118" s="254"/>
      <c r="E118" s="379">
        <v>138892</v>
      </c>
      <c r="F118" s="380" t="s">
        <v>85</v>
      </c>
      <c r="G118" s="381"/>
      <c r="H118" s="382"/>
      <c r="I118" s="383">
        <v>46500</v>
      </c>
      <c r="J118" s="384">
        <v>138892</v>
      </c>
      <c r="K118" s="378" t="s">
        <v>72</v>
      </c>
      <c r="L118" s="378" t="s">
        <v>35</v>
      </c>
      <c r="M118" s="378">
        <v>16</v>
      </c>
      <c r="N118" s="356">
        <v>46500</v>
      </c>
      <c r="O118" s="28" t="b">
        <f t="shared" si="13"/>
        <v>1</v>
      </c>
    </row>
    <row r="119" spans="2:15" s="28" customFormat="1" ht="16.5" customHeight="1">
      <c r="B119" s="20"/>
      <c r="C119" s="20"/>
      <c r="D119" s="254"/>
      <c r="E119" s="379">
        <v>142227</v>
      </c>
      <c r="F119" s="380" t="s">
        <v>117</v>
      </c>
      <c r="G119" s="381"/>
      <c r="H119" s="382"/>
      <c r="I119" s="383">
        <v>853000</v>
      </c>
      <c r="J119" s="384">
        <v>142227</v>
      </c>
      <c r="K119" s="378" t="s">
        <v>103</v>
      </c>
      <c r="L119" s="378" t="s">
        <v>35</v>
      </c>
      <c r="M119" s="378">
        <v>200</v>
      </c>
      <c r="N119" s="356" t="e">
        <v>#N/A</v>
      </c>
      <c r="O119" s="28" t="e">
        <f t="shared" si="13"/>
        <v>#N/A</v>
      </c>
    </row>
    <row r="120" spans="2:15" s="28" customFormat="1" ht="16.5" customHeight="1">
      <c r="B120" s="20"/>
      <c r="C120" s="20"/>
      <c r="D120" s="254"/>
      <c r="E120" s="379">
        <v>140169</v>
      </c>
      <c r="F120" s="380" t="s">
        <v>84</v>
      </c>
      <c r="G120" s="381"/>
      <c r="H120" s="382"/>
      <c r="I120" s="383">
        <v>62400</v>
      </c>
      <c r="J120" s="384">
        <v>140169</v>
      </c>
      <c r="K120" s="393" t="s">
        <v>73</v>
      </c>
      <c r="L120" s="378" t="s">
        <v>35</v>
      </c>
      <c r="M120" s="378">
        <v>12</v>
      </c>
      <c r="N120" s="356" t="e">
        <v>#N/A</v>
      </c>
      <c r="O120" s="28" t="e">
        <f t="shared" si="13"/>
        <v>#N/A</v>
      </c>
    </row>
    <row r="121" spans="2:15" s="28" customFormat="1" ht="16.5" customHeight="1">
      <c r="B121" s="20"/>
      <c r="C121" s="20"/>
      <c r="D121" s="254"/>
      <c r="E121" s="379">
        <v>140657</v>
      </c>
      <c r="F121" s="380" t="s">
        <v>43</v>
      </c>
      <c r="G121" s="381"/>
      <c r="H121" s="382"/>
      <c r="I121" s="383">
        <v>118000</v>
      </c>
      <c r="J121" s="384">
        <v>140657</v>
      </c>
      <c r="K121" s="378" t="s">
        <v>73</v>
      </c>
      <c r="L121" s="378" t="s">
        <v>79</v>
      </c>
      <c r="M121" s="378">
        <v>12</v>
      </c>
      <c r="N121" s="356">
        <v>118000</v>
      </c>
      <c r="O121" s="28" t="b">
        <f t="shared" si="13"/>
        <v>1</v>
      </c>
    </row>
    <row r="122" spans="2:15" s="28" customFormat="1" ht="16.5" customHeight="1">
      <c r="B122" s="20"/>
      <c r="C122" s="20"/>
      <c r="D122" s="254"/>
      <c r="E122" s="379">
        <v>140660</v>
      </c>
      <c r="F122" s="380" t="s">
        <v>100</v>
      </c>
      <c r="G122" s="381"/>
      <c r="H122" s="382"/>
      <c r="I122" s="383">
        <v>118000</v>
      </c>
      <c r="J122" s="384">
        <v>140660</v>
      </c>
      <c r="K122" s="378" t="s">
        <v>73</v>
      </c>
      <c r="L122" s="378" t="s">
        <v>79</v>
      </c>
      <c r="M122" s="378">
        <v>12</v>
      </c>
      <c r="N122" s="356">
        <v>118000</v>
      </c>
      <c r="O122" s="28" t="b">
        <f t="shared" si="13"/>
        <v>1</v>
      </c>
    </row>
    <row r="123" spans="2:15" s="28" customFormat="1" ht="16.5" customHeight="1">
      <c r="B123" s="20"/>
      <c r="C123" s="20"/>
      <c r="D123" s="254"/>
      <c r="E123" s="379">
        <v>140661</v>
      </c>
      <c r="F123" s="380" t="s">
        <v>106</v>
      </c>
      <c r="G123" s="381"/>
      <c r="H123" s="382"/>
      <c r="I123" s="383">
        <v>1789000</v>
      </c>
      <c r="J123" s="378">
        <v>140661</v>
      </c>
      <c r="K123" s="378" t="s">
        <v>103</v>
      </c>
      <c r="L123" s="378" t="s">
        <v>79</v>
      </c>
      <c r="M123" s="378">
        <v>200</v>
      </c>
      <c r="N123" s="356">
        <v>1789000</v>
      </c>
      <c r="O123" s="28" t="b">
        <f t="shared" si="13"/>
        <v>1</v>
      </c>
    </row>
    <row r="124" spans="2:15" s="28" customFormat="1" ht="16.5" customHeight="1">
      <c r="B124" s="20"/>
      <c r="C124" s="20"/>
      <c r="D124" s="254"/>
      <c r="E124" s="379">
        <v>141593</v>
      </c>
      <c r="F124" s="380" t="s">
        <v>104</v>
      </c>
      <c r="G124" s="381"/>
      <c r="H124" s="382"/>
      <c r="I124" s="383">
        <v>479000</v>
      </c>
      <c r="J124" s="384">
        <v>141593</v>
      </c>
      <c r="K124" s="378" t="s">
        <v>71</v>
      </c>
      <c r="L124" s="378" t="s">
        <v>35</v>
      </c>
      <c r="M124" s="378">
        <v>200</v>
      </c>
      <c r="N124" s="356">
        <v>479000</v>
      </c>
      <c r="O124" s="28" t="b">
        <f t="shared" si="13"/>
        <v>1</v>
      </c>
    </row>
    <row r="125" spans="2:15" s="28" customFormat="1" ht="16.5" customHeight="1">
      <c r="B125" s="20"/>
      <c r="C125" s="20"/>
      <c r="D125" s="254"/>
      <c r="E125" s="379">
        <v>120082</v>
      </c>
      <c r="F125" s="380" t="s">
        <v>97</v>
      </c>
      <c r="G125" s="381"/>
      <c r="H125" s="382"/>
      <c r="I125" s="383">
        <v>662475</v>
      </c>
      <c r="J125" s="384">
        <v>120082</v>
      </c>
      <c r="K125" s="378" t="s">
        <v>70</v>
      </c>
      <c r="L125" s="378" t="s">
        <v>69</v>
      </c>
      <c r="M125" s="378">
        <v>16</v>
      </c>
      <c r="N125" s="356">
        <v>605000</v>
      </c>
      <c r="O125" s="28" t="b">
        <f t="shared" si="13"/>
        <v>0</v>
      </c>
    </row>
    <row r="126" spans="2:15" s="28" customFormat="1" ht="16.5" customHeight="1">
      <c r="B126" s="20"/>
      <c r="C126" s="20"/>
      <c r="D126" s="254"/>
      <c r="E126" s="379">
        <v>120084</v>
      </c>
      <c r="F126" s="380" t="s">
        <v>760</v>
      </c>
      <c r="G126" s="381"/>
      <c r="H126" s="382"/>
      <c r="I126" s="383">
        <v>501510</v>
      </c>
      <c r="J126" s="394">
        <v>120084</v>
      </c>
      <c r="K126" s="393" t="s">
        <v>761</v>
      </c>
      <c r="L126" s="378" t="s">
        <v>69</v>
      </c>
      <c r="M126" s="378">
        <v>22.8</v>
      </c>
      <c r="N126" s="356">
        <v>458000</v>
      </c>
      <c r="O126" s="28" t="b">
        <f t="shared" si="13"/>
        <v>0</v>
      </c>
    </row>
    <row r="127" spans="2:15" s="28" customFormat="1" ht="16.5" customHeight="1">
      <c r="B127" s="20"/>
      <c r="C127" s="20"/>
      <c r="D127" s="254"/>
      <c r="E127" s="379">
        <v>120088</v>
      </c>
      <c r="F127" s="380" t="s">
        <v>118</v>
      </c>
      <c r="G127" s="381"/>
      <c r="H127" s="382"/>
      <c r="I127" s="383">
        <v>4264030</v>
      </c>
      <c r="J127" s="384">
        <v>120088</v>
      </c>
      <c r="K127" s="378" t="s">
        <v>71</v>
      </c>
      <c r="L127" s="378" t="s">
        <v>69</v>
      </c>
      <c r="M127" s="378">
        <v>208</v>
      </c>
      <c r="N127" s="356" t="e">
        <v>#N/A</v>
      </c>
      <c r="O127" s="28" t="e">
        <f t="shared" si="13"/>
        <v>#N/A</v>
      </c>
    </row>
    <row r="128" spans="2:15" s="28" customFormat="1" ht="16.5" customHeight="1">
      <c r="B128" s="20"/>
      <c r="C128" s="20"/>
      <c r="D128" s="254"/>
      <c r="E128" s="379">
        <v>120089</v>
      </c>
      <c r="F128" s="380" t="s">
        <v>762</v>
      </c>
      <c r="G128" s="381"/>
      <c r="H128" s="382"/>
      <c r="I128" s="383">
        <v>416100</v>
      </c>
      <c r="J128" s="384">
        <v>120089</v>
      </c>
      <c r="K128" s="378" t="s">
        <v>761</v>
      </c>
      <c r="L128" s="378" t="s">
        <v>69</v>
      </c>
      <c r="M128" s="378">
        <v>22.8</v>
      </c>
      <c r="N128" s="356">
        <v>380000</v>
      </c>
      <c r="O128" s="28" t="b">
        <f t="shared" si="13"/>
        <v>0</v>
      </c>
    </row>
    <row r="129" spans="2:15" s="28" customFormat="1" ht="16.5" customHeight="1">
      <c r="B129" s="20"/>
      <c r="C129" s="20"/>
      <c r="D129" s="254"/>
      <c r="E129" s="379">
        <v>134601</v>
      </c>
      <c r="F129" s="380" t="s">
        <v>763</v>
      </c>
      <c r="G129" s="381"/>
      <c r="H129" s="382"/>
      <c r="I129" s="383">
        <v>4077780</v>
      </c>
      <c r="J129" s="384">
        <v>134601</v>
      </c>
      <c r="K129" s="378" t="s">
        <v>71</v>
      </c>
      <c r="L129" s="378" t="s">
        <v>69</v>
      </c>
      <c r="M129" s="378">
        <v>200</v>
      </c>
      <c r="N129" s="356">
        <v>3724000</v>
      </c>
      <c r="O129" s="28" t="b">
        <f t="shared" si="13"/>
        <v>0</v>
      </c>
    </row>
    <row r="130" spans="2:15" s="28" customFormat="1" ht="16.5" customHeight="1">
      <c r="B130" s="20"/>
      <c r="C130" s="20"/>
      <c r="D130" s="254"/>
      <c r="E130" s="379">
        <v>134756</v>
      </c>
      <c r="F130" s="380" t="s">
        <v>107</v>
      </c>
      <c r="G130" s="381"/>
      <c r="H130" s="382"/>
      <c r="I130" s="383">
        <v>724890</v>
      </c>
      <c r="J130" s="378">
        <v>134756</v>
      </c>
      <c r="K130" s="378" t="s">
        <v>70</v>
      </c>
      <c r="L130" s="378" t="s">
        <v>69</v>
      </c>
      <c r="M130" s="378">
        <v>16</v>
      </c>
      <c r="N130" s="356">
        <v>662000</v>
      </c>
      <c r="O130" s="28" t="b">
        <f t="shared" si="13"/>
        <v>0</v>
      </c>
    </row>
    <row r="131" spans="2:15" s="28" customFormat="1" ht="16.5" customHeight="1">
      <c r="B131" s="20"/>
      <c r="C131" s="20"/>
      <c r="D131" s="254"/>
      <c r="E131" s="379">
        <v>135390</v>
      </c>
      <c r="F131" s="380" t="s">
        <v>764</v>
      </c>
      <c r="G131" s="381"/>
      <c r="H131" s="382"/>
      <c r="I131" s="383">
        <v>573780</v>
      </c>
      <c r="J131" s="378">
        <v>135390</v>
      </c>
      <c r="K131" s="378" t="s">
        <v>70</v>
      </c>
      <c r="L131" s="378" t="s">
        <v>69</v>
      </c>
      <c r="M131" s="378">
        <v>20</v>
      </c>
      <c r="N131" s="356">
        <v>524000</v>
      </c>
      <c r="O131" s="28" t="b">
        <f t="shared" si="13"/>
        <v>0</v>
      </c>
    </row>
    <row r="132" spans="2:15" s="28" customFormat="1" ht="16.5" customHeight="1">
      <c r="B132" s="20"/>
      <c r="C132" s="20"/>
      <c r="D132" s="254"/>
      <c r="E132" s="379">
        <v>120969</v>
      </c>
      <c r="F132" s="395" t="s">
        <v>254</v>
      </c>
      <c r="G132" s="396"/>
      <c r="H132" s="397"/>
      <c r="I132" s="383">
        <v>235000</v>
      </c>
      <c r="J132" s="398">
        <v>120969</v>
      </c>
      <c r="K132" s="399" t="s">
        <v>70</v>
      </c>
      <c r="L132" s="399" t="s">
        <v>34</v>
      </c>
      <c r="M132" s="399">
        <v>18.899999999999999</v>
      </c>
      <c r="N132" s="356">
        <v>222000</v>
      </c>
      <c r="O132" s="28" t="b">
        <f t="shared" si="13"/>
        <v>0</v>
      </c>
    </row>
    <row r="133" spans="2:15" s="28" customFormat="1" ht="16.5" customHeight="1">
      <c r="B133" s="20"/>
      <c r="C133" s="20"/>
      <c r="D133" s="254"/>
      <c r="E133" s="379">
        <v>121540</v>
      </c>
      <c r="F133" s="395" t="s">
        <v>419</v>
      </c>
      <c r="G133" s="396"/>
      <c r="H133" s="397"/>
      <c r="I133" s="383">
        <v>1684000</v>
      </c>
      <c r="J133" s="398">
        <v>121540</v>
      </c>
      <c r="K133" s="399" t="s">
        <v>71</v>
      </c>
      <c r="L133" s="399" t="s">
        <v>34</v>
      </c>
      <c r="M133" s="399">
        <v>208</v>
      </c>
      <c r="N133" s="356">
        <v>1684000</v>
      </c>
      <c r="O133" s="28" t="b">
        <f t="shared" si="13"/>
        <v>1</v>
      </c>
    </row>
    <row r="134" spans="2:15" s="28" customFormat="1" ht="16.5" customHeight="1">
      <c r="B134" s="20"/>
      <c r="C134" s="20"/>
      <c r="D134" s="254"/>
      <c r="E134" s="379">
        <v>121558</v>
      </c>
      <c r="F134" s="395" t="s">
        <v>255</v>
      </c>
      <c r="G134" s="396"/>
      <c r="H134" s="397"/>
      <c r="I134" s="383">
        <v>311000</v>
      </c>
      <c r="J134" s="398">
        <v>121558</v>
      </c>
      <c r="K134" s="399" t="s">
        <v>70</v>
      </c>
      <c r="L134" s="399" t="s">
        <v>34</v>
      </c>
      <c r="M134" s="399">
        <v>17.251999999999999</v>
      </c>
      <c r="N134" s="356">
        <v>311000</v>
      </c>
      <c r="O134" s="28" t="b">
        <f t="shared" si="13"/>
        <v>1</v>
      </c>
    </row>
    <row r="135" spans="2:15" s="28" customFormat="1" ht="16.5" customHeight="1">
      <c r="B135" s="20"/>
      <c r="C135" s="20"/>
      <c r="D135" s="254"/>
      <c r="E135" s="379">
        <v>121759</v>
      </c>
      <c r="F135" s="395" t="s">
        <v>765</v>
      </c>
      <c r="G135" s="396"/>
      <c r="H135" s="397"/>
      <c r="I135" s="383">
        <v>1230000</v>
      </c>
      <c r="J135" s="399">
        <v>121759</v>
      </c>
      <c r="K135" s="399" t="s">
        <v>71</v>
      </c>
      <c r="L135" s="399" t="s">
        <v>34</v>
      </c>
      <c r="M135" s="399">
        <v>208</v>
      </c>
      <c r="N135" s="356">
        <v>1230000</v>
      </c>
      <c r="O135" s="28" t="b">
        <f t="shared" si="13"/>
        <v>1</v>
      </c>
    </row>
    <row r="136" spans="2:15" s="28" customFormat="1" ht="16.5" customHeight="1">
      <c r="B136" s="20"/>
      <c r="C136" s="20"/>
      <c r="D136" s="254"/>
      <c r="E136" s="379">
        <v>121762</v>
      </c>
      <c r="F136" s="395" t="s">
        <v>434</v>
      </c>
      <c r="G136" s="396"/>
      <c r="H136" s="397"/>
      <c r="I136" s="383">
        <v>1302000</v>
      </c>
      <c r="J136" s="399">
        <v>121762</v>
      </c>
      <c r="K136" s="399" t="s">
        <v>71</v>
      </c>
      <c r="L136" s="399" t="s">
        <v>34</v>
      </c>
      <c r="M136" s="399">
        <v>208</v>
      </c>
      <c r="N136" s="356">
        <v>1302000</v>
      </c>
      <c r="O136" s="28" t="b">
        <f t="shared" si="13"/>
        <v>1</v>
      </c>
    </row>
    <row r="137" spans="2:15" s="28" customFormat="1" ht="16.5" customHeight="1">
      <c r="B137" s="20"/>
      <c r="C137" s="20"/>
      <c r="D137" s="254"/>
      <c r="E137" s="379">
        <v>121764</v>
      </c>
      <c r="F137" s="395" t="s">
        <v>435</v>
      </c>
      <c r="G137" s="396"/>
      <c r="H137" s="397"/>
      <c r="I137" s="383">
        <v>1246000</v>
      </c>
      <c r="J137" s="399">
        <v>121764</v>
      </c>
      <c r="K137" s="399" t="s">
        <v>71</v>
      </c>
      <c r="L137" s="399" t="s">
        <v>34</v>
      </c>
      <c r="M137" s="399">
        <v>208</v>
      </c>
      <c r="N137" s="356">
        <v>1246000</v>
      </c>
      <c r="O137" s="28" t="b">
        <f t="shared" si="13"/>
        <v>1</v>
      </c>
    </row>
    <row r="138" spans="2:15" s="28" customFormat="1" ht="16.5" customHeight="1">
      <c r="B138" s="20"/>
      <c r="C138" s="20"/>
      <c r="D138" s="254"/>
      <c r="E138" s="379">
        <v>121892</v>
      </c>
      <c r="F138" s="395" t="s">
        <v>256</v>
      </c>
      <c r="G138" s="396"/>
      <c r="H138" s="397"/>
      <c r="I138" s="383">
        <v>481000</v>
      </c>
      <c r="J138" s="399">
        <v>121892</v>
      </c>
      <c r="K138" s="399" t="s">
        <v>70</v>
      </c>
      <c r="L138" s="399" t="s">
        <v>34</v>
      </c>
      <c r="M138" s="399">
        <v>18.899999999999999</v>
      </c>
      <c r="N138" s="356">
        <v>481000</v>
      </c>
      <c r="O138" s="28" t="b">
        <f t="shared" si="13"/>
        <v>1</v>
      </c>
    </row>
    <row r="139" spans="2:15" s="28" customFormat="1" ht="16.5" customHeight="1">
      <c r="B139" s="20"/>
      <c r="C139" s="20"/>
      <c r="D139" s="254"/>
      <c r="E139" s="379">
        <v>121902</v>
      </c>
      <c r="F139" s="395" t="s">
        <v>257</v>
      </c>
      <c r="G139" s="396"/>
      <c r="H139" s="397"/>
      <c r="I139" s="383">
        <v>410000</v>
      </c>
      <c r="J139" s="398">
        <v>121902</v>
      </c>
      <c r="K139" s="399" t="s">
        <v>70</v>
      </c>
      <c r="L139" s="399" t="s">
        <v>34</v>
      </c>
      <c r="M139" s="399">
        <v>18.899999999999999</v>
      </c>
      <c r="N139" s="356">
        <v>410000</v>
      </c>
      <c r="O139" s="28" t="b">
        <f t="shared" si="13"/>
        <v>1</v>
      </c>
    </row>
    <row r="140" spans="2:15" s="28" customFormat="1" ht="16.5" customHeight="1">
      <c r="B140" s="20"/>
      <c r="C140" s="20"/>
      <c r="D140" s="254"/>
      <c r="E140" s="379">
        <v>121904</v>
      </c>
      <c r="F140" s="395" t="s">
        <v>258</v>
      </c>
      <c r="G140" s="396"/>
      <c r="H140" s="397"/>
      <c r="I140" s="383">
        <v>430000</v>
      </c>
      <c r="J140" s="398">
        <v>121904</v>
      </c>
      <c r="K140" s="399" t="s">
        <v>70</v>
      </c>
      <c r="L140" s="399" t="s">
        <v>34</v>
      </c>
      <c r="M140" s="399">
        <v>18.899999999999999</v>
      </c>
      <c r="N140" s="356">
        <v>430000</v>
      </c>
      <c r="O140" s="28" t="b">
        <f t="shared" si="13"/>
        <v>1</v>
      </c>
    </row>
    <row r="141" spans="2:15" s="28" customFormat="1" ht="16.5" customHeight="1">
      <c r="B141" s="20"/>
      <c r="C141" s="20"/>
      <c r="D141" s="254"/>
      <c r="E141" s="379">
        <v>121907</v>
      </c>
      <c r="F141" s="395" t="s">
        <v>259</v>
      </c>
      <c r="G141" s="396"/>
      <c r="H141" s="397"/>
      <c r="I141" s="383">
        <v>398000</v>
      </c>
      <c r="J141" s="398">
        <v>121907</v>
      </c>
      <c r="K141" s="399" t="s">
        <v>70</v>
      </c>
      <c r="L141" s="399" t="s">
        <v>34</v>
      </c>
      <c r="M141" s="399">
        <v>18.899999999999999</v>
      </c>
      <c r="N141" s="356">
        <v>398000</v>
      </c>
      <c r="O141" s="28" t="b">
        <f t="shared" si="13"/>
        <v>1</v>
      </c>
    </row>
    <row r="142" spans="2:15" s="28" customFormat="1" ht="16.5" customHeight="1">
      <c r="B142" s="20"/>
      <c r="C142" s="20"/>
      <c r="D142" s="254"/>
      <c r="E142" s="379">
        <v>122135</v>
      </c>
      <c r="F142" s="395" t="s">
        <v>437</v>
      </c>
      <c r="G142" s="396"/>
      <c r="H142" s="397"/>
      <c r="I142" s="383">
        <v>1207000</v>
      </c>
      <c r="J142" s="399">
        <v>122135</v>
      </c>
      <c r="K142" s="399" t="s">
        <v>71</v>
      </c>
      <c r="L142" s="399" t="s">
        <v>34</v>
      </c>
      <c r="M142" s="399">
        <v>208</v>
      </c>
      <c r="N142" s="356">
        <v>1207000</v>
      </c>
      <c r="O142" s="28" t="b">
        <f t="shared" si="13"/>
        <v>1</v>
      </c>
    </row>
    <row r="143" spans="2:15" s="28" customFormat="1" ht="16.5" customHeight="1">
      <c r="B143" s="20"/>
      <c r="C143" s="20"/>
      <c r="D143" s="254"/>
      <c r="E143" s="379">
        <v>122167</v>
      </c>
      <c r="F143" s="395" t="s">
        <v>438</v>
      </c>
      <c r="G143" s="396"/>
      <c r="H143" s="397"/>
      <c r="I143" s="383">
        <v>3124000</v>
      </c>
      <c r="J143" s="398">
        <v>122167</v>
      </c>
      <c r="K143" s="399" t="s">
        <v>71</v>
      </c>
      <c r="L143" s="399" t="s">
        <v>34</v>
      </c>
      <c r="M143" s="399">
        <v>208</v>
      </c>
      <c r="N143" s="356">
        <v>3124000</v>
      </c>
      <c r="O143" s="28" t="b">
        <f t="shared" si="13"/>
        <v>1</v>
      </c>
    </row>
    <row r="144" spans="2:15" s="28" customFormat="1" ht="16.5" customHeight="1">
      <c r="B144" s="20"/>
      <c r="C144" s="20"/>
      <c r="D144" s="254"/>
      <c r="E144" s="379">
        <v>122187</v>
      </c>
      <c r="F144" s="395" t="s">
        <v>439</v>
      </c>
      <c r="G144" s="396"/>
      <c r="H144" s="397"/>
      <c r="I144" s="383">
        <v>2760000</v>
      </c>
      <c r="J144" s="398">
        <v>122187</v>
      </c>
      <c r="K144" s="399" t="s">
        <v>71</v>
      </c>
      <c r="L144" s="399" t="s">
        <v>34</v>
      </c>
      <c r="M144" s="399">
        <v>208</v>
      </c>
      <c r="N144" s="356">
        <v>2760000</v>
      </c>
      <c r="O144" s="28" t="b">
        <f t="shared" si="13"/>
        <v>1</v>
      </c>
    </row>
    <row r="145" spans="2:15" s="28" customFormat="1" ht="16.5" customHeight="1">
      <c r="B145" s="20"/>
      <c r="C145" s="20"/>
      <c r="D145" s="254"/>
      <c r="E145" s="379">
        <v>122612</v>
      </c>
      <c r="F145" s="395" t="s">
        <v>446</v>
      </c>
      <c r="G145" s="396"/>
      <c r="H145" s="397"/>
      <c r="I145" s="383">
        <v>1525000</v>
      </c>
      <c r="J145" s="398">
        <v>122612</v>
      </c>
      <c r="K145" s="399" t="s">
        <v>71</v>
      </c>
      <c r="L145" s="399" t="s">
        <v>34</v>
      </c>
      <c r="M145" s="399">
        <v>208</v>
      </c>
      <c r="N145" s="356">
        <v>1525000</v>
      </c>
      <c r="O145" s="28" t="b">
        <f t="shared" si="13"/>
        <v>1</v>
      </c>
    </row>
    <row r="146" spans="2:15" s="28" customFormat="1" ht="16.5" customHeight="1">
      <c r="B146" s="20"/>
      <c r="C146" s="20"/>
      <c r="D146" s="254"/>
      <c r="E146" s="379">
        <v>122650</v>
      </c>
      <c r="F146" s="395" t="s">
        <v>447</v>
      </c>
      <c r="G146" s="396"/>
      <c r="H146" s="397"/>
      <c r="I146" s="383">
        <v>3190000</v>
      </c>
      <c r="J146" s="398">
        <v>122650</v>
      </c>
      <c r="K146" s="399" t="s">
        <v>71</v>
      </c>
      <c r="L146" s="399" t="s">
        <v>34</v>
      </c>
      <c r="M146" s="399">
        <v>208</v>
      </c>
      <c r="N146" s="356">
        <v>3190000</v>
      </c>
      <c r="O146" s="28" t="b">
        <f t="shared" si="13"/>
        <v>1</v>
      </c>
    </row>
    <row r="147" spans="2:15" s="28" customFormat="1" ht="16.5" customHeight="1">
      <c r="B147" s="20"/>
      <c r="C147" s="20"/>
      <c r="D147" s="254"/>
      <c r="E147" s="379">
        <v>122713</v>
      </c>
      <c r="F147" s="395" t="s">
        <v>67</v>
      </c>
      <c r="G147" s="396"/>
      <c r="H147" s="397"/>
      <c r="I147" s="383">
        <v>106000</v>
      </c>
      <c r="J147" s="399">
        <v>122713</v>
      </c>
      <c r="K147" s="399" t="s">
        <v>70</v>
      </c>
      <c r="L147" s="399" t="s">
        <v>34</v>
      </c>
      <c r="M147" s="399">
        <v>20</v>
      </c>
      <c r="N147" s="356">
        <v>106000</v>
      </c>
      <c r="O147" s="28" t="b">
        <f t="shared" si="13"/>
        <v>1</v>
      </c>
    </row>
    <row r="148" spans="2:15" s="28" customFormat="1" ht="16.5" customHeight="1">
      <c r="B148" s="20"/>
      <c r="C148" s="20"/>
      <c r="D148" s="254"/>
      <c r="E148" s="379">
        <v>122766</v>
      </c>
      <c r="F148" s="395" t="s">
        <v>68</v>
      </c>
      <c r="G148" s="396"/>
      <c r="H148" s="397"/>
      <c r="I148" s="383">
        <v>83600</v>
      </c>
      <c r="J148" s="398">
        <v>122766</v>
      </c>
      <c r="K148" s="399" t="s">
        <v>70</v>
      </c>
      <c r="L148" s="399" t="s">
        <v>34</v>
      </c>
      <c r="M148" s="399">
        <v>20</v>
      </c>
      <c r="N148" s="356">
        <v>83600</v>
      </c>
      <c r="O148" s="28" t="b">
        <f t="shared" si="13"/>
        <v>1</v>
      </c>
    </row>
    <row r="149" spans="2:15" s="28" customFormat="1" ht="16.5" customHeight="1">
      <c r="B149" s="20"/>
      <c r="C149" s="20"/>
      <c r="D149" s="254"/>
      <c r="E149" s="379">
        <v>122821</v>
      </c>
      <c r="F149" s="395" t="s">
        <v>448</v>
      </c>
      <c r="G149" s="396"/>
      <c r="H149" s="397"/>
      <c r="I149" s="383"/>
      <c r="J149" s="398">
        <v>122821</v>
      </c>
      <c r="K149" s="399" t="s">
        <v>71</v>
      </c>
      <c r="L149" s="399" t="s">
        <v>34</v>
      </c>
      <c r="M149" s="399">
        <v>208</v>
      </c>
      <c r="N149" s="356" t="e">
        <v>#N/A</v>
      </c>
      <c r="O149" s="28" t="e">
        <f t="shared" si="13"/>
        <v>#N/A</v>
      </c>
    </row>
    <row r="150" spans="2:15" s="28" customFormat="1" ht="16.5" customHeight="1">
      <c r="B150" s="20"/>
      <c r="C150" s="20"/>
      <c r="D150" s="254"/>
      <c r="E150" s="379">
        <v>122837</v>
      </c>
      <c r="F150" s="395" t="s">
        <v>65</v>
      </c>
      <c r="G150" s="396"/>
      <c r="H150" s="397"/>
      <c r="I150" s="383">
        <v>62800</v>
      </c>
      <c r="J150" s="398">
        <v>122837</v>
      </c>
      <c r="K150" s="399" t="s">
        <v>70</v>
      </c>
      <c r="L150" s="399" t="s">
        <v>34</v>
      </c>
      <c r="M150" s="399">
        <v>20</v>
      </c>
      <c r="N150" s="356">
        <v>62800</v>
      </c>
      <c r="O150" s="28" t="b">
        <f t="shared" si="13"/>
        <v>1</v>
      </c>
    </row>
    <row r="151" spans="2:15" s="28" customFormat="1" ht="16.5" customHeight="1">
      <c r="B151" s="20"/>
      <c r="C151" s="20"/>
      <c r="D151" s="254"/>
      <c r="E151" s="379">
        <v>122842</v>
      </c>
      <c r="F151" s="395" t="s">
        <v>238</v>
      </c>
      <c r="G151" s="396"/>
      <c r="H151" s="397"/>
      <c r="I151" s="383">
        <v>79200</v>
      </c>
      <c r="J151" s="399">
        <v>122842</v>
      </c>
      <c r="K151" s="399" t="s">
        <v>70</v>
      </c>
      <c r="L151" s="399" t="s">
        <v>34</v>
      </c>
      <c r="M151" s="399">
        <v>20</v>
      </c>
      <c r="N151" s="356">
        <v>79200</v>
      </c>
      <c r="O151" s="28" t="b">
        <f t="shared" si="13"/>
        <v>1</v>
      </c>
    </row>
    <row r="152" spans="2:15" s="28" customFormat="1" ht="16.5" customHeight="1">
      <c r="B152" s="20"/>
      <c r="C152" s="20"/>
      <c r="D152" s="254"/>
      <c r="E152" s="379">
        <v>144277</v>
      </c>
      <c r="F152" s="395" t="s">
        <v>232</v>
      </c>
      <c r="G152" s="396"/>
      <c r="H152" s="397"/>
      <c r="I152" s="383">
        <v>46600</v>
      </c>
      <c r="J152" s="398">
        <v>122885</v>
      </c>
      <c r="K152" s="399" t="s">
        <v>70</v>
      </c>
      <c r="L152" s="399" t="s">
        <v>34</v>
      </c>
      <c r="M152" s="399">
        <v>20</v>
      </c>
      <c r="N152" s="356">
        <v>46600</v>
      </c>
      <c r="O152" s="28" t="b">
        <f t="shared" si="13"/>
        <v>1</v>
      </c>
    </row>
    <row r="153" spans="2:15" s="28" customFormat="1" ht="16.5" customHeight="1">
      <c r="B153" s="20"/>
      <c r="C153" s="20"/>
      <c r="D153" s="254"/>
      <c r="E153" s="379">
        <v>123004</v>
      </c>
      <c r="F153" s="395" t="s">
        <v>41</v>
      </c>
      <c r="G153" s="396"/>
      <c r="H153" s="397"/>
      <c r="I153" s="383">
        <v>402000</v>
      </c>
      <c r="J153" s="398">
        <v>123004</v>
      </c>
      <c r="K153" s="399" t="s">
        <v>70</v>
      </c>
      <c r="L153" s="399" t="s">
        <v>34</v>
      </c>
      <c r="M153" s="399">
        <v>18</v>
      </c>
      <c r="N153" s="356">
        <v>402000</v>
      </c>
      <c r="O153" s="28" t="b">
        <f t="shared" si="13"/>
        <v>1</v>
      </c>
    </row>
    <row r="154" spans="2:15" s="28" customFormat="1" ht="16.5" customHeight="1">
      <c r="B154" s="20"/>
      <c r="C154" s="20"/>
      <c r="D154" s="254"/>
      <c r="E154" s="379">
        <v>123291</v>
      </c>
      <c r="F154" s="395" t="s">
        <v>261</v>
      </c>
      <c r="G154" s="396"/>
      <c r="H154" s="397"/>
      <c r="I154" s="383">
        <v>326000</v>
      </c>
      <c r="J154" s="398">
        <v>123291</v>
      </c>
      <c r="K154" s="399" t="s">
        <v>70</v>
      </c>
      <c r="L154" s="399" t="s">
        <v>34</v>
      </c>
      <c r="M154" s="399">
        <v>20</v>
      </c>
      <c r="N154" s="356">
        <v>326000</v>
      </c>
      <c r="O154" s="28" t="b">
        <f t="shared" ref="O154:O217" si="14">I154=N154</f>
        <v>1</v>
      </c>
    </row>
    <row r="155" spans="2:15" s="28" customFormat="1" ht="16.5" customHeight="1">
      <c r="B155" s="20"/>
      <c r="C155" s="20"/>
      <c r="D155" s="254"/>
      <c r="E155" s="379">
        <v>148674</v>
      </c>
      <c r="F155" s="395" t="s">
        <v>262</v>
      </c>
      <c r="G155" s="396"/>
      <c r="H155" s="397"/>
      <c r="I155" s="383">
        <v>66800</v>
      </c>
      <c r="J155" s="398">
        <v>148674</v>
      </c>
      <c r="K155" s="399" t="s">
        <v>70</v>
      </c>
      <c r="L155" s="399" t="s">
        <v>34</v>
      </c>
      <c r="M155" s="399">
        <v>20</v>
      </c>
      <c r="N155" s="356">
        <v>66800</v>
      </c>
      <c r="O155" s="28" t="b">
        <f t="shared" si="14"/>
        <v>1</v>
      </c>
    </row>
    <row r="156" spans="2:15" s="28" customFormat="1" ht="16.5" customHeight="1">
      <c r="B156" s="20"/>
      <c r="C156" s="20"/>
      <c r="D156" s="254"/>
      <c r="E156" s="379">
        <v>148687</v>
      </c>
      <c r="F156" s="395" t="s">
        <v>263</v>
      </c>
      <c r="G156" s="396"/>
      <c r="H156" s="397"/>
      <c r="I156" s="383">
        <v>62700</v>
      </c>
      <c r="J156" s="398">
        <v>148687</v>
      </c>
      <c r="K156" s="399" t="s">
        <v>70</v>
      </c>
      <c r="L156" s="399" t="s">
        <v>34</v>
      </c>
      <c r="M156" s="399">
        <v>20</v>
      </c>
      <c r="N156" s="356">
        <v>62700</v>
      </c>
      <c r="O156" s="28" t="b">
        <f t="shared" si="14"/>
        <v>1</v>
      </c>
    </row>
    <row r="157" spans="2:15" s="28" customFormat="1" ht="16.5" customHeight="1">
      <c r="B157" s="20"/>
      <c r="C157" s="20"/>
      <c r="D157" s="254"/>
      <c r="E157" s="379">
        <v>148663</v>
      </c>
      <c r="F157" s="395" t="s">
        <v>264</v>
      </c>
      <c r="G157" s="396"/>
      <c r="H157" s="397"/>
      <c r="I157" s="383">
        <v>54200</v>
      </c>
      <c r="J157" s="398">
        <v>148663</v>
      </c>
      <c r="K157" s="399" t="s">
        <v>70</v>
      </c>
      <c r="L157" s="399" t="s">
        <v>34</v>
      </c>
      <c r="M157" s="399">
        <v>20</v>
      </c>
      <c r="N157" s="356">
        <v>54200</v>
      </c>
      <c r="O157" s="28" t="b">
        <f t="shared" si="14"/>
        <v>1</v>
      </c>
    </row>
    <row r="158" spans="2:15" s="28" customFormat="1" ht="16.5" customHeight="1">
      <c r="B158" s="20"/>
      <c r="C158" s="20"/>
      <c r="D158" s="254"/>
      <c r="E158" s="379">
        <v>148661</v>
      </c>
      <c r="F158" s="395" t="s">
        <v>235</v>
      </c>
      <c r="G158" s="396"/>
      <c r="H158" s="397"/>
      <c r="I158" s="383">
        <v>63400</v>
      </c>
      <c r="J158" s="398">
        <v>148661</v>
      </c>
      <c r="K158" s="399" t="s">
        <v>70</v>
      </c>
      <c r="L158" s="399" t="s">
        <v>34</v>
      </c>
      <c r="M158" s="399">
        <v>20</v>
      </c>
      <c r="N158" s="356">
        <v>63400</v>
      </c>
      <c r="O158" s="28" t="b">
        <f t="shared" si="14"/>
        <v>1</v>
      </c>
    </row>
    <row r="159" spans="2:15" s="28" customFormat="1" ht="16.5" customHeight="1">
      <c r="B159" s="20"/>
      <c r="C159" s="20"/>
      <c r="D159" s="254"/>
      <c r="E159" s="379">
        <v>148662</v>
      </c>
      <c r="F159" s="395" t="s">
        <v>225</v>
      </c>
      <c r="G159" s="396"/>
      <c r="H159" s="397"/>
      <c r="I159" s="383">
        <v>55400</v>
      </c>
      <c r="J159" s="399">
        <v>148662</v>
      </c>
      <c r="K159" s="399" t="s">
        <v>70</v>
      </c>
      <c r="L159" s="399" t="s">
        <v>34</v>
      </c>
      <c r="M159" s="399">
        <v>20</v>
      </c>
      <c r="N159" s="356">
        <v>55400</v>
      </c>
      <c r="O159" s="28" t="b">
        <f t="shared" si="14"/>
        <v>1</v>
      </c>
    </row>
    <row r="160" spans="2:15" s="28" customFormat="1" ht="16.5" customHeight="1">
      <c r="B160" s="20"/>
      <c r="C160" s="20"/>
      <c r="D160" s="254"/>
      <c r="E160" s="379">
        <v>124528</v>
      </c>
      <c r="F160" s="395" t="s">
        <v>450</v>
      </c>
      <c r="G160" s="396"/>
      <c r="H160" s="397"/>
      <c r="I160" s="383">
        <v>3634000</v>
      </c>
      <c r="J160" s="398">
        <v>124528</v>
      </c>
      <c r="K160" s="399" t="s">
        <v>71</v>
      </c>
      <c r="L160" s="399" t="s">
        <v>34</v>
      </c>
      <c r="M160" s="399">
        <v>208</v>
      </c>
      <c r="N160" s="356">
        <v>3634000</v>
      </c>
      <c r="O160" s="28" t="b">
        <f t="shared" si="14"/>
        <v>1</v>
      </c>
    </row>
    <row r="161" spans="2:15" s="28" customFormat="1" ht="16.5" customHeight="1">
      <c r="B161" s="20"/>
      <c r="C161" s="20"/>
      <c r="D161" s="254"/>
      <c r="E161" s="379">
        <v>126328</v>
      </c>
      <c r="F161" s="395" t="s">
        <v>453</v>
      </c>
      <c r="G161" s="396"/>
      <c r="H161" s="397"/>
      <c r="I161" s="383">
        <v>4056000</v>
      </c>
      <c r="J161" s="399">
        <v>126328</v>
      </c>
      <c r="K161" s="399" t="s">
        <v>71</v>
      </c>
      <c r="L161" s="399" t="s">
        <v>34</v>
      </c>
      <c r="M161" s="399">
        <v>208</v>
      </c>
      <c r="N161" s="356">
        <v>4056000</v>
      </c>
      <c r="O161" s="28" t="b">
        <f t="shared" si="14"/>
        <v>1</v>
      </c>
    </row>
    <row r="162" spans="2:15" s="28" customFormat="1" ht="16.5" customHeight="1">
      <c r="B162" s="20"/>
      <c r="C162" s="20"/>
      <c r="D162" s="254"/>
      <c r="E162" s="379">
        <v>127356</v>
      </c>
      <c r="F162" s="395" t="s">
        <v>265</v>
      </c>
      <c r="G162" s="396"/>
      <c r="H162" s="397"/>
      <c r="I162" s="383">
        <v>337000</v>
      </c>
      <c r="J162" s="398">
        <v>127356</v>
      </c>
      <c r="K162" s="399" t="s">
        <v>70</v>
      </c>
      <c r="L162" s="399" t="s">
        <v>34</v>
      </c>
      <c r="M162" s="399">
        <v>20</v>
      </c>
      <c r="N162" s="356">
        <v>337000</v>
      </c>
      <c r="O162" s="28" t="b">
        <f t="shared" si="14"/>
        <v>1</v>
      </c>
    </row>
    <row r="163" spans="2:15" s="28" customFormat="1" ht="16.5" customHeight="1">
      <c r="B163" s="20"/>
      <c r="C163" s="20"/>
      <c r="D163" s="254"/>
      <c r="E163" s="379">
        <v>128773</v>
      </c>
      <c r="F163" s="395" t="s">
        <v>766</v>
      </c>
      <c r="G163" s="396"/>
      <c r="H163" s="397"/>
      <c r="I163" s="383">
        <v>378870</v>
      </c>
      <c r="J163" s="398">
        <v>128773</v>
      </c>
      <c r="K163" s="399" t="s">
        <v>70</v>
      </c>
      <c r="L163" s="399" t="s">
        <v>34</v>
      </c>
      <c r="M163" s="399">
        <v>18.899999999999999</v>
      </c>
      <c r="N163" s="356">
        <v>346000</v>
      </c>
      <c r="O163" s="28" t="b">
        <f t="shared" si="14"/>
        <v>0</v>
      </c>
    </row>
    <row r="164" spans="2:15" s="28" customFormat="1" ht="16.5" customHeight="1">
      <c r="B164" s="20"/>
      <c r="C164" s="20"/>
      <c r="D164" s="254"/>
      <c r="E164" s="379">
        <v>129351</v>
      </c>
      <c r="F164" s="395" t="s">
        <v>266</v>
      </c>
      <c r="G164" s="396"/>
      <c r="H164" s="397"/>
      <c r="I164" s="383">
        <v>415000</v>
      </c>
      <c r="J164" s="398">
        <v>129351</v>
      </c>
      <c r="K164" s="399" t="s">
        <v>70</v>
      </c>
      <c r="L164" s="399" t="s">
        <v>34</v>
      </c>
      <c r="M164" s="399">
        <v>20</v>
      </c>
      <c r="N164" s="356">
        <v>415000</v>
      </c>
      <c r="O164" s="28" t="b">
        <f t="shared" si="14"/>
        <v>1</v>
      </c>
    </row>
    <row r="165" spans="2:15" s="28" customFormat="1" ht="16.5" customHeight="1">
      <c r="B165" s="20"/>
      <c r="C165" s="20"/>
      <c r="D165" s="254"/>
      <c r="E165" s="379">
        <v>129389</v>
      </c>
      <c r="F165" s="395" t="s">
        <v>459</v>
      </c>
      <c r="G165" s="396"/>
      <c r="H165" s="397"/>
      <c r="I165" s="383">
        <v>3962000</v>
      </c>
      <c r="J165" s="398">
        <v>129389</v>
      </c>
      <c r="K165" s="399" t="s">
        <v>71</v>
      </c>
      <c r="L165" s="399" t="s">
        <v>34</v>
      </c>
      <c r="M165" s="399">
        <v>208</v>
      </c>
      <c r="N165" s="356">
        <v>3962000</v>
      </c>
      <c r="O165" s="28" t="b">
        <f t="shared" si="14"/>
        <v>1</v>
      </c>
    </row>
    <row r="166" spans="2:15" s="28" customFormat="1" ht="16.5" customHeight="1">
      <c r="B166" s="20"/>
      <c r="C166" s="20"/>
      <c r="D166" s="254"/>
      <c r="E166" s="379">
        <v>130938</v>
      </c>
      <c r="F166" s="395" t="s">
        <v>461</v>
      </c>
      <c r="G166" s="396"/>
      <c r="H166" s="397"/>
      <c r="I166" s="383">
        <v>1918000</v>
      </c>
      <c r="J166" s="398">
        <v>130938</v>
      </c>
      <c r="K166" s="399" t="s">
        <v>71</v>
      </c>
      <c r="L166" s="399" t="s">
        <v>34</v>
      </c>
      <c r="M166" s="399">
        <v>181</v>
      </c>
      <c r="N166" s="356">
        <v>1918000</v>
      </c>
      <c r="O166" s="28" t="b">
        <f t="shared" si="14"/>
        <v>1</v>
      </c>
    </row>
    <row r="167" spans="2:15" s="28" customFormat="1" ht="16.5" customHeight="1">
      <c r="B167" s="20"/>
      <c r="C167" s="20"/>
      <c r="D167" s="254"/>
      <c r="E167" s="379">
        <v>130939</v>
      </c>
      <c r="F167" s="395" t="s">
        <v>267</v>
      </c>
      <c r="G167" s="396"/>
      <c r="H167" s="397"/>
      <c r="I167" s="383">
        <v>179000</v>
      </c>
      <c r="J167" s="398">
        <v>130939</v>
      </c>
      <c r="K167" s="399" t="s">
        <v>70</v>
      </c>
      <c r="L167" s="399" t="s">
        <v>34</v>
      </c>
      <c r="M167" s="399">
        <v>15.87</v>
      </c>
      <c r="N167" s="356">
        <v>179000</v>
      </c>
      <c r="O167" s="28" t="b">
        <f t="shared" si="14"/>
        <v>1</v>
      </c>
    </row>
    <row r="168" spans="2:15" s="28" customFormat="1" ht="16.5" customHeight="1">
      <c r="B168" s="20"/>
      <c r="C168" s="20"/>
      <c r="D168" s="254"/>
      <c r="E168" s="379">
        <v>131773</v>
      </c>
      <c r="F168" s="395" t="s">
        <v>462</v>
      </c>
      <c r="G168" s="396"/>
      <c r="H168" s="397"/>
      <c r="I168" s="383"/>
      <c r="J168" s="398">
        <v>131773</v>
      </c>
      <c r="K168" s="399" t="s">
        <v>71</v>
      </c>
      <c r="L168" s="399" t="s">
        <v>34</v>
      </c>
      <c r="M168" s="399">
        <v>208</v>
      </c>
      <c r="N168" s="356" t="e">
        <v>#N/A</v>
      </c>
      <c r="O168" s="28" t="e">
        <f t="shared" si="14"/>
        <v>#N/A</v>
      </c>
    </row>
    <row r="169" spans="2:15" s="28" customFormat="1" ht="16.5" customHeight="1">
      <c r="B169" s="20"/>
      <c r="C169" s="20"/>
      <c r="D169" s="254"/>
      <c r="E169" s="379">
        <v>132528</v>
      </c>
      <c r="F169" s="395" t="s">
        <v>270</v>
      </c>
      <c r="G169" s="396"/>
      <c r="H169" s="397"/>
      <c r="I169" s="383">
        <v>269000</v>
      </c>
      <c r="J169" s="398">
        <v>132528</v>
      </c>
      <c r="K169" s="399" t="s">
        <v>70</v>
      </c>
      <c r="L169" s="399" t="s">
        <v>34</v>
      </c>
      <c r="M169" s="399">
        <v>16</v>
      </c>
      <c r="N169" s="356">
        <v>269000</v>
      </c>
      <c r="O169" s="28" t="b">
        <f t="shared" si="14"/>
        <v>1</v>
      </c>
    </row>
    <row r="170" spans="2:15" s="28" customFormat="1" ht="16.5" customHeight="1">
      <c r="B170" s="20"/>
      <c r="C170" s="20"/>
      <c r="D170" s="254"/>
      <c r="E170" s="379">
        <v>132549</v>
      </c>
      <c r="F170" s="395" t="s">
        <v>463</v>
      </c>
      <c r="G170" s="396"/>
      <c r="H170" s="397"/>
      <c r="I170" s="383">
        <v>3029000</v>
      </c>
      <c r="J170" s="398">
        <v>132549</v>
      </c>
      <c r="K170" s="399" t="s">
        <v>71</v>
      </c>
      <c r="L170" s="399" t="s">
        <v>34</v>
      </c>
      <c r="M170" s="399">
        <v>208</v>
      </c>
      <c r="N170" s="356">
        <v>3029000</v>
      </c>
      <c r="O170" s="28" t="b">
        <f t="shared" si="14"/>
        <v>1</v>
      </c>
    </row>
    <row r="171" spans="2:15" s="28" customFormat="1" ht="16.5" customHeight="1">
      <c r="B171" s="20"/>
      <c r="C171" s="20"/>
      <c r="D171" s="254"/>
      <c r="E171" s="379">
        <v>132550</v>
      </c>
      <c r="F171" s="395" t="s">
        <v>464</v>
      </c>
      <c r="G171" s="396"/>
      <c r="H171" s="397"/>
      <c r="I171" s="383">
        <v>3173000</v>
      </c>
      <c r="J171" s="398">
        <v>132550</v>
      </c>
      <c r="K171" s="399" t="s">
        <v>71</v>
      </c>
      <c r="L171" s="399" t="s">
        <v>34</v>
      </c>
      <c r="M171" s="399">
        <v>208</v>
      </c>
      <c r="N171" s="356">
        <v>3173000</v>
      </c>
      <c r="O171" s="28" t="b">
        <f t="shared" si="14"/>
        <v>1</v>
      </c>
    </row>
    <row r="172" spans="2:15" s="28" customFormat="1" ht="16.5" customHeight="1">
      <c r="B172" s="20"/>
      <c r="C172" s="20"/>
      <c r="D172" s="254"/>
      <c r="E172" s="379">
        <v>132558</v>
      </c>
      <c r="F172" s="395" t="s">
        <v>465</v>
      </c>
      <c r="G172" s="396"/>
      <c r="H172" s="397"/>
      <c r="I172" s="383">
        <v>3541000</v>
      </c>
      <c r="J172" s="398">
        <v>132558</v>
      </c>
      <c r="K172" s="399" t="s">
        <v>71</v>
      </c>
      <c r="L172" s="399" t="s">
        <v>34</v>
      </c>
      <c r="M172" s="399">
        <v>208</v>
      </c>
      <c r="N172" s="356">
        <v>3541000</v>
      </c>
      <c r="O172" s="28" t="b">
        <f t="shared" si="14"/>
        <v>1</v>
      </c>
    </row>
    <row r="173" spans="2:15" s="28" customFormat="1" ht="16.5" customHeight="1">
      <c r="B173" s="20"/>
      <c r="C173" s="20"/>
      <c r="D173" s="254"/>
      <c r="E173" s="379">
        <v>140202</v>
      </c>
      <c r="F173" s="395" t="s">
        <v>377</v>
      </c>
      <c r="G173" s="396"/>
      <c r="H173" s="397"/>
      <c r="I173" s="383">
        <v>352000</v>
      </c>
      <c r="J173" s="398">
        <v>140202</v>
      </c>
      <c r="K173" s="399" t="s">
        <v>70</v>
      </c>
      <c r="L173" s="399" t="s">
        <v>34</v>
      </c>
      <c r="M173" s="399">
        <v>16</v>
      </c>
      <c r="N173" s="356">
        <v>352000</v>
      </c>
      <c r="O173" s="28" t="b">
        <f t="shared" si="14"/>
        <v>1</v>
      </c>
    </row>
    <row r="174" spans="2:15" s="28" customFormat="1" ht="16.5" customHeight="1">
      <c r="B174" s="20"/>
      <c r="C174" s="20"/>
      <c r="D174" s="254"/>
      <c r="E174" s="379">
        <v>140203</v>
      </c>
      <c r="F174" s="395" t="s">
        <v>273</v>
      </c>
      <c r="G174" s="396"/>
      <c r="H174" s="397"/>
      <c r="I174" s="383">
        <v>355000</v>
      </c>
      <c r="J174" s="398">
        <v>140203</v>
      </c>
      <c r="K174" s="399" t="s">
        <v>70</v>
      </c>
      <c r="L174" s="399" t="s">
        <v>34</v>
      </c>
      <c r="M174" s="399">
        <v>16</v>
      </c>
      <c r="N174" s="356">
        <v>355000</v>
      </c>
      <c r="O174" s="28" t="b">
        <f t="shared" si="14"/>
        <v>1</v>
      </c>
    </row>
    <row r="175" spans="2:15" s="28" customFormat="1" ht="16.5" customHeight="1">
      <c r="B175" s="20"/>
      <c r="C175" s="20"/>
      <c r="D175" s="254"/>
      <c r="E175" s="379">
        <v>132575</v>
      </c>
      <c r="F175" s="400" t="s">
        <v>274</v>
      </c>
      <c r="G175" s="401"/>
      <c r="H175" s="402"/>
      <c r="I175" s="383">
        <v>394000</v>
      </c>
      <c r="J175" s="398">
        <v>132575</v>
      </c>
      <c r="K175" s="399" t="s">
        <v>70</v>
      </c>
      <c r="L175" s="399" t="s">
        <v>34</v>
      </c>
      <c r="M175" s="399">
        <v>16</v>
      </c>
      <c r="N175" s="356">
        <v>394000</v>
      </c>
      <c r="O175" s="28" t="b">
        <f t="shared" si="14"/>
        <v>1</v>
      </c>
    </row>
    <row r="176" spans="2:15" s="28" customFormat="1" ht="16.5" customHeight="1">
      <c r="B176" s="20"/>
      <c r="C176" s="20"/>
      <c r="D176" s="254"/>
      <c r="E176" s="379">
        <v>132610</v>
      </c>
      <c r="F176" s="395" t="s">
        <v>466</v>
      </c>
      <c r="G176" s="396"/>
      <c r="H176" s="397"/>
      <c r="I176" s="383">
        <v>3730000</v>
      </c>
      <c r="J176" s="398">
        <v>132610</v>
      </c>
      <c r="K176" s="399" t="s">
        <v>71</v>
      </c>
      <c r="L176" s="399" t="s">
        <v>34</v>
      </c>
      <c r="M176" s="399">
        <v>174</v>
      </c>
      <c r="N176" s="356">
        <v>3730000</v>
      </c>
      <c r="O176" s="28" t="b">
        <f t="shared" si="14"/>
        <v>1</v>
      </c>
    </row>
    <row r="177" spans="2:15" s="28" customFormat="1" ht="16.5" customHeight="1">
      <c r="B177" s="20"/>
      <c r="C177" s="20"/>
      <c r="D177" s="254"/>
      <c r="E177" s="379">
        <v>132611</v>
      </c>
      <c r="F177" s="395" t="s">
        <v>275</v>
      </c>
      <c r="G177" s="396"/>
      <c r="H177" s="397"/>
      <c r="I177" s="383">
        <v>338000</v>
      </c>
      <c r="J177" s="398">
        <v>132611</v>
      </c>
      <c r="K177" s="399" t="s">
        <v>70</v>
      </c>
      <c r="L177" s="399" t="s">
        <v>34</v>
      </c>
      <c r="M177" s="399">
        <v>15.87</v>
      </c>
      <c r="N177" s="356">
        <v>338000</v>
      </c>
      <c r="O177" s="28" t="b">
        <f t="shared" si="14"/>
        <v>1</v>
      </c>
    </row>
    <row r="178" spans="2:15" s="28" customFormat="1" ht="16.5" customHeight="1">
      <c r="B178" s="20"/>
      <c r="C178" s="20"/>
      <c r="D178" s="254"/>
      <c r="E178" s="379">
        <v>140200</v>
      </c>
      <c r="F178" s="395" t="s">
        <v>276</v>
      </c>
      <c r="G178" s="396"/>
      <c r="H178" s="397"/>
      <c r="I178" s="383">
        <v>352000</v>
      </c>
      <c r="J178" s="398">
        <v>132642</v>
      </c>
      <c r="K178" s="399" t="s">
        <v>70</v>
      </c>
      <c r="L178" s="399" t="s">
        <v>34</v>
      </c>
      <c r="M178" s="399">
        <v>16</v>
      </c>
      <c r="N178" s="356">
        <v>351000</v>
      </c>
      <c r="O178" s="28" t="b">
        <f t="shared" si="14"/>
        <v>0</v>
      </c>
    </row>
    <row r="179" spans="2:15" s="28" customFormat="1" ht="16.5" customHeight="1">
      <c r="B179" s="20"/>
      <c r="C179" s="20"/>
      <c r="D179" s="254"/>
      <c r="E179" s="379">
        <v>132796</v>
      </c>
      <c r="F179" s="403" t="s">
        <v>278</v>
      </c>
      <c r="G179" s="404"/>
      <c r="H179" s="405"/>
      <c r="I179" s="383">
        <v>562000</v>
      </c>
      <c r="J179" s="398">
        <v>132796</v>
      </c>
      <c r="K179" s="406" t="s">
        <v>70</v>
      </c>
      <c r="L179" s="406" t="s">
        <v>34</v>
      </c>
      <c r="M179" s="406">
        <v>18</v>
      </c>
      <c r="N179" s="356">
        <v>562000</v>
      </c>
      <c r="O179" s="28" t="b">
        <f t="shared" si="14"/>
        <v>1</v>
      </c>
    </row>
    <row r="180" spans="2:15" s="28" customFormat="1" ht="16.5" customHeight="1">
      <c r="B180" s="20"/>
      <c r="C180" s="20"/>
      <c r="D180" s="254"/>
      <c r="E180" s="379">
        <v>132835</v>
      </c>
      <c r="F180" s="395" t="s">
        <v>474</v>
      </c>
      <c r="G180" s="396"/>
      <c r="H180" s="397"/>
      <c r="I180" s="383">
        <v>3480000</v>
      </c>
      <c r="J180" s="398">
        <v>132835</v>
      </c>
      <c r="K180" s="399" t="s">
        <v>71</v>
      </c>
      <c r="L180" s="399" t="s">
        <v>34</v>
      </c>
      <c r="M180" s="399">
        <v>208</v>
      </c>
      <c r="N180" s="356">
        <v>3480000</v>
      </c>
      <c r="O180" s="28" t="b">
        <f t="shared" si="14"/>
        <v>1</v>
      </c>
    </row>
    <row r="181" spans="2:15" s="28" customFormat="1" ht="16.5" customHeight="1">
      <c r="B181" s="20"/>
      <c r="C181" s="20"/>
      <c r="D181" s="254"/>
      <c r="E181" s="379">
        <v>133450</v>
      </c>
      <c r="F181" s="395" t="s">
        <v>475</v>
      </c>
      <c r="G181" s="396"/>
      <c r="H181" s="397"/>
      <c r="I181" s="383">
        <v>4688000</v>
      </c>
      <c r="J181" s="398">
        <v>133450</v>
      </c>
      <c r="K181" s="399" t="s">
        <v>71</v>
      </c>
      <c r="L181" s="399" t="s">
        <v>34</v>
      </c>
      <c r="M181" s="399">
        <v>208</v>
      </c>
      <c r="N181" s="356">
        <v>4688000</v>
      </c>
      <c r="O181" s="28" t="b">
        <f t="shared" si="14"/>
        <v>1</v>
      </c>
    </row>
    <row r="182" spans="2:15" s="28" customFormat="1" ht="16.5" customHeight="1">
      <c r="B182" s="20"/>
      <c r="C182" s="20"/>
      <c r="D182" s="254"/>
      <c r="E182" s="379">
        <v>134221</v>
      </c>
      <c r="F182" s="400" t="s">
        <v>476</v>
      </c>
      <c r="G182" s="401"/>
      <c r="H182" s="402"/>
      <c r="I182" s="383">
        <v>4412000</v>
      </c>
      <c r="J182" s="407">
        <v>134221</v>
      </c>
      <c r="K182" s="399" t="s">
        <v>71</v>
      </c>
      <c r="L182" s="399" t="s">
        <v>34</v>
      </c>
      <c r="M182" s="399">
        <v>216</v>
      </c>
      <c r="N182" s="356">
        <v>4412000</v>
      </c>
      <c r="O182" s="28" t="b">
        <f t="shared" si="14"/>
        <v>1</v>
      </c>
    </row>
    <row r="183" spans="2:15" s="28" customFormat="1" ht="16.5" customHeight="1">
      <c r="B183" s="20"/>
      <c r="C183" s="20"/>
      <c r="D183" s="254"/>
      <c r="E183" s="379">
        <v>134320</v>
      </c>
      <c r="F183" s="400" t="s">
        <v>477</v>
      </c>
      <c r="G183" s="396"/>
      <c r="H183" s="397"/>
      <c r="I183" s="383">
        <v>3144000</v>
      </c>
      <c r="J183" s="398">
        <v>134320</v>
      </c>
      <c r="K183" s="399" t="s">
        <v>71</v>
      </c>
      <c r="L183" s="399" t="s">
        <v>34</v>
      </c>
      <c r="M183" s="399">
        <v>208</v>
      </c>
      <c r="N183" s="356">
        <v>3144000</v>
      </c>
      <c r="O183" s="28" t="b">
        <f t="shared" si="14"/>
        <v>1</v>
      </c>
    </row>
    <row r="184" spans="2:15" s="28" customFormat="1" ht="16.5" customHeight="1">
      <c r="B184" s="20"/>
      <c r="C184" s="20"/>
      <c r="D184" s="254"/>
      <c r="E184" s="379">
        <v>134445</v>
      </c>
      <c r="F184" s="400" t="s">
        <v>239</v>
      </c>
      <c r="G184" s="396"/>
      <c r="H184" s="397"/>
      <c r="I184" s="383">
        <v>66900</v>
      </c>
      <c r="J184" s="398">
        <v>134445</v>
      </c>
      <c r="K184" s="399" t="s">
        <v>70</v>
      </c>
      <c r="L184" s="399" t="s">
        <v>34</v>
      </c>
      <c r="M184" s="399">
        <v>20</v>
      </c>
      <c r="N184" s="356">
        <v>66900</v>
      </c>
      <c r="O184" s="28" t="b">
        <f t="shared" si="14"/>
        <v>1</v>
      </c>
    </row>
    <row r="185" spans="2:15" s="28" customFormat="1" ht="16.5" customHeight="1">
      <c r="B185" s="20"/>
      <c r="C185" s="20"/>
      <c r="D185" s="254"/>
      <c r="E185" s="379">
        <v>134602</v>
      </c>
      <c r="F185" s="400" t="s">
        <v>481</v>
      </c>
      <c r="G185" s="396"/>
      <c r="H185" s="397"/>
      <c r="I185" s="383">
        <v>3680000</v>
      </c>
      <c r="J185" s="407">
        <v>134602</v>
      </c>
      <c r="K185" s="399" t="s">
        <v>71</v>
      </c>
      <c r="L185" s="399" t="s">
        <v>34</v>
      </c>
      <c r="M185" s="399">
        <v>208</v>
      </c>
      <c r="N185" s="356">
        <v>3680000</v>
      </c>
      <c r="O185" s="28" t="b">
        <f t="shared" si="14"/>
        <v>1</v>
      </c>
    </row>
    <row r="186" spans="2:15" s="28" customFormat="1" ht="16.5" customHeight="1">
      <c r="B186" s="20"/>
      <c r="C186" s="20"/>
      <c r="D186" s="254"/>
      <c r="E186" s="379">
        <v>134604</v>
      </c>
      <c r="F186" s="400" t="s">
        <v>280</v>
      </c>
      <c r="G186" s="396"/>
      <c r="H186" s="397"/>
      <c r="I186" s="383">
        <v>120000</v>
      </c>
      <c r="J186" s="398">
        <v>134604</v>
      </c>
      <c r="K186" s="399" t="s">
        <v>70</v>
      </c>
      <c r="L186" s="399" t="s">
        <v>34</v>
      </c>
      <c r="M186" s="399">
        <v>16</v>
      </c>
      <c r="N186" s="356">
        <v>120000</v>
      </c>
      <c r="O186" s="28" t="b">
        <f t="shared" si="14"/>
        <v>1</v>
      </c>
    </row>
    <row r="187" spans="2:15" s="28" customFormat="1" ht="16.5" customHeight="1">
      <c r="B187" s="20"/>
      <c r="C187" s="20"/>
      <c r="D187" s="254"/>
      <c r="E187" s="379">
        <v>134884</v>
      </c>
      <c r="F187" s="400" t="s">
        <v>281</v>
      </c>
      <c r="G187" s="396"/>
      <c r="H187" s="397"/>
      <c r="I187" s="383">
        <v>80500</v>
      </c>
      <c r="J187" s="407">
        <v>134884</v>
      </c>
      <c r="K187" s="399" t="s">
        <v>70</v>
      </c>
      <c r="L187" s="399" t="s">
        <v>34</v>
      </c>
      <c r="M187" s="399">
        <v>20</v>
      </c>
      <c r="N187" s="356">
        <v>80500</v>
      </c>
      <c r="O187" s="28" t="b">
        <f t="shared" si="14"/>
        <v>1</v>
      </c>
    </row>
    <row r="188" spans="2:15" s="28" customFormat="1" ht="16.5" customHeight="1">
      <c r="B188" s="20"/>
      <c r="C188" s="20"/>
      <c r="D188" s="254"/>
      <c r="E188" s="379">
        <v>134937</v>
      </c>
      <c r="F188" s="400" t="s">
        <v>486</v>
      </c>
      <c r="G188" s="396"/>
      <c r="H188" s="397"/>
      <c r="I188" s="383">
        <v>3079000</v>
      </c>
      <c r="J188" s="407">
        <v>134937</v>
      </c>
      <c r="K188" s="399" t="s">
        <v>71</v>
      </c>
      <c r="L188" s="399" t="s">
        <v>34</v>
      </c>
      <c r="M188" s="399">
        <v>208</v>
      </c>
      <c r="N188" s="356">
        <v>3079000</v>
      </c>
      <c r="O188" s="28" t="b">
        <f t="shared" si="14"/>
        <v>1</v>
      </c>
    </row>
    <row r="189" spans="2:15" s="28" customFormat="1" ht="16.5" customHeight="1">
      <c r="B189" s="20"/>
      <c r="C189" s="20"/>
      <c r="D189" s="254"/>
      <c r="E189" s="379">
        <v>134962</v>
      </c>
      <c r="F189" s="395" t="s">
        <v>47</v>
      </c>
      <c r="G189" s="396"/>
      <c r="H189" s="397"/>
      <c r="I189" s="383">
        <v>364000</v>
      </c>
      <c r="J189" s="398">
        <v>134962</v>
      </c>
      <c r="K189" s="399" t="s">
        <v>70</v>
      </c>
      <c r="L189" s="399" t="s">
        <v>34</v>
      </c>
      <c r="M189" s="399">
        <v>20</v>
      </c>
      <c r="N189" s="356">
        <v>364000</v>
      </c>
      <c r="O189" s="28" t="b">
        <f t="shared" si="14"/>
        <v>1</v>
      </c>
    </row>
    <row r="190" spans="2:15" s="28" customFormat="1" ht="16.5" customHeight="1">
      <c r="B190" s="20"/>
      <c r="C190" s="20"/>
      <c r="D190" s="254"/>
      <c r="E190" s="379">
        <v>134995</v>
      </c>
      <c r="F190" s="395" t="s">
        <v>283</v>
      </c>
      <c r="G190" s="396"/>
      <c r="H190" s="397"/>
      <c r="I190" s="383">
        <v>475000</v>
      </c>
      <c r="J190" s="398">
        <v>134995</v>
      </c>
      <c r="K190" s="399" t="s">
        <v>70</v>
      </c>
      <c r="L190" s="399" t="s">
        <v>34</v>
      </c>
      <c r="M190" s="399">
        <v>16</v>
      </c>
      <c r="N190" s="356">
        <v>475000</v>
      </c>
      <c r="O190" s="28" t="b">
        <f t="shared" si="14"/>
        <v>1</v>
      </c>
    </row>
    <row r="191" spans="2:15" s="28" customFormat="1" ht="16.5" customHeight="1">
      <c r="B191" s="20"/>
      <c r="C191" s="20"/>
      <c r="D191" s="254"/>
      <c r="E191" s="379">
        <v>134997</v>
      </c>
      <c r="F191" s="408" t="s">
        <v>284</v>
      </c>
      <c r="G191" s="409"/>
      <c r="H191" s="410"/>
      <c r="I191" s="383">
        <v>316000</v>
      </c>
      <c r="J191" s="398">
        <v>134997</v>
      </c>
      <c r="K191" s="378" t="s">
        <v>70</v>
      </c>
      <c r="L191" s="378" t="s">
        <v>34</v>
      </c>
      <c r="M191" s="378">
        <v>15.87</v>
      </c>
      <c r="N191" s="356">
        <v>316000</v>
      </c>
      <c r="O191" s="28" t="b">
        <f t="shared" si="14"/>
        <v>1</v>
      </c>
    </row>
    <row r="192" spans="2:15" s="28" customFormat="1" ht="16.5" customHeight="1">
      <c r="B192" s="20"/>
      <c r="C192" s="20"/>
      <c r="D192" s="254"/>
      <c r="E192" s="379">
        <v>134999</v>
      </c>
      <c r="F192" s="395" t="s">
        <v>285</v>
      </c>
      <c r="G192" s="396"/>
      <c r="H192" s="397"/>
      <c r="I192" s="383">
        <v>476000</v>
      </c>
      <c r="J192" s="398">
        <v>134999</v>
      </c>
      <c r="K192" s="399" t="s">
        <v>70</v>
      </c>
      <c r="L192" s="399" t="s">
        <v>34</v>
      </c>
      <c r="M192" s="399">
        <v>15.87</v>
      </c>
      <c r="N192" s="356">
        <v>476000</v>
      </c>
      <c r="O192" s="28" t="b">
        <f t="shared" si="14"/>
        <v>1</v>
      </c>
    </row>
    <row r="193" spans="2:15" s="28" customFormat="1" ht="16.5" customHeight="1">
      <c r="B193" s="20"/>
      <c r="C193" s="20"/>
      <c r="D193" s="254"/>
      <c r="E193" s="379">
        <v>135000</v>
      </c>
      <c r="F193" s="395" t="s">
        <v>487</v>
      </c>
      <c r="G193" s="396"/>
      <c r="H193" s="397"/>
      <c r="I193" s="383">
        <v>2918000</v>
      </c>
      <c r="J193" s="398">
        <v>135000</v>
      </c>
      <c r="K193" s="399" t="s">
        <v>71</v>
      </c>
      <c r="L193" s="399" t="s">
        <v>34</v>
      </c>
      <c r="M193" s="399">
        <v>208</v>
      </c>
      <c r="N193" s="356">
        <v>2918000</v>
      </c>
      <c r="O193" s="28" t="b">
        <f t="shared" si="14"/>
        <v>1</v>
      </c>
    </row>
    <row r="194" spans="2:15" s="28" customFormat="1" ht="16.5" customHeight="1">
      <c r="B194" s="20"/>
      <c r="C194" s="20"/>
      <c r="D194" s="254"/>
      <c r="E194" s="379">
        <v>135002</v>
      </c>
      <c r="F194" s="395" t="s">
        <v>286</v>
      </c>
      <c r="G194" s="396"/>
      <c r="H194" s="397"/>
      <c r="I194" s="383">
        <v>364000</v>
      </c>
      <c r="J194" s="398">
        <v>135002</v>
      </c>
      <c r="K194" s="399" t="s">
        <v>70</v>
      </c>
      <c r="L194" s="399" t="s">
        <v>34</v>
      </c>
      <c r="M194" s="399">
        <v>20</v>
      </c>
      <c r="N194" s="356">
        <v>364000</v>
      </c>
      <c r="O194" s="28" t="b">
        <f t="shared" si="14"/>
        <v>1</v>
      </c>
    </row>
    <row r="195" spans="2:15" s="28" customFormat="1" ht="16.5" customHeight="1">
      <c r="B195" s="20"/>
      <c r="C195" s="20"/>
      <c r="D195" s="254"/>
      <c r="E195" s="379">
        <v>135004</v>
      </c>
      <c r="F195" s="395" t="s">
        <v>287</v>
      </c>
      <c r="G195" s="396"/>
      <c r="H195" s="397"/>
      <c r="I195" s="383">
        <v>300000</v>
      </c>
      <c r="J195" s="398">
        <v>135004</v>
      </c>
      <c r="K195" s="399" t="s">
        <v>70</v>
      </c>
      <c r="L195" s="399" t="s">
        <v>34</v>
      </c>
      <c r="M195" s="399">
        <v>18.899999999999999</v>
      </c>
      <c r="N195" s="356">
        <v>300000</v>
      </c>
      <c r="O195" s="28" t="b">
        <f t="shared" si="14"/>
        <v>1</v>
      </c>
    </row>
    <row r="196" spans="2:15" s="28" customFormat="1" ht="16.5" customHeight="1">
      <c r="B196" s="20"/>
      <c r="C196" s="20"/>
      <c r="D196" s="254"/>
      <c r="E196" s="379">
        <v>135008</v>
      </c>
      <c r="F196" s="395" t="s">
        <v>288</v>
      </c>
      <c r="G196" s="396"/>
      <c r="H196" s="397"/>
      <c r="I196" s="383">
        <v>274000</v>
      </c>
      <c r="J196" s="398">
        <v>135008</v>
      </c>
      <c r="K196" s="399" t="s">
        <v>70</v>
      </c>
      <c r="L196" s="399" t="s">
        <v>34</v>
      </c>
      <c r="M196" s="399">
        <v>20</v>
      </c>
      <c r="N196" s="356">
        <v>274000</v>
      </c>
      <c r="O196" s="28" t="b">
        <f t="shared" si="14"/>
        <v>1</v>
      </c>
    </row>
    <row r="197" spans="2:15" s="28" customFormat="1" ht="16.5" customHeight="1">
      <c r="B197" s="20"/>
      <c r="C197" s="20"/>
      <c r="D197" s="254"/>
      <c r="E197" s="379">
        <v>135010</v>
      </c>
      <c r="F197" s="395" t="s">
        <v>488</v>
      </c>
      <c r="G197" s="396"/>
      <c r="H197" s="397"/>
      <c r="I197" s="383">
        <v>3777000</v>
      </c>
      <c r="J197" s="398">
        <v>135010</v>
      </c>
      <c r="K197" s="399" t="s">
        <v>71</v>
      </c>
      <c r="L197" s="399" t="s">
        <v>34</v>
      </c>
      <c r="M197" s="399">
        <v>174</v>
      </c>
      <c r="N197" s="356">
        <v>3777000</v>
      </c>
      <c r="O197" s="28" t="b">
        <f t="shared" si="14"/>
        <v>1</v>
      </c>
    </row>
    <row r="198" spans="2:15" s="28" customFormat="1" ht="16.5" customHeight="1">
      <c r="B198" s="20"/>
      <c r="C198" s="20"/>
      <c r="D198" s="254"/>
      <c r="E198" s="379">
        <v>135013</v>
      </c>
      <c r="F198" s="395" t="s">
        <v>489</v>
      </c>
      <c r="G198" s="396"/>
      <c r="H198" s="397"/>
      <c r="I198" s="383">
        <v>2922000</v>
      </c>
      <c r="J198" s="398">
        <v>135013</v>
      </c>
      <c r="K198" s="399" t="s">
        <v>71</v>
      </c>
      <c r="L198" s="399" t="s">
        <v>34</v>
      </c>
      <c r="M198" s="399">
        <v>208</v>
      </c>
      <c r="N198" s="356">
        <v>2922000</v>
      </c>
      <c r="O198" s="28" t="b">
        <f t="shared" si="14"/>
        <v>1</v>
      </c>
    </row>
    <row r="199" spans="2:15" s="28" customFormat="1" ht="16.5" customHeight="1">
      <c r="B199" s="20"/>
      <c r="C199" s="20"/>
      <c r="D199" s="254"/>
      <c r="E199" s="379">
        <v>135014</v>
      </c>
      <c r="F199" s="395" t="s">
        <v>490</v>
      </c>
      <c r="G199" s="396"/>
      <c r="H199" s="397"/>
      <c r="I199" s="383">
        <v>3151000</v>
      </c>
      <c r="J199" s="398">
        <v>135014</v>
      </c>
      <c r="K199" s="399" t="s">
        <v>71</v>
      </c>
      <c r="L199" s="399" t="s">
        <v>34</v>
      </c>
      <c r="M199" s="399">
        <v>208</v>
      </c>
      <c r="N199" s="356">
        <v>3151000</v>
      </c>
      <c r="O199" s="28" t="b">
        <f t="shared" si="14"/>
        <v>1</v>
      </c>
    </row>
    <row r="200" spans="2:15" s="28" customFormat="1" ht="16.5" customHeight="1">
      <c r="B200" s="20"/>
      <c r="C200" s="20"/>
      <c r="D200" s="254"/>
      <c r="E200" s="379">
        <v>135016</v>
      </c>
      <c r="F200" s="395" t="s">
        <v>289</v>
      </c>
      <c r="G200" s="396"/>
      <c r="H200" s="397"/>
      <c r="I200" s="383">
        <v>353000</v>
      </c>
      <c r="J200" s="398">
        <v>135016</v>
      </c>
      <c r="K200" s="399" t="s">
        <v>70</v>
      </c>
      <c r="L200" s="399" t="s">
        <v>34</v>
      </c>
      <c r="M200" s="399">
        <v>20</v>
      </c>
      <c r="N200" s="356">
        <v>353000</v>
      </c>
      <c r="O200" s="28" t="b">
        <f t="shared" si="14"/>
        <v>1</v>
      </c>
    </row>
    <row r="201" spans="2:15" s="28" customFormat="1" ht="16.5" customHeight="1">
      <c r="B201" s="20"/>
      <c r="C201" s="20"/>
      <c r="D201" s="254"/>
      <c r="E201" s="379">
        <v>135152</v>
      </c>
      <c r="F201" s="395" t="s">
        <v>290</v>
      </c>
      <c r="G201" s="396"/>
      <c r="H201" s="397"/>
      <c r="I201" s="383">
        <v>327000</v>
      </c>
      <c r="J201" s="398">
        <v>135152</v>
      </c>
      <c r="K201" s="399" t="s">
        <v>70</v>
      </c>
      <c r="L201" s="399" t="s">
        <v>34</v>
      </c>
      <c r="M201" s="399">
        <v>20</v>
      </c>
      <c r="N201" s="356">
        <v>327000</v>
      </c>
      <c r="O201" s="28" t="b">
        <f t="shared" si="14"/>
        <v>1</v>
      </c>
    </row>
    <row r="202" spans="2:15" s="28" customFormat="1" ht="16.5" customHeight="1">
      <c r="B202" s="20"/>
      <c r="C202" s="20"/>
      <c r="D202" s="254"/>
      <c r="E202" s="379">
        <v>135153</v>
      </c>
      <c r="F202" s="395" t="s">
        <v>291</v>
      </c>
      <c r="G202" s="396"/>
      <c r="H202" s="397"/>
      <c r="I202" s="383">
        <v>277000</v>
      </c>
      <c r="J202" s="398">
        <v>135153</v>
      </c>
      <c r="K202" s="399" t="s">
        <v>70</v>
      </c>
      <c r="L202" s="399" t="s">
        <v>34</v>
      </c>
      <c r="M202" s="399">
        <v>20</v>
      </c>
      <c r="N202" s="356">
        <v>277000</v>
      </c>
      <c r="O202" s="28" t="b">
        <f t="shared" si="14"/>
        <v>1</v>
      </c>
    </row>
    <row r="203" spans="2:15" s="28" customFormat="1" ht="16.5" customHeight="1">
      <c r="B203" s="20"/>
      <c r="C203" s="20"/>
      <c r="D203" s="254"/>
      <c r="E203" s="379">
        <v>135179</v>
      </c>
      <c r="F203" s="395" t="s">
        <v>491</v>
      </c>
      <c r="G203" s="396"/>
      <c r="H203" s="397"/>
      <c r="I203" s="383">
        <v>2733000</v>
      </c>
      <c r="J203" s="398">
        <v>135179</v>
      </c>
      <c r="K203" s="399" t="s">
        <v>71</v>
      </c>
      <c r="L203" s="399" t="s">
        <v>34</v>
      </c>
      <c r="M203" s="399">
        <v>208</v>
      </c>
      <c r="N203" s="356">
        <v>2733000</v>
      </c>
      <c r="O203" s="28" t="b">
        <f t="shared" si="14"/>
        <v>1</v>
      </c>
    </row>
    <row r="204" spans="2:15" s="28" customFormat="1" ht="16.5" customHeight="1">
      <c r="B204" s="20"/>
      <c r="C204" s="20"/>
      <c r="D204" s="254"/>
      <c r="E204" s="379">
        <v>135180</v>
      </c>
      <c r="F204" s="395" t="s">
        <v>492</v>
      </c>
      <c r="G204" s="401"/>
      <c r="H204" s="402"/>
      <c r="I204" s="383">
        <v>3124000</v>
      </c>
      <c r="J204" s="398">
        <v>135180</v>
      </c>
      <c r="K204" s="399" t="s">
        <v>71</v>
      </c>
      <c r="L204" s="399" t="s">
        <v>34</v>
      </c>
      <c r="M204" s="399">
        <v>208</v>
      </c>
      <c r="N204" s="356">
        <v>3124000</v>
      </c>
      <c r="O204" s="28" t="b">
        <f t="shared" si="14"/>
        <v>1</v>
      </c>
    </row>
    <row r="205" spans="2:15" s="28" customFormat="1" ht="16.5" customHeight="1">
      <c r="B205" s="20"/>
      <c r="C205" s="20"/>
      <c r="D205" s="254"/>
      <c r="E205" s="379">
        <v>135181</v>
      </c>
      <c r="F205" s="395" t="s">
        <v>292</v>
      </c>
      <c r="G205" s="396"/>
      <c r="H205" s="397"/>
      <c r="I205" s="383">
        <v>269000</v>
      </c>
      <c r="J205" s="398">
        <v>135181</v>
      </c>
      <c r="K205" s="399" t="s">
        <v>70</v>
      </c>
      <c r="L205" s="399" t="s">
        <v>34</v>
      </c>
      <c r="M205" s="399">
        <v>20</v>
      </c>
      <c r="N205" s="356">
        <v>269000</v>
      </c>
      <c r="O205" s="28" t="b">
        <f t="shared" si="14"/>
        <v>1</v>
      </c>
    </row>
    <row r="206" spans="2:15" s="28" customFormat="1" ht="16.5" customHeight="1">
      <c r="B206" s="20"/>
      <c r="C206" s="20"/>
      <c r="D206" s="254"/>
      <c r="E206" s="379">
        <v>135182</v>
      </c>
      <c r="F206" s="395" t="s">
        <v>493</v>
      </c>
      <c r="G206" s="396"/>
      <c r="H206" s="397"/>
      <c r="I206" s="383">
        <v>2995000</v>
      </c>
      <c r="J206" s="398">
        <v>135182</v>
      </c>
      <c r="K206" s="399" t="s">
        <v>71</v>
      </c>
      <c r="L206" s="399" t="s">
        <v>34</v>
      </c>
      <c r="M206" s="399">
        <v>208</v>
      </c>
      <c r="N206" s="356">
        <v>2995000</v>
      </c>
      <c r="O206" s="28" t="b">
        <f t="shared" si="14"/>
        <v>1</v>
      </c>
    </row>
    <row r="207" spans="2:15" s="28" customFormat="1" ht="16.5" customHeight="1">
      <c r="B207" s="20"/>
      <c r="C207" s="20"/>
      <c r="D207" s="254"/>
      <c r="E207" s="379">
        <v>135183</v>
      </c>
      <c r="F207" s="395" t="s">
        <v>293</v>
      </c>
      <c r="G207" s="396"/>
      <c r="H207" s="397"/>
      <c r="I207" s="383">
        <v>302000</v>
      </c>
      <c r="J207" s="398">
        <v>135183</v>
      </c>
      <c r="K207" s="399" t="s">
        <v>70</v>
      </c>
      <c r="L207" s="399" t="s">
        <v>34</v>
      </c>
      <c r="M207" s="399">
        <v>20</v>
      </c>
      <c r="N207" s="356">
        <v>302000</v>
      </c>
      <c r="O207" s="28" t="b">
        <f t="shared" si="14"/>
        <v>1</v>
      </c>
    </row>
    <row r="208" spans="2:15" s="28" customFormat="1" ht="16.5" customHeight="1">
      <c r="B208" s="20"/>
      <c r="C208" s="20"/>
      <c r="D208" s="254"/>
      <c r="E208" s="379">
        <v>135184</v>
      </c>
      <c r="F208" s="395" t="s">
        <v>494</v>
      </c>
      <c r="G208" s="396"/>
      <c r="H208" s="397"/>
      <c r="I208" s="383">
        <v>3255000</v>
      </c>
      <c r="J208" s="398">
        <v>135184</v>
      </c>
      <c r="K208" s="399" t="s">
        <v>71</v>
      </c>
      <c r="L208" s="399" t="s">
        <v>34</v>
      </c>
      <c r="M208" s="399">
        <v>208</v>
      </c>
      <c r="N208" s="356">
        <v>3255000</v>
      </c>
      <c r="O208" s="28" t="b">
        <f t="shared" si="14"/>
        <v>1</v>
      </c>
    </row>
    <row r="209" spans="2:15" s="28" customFormat="1" ht="16.5" customHeight="1">
      <c r="B209" s="20"/>
      <c r="C209" s="20"/>
      <c r="D209" s="254"/>
      <c r="E209" s="379">
        <v>135185</v>
      </c>
      <c r="F209" s="395" t="s">
        <v>495</v>
      </c>
      <c r="G209" s="396"/>
      <c r="H209" s="397"/>
      <c r="I209" s="383">
        <v>3450000</v>
      </c>
      <c r="J209" s="398">
        <v>135185</v>
      </c>
      <c r="K209" s="399" t="s">
        <v>71</v>
      </c>
      <c r="L209" s="399" t="s">
        <v>34</v>
      </c>
      <c r="M209" s="399">
        <v>208</v>
      </c>
      <c r="N209" s="356">
        <v>3450000</v>
      </c>
      <c r="O209" s="28" t="b">
        <f t="shared" si="14"/>
        <v>1</v>
      </c>
    </row>
    <row r="210" spans="2:15" s="28" customFormat="1" ht="16.5" customHeight="1">
      <c r="B210" s="20"/>
      <c r="C210" s="20"/>
      <c r="D210" s="254"/>
      <c r="E210" s="379">
        <v>135186</v>
      </c>
      <c r="F210" s="395" t="s">
        <v>496</v>
      </c>
      <c r="G210" s="396"/>
      <c r="H210" s="397"/>
      <c r="I210" s="383">
        <v>3644000</v>
      </c>
      <c r="J210" s="398">
        <v>135186</v>
      </c>
      <c r="K210" s="399" t="s">
        <v>71</v>
      </c>
      <c r="L210" s="399" t="s">
        <v>34</v>
      </c>
      <c r="M210" s="399">
        <v>208</v>
      </c>
      <c r="N210" s="356">
        <v>3644000</v>
      </c>
      <c r="O210" s="28" t="b">
        <f t="shared" si="14"/>
        <v>1</v>
      </c>
    </row>
    <row r="211" spans="2:15" s="28" customFormat="1" ht="16.5" customHeight="1">
      <c r="B211" s="20"/>
      <c r="C211" s="20"/>
      <c r="D211" s="254"/>
      <c r="E211" s="379">
        <v>135187</v>
      </c>
      <c r="F211" s="395" t="s">
        <v>497</v>
      </c>
      <c r="G211" s="396"/>
      <c r="H211" s="397"/>
      <c r="I211" s="383">
        <v>3124000</v>
      </c>
      <c r="J211" s="398">
        <v>135187</v>
      </c>
      <c r="K211" s="399" t="s">
        <v>71</v>
      </c>
      <c r="L211" s="399" t="s">
        <v>34</v>
      </c>
      <c r="M211" s="399">
        <v>208</v>
      </c>
      <c r="N211" s="356">
        <v>3124000</v>
      </c>
      <c r="O211" s="28" t="b">
        <f t="shared" si="14"/>
        <v>1</v>
      </c>
    </row>
    <row r="212" spans="2:15" s="28" customFormat="1" ht="16.5" customHeight="1">
      <c r="B212" s="20"/>
      <c r="C212" s="20"/>
      <c r="D212" s="254"/>
      <c r="E212" s="379">
        <v>135188</v>
      </c>
      <c r="F212" s="395" t="s">
        <v>294</v>
      </c>
      <c r="G212" s="396"/>
      <c r="H212" s="397"/>
      <c r="I212" s="383">
        <v>315000</v>
      </c>
      <c r="J212" s="398">
        <v>135188</v>
      </c>
      <c r="K212" s="399" t="s">
        <v>70</v>
      </c>
      <c r="L212" s="399" t="s">
        <v>34</v>
      </c>
      <c r="M212" s="399">
        <v>20</v>
      </c>
      <c r="N212" s="356">
        <v>315000</v>
      </c>
      <c r="O212" s="28" t="b">
        <f t="shared" si="14"/>
        <v>1</v>
      </c>
    </row>
    <row r="213" spans="2:15" s="28" customFormat="1" ht="16.5" customHeight="1">
      <c r="B213" s="20"/>
      <c r="C213" s="20"/>
      <c r="D213" s="254"/>
      <c r="E213" s="379">
        <v>135190</v>
      </c>
      <c r="F213" s="395" t="s">
        <v>295</v>
      </c>
      <c r="G213" s="396"/>
      <c r="H213" s="397"/>
      <c r="I213" s="383">
        <v>346000</v>
      </c>
      <c r="J213" s="398">
        <v>135190</v>
      </c>
      <c r="K213" s="399" t="s">
        <v>70</v>
      </c>
      <c r="L213" s="399" t="s">
        <v>34</v>
      </c>
      <c r="M213" s="399">
        <v>20</v>
      </c>
      <c r="N213" s="356">
        <v>346000</v>
      </c>
      <c r="O213" s="28" t="b">
        <f t="shared" si="14"/>
        <v>1</v>
      </c>
    </row>
    <row r="214" spans="2:15" s="28" customFormat="1" ht="16.5" customHeight="1">
      <c r="B214" s="20"/>
      <c r="C214" s="20"/>
      <c r="D214" s="254"/>
      <c r="E214" s="379">
        <v>135249</v>
      </c>
      <c r="F214" s="395" t="s">
        <v>498</v>
      </c>
      <c r="G214" s="401"/>
      <c r="H214" s="402"/>
      <c r="I214" s="383">
        <v>1871000</v>
      </c>
      <c r="J214" s="398">
        <v>135249</v>
      </c>
      <c r="K214" s="399" t="s">
        <v>71</v>
      </c>
      <c r="L214" s="399" t="s">
        <v>34</v>
      </c>
      <c r="M214" s="399">
        <v>180</v>
      </c>
      <c r="N214" s="356">
        <v>1871000</v>
      </c>
      <c r="O214" s="28" t="b">
        <f t="shared" si="14"/>
        <v>1</v>
      </c>
    </row>
    <row r="215" spans="2:15" s="28" customFormat="1" ht="16.5" customHeight="1">
      <c r="B215" s="20"/>
      <c r="C215" s="20"/>
      <c r="D215" s="254"/>
      <c r="E215" s="379">
        <v>135304</v>
      </c>
      <c r="F215" s="395" t="s">
        <v>499</v>
      </c>
      <c r="G215" s="396"/>
      <c r="H215" s="397"/>
      <c r="I215" s="383">
        <v>3473000</v>
      </c>
      <c r="J215" s="398">
        <v>135304</v>
      </c>
      <c r="K215" s="399" t="s">
        <v>71</v>
      </c>
      <c r="L215" s="399" t="s">
        <v>34</v>
      </c>
      <c r="M215" s="399">
        <v>208</v>
      </c>
      <c r="N215" s="356">
        <v>3473000</v>
      </c>
      <c r="O215" s="28" t="b">
        <f t="shared" si="14"/>
        <v>1</v>
      </c>
    </row>
    <row r="216" spans="2:15" s="28" customFormat="1" ht="16.5" customHeight="1">
      <c r="B216" s="20"/>
      <c r="C216" s="20"/>
      <c r="D216" s="254"/>
      <c r="E216" s="379">
        <v>135361</v>
      </c>
      <c r="F216" s="395" t="s">
        <v>296</v>
      </c>
      <c r="G216" s="396"/>
      <c r="H216" s="397"/>
      <c r="I216" s="383">
        <v>317000</v>
      </c>
      <c r="J216" s="398">
        <v>135361</v>
      </c>
      <c r="K216" s="399" t="s">
        <v>70</v>
      </c>
      <c r="L216" s="399" t="s">
        <v>34</v>
      </c>
      <c r="M216" s="399">
        <v>18.899999999999999</v>
      </c>
      <c r="N216" s="356">
        <v>317000</v>
      </c>
      <c r="O216" s="28" t="b">
        <f t="shared" si="14"/>
        <v>1</v>
      </c>
    </row>
    <row r="217" spans="2:15" s="28" customFormat="1" ht="16.5" customHeight="1">
      <c r="B217" s="20"/>
      <c r="C217" s="20"/>
      <c r="D217" s="254"/>
      <c r="E217" s="379">
        <v>135421</v>
      </c>
      <c r="F217" s="395" t="s">
        <v>500</v>
      </c>
      <c r="G217" s="396"/>
      <c r="H217" s="397"/>
      <c r="I217" s="383">
        <v>5049000</v>
      </c>
      <c r="J217" s="398">
        <v>135421</v>
      </c>
      <c r="K217" s="399" t="s">
        <v>71</v>
      </c>
      <c r="L217" s="399" t="s">
        <v>34</v>
      </c>
      <c r="M217" s="399">
        <v>208</v>
      </c>
      <c r="N217" s="356">
        <v>5049000</v>
      </c>
      <c r="O217" s="28" t="b">
        <f t="shared" si="14"/>
        <v>1</v>
      </c>
    </row>
    <row r="218" spans="2:15" s="28" customFormat="1" ht="16.5" customHeight="1">
      <c r="B218" s="20"/>
      <c r="C218" s="20"/>
      <c r="D218" s="254"/>
      <c r="E218" s="379">
        <v>135431</v>
      </c>
      <c r="F218" s="395" t="s">
        <v>501</v>
      </c>
      <c r="G218" s="396"/>
      <c r="H218" s="397"/>
      <c r="I218" s="383">
        <v>3873000</v>
      </c>
      <c r="J218" s="398">
        <v>135431</v>
      </c>
      <c r="K218" s="399" t="s">
        <v>71</v>
      </c>
      <c r="L218" s="399" t="s">
        <v>34</v>
      </c>
      <c r="M218" s="399">
        <v>177</v>
      </c>
      <c r="N218" s="356">
        <v>3873000</v>
      </c>
      <c r="O218" s="28" t="b">
        <f t="shared" ref="O218:O281" si="15">I218=N218</f>
        <v>1</v>
      </c>
    </row>
    <row r="219" spans="2:15" s="28" customFormat="1" ht="16.5" customHeight="1">
      <c r="B219" s="20"/>
      <c r="C219" s="20"/>
      <c r="D219" s="254"/>
      <c r="E219" s="379">
        <v>135432</v>
      </c>
      <c r="F219" s="395" t="s">
        <v>502</v>
      </c>
      <c r="G219" s="396"/>
      <c r="H219" s="397"/>
      <c r="I219" s="383">
        <v>3962000</v>
      </c>
      <c r="J219" s="398">
        <v>135432</v>
      </c>
      <c r="K219" s="399" t="s">
        <v>71</v>
      </c>
      <c r="L219" s="399" t="s">
        <v>34</v>
      </c>
      <c r="M219" s="399">
        <v>177</v>
      </c>
      <c r="N219" s="356">
        <v>3962000</v>
      </c>
      <c r="O219" s="28" t="b">
        <f t="shared" si="15"/>
        <v>1</v>
      </c>
    </row>
    <row r="220" spans="2:15" s="28" customFormat="1" ht="16.5" customHeight="1">
      <c r="B220" s="20"/>
      <c r="C220" s="20"/>
      <c r="D220" s="254"/>
      <c r="E220" s="379">
        <v>135437</v>
      </c>
      <c r="F220" s="395" t="s">
        <v>503</v>
      </c>
      <c r="G220" s="396"/>
      <c r="H220" s="397"/>
      <c r="I220" s="383">
        <v>3634000</v>
      </c>
      <c r="J220" s="398">
        <v>135437</v>
      </c>
      <c r="K220" s="399" t="s">
        <v>71</v>
      </c>
      <c r="L220" s="399" t="s">
        <v>34</v>
      </c>
      <c r="M220" s="399">
        <v>176.9</v>
      </c>
      <c r="N220" s="356">
        <v>3634000</v>
      </c>
      <c r="O220" s="28" t="b">
        <f t="shared" si="15"/>
        <v>1</v>
      </c>
    </row>
    <row r="221" spans="2:15" s="28" customFormat="1" ht="16.5" customHeight="1">
      <c r="B221" s="20"/>
      <c r="C221" s="20"/>
      <c r="D221" s="254"/>
      <c r="E221" s="379">
        <v>135439</v>
      </c>
      <c r="F221" s="395" t="s">
        <v>504</v>
      </c>
      <c r="G221" s="396"/>
      <c r="H221" s="397"/>
      <c r="I221" s="383">
        <v>4035000</v>
      </c>
      <c r="J221" s="398">
        <v>135439</v>
      </c>
      <c r="K221" s="399" t="s">
        <v>71</v>
      </c>
      <c r="L221" s="399" t="s">
        <v>34</v>
      </c>
      <c r="M221" s="399">
        <v>176.9</v>
      </c>
      <c r="N221" s="356">
        <v>4035000</v>
      </c>
      <c r="O221" s="28" t="b">
        <f t="shared" si="15"/>
        <v>1</v>
      </c>
    </row>
    <row r="222" spans="2:15" s="28" customFormat="1" ht="16.5" customHeight="1">
      <c r="B222" s="20"/>
      <c r="C222" s="20"/>
      <c r="D222" s="254"/>
      <c r="E222" s="379">
        <v>135440</v>
      </c>
      <c r="F222" s="395" t="s">
        <v>505</v>
      </c>
      <c r="G222" s="396"/>
      <c r="H222" s="397"/>
      <c r="I222" s="383">
        <v>2915000</v>
      </c>
      <c r="J222" s="398">
        <v>135440</v>
      </c>
      <c r="K222" s="399" t="s">
        <v>71</v>
      </c>
      <c r="L222" s="399" t="s">
        <v>34</v>
      </c>
      <c r="M222" s="399">
        <v>208</v>
      </c>
      <c r="N222" s="356">
        <v>2915000</v>
      </c>
      <c r="O222" s="28" t="b">
        <f t="shared" si="15"/>
        <v>1</v>
      </c>
    </row>
    <row r="223" spans="2:15" s="28" customFormat="1" ht="16.5" customHeight="1">
      <c r="B223" s="20"/>
      <c r="C223" s="20"/>
      <c r="D223" s="254"/>
      <c r="E223" s="379">
        <v>135444</v>
      </c>
      <c r="F223" s="395" t="s">
        <v>507</v>
      </c>
      <c r="G223" s="396"/>
      <c r="H223" s="397"/>
      <c r="I223" s="383">
        <v>4131000</v>
      </c>
      <c r="J223" s="399">
        <v>135444</v>
      </c>
      <c r="K223" s="399" t="s">
        <v>71</v>
      </c>
      <c r="L223" s="399" t="s">
        <v>34</v>
      </c>
      <c r="M223" s="399">
        <v>177</v>
      </c>
      <c r="N223" s="356">
        <v>4131000</v>
      </c>
      <c r="O223" s="28" t="b">
        <f t="shared" si="15"/>
        <v>1</v>
      </c>
    </row>
    <row r="224" spans="2:15" s="28" customFormat="1" ht="16.5" customHeight="1">
      <c r="B224" s="20"/>
      <c r="C224" s="20"/>
      <c r="D224" s="254"/>
      <c r="E224" s="379">
        <v>135448</v>
      </c>
      <c r="F224" s="395" t="s">
        <v>508</v>
      </c>
      <c r="G224" s="396"/>
      <c r="H224" s="397"/>
      <c r="I224" s="383">
        <v>3842000</v>
      </c>
      <c r="J224" s="398">
        <v>135448</v>
      </c>
      <c r="K224" s="399" t="s">
        <v>71</v>
      </c>
      <c r="L224" s="399" t="s">
        <v>34</v>
      </c>
      <c r="M224" s="399">
        <v>177</v>
      </c>
      <c r="N224" s="356">
        <v>3842000</v>
      </c>
      <c r="O224" s="28" t="b">
        <f t="shared" si="15"/>
        <v>1</v>
      </c>
    </row>
    <row r="225" spans="2:15" s="28" customFormat="1" ht="16.5" customHeight="1">
      <c r="B225" s="20"/>
      <c r="C225" s="20"/>
      <c r="D225" s="254"/>
      <c r="E225" s="379">
        <v>135449</v>
      </c>
      <c r="F225" s="395" t="s">
        <v>300</v>
      </c>
      <c r="G225" s="396"/>
      <c r="H225" s="397"/>
      <c r="I225" s="383"/>
      <c r="J225" s="398">
        <v>135449</v>
      </c>
      <c r="K225" s="399" t="s">
        <v>73</v>
      </c>
      <c r="L225" s="399" t="s">
        <v>34</v>
      </c>
      <c r="M225" s="399">
        <v>21.1</v>
      </c>
      <c r="N225" s="356" t="e">
        <v>#N/A</v>
      </c>
      <c r="O225" s="28" t="e">
        <f t="shared" si="15"/>
        <v>#N/A</v>
      </c>
    </row>
    <row r="226" spans="2:15" s="28" customFormat="1" ht="16.5" customHeight="1">
      <c r="B226" s="20"/>
      <c r="C226" s="20"/>
      <c r="D226" s="254"/>
      <c r="E226" s="379">
        <v>135451</v>
      </c>
      <c r="F226" s="395" t="s">
        <v>509</v>
      </c>
      <c r="G226" s="396"/>
      <c r="H226" s="397"/>
      <c r="I226" s="383">
        <v>3847000</v>
      </c>
      <c r="J226" s="398">
        <v>135451</v>
      </c>
      <c r="K226" s="399" t="s">
        <v>71</v>
      </c>
      <c r="L226" s="399" t="s">
        <v>34</v>
      </c>
      <c r="M226" s="399">
        <v>177</v>
      </c>
      <c r="N226" s="356">
        <v>3847000</v>
      </c>
      <c r="O226" s="28" t="b">
        <f t="shared" si="15"/>
        <v>1</v>
      </c>
    </row>
    <row r="227" spans="2:15" s="28" customFormat="1" ht="16.5" customHeight="1">
      <c r="B227" s="20"/>
      <c r="C227" s="20"/>
      <c r="D227" s="254"/>
      <c r="E227" s="379">
        <v>135452</v>
      </c>
      <c r="F227" s="395" t="s">
        <v>510</v>
      </c>
      <c r="G227" s="396"/>
      <c r="H227" s="397"/>
      <c r="I227" s="383">
        <v>2586000</v>
      </c>
      <c r="J227" s="398">
        <v>135452</v>
      </c>
      <c r="K227" s="399" t="s">
        <v>71</v>
      </c>
      <c r="L227" s="399" t="s">
        <v>34</v>
      </c>
      <c r="M227" s="399">
        <v>208</v>
      </c>
      <c r="N227" s="356">
        <v>2586000</v>
      </c>
      <c r="O227" s="28" t="b">
        <f t="shared" si="15"/>
        <v>1</v>
      </c>
    </row>
    <row r="228" spans="2:15" s="28" customFormat="1" ht="16.5" customHeight="1">
      <c r="B228" s="20"/>
      <c r="C228" s="20"/>
      <c r="D228" s="254"/>
      <c r="E228" s="379">
        <v>135453</v>
      </c>
      <c r="F228" s="395" t="s">
        <v>301</v>
      </c>
      <c r="G228" s="396"/>
      <c r="H228" s="397"/>
      <c r="I228" s="383">
        <v>262000</v>
      </c>
      <c r="J228" s="398">
        <v>135453</v>
      </c>
      <c r="K228" s="399" t="s">
        <v>70</v>
      </c>
      <c r="L228" s="399" t="s">
        <v>34</v>
      </c>
      <c r="M228" s="399">
        <v>18.899999999999999</v>
      </c>
      <c r="N228" s="356">
        <v>262000</v>
      </c>
      <c r="O228" s="28" t="b">
        <f t="shared" si="15"/>
        <v>1</v>
      </c>
    </row>
    <row r="229" spans="2:15" s="28" customFormat="1" ht="16.5" customHeight="1">
      <c r="B229" s="20"/>
      <c r="C229" s="20"/>
      <c r="D229" s="254"/>
      <c r="E229" s="379">
        <v>135454</v>
      </c>
      <c r="F229" s="395" t="s">
        <v>511</v>
      </c>
      <c r="G229" s="396"/>
      <c r="H229" s="397"/>
      <c r="I229" s="383">
        <v>2602000</v>
      </c>
      <c r="J229" s="398">
        <v>135454</v>
      </c>
      <c r="K229" s="399" t="s">
        <v>71</v>
      </c>
      <c r="L229" s="399" t="s">
        <v>34</v>
      </c>
      <c r="M229" s="399">
        <v>208</v>
      </c>
      <c r="N229" s="356">
        <v>2602000</v>
      </c>
      <c r="O229" s="28" t="b">
        <f t="shared" si="15"/>
        <v>1</v>
      </c>
    </row>
    <row r="230" spans="2:15" s="28" customFormat="1" ht="16.5" customHeight="1">
      <c r="B230" s="20"/>
      <c r="C230" s="20"/>
      <c r="D230" s="254"/>
      <c r="E230" s="379">
        <v>135455</v>
      </c>
      <c r="F230" s="395" t="s">
        <v>302</v>
      </c>
      <c r="G230" s="396"/>
      <c r="H230" s="397"/>
      <c r="I230" s="383">
        <v>282000</v>
      </c>
      <c r="J230" s="398">
        <v>135455</v>
      </c>
      <c r="K230" s="399" t="s">
        <v>70</v>
      </c>
      <c r="L230" s="399" t="s">
        <v>34</v>
      </c>
      <c r="M230" s="399">
        <v>18.899999999999999</v>
      </c>
      <c r="N230" s="356">
        <v>282000</v>
      </c>
      <c r="O230" s="28" t="b">
        <f t="shared" si="15"/>
        <v>1</v>
      </c>
    </row>
    <row r="231" spans="2:15" s="28" customFormat="1" ht="16.5" customHeight="1">
      <c r="B231" s="20"/>
      <c r="C231" s="20"/>
      <c r="D231" s="254"/>
      <c r="E231" s="379">
        <v>135456</v>
      </c>
      <c r="F231" s="395" t="s">
        <v>512</v>
      </c>
      <c r="G231" s="396"/>
      <c r="H231" s="397"/>
      <c r="I231" s="383">
        <v>2995000</v>
      </c>
      <c r="J231" s="398">
        <v>135456</v>
      </c>
      <c r="K231" s="399" t="s">
        <v>71</v>
      </c>
      <c r="L231" s="399" t="s">
        <v>34</v>
      </c>
      <c r="M231" s="399">
        <v>208</v>
      </c>
      <c r="N231" s="356">
        <v>2995000</v>
      </c>
      <c r="O231" s="28" t="b">
        <f t="shared" si="15"/>
        <v>1</v>
      </c>
    </row>
    <row r="232" spans="2:15" s="28" customFormat="1" ht="16.5" customHeight="1">
      <c r="B232" s="20"/>
      <c r="C232" s="20"/>
      <c r="D232" s="254"/>
      <c r="E232" s="379">
        <v>135457</v>
      </c>
      <c r="F232" s="395" t="s">
        <v>303</v>
      </c>
      <c r="G232" s="396"/>
      <c r="H232" s="397"/>
      <c r="I232" s="383">
        <v>287000</v>
      </c>
      <c r="J232" s="398">
        <v>135457</v>
      </c>
      <c r="K232" s="399" t="s">
        <v>70</v>
      </c>
      <c r="L232" s="399" t="s">
        <v>34</v>
      </c>
      <c r="M232" s="399">
        <v>18.899999999999999</v>
      </c>
      <c r="N232" s="356">
        <v>287000</v>
      </c>
      <c r="O232" s="28" t="b">
        <f t="shared" si="15"/>
        <v>1</v>
      </c>
    </row>
    <row r="233" spans="2:15" s="28" customFormat="1" ht="16.5" customHeight="1">
      <c r="B233" s="20"/>
      <c r="C233" s="20"/>
      <c r="D233" s="254"/>
      <c r="E233" s="379">
        <v>135458</v>
      </c>
      <c r="F233" s="395" t="s">
        <v>420</v>
      </c>
      <c r="G233" s="396"/>
      <c r="H233" s="397"/>
      <c r="I233" s="383">
        <v>2763000</v>
      </c>
      <c r="J233" s="398">
        <v>135458</v>
      </c>
      <c r="K233" s="399" t="s">
        <v>71</v>
      </c>
      <c r="L233" s="399" t="s">
        <v>34</v>
      </c>
      <c r="M233" s="399">
        <v>208</v>
      </c>
      <c r="N233" s="356">
        <v>2763000</v>
      </c>
      <c r="O233" s="28" t="b">
        <f t="shared" si="15"/>
        <v>1</v>
      </c>
    </row>
    <row r="234" spans="2:15" s="28" customFormat="1" ht="16.5" customHeight="1">
      <c r="B234" s="20"/>
      <c r="C234" s="20"/>
      <c r="D234" s="254"/>
      <c r="E234" s="379">
        <v>135460</v>
      </c>
      <c r="F234" s="395" t="s">
        <v>304</v>
      </c>
      <c r="G234" s="396"/>
      <c r="H234" s="397"/>
      <c r="I234" s="383">
        <v>337000</v>
      </c>
      <c r="J234" s="398">
        <v>135460</v>
      </c>
      <c r="K234" s="399" t="s">
        <v>70</v>
      </c>
      <c r="L234" s="399" t="s">
        <v>34</v>
      </c>
      <c r="M234" s="399">
        <v>18.899999999999999</v>
      </c>
      <c r="N234" s="356">
        <v>337000</v>
      </c>
      <c r="O234" s="28" t="b">
        <f t="shared" si="15"/>
        <v>1</v>
      </c>
    </row>
    <row r="235" spans="2:15" s="28" customFormat="1" ht="16.5" customHeight="1">
      <c r="B235" s="20"/>
      <c r="C235" s="20"/>
      <c r="D235" s="254"/>
      <c r="E235" s="379">
        <v>135461</v>
      </c>
      <c r="F235" s="395" t="s">
        <v>513</v>
      </c>
      <c r="G235" s="396"/>
      <c r="H235" s="397"/>
      <c r="I235" s="383">
        <v>3255000</v>
      </c>
      <c r="J235" s="398">
        <v>135461</v>
      </c>
      <c r="K235" s="399" t="s">
        <v>71</v>
      </c>
      <c r="L235" s="399" t="s">
        <v>34</v>
      </c>
      <c r="M235" s="399">
        <v>208</v>
      </c>
      <c r="N235" s="356">
        <v>3255000</v>
      </c>
      <c r="O235" s="28" t="b">
        <f t="shared" si="15"/>
        <v>1</v>
      </c>
    </row>
    <row r="236" spans="2:15" s="28" customFormat="1" ht="16.5" customHeight="1">
      <c r="B236" s="20"/>
      <c r="C236" s="20"/>
      <c r="D236" s="254"/>
      <c r="E236" s="379">
        <v>135462</v>
      </c>
      <c r="F236" s="395" t="s">
        <v>305</v>
      </c>
      <c r="G236" s="396"/>
      <c r="H236" s="397"/>
      <c r="I236" s="383">
        <v>351000</v>
      </c>
      <c r="J236" s="398">
        <v>135462</v>
      </c>
      <c r="K236" s="399" t="s">
        <v>70</v>
      </c>
      <c r="L236" s="399" t="s">
        <v>34</v>
      </c>
      <c r="M236" s="399">
        <v>18.899999999999999</v>
      </c>
      <c r="N236" s="356">
        <v>351000</v>
      </c>
      <c r="O236" s="28" t="b">
        <f t="shared" si="15"/>
        <v>1</v>
      </c>
    </row>
    <row r="237" spans="2:15" s="28" customFormat="1" ht="16.5" customHeight="1">
      <c r="B237" s="20"/>
      <c r="C237" s="20"/>
      <c r="D237" s="254"/>
      <c r="E237" s="379">
        <v>135463</v>
      </c>
      <c r="F237" s="395" t="s">
        <v>514</v>
      </c>
      <c r="G237" s="396"/>
      <c r="H237" s="397"/>
      <c r="I237" s="383">
        <v>3383000</v>
      </c>
      <c r="J237" s="398">
        <v>135463</v>
      </c>
      <c r="K237" s="399" t="s">
        <v>71</v>
      </c>
      <c r="L237" s="399" t="s">
        <v>34</v>
      </c>
      <c r="M237" s="399">
        <v>208</v>
      </c>
      <c r="N237" s="356">
        <v>3383000</v>
      </c>
      <c r="O237" s="28" t="b">
        <f t="shared" si="15"/>
        <v>1</v>
      </c>
    </row>
    <row r="238" spans="2:15" s="28" customFormat="1" ht="16.5" customHeight="1">
      <c r="B238" s="20"/>
      <c r="C238" s="20"/>
      <c r="D238" s="254"/>
      <c r="E238" s="379">
        <v>135464</v>
      </c>
      <c r="F238" s="395" t="s">
        <v>306</v>
      </c>
      <c r="G238" s="396"/>
      <c r="H238" s="397"/>
      <c r="I238" s="383">
        <v>364000</v>
      </c>
      <c r="J238" s="398">
        <v>135464</v>
      </c>
      <c r="K238" s="399" t="s">
        <v>70</v>
      </c>
      <c r="L238" s="399" t="s">
        <v>34</v>
      </c>
      <c r="M238" s="399">
        <v>18.899999999999999</v>
      </c>
      <c r="N238" s="356">
        <v>364000</v>
      </c>
      <c r="O238" s="28" t="b">
        <f t="shared" si="15"/>
        <v>1</v>
      </c>
    </row>
    <row r="239" spans="2:15" s="28" customFormat="1" ht="16.5" customHeight="1">
      <c r="B239" s="20"/>
      <c r="C239" s="20"/>
      <c r="D239" s="254"/>
      <c r="E239" s="379">
        <v>135488</v>
      </c>
      <c r="F239" s="395" t="s">
        <v>240</v>
      </c>
      <c r="G239" s="396"/>
      <c r="H239" s="397"/>
      <c r="I239" s="383">
        <v>47600</v>
      </c>
      <c r="J239" s="398">
        <v>135488</v>
      </c>
      <c r="K239" s="399" t="s">
        <v>70</v>
      </c>
      <c r="L239" s="399" t="s">
        <v>34</v>
      </c>
      <c r="M239" s="399">
        <v>20</v>
      </c>
      <c r="N239" s="356">
        <v>47600</v>
      </c>
      <c r="O239" s="28" t="b">
        <f t="shared" si="15"/>
        <v>1</v>
      </c>
    </row>
    <row r="240" spans="2:15" s="28" customFormat="1" ht="16.5" customHeight="1">
      <c r="B240" s="20"/>
      <c r="C240" s="20"/>
      <c r="D240" s="254"/>
      <c r="E240" s="379">
        <v>148688</v>
      </c>
      <c r="F240" s="395" t="s">
        <v>307</v>
      </c>
      <c r="G240" s="396"/>
      <c r="H240" s="397"/>
      <c r="I240" s="383">
        <v>69500</v>
      </c>
      <c r="J240" s="398">
        <v>148688</v>
      </c>
      <c r="K240" s="399" t="s">
        <v>70</v>
      </c>
      <c r="L240" s="399" t="s">
        <v>34</v>
      </c>
      <c r="M240" s="399">
        <v>20</v>
      </c>
      <c r="N240" s="356">
        <v>69500</v>
      </c>
      <c r="O240" s="28" t="b">
        <f t="shared" si="15"/>
        <v>1</v>
      </c>
    </row>
    <row r="241" spans="2:15" s="28" customFormat="1" ht="16.5" customHeight="1">
      <c r="B241" s="20"/>
      <c r="C241" s="20"/>
      <c r="D241" s="254"/>
      <c r="E241" s="379">
        <v>135627</v>
      </c>
      <c r="F241" s="395" t="s">
        <v>36</v>
      </c>
      <c r="G241" s="396"/>
      <c r="H241" s="397"/>
      <c r="I241" s="383">
        <v>4915000</v>
      </c>
      <c r="J241" s="398">
        <v>135627</v>
      </c>
      <c r="K241" s="399" t="s">
        <v>71</v>
      </c>
      <c r="L241" s="399" t="s">
        <v>34</v>
      </c>
      <c r="M241" s="399">
        <v>175</v>
      </c>
      <c r="N241" s="356">
        <v>4915000</v>
      </c>
      <c r="O241" s="28" t="b">
        <f t="shared" si="15"/>
        <v>1</v>
      </c>
    </row>
    <row r="242" spans="2:15" s="28" customFormat="1" ht="16.5" customHeight="1">
      <c r="B242" s="20"/>
      <c r="C242" s="20"/>
      <c r="D242" s="254"/>
      <c r="E242" s="379">
        <v>135836</v>
      </c>
      <c r="F242" s="395" t="s">
        <v>66</v>
      </c>
      <c r="G242" s="396"/>
      <c r="H242" s="397"/>
      <c r="I242" s="383">
        <v>3321000</v>
      </c>
      <c r="J242" s="398">
        <v>135836</v>
      </c>
      <c r="K242" s="399" t="s">
        <v>71</v>
      </c>
      <c r="L242" s="399" t="s">
        <v>34</v>
      </c>
      <c r="M242" s="399">
        <v>208</v>
      </c>
      <c r="N242" s="356">
        <v>3321000</v>
      </c>
      <c r="O242" s="28" t="b">
        <f t="shared" si="15"/>
        <v>1</v>
      </c>
    </row>
    <row r="243" spans="2:15" s="28" customFormat="1" ht="16.5" customHeight="1">
      <c r="B243" s="20"/>
      <c r="C243" s="20"/>
      <c r="D243" s="254"/>
      <c r="E243" s="379">
        <v>135877</v>
      </c>
      <c r="F243" s="395" t="s">
        <v>308</v>
      </c>
      <c r="G243" s="396"/>
      <c r="H243" s="397"/>
      <c r="I243" s="383">
        <v>474000</v>
      </c>
      <c r="J243" s="398">
        <v>135877</v>
      </c>
      <c r="K243" s="399" t="s">
        <v>70</v>
      </c>
      <c r="L243" s="399" t="s">
        <v>34</v>
      </c>
      <c r="M243" s="399">
        <v>20</v>
      </c>
      <c r="N243" s="356">
        <v>474000</v>
      </c>
      <c r="O243" s="28" t="b">
        <f t="shared" si="15"/>
        <v>1</v>
      </c>
    </row>
    <row r="244" spans="2:15" s="28" customFormat="1" ht="16.5" customHeight="1">
      <c r="B244" s="20"/>
      <c r="C244" s="20"/>
      <c r="D244" s="254"/>
      <c r="E244" s="379">
        <v>135916</v>
      </c>
      <c r="F244" s="395" t="s">
        <v>516</v>
      </c>
      <c r="G244" s="396"/>
      <c r="H244" s="397"/>
      <c r="I244" s="383">
        <v>547000</v>
      </c>
      <c r="J244" s="398">
        <v>135916</v>
      </c>
      <c r="K244" s="399" t="s">
        <v>71</v>
      </c>
      <c r="L244" s="399" t="s">
        <v>34</v>
      </c>
      <c r="M244" s="399">
        <v>200</v>
      </c>
      <c r="N244" s="356">
        <v>547000</v>
      </c>
      <c r="O244" s="28" t="b">
        <f t="shared" si="15"/>
        <v>1</v>
      </c>
    </row>
    <row r="245" spans="2:15" s="28" customFormat="1" ht="16.5" customHeight="1">
      <c r="B245" s="20"/>
      <c r="C245" s="20"/>
      <c r="D245" s="254"/>
      <c r="E245" s="379">
        <v>148680</v>
      </c>
      <c r="F245" s="395" t="s">
        <v>45</v>
      </c>
      <c r="G245" s="396"/>
      <c r="H245" s="397"/>
      <c r="I245" s="383">
        <v>850000</v>
      </c>
      <c r="J245" s="398">
        <v>148680</v>
      </c>
      <c r="K245" s="399" t="s">
        <v>71</v>
      </c>
      <c r="L245" s="399" t="s">
        <v>34</v>
      </c>
      <c r="M245" s="399">
        <v>208</v>
      </c>
      <c r="N245" s="356">
        <v>850000</v>
      </c>
      <c r="O245" s="28" t="b">
        <f t="shared" si="15"/>
        <v>1</v>
      </c>
    </row>
    <row r="246" spans="2:15" s="28" customFormat="1" ht="16.5" customHeight="1">
      <c r="B246" s="20"/>
      <c r="C246" s="20"/>
      <c r="D246" s="254"/>
      <c r="E246" s="379">
        <v>135934</v>
      </c>
      <c r="F246" s="395" t="s">
        <v>309</v>
      </c>
      <c r="G246" s="396"/>
      <c r="H246" s="397"/>
      <c r="I246" s="383">
        <v>183000</v>
      </c>
      <c r="J246" s="398">
        <v>135934</v>
      </c>
      <c r="K246" s="399" t="s">
        <v>70</v>
      </c>
      <c r="L246" s="399" t="s">
        <v>34</v>
      </c>
      <c r="M246" s="399">
        <v>16</v>
      </c>
      <c r="N246" s="356">
        <v>183000</v>
      </c>
      <c r="O246" s="28" t="b">
        <f t="shared" si="15"/>
        <v>1</v>
      </c>
    </row>
    <row r="247" spans="2:15" s="28" customFormat="1" ht="16.5" customHeight="1">
      <c r="B247" s="20"/>
      <c r="C247" s="20"/>
      <c r="D247" s="254"/>
      <c r="E247" s="379">
        <v>135935</v>
      </c>
      <c r="F247" s="395" t="s">
        <v>517</v>
      </c>
      <c r="G247" s="401"/>
      <c r="H247" s="402"/>
      <c r="I247" s="383">
        <v>1871000</v>
      </c>
      <c r="J247" s="398">
        <v>135935</v>
      </c>
      <c r="K247" s="399" t="s">
        <v>71</v>
      </c>
      <c r="L247" s="399" t="s">
        <v>34</v>
      </c>
      <c r="M247" s="399">
        <v>180</v>
      </c>
      <c r="N247" s="356">
        <v>1871000</v>
      </c>
      <c r="O247" s="28" t="b">
        <f t="shared" si="15"/>
        <v>1</v>
      </c>
    </row>
    <row r="248" spans="2:15" s="28" customFormat="1" ht="16.5" customHeight="1">
      <c r="B248" s="20"/>
      <c r="C248" s="20"/>
      <c r="D248" s="254"/>
      <c r="E248" s="379">
        <v>148676</v>
      </c>
      <c r="F248" s="395" t="s">
        <v>520</v>
      </c>
      <c r="G248" s="396"/>
      <c r="H248" s="397"/>
      <c r="I248" s="383">
        <v>645000</v>
      </c>
      <c r="J248" s="398">
        <v>148676</v>
      </c>
      <c r="K248" s="399" t="s">
        <v>71</v>
      </c>
      <c r="L248" s="399" t="s">
        <v>34</v>
      </c>
      <c r="M248" s="399">
        <v>208</v>
      </c>
      <c r="N248" s="356">
        <v>645000</v>
      </c>
      <c r="O248" s="28" t="b">
        <f t="shared" si="15"/>
        <v>1</v>
      </c>
    </row>
    <row r="249" spans="2:15" s="28" customFormat="1" ht="16.5" customHeight="1">
      <c r="B249" s="20"/>
      <c r="C249" s="20"/>
      <c r="D249" s="254"/>
      <c r="E249" s="379">
        <v>136130</v>
      </c>
      <c r="F249" s="395" t="s">
        <v>311</v>
      </c>
      <c r="G249" s="396"/>
      <c r="H249" s="397"/>
      <c r="I249" s="383">
        <v>198000</v>
      </c>
      <c r="J249" s="398">
        <v>136130</v>
      </c>
      <c r="K249" s="399" t="s">
        <v>70</v>
      </c>
      <c r="L249" s="399" t="s">
        <v>34</v>
      </c>
      <c r="M249" s="399">
        <v>16</v>
      </c>
      <c r="N249" s="356">
        <v>198000</v>
      </c>
      <c r="O249" s="28" t="b">
        <f t="shared" si="15"/>
        <v>1</v>
      </c>
    </row>
    <row r="250" spans="2:15" s="28" customFormat="1" ht="16.5" customHeight="1">
      <c r="B250" s="20"/>
      <c r="C250" s="20"/>
      <c r="D250" s="254"/>
      <c r="E250" s="379">
        <v>136131</v>
      </c>
      <c r="F250" s="395" t="s">
        <v>521</v>
      </c>
      <c r="G250" s="396"/>
      <c r="H250" s="397"/>
      <c r="I250" s="383">
        <v>2166000</v>
      </c>
      <c r="J250" s="398">
        <v>136131</v>
      </c>
      <c r="K250" s="399" t="s">
        <v>71</v>
      </c>
      <c r="L250" s="399" t="s">
        <v>34</v>
      </c>
      <c r="M250" s="399">
        <v>180</v>
      </c>
      <c r="N250" s="356">
        <v>2166000</v>
      </c>
      <c r="O250" s="28" t="b">
        <f t="shared" si="15"/>
        <v>1</v>
      </c>
    </row>
    <row r="251" spans="2:15" s="28" customFormat="1" ht="16.5" customHeight="1">
      <c r="B251" s="20"/>
      <c r="C251" s="20"/>
      <c r="D251" s="254"/>
      <c r="E251" s="379">
        <v>136132</v>
      </c>
      <c r="F251" s="395" t="s">
        <v>312</v>
      </c>
      <c r="G251" s="396"/>
      <c r="H251" s="397"/>
      <c r="I251" s="383">
        <v>198000</v>
      </c>
      <c r="J251" s="398">
        <v>136132</v>
      </c>
      <c r="K251" s="399" t="s">
        <v>70</v>
      </c>
      <c r="L251" s="399" t="s">
        <v>34</v>
      </c>
      <c r="M251" s="399">
        <v>16</v>
      </c>
      <c r="N251" s="356">
        <v>198000</v>
      </c>
      <c r="O251" s="28" t="b">
        <f t="shared" si="15"/>
        <v>1</v>
      </c>
    </row>
    <row r="252" spans="2:15" s="28" customFormat="1" ht="16.5" customHeight="1">
      <c r="B252" s="20"/>
      <c r="C252" s="20"/>
      <c r="D252" s="254"/>
      <c r="E252" s="379">
        <v>136133</v>
      </c>
      <c r="F252" s="395" t="s">
        <v>522</v>
      </c>
      <c r="G252" s="396"/>
      <c r="H252" s="397"/>
      <c r="I252" s="383">
        <v>2222000</v>
      </c>
      <c r="J252" s="398">
        <v>136133</v>
      </c>
      <c r="K252" s="399" t="s">
        <v>71</v>
      </c>
      <c r="L252" s="399" t="s">
        <v>34</v>
      </c>
      <c r="M252" s="399">
        <v>180</v>
      </c>
      <c r="N252" s="356">
        <v>2222000</v>
      </c>
      <c r="O252" s="28" t="b">
        <f t="shared" si="15"/>
        <v>1</v>
      </c>
    </row>
    <row r="253" spans="2:15" s="28" customFormat="1" ht="16.5" customHeight="1">
      <c r="B253" s="20"/>
      <c r="C253" s="20"/>
      <c r="D253" s="254"/>
      <c r="E253" s="379">
        <v>136141</v>
      </c>
      <c r="F253" s="395" t="s">
        <v>523</v>
      </c>
      <c r="G253" s="396"/>
      <c r="H253" s="397"/>
      <c r="I253" s="383">
        <v>3527000</v>
      </c>
      <c r="J253" s="398">
        <v>136141</v>
      </c>
      <c r="K253" s="399" t="s">
        <v>71</v>
      </c>
      <c r="L253" s="399" t="s">
        <v>34</v>
      </c>
      <c r="M253" s="399">
        <v>181</v>
      </c>
      <c r="N253" s="356">
        <v>3527000</v>
      </c>
      <c r="O253" s="28" t="b">
        <f t="shared" si="15"/>
        <v>1</v>
      </c>
    </row>
    <row r="254" spans="2:15" s="28" customFormat="1" ht="16.5" customHeight="1">
      <c r="B254" s="20"/>
      <c r="C254" s="20"/>
      <c r="D254" s="254"/>
      <c r="E254" s="379">
        <v>136159</v>
      </c>
      <c r="F254" s="395" t="s">
        <v>525</v>
      </c>
      <c r="G254" s="396"/>
      <c r="H254" s="397"/>
      <c r="I254" s="383">
        <v>4607000</v>
      </c>
      <c r="J254" s="398">
        <v>136159</v>
      </c>
      <c r="K254" s="399" t="s">
        <v>71</v>
      </c>
      <c r="L254" s="399" t="s">
        <v>34</v>
      </c>
      <c r="M254" s="399">
        <v>208</v>
      </c>
      <c r="N254" s="356">
        <v>4607000</v>
      </c>
      <c r="O254" s="28" t="b">
        <f t="shared" si="15"/>
        <v>1</v>
      </c>
    </row>
    <row r="255" spans="2:15" s="28" customFormat="1" ht="16.5" customHeight="1">
      <c r="B255" s="20"/>
      <c r="C255" s="20"/>
      <c r="D255" s="254"/>
      <c r="E255" s="379">
        <v>136174</v>
      </c>
      <c r="F255" s="395" t="s">
        <v>526</v>
      </c>
      <c r="G255" s="396"/>
      <c r="H255" s="397"/>
      <c r="I255" s="383">
        <v>630000</v>
      </c>
      <c r="J255" s="398">
        <v>136174</v>
      </c>
      <c r="K255" s="399" t="s">
        <v>71</v>
      </c>
      <c r="L255" s="399" t="s">
        <v>34</v>
      </c>
      <c r="M255" s="399">
        <v>200</v>
      </c>
      <c r="N255" s="356">
        <v>630000</v>
      </c>
      <c r="O255" s="28" t="b">
        <f t="shared" si="15"/>
        <v>1</v>
      </c>
    </row>
    <row r="256" spans="2:15" s="28" customFormat="1" ht="16.5" customHeight="1">
      <c r="B256" s="20"/>
      <c r="C256" s="20"/>
      <c r="D256" s="254"/>
      <c r="E256" s="379">
        <v>136235</v>
      </c>
      <c r="F256" s="395" t="s">
        <v>739</v>
      </c>
      <c r="G256" s="396"/>
      <c r="H256" s="397"/>
      <c r="I256" s="383">
        <v>858000</v>
      </c>
      <c r="J256" s="398">
        <v>136235</v>
      </c>
      <c r="K256" s="399" t="s">
        <v>71</v>
      </c>
      <c r="L256" s="399" t="s">
        <v>34</v>
      </c>
      <c r="M256" s="399">
        <v>208</v>
      </c>
      <c r="N256" s="356">
        <v>858000</v>
      </c>
      <c r="O256" s="28" t="b">
        <f t="shared" si="15"/>
        <v>1</v>
      </c>
    </row>
    <row r="257" spans="2:15" s="28" customFormat="1" ht="16.5" customHeight="1">
      <c r="B257" s="20"/>
      <c r="C257" s="20"/>
      <c r="D257" s="254"/>
      <c r="E257" s="379">
        <v>148678</v>
      </c>
      <c r="F257" s="395" t="s">
        <v>527</v>
      </c>
      <c r="G257" s="396"/>
      <c r="H257" s="397"/>
      <c r="I257" s="383">
        <v>645000</v>
      </c>
      <c r="J257" s="398">
        <v>148678</v>
      </c>
      <c r="K257" s="399" t="s">
        <v>71</v>
      </c>
      <c r="L257" s="399" t="s">
        <v>34</v>
      </c>
      <c r="M257" s="399">
        <v>208</v>
      </c>
      <c r="N257" s="356">
        <v>645000</v>
      </c>
      <c r="O257" s="28" t="b">
        <f t="shared" si="15"/>
        <v>1</v>
      </c>
    </row>
    <row r="258" spans="2:15" s="28" customFormat="1" ht="16.5" customHeight="1">
      <c r="B258" s="20"/>
      <c r="C258" s="20"/>
      <c r="D258" s="254"/>
      <c r="E258" s="379">
        <v>143561</v>
      </c>
      <c r="F258" s="395" t="s">
        <v>558</v>
      </c>
      <c r="G258" s="396"/>
      <c r="H258" s="397"/>
      <c r="I258" s="383">
        <v>728000</v>
      </c>
      <c r="J258" s="398">
        <v>138959</v>
      </c>
      <c r="K258" s="399" t="s">
        <v>71</v>
      </c>
      <c r="L258" s="399" t="s">
        <v>34</v>
      </c>
      <c r="M258" s="399">
        <v>200</v>
      </c>
      <c r="N258" s="356">
        <v>728000</v>
      </c>
      <c r="O258" s="28" t="b">
        <f t="shared" si="15"/>
        <v>1</v>
      </c>
    </row>
    <row r="259" spans="2:15" s="28" customFormat="1" ht="16.5" customHeight="1">
      <c r="B259" s="20"/>
      <c r="C259" s="20"/>
      <c r="D259" s="254"/>
      <c r="E259" s="379">
        <v>143560</v>
      </c>
      <c r="F259" s="395" t="s">
        <v>559</v>
      </c>
      <c r="G259" s="396"/>
      <c r="H259" s="397"/>
      <c r="I259" s="383">
        <v>728000</v>
      </c>
      <c r="J259" s="398">
        <v>138960</v>
      </c>
      <c r="K259" s="399" t="s">
        <v>71</v>
      </c>
      <c r="L259" s="399" t="s">
        <v>34</v>
      </c>
      <c r="M259" s="399">
        <v>200</v>
      </c>
      <c r="N259" s="356">
        <v>728000</v>
      </c>
      <c r="O259" s="28" t="b">
        <f t="shared" si="15"/>
        <v>1</v>
      </c>
    </row>
    <row r="260" spans="2:15" s="28" customFormat="1" ht="16.5" customHeight="1">
      <c r="B260" s="20"/>
      <c r="C260" s="20"/>
      <c r="D260" s="254"/>
      <c r="E260" s="379">
        <v>141666</v>
      </c>
      <c r="F260" s="395" t="s">
        <v>560</v>
      </c>
      <c r="G260" s="396"/>
      <c r="H260" s="397"/>
      <c r="I260" s="383">
        <v>755000</v>
      </c>
      <c r="J260" s="398">
        <v>138961</v>
      </c>
      <c r="K260" s="399" t="s">
        <v>71</v>
      </c>
      <c r="L260" s="399" t="s">
        <v>34</v>
      </c>
      <c r="M260" s="399">
        <v>200</v>
      </c>
      <c r="N260" s="356">
        <v>755000</v>
      </c>
      <c r="O260" s="28" t="b">
        <f t="shared" si="15"/>
        <v>1</v>
      </c>
    </row>
    <row r="261" spans="2:15" s="28" customFormat="1" ht="16.5" customHeight="1">
      <c r="B261" s="20"/>
      <c r="C261" s="20"/>
      <c r="D261" s="254"/>
      <c r="E261" s="379">
        <v>138963</v>
      </c>
      <c r="F261" s="395" t="s">
        <v>562</v>
      </c>
      <c r="G261" s="396"/>
      <c r="H261" s="397"/>
      <c r="I261" s="383">
        <v>755000</v>
      </c>
      <c r="J261" s="398">
        <v>138963</v>
      </c>
      <c r="K261" s="399" t="s">
        <v>71</v>
      </c>
      <c r="L261" s="399" t="s">
        <v>34</v>
      </c>
      <c r="M261" s="399">
        <v>200</v>
      </c>
      <c r="N261" s="356">
        <v>755000</v>
      </c>
      <c r="O261" s="28" t="b">
        <f t="shared" si="15"/>
        <v>1</v>
      </c>
    </row>
    <row r="262" spans="2:15" s="28" customFormat="1" ht="16.5" customHeight="1">
      <c r="B262" s="20"/>
      <c r="C262" s="20"/>
      <c r="D262" s="254"/>
      <c r="E262" s="379">
        <v>138964</v>
      </c>
      <c r="F262" s="395" t="s">
        <v>315</v>
      </c>
      <c r="G262" s="396"/>
      <c r="H262" s="397"/>
      <c r="I262" s="383">
        <v>79600</v>
      </c>
      <c r="J262" s="398">
        <v>138964</v>
      </c>
      <c r="K262" s="399" t="s">
        <v>70</v>
      </c>
      <c r="L262" s="399" t="s">
        <v>34</v>
      </c>
      <c r="M262" s="399">
        <v>20</v>
      </c>
      <c r="N262" s="356">
        <v>79600</v>
      </c>
      <c r="O262" s="28" t="b">
        <f t="shared" si="15"/>
        <v>1</v>
      </c>
    </row>
    <row r="263" spans="2:15" s="28" customFormat="1" ht="16.5" customHeight="1">
      <c r="B263" s="20"/>
      <c r="C263" s="20"/>
      <c r="D263" s="254"/>
      <c r="E263" s="379">
        <v>136234</v>
      </c>
      <c r="F263" s="395" t="s">
        <v>316</v>
      </c>
      <c r="G263" s="396"/>
      <c r="H263" s="397"/>
      <c r="I263" s="383">
        <v>94600</v>
      </c>
      <c r="J263" s="398">
        <v>138980</v>
      </c>
      <c r="K263" s="399" t="s">
        <v>70</v>
      </c>
      <c r="L263" s="399" t="s">
        <v>34</v>
      </c>
      <c r="M263" s="399">
        <v>20</v>
      </c>
      <c r="N263" s="356">
        <v>94600</v>
      </c>
      <c r="O263" s="28" t="b">
        <f t="shared" si="15"/>
        <v>1</v>
      </c>
    </row>
    <row r="264" spans="2:15" s="28" customFormat="1" ht="16.5" customHeight="1">
      <c r="B264" s="20"/>
      <c r="C264" s="20"/>
      <c r="D264" s="254"/>
      <c r="E264" s="379">
        <v>139023</v>
      </c>
      <c r="F264" s="395" t="s">
        <v>569</v>
      </c>
      <c r="G264" s="396"/>
      <c r="H264" s="397"/>
      <c r="I264" s="383">
        <v>893000</v>
      </c>
      <c r="J264" s="398">
        <v>139023</v>
      </c>
      <c r="K264" s="399" t="s">
        <v>71</v>
      </c>
      <c r="L264" s="399" t="s">
        <v>34</v>
      </c>
      <c r="M264" s="399">
        <v>200</v>
      </c>
      <c r="N264" s="356">
        <v>893000</v>
      </c>
      <c r="O264" s="28" t="b">
        <f t="shared" si="15"/>
        <v>1</v>
      </c>
    </row>
    <row r="265" spans="2:15" s="28" customFormat="1" ht="16.5" customHeight="1">
      <c r="B265" s="20"/>
      <c r="C265" s="20"/>
      <c r="D265" s="254"/>
      <c r="E265" s="379">
        <v>139026</v>
      </c>
      <c r="F265" s="395" t="s">
        <v>571</v>
      </c>
      <c r="G265" s="396"/>
      <c r="H265" s="397"/>
      <c r="I265" s="383">
        <v>670000</v>
      </c>
      <c r="J265" s="398">
        <v>139026</v>
      </c>
      <c r="K265" s="399" t="s">
        <v>71</v>
      </c>
      <c r="L265" s="399" t="s">
        <v>34</v>
      </c>
      <c r="M265" s="399">
        <v>200</v>
      </c>
      <c r="N265" s="356">
        <v>670000</v>
      </c>
      <c r="O265" s="28" t="b">
        <f t="shared" si="15"/>
        <v>1</v>
      </c>
    </row>
    <row r="266" spans="2:15" s="28" customFormat="1" ht="16.5" customHeight="1">
      <c r="B266" s="20"/>
      <c r="C266" s="20"/>
      <c r="D266" s="254"/>
      <c r="E266" s="379">
        <v>139027</v>
      </c>
      <c r="F266" s="395" t="s">
        <v>572</v>
      </c>
      <c r="G266" s="396"/>
      <c r="H266" s="397"/>
      <c r="I266" s="383">
        <v>749000</v>
      </c>
      <c r="J266" s="398">
        <v>139027</v>
      </c>
      <c r="K266" s="399" t="s">
        <v>71</v>
      </c>
      <c r="L266" s="399" t="s">
        <v>34</v>
      </c>
      <c r="M266" s="399">
        <v>200</v>
      </c>
      <c r="N266" s="356">
        <v>749000</v>
      </c>
      <c r="O266" s="28" t="b">
        <f t="shared" si="15"/>
        <v>1</v>
      </c>
    </row>
    <row r="267" spans="2:15" s="28" customFormat="1" ht="16.5" customHeight="1">
      <c r="B267" s="20"/>
      <c r="C267" s="20"/>
      <c r="D267" s="254"/>
      <c r="E267" s="379">
        <v>139028</v>
      </c>
      <c r="F267" s="395" t="s">
        <v>573</v>
      </c>
      <c r="G267" s="396"/>
      <c r="H267" s="397"/>
      <c r="I267" s="383">
        <v>893000</v>
      </c>
      <c r="J267" s="398">
        <v>139028</v>
      </c>
      <c r="K267" s="399" t="s">
        <v>71</v>
      </c>
      <c r="L267" s="399" t="s">
        <v>34</v>
      </c>
      <c r="M267" s="399">
        <v>200</v>
      </c>
      <c r="N267" s="356">
        <v>893000</v>
      </c>
      <c r="O267" s="28" t="b">
        <f t="shared" si="15"/>
        <v>1</v>
      </c>
    </row>
    <row r="268" spans="2:15" s="28" customFormat="1" ht="16.5" customHeight="1">
      <c r="B268" s="20"/>
      <c r="C268" s="20"/>
      <c r="D268" s="254"/>
      <c r="E268" s="379">
        <v>139029</v>
      </c>
      <c r="F268" s="395" t="s">
        <v>574</v>
      </c>
      <c r="G268" s="396"/>
      <c r="H268" s="397"/>
      <c r="I268" s="383">
        <v>535000</v>
      </c>
      <c r="J268" s="398">
        <v>139029</v>
      </c>
      <c r="K268" s="399" t="s">
        <v>71</v>
      </c>
      <c r="L268" s="399" t="s">
        <v>34</v>
      </c>
      <c r="M268" s="399">
        <v>200</v>
      </c>
      <c r="N268" s="356">
        <v>535000</v>
      </c>
      <c r="O268" s="28" t="b">
        <f t="shared" si="15"/>
        <v>1</v>
      </c>
    </row>
    <row r="269" spans="2:15" s="28" customFormat="1" ht="16.5" customHeight="1">
      <c r="B269" s="20"/>
      <c r="C269" s="20"/>
      <c r="D269" s="254"/>
      <c r="E269" s="379">
        <v>139030</v>
      </c>
      <c r="F269" s="395" t="s">
        <v>236</v>
      </c>
      <c r="G269" s="396"/>
      <c r="H269" s="397"/>
      <c r="I269" s="383">
        <v>54500</v>
      </c>
      <c r="J269" s="398">
        <v>139030</v>
      </c>
      <c r="K269" s="399" t="s">
        <v>70</v>
      </c>
      <c r="L269" s="399" t="s">
        <v>34</v>
      </c>
      <c r="M269" s="399">
        <v>20</v>
      </c>
      <c r="N269" s="356">
        <v>54500</v>
      </c>
      <c r="O269" s="28" t="b">
        <f t="shared" si="15"/>
        <v>1</v>
      </c>
    </row>
    <row r="270" spans="2:15" s="28" customFormat="1" ht="16.5" customHeight="1">
      <c r="B270" s="20"/>
      <c r="C270" s="20"/>
      <c r="D270" s="254"/>
      <c r="E270" s="379">
        <v>139032</v>
      </c>
      <c r="F270" s="395" t="s">
        <v>322</v>
      </c>
      <c r="G270" s="396"/>
      <c r="H270" s="397"/>
      <c r="I270" s="383">
        <v>371000</v>
      </c>
      <c r="J270" s="398">
        <v>139032</v>
      </c>
      <c r="K270" s="399" t="s">
        <v>70</v>
      </c>
      <c r="L270" s="399" t="s">
        <v>34</v>
      </c>
      <c r="M270" s="399">
        <v>20</v>
      </c>
      <c r="N270" s="356">
        <v>371000</v>
      </c>
      <c r="O270" s="28" t="b">
        <f t="shared" si="15"/>
        <v>1</v>
      </c>
    </row>
    <row r="271" spans="2:15" s="28" customFormat="1" ht="16.5" customHeight="1">
      <c r="B271" s="20"/>
      <c r="C271" s="20"/>
      <c r="D271" s="254"/>
      <c r="E271" s="379">
        <v>139033</v>
      </c>
      <c r="F271" s="395" t="s">
        <v>323</v>
      </c>
      <c r="G271" s="396"/>
      <c r="H271" s="397"/>
      <c r="I271" s="383">
        <v>392000</v>
      </c>
      <c r="J271" s="398">
        <v>139033</v>
      </c>
      <c r="K271" s="399" t="s">
        <v>70</v>
      </c>
      <c r="L271" s="399" t="s">
        <v>34</v>
      </c>
      <c r="M271" s="399">
        <v>20</v>
      </c>
      <c r="N271" s="356">
        <v>392000</v>
      </c>
      <c r="O271" s="28" t="b">
        <f t="shared" si="15"/>
        <v>1</v>
      </c>
    </row>
    <row r="272" spans="2:15" s="28" customFormat="1" ht="16.5" customHeight="1">
      <c r="B272" s="20"/>
      <c r="C272" s="20"/>
      <c r="D272" s="254"/>
      <c r="E272" s="379">
        <v>139036</v>
      </c>
      <c r="F272" s="395" t="s">
        <v>575</v>
      </c>
      <c r="G272" s="396"/>
      <c r="H272" s="397"/>
      <c r="I272" s="383">
        <v>649000</v>
      </c>
      <c r="J272" s="398">
        <v>139036</v>
      </c>
      <c r="K272" s="399" t="s">
        <v>71</v>
      </c>
      <c r="L272" s="399" t="s">
        <v>34</v>
      </c>
      <c r="M272" s="399">
        <v>200</v>
      </c>
      <c r="N272" s="356">
        <v>649000</v>
      </c>
      <c r="O272" s="28" t="b">
        <f t="shared" si="15"/>
        <v>1</v>
      </c>
    </row>
    <row r="273" spans="2:15" s="28" customFormat="1" ht="16.5" customHeight="1">
      <c r="B273" s="20"/>
      <c r="C273" s="20"/>
      <c r="D273" s="254"/>
      <c r="E273" s="379">
        <v>139037</v>
      </c>
      <c r="F273" s="395" t="s">
        <v>324</v>
      </c>
      <c r="G273" s="396"/>
      <c r="H273" s="397"/>
      <c r="I273" s="383">
        <v>82400</v>
      </c>
      <c r="J273" s="398">
        <v>139037</v>
      </c>
      <c r="K273" s="399" t="s">
        <v>70</v>
      </c>
      <c r="L273" s="399" t="s">
        <v>34</v>
      </c>
      <c r="M273" s="399">
        <v>20</v>
      </c>
      <c r="N273" s="356">
        <v>82400</v>
      </c>
      <c r="O273" s="28" t="b">
        <f t="shared" si="15"/>
        <v>1</v>
      </c>
    </row>
    <row r="274" spans="2:15" s="28" customFormat="1" ht="16.5" customHeight="1">
      <c r="B274" s="20"/>
      <c r="C274" s="20"/>
      <c r="D274" s="254"/>
      <c r="E274" s="379">
        <v>139038</v>
      </c>
      <c r="F274" s="395" t="s">
        <v>576</v>
      </c>
      <c r="G274" s="396"/>
      <c r="H274" s="397"/>
      <c r="I274" s="383">
        <v>746000</v>
      </c>
      <c r="J274" s="398">
        <v>139038</v>
      </c>
      <c r="K274" s="399" t="s">
        <v>71</v>
      </c>
      <c r="L274" s="399" t="s">
        <v>34</v>
      </c>
      <c r="M274" s="399">
        <v>200</v>
      </c>
      <c r="N274" s="356">
        <v>746000</v>
      </c>
      <c r="O274" s="28" t="b">
        <f t="shared" si="15"/>
        <v>1</v>
      </c>
    </row>
    <row r="275" spans="2:15" s="28" customFormat="1" ht="16.5" customHeight="1">
      <c r="B275" s="20"/>
      <c r="C275" s="20"/>
      <c r="D275" s="254"/>
      <c r="E275" s="379">
        <v>139040</v>
      </c>
      <c r="F275" s="395" t="s">
        <v>577</v>
      </c>
      <c r="G275" s="396"/>
      <c r="H275" s="397"/>
      <c r="I275" s="383">
        <v>575000</v>
      </c>
      <c r="J275" s="398">
        <v>139040</v>
      </c>
      <c r="K275" s="399" t="s">
        <v>71</v>
      </c>
      <c r="L275" s="399" t="s">
        <v>34</v>
      </c>
      <c r="M275" s="399">
        <v>200</v>
      </c>
      <c r="N275" s="356">
        <v>575000</v>
      </c>
      <c r="O275" s="28" t="b">
        <f t="shared" si="15"/>
        <v>1</v>
      </c>
    </row>
    <row r="276" spans="2:15" s="28" customFormat="1" ht="16.5" customHeight="1">
      <c r="B276" s="20"/>
      <c r="C276" s="20"/>
      <c r="D276" s="254"/>
      <c r="E276" s="379">
        <v>139041</v>
      </c>
      <c r="F276" s="395" t="s">
        <v>325</v>
      </c>
      <c r="G276" s="396"/>
      <c r="H276" s="397"/>
      <c r="I276" s="383">
        <v>61300</v>
      </c>
      <c r="J276" s="398">
        <v>139041</v>
      </c>
      <c r="K276" s="399" t="s">
        <v>70</v>
      </c>
      <c r="L276" s="399" t="s">
        <v>34</v>
      </c>
      <c r="M276" s="399">
        <v>20</v>
      </c>
      <c r="N276" s="356">
        <v>61300</v>
      </c>
      <c r="O276" s="28" t="b">
        <f t="shared" si="15"/>
        <v>1</v>
      </c>
    </row>
    <row r="277" spans="2:15" s="28" customFormat="1" ht="16.5" customHeight="1">
      <c r="B277" s="20"/>
      <c r="C277" s="20"/>
      <c r="D277" s="254"/>
      <c r="E277" s="379">
        <v>139042</v>
      </c>
      <c r="F277" s="395" t="s">
        <v>578</v>
      </c>
      <c r="G277" s="396"/>
      <c r="H277" s="397"/>
      <c r="I277" s="383">
        <v>575000</v>
      </c>
      <c r="J277" s="398">
        <v>139042</v>
      </c>
      <c r="K277" s="399" t="s">
        <v>71</v>
      </c>
      <c r="L277" s="399" t="s">
        <v>34</v>
      </c>
      <c r="M277" s="399">
        <v>200</v>
      </c>
      <c r="N277" s="356">
        <v>575000</v>
      </c>
      <c r="O277" s="28" t="b">
        <f t="shared" si="15"/>
        <v>1</v>
      </c>
    </row>
    <row r="278" spans="2:15" s="28" customFormat="1" ht="16.5" customHeight="1">
      <c r="B278" s="20"/>
      <c r="C278" s="20"/>
      <c r="D278" s="254"/>
      <c r="E278" s="379">
        <v>139043</v>
      </c>
      <c r="F278" s="395" t="s">
        <v>326</v>
      </c>
      <c r="G278" s="396"/>
      <c r="H278" s="397"/>
      <c r="I278" s="383">
        <v>100000</v>
      </c>
      <c r="J278" s="398">
        <v>139043</v>
      </c>
      <c r="K278" s="399" t="s">
        <v>70</v>
      </c>
      <c r="L278" s="399" t="s">
        <v>34</v>
      </c>
      <c r="M278" s="399">
        <v>20</v>
      </c>
      <c r="N278" s="356">
        <v>100000</v>
      </c>
      <c r="O278" s="28" t="b">
        <f t="shared" si="15"/>
        <v>1</v>
      </c>
    </row>
    <row r="279" spans="2:15" s="28" customFormat="1" ht="16.5" customHeight="1">
      <c r="B279" s="20"/>
      <c r="C279" s="20"/>
      <c r="D279" s="254"/>
      <c r="E279" s="379">
        <v>139044</v>
      </c>
      <c r="F279" s="395" t="s">
        <v>579</v>
      </c>
      <c r="G279" s="396"/>
      <c r="H279" s="397"/>
      <c r="I279" s="383">
        <v>960000</v>
      </c>
      <c r="J279" s="398">
        <v>139044</v>
      </c>
      <c r="K279" s="399" t="s">
        <v>71</v>
      </c>
      <c r="L279" s="399" t="s">
        <v>34</v>
      </c>
      <c r="M279" s="399">
        <v>200</v>
      </c>
      <c r="N279" s="356">
        <v>960000</v>
      </c>
      <c r="O279" s="28" t="b">
        <f t="shared" si="15"/>
        <v>1</v>
      </c>
    </row>
    <row r="280" spans="2:15" s="28" customFormat="1" ht="16.5" customHeight="1">
      <c r="B280" s="20"/>
      <c r="C280" s="20"/>
      <c r="D280" s="254"/>
      <c r="E280" s="379">
        <v>139045</v>
      </c>
      <c r="F280" s="395" t="s">
        <v>327</v>
      </c>
      <c r="G280" s="396"/>
      <c r="H280" s="397"/>
      <c r="I280" s="383">
        <v>100000</v>
      </c>
      <c r="J280" s="398">
        <v>139045</v>
      </c>
      <c r="K280" s="399" t="s">
        <v>70</v>
      </c>
      <c r="L280" s="399" t="s">
        <v>34</v>
      </c>
      <c r="M280" s="399">
        <v>20</v>
      </c>
      <c r="N280" s="356">
        <v>100000</v>
      </c>
      <c r="O280" s="28" t="b">
        <f t="shared" si="15"/>
        <v>1</v>
      </c>
    </row>
    <row r="281" spans="2:15" s="28" customFormat="1" ht="16.5" customHeight="1">
      <c r="B281" s="20"/>
      <c r="C281" s="20"/>
      <c r="D281" s="254"/>
      <c r="E281" s="379">
        <v>139048</v>
      </c>
      <c r="F281" s="395" t="s">
        <v>328</v>
      </c>
      <c r="G281" s="396"/>
      <c r="H281" s="397"/>
      <c r="I281" s="383">
        <v>166000</v>
      </c>
      <c r="J281" s="398">
        <v>139048</v>
      </c>
      <c r="K281" s="399" t="s">
        <v>70</v>
      </c>
      <c r="L281" s="399" t="s">
        <v>34</v>
      </c>
      <c r="M281" s="399">
        <v>20</v>
      </c>
      <c r="N281" s="356">
        <v>166000</v>
      </c>
      <c r="O281" s="28" t="b">
        <f t="shared" si="15"/>
        <v>1</v>
      </c>
    </row>
    <row r="282" spans="2:15" s="28" customFormat="1" ht="16.5" customHeight="1">
      <c r="B282" s="20"/>
      <c r="C282" s="20"/>
      <c r="D282" s="254"/>
      <c r="E282" s="379">
        <v>139049</v>
      </c>
      <c r="F282" s="395" t="s">
        <v>329</v>
      </c>
      <c r="G282" s="396"/>
      <c r="H282" s="397"/>
      <c r="I282" s="383">
        <v>146000</v>
      </c>
      <c r="J282" s="398">
        <v>139049</v>
      </c>
      <c r="K282" s="399" t="s">
        <v>70</v>
      </c>
      <c r="L282" s="399" t="s">
        <v>34</v>
      </c>
      <c r="M282" s="399">
        <v>20</v>
      </c>
      <c r="N282" s="356">
        <v>146000</v>
      </c>
      <c r="O282" s="28" t="b">
        <f t="shared" ref="O282:O345" si="16">I282=N282</f>
        <v>1</v>
      </c>
    </row>
    <row r="283" spans="2:15" s="28" customFormat="1" ht="16.5" customHeight="1">
      <c r="B283" s="20"/>
      <c r="C283" s="20"/>
      <c r="D283" s="254"/>
      <c r="E283" s="379">
        <v>139050</v>
      </c>
      <c r="F283" s="395" t="s">
        <v>330</v>
      </c>
      <c r="G283" s="396"/>
      <c r="H283" s="397"/>
      <c r="I283" s="383"/>
      <c r="J283" s="398">
        <v>139050</v>
      </c>
      <c r="K283" s="399" t="s">
        <v>70</v>
      </c>
      <c r="L283" s="399" t="s">
        <v>34</v>
      </c>
      <c r="M283" s="399">
        <v>20</v>
      </c>
      <c r="N283" s="356" t="e">
        <v>#N/A</v>
      </c>
      <c r="O283" s="28" t="e">
        <f t="shared" si="16"/>
        <v>#N/A</v>
      </c>
    </row>
    <row r="284" spans="2:15" s="28" customFormat="1" ht="16.5" customHeight="1">
      <c r="B284" s="20"/>
      <c r="C284" s="20"/>
      <c r="D284" s="254"/>
      <c r="E284" s="379">
        <v>139051</v>
      </c>
      <c r="F284" s="395" t="s">
        <v>331</v>
      </c>
      <c r="G284" s="396"/>
      <c r="H284" s="397"/>
      <c r="I284" s="383">
        <v>169000</v>
      </c>
      <c r="J284" s="398">
        <v>139051</v>
      </c>
      <c r="K284" s="399" t="s">
        <v>70</v>
      </c>
      <c r="L284" s="399" t="s">
        <v>34</v>
      </c>
      <c r="M284" s="399">
        <v>18.899999999999999</v>
      </c>
      <c r="N284" s="356">
        <v>169000</v>
      </c>
      <c r="O284" s="28" t="b">
        <f t="shared" si="16"/>
        <v>1</v>
      </c>
    </row>
    <row r="285" spans="2:15" s="28" customFormat="1" ht="16.5" customHeight="1">
      <c r="B285" s="20"/>
      <c r="C285" s="20"/>
      <c r="D285" s="254"/>
      <c r="E285" s="379">
        <v>139052</v>
      </c>
      <c r="F285" s="395" t="s">
        <v>582</v>
      </c>
      <c r="G285" s="396"/>
      <c r="H285" s="397"/>
      <c r="I285" s="383"/>
      <c r="J285" s="398">
        <v>139052</v>
      </c>
      <c r="K285" s="399" t="s">
        <v>71</v>
      </c>
      <c r="L285" s="399" t="s">
        <v>34</v>
      </c>
      <c r="M285" s="399">
        <v>200</v>
      </c>
      <c r="N285" s="356" t="e">
        <v>#N/A</v>
      </c>
      <c r="O285" s="28" t="e">
        <f t="shared" si="16"/>
        <v>#N/A</v>
      </c>
    </row>
    <row r="286" spans="2:15" s="28" customFormat="1" ht="16.5" customHeight="1">
      <c r="B286" s="20"/>
      <c r="C286" s="20"/>
      <c r="D286" s="254"/>
      <c r="E286" s="379">
        <v>139057</v>
      </c>
      <c r="F286" s="395" t="s">
        <v>583</v>
      </c>
      <c r="G286" s="396"/>
      <c r="H286" s="397"/>
      <c r="I286" s="383">
        <v>721000</v>
      </c>
      <c r="J286" s="398">
        <v>139057</v>
      </c>
      <c r="K286" s="399" t="s">
        <v>71</v>
      </c>
      <c r="L286" s="399" t="s">
        <v>34</v>
      </c>
      <c r="M286" s="399">
        <v>200</v>
      </c>
      <c r="N286" s="356">
        <v>721000</v>
      </c>
      <c r="O286" s="28" t="b">
        <f t="shared" si="16"/>
        <v>1</v>
      </c>
    </row>
    <row r="287" spans="2:15" s="28" customFormat="1" ht="16.5" customHeight="1">
      <c r="B287" s="20"/>
      <c r="C287" s="20"/>
      <c r="D287" s="254"/>
      <c r="E287" s="379">
        <v>139058</v>
      </c>
      <c r="F287" s="395" t="s">
        <v>584</v>
      </c>
      <c r="G287" s="396"/>
      <c r="H287" s="397"/>
      <c r="I287" s="383">
        <v>893000</v>
      </c>
      <c r="J287" s="398">
        <v>139058</v>
      </c>
      <c r="K287" s="399" t="s">
        <v>71</v>
      </c>
      <c r="L287" s="399" t="s">
        <v>34</v>
      </c>
      <c r="M287" s="399">
        <v>200</v>
      </c>
      <c r="N287" s="356">
        <v>893000</v>
      </c>
      <c r="O287" s="28" t="b">
        <f t="shared" si="16"/>
        <v>1</v>
      </c>
    </row>
    <row r="288" spans="2:15" s="28" customFormat="1" ht="16.5" customHeight="1">
      <c r="B288" s="20"/>
      <c r="C288" s="20"/>
      <c r="D288" s="254"/>
      <c r="E288" s="379">
        <v>139059</v>
      </c>
      <c r="F288" s="395" t="s">
        <v>585</v>
      </c>
      <c r="G288" s="396"/>
      <c r="H288" s="397"/>
      <c r="I288" s="383">
        <v>691000</v>
      </c>
      <c r="J288" s="398">
        <v>139059</v>
      </c>
      <c r="K288" s="399" t="s">
        <v>71</v>
      </c>
      <c r="L288" s="399" t="s">
        <v>34</v>
      </c>
      <c r="M288" s="399">
        <v>200</v>
      </c>
      <c r="N288" s="356">
        <v>691000</v>
      </c>
      <c r="O288" s="28" t="b">
        <f t="shared" si="16"/>
        <v>1</v>
      </c>
    </row>
    <row r="289" spans="2:15" s="28" customFormat="1" ht="16.5" customHeight="1">
      <c r="B289" s="20"/>
      <c r="C289" s="20"/>
      <c r="D289" s="254"/>
      <c r="E289" s="379">
        <v>139061</v>
      </c>
      <c r="F289" s="395" t="s">
        <v>242</v>
      </c>
      <c r="G289" s="396"/>
      <c r="H289" s="397"/>
      <c r="I289" s="383">
        <v>83600</v>
      </c>
      <c r="J289" s="398">
        <v>139061</v>
      </c>
      <c r="K289" s="399" t="s">
        <v>70</v>
      </c>
      <c r="L289" s="399" t="s">
        <v>34</v>
      </c>
      <c r="M289" s="399">
        <v>20</v>
      </c>
      <c r="N289" s="356">
        <v>83600</v>
      </c>
      <c r="O289" s="28" t="b">
        <f t="shared" si="16"/>
        <v>1</v>
      </c>
    </row>
    <row r="290" spans="2:15" s="28" customFormat="1" ht="16.5" customHeight="1">
      <c r="B290" s="20"/>
      <c r="C290" s="20"/>
      <c r="D290" s="254"/>
      <c r="E290" s="379">
        <v>139062</v>
      </c>
      <c r="F290" s="395" t="s">
        <v>586</v>
      </c>
      <c r="G290" s="396"/>
      <c r="H290" s="397"/>
      <c r="I290" s="383">
        <v>687000</v>
      </c>
      <c r="J290" s="398">
        <v>139062</v>
      </c>
      <c r="K290" s="399" t="s">
        <v>71</v>
      </c>
      <c r="L290" s="399" t="s">
        <v>34</v>
      </c>
      <c r="M290" s="399">
        <v>200</v>
      </c>
      <c r="N290" s="356">
        <v>687000</v>
      </c>
      <c r="O290" s="28" t="b">
        <f t="shared" si="16"/>
        <v>1</v>
      </c>
    </row>
    <row r="291" spans="2:15" s="28" customFormat="1" ht="16.5" customHeight="1">
      <c r="B291" s="20"/>
      <c r="C291" s="20"/>
      <c r="D291" s="254"/>
      <c r="E291" s="379">
        <v>139063</v>
      </c>
      <c r="F291" s="395" t="s">
        <v>587</v>
      </c>
      <c r="G291" s="396"/>
      <c r="H291" s="397"/>
      <c r="I291" s="383">
        <v>670000</v>
      </c>
      <c r="J291" s="398">
        <v>139063</v>
      </c>
      <c r="K291" s="399" t="s">
        <v>71</v>
      </c>
      <c r="L291" s="399" t="s">
        <v>34</v>
      </c>
      <c r="M291" s="399">
        <v>200</v>
      </c>
      <c r="N291" s="356">
        <v>670000</v>
      </c>
      <c r="O291" s="28" t="b">
        <f t="shared" si="16"/>
        <v>1</v>
      </c>
    </row>
    <row r="292" spans="2:15" s="28" customFormat="1" ht="16.5" customHeight="1">
      <c r="B292" s="20"/>
      <c r="C292" s="20"/>
      <c r="D292" s="254"/>
      <c r="E292" s="379">
        <v>139064</v>
      </c>
      <c r="F292" s="395" t="s">
        <v>233</v>
      </c>
      <c r="G292" s="396"/>
      <c r="H292" s="397"/>
      <c r="I292" s="383">
        <v>66400</v>
      </c>
      <c r="J292" s="398">
        <v>139064</v>
      </c>
      <c r="K292" s="399" t="s">
        <v>70</v>
      </c>
      <c r="L292" s="399" t="s">
        <v>34</v>
      </c>
      <c r="M292" s="399">
        <v>20</v>
      </c>
      <c r="N292" s="356">
        <v>66400</v>
      </c>
      <c r="O292" s="28" t="b">
        <f t="shared" si="16"/>
        <v>1</v>
      </c>
    </row>
    <row r="293" spans="2:15" s="28" customFormat="1" ht="16.5" customHeight="1">
      <c r="B293" s="20"/>
      <c r="C293" s="20"/>
      <c r="D293" s="254"/>
      <c r="E293" s="379">
        <v>139065</v>
      </c>
      <c r="F293" s="395" t="s">
        <v>588</v>
      </c>
      <c r="G293" s="396"/>
      <c r="H293" s="397"/>
      <c r="I293" s="383">
        <v>685000</v>
      </c>
      <c r="J293" s="398">
        <v>139065</v>
      </c>
      <c r="K293" s="399" t="s">
        <v>71</v>
      </c>
      <c r="L293" s="399" t="s">
        <v>34</v>
      </c>
      <c r="M293" s="399">
        <v>200</v>
      </c>
      <c r="N293" s="356">
        <v>685000</v>
      </c>
      <c r="O293" s="28" t="b">
        <f t="shared" si="16"/>
        <v>1</v>
      </c>
    </row>
    <row r="294" spans="2:15" s="28" customFormat="1" ht="16.5" customHeight="1">
      <c r="B294" s="20"/>
      <c r="C294" s="20"/>
      <c r="D294" s="254"/>
      <c r="E294" s="379">
        <v>139066</v>
      </c>
      <c r="F294" s="395" t="s">
        <v>332</v>
      </c>
      <c r="G294" s="396"/>
      <c r="H294" s="397"/>
      <c r="I294" s="383">
        <v>69100</v>
      </c>
      <c r="J294" s="398">
        <v>139066</v>
      </c>
      <c r="K294" s="399" t="s">
        <v>70</v>
      </c>
      <c r="L294" s="399" t="s">
        <v>34</v>
      </c>
      <c r="M294" s="399">
        <v>20</v>
      </c>
      <c r="N294" s="356">
        <v>69100</v>
      </c>
      <c r="O294" s="28" t="b">
        <f t="shared" si="16"/>
        <v>1</v>
      </c>
    </row>
    <row r="295" spans="2:15" s="28" customFormat="1" ht="16.5" customHeight="1">
      <c r="B295" s="20"/>
      <c r="C295" s="20"/>
      <c r="D295" s="254"/>
      <c r="E295" s="379">
        <v>139067</v>
      </c>
      <c r="F295" s="395" t="s">
        <v>333</v>
      </c>
      <c r="G295" s="396"/>
      <c r="H295" s="397"/>
      <c r="I295" s="383"/>
      <c r="J295" s="398">
        <v>139067</v>
      </c>
      <c r="K295" s="399" t="s">
        <v>70</v>
      </c>
      <c r="L295" s="399" t="s">
        <v>34</v>
      </c>
      <c r="M295" s="399">
        <v>18.899999999999999</v>
      </c>
      <c r="N295" s="356" t="e">
        <v>#N/A</v>
      </c>
      <c r="O295" s="28" t="e">
        <f t="shared" si="16"/>
        <v>#N/A</v>
      </c>
    </row>
    <row r="296" spans="2:15" s="28" customFormat="1" ht="16.5" customHeight="1">
      <c r="B296" s="20"/>
      <c r="C296" s="20"/>
      <c r="D296" s="254"/>
      <c r="E296" s="379">
        <v>139068</v>
      </c>
      <c r="F296" s="395" t="s">
        <v>589</v>
      </c>
      <c r="G296" s="396"/>
      <c r="H296" s="397"/>
      <c r="I296" s="383">
        <v>4688000</v>
      </c>
      <c r="J296" s="398">
        <v>139068</v>
      </c>
      <c r="K296" s="399" t="s">
        <v>71</v>
      </c>
      <c r="L296" s="399" t="s">
        <v>34</v>
      </c>
      <c r="M296" s="399">
        <v>208</v>
      </c>
      <c r="N296" s="356">
        <v>4688000</v>
      </c>
      <c r="O296" s="28" t="b">
        <f t="shared" si="16"/>
        <v>1</v>
      </c>
    </row>
    <row r="297" spans="2:15" s="28" customFormat="1" ht="16.5" customHeight="1">
      <c r="B297" s="20"/>
      <c r="C297" s="20"/>
      <c r="D297" s="254"/>
      <c r="E297" s="379">
        <v>139069</v>
      </c>
      <c r="F297" s="395" t="s">
        <v>334</v>
      </c>
      <c r="G297" s="396"/>
      <c r="H297" s="397"/>
      <c r="I297" s="383">
        <v>296000</v>
      </c>
      <c r="J297" s="398">
        <v>139069</v>
      </c>
      <c r="K297" s="399" t="s">
        <v>70</v>
      </c>
      <c r="L297" s="399" t="s">
        <v>34</v>
      </c>
      <c r="M297" s="399">
        <v>20</v>
      </c>
      <c r="N297" s="356">
        <v>296000</v>
      </c>
      <c r="O297" s="28" t="b">
        <f t="shared" si="16"/>
        <v>1</v>
      </c>
    </row>
    <row r="298" spans="2:15" s="28" customFormat="1" ht="16.5" customHeight="1">
      <c r="B298" s="20"/>
      <c r="C298" s="20"/>
      <c r="D298" s="254"/>
      <c r="E298" s="379">
        <v>139070</v>
      </c>
      <c r="F298" s="395" t="s">
        <v>335</v>
      </c>
      <c r="G298" s="396"/>
      <c r="H298" s="397"/>
      <c r="I298" s="383">
        <v>318000</v>
      </c>
      <c r="J298" s="398">
        <v>139070</v>
      </c>
      <c r="K298" s="399" t="s">
        <v>70</v>
      </c>
      <c r="L298" s="399" t="s">
        <v>34</v>
      </c>
      <c r="M298" s="399">
        <v>20</v>
      </c>
      <c r="N298" s="356">
        <v>318000</v>
      </c>
      <c r="O298" s="28" t="b">
        <f t="shared" si="16"/>
        <v>1</v>
      </c>
    </row>
    <row r="299" spans="2:15" s="28" customFormat="1" ht="16.5" customHeight="1">
      <c r="B299" s="20"/>
      <c r="C299" s="20"/>
      <c r="D299" s="254"/>
      <c r="E299" s="379">
        <v>139071</v>
      </c>
      <c r="F299" s="395" t="s">
        <v>590</v>
      </c>
      <c r="G299" s="396"/>
      <c r="H299" s="397"/>
      <c r="I299" s="383">
        <v>746000</v>
      </c>
      <c r="J299" s="398">
        <v>139071</v>
      </c>
      <c r="K299" s="399" t="s">
        <v>71</v>
      </c>
      <c r="L299" s="399" t="s">
        <v>34</v>
      </c>
      <c r="M299" s="399">
        <v>200</v>
      </c>
      <c r="N299" s="356">
        <v>746000</v>
      </c>
      <c r="O299" s="28" t="b">
        <f t="shared" si="16"/>
        <v>1</v>
      </c>
    </row>
    <row r="300" spans="2:15" s="28" customFormat="1" ht="16.5" customHeight="1">
      <c r="B300" s="20"/>
      <c r="C300" s="20"/>
      <c r="D300" s="254"/>
      <c r="E300" s="379">
        <v>139074</v>
      </c>
      <c r="F300" s="395" t="s">
        <v>591</v>
      </c>
      <c r="G300" s="396"/>
      <c r="H300" s="397"/>
      <c r="I300" s="383">
        <v>746000</v>
      </c>
      <c r="J300" s="398">
        <v>139074</v>
      </c>
      <c r="K300" s="399" t="s">
        <v>71</v>
      </c>
      <c r="L300" s="399" t="s">
        <v>34</v>
      </c>
      <c r="M300" s="399">
        <v>200</v>
      </c>
      <c r="N300" s="356">
        <v>746000</v>
      </c>
      <c r="O300" s="28" t="b">
        <f t="shared" si="16"/>
        <v>1</v>
      </c>
    </row>
    <row r="301" spans="2:15" s="28" customFormat="1" ht="16.5" customHeight="1">
      <c r="B301" s="20"/>
      <c r="C301" s="20"/>
      <c r="D301" s="254"/>
      <c r="E301" s="379">
        <v>139075</v>
      </c>
      <c r="F301" s="395" t="s">
        <v>592</v>
      </c>
      <c r="G301" s="396"/>
      <c r="H301" s="397"/>
      <c r="I301" s="383">
        <v>746000</v>
      </c>
      <c r="J301" s="398">
        <v>139075</v>
      </c>
      <c r="K301" s="399" t="s">
        <v>71</v>
      </c>
      <c r="L301" s="399" t="s">
        <v>34</v>
      </c>
      <c r="M301" s="399">
        <v>200</v>
      </c>
      <c r="N301" s="356">
        <v>746000</v>
      </c>
      <c r="O301" s="28" t="b">
        <f t="shared" si="16"/>
        <v>1</v>
      </c>
    </row>
    <row r="302" spans="2:15" s="28" customFormat="1" ht="16.5" customHeight="1">
      <c r="B302" s="20"/>
      <c r="C302" s="20"/>
      <c r="D302" s="254"/>
      <c r="E302" s="379">
        <v>135303</v>
      </c>
      <c r="F302" s="395" t="s">
        <v>336</v>
      </c>
      <c r="G302" s="396"/>
      <c r="H302" s="397"/>
      <c r="I302" s="383">
        <v>370000</v>
      </c>
      <c r="J302" s="398">
        <v>135303</v>
      </c>
      <c r="K302" s="399" t="s">
        <v>70</v>
      </c>
      <c r="L302" s="399" t="s">
        <v>34</v>
      </c>
      <c r="M302" s="399">
        <v>20</v>
      </c>
      <c r="N302" s="356">
        <v>370000</v>
      </c>
      <c r="O302" s="28" t="b">
        <f t="shared" si="16"/>
        <v>1</v>
      </c>
    </row>
    <row r="303" spans="2:15" s="28" customFormat="1" ht="16.5" customHeight="1">
      <c r="B303" s="20"/>
      <c r="C303" s="20"/>
      <c r="D303" s="254"/>
      <c r="E303" s="379">
        <v>139080</v>
      </c>
      <c r="F303" s="395" t="s">
        <v>337</v>
      </c>
      <c r="G303" s="396"/>
      <c r="H303" s="397"/>
      <c r="I303" s="383">
        <v>300000</v>
      </c>
      <c r="J303" s="398">
        <v>139080</v>
      </c>
      <c r="K303" s="399" t="s">
        <v>70</v>
      </c>
      <c r="L303" s="399" t="s">
        <v>34</v>
      </c>
      <c r="M303" s="399">
        <v>20</v>
      </c>
      <c r="N303" s="356">
        <v>300000</v>
      </c>
      <c r="O303" s="28" t="b">
        <f t="shared" si="16"/>
        <v>1</v>
      </c>
    </row>
    <row r="304" spans="2:15" s="28" customFormat="1" ht="16.5" customHeight="1">
      <c r="B304" s="20"/>
      <c r="C304" s="20"/>
      <c r="D304" s="254"/>
      <c r="E304" s="379">
        <v>139082</v>
      </c>
      <c r="F304" s="395" t="s">
        <v>338</v>
      </c>
      <c r="G304" s="396"/>
      <c r="H304" s="397"/>
      <c r="I304" s="383">
        <v>366000</v>
      </c>
      <c r="J304" s="398">
        <v>139082</v>
      </c>
      <c r="K304" s="399" t="s">
        <v>70</v>
      </c>
      <c r="L304" s="399" t="s">
        <v>34</v>
      </c>
      <c r="M304" s="399">
        <v>20</v>
      </c>
      <c r="N304" s="356">
        <v>366000</v>
      </c>
      <c r="O304" s="28" t="b">
        <f t="shared" si="16"/>
        <v>1</v>
      </c>
    </row>
    <row r="305" spans="2:15" s="28" customFormat="1" ht="16.5" customHeight="1">
      <c r="B305" s="20"/>
      <c r="C305" s="20"/>
      <c r="D305" s="254"/>
      <c r="E305" s="379">
        <v>139084</v>
      </c>
      <c r="F305" s="395" t="s">
        <v>243</v>
      </c>
      <c r="G305" s="401"/>
      <c r="H305" s="402"/>
      <c r="I305" s="383">
        <v>58600</v>
      </c>
      <c r="J305" s="399">
        <v>139084</v>
      </c>
      <c r="K305" s="399" t="s">
        <v>70</v>
      </c>
      <c r="L305" s="399" t="s">
        <v>34</v>
      </c>
      <c r="M305" s="399">
        <v>20</v>
      </c>
      <c r="N305" s="356">
        <v>58600</v>
      </c>
      <c r="O305" s="28" t="b">
        <f t="shared" si="16"/>
        <v>1</v>
      </c>
    </row>
    <row r="306" spans="2:15" s="28" customFormat="1" ht="16.5" customHeight="1">
      <c r="B306" s="20"/>
      <c r="C306" s="20"/>
      <c r="D306" s="254"/>
      <c r="E306" s="379">
        <v>139085</v>
      </c>
      <c r="F306" s="395" t="s">
        <v>593</v>
      </c>
      <c r="G306" s="401"/>
      <c r="H306" s="402"/>
      <c r="I306" s="383">
        <v>535000</v>
      </c>
      <c r="J306" s="398">
        <v>139085</v>
      </c>
      <c r="K306" s="399" t="s">
        <v>71</v>
      </c>
      <c r="L306" s="399" t="s">
        <v>34</v>
      </c>
      <c r="M306" s="399">
        <v>200</v>
      </c>
      <c r="N306" s="356">
        <v>535000</v>
      </c>
      <c r="O306" s="28" t="b">
        <f t="shared" si="16"/>
        <v>1</v>
      </c>
    </row>
    <row r="307" spans="2:15" s="28" customFormat="1" ht="16.5" customHeight="1">
      <c r="B307" s="20"/>
      <c r="C307" s="20"/>
      <c r="D307" s="254"/>
      <c r="E307" s="379">
        <v>139086</v>
      </c>
      <c r="F307" s="395" t="s">
        <v>226</v>
      </c>
      <c r="G307" s="401"/>
      <c r="H307" s="402"/>
      <c r="I307" s="383">
        <v>54500</v>
      </c>
      <c r="J307" s="398">
        <v>139086</v>
      </c>
      <c r="K307" s="399" t="s">
        <v>70</v>
      </c>
      <c r="L307" s="399" t="s">
        <v>34</v>
      </c>
      <c r="M307" s="399">
        <v>20</v>
      </c>
      <c r="N307" s="356">
        <v>54500</v>
      </c>
      <c r="O307" s="28" t="b">
        <f t="shared" si="16"/>
        <v>1</v>
      </c>
    </row>
    <row r="308" spans="2:15" s="28" customFormat="1" ht="16.5" customHeight="1">
      <c r="B308" s="20"/>
      <c r="C308" s="20"/>
      <c r="D308" s="254"/>
      <c r="E308" s="379">
        <v>139087</v>
      </c>
      <c r="F308" s="395" t="s">
        <v>594</v>
      </c>
      <c r="G308" s="401"/>
      <c r="H308" s="402"/>
      <c r="I308" s="383">
        <v>547000</v>
      </c>
      <c r="J308" s="398">
        <v>139087</v>
      </c>
      <c r="K308" s="399" t="s">
        <v>71</v>
      </c>
      <c r="L308" s="399" t="s">
        <v>34</v>
      </c>
      <c r="M308" s="399">
        <v>200</v>
      </c>
      <c r="N308" s="356">
        <v>547000</v>
      </c>
      <c r="O308" s="28" t="b">
        <f t="shared" si="16"/>
        <v>1</v>
      </c>
    </row>
    <row r="309" spans="2:15" s="28" customFormat="1" ht="16.5" customHeight="1">
      <c r="B309" s="20"/>
      <c r="C309" s="20"/>
      <c r="D309" s="254"/>
      <c r="E309" s="379">
        <v>139088</v>
      </c>
      <c r="F309" s="395" t="s">
        <v>234</v>
      </c>
      <c r="G309" s="401"/>
      <c r="H309" s="402"/>
      <c r="I309" s="383">
        <v>58600</v>
      </c>
      <c r="J309" s="398">
        <v>139088</v>
      </c>
      <c r="K309" s="399" t="s">
        <v>70</v>
      </c>
      <c r="L309" s="399" t="s">
        <v>34</v>
      </c>
      <c r="M309" s="399">
        <v>20</v>
      </c>
      <c r="N309" s="356">
        <v>58600</v>
      </c>
      <c r="O309" s="28" t="b">
        <f t="shared" si="16"/>
        <v>1</v>
      </c>
    </row>
    <row r="310" spans="2:15" s="28" customFormat="1" ht="16.5" customHeight="1">
      <c r="B310" s="20"/>
      <c r="C310" s="20"/>
      <c r="D310" s="254"/>
      <c r="E310" s="379">
        <v>139089</v>
      </c>
      <c r="F310" s="395" t="s">
        <v>595</v>
      </c>
      <c r="G310" s="401"/>
      <c r="H310" s="402"/>
      <c r="I310" s="383">
        <v>663000</v>
      </c>
      <c r="J310" s="398">
        <v>139089</v>
      </c>
      <c r="K310" s="399" t="s">
        <v>71</v>
      </c>
      <c r="L310" s="399" t="s">
        <v>34</v>
      </c>
      <c r="M310" s="399">
        <v>200</v>
      </c>
      <c r="N310" s="356">
        <v>663000</v>
      </c>
      <c r="O310" s="28" t="b">
        <f t="shared" si="16"/>
        <v>1</v>
      </c>
    </row>
    <row r="311" spans="2:15" s="28" customFormat="1" ht="16.5" customHeight="1">
      <c r="B311" s="20"/>
      <c r="C311" s="20"/>
      <c r="D311" s="254"/>
      <c r="E311" s="379">
        <v>139090</v>
      </c>
      <c r="F311" s="395" t="s">
        <v>596</v>
      </c>
      <c r="G311" s="396"/>
      <c r="H311" s="397"/>
      <c r="I311" s="383">
        <v>626000</v>
      </c>
      <c r="J311" s="398">
        <v>139090</v>
      </c>
      <c r="K311" s="399" t="s">
        <v>71</v>
      </c>
      <c r="L311" s="399" t="s">
        <v>34</v>
      </c>
      <c r="M311" s="399">
        <v>200</v>
      </c>
      <c r="N311" s="356">
        <v>626000</v>
      </c>
      <c r="O311" s="28" t="b">
        <f t="shared" si="16"/>
        <v>1</v>
      </c>
    </row>
    <row r="312" spans="2:15" s="28" customFormat="1" ht="16.5" customHeight="1">
      <c r="B312" s="20"/>
      <c r="C312" s="20"/>
      <c r="D312" s="254"/>
      <c r="E312" s="379">
        <v>139091</v>
      </c>
      <c r="F312" s="395" t="s">
        <v>597</v>
      </c>
      <c r="G312" s="401"/>
      <c r="H312" s="402"/>
      <c r="I312" s="383">
        <v>508000</v>
      </c>
      <c r="J312" s="399">
        <v>139091</v>
      </c>
      <c r="K312" s="399" t="s">
        <v>71</v>
      </c>
      <c r="L312" s="399" t="s">
        <v>34</v>
      </c>
      <c r="M312" s="399">
        <v>200</v>
      </c>
      <c r="N312" s="356">
        <v>508000</v>
      </c>
      <c r="O312" s="28" t="b">
        <f t="shared" si="16"/>
        <v>1</v>
      </c>
    </row>
    <row r="313" spans="2:15" s="28" customFormat="1" ht="16.5" customHeight="1">
      <c r="B313" s="20"/>
      <c r="C313" s="20"/>
      <c r="D313" s="254"/>
      <c r="E313" s="379">
        <v>139092</v>
      </c>
      <c r="F313" s="395" t="s">
        <v>598</v>
      </c>
      <c r="G313" s="401"/>
      <c r="H313" s="402"/>
      <c r="I313" s="383">
        <v>907000</v>
      </c>
      <c r="J313" s="398">
        <v>139092</v>
      </c>
      <c r="K313" s="399" t="s">
        <v>71</v>
      </c>
      <c r="L313" s="399" t="s">
        <v>34</v>
      </c>
      <c r="M313" s="399">
        <v>200</v>
      </c>
      <c r="N313" s="356">
        <v>907000</v>
      </c>
      <c r="O313" s="28" t="b">
        <f t="shared" si="16"/>
        <v>1</v>
      </c>
    </row>
    <row r="314" spans="2:15" s="28" customFormat="1" ht="16.5" customHeight="1">
      <c r="B314" s="20"/>
      <c r="C314" s="20"/>
      <c r="D314" s="254"/>
      <c r="E314" s="379">
        <v>139094</v>
      </c>
      <c r="F314" s="395" t="s">
        <v>599</v>
      </c>
      <c r="G314" s="401"/>
      <c r="H314" s="402"/>
      <c r="I314" s="383">
        <v>781000</v>
      </c>
      <c r="J314" s="398">
        <v>139094</v>
      </c>
      <c r="K314" s="399" t="s">
        <v>71</v>
      </c>
      <c r="L314" s="399" t="s">
        <v>34</v>
      </c>
      <c r="M314" s="399">
        <v>200</v>
      </c>
      <c r="N314" s="356">
        <v>781000</v>
      </c>
      <c r="O314" s="28" t="b">
        <f t="shared" si="16"/>
        <v>1</v>
      </c>
    </row>
    <row r="315" spans="2:15" s="28" customFormat="1" ht="16.5" customHeight="1">
      <c r="B315" s="20"/>
      <c r="C315" s="20"/>
      <c r="D315" s="254"/>
      <c r="E315" s="379">
        <v>139095</v>
      </c>
      <c r="F315" s="395" t="s">
        <v>600</v>
      </c>
      <c r="G315" s="401"/>
      <c r="H315" s="402"/>
      <c r="I315" s="383">
        <v>843000</v>
      </c>
      <c r="J315" s="398">
        <v>139095</v>
      </c>
      <c r="K315" s="399" t="s">
        <v>71</v>
      </c>
      <c r="L315" s="399" t="s">
        <v>34</v>
      </c>
      <c r="M315" s="399">
        <v>200</v>
      </c>
      <c r="N315" s="356">
        <v>843000</v>
      </c>
      <c r="O315" s="28" t="b">
        <f t="shared" si="16"/>
        <v>1</v>
      </c>
    </row>
    <row r="316" spans="2:15" s="28" customFormat="1" ht="16.5" customHeight="1">
      <c r="B316" s="20"/>
      <c r="C316" s="20"/>
      <c r="D316" s="254"/>
      <c r="E316" s="379">
        <v>139096</v>
      </c>
      <c r="F316" s="395" t="s">
        <v>339</v>
      </c>
      <c r="G316" s="401"/>
      <c r="H316" s="402"/>
      <c r="I316" s="383">
        <v>89700</v>
      </c>
      <c r="J316" s="398">
        <v>139096</v>
      </c>
      <c r="K316" s="399" t="s">
        <v>70</v>
      </c>
      <c r="L316" s="399" t="s">
        <v>34</v>
      </c>
      <c r="M316" s="399">
        <v>20</v>
      </c>
      <c r="N316" s="356">
        <v>89700</v>
      </c>
      <c r="O316" s="28" t="b">
        <f t="shared" si="16"/>
        <v>1</v>
      </c>
    </row>
    <row r="317" spans="2:15" s="28" customFormat="1" ht="16.5" customHeight="1">
      <c r="B317" s="20"/>
      <c r="C317" s="20"/>
      <c r="D317" s="254"/>
      <c r="E317" s="379">
        <v>139097</v>
      </c>
      <c r="F317" s="395" t="s">
        <v>601</v>
      </c>
      <c r="G317" s="401"/>
      <c r="H317" s="402"/>
      <c r="I317" s="383">
        <v>987000</v>
      </c>
      <c r="J317" s="398">
        <v>139097</v>
      </c>
      <c r="K317" s="399" t="s">
        <v>71</v>
      </c>
      <c r="L317" s="399" t="s">
        <v>34</v>
      </c>
      <c r="M317" s="399">
        <v>200</v>
      </c>
      <c r="N317" s="356">
        <v>987000</v>
      </c>
      <c r="O317" s="28" t="b">
        <f t="shared" si="16"/>
        <v>1</v>
      </c>
    </row>
    <row r="318" spans="2:15" s="28" customFormat="1" ht="16.5" customHeight="1">
      <c r="B318" s="20"/>
      <c r="C318" s="20"/>
      <c r="D318" s="254"/>
      <c r="E318" s="379">
        <v>139099</v>
      </c>
      <c r="F318" s="395" t="s">
        <v>602</v>
      </c>
      <c r="G318" s="396"/>
      <c r="H318" s="397"/>
      <c r="I318" s="383">
        <v>637000</v>
      </c>
      <c r="J318" s="398">
        <v>139099</v>
      </c>
      <c r="K318" s="399" t="s">
        <v>71</v>
      </c>
      <c r="L318" s="399" t="s">
        <v>34</v>
      </c>
      <c r="M318" s="399">
        <v>200</v>
      </c>
      <c r="N318" s="356">
        <v>637000</v>
      </c>
      <c r="O318" s="28" t="b">
        <f t="shared" si="16"/>
        <v>1</v>
      </c>
    </row>
    <row r="319" spans="2:15" s="28" customFormat="1" ht="16.5" customHeight="1">
      <c r="B319" s="20"/>
      <c r="C319" s="20"/>
      <c r="D319" s="254"/>
      <c r="E319" s="379">
        <v>139101</v>
      </c>
      <c r="F319" s="395" t="s">
        <v>603</v>
      </c>
      <c r="G319" s="396"/>
      <c r="H319" s="397"/>
      <c r="I319" s="383">
        <v>616000</v>
      </c>
      <c r="J319" s="398">
        <v>139101</v>
      </c>
      <c r="K319" s="399" t="s">
        <v>71</v>
      </c>
      <c r="L319" s="399" t="s">
        <v>34</v>
      </c>
      <c r="M319" s="399">
        <v>200</v>
      </c>
      <c r="N319" s="356">
        <v>616000</v>
      </c>
      <c r="O319" s="28" t="b">
        <f t="shared" si="16"/>
        <v>1</v>
      </c>
    </row>
    <row r="320" spans="2:15" s="28" customFormat="1" ht="16.5" customHeight="1">
      <c r="B320" s="20"/>
      <c r="C320" s="20"/>
      <c r="D320" s="254"/>
      <c r="E320" s="379">
        <v>139103</v>
      </c>
      <c r="F320" s="395" t="s">
        <v>604</v>
      </c>
      <c r="G320" s="396"/>
      <c r="H320" s="397"/>
      <c r="I320" s="383">
        <v>564000</v>
      </c>
      <c r="J320" s="398">
        <v>139103</v>
      </c>
      <c r="K320" s="399" t="s">
        <v>71</v>
      </c>
      <c r="L320" s="399" t="s">
        <v>34</v>
      </c>
      <c r="M320" s="399">
        <v>200</v>
      </c>
      <c r="N320" s="356">
        <v>564000</v>
      </c>
      <c r="O320" s="28" t="b">
        <f t="shared" si="16"/>
        <v>1</v>
      </c>
    </row>
    <row r="321" spans="2:15" s="28" customFormat="1" ht="16.5" customHeight="1">
      <c r="B321" s="20"/>
      <c r="C321" s="20"/>
      <c r="D321" s="254"/>
      <c r="E321" s="379">
        <v>139105</v>
      </c>
      <c r="F321" s="395" t="s">
        <v>605</v>
      </c>
      <c r="G321" s="396"/>
      <c r="H321" s="397"/>
      <c r="I321" s="383">
        <v>628000</v>
      </c>
      <c r="J321" s="398">
        <v>139105</v>
      </c>
      <c r="K321" s="399" t="s">
        <v>71</v>
      </c>
      <c r="L321" s="399" t="s">
        <v>34</v>
      </c>
      <c r="M321" s="399">
        <v>200</v>
      </c>
      <c r="N321" s="356">
        <v>628000</v>
      </c>
      <c r="O321" s="28" t="b">
        <f t="shared" si="16"/>
        <v>1</v>
      </c>
    </row>
    <row r="322" spans="2:15" s="28" customFormat="1" ht="16.5" customHeight="1">
      <c r="B322" s="20"/>
      <c r="C322" s="20"/>
      <c r="D322" s="254"/>
      <c r="E322" s="379">
        <v>139106</v>
      </c>
      <c r="F322" s="395" t="s">
        <v>340</v>
      </c>
      <c r="G322" s="396"/>
      <c r="H322" s="397"/>
      <c r="I322" s="383">
        <v>76400</v>
      </c>
      <c r="J322" s="398">
        <v>139106</v>
      </c>
      <c r="K322" s="399" t="s">
        <v>70</v>
      </c>
      <c r="L322" s="399" t="s">
        <v>34</v>
      </c>
      <c r="M322" s="399">
        <v>20</v>
      </c>
      <c r="N322" s="356">
        <v>76400</v>
      </c>
      <c r="O322" s="28" t="b">
        <f t="shared" si="16"/>
        <v>1</v>
      </c>
    </row>
    <row r="323" spans="2:15" s="28" customFormat="1" ht="16.5" customHeight="1">
      <c r="B323" s="20"/>
      <c r="C323" s="20"/>
      <c r="D323" s="254"/>
      <c r="E323" s="379">
        <v>139107</v>
      </c>
      <c r="F323" s="395" t="s">
        <v>606</v>
      </c>
      <c r="G323" s="396"/>
      <c r="H323" s="397"/>
      <c r="I323" s="383">
        <v>630000</v>
      </c>
      <c r="J323" s="398">
        <v>139107</v>
      </c>
      <c r="K323" s="399" t="s">
        <v>71</v>
      </c>
      <c r="L323" s="399" t="s">
        <v>34</v>
      </c>
      <c r="M323" s="399">
        <v>200</v>
      </c>
      <c r="N323" s="356">
        <v>630000</v>
      </c>
      <c r="O323" s="28" t="b">
        <f t="shared" si="16"/>
        <v>1</v>
      </c>
    </row>
    <row r="324" spans="2:15" s="28" customFormat="1" ht="16.5" customHeight="1">
      <c r="B324" s="20"/>
      <c r="C324" s="20"/>
      <c r="D324" s="254"/>
      <c r="E324" s="379">
        <v>139108</v>
      </c>
      <c r="F324" s="395" t="s">
        <v>341</v>
      </c>
      <c r="G324" s="396"/>
      <c r="H324" s="397"/>
      <c r="I324" s="383" t="e">
        <v>#N/A</v>
      </c>
      <c r="J324" s="398">
        <v>139108</v>
      </c>
      <c r="K324" s="399" t="s">
        <v>70</v>
      </c>
      <c r="L324" s="399" t="s">
        <v>34</v>
      </c>
      <c r="M324" s="399">
        <v>20</v>
      </c>
      <c r="N324" s="356" t="e">
        <v>#N/A</v>
      </c>
      <c r="O324" s="28" t="e">
        <f t="shared" si="16"/>
        <v>#N/A</v>
      </c>
    </row>
    <row r="325" spans="2:15" s="28" customFormat="1" ht="16.5" customHeight="1">
      <c r="B325" s="20"/>
      <c r="C325" s="20"/>
      <c r="D325" s="254"/>
      <c r="E325" s="379">
        <v>139109</v>
      </c>
      <c r="F325" s="395" t="s">
        <v>607</v>
      </c>
      <c r="G325" s="396"/>
      <c r="H325" s="397"/>
      <c r="I325" s="383">
        <v>593000</v>
      </c>
      <c r="J325" s="398">
        <v>139109</v>
      </c>
      <c r="K325" s="399" t="s">
        <v>71</v>
      </c>
      <c r="L325" s="399" t="s">
        <v>34</v>
      </c>
      <c r="M325" s="399">
        <v>200</v>
      </c>
      <c r="N325" s="356">
        <v>593000</v>
      </c>
      <c r="O325" s="28" t="b">
        <f t="shared" si="16"/>
        <v>1</v>
      </c>
    </row>
    <row r="326" spans="2:15" s="28" customFormat="1" ht="16.5" customHeight="1">
      <c r="B326" s="20"/>
      <c r="C326" s="20"/>
      <c r="D326" s="254"/>
      <c r="E326" s="379">
        <v>139110</v>
      </c>
      <c r="F326" s="395" t="s">
        <v>342</v>
      </c>
      <c r="G326" s="396"/>
      <c r="H326" s="397"/>
      <c r="I326" s="383">
        <v>72300</v>
      </c>
      <c r="J326" s="398">
        <v>139110</v>
      </c>
      <c r="K326" s="399" t="s">
        <v>70</v>
      </c>
      <c r="L326" s="399" t="s">
        <v>34</v>
      </c>
      <c r="M326" s="399">
        <v>20</v>
      </c>
      <c r="N326" s="356">
        <v>72300</v>
      </c>
      <c r="O326" s="28" t="b">
        <f t="shared" si="16"/>
        <v>1</v>
      </c>
    </row>
    <row r="327" spans="2:15" s="28" customFormat="1" ht="16.5" customHeight="1">
      <c r="B327" s="20"/>
      <c r="C327" s="20"/>
      <c r="D327" s="254"/>
      <c r="E327" s="379">
        <v>139111</v>
      </c>
      <c r="F327" s="395" t="s">
        <v>608</v>
      </c>
      <c r="G327" s="396"/>
      <c r="H327" s="397"/>
      <c r="I327" s="383">
        <v>654000</v>
      </c>
      <c r="J327" s="398">
        <v>139111</v>
      </c>
      <c r="K327" s="399" t="s">
        <v>71</v>
      </c>
      <c r="L327" s="399" t="s">
        <v>34</v>
      </c>
      <c r="M327" s="399">
        <v>200</v>
      </c>
      <c r="N327" s="356">
        <v>654000</v>
      </c>
      <c r="O327" s="28" t="b">
        <f t="shared" si="16"/>
        <v>1</v>
      </c>
    </row>
    <row r="328" spans="2:15" s="28" customFormat="1" ht="16.5" customHeight="1">
      <c r="B328" s="20"/>
      <c r="C328" s="20"/>
      <c r="D328" s="254"/>
      <c r="E328" s="379">
        <v>139112</v>
      </c>
      <c r="F328" s="395" t="s">
        <v>343</v>
      </c>
      <c r="G328" s="396"/>
      <c r="H328" s="397"/>
      <c r="I328" s="383">
        <v>465000</v>
      </c>
      <c r="J328" s="398">
        <v>139112</v>
      </c>
      <c r="K328" s="399" t="s">
        <v>70</v>
      </c>
      <c r="L328" s="399" t="s">
        <v>34</v>
      </c>
      <c r="M328" s="399">
        <v>20</v>
      </c>
      <c r="N328" s="356">
        <v>465000</v>
      </c>
      <c r="O328" s="28" t="b">
        <f t="shared" si="16"/>
        <v>1</v>
      </c>
    </row>
    <row r="329" spans="2:15" s="28" customFormat="1" ht="16.5" customHeight="1">
      <c r="B329" s="20"/>
      <c r="C329" s="20"/>
      <c r="D329" s="254"/>
      <c r="E329" s="379">
        <v>139113</v>
      </c>
      <c r="F329" s="395" t="s">
        <v>344</v>
      </c>
      <c r="G329" s="396"/>
      <c r="H329" s="397"/>
      <c r="I329" s="383">
        <v>364000</v>
      </c>
      <c r="J329" s="398">
        <v>139113</v>
      </c>
      <c r="K329" s="399" t="s">
        <v>70</v>
      </c>
      <c r="L329" s="399" t="s">
        <v>34</v>
      </c>
      <c r="M329" s="399">
        <v>20</v>
      </c>
      <c r="N329" s="356">
        <v>364000</v>
      </c>
      <c r="O329" s="28" t="b">
        <f t="shared" si="16"/>
        <v>1</v>
      </c>
    </row>
    <row r="330" spans="2:15" s="28" customFormat="1" ht="16.5" customHeight="1">
      <c r="B330" s="20"/>
      <c r="C330" s="20"/>
      <c r="D330" s="254"/>
      <c r="E330" s="379">
        <v>139118</v>
      </c>
      <c r="F330" s="395" t="s">
        <v>609</v>
      </c>
      <c r="G330" s="396"/>
      <c r="H330" s="397"/>
      <c r="I330" s="383">
        <v>952000</v>
      </c>
      <c r="J330" s="398">
        <v>139118</v>
      </c>
      <c r="K330" s="399" t="s">
        <v>71</v>
      </c>
      <c r="L330" s="399" t="s">
        <v>34</v>
      </c>
      <c r="M330" s="399">
        <v>200</v>
      </c>
      <c r="N330" s="356">
        <v>952000</v>
      </c>
      <c r="O330" s="28" t="b">
        <f t="shared" si="16"/>
        <v>1</v>
      </c>
    </row>
    <row r="331" spans="2:15" s="28" customFormat="1" ht="16.5" customHeight="1">
      <c r="B331" s="20"/>
      <c r="C331" s="20"/>
      <c r="D331" s="254"/>
      <c r="E331" s="379">
        <v>139121</v>
      </c>
      <c r="F331" s="395" t="s">
        <v>610</v>
      </c>
      <c r="G331" s="396"/>
      <c r="H331" s="397"/>
      <c r="I331" s="383">
        <v>952000</v>
      </c>
      <c r="J331" s="398">
        <v>139121</v>
      </c>
      <c r="K331" s="399" t="s">
        <v>71</v>
      </c>
      <c r="L331" s="399" t="s">
        <v>34</v>
      </c>
      <c r="M331" s="399">
        <v>200</v>
      </c>
      <c r="N331" s="356">
        <v>952000</v>
      </c>
      <c r="O331" s="28" t="b">
        <f t="shared" si="16"/>
        <v>1</v>
      </c>
    </row>
    <row r="332" spans="2:15" s="28" customFormat="1" ht="16.5" customHeight="1">
      <c r="B332" s="20"/>
      <c r="C332" s="20"/>
      <c r="D332" s="254"/>
      <c r="E332" s="379">
        <v>139123</v>
      </c>
      <c r="F332" s="395" t="s">
        <v>611</v>
      </c>
      <c r="G332" s="396"/>
      <c r="H332" s="397"/>
      <c r="I332" s="383">
        <v>952000</v>
      </c>
      <c r="J332" s="398">
        <v>139123</v>
      </c>
      <c r="K332" s="399" t="s">
        <v>71</v>
      </c>
      <c r="L332" s="399" t="s">
        <v>34</v>
      </c>
      <c r="M332" s="399">
        <v>200</v>
      </c>
      <c r="N332" s="356">
        <v>952000</v>
      </c>
      <c r="O332" s="28" t="b">
        <f t="shared" si="16"/>
        <v>1</v>
      </c>
    </row>
    <row r="333" spans="2:15" s="28" customFormat="1" ht="16.5" customHeight="1">
      <c r="B333" s="20"/>
      <c r="C333" s="20"/>
      <c r="D333" s="254"/>
      <c r="E333" s="379">
        <v>139125</v>
      </c>
      <c r="F333" s="395" t="s">
        <v>612</v>
      </c>
      <c r="G333" s="396"/>
      <c r="H333" s="397"/>
      <c r="I333" s="383">
        <v>618000</v>
      </c>
      <c r="J333" s="398">
        <v>139125</v>
      </c>
      <c r="K333" s="399" t="s">
        <v>71</v>
      </c>
      <c r="L333" s="399" t="s">
        <v>34</v>
      </c>
      <c r="M333" s="399">
        <v>200</v>
      </c>
      <c r="N333" s="356">
        <v>618000</v>
      </c>
      <c r="O333" s="28" t="b">
        <f t="shared" si="16"/>
        <v>1</v>
      </c>
    </row>
    <row r="334" spans="2:15" s="28" customFormat="1" ht="16.5" customHeight="1">
      <c r="B334" s="20"/>
      <c r="C334" s="20"/>
      <c r="D334" s="254"/>
      <c r="E334" s="379">
        <v>139127</v>
      </c>
      <c r="F334" s="395" t="s">
        <v>244</v>
      </c>
      <c r="G334" s="396"/>
      <c r="H334" s="397"/>
      <c r="I334" s="383">
        <v>71000</v>
      </c>
      <c r="J334" s="398">
        <v>139127</v>
      </c>
      <c r="K334" s="399" t="s">
        <v>70</v>
      </c>
      <c r="L334" s="399" t="s">
        <v>34</v>
      </c>
      <c r="M334" s="399">
        <v>20</v>
      </c>
      <c r="N334" s="356">
        <v>71000</v>
      </c>
      <c r="O334" s="28" t="b">
        <f t="shared" si="16"/>
        <v>1</v>
      </c>
    </row>
    <row r="335" spans="2:15" s="28" customFormat="1" ht="16.5" customHeight="1">
      <c r="B335" s="20"/>
      <c r="C335" s="20"/>
      <c r="D335" s="254"/>
      <c r="E335" s="379">
        <v>139128</v>
      </c>
      <c r="F335" s="395" t="s">
        <v>613</v>
      </c>
      <c r="G335" s="396"/>
      <c r="H335" s="397"/>
      <c r="I335" s="383">
        <v>607000</v>
      </c>
      <c r="J335" s="398">
        <v>139128</v>
      </c>
      <c r="K335" s="399" t="s">
        <v>71</v>
      </c>
      <c r="L335" s="399" t="s">
        <v>34</v>
      </c>
      <c r="M335" s="399">
        <v>200</v>
      </c>
      <c r="N335" s="356">
        <v>607000</v>
      </c>
      <c r="O335" s="28" t="b">
        <f t="shared" si="16"/>
        <v>1</v>
      </c>
    </row>
    <row r="336" spans="2:15" s="28" customFormat="1" ht="16.5" customHeight="1">
      <c r="B336" s="20"/>
      <c r="C336" s="20"/>
      <c r="D336" s="254"/>
      <c r="E336" s="379">
        <v>139129</v>
      </c>
      <c r="F336" s="395" t="s">
        <v>245</v>
      </c>
      <c r="G336" s="396"/>
      <c r="H336" s="397"/>
      <c r="I336" s="383">
        <v>69800</v>
      </c>
      <c r="J336" s="398">
        <v>139129</v>
      </c>
      <c r="K336" s="399" t="s">
        <v>70</v>
      </c>
      <c r="L336" s="399" t="s">
        <v>34</v>
      </c>
      <c r="M336" s="399">
        <v>20</v>
      </c>
      <c r="N336" s="356">
        <v>69800</v>
      </c>
      <c r="O336" s="28" t="b">
        <f t="shared" si="16"/>
        <v>1</v>
      </c>
    </row>
    <row r="337" spans="2:15" s="28" customFormat="1" ht="16.5" customHeight="1">
      <c r="B337" s="20"/>
      <c r="C337" s="20"/>
      <c r="D337" s="254"/>
      <c r="E337" s="379">
        <v>139130</v>
      </c>
      <c r="F337" s="395" t="s">
        <v>614</v>
      </c>
      <c r="G337" s="396"/>
      <c r="H337" s="397"/>
      <c r="I337" s="383">
        <v>623000</v>
      </c>
      <c r="J337" s="398">
        <v>139130</v>
      </c>
      <c r="K337" s="399" t="s">
        <v>71</v>
      </c>
      <c r="L337" s="399" t="s">
        <v>34</v>
      </c>
      <c r="M337" s="399">
        <v>200</v>
      </c>
      <c r="N337" s="356">
        <v>623000</v>
      </c>
      <c r="O337" s="28" t="b">
        <f t="shared" si="16"/>
        <v>1</v>
      </c>
    </row>
    <row r="338" spans="2:15" s="28" customFormat="1" ht="16.5" customHeight="1">
      <c r="B338" s="20"/>
      <c r="C338" s="20"/>
      <c r="D338" s="254"/>
      <c r="E338" s="379">
        <v>139131</v>
      </c>
      <c r="F338" s="395" t="s">
        <v>237</v>
      </c>
      <c r="G338" s="396"/>
      <c r="H338" s="397"/>
      <c r="I338" s="383">
        <v>74600</v>
      </c>
      <c r="J338" s="398">
        <v>139131</v>
      </c>
      <c r="K338" s="399" t="s">
        <v>70</v>
      </c>
      <c r="L338" s="399" t="s">
        <v>34</v>
      </c>
      <c r="M338" s="399">
        <v>20</v>
      </c>
      <c r="N338" s="356">
        <v>74600</v>
      </c>
      <c r="O338" s="28" t="b">
        <f t="shared" si="16"/>
        <v>1</v>
      </c>
    </row>
    <row r="339" spans="2:15" s="28" customFormat="1" ht="16.5" customHeight="1">
      <c r="B339" s="20"/>
      <c r="C339" s="20"/>
      <c r="D339" s="254"/>
      <c r="E339" s="379">
        <v>139132</v>
      </c>
      <c r="F339" s="395" t="s">
        <v>615</v>
      </c>
      <c r="G339" s="396"/>
      <c r="H339" s="397"/>
      <c r="I339" s="383">
        <v>623000</v>
      </c>
      <c r="J339" s="398">
        <v>139132</v>
      </c>
      <c r="K339" s="399" t="s">
        <v>71</v>
      </c>
      <c r="L339" s="399" t="s">
        <v>34</v>
      </c>
      <c r="M339" s="399">
        <v>200</v>
      </c>
      <c r="N339" s="356">
        <v>623000</v>
      </c>
      <c r="O339" s="28" t="b">
        <f t="shared" si="16"/>
        <v>1</v>
      </c>
    </row>
    <row r="340" spans="2:15" s="28" customFormat="1" ht="16.5" customHeight="1">
      <c r="B340" s="20"/>
      <c r="C340" s="20"/>
      <c r="D340" s="254"/>
      <c r="E340" s="379">
        <v>139134</v>
      </c>
      <c r="F340" s="395" t="s">
        <v>227</v>
      </c>
      <c r="G340" s="396"/>
      <c r="H340" s="397"/>
      <c r="I340" s="383">
        <v>70900</v>
      </c>
      <c r="J340" s="398">
        <v>139134</v>
      </c>
      <c r="K340" s="399" t="s">
        <v>70</v>
      </c>
      <c r="L340" s="399" t="s">
        <v>34</v>
      </c>
      <c r="M340" s="399">
        <v>20</v>
      </c>
      <c r="N340" s="356">
        <v>70900</v>
      </c>
      <c r="O340" s="28" t="b">
        <f t="shared" si="16"/>
        <v>1</v>
      </c>
    </row>
    <row r="341" spans="2:15" s="28" customFormat="1" ht="16.5" customHeight="1">
      <c r="B341" s="20"/>
      <c r="C341" s="20"/>
      <c r="D341" s="254"/>
      <c r="E341" s="379">
        <v>139135</v>
      </c>
      <c r="F341" s="395" t="s">
        <v>616</v>
      </c>
      <c r="G341" s="396"/>
      <c r="H341" s="397"/>
      <c r="I341" s="383">
        <v>641000</v>
      </c>
      <c r="J341" s="398">
        <v>139135</v>
      </c>
      <c r="K341" s="399" t="s">
        <v>71</v>
      </c>
      <c r="L341" s="399" t="s">
        <v>34</v>
      </c>
      <c r="M341" s="399">
        <v>200</v>
      </c>
      <c r="N341" s="356">
        <v>641000</v>
      </c>
      <c r="O341" s="28" t="b">
        <f t="shared" si="16"/>
        <v>1</v>
      </c>
    </row>
    <row r="342" spans="2:15" s="28" customFormat="1" ht="16.5" customHeight="1">
      <c r="B342" s="20"/>
      <c r="C342" s="20"/>
      <c r="D342" s="254"/>
      <c r="E342" s="379">
        <v>139137</v>
      </c>
      <c r="F342" s="395" t="s">
        <v>246</v>
      </c>
      <c r="G342" s="396"/>
      <c r="H342" s="397"/>
      <c r="I342" s="383">
        <v>80900</v>
      </c>
      <c r="J342" s="398">
        <v>139137</v>
      </c>
      <c r="K342" s="399" t="s">
        <v>70</v>
      </c>
      <c r="L342" s="399" t="s">
        <v>34</v>
      </c>
      <c r="M342" s="399">
        <v>20</v>
      </c>
      <c r="N342" s="356">
        <v>80900</v>
      </c>
      <c r="O342" s="28" t="b">
        <f t="shared" si="16"/>
        <v>1</v>
      </c>
    </row>
    <row r="343" spans="2:15" s="28" customFormat="1" ht="16.5" customHeight="1">
      <c r="B343" s="20"/>
      <c r="C343" s="20"/>
      <c r="D343" s="254"/>
      <c r="E343" s="379">
        <v>139138</v>
      </c>
      <c r="F343" s="395" t="s">
        <v>617</v>
      </c>
      <c r="G343" s="396"/>
      <c r="H343" s="397"/>
      <c r="I343" s="383">
        <v>740000</v>
      </c>
      <c r="J343" s="398">
        <v>139138</v>
      </c>
      <c r="K343" s="399" t="s">
        <v>71</v>
      </c>
      <c r="L343" s="399" t="s">
        <v>34</v>
      </c>
      <c r="M343" s="399">
        <v>200</v>
      </c>
      <c r="N343" s="356">
        <v>740000</v>
      </c>
      <c r="O343" s="28" t="b">
        <f t="shared" si="16"/>
        <v>1</v>
      </c>
    </row>
    <row r="344" spans="2:15" s="28" customFormat="1" ht="16.5" customHeight="1">
      <c r="B344" s="20"/>
      <c r="C344" s="20"/>
      <c r="D344" s="254"/>
      <c r="E344" s="379">
        <v>139139</v>
      </c>
      <c r="F344" s="395" t="s">
        <v>247</v>
      </c>
      <c r="G344" s="396"/>
      <c r="H344" s="397"/>
      <c r="I344" s="383">
        <v>80900</v>
      </c>
      <c r="J344" s="398">
        <v>139139</v>
      </c>
      <c r="K344" s="399" t="s">
        <v>70</v>
      </c>
      <c r="L344" s="399" t="s">
        <v>34</v>
      </c>
      <c r="M344" s="399">
        <v>20</v>
      </c>
      <c r="N344" s="356">
        <v>80900</v>
      </c>
      <c r="O344" s="28" t="b">
        <f t="shared" si="16"/>
        <v>1</v>
      </c>
    </row>
    <row r="345" spans="2:15" s="28" customFormat="1" ht="16.5" customHeight="1">
      <c r="B345" s="20"/>
      <c r="C345" s="20"/>
      <c r="D345" s="254"/>
      <c r="E345" s="379">
        <v>139140</v>
      </c>
      <c r="F345" s="395" t="s">
        <v>618</v>
      </c>
      <c r="G345" s="396"/>
      <c r="H345" s="397"/>
      <c r="I345" s="383">
        <v>750000</v>
      </c>
      <c r="J345" s="398">
        <v>139140</v>
      </c>
      <c r="K345" s="399" t="s">
        <v>71</v>
      </c>
      <c r="L345" s="399" t="s">
        <v>34</v>
      </c>
      <c r="M345" s="399">
        <v>200</v>
      </c>
      <c r="N345" s="356">
        <v>750000</v>
      </c>
      <c r="O345" s="28" t="b">
        <f t="shared" si="16"/>
        <v>1</v>
      </c>
    </row>
    <row r="346" spans="2:15" s="28" customFormat="1" ht="16.5" customHeight="1">
      <c r="B346" s="20"/>
      <c r="C346" s="20"/>
      <c r="D346" s="254"/>
      <c r="E346" s="379">
        <v>139141</v>
      </c>
      <c r="F346" s="395" t="s">
        <v>345</v>
      </c>
      <c r="G346" s="396"/>
      <c r="H346" s="397"/>
      <c r="I346" s="383">
        <v>87100</v>
      </c>
      <c r="J346" s="398">
        <v>139141</v>
      </c>
      <c r="K346" s="399" t="s">
        <v>70</v>
      </c>
      <c r="L346" s="399" t="s">
        <v>34</v>
      </c>
      <c r="M346" s="399">
        <v>20</v>
      </c>
      <c r="N346" s="356">
        <v>87100</v>
      </c>
      <c r="O346" s="28" t="b">
        <f t="shared" ref="O346:O409" si="17">I346=N346</f>
        <v>1</v>
      </c>
    </row>
    <row r="347" spans="2:15" s="28" customFormat="1" ht="16.5" customHeight="1">
      <c r="B347" s="20"/>
      <c r="C347" s="20"/>
      <c r="D347" s="254"/>
      <c r="E347" s="379">
        <v>139142</v>
      </c>
      <c r="F347" s="395" t="s">
        <v>619</v>
      </c>
      <c r="G347" s="396"/>
      <c r="H347" s="397"/>
      <c r="I347" s="383">
        <v>423000</v>
      </c>
      <c r="J347" s="398">
        <v>139142</v>
      </c>
      <c r="K347" s="399" t="s">
        <v>71</v>
      </c>
      <c r="L347" s="399" t="s">
        <v>34</v>
      </c>
      <c r="M347" s="399">
        <v>200</v>
      </c>
      <c r="N347" s="356">
        <v>423000</v>
      </c>
      <c r="O347" s="28" t="b">
        <f t="shared" si="17"/>
        <v>1</v>
      </c>
    </row>
    <row r="348" spans="2:15" s="28" customFormat="1" ht="16.5" customHeight="1">
      <c r="B348" s="20"/>
      <c r="C348" s="20"/>
      <c r="D348" s="254"/>
      <c r="E348" s="379">
        <v>139143</v>
      </c>
      <c r="F348" s="395" t="s">
        <v>248</v>
      </c>
      <c r="G348" s="396"/>
      <c r="H348" s="397"/>
      <c r="I348" s="383">
        <v>44000</v>
      </c>
      <c r="J348" s="398">
        <v>139143</v>
      </c>
      <c r="K348" s="399" t="s">
        <v>70</v>
      </c>
      <c r="L348" s="399" t="s">
        <v>34</v>
      </c>
      <c r="M348" s="399">
        <v>20</v>
      </c>
      <c r="N348" s="356">
        <v>44000</v>
      </c>
      <c r="O348" s="28" t="b">
        <f t="shared" si="17"/>
        <v>1</v>
      </c>
    </row>
    <row r="349" spans="2:15" s="28" customFormat="1" ht="16.5" customHeight="1">
      <c r="B349" s="20"/>
      <c r="C349" s="20"/>
      <c r="D349" s="254"/>
      <c r="E349" s="379">
        <v>139144</v>
      </c>
      <c r="F349" s="395" t="s">
        <v>620</v>
      </c>
      <c r="G349" s="396"/>
      <c r="H349" s="397"/>
      <c r="I349" s="383">
        <v>423000</v>
      </c>
      <c r="J349" s="398">
        <v>139144</v>
      </c>
      <c r="K349" s="399" t="s">
        <v>71</v>
      </c>
      <c r="L349" s="399" t="s">
        <v>34</v>
      </c>
      <c r="M349" s="399">
        <v>200</v>
      </c>
      <c r="N349" s="356">
        <v>423000</v>
      </c>
      <c r="O349" s="28" t="b">
        <f t="shared" si="17"/>
        <v>1</v>
      </c>
    </row>
    <row r="350" spans="2:15" s="28" customFormat="1" ht="16.5" customHeight="1">
      <c r="B350" s="20"/>
      <c r="C350" s="20"/>
      <c r="D350" s="254"/>
      <c r="E350" s="379">
        <v>139145</v>
      </c>
      <c r="F350" s="395" t="s">
        <v>228</v>
      </c>
      <c r="G350" s="396"/>
      <c r="H350" s="397"/>
      <c r="I350" s="383">
        <v>44000</v>
      </c>
      <c r="J350" s="398">
        <v>139145</v>
      </c>
      <c r="K350" s="399" t="s">
        <v>70</v>
      </c>
      <c r="L350" s="399" t="s">
        <v>34</v>
      </c>
      <c r="M350" s="399">
        <v>20</v>
      </c>
      <c r="N350" s="356">
        <v>44000</v>
      </c>
      <c r="O350" s="28" t="b">
        <f t="shared" si="17"/>
        <v>1</v>
      </c>
    </row>
    <row r="351" spans="2:15" s="28" customFormat="1" ht="16.5" customHeight="1">
      <c r="B351" s="20"/>
      <c r="C351" s="20"/>
      <c r="D351" s="254"/>
      <c r="E351" s="379">
        <v>139146</v>
      </c>
      <c r="F351" s="395" t="s">
        <v>621</v>
      </c>
      <c r="G351" s="396"/>
      <c r="H351" s="397"/>
      <c r="I351" s="383">
        <v>455000</v>
      </c>
      <c r="J351" s="398">
        <v>139146</v>
      </c>
      <c r="K351" s="399" t="s">
        <v>71</v>
      </c>
      <c r="L351" s="399" t="s">
        <v>34</v>
      </c>
      <c r="M351" s="399">
        <v>200</v>
      </c>
      <c r="N351" s="356">
        <v>455000</v>
      </c>
      <c r="O351" s="28" t="b">
        <f t="shared" si="17"/>
        <v>1</v>
      </c>
    </row>
    <row r="352" spans="2:15" s="28" customFormat="1" ht="16.5" customHeight="1">
      <c r="B352" s="20"/>
      <c r="C352" s="20"/>
      <c r="D352" s="254"/>
      <c r="E352" s="379">
        <v>139147</v>
      </c>
      <c r="F352" s="395" t="s">
        <v>622</v>
      </c>
      <c r="G352" s="396"/>
      <c r="H352" s="397"/>
      <c r="I352" s="383">
        <v>475000</v>
      </c>
      <c r="J352" s="398">
        <v>139147</v>
      </c>
      <c r="K352" s="399" t="s">
        <v>71</v>
      </c>
      <c r="L352" s="399" t="s">
        <v>34</v>
      </c>
      <c r="M352" s="399">
        <v>200</v>
      </c>
      <c r="N352" s="356">
        <v>475000</v>
      </c>
      <c r="O352" s="28" t="b">
        <f t="shared" si="17"/>
        <v>1</v>
      </c>
    </row>
    <row r="353" spans="2:15" s="28" customFormat="1" ht="16.5" customHeight="1">
      <c r="B353" s="20"/>
      <c r="C353" s="20"/>
      <c r="D353" s="254"/>
      <c r="E353" s="379">
        <v>139148</v>
      </c>
      <c r="F353" s="395" t="s">
        <v>346</v>
      </c>
      <c r="G353" s="396"/>
      <c r="H353" s="397"/>
      <c r="I353" s="383">
        <v>50600</v>
      </c>
      <c r="J353" s="398">
        <v>139148</v>
      </c>
      <c r="K353" s="399" t="s">
        <v>70</v>
      </c>
      <c r="L353" s="399" t="s">
        <v>34</v>
      </c>
      <c r="M353" s="399">
        <v>20</v>
      </c>
      <c r="N353" s="356">
        <v>50600</v>
      </c>
      <c r="O353" s="28" t="b">
        <f t="shared" si="17"/>
        <v>1</v>
      </c>
    </row>
    <row r="354" spans="2:15" s="28" customFormat="1" ht="16.5" customHeight="1">
      <c r="B354" s="20"/>
      <c r="C354" s="20"/>
      <c r="D354" s="254"/>
      <c r="E354" s="379">
        <v>139149</v>
      </c>
      <c r="F354" s="395" t="s">
        <v>623</v>
      </c>
      <c r="G354" s="396"/>
      <c r="H354" s="397"/>
      <c r="I354" s="383">
        <v>539000</v>
      </c>
      <c r="J354" s="398">
        <v>139149</v>
      </c>
      <c r="K354" s="399" t="s">
        <v>71</v>
      </c>
      <c r="L354" s="399" t="s">
        <v>34</v>
      </c>
      <c r="M354" s="399">
        <v>200</v>
      </c>
      <c r="N354" s="356">
        <v>539000</v>
      </c>
      <c r="O354" s="28" t="b">
        <f t="shared" si="17"/>
        <v>1</v>
      </c>
    </row>
    <row r="355" spans="2:15" s="28" customFormat="1" ht="16.5" customHeight="1">
      <c r="B355" s="20"/>
      <c r="C355" s="20"/>
      <c r="D355" s="254"/>
      <c r="E355" s="379">
        <v>139150</v>
      </c>
      <c r="F355" s="395" t="s">
        <v>249</v>
      </c>
      <c r="G355" s="396"/>
      <c r="H355" s="397"/>
      <c r="I355" s="383">
        <v>56700</v>
      </c>
      <c r="J355" s="398">
        <v>139150</v>
      </c>
      <c r="K355" s="399" t="s">
        <v>70</v>
      </c>
      <c r="L355" s="399" t="s">
        <v>34</v>
      </c>
      <c r="M355" s="399">
        <v>20</v>
      </c>
      <c r="N355" s="356">
        <v>56700</v>
      </c>
      <c r="O355" s="28" t="b">
        <f t="shared" si="17"/>
        <v>1</v>
      </c>
    </row>
    <row r="356" spans="2:15" s="28" customFormat="1" ht="16.5" customHeight="1">
      <c r="B356" s="20"/>
      <c r="C356" s="20"/>
      <c r="D356" s="254"/>
      <c r="E356" s="379">
        <v>139151</v>
      </c>
      <c r="F356" s="395" t="s">
        <v>624</v>
      </c>
      <c r="G356" s="396"/>
      <c r="H356" s="397"/>
      <c r="I356" s="383">
        <v>539000</v>
      </c>
      <c r="J356" s="398">
        <v>139151</v>
      </c>
      <c r="K356" s="399" t="s">
        <v>71</v>
      </c>
      <c r="L356" s="399" t="s">
        <v>34</v>
      </c>
      <c r="M356" s="399">
        <v>200</v>
      </c>
      <c r="N356" s="356">
        <v>539000</v>
      </c>
      <c r="O356" s="28" t="b">
        <f t="shared" si="17"/>
        <v>1</v>
      </c>
    </row>
    <row r="357" spans="2:15" s="28" customFormat="1" ht="16.5" customHeight="1">
      <c r="B357" s="20"/>
      <c r="C357" s="20"/>
      <c r="D357" s="254"/>
      <c r="E357" s="379">
        <v>139152</v>
      </c>
      <c r="F357" s="395" t="s">
        <v>250</v>
      </c>
      <c r="G357" s="396"/>
      <c r="H357" s="397"/>
      <c r="I357" s="383">
        <v>56700</v>
      </c>
      <c r="J357" s="398">
        <v>139152</v>
      </c>
      <c r="K357" s="399" t="s">
        <v>70</v>
      </c>
      <c r="L357" s="399" t="s">
        <v>34</v>
      </c>
      <c r="M357" s="399">
        <v>20</v>
      </c>
      <c r="N357" s="356">
        <v>56700</v>
      </c>
      <c r="O357" s="28" t="b">
        <f t="shared" si="17"/>
        <v>1</v>
      </c>
    </row>
    <row r="358" spans="2:15" s="28" customFormat="1" ht="16.5" customHeight="1">
      <c r="B358" s="20"/>
      <c r="C358" s="20"/>
      <c r="D358" s="254"/>
      <c r="E358" s="379">
        <v>139153</v>
      </c>
      <c r="F358" s="395" t="s">
        <v>625</v>
      </c>
      <c r="G358" s="396"/>
      <c r="H358" s="397"/>
      <c r="I358" s="383">
        <v>580000</v>
      </c>
      <c r="J358" s="398">
        <v>139153</v>
      </c>
      <c r="K358" s="399" t="s">
        <v>71</v>
      </c>
      <c r="L358" s="399" t="s">
        <v>34</v>
      </c>
      <c r="M358" s="399">
        <v>200</v>
      </c>
      <c r="N358" s="356">
        <v>580000</v>
      </c>
      <c r="O358" s="28" t="b">
        <f t="shared" si="17"/>
        <v>1</v>
      </c>
    </row>
    <row r="359" spans="2:15" s="28" customFormat="1" ht="16.5" customHeight="1">
      <c r="B359" s="20"/>
      <c r="C359" s="20"/>
      <c r="D359" s="254"/>
      <c r="E359" s="379">
        <v>139154</v>
      </c>
      <c r="F359" s="395" t="s">
        <v>251</v>
      </c>
      <c r="G359" s="396"/>
      <c r="H359" s="397"/>
      <c r="I359" s="383">
        <v>60600</v>
      </c>
      <c r="J359" s="398">
        <v>139154</v>
      </c>
      <c r="K359" s="399" t="s">
        <v>70</v>
      </c>
      <c r="L359" s="399" t="s">
        <v>34</v>
      </c>
      <c r="M359" s="399">
        <v>20</v>
      </c>
      <c r="N359" s="356">
        <v>60600</v>
      </c>
      <c r="O359" s="28" t="b">
        <f t="shared" si="17"/>
        <v>1</v>
      </c>
    </row>
    <row r="360" spans="2:15" s="28" customFormat="1" ht="16.5" customHeight="1">
      <c r="B360" s="20"/>
      <c r="C360" s="20"/>
      <c r="D360" s="254"/>
      <c r="E360" s="379">
        <v>139155</v>
      </c>
      <c r="F360" s="395" t="s">
        <v>626</v>
      </c>
      <c r="G360" s="396"/>
      <c r="H360" s="397"/>
      <c r="I360" s="383">
        <v>610000</v>
      </c>
      <c r="J360" s="398">
        <v>139155</v>
      </c>
      <c r="K360" s="399" t="s">
        <v>71</v>
      </c>
      <c r="L360" s="399" t="s">
        <v>34</v>
      </c>
      <c r="M360" s="399">
        <v>200</v>
      </c>
      <c r="N360" s="356">
        <v>610000</v>
      </c>
      <c r="O360" s="28" t="b">
        <f t="shared" si="17"/>
        <v>1</v>
      </c>
    </row>
    <row r="361" spans="2:15" s="28" customFormat="1" ht="16.5" customHeight="1">
      <c r="B361" s="20"/>
      <c r="C361" s="20"/>
      <c r="D361" s="254"/>
      <c r="E361" s="379">
        <v>139156</v>
      </c>
      <c r="F361" s="395" t="s">
        <v>252</v>
      </c>
      <c r="G361" s="396"/>
      <c r="H361" s="397"/>
      <c r="I361" s="383">
        <v>64600</v>
      </c>
      <c r="J361" s="398">
        <v>139156</v>
      </c>
      <c r="K361" s="399" t="s">
        <v>70</v>
      </c>
      <c r="L361" s="399" t="s">
        <v>34</v>
      </c>
      <c r="M361" s="399">
        <v>20</v>
      </c>
      <c r="N361" s="356">
        <v>64600</v>
      </c>
      <c r="O361" s="28" t="b">
        <f t="shared" si="17"/>
        <v>1</v>
      </c>
    </row>
    <row r="362" spans="2:15" s="28" customFormat="1" ht="16.5" customHeight="1">
      <c r="B362" s="20"/>
      <c r="C362" s="20"/>
      <c r="D362" s="254"/>
      <c r="E362" s="379">
        <v>139158</v>
      </c>
      <c r="F362" s="395" t="s">
        <v>627</v>
      </c>
      <c r="G362" s="396"/>
      <c r="H362" s="397"/>
      <c r="I362" s="383">
        <v>636000</v>
      </c>
      <c r="J362" s="398">
        <v>139158</v>
      </c>
      <c r="K362" s="399" t="s">
        <v>71</v>
      </c>
      <c r="L362" s="399" t="s">
        <v>34</v>
      </c>
      <c r="M362" s="399">
        <v>200</v>
      </c>
      <c r="N362" s="356">
        <v>636000</v>
      </c>
      <c r="O362" s="28" t="b">
        <f t="shared" si="17"/>
        <v>1</v>
      </c>
    </row>
    <row r="363" spans="2:15" s="28" customFormat="1" ht="16.5" customHeight="1">
      <c r="B363" s="20"/>
      <c r="C363" s="20"/>
      <c r="D363" s="254"/>
      <c r="E363" s="379">
        <v>139160</v>
      </c>
      <c r="F363" s="395" t="s">
        <v>628</v>
      </c>
      <c r="G363" s="396"/>
      <c r="H363" s="397"/>
      <c r="I363" s="383">
        <v>683000</v>
      </c>
      <c r="J363" s="398">
        <v>139160</v>
      </c>
      <c r="K363" s="399" t="s">
        <v>71</v>
      </c>
      <c r="L363" s="399" t="s">
        <v>34</v>
      </c>
      <c r="M363" s="399">
        <v>200</v>
      </c>
      <c r="N363" s="356">
        <v>683000</v>
      </c>
      <c r="O363" s="28" t="b">
        <f t="shared" si="17"/>
        <v>1</v>
      </c>
    </row>
    <row r="364" spans="2:15" s="28" customFormat="1" ht="16.5" customHeight="1">
      <c r="B364" s="20"/>
      <c r="C364" s="20"/>
      <c r="D364" s="254"/>
      <c r="E364" s="379">
        <v>139161</v>
      </c>
      <c r="F364" s="395" t="s">
        <v>347</v>
      </c>
      <c r="G364" s="396"/>
      <c r="H364" s="397"/>
      <c r="I364" s="383">
        <v>80500</v>
      </c>
      <c r="J364" s="398">
        <v>139161</v>
      </c>
      <c r="K364" s="399" t="s">
        <v>70</v>
      </c>
      <c r="L364" s="399" t="s">
        <v>34</v>
      </c>
      <c r="M364" s="399">
        <v>20</v>
      </c>
      <c r="N364" s="356">
        <v>80500</v>
      </c>
      <c r="O364" s="28" t="b">
        <f t="shared" si="17"/>
        <v>1</v>
      </c>
    </row>
    <row r="365" spans="2:15" s="28" customFormat="1" ht="16.5" customHeight="1">
      <c r="B365" s="20"/>
      <c r="C365" s="20"/>
      <c r="D365" s="254"/>
      <c r="E365" s="379">
        <v>139163</v>
      </c>
      <c r="F365" s="395" t="s">
        <v>629</v>
      </c>
      <c r="G365" s="396"/>
      <c r="H365" s="397"/>
      <c r="I365" s="383">
        <v>763000</v>
      </c>
      <c r="J365" s="398">
        <v>139163</v>
      </c>
      <c r="K365" s="399" t="s">
        <v>71</v>
      </c>
      <c r="L365" s="399" t="s">
        <v>34</v>
      </c>
      <c r="M365" s="399">
        <v>200</v>
      </c>
      <c r="N365" s="356">
        <v>763000</v>
      </c>
      <c r="O365" s="28" t="b">
        <f t="shared" si="17"/>
        <v>1</v>
      </c>
    </row>
    <row r="366" spans="2:15" s="28" customFormat="1" ht="16.5" customHeight="1">
      <c r="B366" s="20"/>
      <c r="C366" s="20"/>
      <c r="D366" s="254"/>
      <c r="E366" s="379">
        <v>139164</v>
      </c>
      <c r="F366" s="395" t="s">
        <v>348</v>
      </c>
      <c r="G366" s="396"/>
      <c r="H366" s="397"/>
      <c r="I366" s="383">
        <v>80500</v>
      </c>
      <c r="J366" s="398">
        <v>139164</v>
      </c>
      <c r="K366" s="399" t="s">
        <v>70</v>
      </c>
      <c r="L366" s="399" t="s">
        <v>34</v>
      </c>
      <c r="M366" s="399">
        <v>20</v>
      </c>
      <c r="N366" s="356">
        <v>80500</v>
      </c>
      <c r="O366" s="28" t="b">
        <f t="shared" si="17"/>
        <v>1</v>
      </c>
    </row>
    <row r="367" spans="2:15" s="28" customFormat="1" ht="16.5" customHeight="1">
      <c r="B367" s="20"/>
      <c r="C367" s="20"/>
      <c r="D367" s="254"/>
      <c r="E367" s="379">
        <v>139167</v>
      </c>
      <c r="F367" s="395" t="s">
        <v>630</v>
      </c>
      <c r="G367" s="396"/>
      <c r="H367" s="397"/>
      <c r="I367" s="383">
        <v>499000</v>
      </c>
      <c r="J367" s="398">
        <v>139167</v>
      </c>
      <c r="K367" s="399" t="s">
        <v>71</v>
      </c>
      <c r="L367" s="399" t="s">
        <v>34</v>
      </c>
      <c r="M367" s="399">
        <v>200</v>
      </c>
      <c r="N367" s="356">
        <v>499000</v>
      </c>
      <c r="O367" s="28" t="b">
        <f t="shared" si="17"/>
        <v>1</v>
      </c>
    </row>
    <row r="368" spans="2:15" s="28" customFormat="1" ht="16.5" customHeight="1">
      <c r="B368" s="20"/>
      <c r="C368" s="20"/>
      <c r="D368" s="254"/>
      <c r="E368" s="379">
        <v>140145</v>
      </c>
      <c r="F368" s="395" t="s">
        <v>46</v>
      </c>
      <c r="G368" s="396"/>
      <c r="H368" s="397"/>
      <c r="I368" s="383">
        <v>183000</v>
      </c>
      <c r="J368" s="398">
        <v>140145</v>
      </c>
      <c r="K368" s="399" t="s">
        <v>70</v>
      </c>
      <c r="L368" s="399" t="s">
        <v>34</v>
      </c>
      <c r="M368" s="399">
        <v>16</v>
      </c>
      <c r="N368" s="356">
        <v>183000</v>
      </c>
      <c r="O368" s="28" t="b">
        <f t="shared" si="17"/>
        <v>1</v>
      </c>
    </row>
    <row r="369" spans="2:15" s="28" customFormat="1" ht="16.5" customHeight="1">
      <c r="B369" s="20"/>
      <c r="C369" s="20"/>
      <c r="D369" s="254"/>
      <c r="E369" s="379">
        <v>139600</v>
      </c>
      <c r="F369" s="395" t="s">
        <v>767</v>
      </c>
      <c r="G369" s="396"/>
      <c r="H369" s="397"/>
      <c r="I369" s="383">
        <v>482000</v>
      </c>
      <c r="J369" s="398">
        <v>139600</v>
      </c>
      <c r="K369" s="399" t="s">
        <v>70</v>
      </c>
      <c r="L369" s="399" t="s">
        <v>34</v>
      </c>
      <c r="M369" s="399">
        <v>20</v>
      </c>
      <c r="N369" s="356">
        <v>482000</v>
      </c>
      <c r="O369" s="28" t="b">
        <f t="shared" si="17"/>
        <v>1</v>
      </c>
    </row>
    <row r="370" spans="2:15" s="28" customFormat="1" ht="16.5" customHeight="1">
      <c r="B370" s="20"/>
      <c r="C370" s="20"/>
      <c r="D370" s="254"/>
      <c r="E370" s="379">
        <v>139639</v>
      </c>
      <c r="F370" s="395" t="s">
        <v>353</v>
      </c>
      <c r="G370" s="396"/>
      <c r="H370" s="397"/>
      <c r="I370" s="383">
        <v>94100</v>
      </c>
      <c r="J370" s="398">
        <v>139639</v>
      </c>
      <c r="K370" s="399" t="s">
        <v>70</v>
      </c>
      <c r="L370" s="399" t="s">
        <v>34</v>
      </c>
      <c r="M370" s="399">
        <v>20</v>
      </c>
      <c r="N370" s="356">
        <v>94100</v>
      </c>
      <c r="O370" s="28" t="b">
        <f t="shared" si="17"/>
        <v>1</v>
      </c>
    </row>
    <row r="371" spans="2:15" s="28" customFormat="1" ht="16.5" customHeight="1">
      <c r="B371" s="20"/>
      <c r="C371" s="20"/>
      <c r="D371" s="254"/>
      <c r="E371" s="379">
        <v>139643</v>
      </c>
      <c r="F371" s="395" t="s">
        <v>354</v>
      </c>
      <c r="G371" s="396"/>
      <c r="H371" s="397"/>
      <c r="I371" s="383">
        <v>79200</v>
      </c>
      <c r="J371" s="398">
        <v>139643</v>
      </c>
      <c r="K371" s="399" t="s">
        <v>70</v>
      </c>
      <c r="L371" s="399" t="s">
        <v>34</v>
      </c>
      <c r="M371" s="399">
        <v>20</v>
      </c>
      <c r="N371" s="356">
        <v>79200</v>
      </c>
      <c r="O371" s="28" t="b">
        <f t="shared" si="17"/>
        <v>1</v>
      </c>
    </row>
    <row r="372" spans="2:15" s="28" customFormat="1" ht="16.5" customHeight="1">
      <c r="B372" s="20"/>
      <c r="C372" s="20"/>
      <c r="D372" s="254"/>
      <c r="E372" s="379">
        <v>148679</v>
      </c>
      <c r="F372" s="395" t="s">
        <v>421</v>
      </c>
      <c r="G372" s="396"/>
      <c r="H372" s="397"/>
      <c r="I372" s="383">
        <v>645000</v>
      </c>
      <c r="J372" s="398">
        <v>148679</v>
      </c>
      <c r="K372" s="399" t="s">
        <v>71</v>
      </c>
      <c r="L372" s="399" t="s">
        <v>34</v>
      </c>
      <c r="M372" s="399">
        <v>208</v>
      </c>
      <c r="N372" s="356">
        <v>645000</v>
      </c>
      <c r="O372" s="28" t="b">
        <f t="shared" si="17"/>
        <v>1</v>
      </c>
    </row>
    <row r="373" spans="2:15" s="28" customFormat="1" ht="16.5" customHeight="1">
      <c r="B373" s="20"/>
      <c r="C373" s="20"/>
      <c r="D373" s="254"/>
      <c r="E373" s="379">
        <v>141825</v>
      </c>
      <c r="F373" s="395" t="s">
        <v>641</v>
      </c>
      <c r="G373" s="396"/>
      <c r="H373" s="397"/>
      <c r="I373" s="383">
        <v>2660000</v>
      </c>
      <c r="J373" s="398">
        <v>141825</v>
      </c>
      <c r="K373" s="399" t="s">
        <v>71</v>
      </c>
      <c r="L373" s="399" t="s">
        <v>34</v>
      </c>
      <c r="M373" s="399">
        <v>208</v>
      </c>
      <c r="N373" s="356">
        <v>2660000</v>
      </c>
      <c r="O373" s="28" t="b">
        <f t="shared" si="17"/>
        <v>1</v>
      </c>
    </row>
    <row r="374" spans="2:15" s="28" customFormat="1" ht="16.5" customHeight="1">
      <c r="B374" s="20"/>
      <c r="C374" s="20"/>
      <c r="D374" s="254"/>
      <c r="E374" s="379">
        <v>139819</v>
      </c>
      <c r="F374" s="395" t="s">
        <v>642</v>
      </c>
      <c r="G374" s="396"/>
      <c r="H374" s="397"/>
      <c r="I374" s="383">
        <v>2692000</v>
      </c>
      <c r="J374" s="398">
        <v>139819</v>
      </c>
      <c r="K374" s="399" t="s">
        <v>71</v>
      </c>
      <c r="L374" s="399" t="s">
        <v>34</v>
      </c>
      <c r="M374" s="399">
        <v>208</v>
      </c>
      <c r="N374" s="356">
        <v>2692000</v>
      </c>
      <c r="O374" s="28" t="b">
        <f t="shared" si="17"/>
        <v>1</v>
      </c>
    </row>
    <row r="375" spans="2:15" s="28" customFormat="1" ht="16.5" customHeight="1">
      <c r="B375" s="20"/>
      <c r="C375" s="20"/>
      <c r="D375" s="254"/>
      <c r="E375" s="379">
        <v>139821</v>
      </c>
      <c r="F375" s="395" t="s">
        <v>643</v>
      </c>
      <c r="G375" s="396"/>
      <c r="H375" s="397"/>
      <c r="I375" s="383">
        <v>3429000</v>
      </c>
      <c r="J375" s="398">
        <v>139821</v>
      </c>
      <c r="K375" s="399" t="s">
        <v>71</v>
      </c>
      <c r="L375" s="399" t="s">
        <v>34</v>
      </c>
      <c r="M375" s="399">
        <v>208</v>
      </c>
      <c r="N375" s="356">
        <v>3429000</v>
      </c>
      <c r="O375" s="28" t="b">
        <f t="shared" si="17"/>
        <v>1</v>
      </c>
    </row>
    <row r="376" spans="2:15" s="28" customFormat="1" ht="16.5" customHeight="1">
      <c r="B376" s="20"/>
      <c r="C376" s="20"/>
      <c r="D376" s="254"/>
      <c r="E376" s="379">
        <v>143919</v>
      </c>
      <c r="F376" s="395" t="s">
        <v>863</v>
      </c>
      <c r="G376" s="396"/>
      <c r="H376" s="397"/>
      <c r="I376" s="383">
        <v>64000</v>
      </c>
      <c r="J376" s="398">
        <v>143919</v>
      </c>
      <c r="K376" s="399" t="s">
        <v>73</v>
      </c>
      <c r="L376" s="399" t="s">
        <v>34</v>
      </c>
      <c r="M376" s="399">
        <v>4.68</v>
      </c>
      <c r="N376" s="356">
        <v>64000</v>
      </c>
      <c r="O376" s="28" t="b">
        <f t="shared" si="17"/>
        <v>1</v>
      </c>
    </row>
    <row r="377" spans="2:15" s="28" customFormat="1" ht="16.5" customHeight="1">
      <c r="B377" s="20"/>
      <c r="C377" s="20"/>
      <c r="D377" s="254"/>
      <c r="E377" s="379">
        <v>141840</v>
      </c>
      <c r="F377" s="395" t="s">
        <v>358</v>
      </c>
      <c r="G377" s="396"/>
      <c r="H377" s="397"/>
      <c r="I377" s="383">
        <v>270000</v>
      </c>
      <c r="J377" s="398">
        <v>141840</v>
      </c>
      <c r="K377" s="399" t="s">
        <v>70</v>
      </c>
      <c r="L377" s="399" t="s">
        <v>34</v>
      </c>
      <c r="M377" s="399">
        <v>20</v>
      </c>
      <c r="N377" s="356">
        <v>270000</v>
      </c>
      <c r="O377" s="28" t="b">
        <f t="shared" si="17"/>
        <v>1</v>
      </c>
    </row>
    <row r="378" spans="2:15" s="28" customFormat="1" ht="16.5" customHeight="1">
      <c r="B378" s="20"/>
      <c r="C378" s="20"/>
      <c r="D378" s="254"/>
      <c r="E378" s="379">
        <v>139962</v>
      </c>
      <c r="F378" s="395" t="s">
        <v>359</v>
      </c>
      <c r="G378" s="396"/>
      <c r="H378" s="397"/>
      <c r="I378" s="383">
        <v>255000</v>
      </c>
      <c r="J378" s="398">
        <v>139962</v>
      </c>
      <c r="K378" s="399" t="s">
        <v>70</v>
      </c>
      <c r="L378" s="399" t="s">
        <v>34</v>
      </c>
      <c r="M378" s="399">
        <v>20</v>
      </c>
      <c r="N378" s="356">
        <v>255000</v>
      </c>
      <c r="O378" s="28" t="b">
        <f t="shared" si="17"/>
        <v>1</v>
      </c>
    </row>
    <row r="379" spans="2:15" s="28" customFormat="1" ht="16.5" customHeight="1">
      <c r="B379" s="20"/>
      <c r="C379" s="20"/>
      <c r="D379" s="254"/>
      <c r="E379" s="379">
        <v>139963</v>
      </c>
      <c r="F379" s="395" t="s">
        <v>360</v>
      </c>
      <c r="G379" s="396"/>
      <c r="H379" s="397"/>
      <c r="I379" s="383">
        <v>271000</v>
      </c>
      <c r="J379" s="398">
        <v>139963</v>
      </c>
      <c r="K379" s="399" t="s">
        <v>70</v>
      </c>
      <c r="L379" s="399" t="s">
        <v>34</v>
      </c>
      <c r="M379" s="399">
        <v>20</v>
      </c>
      <c r="N379" s="356">
        <v>271000</v>
      </c>
      <c r="O379" s="28" t="b">
        <f t="shared" si="17"/>
        <v>1</v>
      </c>
    </row>
    <row r="380" spans="2:15" s="28" customFormat="1" ht="16.5" customHeight="1">
      <c r="B380" s="20"/>
      <c r="C380" s="20"/>
      <c r="D380" s="254"/>
      <c r="E380" s="379">
        <v>140058</v>
      </c>
      <c r="F380" s="395" t="s">
        <v>645</v>
      </c>
      <c r="G380" s="396"/>
      <c r="H380" s="397"/>
      <c r="I380" s="383">
        <v>520000</v>
      </c>
      <c r="J380" s="398">
        <v>140058</v>
      </c>
      <c r="K380" s="399" t="s">
        <v>71</v>
      </c>
      <c r="L380" s="399" t="s">
        <v>34</v>
      </c>
      <c r="M380" s="399">
        <v>200</v>
      </c>
      <c r="N380" s="356">
        <v>520000</v>
      </c>
      <c r="O380" s="28" t="b">
        <f t="shared" si="17"/>
        <v>1</v>
      </c>
    </row>
    <row r="381" spans="2:15" s="28" customFormat="1" ht="16.5" customHeight="1">
      <c r="B381" s="20"/>
      <c r="C381" s="20"/>
      <c r="D381" s="254"/>
      <c r="E381" s="379">
        <v>140059</v>
      </c>
      <c r="F381" s="395" t="s">
        <v>361</v>
      </c>
      <c r="G381" s="396"/>
      <c r="H381" s="397"/>
      <c r="I381" s="383">
        <v>54000</v>
      </c>
      <c r="J381" s="398">
        <v>140059</v>
      </c>
      <c r="K381" s="399" t="s">
        <v>70</v>
      </c>
      <c r="L381" s="399" t="s">
        <v>34</v>
      </c>
      <c r="M381" s="399">
        <v>20</v>
      </c>
      <c r="N381" s="356">
        <v>54000</v>
      </c>
      <c r="O381" s="28" t="b">
        <f t="shared" si="17"/>
        <v>1</v>
      </c>
    </row>
    <row r="382" spans="2:15" s="28" customFormat="1" ht="16.5" customHeight="1">
      <c r="B382" s="20"/>
      <c r="C382" s="20"/>
      <c r="D382" s="254"/>
      <c r="E382" s="379">
        <v>140107</v>
      </c>
      <c r="F382" s="395" t="s">
        <v>646</v>
      </c>
      <c r="G382" s="396"/>
      <c r="H382" s="397"/>
      <c r="I382" s="383">
        <v>3193000</v>
      </c>
      <c r="J382" s="398">
        <v>140107</v>
      </c>
      <c r="K382" s="399" t="s">
        <v>71</v>
      </c>
      <c r="L382" s="399" t="s">
        <v>34</v>
      </c>
      <c r="M382" s="399">
        <v>193.8</v>
      </c>
      <c r="N382" s="356">
        <v>3193000</v>
      </c>
      <c r="O382" s="28" t="b">
        <f t="shared" si="17"/>
        <v>1</v>
      </c>
    </row>
    <row r="383" spans="2:15" s="28" customFormat="1" ht="16.5" customHeight="1">
      <c r="B383" s="20"/>
      <c r="C383" s="20"/>
      <c r="D383" s="254"/>
      <c r="E383" s="379">
        <v>140108</v>
      </c>
      <c r="F383" s="395" t="s">
        <v>647</v>
      </c>
      <c r="G383" s="396"/>
      <c r="H383" s="397"/>
      <c r="I383" s="383">
        <v>3403000</v>
      </c>
      <c r="J383" s="398">
        <v>140108</v>
      </c>
      <c r="K383" s="399" t="s">
        <v>71</v>
      </c>
      <c r="L383" s="399" t="s">
        <v>34</v>
      </c>
      <c r="M383" s="399">
        <v>193.8</v>
      </c>
      <c r="N383" s="356">
        <v>3403000</v>
      </c>
      <c r="O383" s="28" t="b">
        <f t="shared" si="17"/>
        <v>1</v>
      </c>
    </row>
    <row r="384" spans="2:15" s="28" customFormat="1" ht="16.5" customHeight="1">
      <c r="B384" s="20"/>
      <c r="C384" s="20"/>
      <c r="D384" s="254"/>
      <c r="E384" s="379">
        <v>140109</v>
      </c>
      <c r="F384" s="395" t="s">
        <v>362</v>
      </c>
      <c r="G384" s="396"/>
      <c r="H384" s="397"/>
      <c r="I384" s="383">
        <v>320000</v>
      </c>
      <c r="J384" s="398">
        <v>140109</v>
      </c>
      <c r="K384" s="399" t="s">
        <v>70</v>
      </c>
      <c r="L384" s="399" t="s">
        <v>34</v>
      </c>
      <c r="M384" s="399">
        <v>17.457000000000001</v>
      </c>
      <c r="N384" s="356">
        <v>320000</v>
      </c>
      <c r="O384" s="28" t="b">
        <f t="shared" si="17"/>
        <v>1</v>
      </c>
    </row>
    <row r="385" spans="2:15" s="28" customFormat="1" ht="16.5" customHeight="1">
      <c r="B385" s="20"/>
      <c r="C385" s="20"/>
      <c r="D385" s="254"/>
      <c r="E385" s="379">
        <v>140110</v>
      </c>
      <c r="F385" s="395" t="s">
        <v>648</v>
      </c>
      <c r="G385" s="396"/>
      <c r="H385" s="397"/>
      <c r="I385" s="383">
        <v>3231000</v>
      </c>
      <c r="J385" s="398">
        <v>140110</v>
      </c>
      <c r="K385" s="399" t="s">
        <v>71</v>
      </c>
      <c r="L385" s="399" t="s">
        <v>34</v>
      </c>
      <c r="M385" s="399">
        <v>193.8</v>
      </c>
      <c r="N385" s="356">
        <v>3231000</v>
      </c>
      <c r="O385" s="28" t="b">
        <f t="shared" si="17"/>
        <v>1</v>
      </c>
    </row>
    <row r="386" spans="2:15" s="28" customFormat="1" ht="16.5" customHeight="1">
      <c r="B386" s="20"/>
      <c r="C386" s="20"/>
      <c r="D386" s="254"/>
      <c r="E386" s="379">
        <v>140111</v>
      </c>
      <c r="F386" s="395" t="s">
        <v>363</v>
      </c>
      <c r="G386" s="396"/>
      <c r="H386" s="397"/>
      <c r="I386" s="383">
        <v>326000</v>
      </c>
      <c r="J386" s="398">
        <v>140111</v>
      </c>
      <c r="K386" s="399" t="s">
        <v>70</v>
      </c>
      <c r="L386" s="399" t="s">
        <v>34</v>
      </c>
      <c r="M386" s="399">
        <v>17.329999999999998</v>
      </c>
      <c r="N386" s="356">
        <v>326000</v>
      </c>
      <c r="O386" s="28" t="b">
        <f t="shared" si="17"/>
        <v>1</v>
      </c>
    </row>
    <row r="387" spans="2:15" s="28" customFormat="1" ht="16.5" customHeight="1">
      <c r="B387" s="20"/>
      <c r="C387" s="20"/>
      <c r="D387" s="254"/>
      <c r="E387" s="379">
        <v>140112</v>
      </c>
      <c r="F387" s="395" t="s">
        <v>364</v>
      </c>
      <c r="G387" s="396"/>
      <c r="H387" s="397"/>
      <c r="I387" s="383">
        <v>340000</v>
      </c>
      <c r="J387" s="398">
        <v>140112</v>
      </c>
      <c r="K387" s="399" t="s">
        <v>70</v>
      </c>
      <c r="L387" s="399" t="s">
        <v>34</v>
      </c>
      <c r="M387" s="399">
        <v>17.329999999999998</v>
      </c>
      <c r="N387" s="356">
        <v>340000</v>
      </c>
      <c r="O387" s="28" t="b">
        <f t="shared" si="17"/>
        <v>1</v>
      </c>
    </row>
    <row r="388" spans="2:15" s="28" customFormat="1" ht="16.5" customHeight="1">
      <c r="B388" s="20"/>
      <c r="C388" s="20"/>
      <c r="D388" s="254"/>
      <c r="E388" s="379">
        <v>140139</v>
      </c>
      <c r="F388" s="395" t="s">
        <v>368</v>
      </c>
      <c r="G388" s="396"/>
      <c r="H388" s="397"/>
      <c r="I388" s="383">
        <v>140000</v>
      </c>
      <c r="J388" s="398">
        <v>140139</v>
      </c>
      <c r="K388" s="399" t="s">
        <v>70</v>
      </c>
      <c r="L388" s="399" t="s">
        <v>34</v>
      </c>
      <c r="M388" s="399">
        <v>16</v>
      </c>
      <c r="N388" s="356">
        <v>140000</v>
      </c>
      <c r="O388" s="28" t="b">
        <f t="shared" si="17"/>
        <v>1</v>
      </c>
    </row>
    <row r="389" spans="2:15" s="28" customFormat="1" ht="16.5" customHeight="1">
      <c r="B389" s="20"/>
      <c r="C389" s="20"/>
      <c r="D389" s="254"/>
      <c r="E389" s="379">
        <v>140140</v>
      </c>
      <c r="F389" s="395" t="s">
        <v>369</v>
      </c>
      <c r="G389" s="396"/>
      <c r="H389" s="397"/>
      <c r="I389" s="383">
        <v>120000</v>
      </c>
      <c r="J389" s="398">
        <v>140140</v>
      </c>
      <c r="K389" s="399" t="s">
        <v>70</v>
      </c>
      <c r="L389" s="399" t="s">
        <v>34</v>
      </c>
      <c r="M389" s="399">
        <v>16</v>
      </c>
      <c r="N389" s="356">
        <v>120000</v>
      </c>
      <c r="O389" s="28" t="b">
        <f t="shared" si="17"/>
        <v>1</v>
      </c>
    </row>
    <row r="390" spans="2:15" s="28" customFormat="1" ht="16.5" customHeight="1">
      <c r="B390" s="20"/>
      <c r="C390" s="20"/>
      <c r="D390" s="254"/>
      <c r="E390" s="379">
        <v>140141</v>
      </c>
      <c r="F390" s="395" t="s">
        <v>370</v>
      </c>
      <c r="G390" s="396"/>
      <c r="H390" s="397"/>
      <c r="I390" s="383">
        <v>188000</v>
      </c>
      <c r="J390" s="398">
        <v>140141</v>
      </c>
      <c r="K390" s="399" t="s">
        <v>70</v>
      </c>
      <c r="L390" s="399" t="s">
        <v>34</v>
      </c>
      <c r="M390" s="399">
        <v>16</v>
      </c>
      <c r="N390" s="356">
        <v>188000</v>
      </c>
      <c r="O390" s="28" t="b">
        <f t="shared" si="17"/>
        <v>1</v>
      </c>
    </row>
    <row r="391" spans="2:15" s="28" customFormat="1" ht="16.5" customHeight="1">
      <c r="B391" s="20"/>
      <c r="C391" s="20"/>
      <c r="D391" s="254"/>
      <c r="E391" s="379">
        <v>140142</v>
      </c>
      <c r="F391" s="395" t="s">
        <v>371</v>
      </c>
      <c r="G391" s="396"/>
      <c r="H391" s="397"/>
      <c r="I391" s="383">
        <v>130000</v>
      </c>
      <c r="J391" s="398">
        <v>140142</v>
      </c>
      <c r="K391" s="399" t="s">
        <v>70</v>
      </c>
      <c r="L391" s="399" t="s">
        <v>34</v>
      </c>
      <c r="M391" s="399">
        <v>16</v>
      </c>
      <c r="N391" s="356">
        <v>130000</v>
      </c>
      <c r="O391" s="28" t="b">
        <f t="shared" si="17"/>
        <v>1</v>
      </c>
    </row>
    <row r="392" spans="2:15" s="28" customFormat="1" ht="16.5" customHeight="1">
      <c r="B392" s="20"/>
      <c r="C392" s="20"/>
      <c r="D392" s="254"/>
      <c r="E392" s="379">
        <v>140143</v>
      </c>
      <c r="F392" s="395" t="s">
        <v>372</v>
      </c>
      <c r="G392" s="396"/>
      <c r="H392" s="397"/>
      <c r="I392" s="383">
        <v>203000</v>
      </c>
      <c r="J392" s="398">
        <v>140143</v>
      </c>
      <c r="K392" s="399" t="s">
        <v>70</v>
      </c>
      <c r="L392" s="399" t="s">
        <v>34</v>
      </c>
      <c r="M392" s="399">
        <v>16</v>
      </c>
      <c r="N392" s="356">
        <v>203000</v>
      </c>
      <c r="O392" s="28" t="b">
        <f t="shared" si="17"/>
        <v>1</v>
      </c>
    </row>
    <row r="393" spans="2:15" s="28" customFormat="1" ht="16.5" customHeight="1">
      <c r="B393" s="20"/>
      <c r="C393" s="20"/>
      <c r="D393" s="254"/>
      <c r="E393" s="379">
        <v>140148</v>
      </c>
      <c r="F393" s="395" t="s">
        <v>650</v>
      </c>
      <c r="G393" s="401"/>
      <c r="H393" s="402"/>
      <c r="I393" s="383">
        <v>1484000</v>
      </c>
      <c r="J393" s="398">
        <v>140148</v>
      </c>
      <c r="K393" s="399" t="s">
        <v>71</v>
      </c>
      <c r="L393" s="399" t="s">
        <v>34</v>
      </c>
      <c r="M393" s="399">
        <v>180</v>
      </c>
      <c r="N393" s="356">
        <v>1484000</v>
      </c>
      <c r="O393" s="28" t="b">
        <f t="shared" si="17"/>
        <v>1</v>
      </c>
    </row>
    <row r="394" spans="2:15" s="28" customFormat="1" ht="16.5" customHeight="1">
      <c r="B394" s="20"/>
      <c r="C394" s="20"/>
      <c r="D394" s="254"/>
      <c r="E394" s="379">
        <v>140149</v>
      </c>
      <c r="F394" s="395" t="s">
        <v>651</v>
      </c>
      <c r="G394" s="396"/>
      <c r="H394" s="397"/>
      <c r="I394" s="383">
        <v>1303000</v>
      </c>
      <c r="J394" s="398">
        <v>140149</v>
      </c>
      <c r="K394" s="399" t="s">
        <v>71</v>
      </c>
      <c r="L394" s="399" t="s">
        <v>34</v>
      </c>
      <c r="M394" s="399">
        <v>180</v>
      </c>
      <c r="N394" s="356">
        <v>1303000</v>
      </c>
      <c r="O394" s="28" t="b">
        <f t="shared" si="17"/>
        <v>1</v>
      </c>
    </row>
    <row r="395" spans="2:15" s="28" customFormat="1" ht="16.5" customHeight="1">
      <c r="B395" s="20"/>
      <c r="C395" s="20"/>
      <c r="D395" s="254"/>
      <c r="E395" s="379">
        <v>140150</v>
      </c>
      <c r="F395" s="395" t="s">
        <v>652</v>
      </c>
      <c r="G395" s="396"/>
      <c r="H395" s="397"/>
      <c r="I395" s="383">
        <v>1484000</v>
      </c>
      <c r="J395" s="398">
        <v>140150</v>
      </c>
      <c r="K395" s="399" t="s">
        <v>71</v>
      </c>
      <c r="L395" s="399" t="s">
        <v>34</v>
      </c>
      <c r="M395" s="399">
        <v>180</v>
      </c>
      <c r="N395" s="356">
        <v>1484000</v>
      </c>
      <c r="O395" s="28" t="b">
        <f t="shared" si="17"/>
        <v>1</v>
      </c>
    </row>
    <row r="396" spans="2:15" s="28" customFormat="1" ht="16.5" customHeight="1">
      <c r="B396" s="20"/>
      <c r="C396" s="20"/>
      <c r="D396" s="254"/>
      <c r="E396" s="379">
        <v>140151</v>
      </c>
      <c r="F396" s="395" t="s">
        <v>653</v>
      </c>
      <c r="G396" s="396"/>
      <c r="H396" s="397"/>
      <c r="I396" s="383">
        <v>1568000</v>
      </c>
      <c r="J396" s="398">
        <v>140151</v>
      </c>
      <c r="K396" s="399" t="s">
        <v>71</v>
      </c>
      <c r="L396" s="399" t="s">
        <v>34</v>
      </c>
      <c r="M396" s="399">
        <v>180</v>
      </c>
      <c r="N396" s="356">
        <v>1568000</v>
      </c>
      <c r="O396" s="28" t="b">
        <f t="shared" si="17"/>
        <v>1</v>
      </c>
    </row>
    <row r="397" spans="2:15" s="28" customFormat="1" ht="16.5" customHeight="1">
      <c r="B397" s="20"/>
      <c r="C397" s="20"/>
      <c r="D397" s="254"/>
      <c r="E397" s="379">
        <v>140152</v>
      </c>
      <c r="F397" s="395" t="s">
        <v>654</v>
      </c>
      <c r="G397" s="396"/>
      <c r="H397" s="397"/>
      <c r="I397" s="383">
        <v>2126000</v>
      </c>
      <c r="J397" s="398">
        <v>140152</v>
      </c>
      <c r="K397" s="399" t="s">
        <v>71</v>
      </c>
      <c r="L397" s="399" t="s">
        <v>34</v>
      </c>
      <c r="M397" s="399">
        <v>180</v>
      </c>
      <c r="N397" s="356">
        <v>2126000</v>
      </c>
      <c r="O397" s="28" t="b">
        <f t="shared" si="17"/>
        <v>1</v>
      </c>
    </row>
    <row r="398" spans="2:15" s="28" customFormat="1" ht="16.5" customHeight="1">
      <c r="B398" s="20"/>
      <c r="C398" s="20"/>
      <c r="D398" s="254"/>
      <c r="E398" s="379">
        <v>140153</v>
      </c>
      <c r="F398" s="395" t="s">
        <v>655</v>
      </c>
      <c r="G398" s="396"/>
      <c r="H398" s="397"/>
      <c r="I398" s="383">
        <v>2128000</v>
      </c>
      <c r="J398" s="398">
        <v>140153</v>
      </c>
      <c r="K398" s="399" t="s">
        <v>71</v>
      </c>
      <c r="L398" s="399" t="s">
        <v>34</v>
      </c>
      <c r="M398" s="399">
        <v>180</v>
      </c>
      <c r="N398" s="356">
        <v>2128000</v>
      </c>
      <c r="O398" s="28" t="b">
        <f t="shared" si="17"/>
        <v>1</v>
      </c>
    </row>
    <row r="399" spans="2:15" s="28" customFormat="1" ht="16.5" customHeight="1">
      <c r="B399" s="20"/>
      <c r="C399" s="20"/>
      <c r="D399" s="254"/>
      <c r="E399" s="379">
        <v>140154</v>
      </c>
      <c r="F399" s="395" t="s">
        <v>656</v>
      </c>
      <c r="G399" s="396"/>
      <c r="H399" s="397"/>
      <c r="I399" s="383" t="e">
        <v>#N/A</v>
      </c>
      <c r="J399" s="398">
        <v>140154</v>
      </c>
      <c r="K399" s="399" t="s">
        <v>71</v>
      </c>
      <c r="L399" s="399" t="s">
        <v>34</v>
      </c>
      <c r="M399" s="399">
        <v>180</v>
      </c>
      <c r="N399" s="356" t="e">
        <v>#N/A</v>
      </c>
      <c r="O399" s="28" t="e">
        <f t="shared" si="17"/>
        <v>#N/A</v>
      </c>
    </row>
    <row r="400" spans="2:15" s="28" customFormat="1" ht="16.5" customHeight="1">
      <c r="B400" s="20"/>
      <c r="C400" s="20"/>
      <c r="D400" s="254"/>
      <c r="E400" s="379">
        <v>140204</v>
      </c>
      <c r="F400" s="395" t="s">
        <v>379</v>
      </c>
      <c r="G400" s="396"/>
      <c r="H400" s="397"/>
      <c r="I400" s="383">
        <v>352000</v>
      </c>
      <c r="J400" s="398">
        <v>140204</v>
      </c>
      <c r="K400" s="399" t="s">
        <v>70</v>
      </c>
      <c r="L400" s="399" t="s">
        <v>34</v>
      </c>
      <c r="M400" s="399">
        <v>16</v>
      </c>
      <c r="N400" s="356">
        <v>352000</v>
      </c>
      <c r="O400" s="28" t="b">
        <f t="shared" si="17"/>
        <v>1</v>
      </c>
    </row>
    <row r="401" spans="2:15" s="28" customFormat="1" ht="16.5" customHeight="1">
      <c r="B401" s="20"/>
      <c r="C401" s="20"/>
      <c r="D401" s="254"/>
      <c r="E401" s="379">
        <v>140205</v>
      </c>
      <c r="F401" s="395" t="s">
        <v>380</v>
      </c>
      <c r="G401" s="401"/>
      <c r="H401" s="402"/>
      <c r="I401" s="383">
        <v>355000</v>
      </c>
      <c r="J401" s="398">
        <v>140205</v>
      </c>
      <c r="K401" s="399" t="s">
        <v>70</v>
      </c>
      <c r="L401" s="399" t="s">
        <v>34</v>
      </c>
      <c r="M401" s="399">
        <v>16</v>
      </c>
      <c r="N401" s="356">
        <v>355000</v>
      </c>
      <c r="O401" s="28" t="b">
        <f t="shared" si="17"/>
        <v>1</v>
      </c>
    </row>
    <row r="402" spans="2:15" s="28" customFormat="1" ht="16.5" customHeight="1">
      <c r="B402" s="20"/>
      <c r="C402" s="20"/>
      <c r="D402" s="254"/>
      <c r="E402" s="379">
        <v>140206</v>
      </c>
      <c r="F402" s="395" t="s">
        <v>659</v>
      </c>
      <c r="G402" s="396"/>
      <c r="H402" s="397"/>
      <c r="I402" s="383">
        <v>3685000</v>
      </c>
      <c r="J402" s="398">
        <v>140206</v>
      </c>
      <c r="K402" s="399" t="s">
        <v>71</v>
      </c>
      <c r="L402" s="399" t="s">
        <v>34</v>
      </c>
      <c r="M402" s="399">
        <v>174</v>
      </c>
      <c r="N402" s="356">
        <v>3685000</v>
      </c>
      <c r="O402" s="28" t="b">
        <f t="shared" si="17"/>
        <v>1</v>
      </c>
    </row>
    <row r="403" spans="2:15" s="28" customFormat="1" ht="16.5" customHeight="1">
      <c r="B403" s="20"/>
      <c r="C403" s="20"/>
      <c r="D403" s="254"/>
      <c r="E403" s="379">
        <v>140207</v>
      </c>
      <c r="F403" s="395" t="s">
        <v>660</v>
      </c>
      <c r="G403" s="396"/>
      <c r="H403" s="397"/>
      <c r="I403" s="383">
        <v>3777000</v>
      </c>
      <c r="J403" s="398">
        <v>140207</v>
      </c>
      <c r="K403" s="399" t="s">
        <v>71</v>
      </c>
      <c r="L403" s="399" t="s">
        <v>34</v>
      </c>
      <c r="M403" s="399">
        <v>174</v>
      </c>
      <c r="N403" s="356">
        <v>3777000</v>
      </c>
      <c r="O403" s="28" t="b">
        <f t="shared" si="17"/>
        <v>1</v>
      </c>
    </row>
    <row r="404" spans="2:15" s="28" customFormat="1" ht="16.5" customHeight="1">
      <c r="B404" s="20"/>
      <c r="C404" s="20"/>
      <c r="D404" s="254"/>
      <c r="E404" s="379">
        <v>140208</v>
      </c>
      <c r="F404" s="395" t="s">
        <v>661</v>
      </c>
      <c r="G404" s="396"/>
      <c r="H404" s="397"/>
      <c r="I404" s="383">
        <v>3689000</v>
      </c>
      <c r="J404" s="398">
        <v>140208</v>
      </c>
      <c r="K404" s="399" t="s">
        <v>71</v>
      </c>
      <c r="L404" s="399" t="s">
        <v>34</v>
      </c>
      <c r="M404" s="399">
        <v>174</v>
      </c>
      <c r="N404" s="356">
        <v>3689000</v>
      </c>
      <c r="O404" s="28" t="b">
        <f t="shared" si="17"/>
        <v>1</v>
      </c>
    </row>
    <row r="405" spans="2:15" s="28" customFormat="1" ht="16.5" customHeight="1">
      <c r="B405" s="20"/>
      <c r="C405" s="20"/>
      <c r="D405" s="254"/>
      <c r="E405" s="379">
        <v>140209</v>
      </c>
      <c r="F405" s="395" t="s">
        <v>662</v>
      </c>
      <c r="G405" s="396"/>
      <c r="H405" s="397"/>
      <c r="I405" s="383">
        <v>3730000</v>
      </c>
      <c r="J405" s="398">
        <v>140209</v>
      </c>
      <c r="K405" s="399" t="s">
        <v>71</v>
      </c>
      <c r="L405" s="399" t="s">
        <v>34</v>
      </c>
      <c r="M405" s="399">
        <v>174</v>
      </c>
      <c r="N405" s="356">
        <v>3730000</v>
      </c>
      <c r="O405" s="28" t="b">
        <f t="shared" si="17"/>
        <v>1</v>
      </c>
    </row>
    <row r="406" spans="2:15" s="28" customFormat="1" ht="16.5" customHeight="1">
      <c r="B406" s="20"/>
      <c r="C406" s="20"/>
      <c r="D406" s="254"/>
      <c r="E406" s="379">
        <v>140210</v>
      </c>
      <c r="F406" s="395" t="s">
        <v>663</v>
      </c>
      <c r="G406" s="396"/>
      <c r="H406" s="397"/>
      <c r="I406" s="383">
        <v>3687000</v>
      </c>
      <c r="J406" s="398">
        <v>140210</v>
      </c>
      <c r="K406" s="399" t="s">
        <v>71</v>
      </c>
      <c r="L406" s="399" t="s">
        <v>34</v>
      </c>
      <c r="M406" s="399">
        <v>174</v>
      </c>
      <c r="N406" s="356">
        <v>3687000</v>
      </c>
      <c r="O406" s="28" t="b">
        <f t="shared" si="17"/>
        <v>1</v>
      </c>
    </row>
    <row r="407" spans="2:15" s="28" customFormat="1" ht="16.5" customHeight="1">
      <c r="B407" s="20"/>
      <c r="C407" s="20"/>
      <c r="D407" s="254"/>
      <c r="E407" s="379">
        <v>140211</v>
      </c>
      <c r="F407" s="395" t="s">
        <v>664</v>
      </c>
      <c r="G407" s="396"/>
      <c r="H407" s="397"/>
      <c r="I407" s="383">
        <v>3730000</v>
      </c>
      <c r="J407" s="398">
        <v>140211</v>
      </c>
      <c r="K407" s="399" t="s">
        <v>71</v>
      </c>
      <c r="L407" s="399" t="s">
        <v>34</v>
      </c>
      <c r="M407" s="399">
        <v>174</v>
      </c>
      <c r="N407" s="356">
        <v>3730000</v>
      </c>
      <c r="O407" s="28" t="b">
        <f t="shared" si="17"/>
        <v>1</v>
      </c>
    </row>
    <row r="408" spans="2:15" s="28" customFormat="1" ht="16.5" customHeight="1">
      <c r="B408" s="20"/>
      <c r="C408" s="20"/>
      <c r="D408" s="254"/>
      <c r="E408" s="379">
        <v>140252</v>
      </c>
      <c r="F408" s="395" t="s">
        <v>381</v>
      </c>
      <c r="G408" s="396"/>
      <c r="H408" s="397"/>
      <c r="I408" s="383">
        <v>81000</v>
      </c>
      <c r="J408" s="398">
        <v>140252</v>
      </c>
      <c r="K408" s="399" t="s">
        <v>70</v>
      </c>
      <c r="L408" s="399" t="s">
        <v>34</v>
      </c>
      <c r="M408" s="399">
        <v>16</v>
      </c>
      <c r="N408" s="356">
        <v>81000</v>
      </c>
      <c r="O408" s="28" t="b">
        <f t="shared" si="17"/>
        <v>1</v>
      </c>
    </row>
    <row r="409" spans="2:15" s="28" customFormat="1" ht="16.5" customHeight="1">
      <c r="B409" s="20"/>
      <c r="C409" s="20"/>
      <c r="D409" s="254"/>
      <c r="E409" s="379">
        <v>140254</v>
      </c>
      <c r="F409" s="395" t="s">
        <v>382</v>
      </c>
      <c r="G409" s="396"/>
      <c r="H409" s="397"/>
      <c r="I409" s="383">
        <v>81000</v>
      </c>
      <c r="J409" s="398">
        <v>140254</v>
      </c>
      <c r="K409" s="399" t="s">
        <v>70</v>
      </c>
      <c r="L409" s="399" t="s">
        <v>34</v>
      </c>
      <c r="M409" s="399">
        <v>16</v>
      </c>
      <c r="N409" s="356">
        <v>81000</v>
      </c>
      <c r="O409" s="28" t="b">
        <f t="shared" si="17"/>
        <v>1</v>
      </c>
    </row>
    <row r="410" spans="2:15" s="28" customFormat="1" ht="16.5" customHeight="1">
      <c r="B410" s="20"/>
      <c r="C410" s="20"/>
      <c r="D410" s="254"/>
      <c r="E410" s="379">
        <v>140255</v>
      </c>
      <c r="F410" s="395" t="s">
        <v>383</v>
      </c>
      <c r="G410" s="396"/>
      <c r="H410" s="397"/>
      <c r="I410" s="383">
        <v>81000</v>
      </c>
      <c r="J410" s="398">
        <v>140255</v>
      </c>
      <c r="K410" s="399" t="s">
        <v>70</v>
      </c>
      <c r="L410" s="399" t="s">
        <v>34</v>
      </c>
      <c r="M410" s="399">
        <v>16</v>
      </c>
      <c r="N410" s="356">
        <v>81000</v>
      </c>
      <c r="O410" s="28" t="b">
        <f t="shared" ref="O410:O473" si="18">I410=N410</f>
        <v>1</v>
      </c>
    </row>
    <row r="411" spans="2:15" s="28" customFormat="1" ht="16.5" customHeight="1">
      <c r="B411" s="20"/>
      <c r="C411" s="20"/>
      <c r="D411" s="254"/>
      <c r="E411" s="379">
        <v>140256</v>
      </c>
      <c r="F411" s="395" t="s">
        <v>384</v>
      </c>
      <c r="G411" s="396"/>
      <c r="H411" s="397"/>
      <c r="I411" s="383">
        <v>81000</v>
      </c>
      <c r="J411" s="398">
        <v>140256</v>
      </c>
      <c r="K411" s="399" t="s">
        <v>70</v>
      </c>
      <c r="L411" s="399" t="s">
        <v>34</v>
      </c>
      <c r="M411" s="399">
        <v>16</v>
      </c>
      <c r="N411" s="356">
        <v>81000</v>
      </c>
      <c r="O411" s="28" t="b">
        <f t="shared" si="18"/>
        <v>1</v>
      </c>
    </row>
    <row r="412" spans="2:15" s="28" customFormat="1" ht="16.5" customHeight="1">
      <c r="B412" s="20"/>
      <c r="C412" s="20"/>
      <c r="D412" s="254"/>
      <c r="E412" s="379">
        <v>140257</v>
      </c>
      <c r="F412" s="395" t="s">
        <v>127</v>
      </c>
      <c r="G412" s="396"/>
      <c r="H412" s="397"/>
      <c r="I412" s="383">
        <v>728000</v>
      </c>
      <c r="J412" s="398">
        <v>140257</v>
      </c>
      <c r="K412" s="399" t="s">
        <v>71</v>
      </c>
      <c r="L412" s="399" t="s">
        <v>34</v>
      </c>
      <c r="M412" s="399">
        <v>180</v>
      </c>
      <c r="N412" s="356">
        <v>728000</v>
      </c>
      <c r="O412" s="28" t="b">
        <f t="shared" si="18"/>
        <v>1</v>
      </c>
    </row>
    <row r="413" spans="2:15" s="28" customFormat="1" ht="16.5" customHeight="1">
      <c r="B413" s="20"/>
      <c r="C413" s="20"/>
      <c r="D413" s="254"/>
      <c r="E413" s="379">
        <v>140259</v>
      </c>
      <c r="F413" s="395" t="s">
        <v>665</v>
      </c>
      <c r="G413" s="396"/>
      <c r="H413" s="397"/>
      <c r="I413" s="383">
        <v>728000</v>
      </c>
      <c r="J413" s="398">
        <v>140259</v>
      </c>
      <c r="K413" s="399" t="s">
        <v>71</v>
      </c>
      <c r="L413" s="399" t="s">
        <v>34</v>
      </c>
      <c r="M413" s="399">
        <v>180</v>
      </c>
      <c r="N413" s="356">
        <v>728000</v>
      </c>
      <c r="O413" s="28" t="b">
        <f t="shared" si="18"/>
        <v>1</v>
      </c>
    </row>
    <row r="414" spans="2:15" s="28" customFormat="1" ht="16.5" customHeight="1">
      <c r="B414" s="20"/>
      <c r="C414" s="20"/>
      <c r="D414" s="254"/>
      <c r="E414" s="379">
        <v>140260</v>
      </c>
      <c r="F414" s="395" t="s">
        <v>666</v>
      </c>
      <c r="G414" s="396"/>
      <c r="H414" s="397"/>
      <c r="I414" s="383">
        <v>728000</v>
      </c>
      <c r="J414" s="398">
        <v>140260</v>
      </c>
      <c r="K414" s="399" t="s">
        <v>71</v>
      </c>
      <c r="L414" s="399" t="s">
        <v>34</v>
      </c>
      <c r="M414" s="399">
        <v>180</v>
      </c>
      <c r="N414" s="356">
        <v>728000</v>
      </c>
      <c r="O414" s="28" t="b">
        <f t="shared" si="18"/>
        <v>1</v>
      </c>
    </row>
    <row r="415" spans="2:15" s="28" customFormat="1" ht="16.5" customHeight="1">
      <c r="B415" s="20"/>
      <c r="C415" s="20"/>
      <c r="D415" s="254"/>
      <c r="E415" s="379">
        <v>140261</v>
      </c>
      <c r="F415" s="395" t="s">
        <v>667</v>
      </c>
      <c r="G415" s="396"/>
      <c r="H415" s="397"/>
      <c r="I415" s="383">
        <v>728000</v>
      </c>
      <c r="J415" s="398">
        <v>140261</v>
      </c>
      <c r="K415" s="399" t="s">
        <v>71</v>
      </c>
      <c r="L415" s="399" t="s">
        <v>34</v>
      </c>
      <c r="M415" s="399">
        <v>180</v>
      </c>
      <c r="N415" s="356">
        <v>728000</v>
      </c>
      <c r="O415" s="28" t="b">
        <f t="shared" si="18"/>
        <v>1</v>
      </c>
    </row>
    <row r="416" spans="2:15" s="28" customFormat="1" ht="16.5" customHeight="1">
      <c r="B416" s="20"/>
      <c r="C416" s="20"/>
      <c r="D416" s="254"/>
      <c r="E416" s="379">
        <v>140262</v>
      </c>
      <c r="F416" s="395" t="s">
        <v>668</v>
      </c>
      <c r="G416" s="396"/>
      <c r="H416" s="397"/>
      <c r="I416" s="383">
        <v>728000</v>
      </c>
      <c r="J416" s="398">
        <v>140262</v>
      </c>
      <c r="K416" s="399" t="s">
        <v>71</v>
      </c>
      <c r="L416" s="399" t="s">
        <v>34</v>
      </c>
      <c r="M416" s="399">
        <v>180</v>
      </c>
      <c r="N416" s="356">
        <v>728000</v>
      </c>
      <c r="O416" s="28" t="b">
        <f t="shared" si="18"/>
        <v>1</v>
      </c>
    </row>
    <row r="417" spans="2:15" s="28" customFormat="1" ht="16.5" customHeight="1">
      <c r="B417" s="20"/>
      <c r="C417" s="20"/>
      <c r="D417" s="254"/>
      <c r="E417" s="379">
        <v>140263</v>
      </c>
      <c r="F417" s="395" t="s">
        <v>126</v>
      </c>
      <c r="G417" s="396"/>
      <c r="H417" s="397"/>
      <c r="I417" s="383">
        <v>81000</v>
      </c>
      <c r="J417" s="398">
        <v>140263</v>
      </c>
      <c r="K417" s="399" t="s">
        <v>70</v>
      </c>
      <c r="L417" s="399" t="s">
        <v>34</v>
      </c>
      <c r="M417" s="399">
        <v>16</v>
      </c>
      <c r="N417" s="356">
        <v>81000</v>
      </c>
      <c r="O417" s="28" t="b">
        <f t="shared" si="18"/>
        <v>1</v>
      </c>
    </row>
    <row r="418" spans="2:15" s="28" customFormat="1" ht="16.5" customHeight="1">
      <c r="B418" s="20"/>
      <c r="C418" s="20"/>
      <c r="D418" s="254"/>
      <c r="E418" s="379">
        <v>140355</v>
      </c>
      <c r="F418" s="395" t="s">
        <v>385</v>
      </c>
      <c r="G418" s="396"/>
      <c r="H418" s="397"/>
      <c r="I418" s="383" t="e">
        <v>#N/A</v>
      </c>
      <c r="J418" s="398">
        <v>140355</v>
      </c>
      <c r="K418" s="399" t="s">
        <v>70</v>
      </c>
      <c r="L418" s="399" t="s">
        <v>34</v>
      </c>
      <c r="M418" s="399">
        <v>18</v>
      </c>
      <c r="N418" s="356" t="e">
        <v>#N/A</v>
      </c>
      <c r="O418" s="28" t="e">
        <f t="shared" si="18"/>
        <v>#N/A</v>
      </c>
    </row>
    <row r="419" spans="2:15" s="28" customFormat="1" ht="16.5" customHeight="1">
      <c r="B419" s="20"/>
      <c r="C419" s="20"/>
      <c r="D419" s="254"/>
      <c r="E419" s="379">
        <v>140435</v>
      </c>
      <c r="F419" s="395" t="s">
        <v>89</v>
      </c>
      <c r="G419" s="396"/>
      <c r="H419" s="397"/>
      <c r="I419" s="383">
        <v>395000</v>
      </c>
      <c r="J419" s="398">
        <v>140435</v>
      </c>
      <c r="K419" s="399" t="s">
        <v>70</v>
      </c>
      <c r="L419" s="399" t="s">
        <v>34</v>
      </c>
      <c r="M419" s="399">
        <v>20</v>
      </c>
      <c r="N419" s="356">
        <v>395000</v>
      </c>
      <c r="O419" s="28" t="b">
        <f t="shared" si="18"/>
        <v>1</v>
      </c>
    </row>
    <row r="420" spans="2:15" s="28" customFormat="1" ht="16.5" customHeight="1">
      <c r="B420" s="20"/>
      <c r="C420" s="20"/>
      <c r="D420" s="254"/>
      <c r="E420" s="379">
        <v>140485</v>
      </c>
      <c r="F420" s="395" t="s">
        <v>386</v>
      </c>
      <c r="G420" s="396"/>
      <c r="H420" s="397"/>
      <c r="I420" s="383">
        <v>107000</v>
      </c>
      <c r="J420" s="398">
        <v>140485</v>
      </c>
      <c r="K420" s="399" t="s">
        <v>70</v>
      </c>
      <c r="L420" s="399" t="s">
        <v>34</v>
      </c>
      <c r="M420" s="399">
        <v>20</v>
      </c>
      <c r="N420" s="356">
        <v>107000</v>
      </c>
      <c r="O420" s="28" t="b">
        <f t="shared" si="18"/>
        <v>1</v>
      </c>
    </row>
    <row r="421" spans="2:15" s="28" customFormat="1" ht="16.5" customHeight="1">
      <c r="B421" s="20"/>
      <c r="C421" s="20"/>
      <c r="D421" s="254"/>
      <c r="E421" s="379">
        <v>140499</v>
      </c>
      <c r="F421" s="395" t="s">
        <v>670</v>
      </c>
      <c r="G421" s="396"/>
      <c r="H421" s="397"/>
      <c r="I421" s="383">
        <v>3384000</v>
      </c>
      <c r="J421" s="398">
        <v>140499</v>
      </c>
      <c r="K421" s="399" t="s">
        <v>71</v>
      </c>
      <c r="L421" s="399" t="s">
        <v>34</v>
      </c>
      <c r="M421" s="399">
        <v>208</v>
      </c>
      <c r="N421" s="356">
        <v>3384000</v>
      </c>
      <c r="O421" s="28" t="b">
        <f t="shared" si="18"/>
        <v>1</v>
      </c>
    </row>
    <row r="422" spans="2:15" s="28" customFormat="1" ht="16.5" customHeight="1">
      <c r="B422" s="20"/>
      <c r="C422" s="20"/>
      <c r="D422" s="254"/>
      <c r="E422" s="379">
        <v>140501</v>
      </c>
      <c r="F422" s="395" t="s">
        <v>671</v>
      </c>
      <c r="G422" s="396"/>
      <c r="H422" s="397"/>
      <c r="I422" s="383">
        <v>4442000</v>
      </c>
      <c r="J422" s="398">
        <v>140501</v>
      </c>
      <c r="K422" s="399" t="s">
        <v>71</v>
      </c>
      <c r="L422" s="399" t="s">
        <v>34</v>
      </c>
      <c r="M422" s="399">
        <v>208</v>
      </c>
      <c r="N422" s="356">
        <v>4442000</v>
      </c>
      <c r="O422" s="28" t="b">
        <f t="shared" si="18"/>
        <v>1</v>
      </c>
    </row>
    <row r="423" spans="2:15" s="28" customFormat="1" ht="16.5" customHeight="1">
      <c r="B423" s="20"/>
      <c r="C423" s="20"/>
      <c r="D423" s="254"/>
      <c r="E423" s="379">
        <v>140503</v>
      </c>
      <c r="F423" s="395" t="s">
        <v>672</v>
      </c>
      <c r="G423" s="396"/>
      <c r="H423" s="397"/>
      <c r="I423" s="383">
        <v>4515000</v>
      </c>
      <c r="J423" s="398">
        <v>140503</v>
      </c>
      <c r="K423" s="399" t="s">
        <v>71</v>
      </c>
      <c r="L423" s="399" t="s">
        <v>34</v>
      </c>
      <c r="M423" s="399">
        <v>208</v>
      </c>
      <c r="N423" s="356">
        <v>4515000</v>
      </c>
      <c r="O423" s="28" t="b">
        <f t="shared" si="18"/>
        <v>1</v>
      </c>
    </row>
    <row r="424" spans="2:15" s="28" customFormat="1" ht="16.5" customHeight="1">
      <c r="B424" s="20"/>
      <c r="C424" s="20"/>
      <c r="D424" s="254"/>
      <c r="E424" s="379">
        <v>140541</v>
      </c>
      <c r="F424" s="395" t="s">
        <v>387</v>
      </c>
      <c r="G424" s="396"/>
      <c r="H424" s="397"/>
      <c r="I424" s="383"/>
      <c r="J424" s="398">
        <v>140541</v>
      </c>
      <c r="K424" s="399" t="s">
        <v>70</v>
      </c>
      <c r="L424" s="399" t="s">
        <v>34</v>
      </c>
      <c r="M424" s="399">
        <v>20</v>
      </c>
      <c r="N424" s="356" t="e">
        <v>#N/A</v>
      </c>
      <c r="O424" s="28" t="e">
        <f t="shared" si="18"/>
        <v>#N/A</v>
      </c>
    </row>
    <row r="425" spans="2:15" s="28" customFormat="1" ht="16.5" customHeight="1">
      <c r="B425" s="20"/>
      <c r="C425" s="20"/>
      <c r="D425" s="254"/>
      <c r="E425" s="379">
        <v>140627</v>
      </c>
      <c r="F425" s="395" t="s">
        <v>676</v>
      </c>
      <c r="G425" s="396"/>
      <c r="H425" s="397"/>
      <c r="I425" s="383">
        <v>746000</v>
      </c>
      <c r="J425" s="398">
        <v>140627</v>
      </c>
      <c r="K425" s="399" t="s">
        <v>71</v>
      </c>
      <c r="L425" s="399" t="s">
        <v>34</v>
      </c>
      <c r="M425" s="399">
        <v>200</v>
      </c>
      <c r="N425" s="356">
        <v>746000</v>
      </c>
      <c r="O425" s="28" t="b">
        <f t="shared" si="18"/>
        <v>1</v>
      </c>
    </row>
    <row r="426" spans="2:15" s="28" customFormat="1" ht="16.5" customHeight="1">
      <c r="B426" s="20"/>
      <c r="C426" s="20"/>
      <c r="D426" s="254"/>
      <c r="E426" s="379">
        <v>140629</v>
      </c>
      <c r="F426" s="395" t="s">
        <v>677</v>
      </c>
      <c r="G426" s="396"/>
      <c r="H426" s="397"/>
      <c r="I426" s="383">
        <v>746000</v>
      </c>
      <c r="J426" s="398">
        <v>140629</v>
      </c>
      <c r="K426" s="399" t="s">
        <v>71</v>
      </c>
      <c r="L426" s="399" t="s">
        <v>34</v>
      </c>
      <c r="M426" s="399">
        <v>200</v>
      </c>
      <c r="N426" s="356">
        <v>746000</v>
      </c>
      <c r="O426" s="28" t="b">
        <f t="shared" si="18"/>
        <v>1</v>
      </c>
    </row>
    <row r="427" spans="2:15" s="28" customFormat="1" ht="16.5" customHeight="1">
      <c r="B427" s="20"/>
      <c r="C427" s="20"/>
      <c r="D427" s="254"/>
      <c r="E427" s="379">
        <v>140631</v>
      </c>
      <c r="F427" s="395" t="s">
        <v>678</v>
      </c>
      <c r="G427" s="396"/>
      <c r="H427" s="397"/>
      <c r="I427" s="383">
        <v>746000</v>
      </c>
      <c r="J427" s="398">
        <v>140631</v>
      </c>
      <c r="K427" s="399" t="s">
        <v>71</v>
      </c>
      <c r="L427" s="399" t="s">
        <v>34</v>
      </c>
      <c r="M427" s="399">
        <v>200</v>
      </c>
      <c r="N427" s="356">
        <v>746000</v>
      </c>
      <c r="O427" s="28" t="b">
        <f t="shared" si="18"/>
        <v>1</v>
      </c>
    </row>
    <row r="428" spans="2:15" s="28" customFormat="1" ht="16.5" customHeight="1">
      <c r="B428" s="20"/>
      <c r="C428" s="20"/>
      <c r="D428" s="254"/>
      <c r="E428" s="379">
        <v>140675</v>
      </c>
      <c r="F428" s="395" t="s">
        <v>388</v>
      </c>
      <c r="G428" s="396"/>
      <c r="H428" s="397"/>
      <c r="I428" s="383">
        <v>79200</v>
      </c>
      <c r="J428" s="398">
        <v>140675</v>
      </c>
      <c r="K428" s="399" t="s">
        <v>70</v>
      </c>
      <c r="L428" s="399" t="s">
        <v>34</v>
      </c>
      <c r="M428" s="399">
        <v>20</v>
      </c>
      <c r="N428" s="356">
        <v>79200</v>
      </c>
      <c r="O428" s="28" t="b">
        <f t="shared" si="18"/>
        <v>1</v>
      </c>
    </row>
    <row r="429" spans="2:15" s="28" customFormat="1" ht="16.5" customHeight="1">
      <c r="B429" s="20"/>
      <c r="C429" s="20"/>
      <c r="D429" s="254"/>
      <c r="E429" s="379">
        <v>140676</v>
      </c>
      <c r="F429" s="395" t="s">
        <v>389</v>
      </c>
      <c r="G429" s="396"/>
      <c r="H429" s="397"/>
      <c r="I429" s="383">
        <v>79200</v>
      </c>
      <c r="J429" s="398">
        <v>140676</v>
      </c>
      <c r="K429" s="399" t="s">
        <v>70</v>
      </c>
      <c r="L429" s="399" t="s">
        <v>34</v>
      </c>
      <c r="M429" s="399">
        <v>20</v>
      </c>
      <c r="N429" s="356">
        <v>79200</v>
      </c>
      <c r="O429" s="28" t="b">
        <f t="shared" si="18"/>
        <v>1</v>
      </c>
    </row>
    <row r="430" spans="2:15" s="28" customFormat="1" ht="16.5" customHeight="1">
      <c r="B430" s="20"/>
      <c r="C430" s="20"/>
      <c r="D430" s="254"/>
      <c r="E430" s="379">
        <v>140677</v>
      </c>
      <c r="F430" s="395" t="s">
        <v>390</v>
      </c>
      <c r="G430" s="396"/>
      <c r="H430" s="397"/>
      <c r="I430" s="383">
        <v>79200</v>
      </c>
      <c r="J430" s="398">
        <v>140677</v>
      </c>
      <c r="K430" s="399" t="s">
        <v>70</v>
      </c>
      <c r="L430" s="399" t="s">
        <v>34</v>
      </c>
      <c r="M430" s="399">
        <v>20</v>
      </c>
      <c r="N430" s="356">
        <v>79200</v>
      </c>
      <c r="O430" s="28" t="b">
        <f t="shared" si="18"/>
        <v>1</v>
      </c>
    </row>
    <row r="431" spans="2:15" s="28" customFormat="1" ht="16.5" customHeight="1">
      <c r="B431" s="20"/>
      <c r="C431" s="20"/>
      <c r="D431" s="254"/>
      <c r="E431" s="379">
        <v>140787</v>
      </c>
      <c r="F431" s="395" t="s">
        <v>682</v>
      </c>
      <c r="G431" s="396"/>
      <c r="H431" s="397"/>
      <c r="I431" s="383">
        <v>1151000</v>
      </c>
      <c r="J431" s="398">
        <v>140787</v>
      </c>
      <c r="K431" s="399" t="s">
        <v>71</v>
      </c>
      <c r="L431" s="399" t="s">
        <v>34</v>
      </c>
      <c r="M431" s="399">
        <v>208</v>
      </c>
      <c r="N431" s="356">
        <v>1151000</v>
      </c>
      <c r="O431" s="28" t="b">
        <f t="shared" si="18"/>
        <v>1</v>
      </c>
    </row>
    <row r="432" spans="2:15" s="28" customFormat="1" ht="16.5" customHeight="1">
      <c r="B432" s="20"/>
      <c r="C432" s="20"/>
      <c r="D432" s="254"/>
      <c r="E432" s="379">
        <v>140817</v>
      </c>
      <c r="F432" s="395" t="s">
        <v>122</v>
      </c>
      <c r="G432" s="396"/>
      <c r="H432" s="397"/>
      <c r="I432" s="383" t="e">
        <v>#N/A</v>
      </c>
      <c r="J432" s="398">
        <v>140817</v>
      </c>
      <c r="K432" s="399" t="s">
        <v>71</v>
      </c>
      <c r="L432" s="399" t="s">
        <v>34</v>
      </c>
      <c r="M432" s="399">
        <v>208</v>
      </c>
      <c r="N432" s="356">
        <v>1065000</v>
      </c>
      <c r="O432" s="28" t="e">
        <f t="shared" si="18"/>
        <v>#N/A</v>
      </c>
    </row>
    <row r="433" spans="2:15" s="28" customFormat="1" ht="16.5" customHeight="1">
      <c r="B433" s="20"/>
      <c r="C433" s="20"/>
      <c r="D433" s="254"/>
      <c r="E433" s="379">
        <v>140854</v>
      </c>
      <c r="F433" s="395" t="s">
        <v>756</v>
      </c>
      <c r="G433" s="396"/>
      <c r="H433" s="397"/>
      <c r="I433" s="383">
        <v>287000</v>
      </c>
      <c r="J433" s="398">
        <v>140854</v>
      </c>
      <c r="K433" s="399" t="s">
        <v>70</v>
      </c>
      <c r="L433" s="399" t="s">
        <v>34</v>
      </c>
      <c r="M433" s="399">
        <v>20</v>
      </c>
      <c r="N433" s="356">
        <v>287000</v>
      </c>
      <c r="O433" s="28" t="b">
        <f t="shared" si="18"/>
        <v>1</v>
      </c>
    </row>
    <row r="434" spans="2:15" s="28" customFormat="1" ht="16.5" customHeight="1">
      <c r="B434" s="20"/>
      <c r="C434" s="20"/>
      <c r="D434" s="254"/>
      <c r="E434" s="379">
        <v>141187</v>
      </c>
      <c r="F434" s="395" t="s">
        <v>125</v>
      </c>
      <c r="G434" s="396"/>
      <c r="H434" s="397"/>
      <c r="I434" s="383"/>
      <c r="J434" s="398">
        <v>141187</v>
      </c>
      <c r="K434" s="399" t="s">
        <v>71</v>
      </c>
      <c r="L434" s="399" t="s">
        <v>34</v>
      </c>
      <c r="M434" s="399">
        <v>200</v>
      </c>
      <c r="N434" s="356" t="e">
        <v>#N/A</v>
      </c>
      <c r="O434" s="28" t="e">
        <f t="shared" si="18"/>
        <v>#N/A</v>
      </c>
    </row>
    <row r="435" spans="2:15" s="28" customFormat="1" ht="16.5" customHeight="1">
      <c r="B435" s="20"/>
      <c r="C435" s="20"/>
      <c r="D435" s="254"/>
      <c r="E435" s="379">
        <v>141361</v>
      </c>
      <c r="F435" s="395" t="s">
        <v>391</v>
      </c>
      <c r="G435" s="396"/>
      <c r="H435" s="397"/>
      <c r="I435" s="383">
        <v>476000</v>
      </c>
      <c r="J435" s="398">
        <v>141361</v>
      </c>
      <c r="K435" s="399" t="s">
        <v>70</v>
      </c>
      <c r="L435" s="399" t="s">
        <v>34</v>
      </c>
      <c r="M435" s="399">
        <v>16</v>
      </c>
      <c r="N435" s="356">
        <v>476000</v>
      </c>
      <c r="O435" s="28" t="b">
        <f t="shared" si="18"/>
        <v>1</v>
      </c>
    </row>
    <row r="436" spans="2:15" s="28" customFormat="1" ht="16.5" customHeight="1">
      <c r="B436" s="20"/>
      <c r="C436" s="20"/>
      <c r="D436" s="254"/>
      <c r="E436" s="379">
        <v>141367</v>
      </c>
      <c r="F436" s="395" t="s">
        <v>392</v>
      </c>
      <c r="G436" s="396"/>
      <c r="H436" s="397"/>
      <c r="I436" s="383">
        <v>107000</v>
      </c>
      <c r="J436" s="398">
        <v>141367</v>
      </c>
      <c r="K436" s="399" t="s">
        <v>70</v>
      </c>
      <c r="L436" s="399" t="s">
        <v>34</v>
      </c>
      <c r="M436" s="399">
        <v>20</v>
      </c>
      <c r="N436" s="356">
        <v>107000</v>
      </c>
      <c r="O436" s="28" t="b">
        <f t="shared" si="18"/>
        <v>1</v>
      </c>
    </row>
    <row r="437" spans="2:15" s="28" customFormat="1" ht="16.5" customHeight="1">
      <c r="B437" s="20"/>
      <c r="C437" s="20"/>
      <c r="D437" s="254"/>
      <c r="E437" s="379">
        <v>148677</v>
      </c>
      <c r="F437" s="395" t="s">
        <v>134</v>
      </c>
      <c r="G437" s="396"/>
      <c r="H437" s="397"/>
      <c r="I437" s="383">
        <v>1029000</v>
      </c>
      <c r="J437" s="398">
        <v>148677</v>
      </c>
      <c r="K437" s="399" t="s">
        <v>71</v>
      </c>
      <c r="L437" s="399" t="s">
        <v>34</v>
      </c>
      <c r="M437" s="399">
        <v>200</v>
      </c>
      <c r="N437" s="356">
        <v>1029000</v>
      </c>
      <c r="O437" s="28" t="b">
        <f t="shared" si="18"/>
        <v>1</v>
      </c>
    </row>
    <row r="438" spans="2:15" s="28" customFormat="1" ht="16.5" customHeight="1">
      <c r="B438" s="20"/>
      <c r="C438" s="20"/>
      <c r="D438" s="254"/>
      <c r="E438" s="379">
        <v>141429</v>
      </c>
      <c r="F438" s="395" t="s">
        <v>119</v>
      </c>
      <c r="G438" s="396"/>
      <c r="H438" s="397"/>
      <c r="I438" s="383">
        <v>4915000</v>
      </c>
      <c r="J438" s="398">
        <v>141429</v>
      </c>
      <c r="K438" s="399" t="s">
        <v>71</v>
      </c>
      <c r="L438" s="399" t="s">
        <v>34</v>
      </c>
      <c r="M438" s="399">
        <v>174</v>
      </c>
      <c r="N438" s="356">
        <v>4915000</v>
      </c>
      <c r="O438" s="28" t="b">
        <f t="shared" si="18"/>
        <v>1</v>
      </c>
    </row>
    <row r="439" spans="2:15" s="28" customFormat="1" ht="16.5" customHeight="1">
      <c r="B439" s="20"/>
      <c r="C439" s="20"/>
      <c r="D439" s="254"/>
      <c r="E439" s="379">
        <v>141467</v>
      </c>
      <c r="F439" s="395" t="s">
        <v>393</v>
      </c>
      <c r="G439" s="396"/>
      <c r="H439" s="397"/>
      <c r="I439" s="383">
        <v>233000</v>
      </c>
      <c r="J439" s="398">
        <v>141467</v>
      </c>
      <c r="K439" s="399" t="s">
        <v>70</v>
      </c>
      <c r="L439" s="399" t="s">
        <v>34</v>
      </c>
      <c r="M439" s="399">
        <v>15.87</v>
      </c>
      <c r="N439" s="356">
        <v>233000</v>
      </c>
      <c r="O439" s="28" t="b">
        <f t="shared" si="18"/>
        <v>1</v>
      </c>
    </row>
    <row r="440" spans="2:15" s="28" customFormat="1" ht="16.5" customHeight="1">
      <c r="B440" s="20"/>
      <c r="C440" s="20"/>
      <c r="D440" s="254"/>
      <c r="E440" s="379">
        <v>141468</v>
      </c>
      <c r="F440" s="395" t="s">
        <v>686</v>
      </c>
      <c r="G440" s="396"/>
      <c r="H440" s="397"/>
      <c r="I440" s="383">
        <v>2439000</v>
      </c>
      <c r="J440" s="398">
        <v>141468</v>
      </c>
      <c r="K440" s="399" t="s">
        <v>71</v>
      </c>
      <c r="L440" s="399" t="s">
        <v>34</v>
      </c>
      <c r="M440" s="399">
        <v>180</v>
      </c>
      <c r="N440" s="356">
        <v>2439000</v>
      </c>
      <c r="O440" s="28" t="b">
        <f t="shared" si="18"/>
        <v>1</v>
      </c>
    </row>
    <row r="441" spans="2:15" s="28" customFormat="1" ht="16.5" customHeight="1">
      <c r="B441" s="20"/>
      <c r="C441" s="20"/>
      <c r="D441" s="254"/>
      <c r="E441" s="379">
        <v>141654</v>
      </c>
      <c r="F441" s="395" t="s">
        <v>394</v>
      </c>
      <c r="G441" s="396"/>
      <c r="H441" s="397"/>
      <c r="I441" s="383">
        <v>62700</v>
      </c>
      <c r="J441" s="398">
        <v>141654</v>
      </c>
      <c r="K441" s="399" t="s">
        <v>70</v>
      </c>
      <c r="L441" s="399" t="s">
        <v>34</v>
      </c>
      <c r="M441" s="399">
        <v>20</v>
      </c>
      <c r="N441" s="356">
        <v>62700</v>
      </c>
      <c r="O441" s="28" t="b">
        <f t="shared" si="18"/>
        <v>1</v>
      </c>
    </row>
    <row r="442" spans="2:15" s="28" customFormat="1" ht="16.5" customHeight="1">
      <c r="B442" s="20"/>
      <c r="C442" s="20"/>
      <c r="D442" s="254"/>
      <c r="E442" s="379">
        <v>141655</v>
      </c>
      <c r="F442" s="395" t="s">
        <v>689</v>
      </c>
      <c r="G442" s="396"/>
      <c r="H442" s="397"/>
      <c r="I442" s="383">
        <v>582000</v>
      </c>
      <c r="J442" s="398">
        <v>141655</v>
      </c>
      <c r="K442" s="399" t="s">
        <v>71</v>
      </c>
      <c r="L442" s="399" t="s">
        <v>34</v>
      </c>
      <c r="M442" s="399">
        <v>200</v>
      </c>
      <c r="N442" s="356">
        <v>582000</v>
      </c>
      <c r="O442" s="28" t="b">
        <f t="shared" si="18"/>
        <v>1</v>
      </c>
    </row>
    <row r="443" spans="2:15" s="28" customFormat="1" ht="16.5" customHeight="1">
      <c r="B443" s="20"/>
      <c r="C443" s="20"/>
      <c r="D443" s="254"/>
      <c r="E443" s="379">
        <v>141657</v>
      </c>
      <c r="F443" s="395" t="s">
        <v>395</v>
      </c>
      <c r="G443" s="396"/>
      <c r="H443" s="397"/>
      <c r="I443" s="383">
        <v>62700</v>
      </c>
      <c r="J443" s="398">
        <v>141657</v>
      </c>
      <c r="K443" s="399" t="s">
        <v>70</v>
      </c>
      <c r="L443" s="399" t="s">
        <v>34</v>
      </c>
      <c r="M443" s="399">
        <v>20</v>
      </c>
      <c r="N443" s="356">
        <v>62700</v>
      </c>
      <c r="O443" s="28" t="b">
        <f t="shared" si="18"/>
        <v>1</v>
      </c>
    </row>
    <row r="444" spans="2:15" s="28" customFormat="1" ht="16.5" customHeight="1">
      <c r="B444" s="20"/>
      <c r="C444" s="20"/>
      <c r="D444" s="254"/>
      <c r="E444" s="379">
        <v>141658</v>
      </c>
      <c r="F444" s="395" t="s">
        <v>691</v>
      </c>
      <c r="G444" s="396"/>
      <c r="H444" s="397"/>
      <c r="I444" s="383">
        <v>582000</v>
      </c>
      <c r="J444" s="398">
        <v>141658</v>
      </c>
      <c r="K444" s="399" t="s">
        <v>71</v>
      </c>
      <c r="L444" s="399" t="s">
        <v>34</v>
      </c>
      <c r="M444" s="399">
        <v>200</v>
      </c>
      <c r="N444" s="356">
        <v>582000</v>
      </c>
      <c r="O444" s="28" t="b">
        <f t="shared" si="18"/>
        <v>1</v>
      </c>
    </row>
    <row r="445" spans="2:15" s="28" customFormat="1" ht="16.5" customHeight="1">
      <c r="B445" s="20"/>
      <c r="C445" s="20"/>
      <c r="D445" s="254"/>
      <c r="E445" s="379">
        <v>141666</v>
      </c>
      <c r="F445" s="395" t="s">
        <v>693</v>
      </c>
      <c r="G445" s="396"/>
      <c r="H445" s="397"/>
      <c r="I445" s="383">
        <v>755000</v>
      </c>
      <c r="J445" s="398">
        <v>141666</v>
      </c>
      <c r="K445" s="399" t="s">
        <v>71</v>
      </c>
      <c r="L445" s="399" t="s">
        <v>34</v>
      </c>
      <c r="M445" s="399">
        <v>200</v>
      </c>
      <c r="N445" s="356">
        <v>755000</v>
      </c>
      <c r="O445" s="28" t="b">
        <f t="shared" si="18"/>
        <v>1</v>
      </c>
    </row>
    <row r="446" spans="2:15" s="28" customFormat="1" ht="16.5" customHeight="1">
      <c r="B446" s="20"/>
      <c r="C446" s="20"/>
      <c r="D446" s="254"/>
      <c r="E446" s="379">
        <v>141667</v>
      </c>
      <c r="F446" s="395" t="s">
        <v>694</v>
      </c>
      <c r="G446" s="396"/>
      <c r="H446" s="397"/>
      <c r="I446" s="383">
        <v>755000</v>
      </c>
      <c r="J446" s="398">
        <v>141667</v>
      </c>
      <c r="K446" s="399" t="s">
        <v>71</v>
      </c>
      <c r="L446" s="399" t="s">
        <v>34</v>
      </c>
      <c r="M446" s="399">
        <v>200</v>
      </c>
      <c r="N446" s="356">
        <v>755000</v>
      </c>
      <c r="O446" s="28" t="b">
        <f t="shared" si="18"/>
        <v>1</v>
      </c>
    </row>
    <row r="447" spans="2:15" s="28" customFormat="1" ht="16.5" customHeight="1">
      <c r="B447" s="20"/>
      <c r="C447" s="20"/>
      <c r="D447" s="254"/>
      <c r="E447" s="379">
        <v>141737</v>
      </c>
      <c r="F447" s="395" t="s">
        <v>116</v>
      </c>
      <c r="G447" s="396"/>
      <c r="H447" s="397"/>
      <c r="I447" s="383">
        <v>56300</v>
      </c>
      <c r="J447" s="398">
        <v>141737</v>
      </c>
      <c r="K447" s="399" t="s">
        <v>70</v>
      </c>
      <c r="L447" s="399" t="s">
        <v>34</v>
      </c>
      <c r="M447" s="399">
        <v>20</v>
      </c>
      <c r="N447" s="356">
        <v>56300</v>
      </c>
      <c r="O447" s="28" t="b">
        <f t="shared" si="18"/>
        <v>1</v>
      </c>
    </row>
    <row r="448" spans="2:15" s="28" customFormat="1" ht="16.5" customHeight="1">
      <c r="B448" s="20"/>
      <c r="C448" s="20"/>
      <c r="D448" s="254"/>
      <c r="E448" s="379">
        <v>141738</v>
      </c>
      <c r="F448" s="395" t="s">
        <v>115</v>
      </c>
      <c r="G448" s="396"/>
      <c r="H448" s="397"/>
      <c r="I448" s="383">
        <v>520000</v>
      </c>
      <c r="J448" s="398">
        <v>141738</v>
      </c>
      <c r="K448" s="399" t="s">
        <v>71</v>
      </c>
      <c r="L448" s="399" t="s">
        <v>34</v>
      </c>
      <c r="M448" s="399">
        <v>200</v>
      </c>
      <c r="N448" s="356">
        <v>520000</v>
      </c>
      <c r="O448" s="28" t="b">
        <f t="shared" si="18"/>
        <v>1</v>
      </c>
    </row>
    <row r="449" spans="2:15" s="28" customFormat="1" ht="16.5" customHeight="1">
      <c r="B449" s="20"/>
      <c r="C449" s="20"/>
      <c r="D449" s="254"/>
      <c r="E449" s="379">
        <v>141741</v>
      </c>
      <c r="F449" s="395" t="s">
        <v>114</v>
      </c>
      <c r="G449" s="396"/>
      <c r="H449" s="397"/>
      <c r="I449" s="383">
        <v>53900</v>
      </c>
      <c r="J449" s="398">
        <v>141741</v>
      </c>
      <c r="K449" s="399" t="s">
        <v>70</v>
      </c>
      <c r="L449" s="399" t="s">
        <v>34</v>
      </c>
      <c r="M449" s="399">
        <v>20</v>
      </c>
      <c r="N449" s="356">
        <v>53900</v>
      </c>
      <c r="O449" s="28" t="b">
        <f t="shared" si="18"/>
        <v>1</v>
      </c>
    </row>
    <row r="450" spans="2:15" s="28" customFormat="1" ht="16.5" customHeight="1">
      <c r="B450" s="20"/>
      <c r="C450" s="20"/>
      <c r="D450" s="254"/>
      <c r="E450" s="379">
        <v>141742</v>
      </c>
      <c r="F450" s="395" t="s">
        <v>113</v>
      </c>
      <c r="G450" s="396"/>
      <c r="H450" s="397"/>
      <c r="I450" s="383">
        <v>492000</v>
      </c>
      <c r="J450" s="398">
        <v>141742</v>
      </c>
      <c r="K450" s="399" t="s">
        <v>71</v>
      </c>
      <c r="L450" s="399" t="s">
        <v>34</v>
      </c>
      <c r="M450" s="399">
        <v>200</v>
      </c>
      <c r="N450" s="356">
        <v>492000</v>
      </c>
      <c r="O450" s="28" t="b">
        <f t="shared" si="18"/>
        <v>1</v>
      </c>
    </row>
    <row r="451" spans="2:15" s="28" customFormat="1" ht="16.5" customHeight="1">
      <c r="B451" s="20"/>
      <c r="C451" s="20"/>
      <c r="D451" s="254"/>
      <c r="E451" s="379">
        <v>141745</v>
      </c>
      <c r="F451" s="395" t="s">
        <v>112</v>
      </c>
      <c r="G451" s="396"/>
      <c r="H451" s="397"/>
      <c r="I451" s="383">
        <v>53900</v>
      </c>
      <c r="J451" s="398">
        <v>141745</v>
      </c>
      <c r="K451" s="399" t="s">
        <v>70</v>
      </c>
      <c r="L451" s="399" t="s">
        <v>34</v>
      </c>
      <c r="M451" s="399">
        <v>20</v>
      </c>
      <c r="N451" s="356">
        <v>53900</v>
      </c>
      <c r="O451" s="28" t="b">
        <f t="shared" si="18"/>
        <v>1</v>
      </c>
    </row>
    <row r="452" spans="2:15" s="28" customFormat="1" ht="16.5" customHeight="1">
      <c r="B452" s="20"/>
      <c r="C452" s="20"/>
      <c r="D452" s="254"/>
      <c r="E452" s="379">
        <v>141746</v>
      </c>
      <c r="F452" s="395" t="s">
        <v>111</v>
      </c>
      <c r="G452" s="396"/>
      <c r="H452" s="397"/>
      <c r="I452" s="383">
        <v>492000</v>
      </c>
      <c r="J452" s="398">
        <v>141746</v>
      </c>
      <c r="K452" s="399" t="s">
        <v>71</v>
      </c>
      <c r="L452" s="399" t="s">
        <v>34</v>
      </c>
      <c r="M452" s="399">
        <v>200</v>
      </c>
      <c r="N452" s="356">
        <v>492000</v>
      </c>
      <c r="O452" s="28" t="b">
        <f t="shared" si="18"/>
        <v>1</v>
      </c>
    </row>
    <row r="453" spans="2:15" s="28" customFormat="1" ht="16.5" customHeight="1">
      <c r="B453" s="20"/>
      <c r="C453" s="20"/>
      <c r="D453" s="254"/>
      <c r="E453" s="379">
        <v>141750</v>
      </c>
      <c r="F453" s="395" t="s">
        <v>231</v>
      </c>
      <c r="G453" s="396"/>
      <c r="H453" s="397"/>
      <c r="I453" s="383">
        <v>53900</v>
      </c>
      <c r="J453" s="398">
        <v>141750</v>
      </c>
      <c r="K453" s="399" t="s">
        <v>70</v>
      </c>
      <c r="L453" s="399" t="s">
        <v>34</v>
      </c>
      <c r="M453" s="399">
        <v>20</v>
      </c>
      <c r="N453" s="356">
        <v>53900</v>
      </c>
      <c r="O453" s="28" t="b">
        <f t="shared" si="18"/>
        <v>1</v>
      </c>
    </row>
    <row r="454" spans="2:15" s="28" customFormat="1" ht="16.5" customHeight="1">
      <c r="B454" s="20"/>
      <c r="C454" s="20"/>
      <c r="D454" s="254"/>
      <c r="E454" s="379">
        <v>141751</v>
      </c>
      <c r="F454" s="395" t="s">
        <v>110</v>
      </c>
      <c r="G454" s="396"/>
      <c r="H454" s="397"/>
      <c r="I454" s="383">
        <v>492000</v>
      </c>
      <c r="J454" s="398">
        <v>141751</v>
      </c>
      <c r="K454" s="399" t="s">
        <v>71</v>
      </c>
      <c r="L454" s="399" t="s">
        <v>34</v>
      </c>
      <c r="M454" s="399">
        <v>200</v>
      </c>
      <c r="N454" s="356">
        <v>492000</v>
      </c>
      <c r="O454" s="28" t="b">
        <f t="shared" si="18"/>
        <v>1</v>
      </c>
    </row>
    <row r="455" spans="2:15" s="28" customFormat="1" ht="16.5" customHeight="1">
      <c r="B455" s="20"/>
      <c r="C455" s="20"/>
      <c r="D455" s="254"/>
      <c r="E455" s="379">
        <v>141763</v>
      </c>
      <c r="F455" s="395" t="s">
        <v>396</v>
      </c>
      <c r="G455" s="396"/>
      <c r="H455" s="397"/>
      <c r="I455" s="383">
        <v>79600</v>
      </c>
      <c r="J455" s="398">
        <v>141763</v>
      </c>
      <c r="K455" s="399" t="s">
        <v>70</v>
      </c>
      <c r="L455" s="399" t="s">
        <v>34</v>
      </c>
      <c r="M455" s="399">
        <v>20</v>
      </c>
      <c r="N455" s="356">
        <v>79600</v>
      </c>
      <c r="O455" s="28" t="b">
        <f t="shared" si="18"/>
        <v>1</v>
      </c>
    </row>
    <row r="456" spans="2:15" s="28" customFormat="1" ht="16.5" customHeight="1">
      <c r="B456" s="20"/>
      <c r="C456" s="20"/>
      <c r="D456" s="254"/>
      <c r="E456" s="379">
        <v>142012</v>
      </c>
      <c r="F456" s="395" t="s">
        <v>129</v>
      </c>
      <c r="G456" s="396"/>
      <c r="H456" s="397"/>
      <c r="I456" s="383">
        <v>46900</v>
      </c>
      <c r="J456" s="398">
        <v>142012</v>
      </c>
      <c r="K456" s="399" t="s">
        <v>70</v>
      </c>
      <c r="L456" s="399" t="s">
        <v>34</v>
      </c>
      <c r="M456" s="399">
        <v>20</v>
      </c>
      <c r="N456" s="356">
        <v>46900</v>
      </c>
      <c r="O456" s="28" t="b">
        <f t="shared" si="18"/>
        <v>1</v>
      </c>
    </row>
    <row r="457" spans="2:15" s="28" customFormat="1" ht="16.5" customHeight="1">
      <c r="B457" s="20"/>
      <c r="C457" s="20"/>
      <c r="D457" s="254"/>
      <c r="E457" s="379">
        <v>142028</v>
      </c>
      <c r="F457" s="395" t="s">
        <v>768</v>
      </c>
      <c r="G457" s="396"/>
      <c r="H457" s="397"/>
      <c r="I457" s="383">
        <v>318000</v>
      </c>
      <c r="J457" s="398">
        <v>142028</v>
      </c>
      <c r="K457" s="399" t="s">
        <v>70</v>
      </c>
      <c r="L457" s="399" t="s">
        <v>34</v>
      </c>
      <c r="M457" s="399">
        <v>16</v>
      </c>
      <c r="N457" s="356">
        <v>318000</v>
      </c>
      <c r="O457" s="28" t="b">
        <f t="shared" si="18"/>
        <v>1</v>
      </c>
    </row>
    <row r="458" spans="2:15" s="28" customFormat="1" ht="16.5" customHeight="1">
      <c r="B458" s="20"/>
      <c r="C458" s="20"/>
      <c r="D458" s="254"/>
      <c r="E458" s="379">
        <v>142288</v>
      </c>
      <c r="F458" s="395" t="s">
        <v>121</v>
      </c>
      <c r="G458" s="396"/>
      <c r="H458" s="397"/>
      <c r="I458" s="383">
        <v>6002000</v>
      </c>
      <c r="J458" s="398">
        <v>142288</v>
      </c>
      <c r="K458" s="399" t="s">
        <v>71</v>
      </c>
      <c r="L458" s="399" t="s">
        <v>34</v>
      </c>
      <c r="M458" s="399">
        <v>208</v>
      </c>
      <c r="N458" s="356">
        <v>6002000</v>
      </c>
      <c r="O458" s="28" t="b">
        <f t="shared" si="18"/>
        <v>1</v>
      </c>
    </row>
    <row r="459" spans="2:15" s="28" customFormat="1" ht="16.5" customHeight="1">
      <c r="B459" s="20"/>
      <c r="C459" s="20"/>
      <c r="D459" s="254"/>
      <c r="E459" s="379">
        <v>142411</v>
      </c>
      <c r="F459" s="395" t="s">
        <v>705</v>
      </c>
      <c r="G459" s="396"/>
      <c r="H459" s="397"/>
      <c r="I459" s="383">
        <v>777000</v>
      </c>
      <c r="J459" s="398">
        <v>142411</v>
      </c>
      <c r="K459" s="399" t="s">
        <v>71</v>
      </c>
      <c r="L459" s="399" t="s">
        <v>34</v>
      </c>
      <c r="M459" s="399">
        <v>200</v>
      </c>
      <c r="N459" s="356">
        <v>777000</v>
      </c>
      <c r="O459" s="28" t="b">
        <f t="shared" si="18"/>
        <v>1</v>
      </c>
    </row>
    <row r="460" spans="2:15" s="28" customFormat="1" ht="16.5" customHeight="1">
      <c r="B460" s="20"/>
      <c r="C460" s="20"/>
      <c r="D460" s="254"/>
      <c r="E460" s="379">
        <v>142637</v>
      </c>
      <c r="F460" s="395" t="s">
        <v>707</v>
      </c>
      <c r="G460" s="396"/>
      <c r="H460" s="397"/>
      <c r="I460" s="383">
        <v>4494000</v>
      </c>
      <c r="J460" s="399">
        <v>142637</v>
      </c>
      <c r="K460" s="399" t="s">
        <v>71</v>
      </c>
      <c r="L460" s="399" t="s">
        <v>34</v>
      </c>
      <c r="M460" s="399">
        <v>200</v>
      </c>
      <c r="N460" s="356">
        <v>4494000</v>
      </c>
      <c r="O460" s="28" t="b">
        <f t="shared" si="18"/>
        <v>1</v>
      </c>
    </row>
    <row r="461" spans="2:15" s="28" customFormat="1" ht="16.5" customHeight="1">
      <c r="B461" s="20"/>
      <c r="C461" s="20"/>
      <c r="D461" s="254"/>
      <c r="E461" s="379">
        <v>143560</v>
      </c>
      <c r="F461" s="395" t="s">
        <v>724</v>
      </c>
      <c r="G461" s="396"/>
      <c r="H461" s="397"/>
      <c r="I461" s="383">
        <v>728000</v>
      </c>
      <c r="J461" s="398">
        <v>143560</v>
      </c>
      <c r="K461" s="399" t="s">
        <v>71</v>
      </c>
      <c r="L461" s="399" t="s">
        <v>34</v>
      </c>
      <c r="M461" s="399">
        <v>200</v>
      </c>
      <c r="N461" s="356">
        <v>728000</v>
      </c>
      <c r="O461" s="28" t="b">
        <f t="shared" si="18"/>
        <v>1</v>
      </c>
    </row>
    <row r="462" spans="2:15" s="28" customFormat="1" ht="16.5" customHeight="1">
      <c r="B462" s="20"/>
      <c r="C462" s="20"/>
      <c r="D462" s="254"/>
      <c r="E462" s="379">
        <v>143561</v>
      </c>
      <c r="F462" s="395" t="s">
        <v>725</v>
      </c>
      <c r="G462" s="396"/>
      <c r="H462" s="397"/>
      <c r="I462" s="383">
        <v>728000</v>
      </c>
      <c r="J462" s="398">
        <v>143561</v>
      </c>
      <c r="K462" s="399" t="s">
        <v>71</v>
      </c>
      <c r="L462" s="399" t="s">
        <v>34</v>
      </c>
      <c r="M462" s="399">
        <v>200</v>
      </c>
      <c r="N462" s="356">
        <v>728000</v>
      </c>
      <c r="O462" s="28" t="b">
        <f t="shared" si="18"/>
        <v>1</v>
      </c>
    </row>
    <row r="463" spans="2:15" s="28" customFormat="1" ht="16.5" customHeight="1">
      <c r="B463" s="20"/>
      <c r="C463" s="20"/>
      <c r="D463" s="254"/>
      <c r="E463" s="379">
        <v>143563</v>
      </c>
      <c r="F463" s="395" t="s">
        <v>726</v>
      </c>
      <c r="G463" s="396"/>
      <c r="H463" s="397"/>
      <c r="I463" s="383">
        <v>728000</v>
      </c>
      <c r="J463" s="398">
        <v>143563</v>
      </c>
      <c r="K463" s="399" t="s">
        <v>71</v>
      </c>
      <c r="L463" s="399" t="s">
        <v>34</v>
      </c>
      <c r="M463" s="399">
        <v>200</v>
      </c>
      <c r="N463" s="356">
        <v>728000</v>
      </c>
      <c r="O463" s="28" t="b">
        <f t="shared" si="18"/>
        <v>1</v>
      </c>
    </row>
    <row r="464" spans="2:15" s="28" customFormat="1" ht="16.5" customHeight="1">
      <c r="B464" s="20"/>
      <c r="C464" s="20"/>
      <c r="D464" s="254"/>
      <c r="E464" s="379">
        <v>143982</v>
      </c>
      <c r="F464" s="395" t="s">
        <v>749</v>
      </c>
      <c r="G464" s="396"/>
      <c r="H464" s="397"/>
      <c r="I464" s="383">
        <v>2995000</v>
      </c>
      <c r="J464" s="398">
        <v>143982</v>
      </c>
      <c r="K464" s="399" t="s">
        <v>71</v>
      </c>
      <c r="L464" s="399" t="s">
        <v>34</v>
      </c>
      <c r="M464" s="399">
        <v>208</v>
      </c>
      <c r="N464" s="356">
        <v>2995000</v>
      </c>
      <c r="O464" s="28" t="b">
        <f t="shared" si="18"/>
        <v>1</v>
      </c>
    </row>
    <row r="465" spans="2:15" s="28" customFormat="1" ht="16.5" customHeight="1">
      <c r="B465" s="20"/>
      <c r="C465" s="20"/>
      <c r="D465" s="254"/>
      <c r="E465" s="379">
        <v>143983</v>
      </c>
      <c r="F465" s="395" t="s">
        <v>743</v>
      </c>
      <c r="G465" s="396"/>
      <c r="H465" s="397"/>
      <c r="I465" s="383">
        <v>287000</v>
      </c>
      <c r="J465" s="399">
        <v>143983</v>
      </c>
      <c r="K465" s="399" t="s">
        <v>70</v>
      </c>
      <c r="L465" s="399" t="s">
        <v>34</v>
      </c>
      <c r="M465" s="399">
        <v>20</v>
      </c>
      <c r="N465" s="356">
        <v>287000</v>
      </c>
      <c r="O465" s="28" t="b">
        <f t="shared" si="18"/>
        <v>1</v>
      </c>
    </row>
    <row r="466" spans="2:15" s="28" customFormat="1" ht="16.5" customHeight="1">
      <c r="B466" s="20"/>
      <c r="C466" s="20"/>
      <c r="D466" s="254"/>
      <c r="E466" s="379">
        <v>143985</v>
      </c>
      <c r="F466" s="395" t="s">
        <v>769</v>
      </c>
      <c r="G466" s="396"/>
      <c r="H466" s="397"/>
      <c r="I466" s="383">
        <v>2763000</v>
      </c>
      <c r="J466" s="398">
        <v>143985</v>
      </c>
      <c r="K466" s="399" t="s">
        <v>71</v>
      </c>
      <c r="L466" s="399" t="s">
        <v>34</v>
      </c>
      <c r="M466" s="399">
        <v>208</v>
      </c>
      <c r="N466" s="356">
        <v>2763000</v>
      </c>
      <c r="O466" s="28" t="b">
        <f t="shared" si="18"/>
        <v>1</v>
      </c>
    </row>
    <row r="467" spans="2:15" s="28" customFormat="1" ht="16.5" customHeight="1">
      <c r="B467" s="20"/>
      <c r="C467" s="20"/>
      <c r="D467" s="254"/>
      <c r="E467" s="379">
        <v>143987</v>
      </c>
      <c r="F467" s="395" t="s">
        <v>747</v>
      </c>
      <c r="G467" s="396"/>
      <c r="H467" s="397"/>
      <c r="I467" s="383">
        <v>2938000</v>
      </c>
      <c r="J467" s="398">
        <v>143987</v>
      </c>
      <c r="K467" s="399" t="s">
        <v>71</v>
      </c>
      <c r="L467" s="399" t="s">
        <v>34</v>
      </c>
      <c r="M467" s="399">
        <v>208</v>
      </c>
      <c r="N467" s="356">
        <v>2938000</v>
      </c>
      <c r="O467" s="28" t="b">
        <f t="shared" si="18"/>
        <v>1</v>
      </c>
    </row>
    <row r="468" spans="2:15" s="28" customFormat="1" ht="16.5" customHeight="1">
      <c r="B468" s="20"/>
      <c r="C468" s="20"/>
      <c r="D468" s="254"/>
      <c r="E468" s="379">
        <v>143988</v>
      </c>
      <c r="F468" s="395" t="s">
        <v>742</v>
      </c>
      <c r="G468" s="396"/>
      <c r="H468" s="397"/>
      <c r="I468" s="383">
        <v>289000</v>
      </c>
      <c r="J468" s="398">
        <v>143988</v>
      </c>
      <c r="K468" s="399" t="s">
        <v>70</v>
      </c>
      <c r="L468" s="399" t="s">
        <v>34</v>
      </c>
      <c r="M468" s="399">
        <v>20</v>
      </c>
      <c r="N468" s="356">
        <v>289000</v>
      </c>
      <c r="O468" s="28" t="b">
        <f t="shared" si="18"/>
        <v>1</v>
      </c>
    </row>
    <row r="469" spans="2:15" s="28" customFormat="1" ht="16.5" customHeight="1">
      <c r="B469" s="20"/>
      <c r="C469" s="20"/>
      <c r="D469" s="254"/>
      <c r="E469" s="379">
        <v>143990</v>
      </c>
      <c r="F469" s="395" t="s">
        <v>770</v>
      </c>
      <c r="G469" s="396"/>
      <c r="H469" s="397"/>
      <c r="I469" s="383">
        <v>3124000</v>
      </c>
      <c r="J469" s="398">
        <v>143990</v>
      </c>
      <c r="K469" s="399" t="s">
        <v>71</v>
      </c>
      <c r="L469" s="399" t="s">
        <v>34</v>
      </c>
      <c r="M469" s="399">
        <v>208</v>
      </c>
      <c r="N469" s="356">
        <v>3124000</v>
      </c>
      <c r="O469" s="28" t="b">
        <f t="shared" si="18"/>
        <v>1</v>
      </c>
    </row>
    <row r="470" spans="2:15" s="28" customFormat="1" ht="16.5" customHeight="1">
      <c r="B470" s="20"/>
      <c r="C470" s="20"/>
      <c r="D470" s="254"/>
      <c r="E470" s="379">
        <v>143991</v>
      </c>
      <c r="F470" s="395" t="s">
        <v>771</v>
      </c>
      <c r="G470" s="396"/>
      <c r="H470" s="397"/>
      <c r="I470" s="383">
        <v>337000</v>
      </c>
      <c r="J470" s="398">
        <v>143991</v>
      </c>
      <c r="K470" s="399" t="s">
        <v>70</v>
      </c>
      <c r="L470" s="399" t="s">
        <v>34</v>
      </c>
      <c r="M470" s="399">
        <v>20</v>
      </c>
      <c r="N470" s="356">
        <v>337000</v>
      </c>
      <c r="O470" s="28" t="b">
        <f t="shared" si="18"/>
        <v>1</v>
      </c>
    </row>
    <row r="471" spans="2:15" s="28" customFormat="1" ht="16.5" customHeight="1">
      <c r="B471" s="20"/>
      <c r="C471" s="20"/>
      <c r="D471" s="254"/>
      <c r="E471" s="379">
        <v>143993</v>
      </c>
      <c r="F471" s="395" t="s">
        <v>772</v>
      </c>
      <c r="G471" s="396"/>
      <c r="H471" s="397"/>
      <c r="I471" s="383">
        <v>3255000</v>
      </c>
      <c r="J471" s="399">
        <v>143993</v>
      </c>
      <c r="K471" s="399" t="s">
        <v>71</v>
      </c>
      <c r="L471" s="399" t="s">
        <v>34</v>
      </c>
      <c r="M471" s="399">
        <v>208</v>
      </c>
      <c r="N471" s="356">
        <v>3255000</v>
      </c>
      <c r="O471" s="28" t="b">
        <f t="shared" si="18"/>
        <v>1</v>
      </c>
    </row>
    <row r="472" spans="2:15" s="28" customFormat="1" ht="16.5" customHeight="1">
      <c r="B472" s="20"/>
      <c r="C472" s="20"/>
      <c r="D472" s="254"/>
      <c r="E472" s="379">
        <v>143994</v>
      </c>
      <c r="F472" s="395" t="s">
        <v>773</v>
      </c>
      <c r="G472" s="396"/>
      <c r="H472" s="397"/>
      <c r="I472" s="383">
        <v>351000</v>
      </c>
      <c r="J472" s="398">
        <v>143994</v>
      </c>
      <c r="K472" s="399" t="s">
        <v>70</v>
      </c>
      <c r="L472" s="399" t="s">
        <v>34</v>
      </c>
      <c r="M472" s="399">
        <v>20</v>
      </c>
      <c r="N472" s="356">
        <v>351000</v>
      </c>
      <c r="O472" s="28" t="b">
        <f t="shared" si="18"/>
        <v>1</v>
      </c>
    </row>
    <row r="473" spans="2:15" s="28" customFormat="1" ht="16.5" customHeight="1">
      <c r="B473" s="20"/>
      <c r="C473" s="20"/>
      <c r="D473" s="254"/>
      <c r="E473" s="379">
        <v>144165</v>
      </c>
      <c r="F473" s="395" t="s">
        <v>750</v>
      </c>
      <c r="G473" s="396"/>
      <c r="H473" s="397"/>
      <c r="I473" s="383">
        <v>34300</v>
      </c>
      <c r="J473" s="398">
        <v>144165</v>
      </c>
      <c r="K473" s="399" t="s">
        <v>70</v>
      </c>
      <c r="L473" s="399" t="s">
        <v>34</v>
      </c>
      <c r="M473" s="399">
        <v>20</v>
      </c>
      <c r="N473" s="356">
        <v>34300</v>
      </c>
      <c r="O473" s="28" t="b">
        <f t="shared" si="18"/>
        <v>1</v>
      </c>
    </row>
    <row r="474" spans="2:15" s="28" customFormat="1" ht="16.5" customHeight="1">
      <c r="B474" s="20"/>
      <c r="C474" s="20"/>
      <c r="D474" s="254"/>
      <c r="E474" s="379">
        <v>144166</v>
      </c>
      <c r="F474" s="395" t="s">
        <v>748</v>
      </c>
      <c r="G474" s="396"/>
      <c r="H474" s="397"/>
      <c r="I474" s="383">
        <v>318000</v>
      </c>
      <c r="J474" s="398">
        <v>144166</v>
      </c>
      <c r="K474" s="399" t="s">
        <v>71</v>
      </c>
      <c r="L474" s="399" t="s">
        <v>34</v>
      </c>
      <c r="M474" s="399">
        <v>200</v>
      </c>
      <c r="N474" s="356">
        <v>318000</v>
      </c>
      <c r="O474" s="28" t="b">
        <f t="shared" ref="O474:O503" si="19">I474=N474</f>
        <v>1</v>
      </c>
    </row>
    <row r="475" spans="2:15" s="28" customFormat="1" ht="16.5" customHeight="1">
      <c r="B475" s="20"/>
      <c r="C475" s="20"/>
      <c r="D475" s="254"/>
      <c r="E475" s="379">
        <v>144167</v>
      </c>
      <c r="F475" s="395" t="s">
        <v>745</v>
      </c>
      <c r="G475" s="396"/>
      <c r="H475" s="397"/>
      <c r="I475" s="383">
        <v>34300</v>
      </c>
      <c r="J475" s="398">
        <v>144167</v>
      </c>
      <c r="K475" s="399" t="s">
        <v>70</v>
      </c>
      <c r="L475" s="399" t="s">
        <v>34</v>
      </c>
      <c r="M475" s="399">
        <v>20</v>
      </c>
      <c r="N475" s="356">
        <v>34300</v>
      </c>
      <c r="O475" s="28" t="b">
        <f t="shared" si="19"/>
        <v>1</v>
      </c>
    </row>
    <row r="476" spans="2:15" s="28" customFormat="1" ht="16.5" customHeight="1">
      <c r="B476" s="20"/>
      <c r="C476" s="20"/>
      <c r="D476" s="254"/>
      <c r="E476" s="379">
        <v>144168</v>
      </c>
      <c r="F476" s="395" t="s">
        <v>744</v>
      </c>
      <c r="G476" s="396"/>
      <c r="H476" s="397"/>
      <c r="I476" s="383">
        <v>318000</v>
      </c>
      <c r="J476" s="398">
        <v>144168</v>
      </c>
      <c r="K476" s="399" t="s">
        <v>71</v>
      </c>
      <c r="L476" s="399" t="s">
        <v>34</v>
      </c>
      <c r="M476" s="399">
        <v>200</v>
      </c>
      <c r="N476" s="356">
        <v>318000</v>
      </c>
      <c r="O476" s="28" t="b">
        <f t="shared" si="19"/>
        <v>1</v>
      </c>
    </row>
    <row r="477" spans="2:15" s="28" customFormat="1" ht="16.5" customHeight="1">
      <c r="B477" s="20"/>
      <c r="C477" s="20"/>
      <c r="D477" s="254"/>
      <c r="E477" s="379">
        <v>144169</v>
      </c>
      <c r="F477" s="395" t="s">
        <v>751</v>
      </c>
      <c r="G477" s="396"/>
      <c r="H477" s="397"/>
      <c r="I477" s="383">
        <v>36600</v>
      </c>
      <c r="J477" s="398">
        <v>144169</v>
      </c>
      <c r="K477" s="399" t="s">
        <v>70</v>
      </c>
      <c r="L477" s="399" t="s">
        <v>34</v>
      </c>
      <c r="M477" s="399">
        <v>20</v>
      </c>
      <c r="N477" s="356">
        <v>35300</v>
      </c>
      <c r="O477" s="28" t="b">
        <f t="shared" si="19"/>
        <v>0</v>
      </c>
    </row>
    <row r="478" spans="2:15" s="28" customFormat="1" ht="16.5" customHeight="1">
      <c r="B478" s="20"/>
      <c r="C478" s="20"/>
      <c r="D478" s="254"/>
      <c r="E478" s="379">
        <v>144170</v>
      </c>
      <c r="F478" s="395" t="s">
        <v>752</v>
      </c>
      <c r="G478" s="396"/>
      <c r="H478" s="397"/>
      <c r="I478" s="383">
        <v>338000</v>
      </c>
      <c r="J478" s="398">
        <v>144170</v>
      </c>
      <c r="K478" s="399" t="s">
        <v>71</v>
      </c>
      <c r="L478" s="399" t="s">
        <v>34</v>
      </c>
      <c r="M478" s="399">
        <v>200</v>
      </c>
      <c r="N478" s="356">
        <v>328000</v>
      </c>
      <c r="O478" s="28" t="b">
        <f t="shared" si="19"/>
        <v>0</v>
      </c>
    </row>
    <row r="479" spans="2:15" s="28" customFormat="1" ht="16.5" customHeight="1">
      <c r="B479" s="20"/>
      <c r="C479" s="20"/>
      <c r="D479" s="254"/>
      <c r="E479" s="379">
        <v>138924</v>
      </c>
      <c r="F479" s="395" t="s">
        <v>555</v>
      </c>
      <c r="G479" s="396"/>
      <c r="H479" s="397"/>
      <c r="I479" s="383"/>
      <c r="J479" s="398">
        <v>138924</v>
      </c>
      <c r="K479" s="399" t="s">
        <v>71</v>
      </c>
      <c r="L479" s="399" t="s">
        <v>34</v>
      </c>
      <c r="M479" s="399">
        <v>200</v>
      </c>
      <c r="N479" s="356" t="e">
        <v>#N/A</v>
      </c>
      <c r="O479" s="28" t="e">
        <f t="shared" si="19"/>
        <v>#N/A</v>
      </c>
    </row>
    <row r="480" spans="2:15" s="28" customFormat="1" ht="16.5" customHeight="1">
      <c r="B480" s="20"/>
      <c r="C480" s="20"/>
      <c r="D480" s="254"/>
      <c r="E480" s="379">
        <v>144364</v>
      </c>
      <c r="F480" s="395" t="s">
        <v>780</v>
      </c>
      <c r="G480" s="396"/>
      <c r="H480" s="397"/>
      <c r="I480" s="383">
        <v>713000</v>
      </c>
      <c r="J480" s="398">
        <v>144364</v>
      </c>
      <c r="K480" s="399" t="s">
        <v>71</v>
      </c>
      <c r="L480" s="399" t="s">
        <v>34</v>
      </c>
      <c r="M480" s="399">
        <v>200</v>
      </c>
      <c r="N480" s="356">
        <v>713000</v>
      </c>
      <c r="O480" s="28" t="b">
        <f t="shared" si="19"/>
        <v>1</v>
      </c>
    </row>
    <row r="481" spans="2:15" s="28" customFormat="1" ht="16.5" customHeight="1">
      <c r="B481" s="20"/>
      <c r="C481" s="20"/>
      <c r="D481" s="254"/>
      <c r="E481" s="379">
        <v>136171</v>
      </c>
      <c r="F481" s="395" t="s">
        <v>39</v>
      </c>
      <c r="G481" s="396"/>
      <c r="H481" s="397"/>
      <c r="I481" s="383"/>
      <c r="J481" s="398">
        <v>136171</v>
      </c>
      <c r="K481" s="399" t="s">
        <v>70</v>
      </c>
      <c r="L481" s="399" t="s">
        <v>34</v>
      </c>
      <c r="M481" s="399">
        <v>20</v>
      </c>
      <c r="N481" s="356" t="e">
        <v>#N/A</v>
      </c>
      <c r="O481" s="28" t="e">
        <f t="shared" si="19"/>
        <v>#N/A</v>
      </c>
    </row>
    <row r="482" spans="2:15" s="28" customFormat="1" ht="16.5" customHeight="1">
      <c r="B482" s="20"/>
      <c r="C482" s="20"/>
      <c r="D482" s="254"/>
      <c r="E482" s="379">
        <v>148672</v>
      </c>
      <c r="F482" s="395" t="s">
        <v>779</v>
      </c>
      <c r="G482" s="396"/>
      <c r="H482" s="397"/>
      <c r="I482" s="383">
        <v>76100</v>
      </c>
      <c r="J482" s="398">
        <v>148672</v>
      </c>
      <c r="K482" s="399" t="s">
        <v>70</v>
      </c>
      <c r="L482" s="399" t="s">
        <v>34</v>
      </c>
      <c r="M482" s="399">
        <v>20</v>
      </c>
      <c r="N482" s="356">
        <v>76100</v>
      </c>
      <c r="O482" s="28" t="b">
        <f t="shared" si="19"/>
        <v>1</v>
      </c>
    </row>
    <row r="483" spans="2:15" s="28" customFormat="1" ht="16.5" customHeight="1">
      <c r="B483" s="20"/>
      <c r="C483" s="20"/>
      <c r="D483" s="254"/>
      <c r="E483" s="379">
        <v>144353</v>
      </c>
      <c r="F483" s="395" t="s">
        <v>774</v>
      </c>
      <c r="G483" s="396"/>
      <c r="H483" s="397"/>
      <c r="I483" s="383">
        <v>670000</v>
      </c>
      <c r="J483" s="398">
        <v>144353</v>
      </c>
      <c r="K483" s="399" t="s">
        <v>71</v>
      </c>
      <c r="L483" s="399" t="s">
        <v>34</v>
      </c>
      <c r="M483" s="399">
        <v>200</v>
      </c>
      <c r="N483" s="356">
        <v>670000</v>
      </c>
      <c r="O483" s="28" t="b">
        <f t="shared" si="19"/>
        <v>1</v>
      </c>
    </row>
    <row r="484" spans="2:15" s="28" customFormat="1" ht="16.5" customHeight="1">
      <c r="B484" s="20"/>
      <c r="C484" s="20"/>
      <c r="D484" s="254"/>
      <c r="E484" s="379">
        <v>148668</v>
      </c>
      <c r="F484" s="395" t="s">
        <v>758</v>
      </c>
      <c r="G484" s="396"/>
      <c r="H484" s="397"/>
      <c r="I484" s="383">
        <v>71700</v>
      </c>
      <c r="J484" s="398">
        <v>148668</v>
      </c>
      <c r="K484" s="399" t="s">
        <v>70</v>
      </c>
      <c r="L484" s="399" t="s">
        <v>34</v>
      </c>
      <c r="M484" s="399">
        <v>20</v>
      </c>
      <c r="N484" s="356">
        <v>71700</v>
      </c>
      <c r="O484" s="28" t="b">
        <f t="shared" si="19"/>
        <v>1</v>
      </c>
    </row>
    <row r="485" spans="2:15" s="28" customFormat="1" ht="16.5" customHeight="1">
      <c r="B485" s="20"/>
      <c r="C485" s="20"/>
      <c r="D485" s="254"/>
      <c r="E485" s="379">
        <v>138925</v>
      </c>
      <c r="F485" s="395" t="s">
        <v>556</v>
      </c>
      <c r="G485" s="396"/>
      <c r="H485" s="397"/>
      <c r="I485" s="383"/>
      <c r="J485" s="398">
        <v>138925</v>
      </c>
      <c r="K485" s="399" t="s">
        <v>71</v>
      </c>
      <c r="L485" s="399" t="s">
        <v>34</v>
      </c>
      <c r="M485" s="399">
        <v>200</v>
      </c>
      <c r="N485" s="356" t="e">
        <v>#N/A</v>
      </c>
      <c r="O485" s="28" t="e">
        <f t="shared" si="19"/>
        <v>#N/A</v>
      </c>
    </row>
    <row r="486" spans="2:15" s="28" customFormat="1" ht="16.5" customHeight="1">
      <c r="B486" s="20"/>
      <c r="C486" s="20"/>
      <c r="D486" s="254"/>
      <c r="E486" s="379">
        <v>144367</v>
      </c>
      <c r="F486" s="395" t="s">
        <v>782</v>
      </c>
      <c r="G486" s="396"/>
      <c r="H486" s="397"/>
      <c r="I486" s="383">
        <v>756000</v>
      </c>
      <c r="J486" s="398">
        <v>144367</v>
      </c>
      <c r="K486" s="399" t="s">
        <v>71</v>
      </c>
      <c r="L486" s="399" t="s">
        <v>34</v>
      </c>
      <c r="M486" s="399">
        <v>200</v>
      </c>
      <c r="N486" s="356">
        <v>756000</v>
      </c>
      <c r="O486" s="28" t="b">
        <f t="shared" si="19"/>
        <v>1</v>
      </c>
    </row>
    <row r="487" spans="2:15" s="28" customFormat="1" ht="16.5" customHeight="1">
      <c r="B487" s="20"/>
      <c r="C487" s="20"/>
      <c r="D487" s="254"/>
      <c r="E487" s="379">
        <v>136172</v>
      </c>
      <c r="F487" s="395" t="s">
        <v>38</v>
      </c>
      <c r="G487" s="396"/>
      <c r="H487" s="397"/>
      <c r="I487" s="383"/>
      <c r="J487" s="398">
        <v>136172</v>
      </c>
      <c r="K487" s="399" t="s">
        <v>70</v>
      </c>
      <c r="L487" s="399" t="s">
        <v>34</v>
      </c>
      <c r="M487" s="399">
        <v>20</v>
      </c>
      <c r="N487" s="356" t="e">
        <v>#N/A</v>
      </c>
      <c r="O487" s="28" t="e">
        <f t="shared" si="19"/>
        <v>#N/A</v>
      </c>
    </row>
    <row r="488" spans="2:15" s="28" customFormat="1" ht="16.5" customHeight="1">
      <c r="B488" s="20"/>
      <c r="C488" s="20"/>
      <c r="D488" s="254"/>
      <c r="E488" s="379">
        <v>148673</v>
      </c>
      <c r="F488" s="395" t="s">
        <v>781</v>
      </c>
      <c r="G488" s="396"/>
      <c r="H488" s="397"/>
      <c r="I488" s="383">
        <v>80200</v>
      </c>
      <c r="J488" s="398">
        <v>148673</v>
      </c>
      <c r="K488" s="399" t="s">
        <v>70</v>
      </c>
      <c r="L488" s="399" t="s">
        <v>34</v>
      </c>
      <c r="M488" s="399">
        <v>20</v>
      </c>
      <c r="N488" s="356">
        <v>80200</v>
      </c>
      <c r="O488" s="28" t="b">
        <f t="shared" si="19"/>
        <v>1</v>
      </c>
    </row>
    <row r="489" spans="2:15" s="28" customFormat="1" ht="16.5" customHeight="1">
      <c r="B489" s="20"/>
      <c r="C489" s="20"/>
      <c r="D489" s="254"/>
      <c r="E489" s="379">
        <v>144355</v>
      </c>
      <c r="F489" s="395" t="s">
        <v>775</v>
      </c>
      <c r="G489" s="396"/>
      <c r="H489" s="397"/>
      <c r="I489" s="383">
        <v>670000</v>
      </c>
      <c r="J489" s="398">
        <v>144355</v>
      </c>
      <c r="K489" s="399" t="s">
        <v>71</v>
      </c>
      <c r="L489" s="399" t="s">
        <v>34</v>
      </c>
      <c r="M489" s="399">
        <v>200</v>
      </c>
      <c r="N489" s="356">
        <v>670000</v>
      </c>
      <c r="O489" s="28" t="b">
        <f t="shared" si="19"/>
        <v>1</v>
      </c>
    </row>
    <row r="490" spans="2:15" s="28" customFormat="1" ht="16.5" customHeight="1">
      <c r="B490" s="20"/>
      <c r="C490" s="20"/>
      <c r="D490" s="254"/>
      <c r="E490" s="379">
        <v>148669</v>
      </c>
      <c r="F490" s="395" t="s">
        <v>755</v>
      </c>
      <c r="G490" s="396"/>
      <c r="H490" s="397"/>
      <c r="I490" s="383">
        <v>71700</v>
      </c>
      <c r="J490" s="398">
        <v>148669</v>
      </c>
      <c r="K490" s="399" t="s">
        <v>70</v>
      </c>
      <c r="L490" s="399" t="s">
        <v>34</v>
      </c>
      <c r="M490" s="399">
        <v>20</v>
      </c>
      <c r="N490" s="356">
        <v>71700</v>
      </c>
      <c r="O490" s="28" t="b">
        <f t="shared" si="19"/>
        <v>1</v>
      </c>
    </row>
    <row r="491" spans="2:15" s="28" customFormat="1" ht="16.5" customHeight="1">
      <c r="B491" s="20"/>
      <c r="C491" s="20"/>
      <c r="D491" s="254"/>
      <c r="E491" s="379">
        <v>144358</v>
      </c>
      <c r="F491" s="395" t="s">
        <v>754</v>
      </c>
      <c r="G491" s="396"/>
      <c r="H491" s="397"/>
      <c r="I491" s="383">
        <v>670000</v>
      </c>
      <c r="J491" s="398">
        <v>144358</v>
      </c>
      <c r="K491" s="399" t="s">
        <v>71</v>
      </c>
      <c r="L491" s="399" t="s">
        <v>34</v>
      </c>
      <c r="M491" s="399">
        <v>200</v>
      </c>
      <c r="N491" s="356">
        <v>670000</v>
      </c>
      <c r="O491" s="28" t="b">
        <f t="shared" si="19"/>
        <v>1</v>
      </c>
    </row>
    <row r="492" spans="2:15" s="28" customFormat="1" ht="16.5" customHeight="1">
      <c r="B492" s="20"/>
      <c r="C492" s="20"/>
      <c r="D492" s="254"/>
      <c r="E492" s="379">
        <v>148670</v>
      </c>
      <c r="F492" s="395" t="s">
        <v>776</v>
      </c>
      <c r="G492" s="396"/>
      <c r="H492" s="397"/>
      <c r="I492" s="383">
        <v>71700</v>
      </c>
      <c r="J492" s="398">
        <v>148670</v>
      </c>
      <c r="K492" s="399" t="s">
        <v>70</v>
      </c>
      <c r="L492" s="399" t="s">
        <v>34</v>
      </c>
      <c r="M492" s="399">
        <v>20</v>
      </c>
      <c r="N492" s="356">
        <v>71700</v>
      </c>
      <c r="O492" s="28" t="b">
        <f t="shared" si="19"/>
        <v>1</v>
      </c>
    </row>
    <row r="493" spans="2:15" s="28" customFormat="1" ht="16.5" customHeight="1">
      <c r="B493" s="20"/>
      <c r="C493" s="20"/>
      <c r="D493" s="254"/>
      <c r="E493" s="379">
        <v>144361</v>
      </c>
      <c r="F493" s="395" t="s">
        <v>778</v>
      </c>
      <c r="G493" s="396"/>
      <c r="H493" s="397"/>
      <c r="I493" s="383">
        <v>670000</v>
      </c>
      <c r="J493" s="398">
        <v>144361</v>
      </c>
      <c r="K493" s="399" t="s">
        <v>71</v>
      </c>
      <c r="L493" s="399" t="s">
        <v>34</v>
      </c>
      <c r="M493" s="399">
        <v>200</v>
      </c>
      <c r="N493" s="356">
        <v>670000</v>
      </c>
      <c r="O493" s="28" t="b">
        <f t="shared" si="19"/>
        <v>1</v>
      </c>
    </row>
    <row r="494" spans="2:15" s="28" customFormat="1" ht="16.5" customHeight="1">
      <c r="B494" s="20"/>
      <c r="C494" s="20"/>
      <c r="D494" s="254"/>
      <c r="E494" s="379">
        <v>148671</v>
      </c>
      <c r="F494" s="395" t="s">
        <v>777</v>
      </c>
      <c r="G494" s="396"/>
      <c r="H494" s="397"/>
      <c r="I494" s="383">
        <v>71700</v>
      </c>
      <c r="J494" s="398">
        <v>148671</v>
      </c>
      <c r="K494" s="399" t="s">
        <v>70</v>
      </c>
      <c r="L494" s="399" t="s">
        <v>34</v>
      </c>
      <c r="M494" s="399">
        <v>20</v>
      </c>
      <c r="N494" s="356">
        <v>71700</v>
      </c>
      <c r="O494" s="28" t="b">
        <f t="shared" si="19"/>
        <v>1</v>
      </c>
    </row>
    <row r="495" spans="2:15" s="28" customFormat="1" ht="16.5" customHeight="1">
      <c r="B495" s="20"/>
      <c r="C495" s="20"/>
      <c r="D495" s="254"/>
      <c r="E495" s="379">
        <v>144355</v>
      </c>
      <c r="F495" s="395" t="s">
        <v>775</v>
      </c>
      <c r="G495" s="396"/>
      <c r="H495" s="397"/>
      <c r="I495" s="383">
        <v>670000</v>
      </c>
      <c r="J495" s="398">
        <v>144355</v>
      </c>
      <c r="K495" s="399" t="s">
        <v>71</v>
      </c>
      <c r="L495" s="399" t="s">
        <v>34</v>
      </c>
      <c r="M495" s="399">
        <v>200</v>
      </c>
      <c r="N495" s="356">
        <v>670000</v>
      </c>
      <c r="O495" s="28" t="b">
        <f t="shared" si="19"/>
        <v>1</v>
      </c>
    </row>
    <row r="496" spans="2:15" s="28" customFormat="1" ht="16.5" customHeight="1">
      <c r="B496" s="20"/>
      <c r="C496" s="20"/>
      <c r="D496" s="254"/>
      <c r="E496" s="379">
        <v>148669</v>
      </c>
      <c r="F496" s="395" t="s">
        <v>755</v>
      </c>
      <c r="G496" s="396"/>
      <c r="H496" s="397"/>
      <c r="I496" s="383">
        <v>71700</v>
      </c>
      <c r="J496" s="398">
        <v>148669</v>
      </c>
      <c r="K496" s="399" t="s">
        <v>70</v>
      </c>
      <c r="L496" s="399" t="s">
        <v>34</v>
      </c>
      <c r="M496" s="399">
        <v>20</v>
      </c>
      <c r="N496" s="356">
        <v>71700</v>
      </c>
      <c r="O496" s="28" t="b">
        <f t="shared" si="19"/>
        <v>1</v>
      </c>
    </row>
    <row r="497" spans="2:22" s="28" customFormat="1" ht="16.5" customHeight="1">
      <c r="B497" s="20"/>
      <c r="C497" s="20"/>
      <c r="D497" s="254"/>
      <c r="E497" s="379">
        <v>144358</v>
      </c>
      <c r="F497" s="395" t="s">
        <v>754</v>
      </c>
      <c r="G497" s="396"/>
      <c r="H497" s="397"/>
      <c r="I497" s="383">
        <v>670000</v>
      </c>
      <c r="J497" s="398">
        <v>144358</v>
      </c>
      <c r="K497" s="399" t="s">
        <v>71</v>
      </c>
      <c r="L497" s="399" t="s">
        <v>34</v>
      </c>
      <c r="M497" s="399">
        <v>200</v>
      </c>
      <c r="N497" s="356">
        <v>670000</v>
      </c>
      <c r="O497" s="28" t="b">
        <f t="shared" si="19"/>
        <v>1</v>
      </c>
    </row>
    <row r="498" spans="2:22" s="28" customFormat="1" ht="16.5" customHeight="1">
      <c r="B498" s="20"/>
      <c r="C498" s="20"/>
      <c r="D498" s="254"/>
      <c r="E498" s="379">
        <v>148670</v>
      </c>
      <c r="F498" s="395" t="s">
        <v>776</v>
      </c>
      <c r="G498" s="396"/>
      <c r="H498" s="397"/>
      <c r="I498" s="383">
        <v>71700</v>
      </c>
      <c r="J498" s="398">
        <v>148670</v>
      </c>
      <c r="K498" s="399" t="s">
        <v>70</v>
      </c>
      <c r="L498" s="399" t="s">
        <v>34</v>
      </c>
      <c r="M498" s="399">
        <v>20</v>
      </c>
      <c r="N498" s="356">
        <v>71700</v>
      </c>
      <c r="O498" s="28" t="b">
        <f t="shared" si="19"/>
        <v>1</v>
      </c>
    </row>
    <row r="499" spans="2:22" s="28" customFormat="1" ht="16.5" customHeight="1">
      <c r="B499" s="20"/>
      <c r="C499" s="20"/>
      <c r="D499" s="254"/>
      <c r="E499" s="379">
        <v>144361</v>
      </c>
      <c r="F499" s="395" t="s">
        <v>778</v>
      </c>
      <c r="G499" s="396"/>
      <c r="H499" s="397"/>
      <c r="I499" s="383">
        <v>670000</v>
      </c>
      <c r="J499" s="398">
        <v>144361</v>
      </c>
      <c r="K499" s="399" t="s">
        <v>71</v>
      </c>
      <c r="L499" s="399" t="s">
        <v>34</v>
      </c>
      <c r="M499" s="399">
        <v>200</v>
      </c>
      <c r="N499" s="356">
        <v>670000</v>
      </c>
      <c r="O499" s="28" t="b">
        <f t="shared" si="19"/>
        <v>1</v>
      </c>
    </row>
    <row r="500" spans="2:22" s="28" customFormat="1" ht="16.5" customHeight="1">
      <c r="B500" s="20"/>
      <c r="C500" s="20"/>
      <c r="D500" s="254"/>
      <c r="E500" s="379">
        <v>148671</v>
      </c>
      <c r="F500" s="395" t="s">
        <v>777</v>
      </c>
      <c r="G500" s="396"/>
      <c r="H500" s="397"/>
      <c r="I500" s="383">
        <v>71700</v>
      </c>
      <c r="J500" s="398">
        <v>148671</v>
      </c>
      <c r="K500" s="399" t="s">
        <v>70</v>
      </c>
      <c r="L500" s="399" t="s">
        <v>34</v>
      </c>
      <c r="M500" s="399">
        <v>20</v>
      </c>
      <c r="N500" s="356">
        <v>71700</v>
      </c>
      <c r="O500" s="28" t="b">
        <f t="shared" si="19"/>
        <v>1</v>
      </c>
    </row>
    <row r="501" spans="2:22" s="28" customFormat="1" ht="16.5" customHeight="1">
      <c r="B501" s="20"/>
      <c r="C501" s="20"/>
      <c r="D501" s="254"/>
      <c r="E501" s="379">
        <v>144270</v>
      </c>
      <c r="F501" s="395" t="s">
        <v>843</v>
      </c>
      <c r="G501" s="396"/>
      <c r="H501" s="397"/>
      <c r="I501" s="383">
        <v>1005000</v>
      </c>
      <c r="J501" s="398">
        <v>144270</v>
      </c>
      <c r="K501" s="399" t="s">
        <v>71</v>
      </c>
      <c r="L501" s="399" t="s">
        <v>34</v>
      </c>
      <c r="M501" s="399">
        <v>200</v>
      </c>
      <c r="N501" s="356">
        <v>1005000</v>
      </c>
      <c r="O501" s="28" t="b">
        <f t="shared" si="19"/>
        <v>1</v>
      </c>
    </row>
    <row r="502" spans="2:22" s="28" customFormat="1" ht="16.5" customHeight="1">
      <c r="B502" s="20"/>
      <c r="C502" s="20"/>
      <c r="D502" s="254"/>
      <c r="E502" s="379">
        <v>135441</v>
      </c>
      <c r="F502" s="395" t="s">
        <v>298</v>
      </c>
      <c r="G502" s="396"/>
      <c r="H502" s="397"/>
      <c r="I502" s="383">
        <v>287000</v>
      </c>
      <c r="J502" s="398">
        <v>135441</v>
      </c>
      <c r="K502" s="399" t="s">
        <v>70</v>
      </c>
      <c r="L502" s="399" t="s">
        <v>34</v>
      </c>
      <c r="M502" s="399">
        <v>20</v>
      </c>
      <c r="N502" s="356">
        <v>287000</v>
      </c>
      <c r="O502" s="28" t="b">
        <f t="shared" si="19"/>
        <v>1</v>
      </c>
    </row>
    <row r="503" spans="2:22" s="28" customFormat="1" ht="16.5" customHeight="1">
      <c r="B503" s="20"/>
      <c r="C503" s="20"/>
      <c r="D503" s="254"/>
      <c r="E503" s="379">
        <v>128430</v>
      </c>
      <c r="F503" s="395" t="s">
        <v>847</v>
      </c>
      <c r="G503" s="396"/>
      <c r="H503" s="397"/>
      <c r="I503" s="383">
        <v>1800000</v>
      </c>
      <c r="J503" s="398">
        <v>128430</v>
      </c>
      <c r="K503" s="399" t="s">
        <v>71</v>
      </c>
      <c r="L503" s="399" t="s">
        <v>34</v>
      </c>
      <c r="M503" s="399">
        <v>181</v>
      </c>
      <c r="N503" s="356">
        <v>1800000</v>
      </c>
      <c r="O503" s="28" t="b">
        <f t="shared" si="19"/>
        <v>1</v>
      </c>
    </row>
    <row r="504" spans="2:22" s="28" customFormat="1" ht="16.5" customHeight="1">
      <c r="B504" s="20"/>
      <c r="C504" s="20"/>
      <c r="D504" s="254"/>
      <c r="E504" s="379">
        <v>141257</v>
      </c>
      <c r="F504" s="395" t="s">
        <v>856</v>
      </c>
      <c r="G504" s="396"/>
      <c r="H504" s="397"/>
      <c r="I504" s="383">
        <v>85932</v>
      </c>
      <c r="J504" s="398">
        <v>141257</v>
      </c>
      <c r="K504" s="378" t="s">
        <v>73</v>
      </c>
      <c r="L504" s="378" t="s">
        <v>35</v>
      </c>
      <c r="M504" s="399">
        <v>12</v>
      </c>
      <c r="N504" s="356" t="e">
        <v>#N/A</v>
      </c>
      <c r="V504" s="100"/>
    </row>
    <row r="505" spans="2:22" s="28" customFormat="1" ht="16.5" customHeight="1">
      <c r="B505" s="20"/>
      <c r="C505" s="20"/>
      <c r="D505" s="456"/>
      <c r="E505" s="411">
        <v>147122</v>
      </c>
      <c r="F505" s="395" t="s">
        <v>868</v>
      </c>
      <c r="G505" s="396"/>
      <c r="H505" s="397"/>
      <c r="I505" s="383">
        <v>49896</v>
      </c>
      <c r="J505" s="398">
        <v>147122</v>
      </c>
      <c r="K505" s="378" t="s">
        <v>73</v>
      </c>
      <c r="L505" s="399" t="s">
        <v>872</v>
      </c>
      <c r="M505" s="399">
        <v>12</v>
      </c>
      <c r="N505" s="356" t="e">
        <v>#N/A</v>
      </c>
      <c r="V505" s="100"/>
    </row>
    <row r="506" spans="2:22" s="28" customFormat="1" ht="16.5" customHeight="1">
      <c r="B506" s="20"/>
      <c r="C506" s="20"/>
      <c r="D506" s="254"/>
      <c r="E506" s="411">
        <v>140901</v>
      </c>
      <c r="F506" s="395" t="s">
        <v>98</v>
      </c>
      <c r="G506" s="396"/>
      <c r="H506" s="397"/>
      <c r="I506" s="383">
        <f>VLOOKUP(E506,'[1]Table 1'!$A$6:$C$21,3,0)</f>
        <v>88308</v>
      </c>
      <c r="J506" s="398">
        <v>140901</v>
      </c>
      <c r="K506" s="378" t="s">
        <v>73</v>
      </c>
      <c r="L506" s="399" t="s">
        <v>872</v>
      </c>
      <c r="M506" s="399">
        <v>20</v>
      </c>
      <c r="N506" s="356" t="e">
        <v>#N/A</v>
      </c>
      <c r="V506" s="100"/>
    </row>
    <row r="507" spans="2:22" s="28" customFormat="1" ht="16.5" customHeight="1">
      <c r="B507" s="20"/>
      <c r="C507" s="20"/>
      <c r="D507" s="254"/>
      <c r="E507" s="411">
        <v>140904</v>
      </c>
      <c r="F507" s="395" t="s">
        <v>859</v>
      </c>
      <c r="G507" s="396"/>
      <c r="H507" s="397"/>
      <c r="I507" s="383">
        <f>VLOOKUP(E507,'[1]Table 1'!$A$6:$C$21,3,0)</f>
        <v>96792</v>
      </c>
      <c r="J507" s="398">
        <v>140904</v>
      </c>
      <c r="K507" s="378" t="s">
        <v>73</v>
      </c>
      <c r="L507" s="399" t="s">
        <v>872</v>
      </c>
      <c r="M507" s="399">
        <v>20</v>
      </c>
      <c r="N507" s="356" t="e">
        <v>#N/A</v>
      </c>
      <c r="V507" s="100"/>
    </row>
    <row r="508" spans="2:22" s="28" customFormat="1" ht="16.5" customHeight="1">
      <c r="B508" s="20"/>
      <c r="C508" s="20"/>
      <c r="D508" s="457"/>
      <c r="E508" s="411">
        <v>147379</v>
      </c>
      <c r="F508" s="395" t="s">
        <v>862</v>
      </c>
      <c r="G508" s="396"/>
      <c r="H508" s="397"/>
      <c r="I508" s="383">
        <v>35928</v>
      </c>
      <c r="J508" s="398">
        <v>147379</v>
      </c>
      <c r="K508" s="378" t="s">
        <v>73</v>
      </c>
      <c r="L508" s="399" t="s">
        <v>872</v>
      </c>
      <c r="M508" s="399">
        <v>12</v>
      </c>
      <c r="N508" s="356"/>
      <c r="V508" s="100"/>
    </row>
    <row r="509" spans="2:22" s="28" customFormat="1" ht="16.5" customHeight="1">
      <c r="B509" s="20"/>
      <c r="C509" s="20"/>
      <c r="D509" s="255"/>
      <c r="E509" s="411">
        <v>138583</v>
      </c>
      <c r="F509" s="395" t="s">
        <v>740</v>
      </c>
      <c r="G509" s="396"/>
      <c r="H509" s="397"/>
      <c r="I509" s="383">
        <f>VLOOKUP(E509,'[1]Table 1'!$A$6:$C$21,3,0)</f>
        <v>44600</v>
      </c>
      <c r="J509" s="398">
        <v>138583</v>
      </c>
      <c r="K509" s="378" t="s">
        <v>73</v>
      </c>
      <c r="L509" s="399" t="s">
        <v>872</v>
      </c>
      <c r="M509" s="399">
        <v>12</v>
      </c>
      <c r="N509" s="356"/>
      <c r="V509" s="100"/>
    </row>
    <row r="510" spans="2:22" s="28" customFormat="1" ht="16.5" customHeight="1">
      <c r="B510" s="20"/>
      <c r="C510" s="20"/>
      <c r="D510" s="255"/>
      <c r="E510" s="411">
        <v>140876</v>
      </c>
      <c r="F510" s="395" t="s">
        <v>105</v>
      </c>
      <c r="G510" s="396"/>
      <c r="H510" s="397"/>
      <c r="I510" s="383">
        <f>VLOOKUP(E510,'[1]Table 1'!$A$6:$C$21,3,0)</f>
        <v>529893</v>
      </c>
      <c r="J510" s="398">
        <v>140876</v>
      </c>
      <c r="K510" s="399" t="s">
        <v>70</v>
      </c>
      <c r="L510" s="399" t="s">
        <v>872</v>
      </c>
      <c r="M510" s="399">
        <v>20</v>
      </c>
      <c r="N510" s="356"/>
      <c r="V510" s="100"/>
    </row>
    <row r="511" spans="2:22" s="28" customFormat="1" ht="16.5" customHeight="1">
      <c r="B511" s="20"/>
      <c r="C511" s="20"/>
      <c r="D511" s="255"/>
      <c r="E511" s="411">
        <v>140877</v>
      </c>
      <c r="F511" s="395" t="s">
        <v>99</v>
      </c>
      <c r="G511" s="396"/>
      <c r="H511" s="397"/>
      <c r="I511" s="383">
        <f>VLOOKUP(E511,'[1]Table 1'!$A$6:$C$21,3,0)</f>
        <v>80739</v>
      </c>
      <c r="J511" s="398">
        <v>140877</v>
      </c>
      <c r="K511" s="399" t="s">
        <v>70</v>
      </c>
      <c r="L511" s="399" t="s">
        <v>872</v>
      </c>
      <c r="M511" s="399">
        <v>20</v>
      </c>
      <c r="N511" s="356"/>
      <c r="V511" s="100"/>
    </row>
    <row r="512" spans="2:22" s="28" customFormat="1" ht="16.5" customHeight="1">
      <c r="B512" s="20"/>
      <c r="C512" s="20"/>
      <c r="D512" s="255"/>
      <c r="E512" s="411">
        <v>140878</v>
      </c>
      <c r="F512" s="395" t="s">
        <v>860</v>
      </c>
      <c r="G512" s="396"/>
      <c r="H512" s="397"/>
      <c r="I512" s="383">
        <f>VLOOKUP(E512,'[1]Table 1'!$A$6:$C$21,3,0)</f>
        <v>121830</v>
      </c>
      <c r="J512" s="398">
        <v>140878</v>
      </c>
      <c r="K512" s="399" t="s">
        <v>70</v>
      </c>
      <c r="L512" s="399" t="s">
        <v>872</v>
      </c>
      <c r="M512" s="399">
        <v>20</v>
      </c>
      <c r="N512" s="356"/>
      <c r="V512" s="100"/>
    </row>
    <row r="513" spans="2:24" s="28" customFormat="1" ht="16.5" customHeight="1">
      <c r="B513" s="20"/>
      <c r="C513" s="20"/>
      <c r="D513" s="255"/>
      <c r="E513" s="411">
        <v>140922</v>
      </c>
      <c r="F513" s="395" t="s">
        <v>94</v>
      </c>
      <c r="G513" s="396"/>
      <c r="H513" s="397"/>
      <c r="I513" s="383">
        <f>VLOOKUP(E513,'[1]Table 1'!$A$6:$C$21,3,0)</f>
        <v>210521</v>
      </c>
      <c r="J513" s="398">
        <v>140922</v>
      </c>
      <c r="K513" s="399" t="s">
        <v>70</v>
      </c>
      <c r="L513" s="399" t="s">
        <v>872</v>
      </c>
      <c r="M513" s="399">
        <v>20</v>
      </c>
      <c r="N513" s="356"/>
      <c r="V513" s="100"/>
    </row>
    <row r="514" spans="2:24" s="28" customFormat="1" ht="16.5" customHeight="1">
      <c r="B514" s="20"/>
      <c r="C514" s="20"/>
      <c r="D514" s="255"/>
      <c r="E514" s="411">
        <v>140902</v>
      </c>
      <c r="F514" s="395" t="s">
        <v>95</v>
      </c>
      <c r="G514" s="396"/>
      <c r="H514" s="397"/>
      <c r="I514" s="383">
        <f>VLOOKUP(E514,'[1]Table 1'!$A$6:$C$21,3,0)</f>
        <v>870316</v>
      </c>
      <c r="J514" s="398">
        <v>140902</v>
      </c>
      <c r="K514" s="399" t="s">
        <v>71</v>
      </c>
      <c r="L514" s="399" t="s">
        <v>872</v>
      </c>
      <c r="M514" s="399">
        <v>200</v>
      </c>
      <c r="N514" s="356"/>
      <c r="V514" s="100"/>
    </row>
    <row r="515" spans="2:24" s="28" customFormat="1" ht="16.5" customHeight="1">
      <c r="B515" s="20"/>
      <c r="C515" s="20"/>
      <c r="D515" s="255"/>
      <c r="E515" s="411">
        <v>140905</v>
      </c>
      <c r="F515" s="395" t="s">
        <v>96</v>
      </c>
      <c r="G515" s="396"/>
      <c r="H515" s="397"/>
      <c r="I515" s="383">
        <f>VLOOKUP(E515,'[1]Table 1'!$A$6:$C$21,3,0)</f>
        <v>874413</v>
      </c>
      <c r="J515" s="398">
        <v>140905</v>
      </c>
      <c r="K515" s="399" t="s">
        <v>71</v>
      </c>
      <c r="L515" s="399" t="s">
        <v>872</v>
      </c>
      <c r="M515" s="399">
        <v>200</v>
      </c>
      <c r="N515" s="356"/>
      <c r="V515" s="100"/>
    </row>
    <row r="516" spans="2:24" s="28" customFormat="1" ht="16.5" customHeight="1">
      <c r="B516" s="20"/>
      <c r="C516" s="20"/>
      <c r="D516" s="457"/>
      <c r="E516" s="411">
        <v>147284</v>
      </c>
      <c r="F516" s="395" t="s">
        <v>837</v>
      </c>
      <c r="G516" s="396"/>
      <c r="H516" s="397"/>
      <c r="I516" s="383">
        <v>526308</v>
      </c>
      <c r="J516" s="398">
        <v>147284</v>
      </c>
      <c r="K516" s="399" t="s">
        <v>71</v>
      </c>
      <c r="L516" s="399" t="s">
        <v>872</v>
      </c>
      <c r="M516" s="399">
        <v>208</v>
      </c>
      <c r="N516" s="356"/>
      <c r="V516" s="100"/>
    </row>
    <row r="517" spans="2:24" s="28" customFormat="1" ht="16.5" customHeight="1">
      <c r="B517" s="20"/>
      <c r="C517" s="20"/>
      <c r="D517" s="456"/>
      <c r="E517" s="411">
        <v>147391</v>
      </c>
      <c r="F517" s="395" t="s">
        <v>838</v>
      </c>
      <c r="G517" s="396"/>
      <c r="H517" s="397"/>
      <c r="I517" s="383">
        <v>518741</v>
      </c>
      <c r="J517" s="398">
        <v>147391</v>
      </c>
      <c r="K517" s="399" t="s">
        <v>71</v>
      </c>
      <c r="L517" s="399" t="s">
        <v>872</v>
      </c>
      <c r="M517" s="399">
        <v>208</v>
      </c>
      <c r="N517" s="356"/>
      <c r="V517" s="100"/>
    </row>
    <row r="518" spans="2:24" s="28" customFormat="1" ht="16.5" customHeight="1">
      <c r="B518" s="20"/>
      <c r="C518" s="20"/>
      <c r="D518" s="254"/>
      <c r="E518" s="411">
        <v>144515</v>
      </c>
      <c r="F518" s="395" t="s">
        <v>839</v>
      </c>
      <c r="G518" s="396"/>
      <c r="H518" s="397"/>
      <c r="I518" s="383">
        <v>631617</v>
      </c>
      <c r="J518" s="398">
        <v>144515</v>
      </c>
      <c r="K518" s="399" t="s">
        <v>71</v>
      </c>
      <c r="L518" s="399" t="s">
        <v>872</v>
      </c>
      <c r="M518" s="399">
        <v>208</v>
      </c>
      <c r="N518" s="356"/>
      <c r="V518" s="100"/>
    </row>
    <row r="519" spans="2:24" s="28" customFormat="1" ht="16.5" customHeight="1">
      <c r="B519" s="20"/>
      <c r="C519" s="20"/>
      <c r="D519" s="456"/>
      <c r="E519" s="411">
        <v>147370</v>
      </c>
      <c r="F519" s="395" t="s">
        <v>839</v>
      </c>
      <c r="G519" s="396"/>
      <c r="H519" s="397"/>
      <c r="I519" s="383">
        <v>523786</v>
      </c>
      <c r="J519" s="398">
        <v>147370</v>
      </c>
      <c r="K519" s="399" t="s">
        <v>71</v>
      </c>
      <c r="L519" s="399" t="s">
        <v>872</v>
      </c>
      <c r="M519" s="399">
        <v>208</v>
      </c>
      <c r="N519" s="356"/>
      <c r="V519" s="100"/>
    </row>
    <row r="520" spans="2:24" s="28" customFormat="1" ht="16.5" customHeight="1">
      <c r="B520" s="20"/>
      <c r="C520" s="20"/>
      <c r="D520" s="254"/>
      <c r="E520" s="411">
        <v>140597</v>
      </c>
      <c r="F520" s="395" t="s">
        <v>869</v>
      </c>
      <c r="G520" s="396"/>
      <c r="H520" s="397"/>
      <c r="I520" s="383">
        <v>124000</v>
      </c>
      <c r="J520" s="398">
        <v>140597</v>
      </c>
      <c r="K520" s="378" t="s">
        <v>73</v>
      </c>
      <c r="L520" s="399" t="s">
        <v>872</v>
      </c>
      <c r="M520" s="399">
        <v>12</v>
      </c>
      <c r="N520" s="356"/>
      <c r="V520" s="100"/>
    </row>
    <row r="521" spans="2:24" s="28" customFormat="1" ht="16.5" customHeight="1">
      <c r="B521" s="20"/>
      <c r="C521" s="20"/>
      <c r="D521" s="254"/>
      <c r="E521" s="411">
        <v>147279</v>
      </c>
      <c r="F521" s="395" t="s">
        <v>870</v>
      </c>
      <c r="G521" s="396"/>
      <c r="H521" s="397"/>
      <c r="I521" s="383">
        <f>VLOOKUP(E521,'[1]Table 1'!$A$6:$C$21,3,0)</f>
        <v>50796</v>
      </c>
      <c r="J521" s="398">
        <v>147279</v>
      </c>
      <c r="K521" s="378" t="s">
        <v>73</v>
      </c>
      <c r="L521" s="399" t="s">
        <v>872</v>
      </c>
      <c r="M521" s="399">
        <v>12</v>
      </c>
      <c r="N521" s="356"/>
      <c r="V521" s="100"/>
    </row>
    <row r="522" spans="2:24" s="28" customFormat="1" ht="16.5" customHeight="1">
      <c r="B522" s="20"/>
      <c r="C522" s="20"/>
      <c r="D522" s="254"/>
      <c r="E522" s="411">
        <v>141257</v>
      </c>
      <c r="F522" s="395" t="s">
        <v>871</v>
      </c>
      <c r="G522" s="396"/>
      <c r="H522" s="397"/>
      <c r="I522" s="383">
        <f>VLOOKUP(E522,'[1]Table 1'!$A$6:$C$21,3,0)</f>
        <v>82344</v>
      </c>
      <c r="J522" s="398">
        <v>141257</v>
      </c>
      <c r="K522" s="378" t="s">
        <v>73</v>
      </c>
      <c r="L522" s="399" t="s">
        <v>872</v>
      </c>
      <c r="M522" s="399">
        <v>12</v>
      </c>
      <c r="N522" s="356"/>
      <c r="V522" s="100"/>
    </row>
    <row r="523" spans="2:24" s="28" customFormat="1" ht="16.5" customHeight="1">
      <c r="B523" s="20"/>
      <c r="C523" s="20"/>
      <c r="D523" s="254"/>
      <c r="E523" s="379">
        <v>140909</v>
      </c>
      <c r="F523" s="395" t="s">
        <v>862</v>
      </c>
      <c r="G523" s="396"/>
      <c r="H523" s="397"/>
      <c r="I523" s="383">
        <v>45528</v>
      </c>
      <c r="J523" s="379">
        <v>140909</v>
      </c>
      <c r="K523" s="378" t="s">
        <v>73</v>
      </c>
      <c r="L523" s="399" t="s">
        <v>872</v>
      </c>
      <c r="M523" s="399">
        <v>12</v>
      </c>
      <c r="N523" s="356"/>
      <c r="V523" s="100"/>
    </row>
    <row r="524" spans="2:24" s="28" customFormat="1" ht="16.5" customHeight="1">
      <c r="B524" s="20"/>
      <c r="C524" s="20"/>
      <c r="D524" s="448"/>
      <c r="E524" s="32">
        <v>148006</v>
      </c>
      <c r="F524" s="37" t="s">
        <v>900</v>
      </c>
      <c r="G524" s="34"/>
      <c r="H524" s="35"/>
      <c r="I524" s="62">
        <v>2142400</v>
      </c>
      <c r="J524" s="33">
        <v>135477</v>
      </c>
      <c r="K524" s="32" t="s">
        <v>71</v>
      </c>
      <c r="L524" s="32" t="s">
        <v>1076</v>
      </c>
      <c r="M524" s="32">
        <v>208</v>
      </c>
      <c r="N524" s="356"/>
      <c r="R524" s="43"/>
      <c r="S524" s="43"/>
      <c r="T524" s="43"/>
      <c r="U524" s="449"/>
      <c r="V524" s="449"/>
      <c r="W524" s="43"/>
      <c r="X524" s="42"/>
    </row>
    <row r="525" spans="2:24" s="28" customFormat="1" ht="16.5" customHeight="1">
      <c r="B525" s="20"/>
      <c r="C525" s="20"/>
      <c r="D525" s="456"/>
      <c r="E525" s="411">
        <v>147966</v>
      </c>
      <c r="F525" s="395" t="s">
        <v>870</v>
      </c>
      <c r="G525" s="396"/>
      <c r="H525" s="397"/>
      <c r="I525" s="383">
        <v>48876</v>
      </c>
      <c r="J525" s="398">
        <v>147279</v>
      </c>
      <c r="K525" s="378" t="s">
        <v>73</v>
      </c>
      <c r="L525" s="399" t="s">
        <v>872</v>
      </c>
      <c r="M525" s="399">
        <v>12</v>
      </c>
      <c r="N525" s="356"/>
      <c r="V525" s="100"/>
    </row>
    <row r="526" spans="2:24" s="28" customFormat="1" ht="16.5" customHeight="1">
      <c r="B526" s="20"/>
      <c r="C526" s="20"/>
      <c r="D526" s="456"/>
      <c r="E526" s="379">
        <v>147829</v>
      </c>
      <c r="F526" s="395" t="s">
        <v>913</v>
      </c>
      <c r="G526" s="396"/>
      <c r="H526" s="397"/>
      <c r="I526" s="383">
        <v>80160</v>
      </c>
      <c r="J526" s="398">
        <v>147829</v>
      </c>
      <c r="K526" s="378" t="s">
        <v>73</v>
      </c>
      <c r="L526" s="399" t="s">
        <v>872</v>
      </c>
      <c r="M526" s="399">
        <v>12</v>
      </c>
      <c r="N526" s="356"/>
      <c r="V526" s="100"/>
    </row>
    <row r="527" spans="2:24" s="28" customFormat="1" ht="16.5" customHeight="1">
      <c r="B527" s="20"/>
      <c r="C527" s="20"/>
      <c r="D527" s="457"/>
      <c r="E527" s="379">
        <v>148692</v>
      </c>
      <c r="F527" s="395" t="s">
        <v>1059</v>
      </c>
      <c r="G527" s="460"/>
      <c r="H527" s="461"/>
      <c r="I527" s="462">
        <v>48876</v>
      </c>
      <c r="J527" s="398">
        <v>148692</v>
      </c>
      <c r="K527" s="378" t="s">
        <v>73</v>
      </c>
      <c r="L527" s="399" t="s">
        <v>872</v>
      </c>
      <c r="M527" s="399">
        <v>12</v>
      </c>
      <c r="N527" s="356"/>
      <c r="V527" s="100"/>
    </row>
    <row r="528" spans="2:24" s="28" customFormat="1" ht="16.5" customHeight="1">
      <c r="B528" s="20"/>
      <c r="C528" s="20"/>
      <c r="D528" s="254"/>
      <c r="E528" s="379">
        <v>148789</v>
      </c>
      <c r="F528" s="395" t="s">
        <v>1060</v>
      </c>
      <c r="G528" s="396"/>
      <c r="H528" s="397"/>
      <c r="I528" s="383">
        <v>743243</v>
      </c>
      <c r="J528" s="398">
        <v>148789</v>
      </c>
      <c r="K528" s="32" t="s">
        <v>71</v>
      </c>
      <c r="L528" s="399" t="s">
        <v>872</v>
      </c>
      <c r="M528" s="399">
        <v>208</v>
      </c>
      <c r="N528" s="356"/>
      <c r="V528" s="100"/>
    </row>
    <row r="529" spans="2:26" s="28" customFormat="1" ht="16.5" customHeight="1">
      <c r="B529" s="20"/>
      <c r="C529" s="20"/>
      <c r="D529" s="254"/>
      <c r="E529" s="379">
        <v>134799</v>
      </c>
      <c r="F529" s="395" t="s">
        <v>1063</v>
      </c>
      <c r="G529" s="396"/>
      <c r="H529" s="397"/>
      <c r="I529" s="383">
        <v>778800</v>
      </c>
      <c r="J529" s="398">
        <v>134799</v>
      </c>
      <c r="K529" s="399" t="s">
        <v>980</v>
      </c>
      <c r="L529" s="399" t="s">
        <v>1065</v>
      </c>
      <c r="M529" s="399">
        <v>22</v>
      </c>
      <c r="N529" s="356"/>
      <c r="V529" s="100"/>
    </row>
    <row r="530" spans="2:26" s="28" customFormat="1" ht="16.5" customHeight="1">
      <c r="B530" s="20"/>
      <c r="C530" s="20"/>
      <c r="D530" s="254"/>
      <c r="E530" s="379"/>
      <c r="F530" s="395"/>
      <c r="G530" s="396"/>
      <c r="H530" s="397"/>
      <c r="I530" s="383"/>
      <c r="J530" s="398"/>
      <c r="K530" s="399"/>
      <c r="L530" s="399"/>
      <c r="M530" s="399"/>
      <c r="N530" s="356"/>
      <c r="V530" s="100"/>
    </row>
    <row r="531" spans="2:26" s="28" customFormat="1" ht="16.5" customHeight="1">
      <c r="B531" s="20"/>
      <c r="C531" s="20"/>
      <c r="D531" s="254"/>
      <c r="E531" s="379"/>
      <c r="F531" s="395"/>
      <c r="G531" s="396"/>
      <c r="H531" s="397"/>
      <c r="I531" s="383"/>
      <c r="J531" s="398"/>
      <c r="K531" s="399"/>
      <c r="L531" s="399"/>
      <c r="M531" s="399"/>
      <c r="N531" s="356"/>
      <c r="V531" s="100"/>
    </row>
    <row r="532" spans="2:26" s="28" customFormat="1" ht="16.5" customHeight="1">
      <c r="B532" s="20"/>
      <c r="C532" s="20"/>
      <c r="D532" s="254"/>
      <c r="E532" s="379"/>
      <c r="F532" s="395"/>
      <c r="G532" s="396"/>
      <c r="H532" s="397"/>
      <c r="I532" s="383"/>
      <c r="J532" s="398"/>
      <c r="K532" s="399"/>
      <c r="L532" s="399"/>
      <c r="M532" s="399"/>
      <c r="N532" s="356"/>
      <c r="V532" s="100"/>
    </row>
    <row r="533" spans="2:26" s="28" customFormat="1" ht="16.5" customHeight="1">
      <c r="B533" s="20"/>
      <c r="C533" s="20"/>
      <c r="D533" s="254"/>
      <c r="E533" s="379"/>
      <c r="F533" s="395"/>
      <c r="G533" s="396"/>
      <c r="H533" s="397"/>
      <c r="I533" s="383"/>
      <c r="J533" s="398"/>
      <c r="K533" s="399"/>
      <c r="L533" s="399"/>
      <c r="M533" s="399"/>
      <c r="N533" s="356"/>
      <c r="V533" s="100"/>
    </row>
    <row r="534" spans="2:26" s="28" customFormat="1" ht="16.5" customHeight="1">
      <c r="B534" s="20"/>
      <c r="C534" s="20"/>
      <c r="D534" s="254"/>
      <c r="E534" s="379"/>
      <c r="F534" s="395"/>
      <c r="G534" s="396"/>
      <c r="H534" s="397"/>
      <c r="I534" s="383"/>
      <c r="J534" s="398"/>
      <c r="K534" s="399"/>
      <c r="L534" s="399"/>
      <c r="M534" s="399"/>
      <c r="N534" s="356"/>
      <c r="V534" s="100"/>
    </row>
    <row r="535" spans="2:26" s="28" customFormat="1" ht="16.5" customHeight="1">
      <c r="B535" s="20"/>
      <c r="C535" s="20"/>
      <c r="D535" s="254"/>
      <c r="E535" s="379"/>
      <c r="F535" s="395"/>
      <c r="G535" s="396"/>
      <c r="H535" s="397"/>
      <c r="I535" s="383"/>
      <c r="J535" s="398"/>
      <c r="K535" s="399"/>
      <c r="L535" s="399"/>
      <c r="M535" s="399"/>
      <c r="N535" s="356"/>
      <c r="V535" s="100"/>
    </row>
    <row r="536" spans="2:26" s="28" customFormat="1" ht="16.5" customHeight="1">
      <c r="B536" s="20"/>
      <c r="C536" s="20"/>
      <c r="D536" s="254"/>
      <c r="E536" s="379"/>
      <c r="F536" s="395"/>
      <c r="G536" s="396"/>
      <c r="H536" s="397"/>
      <c r="I536" s="383"/>
      <c r="J536" s="398"/>
      <c r="K536" s="399"/>
      <c r="L536" s="399"/>
      <c r="M536" s="399"/>
      <c r="N536" s="356"/>
      <c r="V536" s="100"/>
    </row>
    <row r="537" spans="2:26">
      <c r="U537" s="12"/>
      <c r="V537" s="59"/>
      <c r="W537"/>
      <c r="X537"/>
      <c r="Y537"/>
      <c r="Z537"/>
    </row>
    <row r="538" spans="2:26">
      <c r="U538" s="12"/>
      <c r="V538" s="59"/>
      <c r="W538"/>
      <c r="X538"/>
      <c r="Y538"/>
      <c r="Z538"/>
    </row>
    <row r="539" spans="2:26">
      <c r="U539" s="12"/>
      <c r="V539" s="59"/>
      <c r="W539"/>
      <c r="X539"/>
      <c r="Y539"/>
      <c r="Z539"/>
    </row>
    <row r="540" spans="2:26">
      <c r="U540" s="12"/>
      <c r="V540" s="59"/>
      <c r="W540"/>
      <c r="X540"/>
      <c r="Y540"/>
      <c r="Z540"/>
    </row>
    <row r="541" spans="2:26">
      <c r="U541" s="12"/>
      <c r="V541" s="59"/>
      <c r="W541"/>
      <c r="X541"/>
      <c r="Y541"/>
      <c r="Z541"/>
    </row>
    <row r="542" spans="2:26">
      <c r="U542" s="12"/>
      <c r="V542" s="59"/>
      <c r="W542"/>
      <c r="X542"/>
      <c r="Y542"/>
      <c r="Z542"/>
    </row>
    <row r="543" spans="2:26">
      <c r="U543" s="12"/>
      <c r="V543" s="59"/>
      <c r="W543"/>
      <c r="X543"/>
      <c r="Y543"/>
      <c r="Z543"/>
    </row>
    <row r="544" spans="2:26">
      <c r="U544" s="12"/>
      <c r="V544" s="59"/>
      <c r="W544"/>
      <c r="X544"/>
      <c r="Y544"/>
      <c r="Z544"/>
    </row>
    <row r="545" spans="21:26">
      <c r="U545" s="12"/>
      <c r="V545" s="59"/>
      <c r="W545"/>
      <c r="X545"/>
      <c r="Y545"/>
      <c r="Z545"/>
    </row>
    <row r="546" spans="21:26">
      <c r="U546" s="12"/>
      <c r="V546" s="59"/>
      <c r="W546"/>
      <c r="X546"/>
      <c r="Y546"/>
      <c r="Z546"/>
    </row>
    <row r="547" spans="21:26">
      <c r="U547" s="12"/>
      <c r="V547" s="59"/>
      <c r="W547"/>
      <c r="X547"/>
      <c r="Y547"/>
      <c r="Z547"/>
    </row>
    <row r="548" spans="21:26">
      <c r="U548" s="12"/>
      <c r="V548" s="59"/>
      <c r="W548"/>
      <c r="X548"/>
      <c r="Y548"/>
      <c r="Z548"/>
    </row>
    <row r="549" spans="21:26">
      <c r="U549" s="12"/>
      <c r="V549" s="59"/>
      <c r="W549"/>
      <c r="X549"/>
      <c r="Y549"/>
      <c r="Z549"/>
    </row>
    <row r="550" spans="21:26">
      <c r="U550" s="12"/>
      <c r="V550" s="59"/>
      <c r="W550"/>
      <c r="X550"/>
      <c r="Y550"/>
      <c r="Z550"/>
    </row>
    <row r="551" spans="21:26">
      <c r="U551" s="12"/>
      <c r="V551" s="59"/>
      <c r="W551"/>
      <c r="X551"/>
      <c r="Y551"/>
      <c r="Z551"/>
    </row>
    <row r="552" spans="21:26">
      <c r="U552" s="12"/>
      <c r="V552" s="59"/>
      <c r="W552"/>
      <c r="X552"/>
      <c r="Y552"/>
      <c r="Z552"/>
    </row>
    <row r="553" spans="21:26">
      <c r="U553" s="12"/>
      <c r="V553" s="59"/>
      <c r="W553"/>
      <c r="X553"/>
      <c r="Y553"/>
      <c r="Z553"/>
    </row>
    <row r="554" spans="21:26">
      <c r="U554" s="12"/>
      <c r="V554" s="59"/>
      <c r="W554"/>
      <c r="X554"/>
      <c r="Y554"/>
      <c r="Z554"/>
    </row>
    <row r="555" spans="21:26">
      <c r="U555" s="12"/>
      <c r="V555" s="59"/>
      <c r="W555"/>
      <c r="X555"/>
      <c r="Y555"/>
      <c r="Z555"/>
    </row>
    <row r="556" spans="21:26">
      <c r="U556" s="12"/>
      <c r="V556" s="59"/>
      <c r="W556"/>
      <c r="X556"/>
      <c r="Y556"/>
      <c r="Z556"/>
    </row>
    <row r="557" spans="21:26">
      <c r="U557" s="12"/>
      <c r="V557" s="59"/>
      <c r="W557"/>
      <c r="X557"/>
      <c r="Y557"/>
      <c r="Z557"/>
    </row>
    <row r="558" spans="21:26">
      <c r="U558" s="12"/>
      <c r="V558" s="59"/>
      <c r="W558"/>
      <c r="X558"/>
      <c r="Y558"/>
      <c r="Z558"/>
    </row>
  </sheetData>
  <protectedRanges>
    <protectedRange sqref="M67:O70 M45:O57 M59:O60 M62:O65" name="범위10_1_1"/>
    <protectedRange sqref="L8" name="범위11_1"/>
    <protectedRange sqref="L8" name="범위4_1"/>
    <protectedRange sqref="D9" name="범위13_1_1"/>
    <protectedRange sqref="G8:H8" name="범위15_1_1"/>
    <protectedRange sqref="E29:E30 G67:G70 D67:E69 D45:E60 G45:G60 D62:E64 G62:G65" name="범위8_1_1_2_1_1_1"/>
    <protectedRange sqref="H60 I68:J70 I64:K65 H67:H70 I67:K67 H45:K59 J67:K70 H62:H65" name="범위9_1_1_1_1_2"/>
    <protectedRange sqref="G7:H7" name="범위15_1_1_1"/>
    <protectedRange sqref="L9" name="범위16_1_1_1_1_1_1_1_1_1_1_1_1_1"/>
    <protectedRange sqref="D27" name="범위23_1_1_1_2_1_1"/>
    <protectedRange sqref="D27" name="범위1_3_1_1_1_1_2_1_1"/>
    <protectedRange sqref="C12:C26" name="범위1_3_1_2_1"/>
    <protectedRange sqref="C12:C26" name="범위1_3_1_2_2"/>
    <protectedRange sqref="D12:D26" name="범위23_1_1_1_2_1_1_1_2_1_1_1"/>
    <protectedRange sqref="D12:D26" name="범위1_3_1_1_1_1_2_1_1_1_2_1_1_1"/>
    <protectedRange sqref="G66 D66:E66" name="범위8_1_1_2_1_1_1_1"/>
    <protectedRange sqref="H66:K66" name="범위9_1_1_1_1_2_1"/>
    <protectedRange sqref="D65:E65" name="범위8_1_1_2_1_1_1_2"/>
    <protectedRange sqref="G61" name="범위8_1_1_2_1_1_1_3"/>
    <protectedRange sqref="H61:K61" name="범위9_1_1_1_1_2_2"/>
    <protectedRange sqref="D61:E61" name="범위8_1_1_2_1_1_1_2_1"/>
    <protectedRange sqref="D502" name="범위5_1_3_2_1_2"/>
    <protectedRange sqref="D495:D501" name="범위5_1_2_1_2_1_2_1_4"/>
    <protectedRange sqref="D88:D494" name="범위5_1_2_1_2_1_2_1_1_5"/>
    <protectedRange sqref="D503:D504 D528:D536" name="범위5_1_3_2_1_1_4"/>
    <protectedRange sqref="I501" name="범위6_1_1_1_2_1_2_8_3_1"/>
    <protectedRange sqref="G501:H501" name="범위6_1_1_1_2_1_9_1_2_1"/>
    <protectedRange sqref="M495:M497" name="범위26_2_1_2_1_1_7_3_2_1_3"/>
    <protectedRange sqref="G495:H497" name="범위6_1_1_1_2_1_2_8_1_3_3"/>
    <protectedRange sqref="M501" name="범위26_2_1_2_1_19_1_1_1_2_1"/>
    <protectedRange sqref="G499:H499" name="범위6_1_1_1_2_1_2_1_2_2_1"/>
    <protectedRange sqref="M498:M499" name="범위26_2_1_2_1_1_7_2_1_3_1"/>
    <protectedRange sqref="M500" name="범위26_2_1_2_1_1_8_2_1"/>
    <protectedRange sqref="G500:H500" name="범위6_1_1_1_2_1_2_8_1_1_2_1_1"/>
    <protectedRange sqref="F500" name="범위1_3_1_1_1_2_1"/>
    <protectedRange sqref="M116 M114" name="범위26_2_1_2_1_8_1_2_1_2"/>
    <protectedRange sqref="G118:H118 G116:H116 G114:H114" name="범위6_1_1_1_2_1_9_2_1_1_2"/>
    <protectedRange sqref="F116" name="범위1_1_2_1_1_2"/>
    <protectedRange sqref="M117 M115 M90:M112 M120:M131" name="범위26_2_1_2_1_1_7_1_1_1_2"/>
    <protectedRange sqref="G117:H117 G128:H131 G105:H105 G90:H90 G115:H115 G91:I104 G107:H110 G120:H125 I105:I500 I502:I504 I528:I536 I88:I90" name="범위6_1_1_1_2_1_2_8_2_1_7"/>
    <protectedRange sqref="F128 F131" name="범위1_3_1_1_2_1_2"/>
    <protectedRange sqref="G111:H112" name="범위6_1_1_1_2_1_1_1_1_2_1_1_2"/>
    <protectedRange sqref="M119" name="범위26_2_1_2_1_1_1_1_1_1_1_2"/>
    <protectedRange sqref="G119:H119" name="범위6_1_1_1_2_1_2_1_1_1_1_1_2"/>
    <protectedRange sqref="M118" name="범위26_2_1_2_1_19_1_1_2_1_1_2"/>
    <protectedRange sqref="M113" name="범위26_2_1_2_1_1_4_1_2_1_1_2"/>
    <protectedRange sqref="G113:H113" name="범위6_1_1_1_2_1_2_4_1_2_1_1_2"/>
    <protectedRange sqref="M89" name="범위26_2_1_2_1_1_3_1_1_1_1_2"/>
    <protectedRange sqref="G89:H89" name="범위6_1_1_1_2_1_2_2_1_1_1_1_2"/>
    <protectedRange sqref="F89" name="범위1_3_3_1_1_1_1_2"/>
    <protectedRange sqref="M436 M406:M408 M416:M418" name="범위26_2_1_2_1_8_2_1_1_1_2"/>
    <protectedRange sqref="G406:H408 G416:H418 G422:H436 G502:H502" name="범위6_1_1_1_2_1_9_1_1_1_1_3"/>
    <protectedRange sqref="F416:F418" name="범위1_1_1_1_1_1_2"/>
    <protectedRange sqref="F436" name="범위1_4_2_1_1_1_1_2"/>
    <protectedRange sqref="M419:M421 M437:M442 M446:M474 M409:M413 M476 M487:M491 M314:M404 M132:M312" name="범위26_2_1_2_1_1_7_3_1_1_1_5"/>
    <protectedRange sqref="G158:H160 G167:H167 G391:H393 G165:H165 G176:H177 G462:H462 G240:H241 G380:H382 G249:H249 G271:H271 G264:H264 G262:H262 G273:H273 G266:H266 G277:H277 G487:H491 G233:H234 G345:H345 G335:H343 G355:H355 G385:H389 G410:H413 G315:H316 G291:H312 G318:H320 G322:H332 G347:H352 G419:H421 G446:H454 G456:H460 G465:H473 G476:H476 G223:H230 G132:H144 G279:H286 G214:H219 G437:H442 G146:H153 G364:H375" name="범위6_1_1_1_2_1_2_8_1_2_1_1_5"/>
    <protectedRange sqref="G461:H461" name="범위6_1_1_1_1_1_1_1_1_1_1_1_1_2"/>
    <protectedRange sqref="F301:F302 F197:F199 F246:F248 F189:F191 F318 F364 F344:F345 F413 F312 F385 F291 F147:F148 F236:F239 F274:F278 F419 F267:F272 F151:F153 F250:F265" name="범위1_3_1_3_1_1_1_3"/>
    <protectedRange sqref="G394:H394 G396:H404" name="범위6_1_1_1_2_1_1_1_1_1_1_1_1_2"/>
    <protectedRange sqref="F373" name="범위1_2_1_1_1_1_1_1_2"/>
    <protectedRange sqref="F362" name="범위1_5_1_1_1_1_1_1_2"/>
    <protectedRange sqref="M422:M435 M502" name="범위26_2_1_2_1_19_1_1_1_1_1_1_3"/>
    <protectedRange sqref="M405" name="범위26_2_1_2_1_1_4_1_1_1_1_1_2"/>
    <protectedRange sqref="G405:H405" name="범위6_1_1_1_2_1_2_4_1_1_1_1_1_2"/>
    <protectedRange sqref="G409:H409" name="범위6_1_1_1_2_1_2_5_1_1_1_1_1_2"/>
    <protectedRange sqref="M475 M486" name="범위26_2_1_2_1_1_2_1_1_1_1_1_3"/>
    <protectedRange sqref="F475" name="범위1_3_2_1_1_1_1_1_2"/>
    <protectedRange sqref="M414:M415" name="범위26_2_1_2_1_3_1_1_1_1_1_2"/>
    <protectedRange sqref="G414:H415" name="범위6_1_1_1_2_1_3_1_1_1_1_1_2"/>
    <protectedRange sqref="F414:F415" name="범위1_2_2_1_1_1_1_2"/>
    <protectedRange sqref="M443:M445" name="범위26_2_1_2_1_1_5_1_1_1_1_1_2"/>
    <protectedRange sqref="G443:H445" name="범위6_1_1_1_2_1_2_3_1_1_1_1_1_2"/>
    <protectedRange sqref="M313" name="범위26_2_1_2_1_1_6_1_1_1_1_1_2"/>
    <protectedRange sqref="G313:H313" name="범위6_1_1_1_2_1_2_6_1_1_1_1_1_2"/>
    <protectedRange sqref="G486:H486" name="범위6_1_1_1_2_1_4_1_1_1_1_1_2"/>
    <protectedRange sqref="F486" name="범위1_5_2_1_1_1_1_2"/>
    <protectedRange sqref="G493:H493 G478:H478 G88:H88" name="범위6_1_1_1_2_1_2_1_2_1_1_1_3"/>
    <protectedRange sqref="M492:M493 M477:M478 M88" name="범위26_2_1_2_1_1_7_2_1_2_1_1_3"/>
    <protectedRange sqref="M494 M479" name="범위26_2_1_2_1_1_8_1_1_1_3"/>
    <protectedRange sqref="G494:H494 G479:H479" name="범위6_1_1_1_2_1_2_8_1_1_1_1_1_3"/>
    <protectedRange sqref="F494 F479" name="범위1_3_1_1_1_1_1_1_3"/>
    <protectedRange sqref="M480" name="범위26_2_1_2_1_8_1_1_2_1_1_2"/>
    <protectedRange sqref="M481" name="범위26_2_1_2_1_1_7_2_1_1_1_1_1_2"/>
    <protectedRange sqref="F482:F485" name="범위1_2_1_1_1_1_2"/>
    <protectedRange sqref="M485 M482" name="범위26_2_1_2_1_8_1_1_1_1_1_1_2"/>
    <protectedRange sqref="M483:M484" name="범위26_2_1_2_1_1_7_2_2_1_1_1_2"/>
    <protectedRange sqref="F503:F504 F528:F536" name="범위1_2_1_2_1_1_4"/>
    <protectedRange sqref="M503:M504 M528:M536" name="범위26_2_1_2_1_1_7_2_2_2_1_1_4"/>
    <protectedRange sqref="D505:D523 D526:D527" name="범위5_1_3_2_1_1_1_5"/>
    <protectedRange sqref="I505:I523 I526:I527" name="범위6_1_1_1_2_1_2_8_2_1_1_6"/>
    <protectedRange sqref="F505:F523 F526:F527" name="범위1_2_1_2_1_1_1_5"/>
    <protectedRange sqref="M505:M523" name="범위26_2_1_2_1_1_7_2_2_2_1_1_1_4"/>
    <protectedRange sqref="D524" name="범위5_1_2_1_2_1_1"/>
    <protectedRange sqref="M524" name="범위26_2_1_2_1_1_1"/>
    <protectedRange sqref="G524:I524" name="범위6_1_1_1_2_1_1_1_1"/>
    <protectedRange sqref="M526:M527" name="범위26_2_1_2_1_1_7_2_2_2_1_1_1_1_4"/>
    <protectedRange sqref="D80" name="범위5_1_2_1_2_1_2_1_1_2_3"/>
    <protectedRange sqref="I80" name="범위6_1_1_1_2_1_2_8_2_1_2_3"/>
    <protectedRange sqref="M80" name="범위26_2_1_2_1_1_7_3_1_1_1_2_3"/>
    <protectedRange sqref="D81:D82" name="범위5_1_2_1_2_1_2_1_1_1_1_2"/>
    <protectedRange sqref="I81:I82" name="범위6_1_1_1_2_1_2_8_2_1_1_2_2"/>
    <protectedRange sqref="M81:M82" name="범위26_2_1_2_1_1_7_3_1_1_1_1_1_2"/>
    <protectedRange sqref="F81:F82" name="범위1_3_1_3_1_1_1_1_2"/>
    <protectedRange sqref="D83:D87" name="범위5_1_2_1_2_1_2_1_1_2_1_2"/>
    <protectedRange sqref="I83:I87" name="범위6_1_1_1_2_1_2_8_2_1_2_1_2"/>
    <protectedRange sqref="M83:M87" name="범위26_2_1_2_1_1_7_3_1_1_1_2_1_2"/>
    <protectedRange sqref="G83:H87" name="범위6_1_1_1_2_1_2_8_1_2_1_1_2_2"/>
    <protectedRange sqref="D525" name="범위5_1_3_2_1_1_1_1_2_2"/>
    <protectedRange sqref="I525" name="범위6_1_1_1_2_1_2_8_2_1_1_1_2_2"/>
    <protectedRange sqref="F525" name="범위1_2_1_2_1_1_1_1_2_2"/>
    <protectedRange sqref="M525" name="범위26_2_1_2_1_1_7_2_2_2_1_1_1_1_2_2"/>
    <protectedRange sqref="D74:D79" name="범위5_1_2_1_2_1_2_1_1"/>
    <protectedRange sqref="I74:I79" name="범위6_1_1_1_2_1_2_8_2_1"/>
    <protectedRange sqref="M74:M75 M77" name="범위26_2_1_2_1_1_7_3_1_1_1"/>
    <protectedRange sqref="G74:H74 G77:H77" name="범위6_1_1_1_2_1_2_8_1_2_1_1"/>
    <protectedRange sqref="M76" name="범위26_2_1_2_1_1_2_1_1_1_1_1"/>
    <protectedRange sqref="F76" name="범위1_3_2_1_1_1_1_1"/>
    <protectedRange sqref="G79:H79" name="범위6_1_1_1_2_1_2_1_2_1_1_1"/>
    <protectedRange sqref="M78:M79" name="범위26_2_1_2_1_1_7_2_1_2_1_1"/>
  </protectedRanges>
  <autoFilter ref="A73:Z73" xr:uid="{00000000-0009-0000-0000-000003000000}"/>
  <mergeCells count="23">
    <mergeCell ref="B41:E42"/>
    <mergeCell ref="D72:E72"/>
    <mergeCell ref="L10:P10"/>
    <mergeCell ref="G11:I11"/>
    <mergeCell ref="R11:S11"/>
    <mergeCell ref="I28:I29"/>
    <mergeCell ref="M28:M29"/>
    <mergeCell ref="O28:P28"/>
    <mergeCell ref="O29:P29"/>
    <mergeCell ref="B9:C9"/>
    <mergeCell ref="D9:I9"/>
    <mergeCell ref="M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</mergeCells>
  <phoneticPr fontId="16" type="noConversion"/>
  <dataValidations count="6">
    <dataValidation type="list" allowBlank="1" showInputMessage="1" showErrorMessage="1" sqref="D524" xr:uid="{00000000-0002-0000-0300-000000000000}">
      <formula1>$D$47:$D$72</formula1>
    </dataValidation>
    <dataValidation type="list" allowBlank="1" showInputMessage="1" showErrorMessage="1" sqref="D27" xr:uid="{00000000-0002-0000-0300-000001000000}">
      <formula1>$D$49:$D$70</formula1>
    </dataValidation>
    <dataValidation type="list" allowBlank="1" showInputMessage="1" showErrorMessage="1" sqref="L8:M8" xr:uid="{00000000-0002-0000-0300-000002000000}">
      <formula1>$M$49:$M$70</formula1>
    </dataValidation>
    <dataValidation type="list" allowBlank="1" showInputMessage="1" showErrorMessage="1" sqref="L9" xr:uid="{00000000-0002-0000-0300-000003000000}">
      <formula1>$G$45:$G$70</formula1>
    </dataValidation>
    <dataValidation type="list" allowBlank="1" showInputMessage="1" showErrorMessage="1" sqref="D12:D26" xr:uid="{00000000-0002-0000-0300-000004000000}">
      <formula1>$D$45:$D$70</formula1>
    </dataValidation>
    <dataValidation type="list" allowBlank="1" showInputMessage="1" showErrorMessage="1" sqref="F235 F220:F222 F178:F179 F184:F188" xr:uid="{00000000-0002-0000-0300-000005000000}">
      <formula1>$A$3:$A$348</formula1>
    </dataValidation>
  </dataValidations>
  <printOptions horizontalCentered="1"/>
  <pageMargins left="7.874015748031496E-2" right="7.874015748031496E-2" top="0.3" bottom="0.28999999999999998" header="0.27559055118110237" footer="0.23622047244094491"/>
  <pageSetup paperSize="9" scale="73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indexed="12"/>
    <pageSetUpPr fitToPage="1"/>
  </sheetPr>
  <dimension ref="A1:Z558"/>
  <sheetViews>
    <sheetView topLeftCell="A509" zoomScale="80" zoomScaleNormal="80" workbookViewId="0">
      <selection activeCell="G534" sqref="G534"/>
    </sheetView>
  </sheetViews>
  <sheetFormatPr defaultRowHeight="13.5"/>
  <cols>
    <col min="1" max="1" width="1.21875" customWidth="1"/>
    <col min="2" max="2" width="4.6640625" style="1" customWidth="1"/>
    <col min="3" max="3" width="11.21875" style="1" customWidth="1"/>
    <col min="4" max="4" width="17.88671875" customWidth="1"/>
    <col min="5" max="6" width="10.109375" style="1" customWidth="1"/>
    <col min="7" max="7" width="13.88671875" customWidth="1"/>
    <col min="8" max="8" width="14.21875" customWidth="1"/>
    <col min="9" max="9" width="9.5546875" style="12" customWidth="1"/>
    <col min="10" max="10" width="8.6640625" style="15" customWidth="1"/>
    <col min="11" max="11" width="8.6640625" style="1" customWidth="1"/>
    <col min="12" max="12" width="7.77734375" customWidth="1"/>
    <col min="13" max="13" width="8.6640625" customWidth="1"/>
    <col min="14" max="14" width="12.109375" customWidth="1"/>
    <col min="15" max="15" width="13.33203125" customWidth="1"/>
    <col min="16" max="16" width="13.109375" customWidth="1"/>
    <col min="17" max="17" width="5.33203125" customWidth="1"/>
    <col min="18" max="18" width="7.44140625" bestFit="1" customWidth="1"/>
    <col min="19" max="19" width="4.88671875" bestFit="1" customWidth="1"/>
    <col min="20" max="20" width="1.44140625" customWidth="1"/>
    <col min="21" max="21" width="11.44140625" style="42" customWidth="1"/>
    <col min="22" max="22" width="7.88671875" style="105" bestFit="1" customWidth="1"/>
    <col min="23" max="23" width="6.109375" style="21" customWidth="1"/>
    <col min="24" max="24" width="11.6640625" style="21" customWidth="1"/>
    <col min="25" max="26" width="8.44140625" style="43" customWidth="1"/>
  </cols>
  <sheetData>
    <row r="1" spans="1:26" ht="14.25" customHeight="1" thickBot="1">
      <c r="A1" s="5"/>
      <c r="B1" s="6"/>
      <c r="C1" s="6"/>
      <c r="D1" s="5"/>
      <c r="E1" s="6"/>
      <c r="F1" s="97"/>
      <c r="G1" s="7"/>
      <c r="H1" s="7"/>
      <c r="I1" s="9"/>
      <c r="J1" s="17"/>
      <c r="K1" s="7"/>
      <c r="L1" s="7"/>
      <c r="M1" s="5"/>
      <c r="N1" s="5"/>
      <c r="O1" s="5"/>
      <c r="P1" s="5"/>
    </row>
    <row r="2" spans="1:26" s="43" customFormat="1" ht="18" customHeight="1">
      <c r="A2" s="4"/>
      <c r="B2" s="572" t="s">
        <v>1</v>
      </c>
      <c r="C2" s="573"/>
      <c r="D2" s="573"/>
      <c r="E2" s="574"/>
      <c r="F2" s="578"/>
      <c r="G2" s="579"/>
      <c r="H2" s="579"/>
      <c r="I2" s="579"/>
      <c r="J2" s="579"/>
      <c r="K2" s="579"/>
      <c r="L2" s="579"/>
      <c r="M2" s="102" t="s">
        <v>2</v>
      </c>
      <c r="N2" s="102"/>
      <c r="O2" s="101"/>
      <c r="P2" s="101"/>
      <c r="U2" s="42"/>
      <c r="V2" s="105"/>
      <c r="W2" s="21"/>
      <c r="X2" s="21"/>
    </row>
    <row r="3" spans="1:26" s="43" customFormat="1" ht="16.5" customHeight="1" thickBot="1">
      <c r="A3" s="4"/>
      <c r="B3" s="575"/>
      <c r="C3" s="576"/>
      <c r="D3" s="576"/>
      <c r="E3" s="577"/>
      <c r="F3" s="579"/>
      <c r="G3" s="579"/>
      <c r="H3" s="579"/>
      <c r="I3" s="579"/>
      <c r="J3" s="579"/>
      <c r="K3" s="579"/>
      <c r="L3" s="579"/>
      <c r="M3" s="103" t="s">
        <v>416</v>
      </c>
      <c r="N3" s="100"/>
      <c r="O3" s="4"/>
      <c r="P3" s="4"/>
      <c r="U3" s="42"/>
      <c r="V3" s="105"/>
      <c r="W3" s="21"/>
      <c r="X3" s="21"/>
    </row>
    <row r="4" spans="1:26" s="43" customFormat="1" ht="16.5" customHeight="1">
      <c r="A4" s="4"/>
      <c r="B4" s="112"/>
      <c r="C4" s="112"/>
      <c r="D4" s="4"/>
      <c r="E4" s="112"/>
      <c r="F4" s="579"/>
      <c r="G4" s="579"/>
      <c r="H4" s="579"/>
      <c r="I4" s="579"/>
      <c r="J4" s="579"/>
      <c r="K4" s="579"/>
      <c r="L4" s="579"/>
      <c r="M4" s="103" t="s">
        <v>3</v>
      </c>
      <c r="N4" s="100"/>
      <c r="O4" s="4"/>
      <c r="P4" s="4"/>
      <c r="U4" s="42"/>
      <c r="V4" s="105"/>
      <c r="W4" s="21"/>
      <c r="X4" s="21"/>
    </row>
    <row r="5" spans="1:26" s="43" customFormat="1" ht="16.5" customHeight="1">
      <c r="A5" s="4"/>
      <c r="B5" s="112"/>
      <c r="C5" s="112"/>
      <c r="D5" s="4"/>
      <c r="E5" s="112"/>
      <c r="F5" s="350"/>
      <c r="G5" s="113"/>
      <c r="H5" s="113"/>
      <c r="I5" s="114"/>
      <c r="J5" s="115"/>
      <c r="K5" s="113"/>
      <c r="L5" s="113"/>
      <c r="M5" s="103" t="s">
        <v>4</v>
      </c>
      <c r="N5" s="100"/>
      <c r="O5" s="4"/>
      <c r="P5" s="4"/>
      <c r="U5" s="42"/>
      <c r="V5" s="105"/>
      <c r="W5" s="21"/>
      <c r="X5" s="21"/>
    </row>
    <row r="6" spans="1:26" s="43" customFormat="1" ht="9" customHeight="1" thickBot="1">
      <c r="A6" s="4"/>
      <c r="B6" s="112"/>
      <c r="C6" s="112"/>
      <c r="D6" s="4"/>
      <c r="E6" s="112"/>
      <c r="F6" s="116"/>
      <c r="G6" s="4"/>
      <c r="H6" s="4"/>
      <c r="I6" s="117"/>
      <c r="J6" s="118"/>
      <c r="K6" s="112"/>
      <c r="L6" s="4"/>
      <c r="M6" s="4"/>
      <c r="N6" s="4"/>
      <c r="O6" s="4"/>
      <c r="P6" s="4"/>
      <c r="U6" s="42"/>
      <c r="V6" s="105"/>
      <c r="W6" s="21"/>
      <c r="X6" s="21"/>
    </row>
    <row r="7" spans="1:26" s="28" customFormat="1" ht="25.5" customHeight="1" thickTop="1">
      <c r="A7" s="100"/>
      <c r="B7" s="580" t="s">
        <v>5</v>
      </c>
      <c r="C7" s="581"/>
      <c r="D7" s="582" t="s">
        <v>6</v>
      </c>
      <c r="E7" s="583"/>
      <c r="F7" s="119" t="s">
        <v>7</v>
      </c>
      <c r="G7" s="584" t="s">
        <v>75</v>
      </c>
      <c r="H7" s="585"/>
      <c r="I7" s="586"/>
      <c r="J7" s="120"/>
      <c r="K7" s="121" t="s">
        <v>8</v>
      </c>
      <c r="L7" s="587">
        <f ca="1">TODAY()</f>
        <v>45981</v>
      </c>
      <c r="M7" s="588"/>
      <c r="N7" s="122" t="s">
        <v>9</v>
      </c>
      <c r="O7" s="123">
        <f ca="1">TODAY()+1</f>
        <v>45982</v>
      </c>
      <c r="P7" s="124"/>
      <c r="U7" s="29"/>
      <c r="V7" s="105"/>
      <c r="W7" s="20"/>
      <c r="X7" s="20"/>
    </row>
    <row r="8" spans="1:26" s="28" customFormat="1" ht="25.5" customHeight="1">
      <c r="A8" s="100"/>
      <c r="B8" s="589" t="s">
        <v>10</v>
      </c>
      <c r="C8" s="590"/>
      <c r="D8" s="591" t="s">
        <v>11</v>
      </c>
      <c r="E8" s="592"/>
      <c r="F8" s="125" t="s">
        <v>12</v>
      </c>
      <c r="G8" s="592" t="s">
        <v>13</v>
      </c>
      <c r="H8" s="592"/>
      <c r="I8" s="593"/>
      <c r="J8" s="120"/>
      <c r="K8" s="126" t="s">
        <v>14</v>
      </c>
      <c r="L8" s="594" t="s">
        <v>91</v>
      </c>
      <c r="M8" s="595"/>
      <c r="N8" s="358" t="s">
        <v>15</v>
      </c>
      <c r="O8" s="596" t="s">
        <v>92</v>
      </c>
      <c r="P8" s="597"/>
      <c r="U8" s="29"/>
      <c r="V8" s="105"/>
      <c r="W8" s="20"/>
      <c r="X8" s="20"/>
    </row>
    <row r="9" spans="1:26" s="28" customFormat="1" ht="25.5" customHeight="1" thickBot="1">
      <c r="A9" s="100"/>
      <c r="B9" s="564" t="s">
        <v>16</v>
      </c>
      <c r="C9" s="565"/>
      <c r="D9" s="566"/>
      <c r="E9" s="567"/>
      <c r="F9" s="567"/>
      <c r="G9" s="567"/>
      <c r="H9" s="567"/>
      <c r="I9" s="568"/>
      <c r="J9" s="120"/>
      <c r="K9" s="128" t="s">
        <v>17</v>
      </c>
      <c r="L9" s="129" t="s">
        <v>844</v>
      </c>
      <c r="M9" s="569" t="str">
        <f>IF($L9&lt;&gt;0,VLOOKUP($L9,$G$45:$K$70,2,FALSE),"")</f>
        <v>경기도 화성시 향남읍 구문천1길 43-9</v>
      </c>
      <c r="N9" s="570"/>
      <c r="O9" s="570"/>
      <c r="P9" s="571"/>
      <c r="U9" s="44"/>
      <c r="V9" s="105"/>
      <c r="W9" s="20"/>
      <c r="X9" s="20"/>
    </row>
    <row r="10" spans="1:26" ht="18" customHeight="1" thickBot="1">
      <c r="A10" s="5"/>
      <c r="B10" s="6"/>
      <c r="C10" s="6"/>
      <c r="D10" s="5"/>
      <c r="E10" s="6"/>
      <c r="F10" s="6"/>
      <c r="G10" s="5"/>
      <c r="H10" s="5"/>
      <c r="I10" s="11"/>
      <c r="J10" s="14"/>
      <c r="K10" s="6"/>
      <c r="L10" s="606"/>
      <c r="M10" s="606"/>
      <c r="N10" s="606"/>
      <c r="O10" s="606"/>
      <c r="P10" s="606"/>
    </row>
    <row r="11" spans="1:26" s="28" customFormat="1" ht="27" customHeight="1" thickTop="1">
      <c r="A11" s="100"/>
      <c r="B11" s="371" t="s">
        <v>415</v>
      </c>
      <c r="C11" s="368" t="s">
        <v>88</v>
      </c>
      <c r="D11" s="368" t="s">
        <v>408</v>
      </c>
      <c r="E11" s="368" t="s">
        <v>409</v>
      </c>
      <c r="F11" s="369" t="s">
        <v>109</v>
      </c>
      <c r="G11" s="607" t="s">
        <v>108</v>
      </c>
      <c r="H11" s="608"/>
      <c r="I11" s="609"/>
      <c r="J11" s="377" t="s">
        <v>410</v>
      </c>
      <c r="K11" s="368" t="s">
        <v>405</v>
      </c>
      <c r="L11" s="368" t="s">
        <v>406</v>
      </c>
      <c r="M11" s="368" t="s">
        <v>411</v>
      </c>
      <c r="N11" s="368" t="s">
        <v>407</v>
      </c>
      <c r="O11" s="368" t="s">
        <v>412</v>
      </c>
      <c r="P11" s="370" t="s">
        <v>93</v>
      </c>
      <c r="R11" s="610" t="s">
        <v>398</v>
      </c>
      <c r="S11" s="611"/>
      <c r="U11" s="327" t="s">
        <v>399</v>
      </c>
      <c r="V11" s="98" t="s">
        <v>402</v>
      </c>
      <c r="W11" s="98" t="s">
        <v>403</v>
      </c>
      <c r="X11" s="98" t="s">
        <v>404</v>
      </c>
      <c r="Y11" s="98" t="s">
        <v>400</v>
      </c>
      <c r="Z11" s="99" t="s">
        <v>401</v>
      </c>
    </row>
    <row r="12" spans="1:26" s="28" customFormat="1" ht="24.95" customHeight="1">
      <c r="B12" s="221">
        <v>1</v>
      </c>
      <c r="C12" s="364" t="s">
        <v>1072</v>
      </c>
      <c r="D12" s="82" t="s">
        <v>955</v>
      </c>
      <c r="E12" s="85">
        <f t="shared" ref="E12:E25" si="0">IF($D12&lt;&gt;0,VLOOKUP($D12,$D$45:$E$71,2,FALSE),"")</f>
        <v>194667</v>
      </c>
      <c r="F12" s="546">
        <v>139600</v>
      </c>
      <c r="G12" s="224" t="str">
        <f t="shared" ref="G12:G26" si="1">IF($F12&lt;&gt;0,VLOOKUP($F12,$E$73:$M$535,2,FALSE),"")</f>
        <v>MOBIL SHC GEAR 320 WT PAIL 20L:KR</v>
      </c>
      <c r="H12" s="341"/>
      <c r="I12" s="342"/>
      <c r="J12" s="84" t="str">
        <f t="shared" ref="J12:J26" si="2">IF($F12&lt;&gt;0,VLOOKUP($F12,$E$73:$M$535,7,FALSE),"")</f>
        <v>PAIL</v>
      </c>
      <c r="K12" s="85" t="str">
        <f t="shared" ref="K12:K26" si="3">IF($F12&lt;&gt;0,VLOOKUP($F12,$E$73:$M$535,8,FALSE),"")</f>
        <v>IND</v>
      </c>
      <c r="L12" s="547">
        <v>6</v>
      </c>
      <c r="M12" s="87">
        <f t="shared" ref="M12:M26" si="4">IF($L12&lt;&gt;0,VLOOKUP($F12,$E$73:$M$535,9,FALSE)*$L12,"")</f>
        <v>120</v>
      </c>
      <c r="N12" s="88">
        <f t="shared" ref="N12:N17" si="5">IF($F12&lt;&gt;0,VLOOKUP($F12,$E$53:$L$543,5,FALSE),"")</f>
        <v>482000</v>
      </c>
      <c r="O12" s="89">
        <f t="shared" ref="O12:O20" si="6">IF(L12&lt;&gt;0,$L12*$N12,"")</f>
        <v>2892000</v>
      </c>
      <c r="P12" s="450">
        <v>0</v>
      </c>
      <c r="R12" s="75" t="str">
        <f>VLOOKUP(F12,'파레트 제품 리스트'!$B:$F,4,0)</f>
        <v>MIX (28)</v>
      </c>
      <c r="S12" s="76">
        <f>VLOOKUP(F12,'파레트 제품 리스트'!$B:$F,5,0)</f>
        <v>1</v>
      </c>
      <c r="U12" s="328">
        <f t="shared" ref="U12" si="7">O12*1.1</f>
        <v>3181200.0000000005</v>
      </c>
      <c r="V12" s="367"/>
      <c r="W12" s="78"/>
      <c r="X12" s="78"/>
      <c r="Y12" s="79"/>
      <c r="Z12" s="80"/>
    </row>
    <row r="13" spans="1:26" s="28" customFormat="1" ht="24.95" customHeight="1">
      <c r="B13" s="221">
        <v>2</v>
      </c>
      <c r="C13" s="364" t="s">
        <v>1073</v>
      </c>
      <c r="D13" s="82" t="s">
        <v>955</v>
      </c>
      <c r="E13" s="85">
        <f t="shared" si="0"/>
        <v>194667</v>
      </c>
      <c r="F13" s="546">
        <v>143985</v>
      </c>
      <c r="G13" s="224" t="str">
        <f t="shared" si="1"/>
        <v>MOBIL SHC 630 DRUM 208L:SG</v>
      </c>
      <c r="H13" s="341"/>
      <c r="I13" s="342"/>
      <c r="J13" s="84" t="str">
        <f t="shared" si="2"/>
        <v>DRUM</v>
      </c>
      <c r="K13" s="85" t="str">
        <f t="shared" si="3"/>
        <v>IND</v>
      </c>
      <c r="L13" s="547">
        <v>1</v>
      </c>
      <c r="M13" s="87">
        <f t="shared" si="4"/>
        <v>208</v>
      </c>
      <c r="N13" s="88">
        <f t="shared" si="5"/>
        <v>2763000</v>
      </c>
      <c r="O13" s="89">
        <f>IF(L13&lt;&gt;0,$L13*$N13,"")</f>
        <v>2763000</v>
      </c>
      <c r="P13" s="450">
        <v>0</v>
      </c>
      <c r="R13" s="75" t="e">
        <f>VLOOKUP(F13,'파레트 제품 리스트'!$B:$F,4,0)</f>
        <v>#N/A</v>
      </c>
      <c r="S13" s="76" t="e">
        <f>VLOOKUP(F13,'파레트 제품 리스트'!$B:$F,5,0)</f>
        <v>#N/A</v>
      </c>
      <c r="U13" s="328">
        <f>O13*1.1</f>
        <v>3039300.0000000005</v>
      </c>
      <c r="V13" s="367"/>
      <c r="W13" s="78"/>
      <c r="X13" s="78"/>
      <c r="Y13" s="79"/>
      <c r="Z13" s="80"/>
    </row>
    <row r="14" spans="1:26" s="28" customFormat="1" ht="24.95" customHeight="1">
      <c r="B14" s="221">
        <v>3</v>
      </c>
      <c r="C14" s="364" t="s">
        <v>1074</v>
      </c>
      <c r="D14" s="82" t="s">
        <v>955</v>
      </c>
      <c r="E14" s="85">
        <f t="shared" si="0"/>
        <v>194667</v>
      </c>
      <c r="F14" s="546">
        <v>135836</v>
      </c>
      <c r="G14" s="224" t="str">
        <f t="shared" si="1"/>
        <v>MOBIL GARGOYLE ARCTIC SHC 230 DRUM 208L</v>
      </c>
      <c r="H14" s="341"/>
      <c r="I14" s="342"/>
      <c r="J14" s="84" t="str">
        <f t="shared" si="2"/>
        <v>DRUM</v>
      </c>
      <c r="K14" s="85" t="str">
        <f t="shared" si="3"/>
        <v>IND</v>
      </c>
      <c r="L14" s="547">
        <v>1</v>
      </c>
      <c r="M14" s="87">
        <f t="shared" si="4"/>
        <v>208</v>
      </c>
      <c r="N14" s="88">
        <f t="shared" si="5"/>
        <v>3321000</v>
      </c>
      <c r="O14" s="89">
        <f>IF(L14&lt;&gt;0,$L14*$N14,"")</f>
        <v>3321000</v>
      </c>
      <c r="P14" s="450">
        <v>0</v>
      </c>
      <c r="R14" s="75" t="str">
        <f>VLOOKUP(F14,'파레트 제품 리스트'!$B:$F,4,0)</f>
        <v>DRUM</v>
      </c>
      <c r="S14" s="76">
        <f>VLOOKUP(F14,'파레트 제품 리스트'!$B:$F,5,0)</f>
        <v>1</v>
      </c>
      <c r="U14" s="328">
        <f>O14*1.1</f>
        <v>3653100.0000000005</v>
      </c>
      <c r="V14" s="367"/>
      <c r="W14" s="78"/>
      <c r="X14" s="78"/>
      <c r="Y14" s="79"/>
      <c r="Z14" s="80"/>
    </row>
    <row r="15" spans="1:26" s="28" customFormat="1" ht="24.95" customHeight="1">
      <c r="B15" s="221">
        <v>2</v>
      </c>
      <c r="C15" s="364"/>
      <c r="D15" s="82" t="s">
        <v>955</v>
      </c>
      <c r="E15" s="85">
        <f t="shared" si="0"/>
        <v>194667</v>
      </c>
      <c r="F15" s="446">
        <v>139105</v>
      </c>
      <c r="G15" s="224" t="str">
        <f t="shared" si="1"/>
        <v>MOBILTHERM 603 DRUM 200L:KR</v>
      </c>
      <c r="H15" s="341"/>
      <c r="I15" s="342"/>
      <c r="J15" s="84" t="str">
        <f t="shared" si="2"/>
        <v>DRUM</v>
      </c>
      <c r="K15" s="85" t="str">
        <f t="shared" si="3"/>
        <v>IND</v>
      </c>
      <c r="L15" s="326">
        <v>2</v>
      </c>
      <c r="M15" s="87">
        <f t="shared" si="4"/>
        <v>400</v>
      </c>
      <c r="N15" s="88">
        <f t="shared" si="5"/>
        <v>628000</v>
      </c>
      <c r="O15" s="89">
        <f>IF(L15&lt;&gt;0,$L15*$N15,"")</f>
        <v>1256000</v>
      </c>
      <c r="P15" s="450">
        <v>16</v>
      </c>
      <c r="R15" s="75" t="str">
        <f>VLOOKUP(F15,'파레트 제품 리스트'!$B:$F,4,0)</f>
        <v>DRUM</v>
      </c>
      <c r="S15" s="76">
        <f>VLOOKUP(F15,'파레트 제품 리스트'!$B:$F,5,0)</f>
        <v>1</v>
      </c>
      <c r="U15" s="328">
        <f>O15*1.1</f>
        <v>1381600</v>
      </c>
      <c r="V15" s="367"/>
      <c r="W15" s="78"/>
      <c r="X15" s="78"/>
      <c r="Y15" s="79"/>
      <c r="Z15" s="80"/>
    </row>
    <row r="16" spans="1:26" s="28" customFormat="1" ht="24.95" customHeight="1">
      <c r="B16" s="221">
        <v>3</v>
      </c>
      <c r="C16" s="364"/>
      <c r="D16" s="82" t="s">
        <v>955</v>
      </c>
      <c r="E16" s="85">
        <f t="shared" si="0"/>
        <v>194667</v>
      </c>
      <c r="F16" s="446">
        <v>144277</v>
      </c>
      <c r="G16" s="224" t="str">
        <f t="shared" si="1"/>
        <v>MOBIL VACUOLINE 1409 PAIL 20L</v>
      </c>
      <c r="H16" s="341"/>
      <c r="I16" s="342"/>
      <c r="J16" s="84" t="str">
        <f t="shared" si="2"/>
        <v>PAIL</v>
      </c>
      <c r="K16" s="85" t="str">
        <f t="shared" si="3"/>
        <v>IND</v>
      </c>
      <c r="L16" s="326">
        <v>42</v>
      </c>
      <c r="M16" s="87">
        <f t="shared" si="4"/>
        <v>840</v>
      </c>
      <c r="N16" s="88">
        <f t="shared" si="5"/>
        <v>46600</v>
      </c>
      <c r="O16" s="89">
        <f t="shared" si="6"/>
        <v>1957200</v>
      </c>
      <c r="P16" s="450">
        <v>251</v>
      </c>
      <c r="R16" s="75" t="str">
        <f>VLOOKUP(F16,'파레트 제품 리스트'!$B:$F,4,0)</f>
        <v>Full</v>
      </c>
      <c r="S16" s="76">
        <f>VLOOKUP(F16,'파레트 제품 리스트'!$B:$F,5,0)</f>
        <v>42</v>
      </c>
      <c r="U16" s="328">
        <f t="shared" ref="U16:U19" si="8">O16*1.1</f>
        <v>2152920</v>
      </c>
      <c r="V16" s="367"/>
      <c r="W16" s="78"/>
      <c r="X16" s="78"/>
      <c r="Y16" s="79"/>
      <c r="Z16" s="80"/>
    </row>
    <row r="17" spans="1:26" s="28" customFormat="1" ht="24.95" customHeight="1">
      <c r="B17" s="221">
        <v>4</v>
      </c>
      <c r="C17" s="364"/>
      <c r="D17" s="82" t="s">
        <v>955</v>
      </c>
      <c r="E17" s="85">
        <f t="shared" si="0"/>
        <v>194667</v>
      </c>
      <c r="F17" s="446">
        <v>148688</v>
      </c>
      <c r="G17" s="224" t="str">
        <f t="shared" si="1"/>
        <v>MOBIL VACUO 533-PL20L</v>
      </c>
      <c r="H17" s="341"/>
      <c r="I17" s="342"/>
      <c r="J17" s="84" t="str">
        <f t="shared" si="2"/>
        <v>PAIL</v>
      </c>
      <c r="K17" s="85" t="str">
        <f t="shared" si="3"/>
        <v>IND</v>
      </c>
      <c r="L17" s="326">
        <v>14</v>
      </c>
      <c r="M17" s="87">
        <f t="shared" si="4"/>
        <v>280</v>
      </c>
      <c r="N17" s="88">
        <f t="shared" si="5"/>
        <v>69500</v>
      </c>
      <c r="O17" s="89">
        <f t="shared" si="6"/>
        <v>973000</v>
      </c>
      <c r="P17" s="450">
        <v>23</v>
      </c>
      <c r="R17" s="75" t="str">
        <f>VLOOKUP(F17,'파레트 제품 리스트'!$B:$F,4,0)</f>
        <v>MIX (28)</v>
      </c>
      <c r="S17" s="76">
        <f>VLOOKUP(F17,'파레트 제품 리스트'!$B:$F,5,0)</f>
        <v>1</v>
      </c>
      <c r="U17" s="328">
        <f t="shared" si="8"/>
        <v>1070300</v>
      </c>
      <c r="V17" s="367"/>
      <c r="W17" s="78"/>
      <c r="X17" s="78"/>
      <c r="Y17" s="79"/>
      <c r="Z17" s="80"/>
    </row>
    <row r="18" spans="1:26" s="28" customFormat="1" ht="24.95" customHeight="1">
      <c r="B18" s="221">
        <v>5</v>
      </c>
      <c r="C18" s="364"/>
      <c r="D18" s="82" t="s">
        <v>785</v>
      </c>
      <c r="E18" s="85">
        <f t="shared" si="0"/>
        <v>203805</v>
      </c>
      <c r="F18" s="446">
        <v>139101</v>
      </c>
      <c r="G18" s="224" t="str">
        <f t="shared" si="1"/>
        <v>MOBIL VELOCITE NO 3 DRUM 200L:KR</v>
      </c>
      <c r="H18" s="341"/>
      <c r="I18" s="342"/>
      <c r="J18" s="84" t="str">
        <f t="shared" si="2"/>
        <v>DRUM</v>
      </c>
      <c r="K18" s="85" t="str">
        <f t="shared" si="3"/>
        <v>IND</v>
      </c>
      <c r="L18" s="326">
        <v>2</v>
      </c>
      <c r="M18" s="87">
        <f t="shared" si="4"/>
        <v>400</v>
      </c>
      <c r="N18" s="88">
        <v>490000</v>
      </c>
      <c r="O18" s="89">
        <f t="shared" si="6"/>
        <v>980000</v>
      </c>
      <c r="P18" s="450">
        <v>22</v>
      </c>
      <c r="R18" s="75" t="str">
        <f>VLOOKUP(F18,'파레트 제품 리스트'!$B:$F,4,0)</f>
        <v>DRUM</v>
      </c>
      <c r="S18" s="76">
        <f>VLOOKUP(F18,'파레트 제품 리스트'!$B:$F,5,0)</f>
        <v>1</v>
      </c>
      <c r="U18" s="328">
        <f t="shared" si="8"/>
        <v>1078000</v>
      </c>
      <c r="V18" s="367"/>
      <c r="W18" s="78"/>
      <c r="X18" s="78"/>
      <c r="Y18" s="79"/>
      <c r="Z18" s="80"/>
    </row>
    <row r="19" spans="1:26" s="28" customFormat="1" ht="24.95" customHeight="1">
      <c r="B19" s="221">
        <v>6</v>
      </c>
      <c r="C19" s="364"/>
      <c r="D19" s="82" t="s">
        <v>955</v>
      </c>
      <c r="E19" s="85">
        <f t="shared" si="0"/>
        <v>194667</v>
      </c>
      <c r="F19" s="446">
        <v>140202</v>
      </c>
      <c r="G19" s="224" t="str">
        <f t="shared" si="1"/>
        <v>MOBILITH SHC 220 PAIL 16KG:SG</v>
      </c>
      <c r="H19" s="341"/>
      <c r="I19" s="342"/>
      <c r="J19" s="84" t="str">
        <f t="shared" si="2"/>
        <v>PAIL</v>
      </c>
      <c r="K19" s="85" t="str">
        <f t="shared" si="3"/>
        <v>IND</v>
      </c>
      <c r="L19" s="326">
        <v>8</v>
      </c>
      <c r="M19" s="87">
        <f t="shared" si="4"/>
        <v>128</v>
      </c>
      <c r="N19" s="88">
        <f t="shared" ref="N19:N26" si="9">IF($F19&lt;&gt;0,VLOOKUP($F19,$E$53:$L$543,5,FALSE),"")</f>
        <v>352000</v>
      </c>
      <c r="O19" s="89">
        <f t="shared" si="6"/>
        <v>2816000</v>
      </c>
      <c r="P19" s="450">
        <v>72</v>
      </c>
      <c r="R19" s="75" t="str">
        <f>VLOOKUP(F19,'파레트 제품 리스트'!$B:$F,4,0)</f>
        <v>MIX (28)</v>
      </c>
      <c r="S19" s="76">
        <f>VLOOKUP(F19,'파레트 제품 리스트'!$B:$F,5,0)</f>
        <v>1</v>
      </c>
      <c r="U19" s="328">
        <f t="shared" si="8"/>
        <v>3097600.0000000005</v>
      </c>
      <c r="V19" s="367"/>
      <c r="W19" s="78"/>
      <c r="X19" s="78"/>
      <c r="Y19" s="79"/>
      <c r="Z19" s="80"/>
    </row>
    <row r="20" spans="1:26" s="28" customFormat="1" ht="24.95" customHeight="1">
      <c r="B20" s="221">
        <v>9</v>
      </c>
      <c r="C20" s="364"/>
      <c r="D20" s="82" t="s">
        <v>955</v>
      </c>
      <c r="E20" s="85">
        <f t="shared" si="0"/>
        <v>194667</v>
      </c>
      <c r="F20" s="446">
        <v>139107</v>
      </c>
      <c r="G20" s="224" t="str">
        <f t="shared" si="1"/>
        <v>MOBIL PEGASUS 610 DRUM 200L:KR</v>
      </c>
      <c r="H20" s="341"/>
      <c r="I20" s="342"/>
      <c r="J20" s="84" t="str">
        <f t="shared" si="2"/>
        <v>DRUM</v>
      </c>
      <c r="K20" s="85" t="str">
        <f t="shared" si="3"/>
        <v>IND</v>
      </c>
      <c r="L20" s="326">
        <v>8</v>
      </c>
      <c r="M20" s="87">
        <f t="shared" si="4"/>
        <v>1600</v>
      </c>
      <c r="N20" s="88">
        <f t="shared" si="9"/>
        <v>630000</v>
      </c>
      <c r="O20" s="89">
        <f t="shared" si="6"/>
        <v>5040000</v>
      </c>
      <c r="P20" s="450">
        <v>40</v>
      </c>
      <c r="R20" s="75" t="str">
        <f>VLOOKUP(F20,'파레트 제품 리스트'!$B:$F,4,0)</f>
        <v>DRUM</v>
      </c>
      <c r="S20" s="76">
        <f>VLOOKUP(F20,'파레트 제품 리스트'!$B:$F,5,0)</f>
        <v>1</v>
      </c>
      <c r="U20" s="328">
        <f t="shared" ref="U20" si="10">O20*1.1</f>
        <v>5544000</v>
      </c>
      <c r="V20" s="367"/>
      <c r="W20" s="78"/>
      <c r="X20" s="78"/>
      <c r="Y20" s="79"/>
      <c r="Z20" s="80"/>
    </row>
    <row r="21" spans="1:26" s="28" customFormat="1" ht="24.95" customHeight="1">
      <c r="B21" s="221">
        <v>10</v>
      </c>
      <c r="C21" s="364"/>
      <c r="D21" s="82"/>
      <c r="E21" s="85" t="str">
        <f t="shared" si="0"/>
        <v/>
      </c>
      <c r="F21" s="446"/>
      <c r="G21" s="224" t="str">
        <f t="shared" si="1"/>
        <v/>
      </c>
      <c r="H21" s="341"/>
      <c r="I21" s="342"/>
      <c r="J21" s="84" t="str">
        <f t="shared" si="2"/>
        <v/>
      </c>
      <c r="K21" s="85" t="str">
        <f t="shared" si="3"/>
        <v/>
      </c>
      <c r="L21" s="326"/>
      <c r="M21" s="87" t="str">
        <f t="shared" si="4"/>
        <v/>
      </c>
      <c r="N21" s="88" t="str">
        <f t="shared" si="9"/>
        <v/>
      </c>
      <c r="O21" s="89" t="str">
        <f t="shared" ref="O21" si="11">IF(L21&lt;&gt;0,$L21*$N21,"")</f>
        <v/>
      </c>
      <c r="P21" s="450"/>
      <c r="R21" s="75" t="e">
        <f>VLOOKUP(F21,'파레트 제품 리스트'!$B:$F,4,0)</f>
        <v>#N/A</v>
      </c>
      <c r="S21" s="76" t="e">
        <f>VLOOKUP(F21,'파레트 제품 리스트'!$B:$F,5,0)</f>
        <v>#N/A</v>
      </c>
      <c r="U21" s="328" t="e">
        <f t="shared" ref="U21" si="12">O21*1.1</f>
        <v>#VALUE!</v>
      </c>
      <c r="V21" s="367"/>
      <c r="W21" s="78"/>
      <c r="X21" s="78"/>
      <c r="Y21" s="79"/>
      <c r="Z21" s="80"/>
    </row>
    <row r="22" spans="1:26" s="28" customFormat="1" ht="24.95" customHeight="1">
      <c r="B22" s="221">
        <v>11</v>
      </c>
      <c r="C22" s="364"/>
      <c r="D22" s="82"/>
      <c r="E22" s="85" t="str">
        <f t="shared" si="0"/>
        <v/>
      </c>
      <c r="F22" s="446"/>
      <c r="G22" s="224" t="str">
        <f t="shared" si="1"/>
        <v/>
      </c>
      <c r="H22" s="341"/>
      <c r="I22" s="342"/>
      <c r="J22" s="84" t="str">
        <f t="shared" si="2"/>
        <v/>
      </c>
      <c r="K22" s="85" t="str">
        <f t="shared" si="3"/>
        <v/>
      </c>
      <c r="L22" s="326"/>
      <c r="M22" s="87" t="str">
        <f t="shared" si="4"/>
        <v/>
      </c>
      <c r="N22" s="88" t="str">
        <f t="shared" si="9"/>
        <v/>
      </c>
      <c r="O22" s="89" t="str">
        <f>IF(L22&lt;&gt;0,$L22*$N22,"")</f>
        <v/>
      </c>
      <c r="P22" s="450"/>
      <c r="R22" s="75" t="e">
        <f>VLOOKUP(F22,'파레트 제품 리스트'!$B:$F,4,0)</f>
        <v>#N/A</v>
      </c>
      <c r="S22" s="76" t="e">
        <f>VLOOKUP(F22,'파레트 제품 리스트'!$B:$F,5,0)</f>
        <v>#N/A</v>
      </c>
      <c r="U22" s="328" t="e">
        <f t="shared" ref="U22:U23" si="13">O22*1.1</f>
        <v>#VALUE!</v>
      </c>
      <c r="V22" s="367"/>
      <c r="W22" s="78"/>
      <c r="X22" s="78"/>
      <c r="Y22" s="79"/>
      <c r="Z22" s="80"/>
    </row>
    <row r="23" spans="1:26" s="28" customFormat="1" ht="24.95" customHeight="1">
      <c r="B23" s="221">
        <v>12</v>
      </c>
      <c r="C23" s="364"/>
      <c r="D23" s="82"/>
      <c r="E23" s="85" t="str">
        <f t="shared" si="0"/>
        <v/>
      </c>
      <c r="F23" s="446"/>
      <c r="G23" s="340" t="str">
        <f t="shared" si="1"/>
        <v/>
      </c>
      <c r="H23" s="341"/>
      <c r="I23" s="342"/>
      <c r="J23" s="343" t="str">
        <f t="shared" si="2"/>
        <v/>
      </c>
      <c r="K23" s="339" t="str">
        <f t="shared" si="3"/>
        <v/>
      </c>
      <c r="L23" s="326"/>
      <c r="M23" s="344" t="str">
        <f t="shared" si="4"/>
        <v/>
      </c>
      <c r="N23" s="88" t="str">
        <f t="shared" si="9"/>
        <v/>
      </c>
      <c r="O23" s="346" t="str">
        <f>IF(L23&lt;&gt;0,$L23*$N23,"")</f>
        <v/>
      </c>
      <c r="P23" s="450"/>
      <c r="R23" s="75" t="e">
        <f>VLOOKUP(F23,'파레트 제품 리스트'!$B:$F,4,0)</f>
        <v>#N/A</v>
      </c>
      <c r="S23" s="76" t="e">
        <f>VLOOKUP(F23,'파레트 제품 리스트'!$B:$F,5,0)</f>
        <v>#N/A</v>
      </c>
      <c r="U23" s="328" t="e">
        <f t="shared" si="13"/>
        <v>#VALUE!</v>
      </c>
      <c r="V23" s="367"/>
      <c r="W23" s="78"/>
      <c r="X23" s="78"/>
      <c r="Y23" s="79"/>
      <c r="Z23" s="80"/>
    </row>
    <row r="24" spans="1:26" s="28" customFormat="1" ht="24.95" customHeight="1">
      <c r="B24" s="221">
        <v>13</v>
      </c>
      <c r="C24" s="364"/>
      <c r="D24" s="82"/>
      <c r="E24" s="85" t="str">
        <f t="shared" si="0"/>
        <v/>
      </c>
      <c r="F24" s="446"/>
      <c r="G24" s="224" t="str">
        <f t="shared" si="1"/>
        <v/>
      </c>
      <c r="H24" s="341"/>
      <c r="I24" s="342"/>
      <c r="J24" s="84" t="str">
        <f t="shared" si="2"/>
        <v/>
      </c>
      <c r="K24" s="85" t="str">
        <f t="shared" si="3"/>
        <v/>
      </c>
      <c r="L24" s="326"/>
      <c r="M24" s="87" t="str">
        <f t="shared" si="4"/>
        <v/>
      </c>
      <c r="N24" s="88" t="str">
        <f t="shared" si="9"/>
        <v/>
      </c>
      <c r="O24" s="89" t="str">
        <f>IF(L24&lt;&gt;0,$L24*$N24,"")</f>
        <v/>
      </c>
      <c r="P24" s="450"/>
      <c r="R24" s="75" t="e">
        <f>VLOOKUP(F24,'파레트 제품 리스트'!$B:$F,4,0)</f>
        <v>#N/A</v>
      </c>
      <c r="S24" s="76" t="e">
        <f>VLOOKUP(F24,'파레트 제품 리스트'!$B:$F,5,0)</f>
        <v>#N/A</v>
      </c>
      <c r="U24" s="328" t="e">
        <f>O24*1.1</f>
        <v>#VALUE!</v>
      </c>
      <c r="V24" s="367"/>
      <c r="W24" s="78"/>
      <c r="X24" s="78"/>
      <c r="Y24" s="79"/>
      <c r="Z24" s="80"/>
    </row>
    <row r="25" spans="1:26" s="28" customFormat="1" ht="24.95" customHeight="1">
      <c r="B25" s="221">
        <v>14</v>
      </c>
      <c r="C25" s="364"/>
      <c r="D25" s="82"/>
      <c r="E25" s="85" t="str">
        <f t="shared" si="0"/>
        <v/>
      </c>
      <c r="F25" s="446"/>
      <c r="G25" s="224" t="str">
        <f t="shared" si="1"/>
        <v/>
      </c>
      <c r="H25" s="341"/>
      <c r="I25" s="342"/>
      <c r="J25" s="84" t="str">
        <f t="shared" si="2"/>
        <v/>
      </c>
      <c r="K25" s="85" t="str">
        <f t="shared" si="3"/>
        <v/>
      </c>
      <c r="L25" s="326"/>
      <c r="M25" s="87" t="str">
        <f t="shared" si="4"/>
        <v/>
      </c>
      <c r="N25" s="88" t="str">
        <f t="shared" si="9"/>
        <v/>
      </c>
      <c r="O25" s="89" t="str">
        <f>IF(L25&lt;&gt;0,$L25*$N25,"")</f>
        <v/>
      </c>
      <c r="P25" s="450"/>
      <c r="R25" s="75" t="e">
        <f>VLOOKUP(F25,'파레트 제품 리스트'!$B:$F,4,0)</f>
        <v>#N/A</v>
      </c>
      <c r="S25" s="76" t="e">
        <f>VLOOKUP(F25,'파레트 제품 리스트'!$B:$F,5,0)</f>
        <v>#N/A</v>
      </c>
      <c r="U25" s="328" t="e">
        <f t="shared" ref="U25" si="14">O25*1.1</f>
        <v>#VALUE!</v>
      </c>
      <c r="V25" s="367"/>
      <c r="W25" s="78"/>
      <c r="X25" s="78"/>
      <c r="Y25" s="79"/>
      <c r="Z25" s="80"/>
    </row>
    <row r="26" spans="1:26" s="28" customFormat="1" ht="24.95" customHeight="1" thickBot="1">
      <c r="B26" s="355">
        <v>15</v>
      </c>
      <c r="C26" s="435"/>
      <c r="D26" s="90"/>
      <c r="E26" s="92"/>
      <c r="F26" s="459"/>
      <c r="G26" s="227" t="str">
        <f t="shared" si="1"/>
        <v/>
      </c>
      <c r="H26" s="228"/>
      <c r="I26" s="229"/>
      <c r="J26" s="91" t="str">
        <f t="shared" si="2"/>
        <v/>
      </c>
      <c r="K26" s="92" t="str">
        <f t="shared" si="3"/>
        <v/>
      </c>
      <c r="L26" s="93"/>
      <c r="M26" s="94" t="str">
        <f t="shared" si="4"/>
        <v/>
      </c>
      <c r="N26" s="95" t="str">
        <f t="shared" si="9"/>
        <v/>
      </c>
      <c r="O26" s="96" t="str">
        <f>IF(L26&lt;&gt;0,$L26*$N26,"")</f>
        <v/>
      </c>
      <c r="P26" s="451"/>
      <c r="R26" s="75"/>
      <c r="S26" s="76"/>
      <c r="U26" s="328" t="e">
        <f>O26*1.1</f>
        <v>#VALUE!</v>
      </c>
      <c r="V26" s="367"/>
      <c r="W26" s="78"/>
      <c r="X26" s="78"/>
      <c r="Y26" s="79"/>
      <c r="Z26" s="80"/>
    </row>
    <row r="27" spans="1:26" s="43" customFormat="1" ht="12" customHeight="1" thickTop="1" thickBot="1">
      <c r="A27" s="4"/>
      <c r="B27" s="105"/>
      <c r="C27" s="105"/>
      <c r="D27" s="130"/>
      <c r="E27" s="105"/>
      <c r="F27" s="372"/>
      <c r="G27" s="373"/>
      <c r="H27" s="373"/>
      <c r="I27" s="374"/>
      <c r="J27" s="375" t="str">
        <f>IF($F27&lt;&gt;0,VLOOKUP($F27,$E$88:$M$457,7,FALSE),"")</f>
        <v/>
      </c>
      <c r="K27" s="372" t="str">
        <f>IF($F27&lt;&gt;0,VLOOKUP($F27,$E$88:$M$457,8,FALSE),"")</f>
        <v/>
      </c>
      <c r="L27" s="376"/>
      <c r="M27" s="376" t="str">
        <f>IF($L27&lt;&gt;0,VLOOKUP($F27,$E$88:$M$457,9,FALSE)*$L27,"")</f>
        <v/>
      </c>
      <c r="N27" s="100" t="str">
        <f>IF($F27&lt;&gt;0,VLOOKUP($F27,$E$88:$M$457,5,FALSE),"")</f>
        <v/>
      </c>
      <c r="O27" s="100" t="str">
        <f t="shared" ref="O27" si="15">IF(L27&lt;&gt;0,$L27*$N27,"")</f>
        <v/>
      </c>
      <c r="P27" s="100"/>
      <c r="U27" s="55"/>
      <c r="V27" s="105"/>
      <c r="W27" s="20"/>
      <c r="X27" s="78"/>
    </row>
    <row r="28" spans="1:26" s="43" customFormat="1" ht="18" customHeight="1" thickBot="1">
      <c r="A28" s="4"/>
      <c r="B28" s="105"/>
      <c r="C28" s="105"/>
      <c r="D28" s="100"/>
      <c r="E28" s="105"/>
      <c r="F28" s="105"/>
      <c r="G28" s="100"/>
      <c r="H28" s="100"/>
      <c r="I28" s="612" t="s">
        <v>18</v>
      </c>
      <c r="J28" s="106" t="s">
        <v>413</v>
      </c>
      <c r="K28" s="107">
        <f>SUM(M12:M26)</f>
        <v>4184</v>
      </c>
      <c r="L28" s="100"/>
      <c r="M28" s="614" t="s">
        <v>19</v>
      </c>
      <c r="N28" s="108" t="s">
        <v>20</v>
      </c>
      <c r="O28" s="616">
        <f>SUM(O12:O27)</f>
        <v>21998200</v>
      </c>
      <c r="P28" s="617"/>
      <c r="U28" s="55"/>
      <c r="V28" s="105"/>
      <c r="W28" s="20"/>
      <c r="X28" s="21"/>
    </row>
    <row r="29" spans="1:26" s="43" customFormat="1" ht="18" customHeight="1" thickBot="1">
      <c r="A29" s="4"/>
      <c r="B29" s="105"/>
      <c r="C29" s="105"/>
      <c r="D29" s="100"/>
      <c r="E29"/>
      <c r="F29" s="105"/>
      <c r="G29" s="100"/>
      <c r="H29" s="100"/>
      <c r="I29" s="613"/>
      <c r="J29" s="109" t="s">
        <v>414</v>
      </c>
      <c r="K29" s="110">
        <f>$K$28/200</f>
        <v>20.92</v>
      </c>
      <c r="L29" s="100"/>
      <c r="M29" s="615"/>
      <c r="N29" s="111" t="s">
        <v>21</v>
      </c>
      <c r="O29" s="618">
        <f>O28*1.1</f>
        <v>24198020.000000004</v>
      </c>
      <c r="P29" s="619"/>
      <c r="U29" s="55"/>
      <c r="V29" s="105"/>
      <c r="W29" s="20"/>
      <c r="X29" s="21"/>
    </row>
    <row r="30" spans="1:26" s="43" customFormat="1" ht="16.5" customHeight="1">
      <c r="B30" s="21"/>
      <c r="C30" s="21"/>
      <c r="E30"/>
      <c r="F30" s="21"/>
      <c r="I30" s="42"/>
      <c r="J30" s="61"/>
      <c r="K30" s="21"/>
      <c r="U30" s="42"/>
      <c r="V30" s="105"/>
      <c r="W30" s="21"/>
      <c r="X30" s="21"/>
    </row>
    <row r="31" spans="1:26" ht="16.5" customHeight="1">
      <c r="K31" s="58"/>
      <c r="S31" s="43"/>
    </row>
    <row r="32" spans="1:26" ht="16.5" customHeight="1">
      <c r="A32" s="43"/>
      <c r="L32" s="362" t="e">
        <f>#REF!+#REF!+#REF!+#REF!</f>
        <v>#REF!</v>
      </c>
      <c r="P32" s="12"/>
      <c r="S32" s="43"/>
    </row>
    <row r="33" spans="2:26" ht="16.5" customHeight="1">
      <c r="L33" s="362" t="e">
        <f>+#REF!+#REF!+#REF!+#REF!</f>
        <v>#REF!</v>
      </c>
      <c r="P33" s="12"/>
    </row>
    <row r="34" spans="2:26" ht="16.5" customHeight="1">
      <c r="L34" s="363" t="e">
        <f>L33-L32</f>
        <v>#REF!</v>
      </c>
      <c r="P34" s="12"/>
      <c r="Y34"/>
    </row>
    <row r="35" spans="2:26" ht="16.5" customHeight="1">
      <c r="L35" s="1"/>
    </row>
    <row r="36" spans="2:26" ht="16.5" customHeight="1"/>
    <row r="37" spans="2:26" ht="16.5" customHeight="1"/>
    <row r="38" spans="2:26" ht="16.5" customHeight="1"/>
    <row r="39" spans="2:26" ht="16.5" customHeight="1"/>
    <row r="40" spans="2:26" s="3" customFormat="1" ht="16.5" customHeight="1" thickBot="1">
      <c r="B40" s="2"/>
      <c r="C40" s="2"/>
      <c r="E40" s="2"/>
      <c r="F40" s="2"/>
      <c r="I40" s="13"/>
      <c r="J40" s="16"/>
      <c r="K40" s="2"/>
      <c r="U40" s="45"/>
      <c r="V40" s="366"/>
      <c r="W40" s="56"/>
      <c r="X40" s="56"/>
      <c r="Y40" s="81"/>
      <c r="Z40" s="81"/>
    </row>
    <row r="41" spans="2:26" ht="13.5" customHeight="1">
      <c r="B41" s="598" t="s">
        <v>22</v>
      </c>
      <c r="C41" s="599"/>
      <c r="D41" s="599"/>
      <c r="E41" s="600"/>
    </row>
    <row r="42" spans="2:26" ht="14.25" customHeight="1" thickBot="1">
      <c r="B42" s="601"/>
      <c r="C42" s="602"/>
      <c r="D42" s="602"/>
      <c r="E42" s="603"/>
    </row>
    <row r="43" spans="2:26" ht="14.25" customHeight="1">
      <c r="B43" s="269"/>
      <c r="C43" s="269"/>
      <c r="D43" s="269"/>
      <c r="E43" s="269"/>
      <c r="I43" s="260"/>
      <c r="J43" s="261"/>
      <c r="U43" s="285"/>
    </row>
    <row r="44" spans="2:26" ht="14.25" customHeight="1">
      <c r="B44" s="269"/>
      <c r="C44" s="269"/>
      <c r="D44" s="259" t="s">
        <v>76</v>
      </c>
      <c r="E44" s="259" t="s">
        <v>23</v>
      </c>
      <c r="G44" s="280" t="s">
        <v>77</v>
      </c>
      <c r="H44" s="286" t="s">
        <v>16</v>
      </c>
      <c r="I44" s="232"/>
      <c r="J44" s="232"/>
      <c r="K44" s="233"/>
      <c r="M44" s="274" t="s">
        <v>14</v>
      </c>
      <c r="N44" s="259" t="s">
        <v>15</v>
      </c>
      <c r="O44" s="259"/>
      <c r="U44" s="285"/>
    </row>
    <row r="45" spans="2:26">
      <c r="D45" s="281" t="s">
        <v>955</v>
      </c>
      <c r="E45" s="282">
        <v>194667</v>
      </c>
      <c r="G45" s="281" t="s">
        <v>845</v>
      </c>
      <c r="H45" s="284" t="s">
        <v>792</v>
      </c>
      <c r="I45" s="275"/>
      <c r="J45" s="276"/>
      <c r="K45" s="254"/>
      <c r="L45" s="28"/>
      <c r="M45" s="255"/>
      <c r="N45" s="255"/>
      <c r="O45" s="255"/>
    </row>
    <row r="46" spans="2:26" s="28" customFormat="1" ht="13.5" customHeight="1">
      <c r="B46" s="21"/>
      <c r="C46" s="21"/>
      <c r="D46" s="281" t="s">
        <v>753</v>
      </c>
      <c r="E46" s="282">
        <v>200584</v>
      </c>
      <c r="F46" s="20"/>
      <c r="G46" s="281" t="s">
        <v>801</v>
      </c>
      <c r="H46" s="284" t="s">
        <v>792</v>
      </c>
      <c r="I46" s="275"/>
      <c r="J46" s="276"/>
      <c r="K46" s="254"/>
      <c r="M46" s="255"/>
      <c r="N46" s="255"/>
      <c r="O46" s="255"/>
      <c r="U46" s="29"/>
      <c r="V46" s="105"/>
      <c r="W46" s="20"/>
      <c r="X46" s="20"/>
    </row>
    <row r="47" spans="2:26" s="28" customFormat="1" ht="13.5" customHeight="1">
      <c r="B47" s="21"/>
      <c r="C47" s="21"/>
      <c r="D47" s="281" t="s">
        <v>26</v>
      </c>
      <c r="E47" s="282">
        <v>194729</v>
      </c>
      <c r="F47" s="20"/>
      <c r="G47" s="281" t="s">
        <v>794</v>
      </c>
      <c r="H47" s="284" t="s">
        <v>792</v>
      </c>
      <c r="I47" s="275"/>
      <c r="J47" s="276"/>
      <c r="K47" s="254"/>
      <c r="M47" s="255"/>
      <c r="N47" s="255"/>
      <c r="O47" s="255"/>
      <c r="U47" s="29"/>
      <c r="V47" s="105"/>
      <c r="W47" s="20"/>
      <c r="X47" s="20"/>
    </row>
    <row r="48" spans="2:26" s="28" customFormat="1" ht="13.5" customHeight="1">
      <c r="B48" s="21"/>
      <c r="C48" s="21"/>
      <c r="D48" s="281" t="s">
        <v>817</v>
      </c>
      <c r="E48" s="282">
        <v>194638</v>
      </c>
      <c r="F48" s="20"/>
      <c r="G48" s="281" t="s">
        <v>807</v>
      </c>
      <c r="H48" s="284" t="s">
        <v>792</v>
      </c>
      <c r="I48" s="275"/>
      <c r="J48" s="276"/>
      <c r="K48" s="254"/>
      <c r="M48" s="255"/>
      <c r="N48" s="255"/>
      <c r="O48" s="255"/>
      <c r="U48" s="29"/>
      <c r="V48" s="105"/>
      <c r="W48" s="20"/>
      <c r="X48" s="20"/>
    </row>
    <row r="49" spans="2:24" s="28" customFormat="1" ht="13.5" customHeight="1">
      <c r="B49" s="21"/>
      <c r="C49" s="21"/>
      <c r="D49" s="281" t="s">
        <v>759</v>
      </c>
      <c r="E49" s="282">
        <v>202724</v>
      </c>
      <c r="F49" s="20"/>
      <c r="G49" s="281" t="s">
        <v>799</v>
      </c>
      <c r="H49" s="284" t="s">
        <v>792</v>
      </c>
      <c r="I49" s="275"/>
      <c r="J49" s="276"/>
      <c r="K49" s="254"/>
      <c r="M49" s="255"/>
      <c r="N49" s="255"/>
      <c r="O49" s="255"/>
      <c r="U49" s="29"/>
      <c r="V49" s="105"/>
      <c r="W49" s="20"/>
      <c r="X49" s="20"/>
    </row>
    <row r="50" spans="2:24" s="28" customFormat="1" ht="13.5" customHeight="1">
      <c r="B50" s="21"/>
      <c r="C50" s="21"/>
      <c r="D50" s="283" t="s">
        <v>785</v>
      </c>
      <c r="E50" s="282">
        <v>203805</v>
      </c>
      <c r="F50" s="20"/>
      <c r="G50" s="281" t="s">
        <v>800</v>
      </c>
      <c r="H50" s="284" t="s">
        <v>792</v>
      </c>
      <c r="I50" s="275"/>
      <c r="J50" s="276"/>
      <c r="K50" s="254"/>
      <c r="M50" s="255"/>
      <c r="N50" s="255"/>
      <c r="O50" s="255"/>
      <c r="U50" s="29"/>
      <c r="V50" s="105"/>
      <c r="W50" s="20"/>
      <c r="X50" s="20"/>
    </row>
    <row r="51" spans="2:24" s="28" customFormat="1" ht="13.5" customHeight="1">
      <c r="B51" s="21"/>
      <c r="C51" s="21"/>
      <c r="D51" s="281" t="s">
        <v>788</v>
      </c>
      <c r="E51" s="282">
        <v>215691</v>
      </c>
      <c r="F51" s="20"/>
      <c r="G51" s="281" t="s">
        <v>805</v>
      </c>
      <c r="H51" s="284" t="s">
        <v>792</v>
      </c>
      <c r="I51" s="275"/>
      <c r="J51" s="276"/>
      <c r="K51" s="254"/>
      <c r="M51" s="255"/>
      <c r="N51" s="255"/>
      <c r="O51" s="255"/>
      <c r="U51" s="29"/>
      <c r="V51" s="105"/>
      <c r="W51" s="20"/>
      <c r="X51" s="20"/>
    </row>
    <row r="52" spans="2:24" s="28" customFormat="1" ht="13.5" customHeight="1">
      <c r="B52" s="21"/>
      <c r="C52" s="21"/>
      <c r="D52" s="281" t="s">
        <v>814</v>
      </c>
      <c r="E52" s="282">
        <v>208008</v>
      </c>
      <c r="F52" s="20"/>
      <c r="G52" s="281" t="s">
        <v>808</v>
      </c>
      <c r="H52" s="284" t="s">
        <v>792</v>
      </c>
      <c r="I52" s="275"/>
      <c r="J52" s="276"/>
      <c r="K52" s="254"/>
      <c r="M52" s="255"/>
      <c r="N52" s="255"/>
      <c r="O52" s="255"/>
      <c r="U52" s="29"/>
      <c r="V52" s="105"/>
      <c r="W52" s="20"/>
      <c r="X52" s="20"/>
    </row>
    <row r="53" spans="2:24" s="28" customFormat="1" ht="13.5" customHeight="1">
      <c r="B53" s="21"/>
      <c r="C53" s="21"/>
      <c r="D53" s="281" t="s">
        <v>815</v>
      </c>
      <c r="E53" s="282">
        <v>207998</v>
      </c>
      <c r="F53" s="20"/>
      <c r="G53" s="281" t="s">
        <v>802</v>
      </c>
      <c r="H53" s="284" t="s">
        <v>792</v>
      </c>
      <c r="I53" s="275"/>
      <c r="J53" s="276"/>
      <c r="K53" s="254"/>
      <c r="M53" s="255"/>
      <c r="N53" s="255"/>
      <c r="O53" s="255"/>
      <c r="R53" s="28" t="s">
        <v>861</v>
      </c>
      <c r="U53" s="29"/>
      <c r="V53" s="105"/>
      <c r="W53" s="20"/>
      <c r="X53" s="20"/>
    </row>
    <row r="54" spans="2:24" s="28" customFormat="1" ht="13.5" customHeight="1">
      <c r="B54" s="21"/>
      <c r="C54" s="21"/>
      <c r="D54" s="281" t="s">
        <v>813</v>
      </c>
      <c r="E54" s="282">
        <v>194819</v>
      </c>
      <c r="F54" s="20"/>
      <c r="G54" s="281" t="s">
        <v>74</v>
      </c>
      <c r="H54" s="284" t="s">
        <v>818</v>
      </c>
      <c r="I54" s="275"/>
      <c r="J54" s="276"/>
      <c r="K54" s="254"/>
      <c r="M54" s="255"/>
      <c r="N54" s="255"/>
      <c r="O54" s="255"/>
      <c r="U54" s="29"/>
      <c r="V54" s="105"/>
      <c r="W54" s="20"/>
      <c r="X54" s="20"/>
    </row>
    <row r="55" spans="2:24" s="28" customFormat="1" ht="13.5" customHeight="1">
      <c r="B55" s="21"/>
      <c r="C55" s="21"/>
      <c r="D55" s="283" t="s">
        <v>816</v>
      </c>
      <c r="E55" s="282">
        <v>229113</v>
      </c>
      <c r="F55" s="20"/>
      <c r="G55" s="281" t="s">
        <v>809</v>
      </c>
      <c r="H55" s="284" t="s">
        <v>792</v>
      </c>
      <c r="I55" s="275"/>
      <c r="J55" s="276"/>
      <c r="K55" s="254"/>
      <c r="M55" s="255"/>
      <c r="N55" s="255"/>
      <c r="O55" s="255"/>
      <c r="U55" s="29"/>
      <c r="V55" s="105"/>
      <c r="W55" s="20"/>
      <c r="X55" s="20"/>
    </row>
    <row r="56" spans="2:24" s="28" customFormat="1" ht="13.5" customHeight="1">
      <c r="B56" s="21"/>
      <c r="C56" s="21"/>
      <c r="D56" s="281" t="s">
        <v>812</v>
      </c>
      <c r="E56" s="282">
        <v>237074</v>
      </c>
      <c r="F56" s="20"/>
      <c r="G56" s="281" t="s">
        <v>811</v>
      </c>
      <c r="H56" s="284" t="s">
        <v>819</v>
      </c>
      <c r="I56" s="275"/>
      <c r="J56" s="276"/>
      <c r="K56" s="254"/>
      <c r="M56" s="255"/>
      <c r="N56" s="255"/>
      <c r="O56" s="255"/>
      <c r="U56" s="29"/>
      <c r="V56" s="105"/>
      <c r="W56" s="20"/>
      <c r="X56" s="20"/>
    </row>
    <row r="57" spans="2:24" s="28" customFormat="1" ht="13.5" customHeight="1">
      <c r="B57" s="21"/>
      <c r="C57" s="21"/>
      <c r="D57" s="281" t="s">
        <v>833</v>
      </c>
      <c r="E57" s="282">
        <v>231778</v>
      </c>
      <c r="F57" s="20"/>
      <c r="G57" s="281" t="s">
        <v>810</v>
      </c>
      <c r="H57" s="284" t="s">
        <v>792</v>
      </c>
      <c r="I57" s="275"/>
      <c r="J57" s="276"/>
      <c r="K57" s="254"/>
      <c r="M57" s="255"/>
      <c r="N57" s="255"/>
      <c r="O57" s="255"/>
      <c r="U57" s="29"/>
      <c r="V57" s="105"/>
      <c r="W57" s="20"/>
      <c r="X57" s="20"/>
    </row>
    <row r="58" spans="2:24" s="28" customFormat="1" ht="13.5" customHeight="1">
      <c r="B58" s="21"/>
      <c r="C58" s="21"/>
      <c r="D58" s="283" t="s">
        <v>894</v>
      </c>
      <c r="E58" s="282">
        <v>272022</v>
      </c>
      <c r="F58" s="20"/>
      <c r="G58" s="281"/>
      <c r="H58" s="284"/>
      <c r="I58" s="275"/>
      <c r="J58" s="276"/>
      <c r="K58" s="254"/>
      <c r="M58" s="283"/>
      <c r="N58" s="283"/>
      <c r="O58" s="283"/>
      <c r="U58" s="29"/>
      <c r="V58" s="105"/>
      <c r="W58" s="20"/>
      <c r="X58" s="20"/>
    </row>
    <row r="59" spans="2:24" s="28" customFormat="1" ht="13.5" customHeight="1">
      <c r="B59" s="21"/>
      <c r="C59" s="21"/>
      <c r="D59" s="283" t="s">
        <v>832</v>
      </c>
      <c r="E59" s="282">
        <v>211914</v>
      </c>
      <c r="F59" s="20"/>
      <c r="G59" s="281"/>
      <c r="H59" s="284"/>
      <c r="I59" s="275"/>
      <c r="J59" s="276"/>
      <c r="K59" s="254"/>
      <c r="M59" s="255"/>
      <c r="N59" s="255"/>
      <c r="O59" s="255"/>
      <c r="U59" s="29"/>
      <c r="V59" s="105"/>
      <c r="W59" s="20"/>
      <c r="X59" s="20"/>
    </row>
    <row r="60" spans="2:24" s="28" customFormat="1" ht="13.5" customHeight="1">
      <c r="B60" s="21"/>
      <c r="C60" s="21"/>
      <c r="D60" s="283" t="s">
        <v>840</v>
      </c>
      <c r="E60" s="282">
        <v>238419</v>
      </c>
      <c r="F60" s="20"/>
      <c r="G60" s="281" t="s">
        <v>841</v>
      </c>
      <c r="H60" s="284" t="s">
        <v>842</v>
      </c>
      <c r="I60" s="277"/>
      <c r="J60" s="278"/>
      <c r="K60" s="20"/>
      <c r="M60" s="255"/>
      <c r="N60" s="255"/>
      <c r="O60" s="255"/>
      <c r="U60" s="29"/>
      <c r="V60" s="105"/>
      <c r="W60" s="20"/>
      <c r="X60" s="20"/>
    </row>
    <row r="61" spans="2:24" s="28" customFormat="1" ht="13.5" customHeight="1">
      <c r="B61" s="21"/>
      <c r="C61" s="21"/>
      <c r="D61" s="281" t="s">
        <v>923</v>
      </c>
      <c r="E61" s="282">
        <v>278285</v>
      </c>
      <c r="F61" s="20"/>
      <c r="G61" s="281"/>
      <c r="H61" s="284"/>
      <c r="I61" s="441"/>
      <c r="J61" s="442"/>
      <c r="K61" s="443"/>
      <c r="M61" s="283"/>
      <c r="N61" s="283"/>
      <c r="O61" s="283"/>
      <c r="U61" s="29"/>
      <c r="V61" s="105"/>
      <c r="W61" s="20"/>
      <c r="X61" s="20"/>
    </row>
    <row r="62" spans="2:24" s="28" customFormat="1" ht="13.5" customHeight="1">
      <c r="B62" s="21"/>
      <c r="C62" s="21"/>
      <c r="D62" s="436" t="s">
        <v>897</v>
      </c>
      <c r="E62" s="20">
        <v>273231</v>
      </c>
      <c r="F62" s="20"/>
      <c r="G62" s="281"/>
      <c r="H62" s="284"/>
      <c r="I62" s="277"/>
      <c r="J62" s="278"/>
      <c r="K62" s="20"/>
      <c r="M62" s="255"/>
      <c r="N62" s="255"/>
      <c r="O62" s="255"/>
      <c r="U62" s="29"/>
      <c r="V62" s="105"/>
      <c r="W62" s="20"/>
      <c r="X62" s="20"/>
    </row>
    <row r="63" spans="2:24" s="28" customFormat="1" ht="13.5" customHeight="1">
      <c r="B63" s="21"/>
      <c r="C63" s="21"/>
      <c r="D63" s="436" t="s">
        <v>951</v>
      </c>
      <c r="E63" s="20">
        <v>278724</v>
      </c>
      <c r="F63" s="20"/>
      <c r="G63" s="281"/>
      <c r="H63" s="284"/>
      <c r="I63" s="277"/>
      <c r="J63" s="278"/>
      <c r="K63" s="20"/>
      <c r="M63" s="255"/>
      <c r="N63" s="255"/>
      <c r="O63" s="255"/>
      <c r="U63" s="29"/>
      <c r="V63" s="105"/>
      <c r="W63" s="20"/>
      <c r="X63" s="20"/>
    </row>
    <row r="64" spans="2:24" s="28" customFormat="1" ht="13.5" customHeight="1">
      <c r="B64" s="21"/>
      <c r="C64" s="21"/>
      <c r="D64" s="283" t="s">
        <v>884</v>
      </c>
      <c r="E64" s="282">
        <v>272022</v>
      </c>
      <c r="F64" s="20"/>
      <c r="G64" s="281"/>
      <c r="H64" s="284"/>
      <c r="I64" s="275"/>
      <c r="J64" s="276"/>
      <c r="K64" s="254"/>
      <c r="M64" s="255"/>
      <c r="N64" s="255"/>
      <c r="O64" s="255"/>
      <c r="U64" s="29"/>
      <c r="V64" s="105"/>
      <c r="W64" s="20"/>
      <c r="X64" s="20"/>
    </row>
    <row r="65" spans="1:24" s="28" customFormat="1" ht="13.5" customHeight="1">
      <c r="B65" s="21"/>
      <c r="C65" s="21"/>
      <c r="D65" s="281" t="s">
        <v>898</v>
      </c>
      <c r="E65" s="282">
        <v>273458</v>
      </c>
      <c r="F65" s="20"/>
      <c r="G65" s="43"/>
      <c r="H65" s="440"/>
      <c r="I65" s="441"/>
      <c r="J65" s="442"/>
      <c r="K65" s="443"/>
      <c r="M65" s="443"/>
      <c r="N65" s="443"/>
      <c r="O65" s="443"/>
      <c r="U65" s="29"/>
      <c r="V65" s="105"/>
      <c r="W65" s="20"/>
      <c r="X65" s="20"/>
    </row>
    <row r="66" spans="1:24" s="28" customFormat="1" ht="13.5" customHeight="1">
      <c r="B66" s="21"/>
      <c r="C66" s="21"/>
      <c r="D66" s="436" t="s">
        <v>952</v>
      </c>
      <c r="E66" s="20">
        <v>239950</v>
      </c>
      <c r="F66" s="20"/>
      <c r="G66" s="43"/>
      <c r="H66" s="440"/>
      <c r="I66" s="441"/>
      <c r="J66" s="442"/>
      <c r="K66" s="443"/>
      <c r="U66" s="29"/>
      <c r="V66" s="105"/>
      <c r="W66" s="20"/>
      <c r="X66" s="20"/>
    </row>
    <row r="67" spans="1:24" s="28" customFormat="1" ht="13.5" customHeight="1">
      <c r="B67" s="21"/>
      <c r="C67" s="21"/>
      <c r="D67" s="281" t="s">
        <v>898</v>
      </c>
      <c r="E67" s="282">
        <v>273458</v>
      </c>
      <c r="F67" s="20"/>
      <c r="G67" s="281"/>
      <c r="H67" s="284"/>
      <c r="I67" s="437"/>
      <c r="J67" s="444"/>
      <c r="K67" s="255"/>
      <c r="M67" s="255"/>
      <c r="N67" s="255"/>
      <c r="O67" s="255"/>
      <c r="U67" s="29"/>
      <c r="V67" s="105"/>
      <c r="W67" s="20"/>
      <c r="X67" s="20"/>
    </row>
    <row r="68" spans="1:24" s="28" customFormat="1" ht="13.5" customHeight="1">
      <c r="B68" s="21"/>
      <c r="C68" s="21"/>
      <c r="D68" s="281" t="s">
        <v>896</v>
      </c>
      <c r="E68" s="282">
        <v>273459</v>
      </c>
      <c r="F68" s="20"/>
      <c r="G68" s="281"/>
      <c r="H68" s="284"/>
      <c r="I68" s="275"/>
      <c r="J68" s="279"/>
      <c r="K68" s="254"/>
      <c r="M68" s="255"/>
      <c r="N68" s="255"/>
      <c r="O68" s="255"/>
      <c r="U68" s="29"/>
      <c r="V68" s="105"/>
      <c r="W68" s="20"/>
      <c r="X68" s="20"/>
    </row>
    <row r="69" spans="1:24" s="28" customFormat="1" ht="13.5" customHeight="1">
      <c r="B69" s="21"/>
      <c r="C69" s="21"/>
      <c r="D69" s="514" t="s">
        <v>954</v>
      </c>
      <c r="E69" s="20">
        <v>279329</v>
      </c>
      <c r="F69" s="20"/>
      <c r="G69" s="281"/>
      <c r="H69" s="284"/>
      <c r="I69" s="437"/>
      <c r="J69" s="438"/>
      <c r="K69" s="255"/>
      <c r="M69" s="255"/>
      <c r="N69" s="255"/>
      <c r="O69" s="255"/>
      <c r="U69" s="29"/>
      <c r="V69" s="105"/>
      <c r="W69" s="20"/>
      <c r="X69" s="20"/>
    </row>
    <row r="70" spans="1:24" s="28" customFormat="1" ht="13.5" customHeight="1">
      <c r="B70" s="21"/>
      <c r="C70" s="21"/>
      <c r="D70" s="436" t="s">
        <v>895</v>
      </c>
      <c r="E70" s="1">
        <v>222604</v>
      </c>
      <c r="F70" s="20"/>
      <c r="G70" s="281"/>
      <c r="H70" s="284"/>
      <c r="I70" s="437"/>
      <c r="J70" s="438"/>
      <c r="K70" s="255"/>
      <c r="M70" s="255"/>
      <c r="N70" s="255"/>
      <c r="O70" s="255"/>
      <c r="U70" s="29"/>
      <c r="V70" s="105"/>
      <c r="W70" s="20"/>
      <c r="X70" s="20"/>
    </row>
    <row r="71" spans="1:24" s="43" customFormat="1" ht="14.25" thickBot="1">
      <c r="A71"/>
      <c r="B71" s="1"/>
      <c r="C71" s="1"/>
      <c r="D71"/>
      <c r="E71" s="1"/>
      <c r="F71" s="1"/>
      <c r="G71"/>
      <c r="H71"/>
      <c r="I71" s="260"/>
      <c r="J71" s="261"/>
      <c r="K71" s="1"/>
      <c r="L71"/>
      <c r="M71"/>
      <c r="N71"/>
      <c r="O71"/>
      <c r="P71"/>
      <c r="Q71"/>
      <c r="R71"/>
      <c r="S71"/>
      <c r="T71"/>
      <c r="U71" s="42"/>
      <c r="V71" s="100"/>
    </row>
    <row r="72" spans="1:24" s="43" customFormat="1" ht="18" customHeight="1" thickBot="1">
      <c r="A72"/>
      <c r="B72" s="1"/>
      <c r="C72" s="1"/>
      <c r="D72" s="604"/>
      <c r="E72" s="605"/>
      <c r="F72" s="1"/>
      <c r="G72"/>
      <c r="H72"/>
      <c r="I72" s="12"/>
      <c r="J72" s="15"/>
      <c r="K72" s="1"/>
      <c r="L72"/>
      <c r="M72"/>
      <c r="N72"/>
      <c r="O72"/>
      <c r="P72"/>
      <c r="Q72"/>
      <c r="R72"/>
      <c r="S72"/>
      <c r="T72"/>
      <c r="U72" s="42"/>
      <c r="V72" s="100"/>
    </row>
    <row r="73" spans="1:24" s="28" customFormat="1" ht="16.5" customHeight="1">
      <c r="D73" s="329" t="s">
        <v>27</v>
      </c>
      <c r="E73" s="330" t="s">
        <v>23</v>
      </c>
      <c r="F73" s="331" t="s">
        <v>28</v>
      </c>
      <c r="G73" s="332" t="s">
        <v>28</v>
      </c>
      <c r="H73" s="332" t="s">
        <v>28</v>
      </c>
      <c r="I73" s="333" t="s">
        <v>29</v>
      </c>
      <c r="J73" s="334" t="s">
        <v>30</v>
      </c>
      <c r="K73" s="335" t="s">
        <v>31</v>
      </c>
      <c r="L73" s="335" t="s">
        <v>32</v>
      </c>
      <c r="M73" s="335" t="s">
        <v>33</v>
      </c>
      <c r="U73" s="29"/>
      <c r="V73" s="100"/>
    </row>
    <row r="74" spans="1:24" s="28" customFormat="1" ht="16.5" customHeight="1">
      <c r="B74" s="20"/>
      <c r="C74" s="20"/>
      <c r="D74" s="254"/>
      <c r="E74" s="379">
        <v>144165</v>
      </c>
      <c r="F74" s="395" t="s">
        <v>750</v>
      </c>
      <c r="G74" s="396"/>
      <c r="H74" s="397"/>
      <c r="I74" s="383">
        <v>31200</v>
      </c>
      <c r="J74" s="398">
        <v>144165</v>
      </c>
      <c r="K74" s="399" t="s">
        <v>70</v>
      </c>
      <c r="L74" s="399" t="s">
        <v>34</v>
      </c>
      <c r="M74" s="399">
        <v>20</v>
      </c>
      <c r="N74" s="356">
        <v>34300</v>
      </c>
      <c r="O74" s="28" t="b">
        <f t="shared" ref="O74:O79" si="16">I74=N74</f>
        <v>0</v>
      </c>
    </row>
    <row r="75" spans="1:24" s="28" customFormat="1" ht="16.5" customHeight="1">
      <c r="B75" s="20"/>
      <c r="C75" s="20"/>
      <c r="D75" s="254"/>
      <c r="E75" s="379">
        <v>144166</v>
      </c>
      <c r="F75" s="395" t="s">
        <v>748</v>
      </c>
      <c r="G75" s="396"/>
      <c r="H75" s="397"/>
      <c r="I75" s="383">
        <v>289000</v>
      </c>
      <c r="J75" s="398">
        <v>144166</v>
      </c>
      <c r="K75" s="399" t="s">
        <v>71</v>
      </c>
      <c r="L75" s="399" t="s">
        <v>34</v>
      </c>
      <c r="M75" s="399">
        <v>200</v>
      </c>
      <c r="N75" s="356">
        <v>318000</v>
      </c>
      <c r="O75" s="28" t="b">
        <f t="shared" si="16"/>
        <v>0</v>
      </c>
    </row>
    <row r="76" spans="1:24" s="28" customFormat="1" ht="16.5" customHeight="1">
      <c r="B76" s="20"/>
      <c r="C76" s="20"/>
      <c r="D76" s="254"/>
      <c r="E76" s="379">
        <v>144167</v>
      </c>
      <c r="F76" s="395" t="s">
        <v>745</v>
      </c>
      <c r="G76" s="396"/>
      <c r="H76" s="397"/>
      <c r="I76" s="383">
        <v>31200</v>
      </c>
      <c r="J76" s="398">
        <v>144167</v>
      </c>
      <c r="K76" s="399" t="s">
        <v>70</v>
      </c>
      <c r="L76" s="399" t="s">
        <v>34</v>
      </c>
      <c r="M76" s="399">
        <v>20</v>
      </c>
      <c r="N76" s="356">
        <v>34300</v>
      </c>
      <c r="O76" s="28" t="b">
        <f t="shared" si="16"/>
        <v>0</v>
      </c>
    </row>
    <row r="77" spans="1:24" s="28" customFormat="1" ht="16.5" customHeight="1">
      <c r="B77" s="20"/>
      <c r="C77" s="20"/>
      <c r="D77" s="254"/>
      <c r="E77" s="379">
        <v>144168</v>
      </c>
      <c r="F77" s="395" t="s">
        <v>744</v>
      </c>
      <c r="G77" s="396"/>
      <c r="H77" s="397"/>
      <c r="I77" s="383">
        <v>289000</v>
      </c>
      <c r="J77" s="398">
        <v>144168</v>
      </c>
      <c r="K77" s="399" t="s">
        <v>71</v>
      </c>
      <c r="L77" s="399" t="s">
        <v>34</v>
      </c>
      <c r="M77" s="399">
        <v>200</v>
      </c>
      <c r="N77" s="356">
        <v>318000</v>
      </c>
      <c r="O77" s="28" t="b">
        <f t="shared" si="16"/>
        <v>0</v>
      </c>
    </row>
    <row r="78" spans="1:24" s="28" customFormat="1" ht="16.5" customHeight="1">
      <c r="B78" s="20"/>
      <c r="C78" s="20"/>
      <c r="D78" s="254"/>
      <c r="E78" s="379">
        <v>144169</v>
      </c>
      <c r="F78" s="395" t="s">
        <v>751</v>
      </c>
      <c r="G78" s="396"/>
      <c r="H78" s="397"/>
      <c r="I78" s="383">
        <v>33900</v>
      </c>
      <c r="J78" s="398">
        <v>144169</v>
      </c>
      <c r="K78" s="399" t="s">
        <v>70</v>
      </c>
      <c r="L78" s="399" t="s">
        <v>34</v>
      </c>
      <c r="M78" s="399">
        <v>20</v>
      </c>
      <c r="N78" s="356">
        <v>35300</v>
      </c>
      <c r="O78" s="28" t="b">
        <f t="shared" si="16"/>
        <v>0</v>
      </c>
    </row>
    <row r="79" spans="1:24" s="28" customFormat="1" ht="16.5" customHeight="1">
      <c r="B79" s="20"/>
      <c r="C79" s="20"/>
      <c r="D79" s="254"/>
      <c r="E79" s="379">
        <v>144170</v>
      </c>
      <c r="F79" s="395" t="s">
        <v>752</v>
      </c>
      <c r="G79" s="396"/>
      <c r="H79" s="397"/>
      <c r="I79" s="383">
        <v>314000</v>
      </c>
      <c r="J79" s="398">
        <v>144170</v>
      </c>
      <c r="K79" s="399" t="s">
        <v>71</v>
      </c>
      <c r="L79" s="399" t="s">
        <v>34</v>
      </c>
      <c r="M79" s="399">
        <v>200</v>
      </c>
      <c r="N79" s="356">
        <v>328000</v>
      </c>
      <c r="O79" s="28" t="b">
        <f t="shared" si="16"/>
        <v>0</v>
      </c>
    </row>
    <row r="80" spans="1:24" s="28" customFormat="1" ht="16.5" customHeight="1">
      <c r="B80" s="20"/>
      <c r="C80" s="20"/>
      <c r="D80" s="255"/>
      <c r="E80" s="379">
        <v>135916</v>
      </c>
      <c r="F80" s="395" t="s">
        <v>516</v>
      </c>
      <c r="G80" s="460"/>
      <c r="H80" s="461"/>
      <c r="I80" s="462">
        <v>520000</v>
      </c>
      <c r="J80" s="398">
        <v>135916</v>
      </c>
      <c r="K80" s="399" t="s">
        <v>71</v>
      </c>
      <c r="L80" s="399" t="s">
        <v>34</v>
      </c>
      <c r="M80" s="399">
        <v>200</v>
      </c>
      <c r="N80" s="356">
        <v>547000</v>
      </c>
      <c r="O80" s="28" t="b">
        <v>1</v>
      </c>
    </row>
    <row r="81" spans="2:15" s="28" customFormat="1" ht="16.5" customHeight="1">
      <c r="B81" s="20"/>
      <c r="C81" s="20"/>
      <c r="D81" s="255"/>
      <c r="E81" s="379">
        <v>139029</v>
      </c>
      <c r="F81" s="395" t="s">
        <v>574</v>
      </c>
      <c r="G81" s="460"/>
      <c r="H81" s="461"/>
      <c r="I81" s="462">
        <v>508000</v>
      </c>
      <c r="J81" s="398">
        <v>139029</v>
      </c>
      <c r="K81" s="399" t="s">
        <v>71</v>
      </c>
      <c r="L81" s="399" t="s">
        <v>34</v>
      </c>
      <c r="M81" s="399">
        <v>200</v>
      </c>
      <c r="N81" s="356">
        <v>535000</v>
      </c>
      <c r="O81" s="28" t="b">
        <v>1</v>
      </c>
    </row>
    <row r="82" spans="2:15" s="28" customFormat="1" ht="16.5" customHeight="1">
      <c r="B82" s="20"/>
      <c r="C82" s="20"/>
      <c r="D82" s="255"/>
      <c r="E82" s="379">
        <v>139030</v>
      </c>
      <c r="F82" s="395" t="s">
        <v>236</v>
      </c>
      <c r="G82" s="460"/>
      <c r="H82" s="461"/>
      <c r="I82" s="462">
        <v>54300</v>
      </c>
      <c r="J82" s="398">
        <v>139030</v>
      </c>
      <c r="K82" s="399" t="s">
        <v>70</v>
      </c>
      <c r="L82" s="399" t="s">
        <v>34</v>
      </c>
      <c r="M82" s="399">
        <v>20</v>
      </c>
      <c r="N82" s="356">
        <v>54500</v>
      </c>
      <c r="O82" s="28" t="b">
        <v>1</v>
      </c>
    </row>
    <row r="83" spans="2:15" s="28" customFormat="1" ht="16.5" customHeight="1">
      <c r="B83" s="20"/>
      <c r="C83" s="20"/>
      <c r="D83" s="255"/>
      <c r="E83" s="379">
        <v>139084</v>
      </c>
      <c r="F83" s="395" t="s">
        <v>243</v>
      </c>
      <c r="G83" s="463"/>
      <c r="H83" s="464"/>
      <c r="I83" s="462">
        <v>55700</v>
      </c>
      <c r="J83" s="399">
        <v>139084</v>
      </c>
      <c r="K83" s="399" t="s">
        <v>70</v>
      </c>
      <c r="L83" s="399" t="s">
        <v>34</v>
      </c>
      <c r="M83" s="399">
        <v>20</v>
      </c>
      <c r="N83" s="356">
        <v>58600</v>
      </c>
      <c r="O83" s="28" t="b">
        <v>1</v>
      </c>
    </row>
    <row r="84" spans="2:15" s="28" customFormat="1" ht="16.5" customHeight="1">
      <c r="B84" s="20"/>
      <c r="C84" s="20"/>
      <c r="D84" s="255"/>
      <c r="E84" s="379">
        <v>139085</v>
      </c>
      <c r="F84" s="395" t="s">
        <v>593</v>
      </c>
      <c r="G84" s="463"/>
      <c r="H84" s="464"/>
      <c r="I84" s="462">
        <v>508000</v>
      </c>
      <c r="J84" s="398">
        <v>139085</v>
      </c>
      <c r="K84" s="399" t="s">
        <v>71</v>
      </c>
      <c r="L84" s="399" t="s">
        <v>34</v>
      </c>
      <c r="M84" s="399">
        <v>200</v>
      </c>
      <c r="N84" s="356">
        <v>535000</v>
      </c>
      <c r="O84" s="28" t="b">
        <v>1</v>
      </c>
    </row>
    <row r="85" spans="2:15" s="28" customFormat="1" ht="16.5" customHeight="1">
      <c r="B85" s="20"/>
      <c r="C85" s="20"/>
      <c r="D85" s="255"/>
      <c r="E85" s="379">
        <v>139086</v>
      </c>
      <c r="F85" s="395" t="s">
        <v>226</v>
      </c>
      <c r="G85" s="463"/>
      <c r="H85" s="464"/>
      <c r="I85" s="462">
        <v>54300</v>
      </c>
      <c r="J85" s="398">
        <v>139086</v>
      </c>
      <c r="K85" s="399" t="s">
        <v>70</v>
      </c>
      <c r="L85" s="399" t="s">
        <v>34</v>
      </c>
      <c r="M85" s="399">
        <v>20</v>
      </c>
      <c r="N85" s="356">
        <v>54500</v>
      </c>
      <c r="O85" s="28" t="b">
        <v>1</v>
      </c>
    </row>
    <row r="86" spans="2:15" s="28" customFormat="1" ht="16.5" customHeight="1">
      <c r="B86" s="20"/>
      <c r="C86" s="20"/>
      <c r="D86" s="255"/>
      <c r="E86" s="379">
        <v>139087</v>
      </c>
      <c r="F86" s="395" t="s">
        <v>594</v>
      </c>
      <c r="G86" s="463"/>
      <c r="H86" s="464"/>
      <c r="I86" s="462">
        <v>520000</v>
      </c>
      <c r="J86" s="398">
        <v>139087</v>
      </c>
      <c r="K86" s="399" t="s">
        <v>71</v>
      </c>
      <c r="L86" s="399" t="s">
        <v>34</v>
      </c>
      <c r="M86" s="399">
        <v>200</v>
      </c>
      <c r="N86" s="356">
        <v>547000</v>
      </c>
      <c r="O86" s="28" t="b">
        <v>1</v>
      </c>
    </row>
    <row r="87" spans="2:15" s="28" customFormat="1" ht="16.5" customHeight="1">
      <c r="B87" s="20"/>
      <c r="C87" s="20"/>
      <c r="D87" s="255"/>
      <c r="E87" s="379">
        <v>139088</v>
      </c>
      <c r="F87" s="395" t="s">
        <v>234</v>
      </c>
      <c r="G87" s="463"/>
      <c r="H87" s="464"/>
      <c r="I87" s="462">
        <v>55700</v>
      </c>
      <c r="J87" s="398">
        <v>139088</v>
      </c>
      <c r="K87" s="399" t="s">
        <v>70</v>
      </c>
      <c r="L87" s="399" t="s">
        <v>34</v>
      </c>
      <c r="M87" s="399">
        <v>20</v>
      </c>
      <c r="N87" s="356">
        <v>58600</v>
      </c>
      <c r="O87" s="28" t="b">
        <v>1</v>
      </c>
    </row>
    <row r="88" spans="2:15" s="28" customFormat="1" ht="16.5" customHeight="1">
      <c r="B88" s="20"/>
      <c r="C88" s="20"/>
      <c r="D88" s="255"/>
      <c r="E88" s="379">
        <v>147133</v>
      </c>
      <c r="F88" s="395" t="s">
        <v>1058</v>
      </c>
      <c r="G88" s="460"/>
      <c r="H88" s="461"/>
      <c r="I88" s="462">
        <v>1198000</v>
      </c>
      <c r="J88" s="398">
        <v>147133</v>
      </c>
      <c r="K88" s="399" t="s">
        <v>71</v>
      </c>
      <c r="L88" s="399" t="s">
        <v>34</v>
      </c>
      <c r="M88" s="399">
        <v>200</v>
      </c>
      <c r="N88" s="356"/>
    </row>
    <row r="89" spans="2:15" s="28" customFormat="1" ht="16.5" customHeight="1">
      <c r="B89" s="20"/>
      <c r="C89" s="20"/>
      <c r="D89" s="254"/>
      <c r="E89" s="379">
        <v>120645</v>
      </c>
      <c r="F89" s="380" t="s">
        <v>53</v>
      </c>
      <c r="G89" s="381"/>
      <c r="H89" s="382"/>
      <c r="I89" s="383">
        <v>2213000</v>
      </c>
      <c r="J89" s="384">
        <v>120645</v>
      </c>
      <c r="K89" s="378" t="s">
        <v>71</v>
      </c>
      <c r="L89" s="378" t="s">
        <v>78</v>
      </c>
      <c r="M89" s="378">
        <v>200</v>
      </c>
      <c r="N89" s="356">
        <v>2213000</v>
      </c>
      <c r="O89" s="28" t="b">
        <f>I89=N89</f>
        <v>1</v>
      </c>
    </row>
    <row r="90" spans="2:15" s="28" customFormat="1" ht="16.5" customHeight="1">
      <c r="B90" s="20"/>
      <c r="C90" s="20"/>
      <c r="D90" s="254"/>
      <c r="E90" s="379">
        <v>122916</v>
      </c>
      <c r="F90" s="380" t="s">
        <v>54</v>
      </c>
      <c r="G90" s="381"/>
      <c r="H90" s="382"/>
      <c r="I90" s="383">
        <v>140000</v>
      </c>
      <c r="J90" s="384">
        <v>122916</v>
      </c>
      <c r="K90" s="378" t="s">
        <v>72</v>
      </c>
      <c r="L90" s="378" t="s">
        <v>78</v>
      </c>
      <c r="M90" s="378">
        <v>12</v>
      </c>
      <c r="N90" s="356">
        <v>140000</v>
      </c>
      <c r="O90" s="28" t="b">
        <f t="shared" ref="O90:O153" si="17">I90=N90</f>
        <v>1</v>
      </c>
    </row>
    <row r="91" spans="2:15" s="28" customFormat="1" ht="16.5" customHeight="1">
      <c r="B91" s="20"/>
      <c r="C91" s="20"/>
      <c r="D91" s="254"/>
      <c r="E91" s="379">
        <v>129171</v>
      </c>
      <c r="F91" s="380" t="s">
        <v>58</v>
      </c>
      <c r="G91" s="381"/>
      <c r="H91" s="382"/>
      <c r="I91" s="383">
        <v>59700</v>
      </c>
      <c r="J91" s="384">
        <v>129171</v>
      </c>
      <c r="K91" s="378" t="s">
        <v>70</v>
      </c>
      <c r="L91" s="378" t="s">
        <v>0</v>
      </c>
      <c r="M91" s="378">
        <v>20</v>
      </c>
      <c r="N91" s="356">
        <v>59700</v>
      </c>
      <c r="O91" s="28" t="b">
        <f t="shared" si="17"/>
        <v>1</v>
      </c>
    </row>
    <row r="92" spans="2:15" s="28" customFormat="1" ht="16.5" customHeight="1">
      <c r="B92" s="20"/>
      <c r="C92" s="20"/>
      <c r="D92" s="254"/>
      <c r="E92" s="379">
        <v>129174</v>
      </c>
      <c r="F92" s="380" t="s">
        <v>60</v>
      </c>
      <c r="G92" s="381"/>
      <c r="H92" s="382"/>
      <c r="I92" s="383">
        <v>70200</v>
      </c>
      <c r="J92" s="384">
        <v>129174</v>
      </c>
      <c r="K92" s="378" t="s">
        <v>70</v>
      </c>
      <c r="L92" s="378" t="s">
        <v>0</v>
      </c>
      <c r="M92" s="378">
        <v>20</v>
      </c>
      <c r="N92" s="356">
        <v>70200</v>
      </c>
      <c r="O92" s="28" t="b">
        <f t="shared" si="17"/>
        <v>1</v>
      </c>
    </row>
    <row r="93" spans="2:15" s="28" customFormat="1" ht="16.5" customHeight="1">
      <c r="B93" s="20"/>
      <c r="C93" s="20"/>
      <c r="D93" s="254"/>
      <c r="E93" s="379">
        <v>134989</v>
      </c>
      <c r="F93" s="380" t="s">
        <v>42</v>
      </c>
      <c r="G93" s="381"/>
      <c r="H93" s="382"/>
      <c r="I93" s="383">
        <v>90900</v>
      </c>
      <c r="J93" s="384">
        <v>134989</v>
      </c>
      <c r="K93" s="378" t="s">
        <v>70</v>
      </c>
      <c r="L93" s="378" t="s">
        <v>0</v>
      </c>
      <c r="M93" s="378">
        <v>20</v>
      </c>
      <c r="N93" s="356">
        <v>90900</v>
      </c>
      <c r="O93" s="28" t="b">
        <f t="shared" si="17"/>
        <v>1</v>
      </c>
    </row>
    <row r="94" spans="2:15" s="28" customFormat="1" ht="16.5" customHeight="1">
      <c r="B94" s="20"/>
      <c r="C94" s="20"/>
      <c r="D94" s="254"/>
      <c r="E94" s="379">
        <v>135691</v>
      </c>
      <c r="F94" s="380" t="s">
        <v>62</v>
      </c>
      <c r="G94" s="381"/>
      <c r="H94" s="382"/>
      <c r="I94" s="383">
        <v>91100</v>
      </c>
      <c r="J94" s="384">
        <v>135691</v>
      </c>
      <c r="K94" s="378" t="s">
        <v>70</v>
      </c>
      <c r="L94" s="378" t="s">
        <v>0</v>
      </c>
      <c r="M94" s="378">
        <v>20</v>
      </c>
      <c r="N94" s="356">
        <v>91100</v>
      </c>
      <c r="O94" s="28" t="b">
        <f t="shared" si="17"/>
        <v>1</v>
      </c>
    </row>
    <row r="95" spans="2:15" s="28" customFormat="1" ht="16.5" customHeight="1">
      <c r="B95" s="20"/>
      <c r="C95" s="20"/>
      <c r="D95" s="254"/>
      <c r="E95" s="379">
        <v>138838</v>
      </c>
      <c r="F95" s="380" t="s">
        <v>40</v>
      </c>
      <c r="G95" s="381"/>
      <c r="H95" s="382"/>
      <c r="I95" s="383">
        <v>615000</v>
      </c>
      <c r="J95" s="384">
        <v>138838</v>
      </c>
      <c r="K95" s="378" t="s">
        <v>71</v>
      </c>
      <c r="L95" s="378" t="s">
        <v>0</v>
      </c>
      <c r="M95" s="378">
        <v>200</v>
      </c>
      <c r="N95" s="356">
        <v>615000</v>
      </c>
      <c r="O95" s="28" t="b">
        <f t="shared" si="17"/>
        <v>1</v>
      </c>
    </row>
    <row r="96" spans="2:15" s="28" customFormat="1" ht="16.5" customHeight="1">
      <c r="B96" s="20"/>
      <c r="C96" s="20"/>
      <c r="D96" s="254"/>
      <c r="E96" s="379">
        <v>138840</v>
      </c>
      <c r="F96" s="380" t="s">
        <v>87</v>
      </c>
      <c r="G96" s="381"/>
      <c r="H96" s="382"/>
      <c r="I96" s="383">
        <v>65600</v>
      </c>
      <c r="J96" s="384">
        <v>138840</v>
      </c>
      <c r="K96" s="378" t="s">
        <v>70</v>
      </c>
      <c r="L96" s="378" t="s">
        <v>0</v>
      </c>
      <c r="M96" s="378">
        <v>20</v>
      </c>
      <c r="N96" s="356">
        <v>65600</v>
      </c>
      <c r="O96" s="28" t="b">
        <f t="shared" si="17"/>
        <v>1</v>
      </c>
    </row>
    <row r="97" spans="2:15" s="28" customFormat="1" ht="16.5" customHeight="1">
      <c r="B97" s="20"/>
      <c r="C97" s="20"/>
      <c r="D97" s="254"/>
      <c r="E97" s="379">
        <v>138851</v>
      </c>
      <c r="F97" s="380" t="s">
        <v>48</v>
      </c>
      <c r="G97" s="381"/>
      <c r="H97" s="382"/>
      <c r="I97" s="383">
        <v>1193000</v>
      </c>
      <c r="J97" s="384">
        <v>138851</v>
      </c>
      <c r="K97" s="378" t="s">
        <v>71</v>
      </c>
      <c r="L97" s="378" t="s">
        <v>0</v>
      </c>
      <c r="M97" s="378">
        <v>208</v>
      </c>
      <c r="N97" s="356">
        <v>1193000</v>
      </c>
      <c r="O97" s="28" t="b">
        <f t="shared" si="17"/>
        <v>1</v>
      </c>
    </row>
    <row r="98" spans="2:15" s="28" customFormat="1" ht="16.5" customHeight="1">
      <c r="B98" s="20"/>
      <c r="C98" s="20"/>
      <c r="D98" s="254"/>
      <c r="E98" s="379">
        <v>138889</v>
      </c>
      <c r="F98" s="380" t="s">
        <v>55</v>
      </c>
      <c r="G98" s="381"/>
      <c r="H98" s="382"/>
      <c r="I98" s="383">
        <v>520000</v>
      </c>
      <c r="J98" s="384">
        <v>138889</v>
      </c>
      <c r="K98" s="378" t="s">
        <v>71</v>
      </c>
      <c r="L98" s="378" t="s">
        <v>0</v>
      </c>
      <c r="M98" s="378">
        <v>200</v>
      </c>
      <c r="N98" s="356">
        <v>520000</v>
      </c>
      <c r="O98" s="28" t="b">
        <f t="shared" si="17"/>
        <v>1</v>
      </c>
    </row>
    <row r="99" spans="2:15" s="28" customFormat="1" ht="16.5" customHeight="1">
      <c r="B99" s="20"/>
      <c r="C99" s="20"/>
      <c r="D99" s="254"/>
      <c r="E99" s="379">
        <v>138890</v>
      </c>
      <c r="F99" s="380" t="s">
        <v>56</v>
      </c>
      <c r="G99" s="381"/>
      <c r="H99" s="382"/>
      <c r="I99" s="383">
        <v>54000</v>
      </c>
      <c r="J99" s="384">
        <v>138890</v>
      </c>
      <c r="K99" s="378" t="s">
        <v>70</v>
      </c>
      <c r="L99" s="378" t="s">
        <v>0</v>
      </c>
      <c r="M99" s="378">
        <v>20</v>
      </c>
      <c r="N99" s="356">
        <v>54000</v>
      </c>
      <c r="O99" s="28" t="b">
        <f t="shared" si="17"/>
        <v>1</v>
      </c>
    </row>
    <row r="100" spans="2:15" s="28" customFormat="1" ht="16.5" customHeight="1">
      <c r="B100" s="20"/>
      <c r="C100" s="20"/>
      <c r="D100" s="254"/>
      <c r="E100" s="379">
        <v>138893</v>
      </c>
      <c r="F100" s="380" t="s">
        <v>57</v>
      </c>
      <c r="G100" s="381"/>
      <c r="H100" s="382"/>
      <c r="I100" s="383">
        <v>552000</v>
      </c>
      <c r="J100" s="384">
        <v>138893</v>
      </c>
      <c r="K100" s="378" t="s">
        <v>71</v>
      </c>
      <c r="L100" s="378" t="s">
        <v>0</v>
      </c>
      <c r="M100" s="378">
        <v>200</v>
      </c>
      <c r="N100" s="356">
        <v>552000</v>
      </c>
      <c r="O100" s="28" t="b">
        <f t="shared" si="17"/>
        <v>1</v>
      </c>
    </row>
    <row r="101" spans="2:15" s="28" customFormat="1" ht="16.5" customHeight="1">
      <c r="B101" s="20"/>
      <c r="C101" s="20"/>
      <c r="D101" s="254"/>
      <c r="E101" s="379">
        <v>138895</v>
      </c>
      <c r="F101" s="380" t="s">
        <v>59</v>
      </c>
      <c r="G101" s="381"/>
      <c r="H101" s="382"/>
      <c r="I101" s="383">
        <v>662000</v>
      </c>
      <c r="J101" s="384">
        <v>138895</v>
      </c>
      <c r="K101" s="378" t="s">
        <v>71</v>
      </c>
      <c r="L101" s="378" t="s">
        <v>0</v>
      </c>
      <c r="M101" s="378">
        <v>200</v>
      </c>
      <c r="N101" s="356">
        <v>662000</v>
      </c>
      <c r="O101" s="28" t="b">
        <f t="shared" si="17"/>
        <v>1</v>
      </c>
    </row>
    <row r="102" spans="2:15" s="28" customFormat="1" ht="16.5" customHeight="1">
      <c r="B102" s="20"/>
      <c r="C102" s="20"/>
      <c r="D102" s="254"/>
      <c r="E102" s="379">
        <v>138897</v>
      </c>
      <c r="F102" s="380" t="s">
        <v>61</v>
      </c>
      <c r="G102" s="381"/>
      <c r="H102" s="382"/>
      <c r="I102" s="383">
        <v>885000</v>
      </c>
      <c r="J102" s="384">
        <v>138897</v>
      </c>
      <c r="K102" s="378" t="s">
        <v>71</v>
      </c>
      <c r="L102" s="378" t="s">
        <v>0</v>
      </c>
      <c r="M102" s="378">
        <v>200</v>
      </c>
      <c r="N102" s="356">
        <v>885000</v>
      </c>
      <c r="O102" s="28" t="b">
        <f t="shared" si="17"/>
        <v>1</v>
      </c>
    </row>
    <row r="103" spans="2:15" s="28" customFormat="1" ht="16.5" customHeight="1">
      <c r="B103" s="20"/>
      <c r="C103" s="20"/>
      <c r="D103" s="254"/>
      <c r="E103" s="379">
        <v>138898</v>
      </c>
      <c r="F103" s="380" t="s">
        <v>63</v>
      </c>
      <c r="G103" s="381"/>
      <c r="H103" s="382"/>
      <c r="I103" s="383">
        <v>755000</v>
      </c>
      <c r="J103" s="384">
        <v>138898</v>
      </c>
      <c r="K103" s="378" t="s">
        <v>71</v>
      </c>
      <c r="L103" s="378" t="s">
        <v>0</v>
      </c>
      <c r="M103" s="378">
        <v>200</v>
      </c>
      <c r="N103" s="356">
        <v>755000</v>
      </c>
      <c r="O103" s="28" t="b">
        <f t="shared" si="17"/>
        <v>1</v>
      </c>
    </row>
    <row r="104" spans="2:15" s="28" customFormat="1" ht="16.5" customHeight="1">
      <c r="B104" s="20"/>
      <c r="C104" s="20"/>
      <c r="D104" s="254"/>
      <c r="E104" s="379">
        <v>138899</v>
      </c>
      <c r="F104" s="380" t="s">
        <v>64</v>
      </c>
      <c r="G104" s="381"/>
      <c r="H104" s="382"/>
      <c r="I104" s="383">
        <v>78100</v>
      </c>
      <c r="J104" s="384">
        <v>138899</v>
      </c>
      <c r="K104" s="378" t="s">
        <v>70</v>
      </c>
      <c r="L104" s="378" t="s">
        <v>0</v>
      </c>
      <c r="M104" s="378">
        <v>20</v>
      </c>
      <c r="N104" s="356">
        <v>78100</v>
      </c>
      <c r="O104" s="28" t="b">
        <f t="shared" si="17"/>
        <v>1</v>
      </c>
    </row>
    <row r="105" spans="2:15" s="28" customFormat="1" ht="16.5" customHeight="1">
      <c r="B105" s="20"/>
      <c r="C105" s="20"/>
      <c r="D105" s="254"/>
      <c r="E105" s="379">
        <v>139641</v>
      </c>
      <c r="F105" s="380" t="s">
        <v>90</v>
      </c>
      <c r="G105" s="381"/>
      <c r="H105" s="382"/>
      <c r="I105" s="383">
        <v>43600</v>
      </c>
      <c r="J105" s="384">
        <v>139641</v>
      </c>
      <c r="K105" s="378" t="s">
        <v>73</v>
      </c>
      <c r="L105" s="378" t="s">
        <v>0</v>
      </c>
      <c r="M105" s="378">
        <v>12</v>
      </c>
      <c r="N105" s="356">
        <v>43600</v>
      </c>
      <c r="O105" s="28" t="b">
        <f t="shared" si="17"/>
        <v>1</v>
      </c>
    </row>
    <row r="106" spans="2:15" s="28" customFormat="1" ht="16.5" customHeight="1">
      <c r="B106" s="20"/>
      <c r="C106" s="20"/>
      <c r="D106" s="254"/>
      <c r="E106" s="379">
        <v>139881</v>
      </c>
      <c r="F106" s="385" t="s">
        <v>101</v>
      </c>
      <c r="G106" s="386"/>
      <c r="H106" s="387"/>
      <c r="I106" s="383">
        <v>771000</v>
      </c>
      <c r="J106" s="384">
        <v>139881</v>
      </c>
      <c r="K106" s="378" t="s">
        <v>71</v>
      </c>
      <c r="L106" s="378" t="s">
        <v>78</v>
      </c>
      <c r="M106" s="378">
        <v>200</v>
      </c>
      <c r="N106" s="356">
        <v>771000</v>
      </c>
      <c r="O106" s="28" t="b">
        <f t="shared" si="17"/>
        <v>1</v>
      </c>
    </row>
    <row r="107" spans="2:15" s="28" customFormat="1" ht="16.5" customHeight="1">
      <c r="B107" s="20"/>
      <c r="C107" s="20"/>
      <c r="D107" s="254"/>
      <c r="E107" s="379">
        <v>140382</v>
      </c>
      <c r="F107" s="380" t="s">
        <v>83</v>
      </c>
      <c r="G107" s="381"/>
      <c r="H107" s="382"/>
      <c r="I107" s="383">
        <v>2212000</v>
      </c>
      <c r="J107" s="384">
        <v>140382</v>
      </c>
      <c r="K107" s="378" t="s">
        <v>71</v>
      </c>
      <c r="L107" s="378" t="s">
        <v>0</v>
      </c>
      <c r="M107" s="378">
        <v>208</v>
      </c>
      <c r="N107" s="356">
        <v>2212000</v>
      </c>
      <c r="O107" s="28" t="b">
        <f t="shared" si="17"/>
        <v>1</v>
      </c>
    </row>
    <row r="108" spans="2:15" s="28" customFormat="1" ht="16.5" customHeight="1">
      <c r="B108" s="20"/>
      <c r="C108" s="20"/>
      <c r="D108" s="254"/>
      <c r="E108" s="379">
        <v>140563</v>
      </c>
      <c r="F108" s="388" t="s">
        <v>124</v>
      </c>
      <c r="G108" s="389"/>
      <c r="H108" s="390"/>
      <c r="I108" s="383">
        <v>216000</v>
      </c>
      <c r="J108" s="391">
        <v>140563</v>
      </c>
      <c r="K108" s="392" t="s">
        <v>70</v>
      </c>
      <c r="L108" s="392" t="s">
        <v>0</v>
      </c>
      <c r="M108" s="392">
        <v>16</v>
      </c>
      <c r="N108" s="356">
        <v>216000</v>
      </c>
      <c r="O108" s="28" t="b">
        <f t="shared" si="17"/>
        <v>1</v>
      </c>
    </row>
    <row r="109" spans="2:15" s="28" customFormat="1" ht="16.5" customHeight="1">
      <c r="B109" s="20"/>
      <c r="C109" s="20"/>
      <c r="D109" s="254"/>
      <c r="E109" s="379">
        <v>143003</v>
      </c>
      <c r="F109" s="380" t="s">
        <v>132</v>
      </c>
      <c r="G109" s="381"/>
      <c r="H109" s="382"/>
      <c r="I109" s="383">
        <v>150000</v>
      </c>
      <c r="J109" s="384">
        <v>143003</v>
      </c>
      <c r="K109" s="378" t="s">
        <v>70</v>
      </c>
      <c r="L109" s="378" t="s">
        <v>0</v>
      </c>
      <c r="M109" s="378">
        <v>20</v>
      </c>
      <c r="N109" s="356">
        <v>150000</v>
      </c>
      <c r="O109" s="28" t="b">
        <f t="shared" si="17"/>
        <v>1</v>
      </c>
    </row>
    <row r="110" spans="2:15" s="28" customFormat="1" ht="16.5" customHeight="1">
      <c r="B110" s="20"/>
      <c r="C110" s="20"/>
      <c r="D110" s="254"/>
      <c r="E110" s="379">
        <v>143240</v>
      </c>
      <c r="F110" s="380" t="s">
        <v>746</v>
      </c>
      <c r="G110" s="381"/>
      <c r="H110" s="382"/>
      <c r="I110" s="383">
        <v>107800</v>
      </c>
      <c r="J110" s="384">
        <v>143240</v>
      </c>
      <c r="K110" s="378" t="s">
        <v>73</v>
      </c>
      <c r="L110" s="378" t="s">
        <v>0</v>
      </c>
      <c r="M110" s="378">
        <v>16</v>
      </c>
      <c r="N110" s="356">
        <v>107800</v>
      </c>
      <c r="O110" s="28" t="b">
        <f t="shared" si="17"/>
        <v>1</v>
      </c>
    </row>
    <row r="111" spans="2:15" s="28" customFormat="1" ht="16.5" customHeight="1">
      <c r="B111" s="20"/>
      <c r="C111" s="20"/>
      <c r="D111" s="254"/>
      <c r="E111" s="379">
        <v>138583</v>
      </c>
      <c r="F111" s="380" t="s">
        <v>740</v>
      </c>
      <c r="G111" s="381"/>
      <c r="H111" s="382"/>
      <c r="I111" s="383">
        <v>44600</v>
      </c>
      <c r="J111" s="378">
        <v>138583</v>
      </c>
      <c r="K111" s="378" t="s">
        <v>73</v>
      </c>
      <c r="L111" s="378" t="s">
        <v>741</v>
      </c>
      <c r="M111" s="378">
        <v>12</v>
      </c>
      <c r="N111" s="356" t="e">
        <v>#N/A</v>
      </c>
      <c r="O111" s="28" t="e">
        <f t="shared" si="17"/>
        <v>#N/A</v>
      </c>
    </row>
    <row r="112" spans="2:15" s="28" customFormat="1" ht="16.5" customHeight="1">
      <c r="B112" s="20"/>
      <c r="C112" s="20"/>
      <c r="D112" s="254"/>
      <c r="E112" s="379">
        <v>123205</v>
      </c>
      <c r="F112" s="380" t="s">
        <v>49</v>
      </c>
      <c r="G112" s="381"/>
      <c r="H112" s="382"/>
      <c r="I112" s="383">
        <v>60300</v>
      </c>
      <c r="J112" s="384">
        <v>123205</v>
      </c>
      <c r="K112" s="393" t="s">
        <v>73</v>
      </c>
      <c r="L112" s="378" t="s">
        <v>35</v>
      </c>
      <c r="M112" s="378">
        <v>6</v>
      </c>
      <c r="N112" s="356">
        <v>60300</v>
      </c>
      <c r="O112" s="28" t="b">
        <f t="shared" si="17"/>
        <v>1</v>
      </c>
    </row>
    <row r="113" spans="2:15" s="28" customFormat="1" ht="16.5" customHeight="1">
      <c r="B113" s="20"/>
      <c r="C113" s="20"/>
      <c r="D113" s="254"/>
      <c r="E113" s="379">
        <v>124476</v>
      </c>
      <c r="F113" s="380" t="s">
        <v>52</v>
      </c>
      <c r="G113" s="381"/>
      <c r="H113" s="382"/>
      <c r="I113" s="383">
        <v>63200</v>
      </c>
      <c r="J113" s="384">
        <v>124476</v>
      </c>
      <c r="K113" s="378" t="s">
        <v>70</v>
      </c>
      <c r="L113" s="378" t="s">
        <v>79</v>
      </c>
      <c r="M113" s="378">
        <v>20</v>
      </c>
      <c r="N113" s="356">
        <v>63200</v>
      </c>
      <c r="O113" s="28" t="b">
        <f t="shared" si="17"/>
        <v>1</v>
      </c>
    </row>
    <row r="114" spans="2:15" s="28" customFormat="1" ht="16.5" customHeight="1">
      <c r="B114" s="20"/>
      <c r="C114" s="20"/>
      <c r="D114" s="254"/>
      <c r="E114" s="379">
        <v>135080</v>
      </c>
      <c r="F114" s="380" t="s">
        <v>44</v>
      </c>
      <c r="G114" s="381"/>
      <c r="H114" s="382"/>
      <c r="I114" s="383">
        <v>110000</v>
      </c>
      <c r="J114" s="378">
        <v>135080</v>
      </c>
      <c r="K114" s="393" t="s">
        <v>73</v>
      </c>
      <c r="L114" s="378" t="s">
        <v>35</v>
      </c>
      <c r="M114" s="378">
        <v>12</v>
      </c>
      <c r="N114" s="356">
        <v>110000</v>
      </c>
      <c r="O114" s="28" t="b">
        <f t="shared" si="17"/>
        <v>1</v>
      </c>
    </row>
    <row r="115" spans="2:15" s="28" customFormat="1" ht="16.5" customHeight="1">
      <c r="B115" s="20"/>
      <c r="C115" s="20"/>
      <c r="D115" s="254"/>
      <c r="E115" s="379">
        <v>138806</v>
      </c>
      <c r="F115" s="380" t="s">
        <v>50</v>
      </c>
      <c r="G115" s="381"/>
      <c r="H115" s="382"/>
      <c r="I115" s="383">
        <v>148600</v>
      </c>
      <c r="J115" s="384">
        <v>138806</v>
      </c>
      <c r="K115" s="378" t="s">
        <v>72</v>
      </c>
      <c r="L115" s="378" t="s">
        <v>35</v>
      </c>
      <c r="M115" s="378">
        <v>9.94</v>
      </c>
      <c r="N115" s="356">
        <v>148600</v>
      </c>
      <c r="O115" s="28" t="b">
        <f t="shared" si="17"/>
        <v>1</v>
      </c>
    </row>
    <row r="116" spans="2:15" s="28" customFormat="1" ht="16.5" customHeight="1">
      <c r="B116" s="20"/>
      <c r="C116" s="20"/>
      <c r="D116" s="254"/>
      <c r="E116" s="379">
        <v>138827</v>
      </c>
      <c r="F116" s="380" t="s">
        <v>51</v>
      </c>
      <c r="G116" s="381"/>
      <c r="H116" s="382"/>
      <c r="I116" s="383">
        <v>595000</v>
      </c>
      <c r="J116" s="384">
        <v>138827</v>
      </c>
      <c r="K116" s="378" t="s">
        <v>71</v>
      </c>
      <c r="L116" s="378" t="s">
        <v>35</v>
      </c>
      <c r="M116" s="378">
        <v>200</v>
      </c>
      <c r="N116" s="356">
        <v>595000</v>
      </c>
      <c r="O116" s="28" t="b">
        <f t="shared" si="17"/>
        <v>1</v>
      </c>
    </row>
    <row r="117" spans="2:15" s="28" customFormat="1" ht="16.5" customHeight="1">
      <c r="B117" s="20"/>
      <c r="C117" s="20"/>
      <c r="D117" s="254"/>
      <c r="E117" s="379">
        <v>138888</v>
      </c>
      <c r="F117" s="380" t="s">
        <v>102</v>
      </c>
      <c r="G117" s="381"/>
      <c r="H117" s="382"/>
      <c r="I117" s="383">
        <v>233000</v>
      </c>
      <c r="J117" s="384">
        <v>138888</v>
      </c>
      <c r="K117" s="378" t="s">
        <v>70</v>
      </c>
      <c r="L117" s="378" t="s">
        <v>79</v>
      </c>
      <c r="M117" s="378">
        <v>20</v>
      </c>
      <c r="N117" s="356">
        <v>233000</v>
      </c>
      <c r="O117" s="28" t="b">
        <f t="shared" si="17"/>
        <v>1</v>
      </c>
    </row>
    <row r="118" spans="2:15" s="28" customFormat="1" ht="16.5" customHeight="1">
      <c r="B118" s="20"/>
      <c r="C118" s="20"/>
      <c r="D118" s="254"/>
      <c r="E118" s="379">
        <v>138892</v>
      </c>
      <c r="F118" s="380" t="s">
        <v>85</v>
      </c>
      <c r="G118" s="381"/>
      <c r="H118" s="382"/>
      <c r="I118" s="383">
        <v>46500</v>
      </c>
      <c r="J118" s="384">
        <v>138892</v>
      </c>
      <c r="K118" s="378" t="s">
        <v>72</v>
      </c>
      <c r="L118" s="378" t="s">
        <v>35</v>
      </c>
      <c r="M118" s="378">
        <v>16</v>
      </c>
      <c r="N118" s="356">
        <v>46500</v>
      </c>
      <c r="O118" s="28" t="b">
        <f t="shared" si="17"/>
        <v>1</v>
      </c>
    </row>
    <row r="119" spans="2:15" s="28" customFormat="1" ht="16.5" customHeight="1">
      <c r="B119" s="20"/>
      <c r="C119" s="20"/>
      <c r="D119" s="254"/>
      <c r="E119" s="379">
        <v>142227</v>
      </c>
      <c r="F119" s="380" t="s">
        <v>117</v>
      </c>
      <c r="G119" s="381"/>
      <c r="H119" s="382"/>
      <c r="I119" s="383">
        <v>853000</v>
      </c>
      <c r="J119" s="384">
        <v>142227</v>
      </c>
      <c r="K119" s="378" t="s">
        <v>103</v>
      </c>
      <c r="L119" s="378" t="s">
        <v>35</v>
      </c>
      <c r="M119" s="378">
        <v>200</v>
      </c>
      <c r="N119" s="356" t="e">
        <v>#N/A</v>
      </c>
      <c r="O119" s="28" t="e">
        <f t="shared" si="17"/>
        <v>#N/A</v>
      </c>
    </row>
    <row r="120" spans="2:15" s="28" customFormat="1" ht="16.5" customHeight="1">
      <c r="B120" s="20"/>
      <c r="C120" s="20"/>
      <c r="D120" s="254"/>
      <c r="E120" s="379">
        <v>140169</v>
      </c>
      <c r="F120" s="380" t="s">
        <v>84</v>
      </c>
      <c r="G120" s="381"/>
      <c r="H120" s="382"/>
      <c r="I120" s="383">
        <v>62400</v>
      </c>
      <c r="J120" s="384">
        <v>140169</v>
      </c>
      <c r="K120" s="393" t="s">
        <v>73</v>
      </c>
      <c r="L120" s="378" t="s">
        <v>35</v>
      </c>
      <c r="M120" s="378">
        <v>12</v>
      </c>
      <c r="N120" s="356" t="e">
        <v>#N/A</v>
      </c>
      <c r="O120" s="28" t="e">
        <f t="shared" si="17"/>
        <v>#N/A</v>
      </c>
    </row>
    <row r="121" spans="2:15" s="28" customFormat="1" ht="16.5" customHeight="1">
      <c r="B121" s="20"/>
      <c r="C121" s="20"/>
      <c r="D121" s="254"/>
      <c r="E121" s="379">
        <v>140657</v>
      </c>
      <c r="F121" s="380" t="s">
        <v>43</v>
      </c>
      <c r="G121" s="381"/>
      <c r="H121" s="382"/>
      <c r="I121" s="383">
        <v>118000</v>
      </c>
      <c r="J121" s="384">
        <v>140657</v>
      </c>
      <c r="K121" s="378" t="s">
        <v>73</v>
      </c>
      <c r="L121" s="378" t="s">
        <v>79</v>
      </c>
      <c r="M121" s="378">
        <v>12</v>
      </c>
      <c r="N121" s="356">
        <v>118000</v>
      </c>
      <c r="O121" s="28" t="b">
        <f t="shared" si="17"/>
        <v>1</v>
      </c>
    </row>
    <row r="122" spans="2:15" s="28" customFormat="1" ht="16.5" customHeight="1">
      <c r="B122" s="20"/>
      <c r="C122" s="20"/>
      <c r="D122" s="254"/>
      <c r="E122" s="379">
        <v>140660</v>
      </c>
      <c r="F122" s="380" t="s">
        <v>100</v>
      </c>
      <c r="G122" s="381"/>
      <c r="H122" s="382"/>
      <c r="I122" s="383">
        <v>118000</v>
      </c>
      <c r="J122" s="384">
        <v>140660</v>
      </c>
      <c r="K122" s="378" t="s">
        <v>73</v>
      </c>
      <c r="L122" s="378" t="s">
        <v>79</v>
      </c>
      <c r="M122" s="378">
        <v>12</v>
      </c>
      <c r="N122" s="356">
        <v>118000</v>
      </c>
      <c r="O122" s="28" t="b">
        <f t="shared" si="17"/>
        <v>1</v>
      </c>
    </row>
    <row r="123" spans="2:15" s="28" customFormat="1" ht="16.5" customHeight="1">
      <c r="B123" s="20"/>
      <c r="C123" s="20"/>
      <c r="D123" s="254"/>
      <c r="E123" s="379">
        <v>140661</v>
      </c>
      <c r="F123" s="380" t="s">
        <v>106</v>
      </c>
      <c r="G123" s="381"/>
      <c r="H123" s="382"/>
      <c r="I123" s="383">
        <v>1789000</v>
      </c>
      <c r="J123" s="378">
        <v>140661</v>
      </c>
      <c r="K123" s="378" t="s">
        <v>103</v>
      </c>
      <c r="L123" s="378" t="s">
        <v>79</v>
      </c>
      <c r="M123" s="378">
        <v>200</v>
      </c>
      <c r="N123" s="356">
        <v>1789000</v>
      </c>
      <c r="O123" s="28" t="b">
        <f t="shared" si="17"/>
        <v>1</v>
      </c>
    </row>
    <row r="124" spans="2:15" s="28" customFormat="1" ht="16.5" customHeight="1">
      <c r="B124" s="20"/>
      <c r="C124" s="20"/>
      <c r="D124" s="254"/>
      <c r="E124" s="379">
        <v>141593</v>
      </c>
      <c r="F124" s="380" t="s">
        <v>104</v>
      </c>
      <c r="G124" s="381"/>
      <c r="H124" s="382"/>
      <c r="I124" s="383">
        <v>479000</v>
      </c>
      <c r="J124" s="384">
        <v>141593</v>
      </c>
      <c r="K124" s="378" t="s">
        <v>71</v>
      </c>
      <c r="L124" s="378" t="s">
        <v>35</v>
      </c>
      <c r="M124" s="378">
        <v>200</v>
      </c>
      <c r="N124" s="356">
        <v>479000</v>
      </c>
      <c r="O124" s="28" t="b">
        <f t="shared" si="17"/>
        <v>1</v>
      </c>
    </row>
    <row r="125" spans="2:15" s="28" customFormat="1" ht="16.5" customHeight="1">
      <c r="B125" s="20"/>
      <c r="C125" s="20"/>
      <c r="D125" s="254"/>
      <c r="E125" s="379">
        <v>120082</v>
      </c>
      <c r="F125" s="380" t="s">
        <v>97</v>
      </c>
      <c r="G125" s="381"/>
      <c r="H125" s="382"/>
      <c r="I125" s="383">
        <v>662475</v>
      </c>
      <c r="J125" s="384">
        <v>120082</v>
      </c>
      <c r="K125" s="378" t="s">
        <v>70</v>
      </c>
      <c r="L125" s="378" t="s">
        <v>69</v>
      </c>
      <c r="M125" s="378">
        <v>16</v>
      </c>
      <c r="N125" s="356">
        <v>605000</v>
      </c>
      <c r="O125" s="28" t="b">
        <f t="shared" si="17"/>
        <v>0</v>
      </c>
    </row>
    <row r="126" spans="2:15" s="28" customFormat="1" ht="16.5" customHeight="1">
      <c r="B126" s="20"/>
      <c r="C126" s="20"/>
      <c r="D126" s="254"/>
      <c r="E126" s="379">
        <v>120084</v>
      </c>
      <c r="F126" s="380" t="s">
        <v>760</v>
      </c>
      <c r="G126" s="381"/>
      <c r="H126" s="382"/>
      <c r="I126" s="383">
        <v>501510</v>
      </c>
      <c r="J126" s="394">
        <v>120084</v>
      </c>
      <c r="K126" s="393" t="s">
        <v>761</v>
      </c>
      <c r="L126" s="378" t="s">
        <v>69</v>
      </c>
      <c r="M126" s="378">
        <v>22.8</v>
      </c>
      <c r="N126" s="356">
        <v>458000</v>
      </c>
      <c r="O126" s="28" t="b">
        <f t="shared" si="17"/>
        <v>0</v>
      </c>
    </row>
    <row r="127" spans="2:15" s="28" customFormat="1" ht="16.5" customHeight="1">
      <c r="B127" s="20"/>
      <c r="C127" s="20"/>
      <c r="D127" s="254"/>
      <c r="E127" s="379">
        <v>120088</v>
      </c>
      <c r="F127" s="380" t="s">
        <v>118</v>
      </c>
      <c r="G127" s="381"/>
      <c r="H127" s="382"/>
      <c r="I127" s="383">
        <v>4264030</v>
      </c>
      <c r="J127" s="384">
        <v>120088</v>
      </c>
      <c r="K127" s="378" t="s">
        <v>71</v>
      </c>
      <c r="L127" s="378" t="s">
        <v>69</v>
      </c>
      <c r="M127" s="378">
        <v>208</v>
      </c>
      <c r="N127" s="356" t="e">
        <v>#N/A</v>
      </c>
      <c r="O127" s="28" t="e">
        <f t="shared" si="17"/>
        <v>#N/A</v>
      </c>
    </row>
    <row r="128" spans="2:15" s="28" customFormat="1" ht="16.5" customHeight="1">
      <c r="B128" s="20"/>
      <c r="C128" s="20"/>
      <c r="D128" s="254"/>
      <c r="E128" s="379">
        <v>120089</v>
      </c>
      <c r="F128" s="380" t="s">
        <v>762</v>
      </c>
      <c r="G128" s="381"/>
      <c r="H128" s="382"/>
      <c r="I128" s="383">
        <v>416100</v>
      </c>
      <c r="J128" s="384">
        <v>120089</v>
      </c>
      <c r="K128" s="378" t="s">
        <v>761</v>
      </c>
      <c r="L128" s="378" t="s">
        <v>69</v>
      </c>
      <c r="M128" s="378">
        <v>22.8</v>
      </c>
      <c r="N128" s="356">
        <v>380000</v>
      </c>
      <c r="O128" s="28" t="b">
        <f t="shared" si="17"/>
        <v>0</v>
      </c>
    </row>
    <row r="129" spans="2:15" s="28" customFormat="1" ht="16.5" customHeight="1">
      <c r="B129" s="20"/>
      <c r="C129" s="20"/>
      <c r="D129" s="254"/>
      <c r="E129" s="379">
        <v>134601</v>
      </c>
      <c r="F129" s="380" t="s">
        <v>763</v>
      </c>
      <c r="G129" s="381"/>
      <c r="H129" s="382"/>
      <c r="I129" s="383">
        <v>4077780</v>
      </c>
      <c r="J129" s="384">
        <v>134601</v>
      </c>
      <c r="K129" s="378" t="s">
        <v>71</v>
      </c>
      <c r="L129" s="378" t="s">
        <v>69</v>
      </c>
      <c r="M129" s="378">
        <v>200</v>
      </c>
      <c r="N129" s="356">
        <v>3724000</v>
      </c>
      <c r="O129" s="28" t="b">
        <f t="shared" si="17"/>
        <v>0</v>
      </c>
    </row>
    <row r="130" spans="2:15" s="28" customFormat="1" ht="16.5" customHeight="1">
      <c r="B130" s="20"/>
      <c r="C130" s="20"/>
      <c r="D130" s="254"/>
      <c r="E130" s="379">
        <v>134756</v>
      </c>
      <c r="F130" s="380" t="s">
        <v>107</v>
      </c>
      <c r="G130" s="381"/>
      <c r="H130" s="382"/>
      <c r="I130" s="383">
        <v>724890</v>
      </c>
      <c r="J130" s="378">
        <v>134756</v>
      </c>
      <c r="K130" s="378" t="s">
        <v>70</v>
      </c>
      <c r="L130" s="378" t="s">
        <v>69</v>
      </c>
      <c r="M130" s="378">
        <v>16</v>
      </c>
      <c r="N130" s="356">
        <v>662000</v>
      </c>
      <c r="O130" s="28" t="b">
        <f t="shared" si="17"/>
        <v>0</v>
      </c>
    </row>
    <row r="131" spans="2:15" s="28" customFormat="1" ht="16.5" customHeight="1">
      <c r="B131" s="20"/>
      <c r="C131" s="20"/>
      <c r="D131" s="254"/>
      <c r="E131" s="379">
        <v>135390</v>
      </c>
      <c r="F131" s="380" t="s">
        <v>764</v>
      </c>
      <c r="G131" s="381"/>
      <c r="H131" s="382"/>
      <c r="I131" s="383">
        <v>573780</v>
      </c>
      <c r="J131" s="378">
        <v>135390</v>
      </c>
      <c r="K131" s="378" t="s">
        <v>70</v>
      </c>
      <c r="L131" s="378" t="s">
        <v>69</v>
      </c>
      <c r="M131" s="378">
        <v>20</v>
      </c>
      <c r="N131" s="356">
        <v>524000</v>
      </c>
      <c r="O131" s="28" t="b">
        <f t="shared" si="17"/>
        <v>0</v>
      </c>
    </row>
    <row r="132" spans="2:15" s="28" customFormat="1" ht="16.5" customHeight="1">
      <c r="B132" s="20"/>
      <c r="C132" s="20"/>
      <c r="D132" s="254"/>
      <c r="E132" s="379">
        <v>120969</v>
      </c>
      <c r="F132" s="395" t="s">
        <v>254</v>
      </c>
      <c r="G132" s="396"/>
      <c r="H132" s="397"/>
      <c r="I132" s="383">
        <v>235000</v>
      </c>
      <c r="J132" s="398">
        <v>120969</v>
      </c>
      <c r="K132" s="399" t="s">
        <v>70</v>
      </c>
      <c r="L132" s="399" t="s">
        <v>34</v>
      </c>
      <c r="M132" s="399">
        <v>18.899999999999999</v>
      </c>
      <c r="N132" s="356">
        <v>222000</v>
      </c>
      <c r="O132" s="28" t="b">
        <f t="shared" si="17"/>
        <v>0</v>
      </c>
    </row>
    <row r="133" spans="2:15" s="28" customFormat="1" ht="16.5" customHeight="1">
      <c r="B133" s="20"/>
      <c r="C133" s="20"/>
      <c r="D133" s="254"/>
      <c r="E133" s="379">
        <v>121540</v>
      </c>
      <c r="F133" s="395" t="s">
        <v>419</v>
      </c>
      <c r="G133" s="396"/>
      <c r="H133" s="397"/>
      <c r="I133" s="383">
        <v>1684000</v>
      </c>
      <c r="J133" s="398">
        <v>121540</v>
      </c>
      <c r="K133" s="399" t="s">
        <v>71</v>
      </c>
      <c r="L133" s="399" t="s">
        <v>34</v>
      </c>
      <c r="M133" s="399">
        <v>208</v>
      </c>
      <c r="N133" s="356">
        <v>1684000</v>
      </c>
      <c r="O133" s="28" t="b">
        <f t="shared" si="17"/>
        <v>1</v>
      </c>
    </row>
    <row r="134" spans="2:15" s="28" customFormat="1" ht="16.5" customHeight="1">
      <c r="B134" s="20"/>
      <c r="C134" s="20"/>
      <c r="D134" s="254"/>
      <c r="E134" s="379">
        <v>121558</v>
      </c>
      <c r="F134" s="395" t="s">
        <v>255</v>
      </c>
      <c r="G134" s="396"/>
      <c r="H134" s="397"/>
      <c r="I134" s="383">
        <v>311000</v>
      </c>
      <c r="J134" s="398">
        <v>121558</v>
      </c>
      <c r="K134" s="399" t="s">
        <v>70</v>
      </c>
      <c r="L134" s="399" t="s">
        <v>34</v>
      </c>
      <c r="M134" s="399">
        <v>17.251999999999999</v>
      </c>
      <c r="N134" s="356">
        <v>311000</v>
      </c>
      <c r="O134" s="28" t="b">
        <f t="shared" si="17"/>
        <v>1</v>
      </c>
    </row>
    <row r="135" spans="2:15" s="28" customFormat="1" ht="16.5" customHeight="1">
      <c r="B135" s="20"/>
      <c r="C135" s="20"/>
      <c r="D135" s="254"/>
      <c r="E135" s="379">
        <v>121759</v>
      </c>
      <c r="F135" s="395" t="s">
        <v>765</v>
      </c>
      <c r="G135" s="396"/>
      <c r="H135" s="397"/>
      <c r="I135" s="383">
        <v>1230000</v>
      </c>
      <c r="J135" s="399">
        <v>121759</v>
      </c>
      <c r="K135" s="399" t="s">
        <v>71</v>
      </c>
      <c r="L135" s="399" t="s">
        <v>34</v>
      </c>
      <c r="M135" s="399">
        <v>208</v>
      </c>
      <c r="N135" s="356">
        <v>1230000</v>
      </c>
      <c r="O135" s="28" t="b">
        <f t="shared" si="17"/>
        <v>1</v>
      </c>
    </row>
    <row r="136" spans="2:15" s="28" customFormat="1" ht="16.5" customHeight="1">
      <c r="B136" s="20"/>
      <c r="C136" s="20"/>
      <c r="D136" s="254"/>
      <c r="E136" s="379">
        <v>121762</v>
      </c>
      <c r="F136" s="395" t="s">
        <v>434</v>
      </c>
      <c r="G136" s="396"/>
      <c r="H136" s="397"/>
      <c r="I136" s="383">
        <v>1302000</v>
      </c>
      <c r="J136" s="399">
        <v>121762</v>
      </c>
      <c r="K136" s="399" t="s">
        <v>71</v>
      </c>
      <c r="L136" s="399" t="s">
        <v>34</v>
      </c>
      <c r="M136" s="399">
        <v>208</v>
      </c>
      <c r="N136" s="356">
        <v>1302000</v>
      </c>
      <c r="O136" s="28" t="b">
        <f t="shared" si="17"/>
        <v>1</v>
      </c>
    </row>
    <row r="137" spans="2:15" s="28" customFormat="1" ht="16.5" customHeight="1">
      <c r="B137" s="20"/>
      <c r="C137" s="20"/>
      <c r="D137" s="254"/>
      <c r="E137" s="379">
        <v>121764</v>
      </c>
      <c r="F137" s="395" t="s">
        <v>435</v>
      </c>
      <c r="G137" s="396"/>
      <c r="H137" s="397"/>
      <c r="I137" s="383">
        <v>1246000</v>
      </c>
      <c r="J137" s="399">
        <v>121764</v>
      </c>
      <c r="K137" s="399" t="s">
        <v>71</v>
      </c>
      <c r="L137" s="399" t="s">
        <v>34</v>
      </c>
      <c r="M137" s="399">
        <v>208</v>
      </c>
      <c r="N137" s="356">
        <v>1246000</v>
      </c>
      <c r="O137" s="28" t="b">
        <f t="shared" si="17"/>
        <v>1</v>
      </c>
    </row>
    <row r="138" spans="2:15" s="28" customFormat="1" ht="16.5" customHeight="1">
      <c r="B138" s="20"/>
      <c r="C138" s="20"/>
      <c r="D138" s="254"/>
      <c r="E138" s="379">
        <v>121892</v>
      </c>
      <c r="F138" s="395" t="s">
        <v>256</v>
      </c>
      <c r="G138" s="396"/>
      <c r="H138" s="397"/>
      <c r="I138" s="383">
        <v>481000</v>
      </c>
      <c r="J138" s="399">
        <v>121892</v>
      </c>
      <c r="K138" s="399" t="s">
        <v>70</v>
      </c>
      <c r="L138" s="399" t="s">
        <v>34</v>
      </c>
      <c r="M138" s="399">
        <v>18.899999999999999</v>
      </c>
      <c r="N138" s="356">
        <v>481000</v>
      </c>
      <c r="O138" s="28" t="b">
        <f t="shared" si="17"/>
        <v>1</v>
      </c>
    </row>
    <row r="139" spans="2:15" s="28" customFormat="1" ht="16.5" customHeight="1">
      <c r="B139" s="20"/>
      <c r="C139" s="20"/>
      <c r="D139" s="254"/>
      <c r="E139" s="379">
        <v>121902</v>
      </c>
      <c r="F139" s="395" t="s">
        <v>257</v>
      </c>
      <c r="G139" s="396"/>
      <c r="H139" s="397"/>
      <c r="I139" s="383">
        <v>410000</v>
      </c>
      <c r="J139" s="398">
        <v>121902</v>
      </c>
      <c r="K139" s="399" t="s">
        <v>70</v>
      </c>
      <c r="L139" s="399" t="s">
        <v>34</v>
      </c>
      <c r="M139" s="399">
        <v>18.899999999999999</v>
      </c>
      <c r="N139" s="356">
        <v>410000</v>
      </c>
      <c r="O139" s="28" t="b">
        <f t="shared" si="17"/>
        <v>1</v>
      </c>
    </row>
    <row r="140" spans="2:15" s="28" customFormat="1" ht="16.5" customHeight="1">
      <c r="B140" s="20"/>
      <c r="C140" s="20"/>
      <c r="D140" s="254"/>
      <c r="E140" s="379">
        <v>121904</v>
      </c>
      <c r="F140" s="395" t="s">
        <v>258</v>
      </c>
      <c r="G140" s="396"/>
      <c r="H140" s="397"/>
      <c r="I140" s="383">
        <v>430000</v>
      </c>
      <c r="J140" s="398">
        <v>121904</v>
      </c>
      <c r="K140" s="399" t="s">
        <v>70</v>
      </c>
      <c r="L140" s="399" t="s">
        <v>34</v>
      </c>
      <c r="M140" s="399">
        <v>18.899999999999999</v>
      </c>
      <c r="N140" s="356">
        <v>430000</v>
      </c>
      <c r="O140" s="28" t="b">
        <f t="shared" si="17"/>
        <v>1</v>
      </c>
    </row>
    <row r="141" spans="2:15" s="28" customFormat="1" ht="16.5" customHeight="1">
      <c r="B141" s="20"/>
      <c r="C141" s="20"/>
      <c r="D141" s="254"/>
      <c r="E141" s="379">
        <v>121907</v>
      </c>
      <c r="F141" s="395" t="s">
        <v>259</v>
      </c>
      <c r="G141" s="396"/>
      <c r="H141" s="397"/>
      <c r="I141" s="383">
        <v>398000</v>
      </c>
      <c r="J141" s="398">
        <v>121907</v>
      </c>
      <c r="K141" s="399" t="s">
        <v>70</v>
      </c>
      <c r="L141" s="399" t="s">
        <v>34</v>
      </c>
      <c r="M141" s="399">
        <v>18.899999999999999</v>
      </c>
      <c r="N141" s="356">
        <v>398000</v>
      </c>
      <c r="O141" s="28" t="b">
        <f t="shared" si="17"/>
        <v>1</v>
      </c>
    </row>
    <row r="142" spans="2:15" s="28" customFormat="1" ht="16.5" customHeight="1">
      <c r="B142" s="20"/>
      <c r="C142" s="20"/>
      <c r="D142" s="254"/>
      <c r="E142" s="379">
        <v>122135</v>
      </c>
      <c r="F142" s="395" t="s">
        <v>437</v>
      </c>
      <c r="G142" s="396"/>
      <c r="H142" s="397"/>
      <c r="I142" s="383">
        <v>1207000</v>
      </c>
      <c r="J142" s="399">
        <v>122135</v>
      </c>
      <c r="K142" s="399" t="s">
        <v>71</v>
      </c>
      <c r="L142" s="399" t="s">
        <v>34</v>
      </c>
      <c r="M142" s="399">
        <v>208</v>
      </c>
      <c r="N142" s="356">
        <v>1207000</v>
      </c>
      <c r="O142" s="28" t="b">
        <f t="shared" si="17"/>
        <v>1</v>
      </c>
    </row>
    <row r="143" spans="2:15" s="28" customFormat="1" ht="16.5" customHeight="1">
      <c r="B143" s="20"/>
      <c r="C143" s="20"/>
      <c r="D143" s="254"/>
      <c r="E143" s="379">
        <v>122167</v>
      </c>
      <c r="F143" s="395" t="s">
        <v>438</v>
      </c>
      <c r="G143" s="396"/>
      <c r="H143" s="397"/>
      <c r="I143" s="383">
        <v>3124000</v>
      </c>
      <c r="J143" s="398">
        <v>122167</v>
      </c>
      <c r="K143" s="399" t="s">
        <v>71</v>
      </c>
      <c r="L143" s="399" t="s">
        <v>34</v>
      </c>
      <c r="M143" s="399">
        <v>208</v>
      </c>
      <c r="N143" s="356">
        <v>3124000</v>
      </c>
      <c r="O143" s="28" t="b">
        <f t="shared" si="17"/>
        <v>1</v>
      </c>
    </row>
    <row r="144" spans="2:15" s="28" customFormat="1" ht="16.5" customHeight="1">
      <c r="B144" s="20"/>
      <c r="C144" s="20"/>
      <c r="D144" s="254"/>
      <c r="E144" s="379">
        <v>122187</v>
      </c>
      <c r="F144" s="395" t="s">
        <v>439</v>
      </c>
      <c r="G144" s="396"/>
      <c r="H144" s="397"/>
      <c r="I144" s="383">
        <v>2760000</v>
      </c>
      <c r="J144" s="398">
        <v>122187</v>
      </c>
      <c r="K144" s="399" t="s">
        <v>71</v>
      </c>
      <c r="L144" s="399" t="s">
        <v>34</v>
      </c>
      <c r="M144" s="399">
        <v>208</v>
      </c>
      <c r="N144" s="356">
        <v>2760000</v>
      </c>
      <c r="O144" s="28" t="b">
        <f t="shared" si="17"/>
        <v>1</v>
      </c>
    </row>
    <row r="145" spans="2:15" s="28" customFormat="1" ht="16.5" customHeight="1">
      <c r="B145" s="20"/>
      <c r="C145" s="20"/>
      <c r="D145" s="254"/>
      <c r="E145" s="379">
        <v>122612</v>
      </c>
      <c r="F145" s="395" t="s">
        <v>446</v>
      </c>
      <c r="G145" s="396"/>
      <c r="H145" s="397"/>
      <c r="I145" s="383">
        <v>1525000</v>
      </c>
      <c r="J145" s="398">
        <v>122612</v>
      </c>
      <c r="K145" s="399" t="s">
        <v>71</v>
      </c>
      <c r="L145" s="399" t="s">
        <v>34</v>
      </c>
      <c r="M145" s="399">
        <v>208</v>
      </c>
      <c r="N145" s="356">
        <v>1525000</v>
      </c>
      <c r="O145" s="28" t="b">
        <f t="shared" si="17"/>
        <v>1</v>
      </c>
    </row>
    <row r="146" spans="2:15" s="28" customFormat="1" ht="16.5" customHeight="1">
      <c r="B146" s="20"/>
      <c r="C146" s="20"/>
      <c r="D146" s="254"/>
      <c r="E146" s="379">
        <v>122650</v>
      </c>
      <c r="F146" s="395" t="s">
        <v>447</v>
      </c>
      <c r="G146" s="396"/>
      <c r="H146" s="397"/>
      <c r="I146" s="383">
        <v>3190000</v>
      </c>
      <c r="J146" s="398">
        <v>122650</v>
      </c>
      <c r="K146" s="399" t="s">
        <v>71</v>
      </c>
      <c r="L146" s="399" t="s">
        <v>34</v>
      </c>
      <c r="M146" s="399">
        <v>208</v>
      </c>
      <c r="N146" s="356">
        <v>3190000</v>
      </c>
      <c r="O146" s="28" t="b">
        <f t="shared" si="17"/>
        <v>1</v>
      </c>
    </row>
    <row r="147" spans="2:15" s="28" customFormat="1" ht="16.5" customHeight="1">
      <c r="B147" s="20"/>
      <c r="C147" s="20"/>
      <c r="D147" s="254"/>
      <c r="E147" s="379">
        <v>122713</v>
      </c>
      <c r="F147" s="395" t="s">
        <v>67</v>
      </c>
      <c r="G147" s="396"/>
      <c r="H147" s="397"/>
      <c r="I147" s="383">
        <v>106000</v>
      </c>
      <c r="J147" s="399">
        <v>122713</v>
      </c>
      <c r="K147" s="399" t="s">
        <v>70</v>
      </c>
      <c r="L147" s="399" t="s">
        <v>34</v>
      </c>
      <c r="M147" s="399">
        <v>20</v>
      </c>
      <c r="N147" s="356">
        <v>106000</v>
      </c>
      <c r="O147" s="28" t="b">
        <f t="shared" si="17"/>
        <v>1</v>
      </c>
    </row>
    <row r="148" spans="2:15" s="28" customFormat="1" ht="16.5" customHeight="1">
      <c r="B148" s="20"/>
      <c r="C148" s="20"/>
      <c r="D148" s="254"/>
      <c r="E148" s="379">
        <v>122766</v>
      </c>
      <c r="F148" s="395" t="s">
        <v>68</v>
      </c>
      <c r="G148" s="396"/>
      <c r="H148" s="397"/>
      <c r="I148" s="383">
        <v>83600</v>
      </c>
      <c r="J148" s="398">
        <v>122766</v>
      </c>
      <c r="K148" s="399" t="s">
        <v>70</v>
      </c>
      <c r="L148" s="399" t="s">
        <v>34</v>
      </c>
      <c r="M148" s="399">
        <v>20</v>
      </c>
      <c r="N148" s="356">
        <v>83600</v>
      </c>
      <c r="O148" s="28" t="b">
        <f t="shared" si="17"/>
        <v>1</v>
      </c>
    </row>
    <row r="149" spans="2:15" s="28" customFormat="1" ht="16.5" customHeight="1">
      <c r="B149" s="20"/>
      <c r="C149" s="20"/>
      <c r="D149" s="254"/>
      <c r="E149" s="379">
        <v>122821</v>
      </c>
      <c r="F149" s="395" t="s">
        <v>448</v>
      </c>
      <c r="G149" s="396"/>
      <c r="H149" s="397"/>
      <c r="I149" s="383"/>
      <c r="J149" s="398">
        <v>122821</v>
      </c>
      <c r="K149" s="399" t="s">
        <v>71</v>
      </c>
      <c r="L149" s="399" t="s">
        <v>34</v>
      </c>
      <c r="M149" s="399">
        <v>208</v>
      </c>
      <c r="N149" s="356" t="e">
        <v>#N/A</v>
      </c>
      <c r="O149" s="28" t="e">
        <f t="shared" si="17"/>
        <v>#N/A</v>
      </c>
    </row>
    <row r="150" spans="2:15" s="28" customFormat="1" ht="16.5" customHeight="1">
      <c r="B150" s="20"/>
      <c r="C150" s="20"/>
      <c r="D150" s="254"/>
      <c r="E150" s="379">
        <v>122837</v>
      </c>
      <c r="F150" s="395" t="s">
        <v>65</v>
      </c>
      <c r="G150" s="396"/>
      <c r="H150" s="397"/>
      <c r="I150" s="383">
        <v>62800</v>
      </c>
      <c r="J150" s="398">
        <v>122837</v>
      </c>
      <c r="K150" s="399" t="s">
        <v>70</v>
      </c>
      <c r="L150" s="399" t="s">
        <v>34</v>
      </c>
      <c r="M150" s="399">
        <v>20</v>
      </c>
      <c r="N150" s="356">
        <v>62800</v>
      </c>
      <c r="O150" s="28" t="b">
        <f t="shared" si="17"/>
        <v>1</v>
      </c>
    </row>
    <row r="151" spans="2:15" s="28" customFormat="1" ht="16.5" customHeight="1">
      <c r="B151" s="20"/>
      <c r="C151" s="20"/>
      <c r="D151" s="254"/>
      <c r="E151" s="379">
        <v>122842</v>
      </c>
      <c r="F151" s="395" t="s">
        <v>238</v>
      </c>
      <c r="G151" s="396"/>
      <c r="H151" s="397"/>
      <c r="I151" s="383">
        <v>79200</v>
      </c>
      <c r="J151" s="399">
        <v>122842</v>
      </c>
      <c r="K151" s="399" t="s">
        <v>70</v>
      </c>
      <c r="L151" s="399" t="s">
        <v>34</v>
      </c>
      <c r="M151" s="399">
        <v>20</v>
      </c>
      <c r="N151" s="356">
        <v>79200</v>
      </c>
      <c r="O151" s="28" t="b">
        <f t="shared" si="17"/>
        <v>1</v>
      </c>
    </row>
    <row r="152" spans="2:15" s="28" customFormat="1" ht="16.5" customHeight="1">
      <c r="B152" s="20"/>
      <c r="C152" s="20"/>
      <c r="D152" s="254"/>
      <c r="E152" s="379">
        <v>144277</v>
      </c>
      <c r="F152" s="395" t="s">
        <v>232</v>
      </c>
      <c r="G152" s="396"/>
      <c r="H152" s="397"/>
      <c r="I152" s="383">
        <v>46600</v>
      </c>
      <c r="J152" s="398">
        <v>122885</v>
      </c>
      <c r="K152" s="399" t="s">
        <v>70</v>
      </c>
      <c r="L152" s="399" t="s">
        <v>34</v>
      </c>
      <c r="M152" s="399">
        <v>20</v>
      </c>
      <c r="N152" s="356">
        <v>46600</v>
      </c>
      <c r="O152" s="28" t="b">
        <f t="shared" si="17"/>
        <v>1</v>
      </c>
    </row>
    <row r="153" spans="2:15" s="28" customFormat="1" ht="16.5" customHeight="1">
      <c r="B153" s="20"/>
      <c r="C153" s="20"/>
      <c r="D153" s="254"/>
      <c r="E153" s="379">
        <v>123004</v>
      </c>
      <c r="F153" s="395" t="s">
        <v>41</v>
      </c>
      <c r="G153" s="396"/>
      <c r="H153" s="397"/>
      <c r="I153" s="383">
        <v>402000</v>
      </c>
      <c r="J153" s="398">
        <v>123004</v>
      </c>
      <c r="K153" s="399" t="s">
        <v>70</v>
      </c>
      <c r="L153" s="399" t="s">
        <v>34</v>
      </c>
      <c r="M153" s="399">
        <v>18</v>
      </c>
      <c r="N153" s="356">
        <v>402000</v>
      </c>
      <c r="O153" s="28" t="b">
        <f t="shared" si="17"/>
        <v>1</v>
      </c>
    </row>
    <row r="154" spans="2:15" s="28" customFormat="1" ht="16.5" customHeight="1">
      <c r="B154" s="20"/>
      <c r="C154" s="20"/>
      <c r="D154" s="254"/>
      <c r="E154" s="379">
        <v>123291</v>
      </c>
      <c r="F154" s="395" t="s">
        <v>261</v>
      </c>
      <c r="G154" s="396"/>
      <c r="H154" s="397"/>
      <c r="I154" s="383">
        <v>326000</v>
      </c>
      <c r="J154" s="398">
        <v>123291</v>
      </c>
      <c r="K154" s="399" t="s">
        <v>70</v>
      </c>
      <c r="L154" s="399" t="s">
        <v>34</v>
      </c>
      <c r="M154" s="399">
        <v>20</v>
      </c>
      <c r="N154" s="356">
        <v>326000</v>
      </c>
      <c r="O154" s="28" t="b">
        <f t="shared" ref="O154:O217" si="18">I154=N154</f>
        <v>1</v>
      </c>
    </row>
    <row r="155" spans="2:15" s="28" customFormat="1" ht="16.5" customHeight="1">
      <c r="B155" s="20"/>
      <c r="C155" s="20"/>
      <c r="D155" s="254"/>
      <c r="E155" s="379">
        <v>148674</v>
      </c>
      <c r="F155" s="395" t="s">
        <v>262</v>
      </c>
      <c r="G155" s="396"/>
      <c r="H155" s="397"/>
      <c r="I155" s="383">
        <v>66800</v>
      </c>
      <c r="J155" s="398">
        <v>148674</v>
      </c>
      <c r="K155" s="399" t="s">
        <v>70</v>
      </c>
      <c r="L155" s="399" t="s">
        <v>34</v>
      </c>
      <c r="M155" s="399">
        <v>20</v>
      </c>
      <c r="N155" s="356">
        <v>66800</v>
      </c>
      <c r="O155" s="28" t="b">
        <f t="shared" si="18"/>
        <v>1</v>
      </c>
    </row>
    <row r="156" spans="2:15" s="28" customFormat="1" ht="16.5" customHeight="1">
      <c r="B156" s="20"/>
      <c r="C156" s="20"/>
      <c r="D156" s="254"/>
      <c r="E156" s="379">
        <v>148687</v>
      </c>
      <c r="F156" s="395" t="s">
        <v>263</v>
      </c>
      <c r="G156" s="396"/>
      <c r="H156" s="397"/>
      <c r="I156" s="383">
        <v>62700</v>
      </c>
      <c r="J156" s="398">
        <v>148687</v>
      </c>
      <c r="K156" s="399" t="s">
        <v>70</v>
      </c>
      <c r="L156" s="399" t="s">
        <v>34</v>
      </c>
      <c r="M156" s="399">
        <v>20</v>
      </c>
      <c r="N156" s="356">
        <v>62700</v>
      </c>
      <c r="O156" s="28" t="b">
        <f t="shared" si="18"/>
        <v>1</v>
      </c>
    </row>
    <row r="157" spans="2:15" s="28" customFormat="1" ht="16.5" customHeight="1">
      <c r="B157" s="20"/>
      <c r="C157" s="20"/>
      <c r="D157" s="254"/>
      <c r="E157" s="379">
        <v>148663</v>
      </c>
      <c r="F157" s="395" t="s">
        <v>264</v>
      </c>
      <c r="G157" s="396"/>
      <c r="H157" s="397"/>
      <c r="I157" s="383">
        <v>54200</v>
      </c>
      <c r="J157" s="398">
        <v>148663</v>
      </c>
      <c r="K157" s="399" t="s">
        <v>70</v>
      </c>
      <c r="L157" s="399" t="s">
        <v>34</v>
      </c>
      <c r="M157" s="399">
        <v>20</v>
      </c>
      <c r="N157" s="356">
        <v>54200</v>
      </c>
      <c r="O157" s="28" t="b">
        <f t="shared" si="18"/>
        <v>1</v>
      </c>
    </row>
    <row r="158" spans="2:15" s="28" customFormat="1" ht="16.5" customHeight="1">
      <c r="B158" s="20"/>
      <c r="C158" s="20"/>
      <c r="D158" s="254"/>
      <c r="E158" s="379">
        <v>148661</v>
      </c>
      <c r="F158" s="395" t="s">
        <v>235</v>
      </c>
      <c r="G158" s="396"/>
      <c r="H158" s="397"/>
      <c r="I158" s="383">
        <v>63400</v>
      </c>
      <c r="J158" s="398">
        <v>148661</v>
      </c>
      <c r="K158" s="399" t="s">
        <v>70</v>
      </c>
      <c r="L158" s="399" t="s">
        <v>34</v>
      </c>
      <c r="M158" s="399">
        <v>20</v>
      </c>
      <c r="N158" s="356">
        <v>63400</v>
      </c>
      <c r="O158" s="28" t="b">
        <f t="shared" si="18"/>
        <v>1</v>
      </c>
    </row>
    <row r="159" spans="2:15" s="28" customFormat="1" ht="16.5" customHeight="1">
      <c r="B159" s="20"/>
      <c r="C159" s="20"/>
      <c r="D159" s="254"/>
      <c r="E159" s="379">
        <v>148662</v>
      </c>
      <c r="F159" s="395" t="s">
        <v>225</v>
      </c>
      <c r="G159" s="396"/>
      <c r="H159" s="397"/>
      <c r="I159" s="383">
        <v>55400</v>
      </c>
      <c r="J159" s="399">
        <v>148662</v>
      </c>
      <c r="K159" s="399" t="s">
        <v>70</v>
      </c>
      <c r="L159" s="399" t="s">
        <v>34</v>
      </c>
      <c r="M159" s="399">
        <v>20</v>
      </c>
      <c r="N159" s="356">
        <v>55400</v>
      </c>
      <c r="O159" s="28" t="b">
        <f t="shared" si="18"/>
        <v>1</v>
      </c>
    </row>
    <row r="160" spans="2:15" s="28" customFormat="1" ht="16.5" customHeight="1">
      <c r="B160" s="20"/>
      <c r="C160" s="20"/>
      <c r="D160" s="254"/>
      <c r="E160" s="379">
        <v>124528</v>
      </c>
      <c r="F160" s="395" t="s">
        <v>450</v>
      </c>
      <c r="G160" s="396"/>
      <c r="H160" s="397"/>
      <c r="I160" s="383">
        <v>3634000</v>
      </c>
      <c r="J160" s="398">
        <v>124528</v>
      </c>
      <c r="K160" s="399" t="s">
        <v>71</v>
      </c>
      <c r="L160" s="399" t="s">
        <v>34</v>
      </c>
      <c r="M160" s="399">
        <v>208</v>
      </c>
      <c r="N160" s="356">
        <v>3634000</v>
      </c>
      <c r="O160" s="28" t="b">
        <f t="shared" si="18"/>
        <v>1</v>
      </c>
    </row>
    <row r="161" spans="2:15" s="28" customFormat="1" ht="16.5" customHeight="1">
      <c r="B161" s="20"/>
      <c r="C161" s="20"/>
      <c r="D161" s="254"/>
      <c r="E161" s="379">
        <v>126328</v>
      </c>
      <c r="F161" s="395" t="s">
        <v>453</v>
      </c>
      <c r="G161" s="396"/>
      <c r="H161" s="397"/>
      <c r="I161" s="383">
        <v>4056000</v>
      </c>
      <c r="J161" s="399">
        <v>126328</v>
      </c>
      <c r="K161" s="399" t="s">
        <v>71</v>
      </c>
      <c r="L161" s="399" t="s">
        <v>34</v>
      </c>
      <c r="M161" s="399">
        <v>208</v>
      </c>
      <c r="N161" s="356">
        <v>4056000</v>
      </c>
      <c r="O161" s="28" t="b">
        <f t="shared" si="18"/>
        <v>1</v>
      </c>
    </row>
    <row r="162" spans="2:15" s="28" customFormat="1" ht="16.5" customHeight="1">
      <c r="B162" s="20"/>
      <c r="C162" s="20"/>
      <c r="D162" s="254"/>
      <c r="E162" s="379">
        <v>127356</v>
      </c>
      <c r="F162" s="395" t="s">
        <v>265</v>
      </c>
      <c r="G162" s="396"/>
      <c r="H162" s="397"/>
      <c r="I162" s="383">
        <v>337000</v>
      </c>
      <c r="J162" s="398">
        <v>127356</v>
      </c>
      <c r="K162" s="399" t="s">
        <v>70</v>
      </c>
      <c r="L162" s="399" t="s">
        <v>34</v>
      </c>
      <c r="M162" s="399">
        <v>20</v>
      </c>
      <c r="N162" s="356">
        <v>337000</v>
      </c>
      <c r="O162" s="28" t="b">
        <f t="shared" si="18"/>
        <v>1</v>
      </c>
    </row>
    <row r="163" spans="2:15" s="28" customFormat="1" ht="16.5" customHeight="1">
      <c r="B163" s="20"/>
      <c r="C163" s="20"/>
      <c r="D163" s="254"/>
      <c r="E163" s="379">
        <v>128773</v>
      </c>
      <c r="F163" s="395" t="s">
        <v>766</v>
      </c>
      <c r="G163" s="396"/>
      <c r="H163" s="397"/>
      <c r="I163" s="383">
        <v>378870</v>
      </c>
      <c r="J163" s="398">
        <v>128773</v>
      </c>
      <c r="K163" s="399" t="s">
        <v>70</v>
      </c>
      <c r="L163" s="399" t="s">
        <v>34</v>
      </c>
      <c r="M163" s="399">
        <v>18.899999999999999</v>
      </c>
      <c r="N163" s="356">
        <v>346000</v>
      </c>
      <c r="O163" s="28" t="b">
        <f t="shared" si="18"/>
        <v>0</v>
      </c>
    </row>
    <row r="164" spans="2:15" s="28" customFormat="1" ht="16.5" customHeight="1">
      <c r="B164" s="20"/>
      <c r="C164" s="20"/>
      <c r="D164" s="254"/>
      <c r="E164" s="379">
        <v>129351</v>
      </c>
      <c r="F164" s="395" t="s">
        <v>266</v>
      </c>
      <c r="G164" s="396"/>
      <c r="H164" s="397"/>
      <c r="I164" s="383">
        <v>415000</v>
      </c>
      <c r="J164" s="398">
        <v>129351</v>
      </c>
      <c r="K164" s="399" t="s">
        <v>70</v>
      </c>
      <c r="L164" s="399" t="s">
        <v>34</v>
      </c>
      <c r="M164" s="399">
        <v>20</v>
      </c>
      <c r="N164" s="356">
        <v>415000</v>
      </c>
      <c r="O164" s="28" t="b">
        <f t="shared" si="18"/>
        <v>1</v>
      </c>
    </row>
    <row r="165" spans="2:15" s="28" customFormat="1" ht="16.5" customHeight="1">
      <c r="B165" s="20"/>
      <c r="C165" s="20"/>
      <c r="D165" s="254"/>
      <c r="E165" s="379">
        <v>129389</v>
      </c>
      <c r="F165" s="395" t="s">
        <v>459</v>
      </c>
      <c r="G165" s="396"/>
      <c r="H165" s="397"/>
      <c r="I165" s="383">
        <v>3962000</v>
      </c>
      <c r="J165" s="398">
        <v>129389</v>
      </c>
      <c r="K165" s="399" t="s">
        <v>71</v>
      </c>
      <c r="L165" s="399" t="s">
        <v>34</v>
      </c>
      <c r="M165" s="399">
        <v>208</v>
      </c>
      <c r="N165" s="356">
        <v>3962000</v>
      </c>
      <c r="O165" s="28" t="b">
        <f t="shared" si="18"/>
        <v>1</v>
      </c>
    </row>
    <row r="166" spans="2:15" s="28" customFormat="1" ht="16.5" customHeight="1">
      <c r="B166" s="20"/>
      <c r="C166" s="20"/>
      <c r="D166" s="254"/>
      <c r="E166" s="379">
        <v>130938</v>
      </c>
      <c r="F166" s="395" t="s">
        <v>461</v>
      </c>
      <c r="G166" s="396"/>
      <c r="H166" s="397"/>
      <c r="I166" s="383">
        <v>1918000</v>
      </c>
      <c r="J166" s="398">
        <v>130938</v>
      </c>
      <c r="K166" s="399" t="s">
        <v>71</v>
      </c>
      <c r="L166" s="399" t="s">
        <v>34</v>
      </c>
      <c r="M166" s="399">
        <v>181</v>
      </c>
      <c r="N166" s="356">
        <v>1918000</v>
      </c>
      <c r="O166" s="28" t="b">
        <f t="shared" si="18"/>
        <v>1</v>
      </c>
    </row>
    <row r="167" spans="2:15" s="28" customFormat="1" ht="16.5" customHeight="1">
      <c r="B167" s="20"/>
      <c r="C167" s="20"/>
      <c r="D167" s="254"/>
      <c r="E167" s="379">
        <v>130939</v>
      </c>
      <c r="F167" s="395" t="s">
        <v>267</v>
      </c>
      <c r="G167" s="396"/>
      <c r="H167" s="397"/>
      <c r="I167" s="383">
        <v>179000</v>
      </c>
      <c r="J167" s="398">
        <v>130939</v>
      </c>
      <c r="K167" s="399" t="s">
        <v>70</v>
      </c>
      <c r="L167" s="399" t="s">
        <v>34</v>
      </c>
      <c r="M167" s="399">
        <v>15.87</v>
      </c>
      <c r="N167" s="356">
        <v>179000</v>
      </c>
      <c r="O167" s="28" t="b">
        <f t="shared" si="18"/>
        <v>1</v>
      </c>
    </row>
    <row r="168" spans="2:15" s="28" customFormat="1" ht="16.5" customHeight="1">
      <c r="B168" s="20"/>
      <c r="C168" s="20"/>
      <c r="D168" s="254"/>
      <c r="E168" s="379">
        <v>131773</v>
      </c>
      <c r="F168" s="395" t="s">
        <v>462</v>
      </c>
      <c r="G168" s="396"/>
      <c r="H168" s="397"/>
      <c r="I168" s="383"/>
      <c r="J168" s="398">
        <v>131773</v>
      </c>
      <c r="K168" s="399" t="s">
        <v>71</v>
      </c>
      <c r="L168" s="399" t="s">
        <v>34</v>
      </c>
      <c r="M168" s="399">
        <v>208</v>
      </c>
      <c r="N168" s="356" t="e">
        <v>#N/A</v>
      </c>
      <c r="O168" s="28" t="e">
        <f t="shared" si="18"/>
        <v>#N/A</v>
      </c>
    </row>
    <row r="169" spans="2:15" s="28" customFormat="1" ht="16.5" customHeight="1">
      <c r="B169" s="20"/>
      <c r="C169" s="20"/>
      <c r="D169" s="254"/>
      <c r="E169" s="379">
        <v>132528</v>
      </c>
      <c r="F169" s="395" t="s">
        <v>270</v>
      </c>
      <c r="G169" s="396"/>
      <c r="H169" s="397"/>
      <c r="I169" s="383">
        <v>269000</v>
      </c>
      <c r="J169" s="398">
        <v>132528</v>
      </c>
      <c r="K169" s="399" t="s">
        <v>70</v>
      </c>
      <c r="L169" s="399" t="s">
        <v>34</v>
      </c>
      <c r="M169" s="399">
        <v>16</v>
      </c>
      <c r="N169" s="356">
        <v>269000</v>
      </c>
      <c r="O169" s="28" t="b">
        <f t="shared" si="18"/>
        <v>1</v>
      </c>
    </row>
    <row r="170" spans="2:15" s="28" customFormat="1" ht="16.5" customHeight="1">
      <c r="B170" s="20"/>
      <c r="C170" s="20"/>
      <c r="D170" s="254"/>
      <c r="E170" s="379">
        <v>132549</v>
      </c>
      <c r="F170" s="395" t="s">
        <v>463</v>
      </c>
      <c r="G170" s="396"/>
      <c r="H170" s="397"/>
      <c r="I170" s="383">
        <v>3029000</v>
      </c>
      <c r="J170" s="398">
        <v>132549</v>
      </c>
      <c r="K170" s="399" t="s">
        <v>71</v>
      </c>
      <c r="L170" s="399" t="s">
        <v>34</v>
      </c>
      <c r="M170" s="399">
        <v>208</v>
      </c>
      <c r="N170" s="356">
        <v>3029000</v>
      </c>
      <c r="O170" s="28" t="b">
        <f t="shared" si="18"/>
        <v>1</v>
      </c>
    </row>
    <row r="171" spans="2:15" s="28" customFormat="1" ht="16.5" customHeight="1">
      <c r="B171" s="20"/>
      <c r="C171" s="20"/>
      <c r="D171" s="254"/>
      <c r="E171" s="379">
        <v>132550</v>
      </c>
      <c r="F171" s="395" t="s">
        <v>464</v>
      </c>
      <c r="G171" s="396"/>
      <c r="H171" s="397"/>
      <c r="I171" s="383">
        <v>3173000</v>
      </c>
      <c r="J171" s="398">
        <v>132550</v>
      </c>
      <c r="K171" s="399" t="s">
        <v>71</v>
      </c>
      <c r="L171" s="399" t="s">
        <v>34</v>
      </c>
      <c r="M171" s="399">
        <v>208</v>
      </c>
      <c r="N171" s="356">
        <v>3173000</v>
      </c>
      <c r="O171" s="28" t="b">
        <f t="shared" si="18"/>
        <v>1</v>
      </c>
    </row>
    <row r="172" spans="2:15" s="28" customFormat="1" ht="16.5" customHeight="1">
      <c r="B172" s="20"/>
      <c r="C172" s="20"/>
      <c r="D172" s="254"/>
      <c r="E172" s="379">
        <v>132558</v>
      </c>
      <c r="F172" s="395" t="s">
        <v>465</v>
      </c>
      <c r="G172" s="396"/>
      <c r="H172" s="397"/>
      <c r="I172" s="383">
        <v>3541000</v>
      </c>
      <c r="J172" s="398">
        <v>132558</v>
      </c>
      <c r="K172" s="399" t="s">
        <v>71</v>
      </c>
      <c r="L172" s="399" t="s">
        <v>34</v>
      </c>
      <c r="M172" s="399">
        <v>208</v>
      </c>
      <c r="N172" s="356">
        <v>3541000</v>
      </c>
      <c r="O172" s="28" t="b">
        <f t="shared" si="18"/>
        <v>1</v>
      </c>
    </row>
    <row r="173" spans="2:15" s="28" customFormat="1" ht="16.5" customHeight="1">
      <c r="B173" s="20"/>
      <c r="C173" s="20"/>
      <c r="D173" s="254"/>
      <c r="E173" s="379">
        <v>140202</v>
      </c>
      <c r="F173" s="395" t="s">
        <v>377</v>
      </c>
      <c r="G173" s="396"/>
      <c r="H173" s="397"/>
      <c r="I173" s="383">
        <v>352000</v>
      </c>
      <c r="J173" s="398">
        <v>140202</v>
      </c>
      <c r="K173" s="399" t="s">
        <v>70</v>
      </c>
      <c r="L173" s="399" t="s">
        <v>34</v>
      </c>
      <c r="M173" s="399">
        <v>16</v>
      </c>
      <c r="N173" s="356">
        <v>352000</v>
      </c>
      <c r="O173" s="28" t="b">
        <f t="shared" si="18"/>
        <v>1</v>
      </c>
    </row>
    <row r="174" spans="2:15" s="28" customFormat="1" ht="16.5" customHeight="1">
      <c r="B174" s="20"/>
      <c r="C174" s="20"/>
      <c r="D174" s="254"/>
      <c r="E174" s="379">
        <v>140203</v>
      </c>
      <c r="F174" s="395" t="s">
        <v>273</v>
      </c>
      <c r="G174" s="396"/>
      <c r="H174" s="397"/>
      <c r="I174" s="383">
        <v>355000</v>
      </c>
      <c r="J174" s="398">
        <v>140203</v>
      </c>
      <c r="K174" s="399" t="s">
        <v>70</v>
      </c>
      <c r="L174" s="399" t="s">
        <v>34</v>
      </c>
      <c r="M174" s="399">
        <v>16</v>
      </c>
      <c r="N174" s="356">
        <v>355000</v>
      </c>
      <c r="O174" s="28" t="b">
        <f t="shared" si="18"/>
        <v>1</v>
      </c>
    </row>
    <row r="175" spans="2:15" s="28" customFormat="1" ht="16.5" customHeight="1">
      <c r="B175" s="20"/>
      <c r="C175" s="20"/>
      <c r="D175" s="254"/>
      <c r="E175" s="379">
        <v>132575</v>
      </c>
      <c r="F175" s="400" t="s">
        <v>274</v>
      </c>
      <c r="G175" s="401"/>
      <c r="H175" s="402"/>
      <c r="I175" s="383">
        <v>394000</v>
      </c>
      <c r="J175" s="398">
        <v>132575</v>
      </c>
      <c r="K175" s="399" t="s">
        <v>70</v>
      </c>
      <c r="L175" s="399" t="s">
        <v>34</v>
      </c>
      <c r="M175" s="399">
        <v>16</v>
      </c>
      <c r="N175" s="356">
        <v>394000</v>
      </c>
      <c r="O175" s="28" t="b">
        <f t="shared" si="18"/>
        <v>1</v>
      </c>
    </row>
    <row r="176" spans="2:15" s="28" customFormat="1" ht="16.5" customHeight="1">
      <c r="B176" s="20"/>
      <c r="C176" s="20"/>
      <c r="D176" s="254"/>
      <c r="E176" s="379">
        <v>132610</v>
      </c>
      <c r="F176" s="395" t="s">
        <v>466</v>
      </c>
      <c r="G176" s="396"/>
      <c r="H176" s="397"/>
      <c r="I176" s="383">
        <v>3730000</v>
      </c>
      <c r="J176" s="398">
        <v>132610</v>
      </c>
      <c r="K176" s="399" t="s">
        <v>71</v>
      </c>
      <c r="L176" s="399" t="s">
        <v>34</v>
      </c>
      <c r="M176" s="399">
        <v>174</v>
      </c>
      <c r="N176" s="356">
        <v>3730000</v>
      </c>
      <c r="O176" s="28" t="b">
        <f t="shared" si="18"/>
        <v>1</v>
      </c>
    </row>
    <row r="177" spans="2:15" s="28" customFormat="1" ht="16.5" customHeight="1">
      <c r="B177" s="20"/>
      <c r="C177" s="20"/>
      <c r="D177" s="254"/>
      <c r="E177" s="379">
        <v>132611</v>
      </c>
      <c r="F177" s="395" t="s">
        <v>275</v>
      </c>
      <c r="G177" s="396"/>
      <c r="H177" s="397"/>
      <c r="I177" s="383">
        <v>338000</v>
      </c>
      <c r="J177" s="398">
        <v>132611</v>
      </c>
      <c r="K177" s="399" t="s">
        <v>70</v>
      </c>
      <c r="L177" s="399" t="s">
        <v>34</v>
      </c>
      <c r="M177" s="399">
        <v>15.87</v>
      </c>
      <c r="N177" s="356">
        <v>338000</v>
      </c>
      <c r="O177" s="28" t="b">
        <f t="shared" si="18"/>
        <v>1</v>
      </c>
    </row>
    <row r="178" spans="2:15" s="28" customFormat="1" ht="16.5" customHeight="1">
      <c r="B178" s="20"/>
      <c r="C178" s="20"/>
      <c r="D178" s="254"/>
      <c r="E178" s="379">
        <v>140200</v>
      </c>
      <c r="F178" s="395" t="s">
        <v>276</v>
      </c>
      <c r="G178" s="396"/>
      <c r="H178" s="397"/>
      <c r="I178" s="383">
        <v>352000</v>
      </c>
      <c r="J178" s="398">
        <v>132642</v>
      </c>
      <c r="K178" s="399" t="s">
        <v>70</v>
      </c>
      <c r="L178" s="399" t="s">
        <v>34</v>
      </c>
      <c r="M178" s="399">
        <v>16</v>
      </c>
      <c r="N178" s="356">
        <v>351000</v>
      </c>
      <c r="O178" s="28" t="b">
        <f t="shared" si="18"/>
        <v>0</v>
      </c>
    </row>
    <row r="179" spans="2:15" s="28" customFormat="1" ht="16.5" customHeight="1">
      <c r="B179" s="20"/>
      <c r="C179" s="20"/>
      <c r="D179" s="254"/>
      <c r="E179" s="379">
        <v>132796</v>
      </c>
      <c r="F179" s="403" t="s">
        <v>278</v>
      </c>
      <c r="G179" s="404"/>
      <c r="H179" s="405"/>
      <c r="I179" s="383">
        <v>562000</v>
      </c>
      <c r="J179" s="398">
        <v>132796</v>
      </c>
      <c r="K179" s="406" t="s">
        <v>70</v>
      </c>
      <c r="L179" s="406" t="s">
        <v>34</v>
      </c>
      <c r="M179" s="406">
        <v>18</v>
      </c>
      <c r="N179" s="356">
        <v>562000</v>
      </c>
      <c r="O179" s="28" t="b">
        <f t="shared" si="18"/>
        <v>1</v>
      </c>
    </row>
    <row r="180" spans="2:15" s="28" customFormat="1" ht="16.5" customHeight="1">
      <c r="B180" s="20"/>
      <c r="C180" s="20"/>
      <c r="D180" s="254"/>
      <c r="E180" s="379">
        <v>132835</v>
      </c>
      <c r="F180" s="395" t="s">
        <v>474</v>
      </c>
      <c r="G180" s="396"/>
      <c r="H180" s="397"/>
      <c r="I180" s="383">
        <v>3480000</v>
      </c>
      <c r="J180" s="398">
        <v>132835</v>
      </c>
      <c r="K180" s="399" t="s">
        <v>71</v>
      </c>
      <c r="L180" s="399" t="s">
        <v>34</v>
      </c>
      <c r="M180" s="399">
        <v>208</v>
      </c>
      <c r="N180" s="356">
        <v>3480000</v>
      </c>
      <c r="O180" s="28" t="b">
        <f t="shared" si="18"/>
        <v>1</v>
      </c>
    </row>
    <row r="181" spans="2:15" s="28" customFormat="1" ht="16.5" customHeight="1">
      <c r="B181" s="20"/>
      <c r="C181" s="20"/>
      <c r="D181" s="254"/>
      <c r="E181" s="379">
        <v>133450</v>
      </c>
      <c r="F181" s="395" t="s">
        <v>475</v>
      </c>
      <c r="G181" s="396"/>
      <c r="H181" s="397"/>
      <c r="I181" s="383">
        <v>4688000</v>
      </c>
      <c r="J181" s="398">
        <v>133450</v>
      </c>
      <c r="K181" s="399" t="s">
        <v>71</v>
      </c>
      <c r="L181" s="399" t="s">
        <v>34</v>
      </c>
      <c r="M181" s="399">
        <v>208</v>
      </c>
      <c r="N181" s="356">
        <v>4688000</v>
      </c>
      <c r="O181" s="28" t="b">
        <f t="shared" si="18"/>
        <v>1</v>
      </c>
    </row>
    <row r="182" spans="2:15" s="28" customFormat="1" ht="16.5" customHeight="1">
      <c r="B182" s="20"/>
      <c r="C182" s="20"/>
      <c r="D182" s="254"/>
      <c r="E182" s="379">
        <v>134221</v>
      </c>
      <c r="F182" s="400" t="s">
        <v>476</v>
      </c>
      <c r="G182" s="401"/>
      <c r="H182" s="402"/>
      <c r="I182" s="383">
        <v>4412000</v>
      </c>
      <c r="J182" s="407">
        <v>134221</v>
      </c>
      <c r="K182" s="399" t="s">
        <v>71</v>
      </c>
      <c r="L182" s="399" t="s">
        <v>34</v>
      </c>
      <c r="M182" s="399">
        <v>216</v>
      </c>
      <c r="N182" s="356">
        <v>4412000</v>
      </c>
      <c r="O182" s="28" t="b">
        <f t="shared" si="18"/>
        <v>1</v>
      </c>
    </row>
    <row r="183" spans="2:15" s="28" customFormat="1" ht="16.5" customHeight="1">
      <c r="B183" s="20"/>
      <c r="C183" s="20"/>
      <c r="D183" s="254"/>
      <c r="E183" s="379">
        <v>134320</v>
      </c>
      <c r="F183" s="400" t="s">
        <v>477</v>
      </c>
      <c r="G183" s="396"/>
      <c r="H183" s="397"/>
      <c r="I183" s="383">
        <v>3144000</v>
      </c>
      <c r="J183" s="398">
        <v>134320</v>
      </c>
      <c r="K183" s="399" t="s">
        <v>71</v>
      </c>
      <c r="L183" s="399" t="s">
        <v>34</v>
      </c>
      <c r="M183" s="399">
        <v>208</v>
      </c>
      <c r="N183" s="356">
        <v>3144000</v>
      </c>
      <c r="O183" s="28" t="b">
        <f t="shared" si="18"/>
        <v>1</v>
      </c>
    </row>
    <row r="184" spans="2:15" s="28" customFormat="1" ht="16.5" customHeight="1">
      <c r="B184" s="20"/>
      <c r="C184" s="20"/>
      <c r="D184" s="254"/>
      <c r="E184" s="379">
        <v>134445</v>
      </c>
      <c r="F184" s="400" t="s">
        <v>239</v>
      </c>
      <c r="G184" s="396"/>
      <c r="H184" s="397"/>
      <c r="I184" s="383">
        <v>66900</v>
      </c>
      <c r="J184" s="398">
        <v>134445</v>
      </c>
      <c r="K184" s="399" t="s">
        <v>70</v>
      </c>
      <c r="L184" s="399" t="s">
        <v>34</v>
      </c>
      <c r="M184" s="399">
        <v>20</v>
      </c>
      <c r="N184" s="356">
        <v>66900</v>
      </c>
      <c r="O184" s="28" t="b">
        <f t="shared" si="18"/>
        <v>1</v>
      </c>
    </row>
    <row r="185" spans="2:15" s="28" customFormat="1" ht="16.5" customHeight="1">
      <c r="B185" s="20"/>
      <c r="C185" s="20"/>
      <c r="D185" s="254"/>
      <c r="E185" s="379">
        <v>134602</v>
      </c>
      <c r="F185" s="400" t="s">
        <v>481</v>
      </c>
      <c r="G185" s="396"/>
      <c r="H185" s="397"/>
      <c r="I185" s="383">
        <v>3680000</v>
      </c>
      <c r="J185" s="407">
        <v>134602</v>
      </c>
      <c r="K185" s="399" t="s">
        <v>71</v>
      </c>
      <c r="L185" s="399" t="s">
        <v>34</v>
      </c>
      <c r="M185" s="399">
        <v>208</v>
      </c>
      <c r="N185" s="356">
        <v>3680000</v>
      </c>
      <c r="O185" s="28" t="b">
        <f t="shared" si="18"/>
        <v>1</v>
      </c>
    </row>
    <row r="186" spans="2:15" s="28" customFormat="1" ht="16.5" customHeight="1">
      <c r="B186" s="20"/>
      <c r="C186" s="20"/>
      <c r="D186" s="254"/>
      <c r="E186" s="379">
        <v>134604</v>
      </c>
      <c r="F186" s="400" t="s">
        <v>280</v>
      </c>
      <c r="G186" s="396"/>
      <c r="H186" s="397"/>
      <c r="I186" s="383">
        <v>120000</v>
      </c>
      <c r="J186" s="398">
        <v>134604</v>
      </c>
      <c r="K186" s="399" t="s">
        <v>70</v>
      </c>
      <c r="L186" s="399" t="s">
        <v>34</v>
      </c>
      <c r="M186" s="399">
        <v>16</v>
      </c>
      <c r="N186" s="356">
        <v>120000</v>
      </c>
      <c r="O186" s="28" t="b">
        <f t="shared" si="18"/>
        <v>1</v>
      </c>
    </row>
    <row r="187" spans="2:15" s="28" customFormat="1" ht="16.5" customHeight="1">
      <c r="B187" s="20"/>
      <c r="C187" s="20"/>
      <c r="D187" s="254"/>
      <c r="E187" s="379">
        <v>134884</v>
      </c>
      <c r="F187" s="400" t="s">
        <v>281</v>
      </c>
      <c r="G187" s="396"/>
      <c r="H187" s="397"/>
      <c r="I187" s="383">
        <v>80500</v>
      </c>
      <c r="J187" s="407">
        <v>134884</v>
      </c>
      <c r="K187" s="399" t="s">
        <v>70</v>
      </c>
      <c r="L187" s="399" t="s">
        <v>34</v>
      </c>
      <c r="M187" s="399">
        <v>20</v>
      </c>
      <c r="N187" s="356">
        <v>80500</v>
      </c>
      <c r="O187" s="28" t="b">
        <f t="shared" si="18"/>
        <v>1</v>
      </c>
    </row>
    <row r="188" spans="2:15" s="28" customFormat="1" ht="16.5" customHeight="1">
      <c r="B188" s="20"/>
      <c r="C188" s="20"/>
      <c r="D188" s="254"/>
      <c r="E188" s="379">
        <v>134937</v>
      </c>
      <c r="F188" s="400" t="s">
        <v>486</v>
      </c>
      <c r="G188" s="396"/>
      <c r="H188" s="397"/>
      <c r="I188" s="383">
        <v>3079000</v>
      </c>
      <c r="J188" s="407">
        <v>134937</v>
      </c>
      <c r="K188" s="399" t="s">
        <v>71</v>
      </c>
      <c r="L188" s="399" t="s">
        <v>34</v>
      </c>
      <c r="M188" s="399">
        <v>208</v>
      </c>
      <c r="N188" s="356">
        <v>3079000</v>
      </c>
      <c r="O188" s="28" t="b">
        <f t="shared" si="18"/>
        <v>1</v>
      </c>
    </row>
    <row r="189" spans="2:15" s="28" customFormat="1" ht="16.5" customHeight="1">
      <c r="B189" s="20"/>
      <c r="C189" s="20"/>
      <c r="D189" s="254"/>
      <c r="E189" s="379">
        <v>134962</v>
      </c>
      <c r="F189" s="395" t="s">
        <v>47</v>
      </c>
      <c r="G189" s="396"/>
      <c r="H189" s="397"/>
      <c r="I189" s="383">
        <v>364000</v>
      </c>
      <c r="J189" s="398">
        <v>134962</v>
      </c>
      <c r="K189" s="399" t="s">
        <v>70</v>
      </c>
      <c r="L189" s="399" t="s">
        <v>34</v>
      </c>
      <c r="M189" s="399">
        <v>20</v>
      </c>
      <c r="N189" s="356">
        <v>364000</v>
      </c>
      <c r="O189" s="28" t="b">
        <f t="shared" si="18"/>
        <v>1</v>
      </c>
    </row>
    <row r="190" spans="2:15" s="28" customFormat="1" ht="16.5" customHeight="1">
      <c r="B190" s="20"/>
      <c r="C190" s="20"/>
      <c r="D190" s="254"/>
      <c r="E190" s="379">
        <v>134995</v>
      </c>
      <c r="F190" s="395" t="s">
        <v>283</v>
      </c>
      <c r="G190" s="396"/>
      <c r="H190" s="397"/>
      <c r="I190" s="383">
        <v>475000</v>
      </c>
      <c r="J190" s="398">
        <v>134995</v>
      </c>
      <c r="K190" s="399" t="s">
        <v>70</v>
      </c>
      <c r="L190" s="399" t="s">
        <v>34</v>
      </c>
      <c r="M190" s="399">
        <v>16</v>
      </c>
      <c r="N190" s="356">
        <v>475000</v>
      </c>
      <c r="O190" s="28" t="b">
        <f t="shared" si="18"/>
        <v>1</v>
      </c>
    </row>
    <row r="191" spans="2:15" s="28" customFormat="1" ht="16.5" customHeight="1">
      <c r="B191" s="20"/>
      <c r="C191" s="20"/>
      <c r="D191" s="254"/>
      <c r="E191" s="379">
        <v>134997</v>
      </c>
      <c r="F191" s="408" t="s">
        <v>284</v>
      </c>
      <c r="G191" s="409"/>
      <c r="H191" s="410"/>
      <c r="I191" s="383">
        <v>316000</v>
      </c>
      <c r="J191" s="398">
        <v>134997</v>
      </c>
      <c r="K191" s="378" t="s">
        <v>70</v>
      </c>
      <c r="L191" s="378" t="s">
        <v>34</v>
      </c>
      <c r="M191" s="378">
        <v>15.87</v>
      </c>
      <c r="N191" s="356">
        <v>316000</v>
      </c>
      <c r="O191" s="28" t="b">
        <f t="shared" si="18"/>
        <v>1</v>
      </c>
    </row>
    <row r="192" spans="2:15" s="28" customFormat="1" ht="16.5" customHeight="1">
      <c r="B192" s="20"/>
      <c r="C192" s="20"/>
      <c r="D192" s="254"/>
      <c r="E192" s="379">
        <v>134999</v>
      </c>
      <c r="F192" s="395" t="s">
        <v>285</v>
      </c>
      <c r="G192" s="396"/>
      <c r="H192" s="397"/>
      <c r="I192" s="383">
        <v>476000</v>
      </c>
      <c r="J192" s="398">
        <v>134999</v>
      </c>
      <c r="K192" s="399" t="s">
        <v>70</v>
      </c>
      <c r="L192" s="399" t="s">
        <v>34</v>
      </c>
      <c r="M192" s="399">
        <v>15.87</v>
      </c>
      <c r="N192" s="356">
        <v>476000</v>
      </c>
      <c r="O192" s="28" t="b">
        <f t="shared" si="18"/>
        <v>1</v>
      </c>
    </row>
    <row r="193" spans="2:15" s="28" customFormat="1" ht="16.5" customHeight="1">
      <c r="B193" s="20"/>
      <c r="C193" s="20"/>
      <c r="D193" s="254"/>
      <c r="E193" s="379">
        <v>135000</v>
      </c>
      <c r="F193" s="395" t="s">
        <v>487</v>
      </c>
      <c r="G193" s="396"/>
      <c r="H193" s="397"/>
      <c r="I193" s="383">
        <v>2918000</v>
      </c>
      <c r="J193" s="398">
        <v>135000</v>
      </c>
      <c r="K193" s="399" t="s">
        <v>71</v>
      </c>
      <c r="L193" s="399" t="s">
        <v>34</v>
      </c>
      <c r="M193" s="399">
        <v>208</v>
      </c>
      <c r="N193" s="356">
        <v>2918000</v>
      </c>
      <c r="O193" s="28" t="b">
        <f t="shared" si="18"/>
        <v>1</v>
      </c>
    </row>
    <row r="194" spans="2:15" s="28" customFormat="1" ht="16.5" customHeight="1">
      <c r="B194" s="20"/>
      <c r="C194" s="20"/>
      <c r="D194" s="254"/>
      <c r="E194" s="379">
        <v>135002</v>
      </c>
      <c r="F194" s="395" t="s">
        <v>286</v>
      </c>
      <c r="G194" s="396"/>
      <c r="H194" s="397"/>
      <c r="I194" s="383">
        <v>364000</v>
      </c>
      <c r="J194" s="398">
        <v>135002</v>
      </c>
      <c r="K194" s="399" t="s">
        <v>70</v>
      </c>
      <c r="L194" s="399" t="s">
        <v>34</v>
      </c>
      <c r="M194" s="399">
        <v>20</v>
      </c>
      <c r="N194" s="356">
        <v>364000</v>
      </c>
      <c r="O194" s="28" t="b">
        <f t="shared" si="18"/>
        <v>1</v>
      </c>
    </row>
    <row r="195" spans="2:15" s="28" customFormat="1" ht="16.5" customHeight="1">
      <c r="B195" s="20"/>
      <c r="C195" s="20"/>
      <c r="D195" s="254"/>
      <c r="E195" s="379">
        <v>135004</v>
      </c>
      <c r="F195" s="395" t="s">
        <v>287</v>
      </c>
      <c r="G195" s="396"/>
      <c r="H195" s="397"/>
      <c r="I195" s="383">
        <v>300000</v>
      </c>
      <c r="J195" s="398">
        <v>135004</v>
      </c>
      <c r="K195" s="399" t="s">
        <v>70</v>
      </c>
      <c r="L195" s="399" t="s">
        <v>34</v>
      </c>
      <c r="M195" s="399">
        <v>18.899999999999999</v>
      </c>
      <c r="N195" s="356">
        <v>300000</v>
      </c>
      <c r="O195" s="28" t="b">
        <f t="shared" si="18"/>
        <v>1</v>
      </c>
    </row>
    <row r="196" spans="2:15" s="28" customFormat="1" ht="16.5" customHeight="1">
      <c r="B196" s="20"/>
      <c r="C196" s="20"/>
      <c r="D196" s="254"/>
      <c r="E196" s="379">
        <v>135008</v>
      </c>
      <c r="F196" s="395" t="s">
        <v>288</v>
      </c>
      <c r="G196" s="396"/>
      <c r="H196" s="397"/>
      <c r="I196" s="383">
        <v>274000</v>
      </c>
      <c r="J196" s="398">
        <v>135008</v>
      </c>
      <c r="K196" s="399" t="s">
        <v>70</v>
      </c>
      <c r="L196" s="399" t="s">
        <v>34</v>
      </c>
      <c r="M196" s="399">
        <v>20</v>
      </c>
      <c r="N196" s="356">
        <v>274000</v>
      </c>
      <c r="O196" s="28" t="b">
        <f t="shared" si="18"/>
        <v>1</v>
      </c>
    </row>
    <row r="197" spans="2:15" s="28" customFormat="1" ht="16.5" customHeight="1">
      <c r="B197" s="20"/>
      <c r="C197" s="20"/>
      <c r="D197" s="254"/>
      <c r="E197" s="379">
        <v>135010</v>
      </c>
      <c r="F197" s="395" t="s">
        <v>488</v>
      </c>
      <c r="G197" s="396"/>
      <c r="H197" s="397"/>
      <c r="I197" s="383">
        <v>3777000</v>
      </c>
      <c r="J197" s="398">
        <v>135010</v>
      </c>
      <c r="K197" s="399" t="s">
        <v>71</v>
      </c>
      <c r="L197" s="399" t="s">
        <v>34</v>
      </c>
      <c r="M197" s="399">
        <v>174</v>
      </c>
      <c r="N197" s="356">
        <v>3777000</v>
      </c>
      <c r="O197" s="28" t="b">
        <f t="shared" si="18"/>
        <v>1</v>
      </c>
    </row>
    <row r="198" spans="2:15" s="28" customFormat="1" ht="16.5" customHeight="1">
      <c r="B198" s="20"/>
      <c r="C198" s="20"/>
      <c r="D198" s="254"/>
      <c r="E198" s="379">
        <v>135013</v>
      </c>
      <c r="F198" s="395" t="s">
        <v>489</v>
      </c>
      <c r="G198" s="396"/>
      <c r="H198" s="397"/>
      <c r="I198" s="383">
        <v>2922000</v>
      </c>
      <c r="J198" s="398">
        <v>135013</v>
      </c>
      <c r="K198" s="399" t="s">
        <v>71</v>
      </c>
      <c r="L198" s="399" t="s">
        <v>34</v>
      </c>
      <c r="M198" s="399">
        <v>208</v>
      </c>
      <c r="N198" s="356">
        <v>2922000</v>
      </c>
      <c r="O198" s="28" t="b">
        <f t="shared" si="18"/>
        <v>1</v>
      </c>
    </row>
    <row r="199" spans="2:15" s="28" customFormat="1" ht="16.5" customHeight="1">
      <c r="B199" s="20"/>
      <c r="C199" s="20"/>
      <c r="D199" s="254"/>
      <c r="E199" s="379">
        <v>135014</v>
      </c>
      <c r="F199" s="395" t="s">
        <v>490</v>
      </c>
      <c r="G199" s="396"/>
      <c r="H199" s="397"/>
      <c r="I199" s="383">
        <v>3151000</v>
      </c>
      <c r="J199" s="398">
        <v>135014</v>
      </c>
      <c r="K199" s="399" t="s">
        <v>71</v>
      </c>
      <c r="L199" s="399" t="s">
        <v>34</v>
      </c>
      <c r="M199" s="399">
        <v>208</v>
      </c>
      <c r="N199" s="356">
        <v>3151000</v>
      </c>
      <c r="O199" s="28" t="b">
        <f t="shared" si="18"/>
        <v>1</v>
      </c>
    </row>
    <row r="200" spans="2:15" s="28" customFormat="1" ht="16.5" customHeight="1">
      <c r="B200" s="20"/>
      <c r="C200" s="20"/>
      <c r="D200" s="254"/>
      <c r="E200" s="379">
        <v>135016</v>
      </c>
      <c r="F200" s="395" t="s">
        <v>289</v>
      </c>
      <c r="G200" s="396"/>
      <c r="H200" s="397"/>
      <c r="I200" s="383">
        <v>353000</v>
      </c>
      <c r="J200" s="398">
        <v>135016</v>
      </c>
      <c r="K200" s="399" t="s">
        <v>70</v>
      </c>
      <c r="L200" s="399" t="s">
        <v>34</v>
      </c>
      <c r="M200" s="399">
        <v>20</v>
      </c>
      <c r="N200" s="356">
        <v>353000</v>
      </c>
      <c r="O200" s="28" t="b">
        <f t="shared" si="18"/>
        <v>1</v>
      </c>
    </row>
    <row r="201" spans="2:15" s="28" customFormat="1" ht="16.5" customHeight="1">
      <c r="B201" s="20"/>
      <c r="C201" s="20"/>
      <c r="D201" s="254"/>
      <c r="E201" s="379">
        <v>135152</v>
      </c>
      <c r="F201" s="395" t="s">
        <v>290</v>
      </c>
      <c r="G201" s="396"/>
      <c r="H201" s="397"/>
      <c r="I201" s="383">
        <v>327000</v>
      </c>
      <c r="J201" s="398">
        <v>135152</v>
      </c>
      <c r="K201" s="399" t="s">
        <v>70</v>
      </c>
      <c r="L201" s="399" t="s">
        <v>34</v>
      </c>
      <c r="M201" s="399">
        <v>20</v>
      </c>
      <c r="N201" s="356">
        <v>327000</v>
      </c>
      <c r="O201" s="28" t="b">
        <f t="shared" si="18"/>
        <v>1</v>
      </c>
    </row>
    <row r="202" spans="2:15" s="28" customFormat="1" ht="16.5" customHeight="1">
      <c r="B202" s="20"/>
      <c r="C202" s="20"/>
      <c r="D202" s="254"/>
      <c r="E202" s="379">
        <v>135153</v>
      </c>
      <c r="F202" s="395" t="s">
        <v>291</v>
      </c>
      <c r="G202" s="396"/>
      <c r="H202" s="397"/>
      <c r="I202" s="383">
        <v>277000</v>
      </c>
      <c r="J202" s="398">
        <v>135153</v>
      </c>
      <c r="K202" s="399" t="s">
        <v>70</v>
      </c>
      <c r="L202" s="399" t="s">
        <v>34</v>
      </c>
      <c r="M202" s="399">
        <v>20</v>
      </c>
      <c r="N202" s="356">
        <v>277000</v>
      </c>
      <c r="O202" s="28" t="b">
        <f t="shared" si="18"/>
        <v>1</v>
      </c>
    </row>
    <row r="203" spans="2:15" s="28" customFormat="1" ht="16.5" customHeight="1">
      <c r="B203" s="20"/>
      <c r="C203" s="20"/>
      <c r="D203" s="254"/>
      <c r="E203" s="379">
        <v>135179</v>
      </c>
      <c r="F203" s="395" t="s">
        <v>491</v>
      </c>
      <c r="G203" s="396"/>
      <c r="H203" s="397"/>
      <c r="I203" s="383">
        <v>2733000</v>
      </c>
      <c r="J203" s="398">
        <v>135179</v>
      </c>
      <c r="K203" s="399" t="s">
        <v>71</v>
      </c>
      <c r="L203" s="399" t="s">
        <v>34</v>
      </c>
      <c r="M203" s="399">
        <v>208</v>
      </c>
      <c r="N203" s="356">
        <v>2733000</v>
      </c>
      <c r="O203" s="28" t="b">
        <f t="shared" si="18"/>
        <v>1</v>
      </c>
    </row>
    <row r="204" spans="2:15" s="28" customFormat="1" ht="16.5" customHeight="1">
      <c r="B204" s="20"/>
      <c r="C204" s="20"/>
      <c r="D204" s="254"/>
      <c r="E204" s="379">
        <v>135180</v>
      </c>
      <c r="F204" s="395" t="s">
        <v>492</v>
      </c>
      <c r="G204" s="401"/>
      <c r="H204" s="402"/>
      <c r="I204" s="383">
        <v>3124000</v>
      </c>
      <c r="J204" s="398">
        <v>135180</v>
      </c>
      <c r="K204" s="399" t="s">
        <v>71</v>
      </c>
      <c r="L204" s="399" t="s">
        <v>34</v>
      </c>
      <c r="M204" s="399">
        <v>208</v>
      </c>
      <c r="N204" s="356">
        <v>3124000</v>
      </c>
      <c r="O204" s="28" t="b">
        <f t="shared" si="18"/>
        <v>1</v>
      </c>
    </row>
    <row r="205" spans="2:15" s="28" customFormat="1" ht="16.5" customHeight="1">
      <c r="B205" s="20"/>
      <c r="C205" s="20"/>
      <c r="D205" s="254"/>
      <c r="E205" s="379">
        <v>135181</v>
      </c>
      <c r="F205" s="395" t="s">
        <v>292</v>
      </c>
      <c r="G205" s="396"/>
      <c r="H205" s="397"/>
      <c r="I205" s="383">
        <v>269000</v>
      </c>
      <c r="J205" s="398">
        <v>135181</v>
      </c>
      <c r="K205" s="399" t="s">
        <v>70</v>
      </c>
      <c r="L205" s="399" t="s">
        <v>34</v>
      </c>
      <c r="M205" s="399">
        <v>20</v>
      </c>
      <c r="N205" s="356">
        <v>269000</v>
      </c>
      <c r="O205" s="28" t="b">
        <f t="shared" si="18"/>
        <v>1</v>
      </c>
    </row>
    <row r="206" spans="2:15" s="28" customFormat="1" ht="16.5" customHeight="1">
      <c r="B206" s="20"/>
      <c r="C206" s="20"/>
      <c r="D206" s="254"/>
      <c r="E206" s="379">
        <v>135182</v>
      </c>
      <c r="F206" s="395" t="s">
        <v>493</v>
      </c>
      <c r="G206" s="396"/>
      <c r="H206" s="397"/>
      <c r="I206" s="383">
        <v>2995000</v>
      </c>
      <c r="J206" s="398">
        <v>135182</v>
      </c>
      <c r="K206" s="399" t="s">
        <v>71</v>
      </c>
      <c r="L206" s="399" t="s">
        <v>34</v>
      </c>
      <c r="M206" s="399">
        <v>208</v>
      </c>
      <c r="N206" s="356">
        <v>2995000</v>
      </c>
      <c r="O206" s="28" t="b">
        <f t="shared" si="18"/>
        <v>1</v>
      </c>
    </row>
    <row r="207" spans="2:15" s="28" customFormat="1" ht="16.5" customHeight="1">
      <c r="B207" s="20"/>
      <c r="C207" s="20"/>
      <c r="D207" s="254"/>
      <c r="E207" s="379">
        <v>135183</v>
      </c>
      <c r="F207" s="395" t="s">
        <v>293</v>
      </c>
      <c r="G207" s="396"/>
      <c r="H207" s="397"/>
      <c r="I207" s="383">
        <v>302000</v>
      </c>
      <c r="J207" s="398">
        <v>135183</v>
      </c>
      <c r="K207" s="399" t="s">
        <v>70</v>
      </c>
      <c r="L207" s="399" t="s">
        <v>34</v>
      </c>
      <c r="M207" s="399">
        <v>20</v>
      </c>
      <c r="N207" s="356">
        <v>302000</v>
      </c>
      <c r="O207" s="28" t="b">
        <f t="shared" si="18"/>
        <v>1</v>
      </c>
    </row>
    <row r="208" spans="2:15" s="28" customFormat="1" ht="16.5" customHeight="1">
      <c r="B208" s="20"/>
      <c r="C208" s="20"/>
      <c r="D208" s="254"/>
      <c r="E208" s="379">
        <v>135184</v>
      </c>
      <c r="F208" s="395" t="s">
        <v>494</v>
      </c>
      <c r="G208" s="396"/>
      <c r="H208" s="397"/>
      <c r="I208" s="383">
        <v>3255000</v>
      </c>
      <c r="J208" s="398">
        <v>135184</v>
      </c>
      <c r="K208" s="399" t="s">
        <v>71</v>
      </c>
      <c r="L208" s="399" t="s">
        <v>34</v>
      </c>
      <c r="M208" s="399">
        <v>208</v>
      </c>
      <c r="N208" s="356">
        <v>3255000</v>
      </c>
      <c r="O208" s="28" t="b">
        <f t="shared" si="18"/>
        <v>1</v>
      </c>
    </row>
    <row r="209" spans="2:15" s="28" customFormat="1" ht="16.5" customHeight="1">
      <c r="B209" s="20"/>
      <c r="C209" s="20"/>
      <c r="D209" s="254"/>
      <c r="E209" s="379">
        <v>135185</v>
      </c>
      <c r="F209" s="395" t="s">
        <v>495</v>
      </c>
      <c r="G209" s="396"/>
      <c r="H209" s="397"/>
      <c r="I209" s="383">
        <v>3450000</v>
      </c>
      <c r="J209" s="398">
        <v>135185</v>
      </c>
      <c r="K209" s="399" t="s">
        <v>71</v>
      </c>
      <c r="L209" s="399" t="s">
        <v>34</v>
      </c>
      <c r="M209" s="399">
        <v>208</v>
      </c>
      <c r="N209" s="356">
        <v>3450000</v>
      </c>
      <c r="O209" s="28" t="b">
        <f t="shared" si="18"/>
        <v>1</v>
      </c>
    </row>
    <row r="210" spans="2:15" s="28" customFormat="1" ht="16.5" customHeight="1">
      <c r="B210" s="20"/>
      <c r="C210" s="20"/>
      <c r="D210" s="254"/>
      <c r="E210" s="379">
        <v>135186</v>
      </c>
      <c r="F210" s="395" t="s">
        <v>496</v>
      </c>
      <c r="G210" s="396"/>
      <c r="H210" s="397"/>
      <c r="I210" s="383">
        <v>3644000</v>
      </c>
      <c r="J210" s="398">
        <v>135186</v>
      </c>
      <c r="K210" s="399" t="s">
        <v>71</v>
      </c>
      <c r="L210" s="399" t="s">
        <v>34</v>
      </c>
      <c r="M210" s="399">
        <v>208</v>
      </c>
      <c r="N210" s="356">
        <v>3644000</v>
      </c>
      <c r="O210" s="28" t="b">
        <f t="shared" si="18"/>
        <v>1</v>
      </c>
    </row>
    <row r="211" spans="2:15" s="28" customFormat="1" ht="16.5" customHeight="1">
      <c r="B211" s="20"/>
      <c r="C211" s="20"/>
      <c r="D211" s="254"/>
      <c r="E211" s="379">
        <v>135187</v>
      </c>
      <c r="F211" s="395" t="s">
        <v>497</v>
      </c>
      <c r="G211" s="396"/>
      <c r="H211" s="397"/>
      <c r="I211" s="383">
        <v>3124000</v>
      </c>
      <c r="J211" s="398">
        <v>135187</v>
      </c>
      <c r="K211" s="399" t="s">
        <v>71</v>
      </c>
      <c r="L211" s="399" t="s">
        <v>34</v>
      </c>
      <c r="M211" s="399">
        <v>208</v>
      </c>
      <c r="N211" s="356">
        <v>3124000</v>
      </c>
      <c r="O211" s="28" t="b">
        <f t="shared" si="18"/>
        <v>1</v>
      </c>
    </row>
    <row r="212" spans="2:15" s="28" customFormat="1" ht="16.5" customHeight="1">
      <c r="B212" s="20"/>
      <c r="C212" s="20"/>
      <c r="D212" s="254"/>
      <c r="E212" s="379">
        <v>135188</v>
      </c>
      <c r="F212" s="395" t="s">
        <v>294</v>
      </c>
      <c r="G212" s="396"/>
      <c r="H212" s="397"/>
      <c r="I212" s="383">
        <v>315000</v>
      </c>
      <c r="J212" s="398">
        <v>135188</v>
      </c>
      <c r="K212" s="399" t="s">
        <v>70</v>
      </c>
      <c r="L212" s="399" t="s">
        <v>34</v>
      </c>
      <c r="M212" s="399">
        <v>20</v>
      </c>
      <c r="N212" s="356">
        <v>315000</v>
      </c>
      <c r="O212" s="28" t="b">
        <f t="shared" si="18"/>
        <v>1</v>
      </c>
    </row>
    <row r="213" spans="2:15" s="28" customFormat="1" ht="16.5" customHeight="1">
      <c r="B213" s="20"/>
      <c r="C213" s="20"/>
      <c r="D213" s="254"/>
      <c r="E213" s="379">
        <v>135190</v>
      </c>
      <c r="F213" s="395" t="s">
        <v>295</v>
      </c>
      <c r="G213" s="396"/>
      <c r="H213" s="397"/>
      <c r="I213" s="383">
        <v>346000</v>
      </c>
      <c r="J213" s="398">
        <v>135190</v>
      </c>
      <c r="K213" s="399" t="s">
        <v>70</v>
      </c>
      <c r="L213" s="399" t="s">
        <v>34</v>
      </c>
      <c r="M213" s="399">
        <v>20</v>
      </c>
      <c r="N213" s="356">
        <v>346000</v>
      </c>
      <c r="O213" s="28" t="b">
        <f t="shared" si="18"/>
        <v>1</v>
      </c>
    </row>
    <row r="214" spans="2:15" s="28" customFormat="1" ht="16.5" customHeight="1">
      <c r="B214" s="20"/>
      <c r="C214" s="20"/>
      <c r="D214" s="254"/>
      <c r="E214" s="379">
        <v>135249</v>
      </c>
      <c r="F214" s="395" t="s">
        <v>498</v>
      </c>
      <c r="G214" s="401"/>
      <c r="H214" s="402"/>
      <c r="I214" s="383">
        <v>1871000</v>
      </c>
      <c r="J214" s="398">
        <v>135249</v>
      </c>
      <c r="K214" s="399" t="s">
        <v>71</v>
      </c>
      <c r="L214" s="399" t="s">
        <v>34</v>
      </c>
      <c r="M214" s="399">
        <v>180</v>
      </c>
      <c r="N214" s="356">
        <v>1871000</v>
      </c>
      <c r="O214" s="28" t="b">
        <f t="shared" si="18"/>
        <v>1</v>
      </c>
    </row>
    <row r="215" spans="2:15" s="28" customFormat="1" ht="16.5" customHeight="1">
      <c r="B215" s="20"/>
      <c r="C215" s="20"/>
      <c r="D215" s="254"/>
      <c r="E215" s="379">
        <v>135304</v>
      </c>
      <c r="F215" s="395" t="s">
        <v>499</v>
      </c>
      <c r="G215" s="396"/>
      <c r="H215" s="397"/>
      <c r="I215" s="383">
        <v>3473000</v>
      </c>
      <c r="J215" s="398">
        <v>135304</v>
      </c>
      <c r="K215" s="399" t="s">
        <v>71</v>
      </c>
      <c r="L215" s="399" t="s">
        <v>34</v>
      </c>
      <c r="M215" s="399">
        <v>208</v>
      </c>
      <c r="N215" s="356">
        <v>3473000</v>
      </c>
      <c r="O215" s="28" t="b">
        <f t="shared" si="18"/>
        <v>1</v>
      </c>
    </row>
    <row r="216" spans="2:15" s="28" customFormat="1" ht="16.5" customHeight="1">
      <c r="B216" s="20"/>
      <c r="C216" s="20"/>
      <c r="D216" s="254"/>
      <c r="E216" s="379">
        <v>135361</v>
      </c>
      <c r="F216" s="395" t="s">
        <v>296</v>
      </c>
      <c r="G216" s="396"/>
      <c r="H216" s="397"/>
      <c r="I216" s="383">
        <v>317000</v>
      </c>
      <c r="J216" s="398">
        <v>135361</v>
      </c>
      <c r="K216" s="399" t="s">
        <v>70</v>
      </c>
      <c r="L216" s="399" t="s">
        <v>34</v>
      </c>
      <c r="M216" s="399">
        <v>18.899999999999999</v>
      </c>
      <c r="N216" s="356">
        <v>317000</v>
      </c>
      <c r="O216" s="28" t="b">
        <f t="shared" si="18"/>
        <v>1</v>
      </c>
    </row>
    <row r="217" spans="2:15" s="28" customFormat="1" ht="16.5" customHeight="1">
      <c r="B217" s="20"/>
      <c r="C217" s="20"/>
      <c r="D217" s="254"/>
      <c r="E217" s="379">
        <v>135421</v>
      </c>
      <c r="F217" s="395" t="s">
        <v>500</v>
      </c>
      <c r="G217" s="396"/>
      <c r="H217" s="397"/>
      <c r="I217" s="383">
        <v>5049000</v>
      </c>
      <c r="J217" s="398">
        <v>135421</v>
      </c>
      <c r="K217" s="399" t="s">
        <v>71</v>
      </c>
      <c r="L217" s="399" t="s">
        <v>34</v>
      </c>
      <c r="M217" s="399">
        <v>208</v>
      </c>
      <c r="N217" s="356">
        <v>5049000</v>
      </c>
      <c r="O217" s="28" t="b">
        <f t="shared" si="18"/>
        <v>1</v>
      </c>
    </row>
    <row r="218" spans="2:15" s="28" customFormat="1" ht="16.5" customHeight="1">
      <c r="B218" s="20"/>
      <c r="C218" s="20"/>
      <c r="D218" s="254"/>
      <c r="E218" s="379">
        <v>135431</v>
      </c>
      <c r="F218" s="395" t="s">
        <v>501</v>
      </c>
      <c r="G218" s="396"/>
      <c r="H218" s="397"/>
      <c r="I218" s="383">
        <v>3873000</v>
      </c>
      <c r="J218" s="398">
        <v>135431</v>
      </c>
      <c r="K218" s="399" t="s">
        <v>71</v>
      </c>
      <c r="L218" s="399" t="s">
        <v>34</v>
      </c>
      <c r="M218" s="399">
        <v>177</v>
      </c>
      <c r="N218" s="356">
        <v>3873000</v>
      </c>
      <c r="O218" s="28" t="b">
        <f t="shared" ref="O218:O281" si="19">I218=N218</f>
        <v>1</v>
      </c>
    </row>
    <row r="219" spans="2:15" s="28" customFormat="1" ht="16.5" customHeight="1">
      <c r="B219" s="20"/>
      <c r="C219" s="20"/>
      <c r="D219" s="254"/>
      <c r="E219" s="379">
        <v>135432</v>
      </c>
      <c r="F219" s="395" t="s">
        <v>502</v>
      </c>
      <c r="G219" s="396"/>
      <c r="H219" s="397"/>
      <c r="I219" s="383">
        <v>3962000</v>
      </c>
      <c r="J219" s="398">
        <v>135432</v>
      </c>
      <c r="K219" s="399" t="s">
        <v>71</v>
      </c>
      <c r="L219" s="399" t="s">
        <v>34</v>
      </c>
      <c r="M219" s="399">
        <v>177</v>
      </c>
      <c r="N219" s="356">
        <v>3962000</v>
      </c>
      <c r="O219" s="28" t="b">
        <f t="shared" si="19"/>
        <v>1</v>
      </c>
    </row>
    <row r="220" spans="2:15" s="28" customFormat="1" ht="16.5" customHeight="1">
      <c r="B220" s="20"/>
      <c r="C220" s="20"/>
      <c r="D220" s="254"/>
      <c r="E220" s="379">
        <v>135437</v>
      </c>
      <c r="F220" s="395" t="s">
        <v>503</v>
      </c>
      <c r="G220" s="396"/>
      <c r="H220" s="397"/>
      <c r="I220" s="383">
        <v>3634000</v>
      </c>
      <c r="J220" s="398">
        <v>135437</v>
      </c>
      <c r="K220" s="399" t="s">
        <v>71</v>
      </c>
      <c r="L220" s="399" t="s">
        <v>34</v>
      </c>
      <c r="M220" s="399">
        <v>176.9</v>
      </c>
      <c r="N220" s="356">
        <v>3634000</v>
      </c>
      <c r="O220" s="28" t="b">
        <f t="shared" si="19"/>
        <v>1</v>
      </c>
    </row>
    <row r="221" spans="2:15" s="28" customFormat="1" ht="16.5" customHeight="1">
      <c r="B221" s="20"/>
      <c r="C221" s="20"/>
      <c r="D221" s="254"/>
      <c r="E221" s="379">
        <v>135439</v>
      </c>
      <c r="F221" s="395" t="s">
        <v>504</v>
      </c>
      <c r="G221" s="396"/>
      <c r="H221" s="397"/>
      <c r="I221" s="383">
        <v>4035000</v>
      </c>
      <c r="J221" s="398">
        <v>135439</v>
      </c>
      <c r="K221" s="399" t="s">
        <v>71</v>
      </c>
      <c r="L221" s="399" t="s">
        <v>34</v>
      </c>
      <c r="M221" s="399">
        <v>176.9</v>
      </c>
      <c r="N221" s="356">
        <v>4035000</v>
      </c>
      <c r="O221" s="28" t="b">
        <f t="shared" si="19"/>
        <v>1</v>
      </c>
    </row>
    <row r="222" spans="2:15" s="28" customFormat="1" ht="16.5" customHeight="1">
      <c r="B222" s="20"/>
      <c r="C222" s="20"/>
      <c r="D222" s="254"/>
      <c r="E222" s="379">
        <v>135440</v>
      </c>
      <c r="F222" s="395" t="s">
        <v>505</v>
      </c>
      <c r="G222" s="396"/>
      <c r="H222" s="397"/>
      <c r="I222" s="383">
        <v>2915000</v>
      </c>
      <c r="J222" s="398">
        <v>135440</v>
      </c>
      <c r="K222" s="399" t="s">
        <v>71</v>
      </c>
      <c r="L222" s="399" t="s">
        <v>34</v>
      </c>
      <c r="M222" s="399">
        <v>208</v>
      </c>
      <c r="N222" s="356">
        <v>2915000</v>
      </c>
      <c r="O222" s="28" t="b">
        <f t="shared" si="19"/>
        <v>1</v>
      </c>
    </row>
    <row r="223" spans="2:15" s="28" customFormat="1" ht="16.5" customHeight="1">
      <c r="B223" s="20"/>
      <c r="C223" s="20"/>
      <c r="D223" s="254"/>
      <c r="E223" s="379">
        <v>135444</v>
      </c>
      <c r="F223" s="395" t="s">
        <v>507</v>
      </c>
      <c r="G223" s="396"/>
      <c r="H223" s="397"/>
      <c r="I223" s="383">
        <v>4131000</v>
      </c>
      <c r="J223" s="399">
        <v>135444</v>
      </c>
      <c r="K223" s="399" t="s">
        <v>71</v>
      </c>
      <c r="L223" s="399" t="s">
        <v>34</v>
      </c>
      <c r="M223" s="399">
        <v>177</v>
      </c>
      <c r="N223" s="356">
        <v>4131000</v>
      </c>
      <c r="O223" s="28" t="b">
        <f t="shared" si="19"/>
        <v>1</v>
      </c>
    </row>
    <row r="224" spans="2:15" s="28" customFormat="1" ht="16.5" customHeight="1">
      <c r="B224" s="20"/>
      <c r="C224" s="20"/>
      <c r="D224" s="254"/>
      <c r="E224" s="379">
        <v>135448</v>
      </c>
      <c r="F224" s="395" t="s">
        <v>508</v>
      </c>
      <c r="G224" s="396"/>
      <c r="H224" s="397"/>
      <c r="I224" s="383">
        <v>3842000</v>
      </c>
      <c r="J224" s="398">
        <v>135448</v>
      </c>
      <c r="K224" s="399" t="s">
        <v>71</v>
      </c>
      <c r="L224" s="399" t="s">
        <v>34</v>
      </c>
      <c r="M224" s="399">
        <v>177</v>
      </c>
      <c r="N224" s="356">
        <v>3842000</v>
      </c>
      <c r="O224" s="28" t="b">
        <f t="shared" si="19"/>
        <v>1</v>
      </c>
    </row>
    <row r="225" spans="2:15" s="28" customFormat="1" ht="16.5" customHeight="1">
      <c r="B225" s="20"/>
      <c r="C225" s="20"/>
      <c r="D225" s="254"/>
      <c r="E225" s="379">
        <v>135449</v>
      </c>
      <c r="F225" s="395" t="s">
        <v>300</v>
      </c>
      <c r="G225" s="396"/>
      <c r="H225" s="397"/>
      <c r="I225" s="383"/>
      <c r="J225" s="398">
        <v>135449</v>
      </c>
      <c r="K225" s="399" t="s">
        <v>73</v>
      </c>
      <c r="L225" s="399" t="s">
        <v>34</v>
      </c>
      <c r="M225" s="399">
        <v>21.1</v>
      </c>
      <c r="N225" s="356" t="e">
        <v>#N/A</v>
      </c>
      <c r="O225" s="28" t="e">
        <f t="shared" si="19"/>
        <v>#N/A</v>
      </c>
    </row>
    <row r="226" spans="2:15" s="28" customFormat="1" ht="16.5" customHeight="1">
      <c r="B226" s="20"/>
      <c r="C226" s="20"/>
      <c r="D226" s="254"/>
      <c r="E226" s="379">
        <v>135451</v>
      </c>
      <c r="F226" s="395" t="s">
        <v>509</v>
      </c>
      <c r="G226" s="396"/>
      <c r="H226" s="397"/>
      <c r="I226" s="383">
        <v>3847000</v>
      </c>
      <c r="J226" s="398">
        <v>135451</v>
      </c>
      <c r="K226" s="399" t="s">
        <v>71</v>
      </c>
      <c r="L226" s="399" t="s">
        <v>34</v>
      </c>
      <c r="M226" s="399">
        <v>177</v>
      </c>
      <c r="N226" s="356">
        <v>3847000</v>
      </c>
      <c r="O226" s="28" t="b">
        <f t="shared" si="19"/>
        <v>1</v>
      </c>
    </row>
    <row r="227" spans="2:15" s="28" customFormat="1" ht="16.5" customHeight="1">
      <c r="B227" s="20"/>
      <c r="C227" s="20"/>
      <c r="D227" s="254"/>
      <c r="E227" s="379">
        <v>135452</v>
      </c>
      <c r="F227" s="395" t="s">
        <v>510</v>
      </c>
      <c r="G227" s="396"/>
      <c r="H227" s="397"/>
      <c r="I227" s="383">
        <v>2586000</v>
      </c>
      <c r="J227" s="398">
        <v>135452</v>
      </c>
      <c r="K227" s="399" t="s">
        <v>71</v>
      </c>
      <c r="L227" s="399" t="s">
        <v>34</v>
      </c>
      <c r="M227" s="399">
        <v>208</v>
      </c>
      <c r="N227" s="356">
        <v>2586000</v>
      </c>
      <c r="O227" s="28" t="b">
        <f t="shared" si="19"/>
        <v>1</v>
      </c>
    </row>
    <row r="228" spans="2:15" s="28" customFormat="1" ht="16.5" customHeight="1">
      <c r="B228" s="20"/>
      <c r="C228" s="20"/>
      <c r="D228" s="254"/>
      <c r="E228" s="379">
        <v>135453</v>
      </c>
      <c r="F228" s="395" t="s">
        <v>301</v>
      </c>
      <c r="G228" s="396"/>
      <c r="H228" s="397"/>
      <c r="I228" s="383">
        <v>262000</v>
      </c>
      <c r="J228" s="398">
        <v>135453</v>
      </c>
      <c r="K228" s="399" t="s">
        <v>70</v>
      </c>
      <c r="L228" s="399" t="s">
        <v>34</v>
      </c>
      <c r="M228" s="399">
        <v>18.899999999999999</v>
      </c>
      <c r="N228" s="356">
        <v>262000</v>
      </c>
      <c r="O228" s="28" t="b">
        <f t="shared" si="19"/>
        <v>1</v>
      </c>
    </row>
    <row r="229" spans="2:15" s="28" customFormat="1" ht="16.5" customHeight="1">
      <c r="B229" s="20"/>
      <c r="C229" s="20"/>
      <c r="D229" s="254"/>
      <c r="E229" s="379">
        <v>135454</v>
      </c>
      <c r="F229" s="395" t="s">
        <v>511</v>
      </c>
      <c r="G229" s="396"/>
      <c r="H229" s="397"/>
      <c r="I229" s="383">
        <v>2602000</v>
      </c>
      <c r="J229" s="398">
        <v>135454</v>
      </c>
      <c r="K229" s="399" t="s">
        <v>71</v>
      </c>
      <c r="L229" s="399" t="s">
        <v>34</v>
      </c>
      <c r="M229" s="399">
        <v>208</v>
      </c>
      <c r="N229" s="356">
        <v>2602000</v>
      </c>
      <c r="O229" s="28" t="b">
        <f t="shared" si="19"/>
        <v>1</v>
      </c>
    </row>
    <row r="230" spans="2:15" s="28" customFormat="1" ht="16.5" customHeight="1">
      <c r="B230" s="20"/>
      <c r="C230" s="20"/>
      <c r="D230" s="254"/>
      <c r="E230" s="379">
        <v>135455</v>
      </c>
      <c r="F230" s="395" t="s">
        <v>302</v>
      </c>
      <c r="G230" s="396"/>
      <c r="H230" s="397"/>
      <c r="I230" s="383">
        <v>282000</v>
      </c>
      <c r="J230" s="398">
        <v>135455</v>
      </c>
      <c r="K230" s="399" t="s">
        <v>70</v>
      </c>
      <c r="L230" s="399" t="s">
        <v>34</v>
      </c>
      <c r="M230" s="399">
        <v>18.899999999999999</v>
      </c>
      <c r="N230" s="356">
        <v>282000</v>
      </c>
      <c r="O230" s="28" t="b">
        <f t="shared" si="19"/>
        <v>1</v>
      </c>
    </row>
    <row r="231" spans="2:15" s="28" customFormat="1" ht="16.5" customHeight="1">
      <c r="B231" s="20"/>
      <c r="C231" s="20"/>
      <c r="D231" s="254"/>
      <c r="E231" s="379">
        <v>135456</v>
      </c>
      <c r="F231" s="395" t="s">
        <v>512</v>
      </c>
      <c r="G231" s="396"/>
      <c r="H231" s="397"/>
      <c r="I231" s="383">
        <v>2995000</v>
      </c>
      <c r="J231" s="398">
        <v>135456</v>
      </c>
      <c r="K231" s="399" t="s">
        <v>71</v>
      </c>
      <c r="L231" s="399" t="s">
        <v>34</v>
      </c>
      <c r="M231" s="399">
        <v>208</v>
      </c>
      <c r="N231" s="356">
        <v>2995000</v>
      </c>
      <c r="O231" s="28" t="b">
        <f t="shared" si="19"/>
        <v>1</v>
      </c>
    </row>
    <row r="232" spans="2:15" s="28" customFormat="1" ht="16.5" customHeight="1">
      <c r="B232" s="20"/>
      <c r="C232" s="20"/>
      <c r="D232" s="254"/>
      <c r="E232" s="379">
        <v>135457</v>
      </c>
      <c r="F232" s="395" t="s">
        <v>303</v>
      </c>
      <c r="G232" s="396"/>
      <c r="H232" s="397"/>
      <c r="I232" s="383">
        <v>287000</v>
      </c>
      <c r="J232" s="398">
        <v>135457</v>
      </c>
      <c r="K232" s="399" t="s">
        <v>70</v>
      </c>
      <c r="L232" s="399" t="s">
        <v>34</v>
      </c>
      <c r="M232" s="399">
        <v>18.899999999999999</v>
      </c>
      <c r="N232" s="356">
        <v>287000</v>
      </c>
      <c r="O232" s="28" t="b">
        <f t="shared" si="19"/>
        <v>1</v>
      </c>
    </row>
    <row r="233" spans="2:15" s="28" customFormat="1" ht="16.5" customHeight="1">
      <c r="B233" s="20"/>
      <c r="C233" s="20"/>
      <c r="D233" s="254"/>
      <c r="E233" s="379">
        <v>135458</v>
      </c>
      <c r="F233" s="395" t="s">
        <v>420</v>
      </c>
      <c r="G233" s="396"/>
      <c r="H233" s="397"/>
      <c r="I233" s="383">
        <v>2763000</v>
      </c>
      <c r="J233" s="398">
        <v>135458</v>
      </c>
      <c r="K233" s="399" t="s">
        <v>71</v>
      </c>
      <c r="L233" s="399" t="s">
        <v>34</v>
      </c>
      <c r="M233" s="399">
        <v>208</v>
      </c>
      <c r="N233" s="356">
        <v>2763000</v>
      </c>
      <c r="O233" s="28" t="b">
        <f t="shared" si="19"/>
        <v>1</v>
      </c>
    </row>
    <row r="234" spans="2:15" s="28" customFormat="1" ht="16.5" customHeight="1">
      <c r="B234" s="20"/>
      <c r="C234" s="20"/>
      <c r="D234" s="254"/>
      <c r="E234" s="379">
        <v>135460</v>
      </c>
      <c r="F234" s="395" t="s">
        <v>304</v>
      </c>
      <c r="G234" s="396"/>
      <c r="H234" s="397"/>
      <c r="I234" s="383">
        <v>337000</v>
      </c>
      <c r="J234" s="398">
        <v>135460</v>
      </c>
      <c r="K234" s="399" t="s">
        <v>70</v>
      </c>
      <c r="L234" s="399" t="s">
        <v>34</v>
      </c>
      <c r="M234" s="399">
        <v>18.899999999999999</v>
      </c>
      <c r="N234" s="356">
        <v>337000</v>
      </c>
      <c r="O234" s="28" t="b">
        <f t="shared" si="19"/>
        <v>1</v>
      </c>
    </row>
    <row r="235" spans="2:15" s="28" customFormat="1" ht="16.5" customHeight="1">
      <c r="B235" s="20"/>
      <c r="C235" s="20"/>
      <c r="D235" s="254"/>
      <c r="E235" s="379">
        <v>135461</v>
      </c>
      <c r="F235" s="395" t="s">
        <v>513</v>
      </c>
      <c r="G235" s="396"/>
      <c r="H235" s="397"/>
      <c r="I235" s="383">
        <v>3255000</v>
      </c>
      <c r="J235" s="398">
        <v>135461</v>
      </c>
      <c r="K235" s="399" t="s">
        <v>71</v>
      </c>
      <c r="L235" s="399" t="s">
        <v>34</v>
      </c>
      <c r="M235" s="399">
        <v>208</v>
      </c>
      <c r="N235" s="356">
        <v>3255000</v>
      </c>
      <c r="O235" s="28" t="b">
        <f t="shared" si="19"/>
        <v>1</v>
      </c>
    </row>
    <row r="236" spans="2:15" s="28" customFormat="1" ht="16.5" customHeight="1">
      <c r="B236" s="20"/>
      <c r="C236" s="20"/>
      <c r="D236" s="254"/>
      <c r="E236" s="379">
        <v>135462</v>
      </c>
      <c r="F236" s="395" t="s">
        <v>305</v>
      </c>
      <c r="G236" s="396"/>
      <c r="H236" s="397"/>
      <c r="I236" s="383">
        <v>351000</v>
      </c>
      <c r="J236" s="398">
        <v>135462</v>
      </c>
      <c r="K236" s="399" t="s">
        <v>70</v>
      </c>
      <c r="L236" s="399" t="s">
        <v>34</v>
      </c>
      <c r="M236" s="399">
        <v>18.899999999999999</v>
      </c>
      <c r="N236" s="356">
        <v>351000</v>
      </c>
      <c r="O236" s="28" t="b">
        <f t="shared" si="19"/>
        <v>1</v>
      </c>
    </row>
    <row r="237" spans="2:15" s="28" customFormat="1" ht="16.5" customHeight="1">
      <c r="B237" s="20"/>
      <c r="C237" s="20"/>
      <c r="D237" s="254"/>
      <c r="E237" s="379">
        <v>135463</v>
      </c>
      <c r="F237" s="395" t="s">
        <v>514</v>
      </c>
      <c r="G237" s="396"/>
      <c r="H237" s="397"/>
      <c r="I237" s="383">
        <v>3383000</v>
      </c>
      <c r="J237" s="398">
        <v>135463</v>
      </c>
      <c r="K237" s="399" t="s">
        <v>71</v>
      </c>
      <c r="L237" s="399" t="s">
        <v>34</v>
      </c>
      <c r="M237" s="399">
        <v>208</v>
      </c>
      <c r="N237" s="356">
        <v>3383000</v>
      </c>
      <c r="O237" s="28" t="b">
        <f t="shared" si="19"/>
        <v>1</v>
      </c>
    </row>
    <row r="238" spans="2:15" s="28" customFormat="1" ht="16.5" customHeight="1">
      <c r="B238" s="20"/>
      <c r="C238" s="20"/>
      <c r="D238" s="254"/>
      <c r="E238" s="379">
        <v>135464</v>
      </c>
      <c r="F238" s="395" t="s">
        <v>306</v>
      </c>
      <c r="G238" s="396"/>
      <c r="H238" s="397"/>
      <c r="I238" s="383">
        <v>364000</v>
      </c>
      <c r="J238" s="398">
        <v>135464</v>
      </c>
      <c r="K238" s="399" t="s">
        <v>70</v>
      </c>
      <c r="L238" s="399" t="s">
        <v>34</v>
      </c>
      <c r="M238" s="399">
        <v>18.899999999999999</v>
      </c>
      <c r="N238" s="356">
        <v>364000</v>
      </c>
      <c r="O238" s="28" t="b">
        <f t="shared" si="19"/>
        <v>1</v>
      </c>
    </row>
    <row r="239" spans="2:15" s="28" customFormat="1" ht="16.5" customHeight="1">
      <c r="B239" s="20"/>
      <c r="C239" s="20"/>
      <c r="D239" s="254"/>
      <c r="E239" s="379">
        <v>135488</v>
      </c>
      <c r="F239" s="395" t="s">
        <v>240</v>
      </c>
      <c r="G239" s="396"/>
      <c r="H239" s="397"/>
      <c r="I239" s="383">
        <v>47600</v>
      </c>
      <c r="J239" s="398">
        <v>135488</v>
      </c>
      <c r="K239" s="399" t="s">
        <v>70</v>
      </c>
      <c r="L239" s="399" t="s">
        <v>34</v>
      </c>
      <c r="M239" s="399">
        <v>20</v>
      </c>
      <c r="N239" s="356">
        <v>47600</v>
      </c>
      <c r="O239" s="28" t="b">
        <f t="shared" si="19"/>
        <v>1</v>
      </c>
    </row>
    <row r="240" spans="2:15" s="28" customFormat="1" ht="16.5" customHeight="1">
      <c r="B240" s="20"/>
      <c r="C240" s="20"/>
      <c r="D240" s="254"/>
      <c r="E240" s="379">
        <v>148688</v>
      </c>
      <c r="F240" s="395" t="s">
        <v>307</v>
      </c>
      <c r="G240" s="396"/>
      <c r="H240" s="397"/>
      <c r="I240" s="383">
        <v>69500</v>
      </c>
      <c r="J240" s="398">
        <v>148688</v>
      </c>
      <c r="K240" s="399" t="s">
        <v>70</v>
      </c>
      <c r="L240" s="399" t="s">
        <v>34</v>
      </c>
      <c r="M240" s="399">
        <v>20</v>
      </c>
      <c r="N240" s="356">
        <v>69500</v>
      </c>
      <c r="O240" s="28" t="b">
        <f t="shared" si="19"/>
        <v>1</v>
      </c>
    </row>
    <row r="241" spans="2:15" s="28" customFormat="1" ht="16.5" customHeight="1">
      <c r="B241" s="20"/>
      <c r="C241" s="20"/>
      <c r="D241" s="254"/>
      <c r="E241" s="379">
        <v>135627</v>
      </c>
      <c r="F241" s="395" t="s">
        <v>36</v>
      </c>
      <c r="G241" s="396"/>
      <c r="H241" s="397"/>
      <c r="I241" s="383">
        <v>4915000</v>
      </c>
      <c r="J241" s="398">
        <v>135627</v>
      </c>
      <c r="K241" s="399" t="s">
        <v>71</v>
      </c>
      <c r="L241" s="399" t="s">
        <v>34</v>
      </c>
      <c r="M241" s="399">
        <v>175</v>
      </c>
      <c r="N241" s="356">
        <v>4915000</v>
      </c>
      <c r="O241" s="28" t="b">
        <f t="shared" si="19"/>
        <v>1</v>
      </c>
    </row>
    <row r="242" spans="2:15" s="28" customFormat="1" ht="16.5" customHeight="1">
      <c r="B242" s="20"/>
      <c r="C242" s="20"/>
      <c r="D242" s="254"/>
      <c r="E242" s="379">
        <v>135836</v>
      </c>
      <c r="F242" s="395" t="s">
        <v>66</v>
      </c>
      <c r="G242" s="396"/>
      <c r="H242" s="397"/>
      <c r="I242" s="383">
        <v>3321000</v>
      </c>
      <c r="J242" s="398">
        <v>135836</v>
      </c>
      <c r="K242" s="399" t="s">
        <v>71</v>
      </c>
      <c r="L242" s="399" t="s">
        <v>34</v>
      </c>
      <c r="M242" s="399">
        <v>208</v>
      </c>
      <c r="N242" s="356">
        <v>3321000</v>
      </c>
      <c r="O242" s="28" t="b">
        <f t="shared" si="19"/>
        <v>1</v>
      </c>
    </row>
    <row r="243" spans="2:15" s="28" customFormat="1" ht="16.5" customHeight="1">
      <c r="B243" s="20"/>
      <c r="C243" s="20"/>
      <c r="D243" s="254"/>
      <c r="E243" s="379">
        <v>135877</v>
      </c>
      <c r="F243" s="395" t="s">
        <v>308</v>
      </c>
      <c r="G243" s="396"/>
      <c r="H243" s="397"/>
      <c r="I243" s="383">
        <v>474000</v>
      </c>
      <c r="J243" s="398">
        <v>135877</v>
      </c>
      <c r="K243" s="399" t="s">
        <v>70</v>
      </c>
      <c r="L243" s="399" t="s">
        <v>34</v>
      </c>
      <c r="M243" s="399">
        <v>20</v>
      </c>
      <c r="N243" s="356">
        <v>474000</v>
      </c>
      <c r="O243" s="28" t="b">
        <f t="shared" si="19"/>
        <v>1</v>
      </c>
    </row>
    <row r="244" spans="2:15" s="28" customFormat="1" ht="16.5" customHeight="1">
      <c r="B244" s="20"/>
      <c r="C244" s="20"/>
      <c r="D244" s="254"/>
      <c r="E244" s="379">
        <v>135916</v>
      </c>
      <c r="F244" s="395" t="s">
        <v>516</v>
      </c>
      <c r="G244" s="396"/>
      <c r="H244" s="397"/>
      <c r="I244" s="383">
        <v>547000</v>
      </c>
      <c r="J244" s="398">
        <v>135916</v>
      </c>
      <c r="K244" s="399" t="s">
        <v>71</v>
      </c>
      <c r="L244" s="399" t="s">
        <v>34</v>
      </c>
      <c r="M244" s="399">
        <v>200</v>
      </c>
      <c r="N244" s="356">
        <v>547000</v>
      </c>
      <c r="O244" s="28" t="b">
        <f t="shared" si="19"/>
        <v>1</v>
      </c>
    </row>
    <row r="245" spans="2:15" s="28" customFormat="1" ht="16.5" customHeight="1">
      <c r="B245" s="20"/>
      <c r="C245" s="20"/>
      <c r="D245" s="254"/>
      <c r="E245" s="379">
        <v>148680</v>
      </c>
      <c r="F245" s="395" t="s">
        <v>45</v>
      </c>
      <c r="G245" s="396"/>
      <c r="H245" s="397"/>
      <c r="I245" s="383">
        <v>850000</v>
      </c>
      <c r="J245" s="398">
        <v>148680</v>
      </c>
      <c r="K245" s="399" t="s">
        <v>71</v>
      </c>
      <c r="L245" s="399" t="s">
        <v>34</v>
      </c>
      <c r="M245" s="399">
        <v>208</v>
      </c>
      <c r="N245" s="356">
        <v>850000</v>
      </c>
      <c r="O245" s="28" t="b">
        <f t="shared" si="19"/>
        <v>1</v>
      </c>
    </row>
    <row r="246" spans="2:15" s="28" customFormat="1" ht="16.5" customHeight="1">
      <c r="B246" s="20"/>
      <c r="C246" s="20"/>
      <c r="D246" s="254"/>
      <c r="E246" s="379">
        <v>135934</v>
      </c>
      <c r="F246" s="395" t="s">
        <v>309</v>
      </c>
      <c r="G246" s="396"/>
      <c r="H246" s="397"/>
      <c r="I246" s="383">
        <v>183000</v>
      </c>
      <c r="J246" s="398">
        <v>135934</v>
      </c>
      <c r="K246" s="399" t="s">
        <v>70</v>
      </c>
      <c r="L246" s="399" t="s">
        <v>34</v>
      </c>
      <c r="M246" s="399">
        <v>16</v>
      </c>
      <c r="N246" s="356">
        <v>183000</v>
      </c>
      <c r="O246" s="28" t="b">
        <f t="shared" si="19"/>
        <v>1</v>
      </c>
    </row>
    <row r="247" spans="2:15" s="28" customFormat="1" ht="16.5" customHeight="1">
      <c r="B247" s="20"/>
      <c r="C247" s="20"/>
      <c r="D247" s="254"/>
      <c r="E247" s="379">
        <v>135935</v>
      </c>
      <c r="F247" s="395" t="s">
        <v>517</v>
      </c>
      <c r="G247" s="401"/>
      <c r="H247" s="402"/>
      <c r="I247" s="383">
        <v>1871000</v>
      </c>
      <c r="J247" s="398">
        <v>135935</v>
      </c>
      <c r="K247" s="399" t="s">
        <v>71</v>
      </c>
      <c r="L247" s="399" t="s">
        <v>34</v>
      </c>
      <c r="M247" s="399">
        <v>180</v>
      </c>
      <c r="N247" s="356">
        <v>1871000</v>
      </c>
      <c r="O247" s="28" t="b">
        <f t="shared" si="19"/>
        <v>1</v>
      </c>
    </row>
    <row r="248" spans="2:15" s="28" customFormat="1" ht="16.5" customHeight="1">
      <c r="B248" s="20"/>
      <c r="C248" s="20"/>
      <c r="D248" s="254"/>
      <c r="E248" s="379">
        <v>148676</v>
      </c>
      <c r="F248" s="395" t="s">
        <v>520</v>
      </c>
      <c r="G248" s="396"/>
      <c r="H248" s="397"/>
      <c r="I248" s="383">
        <v>645000</v>
      </c>
      <c r="J248" s="398">
        <v>148676</v>
      </c>
      <c r="K248" s="399" t="s">
        <v>71</v>
      </c>
      <c r="L248" s="399" t="s">
        <v>34</v>
      </c>
      <c r="M248" s="399">
        <v>208</v>
      </c>
      <c r="N248" s="356">
        <v>645000</v>
      </c>
      <c r="O248" s="28" t="b">
        <f t="shared" si="19"/>
        <v>1</v>
      </c>
    </row>
    <row r="249" spans="2:15" s="28" customFormat="1" ht="16.5" customHeight="1">
      <c r="B249" s="20"/>
      <c r="C249" s="20"/>
      <c r="D249" s="254"/>
      <c r="E249" s="379">
        <v>136130</v>
      </c>
      <c r="F249" s="395" t="s">
        <v>311</v>
      </c>
      <c r="G249" s="396"/>
      <c r="H249" s="397"/>
      <c r="I249" s="383">
        <v>198000</v>
      </c>
      <c r="J249" s="398">
        <v>136130</v>
      </c>
      <c r="K249" s="399" t="s">
        <v>70</v>
      </c>
      <c r="L249" s="399" t="s">
        <v>34</v>
      </c>
      <c r="M249" s="399">
        <v>16</v>
      </c>
      <c r="N249" s="356">
        <v>198000</v>
      </c>
      <c r="O249" s="28" t="b">
        <f t="shared" si="19"/>
        <v>1</v>
      </c>
    </row>
    <row r="250" spans="2:15" s="28" customFormat="1" ht="16.5" customHeight="1">
      <c r="B250" s="20"/>
      <c r="C250" s="20"/>
      <c r="D250" s="254"/>
      <c r="E250" s="379">
        <v>136131</v>
      </c>
      <c r="F250" s="395" t="s">
        <v>521</v>
      </c>
      <c r="G250" s="396"/>
      <c r="H250" s="397"/>
      <c r="I250" s="383">
        <v>2166000</v>
      </c>
      <c r="J250" s="398">
        <v>136131</v>
      </c>
      <c r="K250" s="399" t="s">
        <v>71</v>
      </c>
      <c r="L250" s="399" t="s">
        <v>34</v>
      </c>
      <c r="M250" s="399">
        <v>180</v>
      </c>
      <c r="N250" s="356">
        <v>2166000</v>
      </c>
      <c r="O250" s="28" t="b">
        <f t="shared" si="19"/>
        <v>1</v>
      </c>
    </row>
    <row r="251" spans="2:15" s="28" customFormat="1" ht="16.5" customHeight="1">
      <c r="B251" s="20"/>
      <c r="C251" s="20"/>
      <c r="D251" s="254"/>
      <c r="E251" s="379">
        <v>136132</v>
      </c>
      <c r="F251" s="395" t="s">
        <v>312</v>
      </c>
      <c r="G251" s="396"/>
      <c r="H251" s="397"/>
      <c r="I251" s="383">
        <v>198000</v>
      </c>
      <c r="J251" s="398">
        <v>136132</v>
      </c>
      <c r="K251" s="399" t="s">
        <v>70</v>
      </c>
      <c r="L251" s="399" t="s">
        <v>34</v>
      </c>
      <c r="M251" s="399">
        <v>16</v>
      </c>
      <c r="N251" s="356">
        <v>198000</v>
      </c>
      <c r="O251" s="28" t="b">
        <f t="shared" si="19"/>
        <v>1</v>
      </c>
    </row>
    <row r="252" spans="2:15" s="28" customFormat="1" ht="16.5" customHeight="1">
      <c r="B252" s="20"/>
      <c r="C252" s="20"/>
      <c r="D252" s="254"/>
      <c r="E252" s="379">
        <v>136133</v>
      </c>
      <c r="F252" s="395" t="s">
        <v>522</v>
      </c>
      <c r="G252" s="396"/>
      <c r="H252" s="397"/>
      <c r="I252" s="383">
        <v>2222000</v>
      </c>
      <c r="J252" s="398">
        <v>136133</v>
      </c>
      <c r="K252" s="399" t="s">
        <v>71</v>
      </c>
      <c r="L252" s="399" t="s">
        <v>34</v>
      </c>
      <c r="M252" s="399">
        <v>180</v>
      </c>
      <c r="N252" s="356">
        <v>2222000</v>
      </c>
      <c r="O252" s="28" t="b">
        <f t="shared" si="19"/>
        <v>1</v>
      </c>
    </row>
    <row r="253" spans="2:15" s="28" customFormat="1" ht="16.5" customHeight="1">
      <c r="B253" s="20"/>
      <c r="C253" s="20"/>
      <c r="D253" s="254"/>
      <c r="E253" s="379">
        <v>136141</v>
      </c>
      <c r="F253" s="395" t="s">
        <v>523</v>
      </c>
      <c r="G253" s="396"/>
      <c r="H253" s="397"/>
      <c r="I253" s="383">
        <v>3527000</v>
      </c>
      <c r="J253" s="398">
        <v>136141</v>
      </c>
      <c r="K253" s="399" t="s">
        <v>71</v>
      </c>
      <c r="L253" s="399" t="s">
        <v>34</v>
      </c>
      <c r="M253" s="399">
        <v>181</v>
      </c>
      <c r="N253" s="356">
        <v>3527000</v>
      </c>
      <c r="O253" s="28" t="b">
        <f t="shared" si="19"/>
        <v>1</v>
      </c>
    </row>
    <row r="254" spans="2:15" s="28" customFormat="1" ht="16.5" customHeight="1">
      <c r="B254" s="20"/>
      <c r="C254" s="20"/>
      <c r="D254" s="254"/>
      <c r="E254" s="379">
        <v>136159</v>
      </c>
      <c r="F254" s="395" t="s">
        <v>525</v>
      </c>
      <c r="G254" s="396"/>
      <c r="H254" s="397"/>
      <c r="I254" s="383">
        <v>4607000</v>
      </c>
      <c r="J254" s="398">
        <v>136159</v>
      </c>
      <c r="K254" s="399" t="s">
        <v>71</v>
      </c>
      <c r="L254" s="399" t="s">
        <v>34</v>
      </c>
      <c r="M254" s="399">
        <v>208</v>
      </c>
      <c r="N254" s="356">
        <v>4607000</v>
      </c>
      <c r="O254" s="28" t="b">
        <f t="shared" si="19"/>
        <v>1</v>
      </c>
    </row>
    <row r="255" spans="2:15" s="28" customFormat="1" ht="16.5" customHeight="1">
      <c r="B255" s="20"/>
      <c r="C255" s="20"/>
      <c r="D255" s="254"/>
      <c r="E255" s="379">
        <v>136174</v>
      </c>
      <c r="F255" s="395" t="s">
        <v>526</v>
      </c>
      <c r="G255" s="396"/>
      <c r="H255" s="397"/>
      <c r="I255" s="383">
        <v>630000</v>
      </c>
      <c r="J255" s="398">
        <v>136174</v>
      </c>
      <c r="K255" s="399" t="s">
        <v>71</v>
      </c>
      <c r="L255" s="399" t="s">
        <v>34</v>
      </c>
      <c r="M255" s="399">
        <v>200</v>
      </c>
      <c r="N255" s="356">
        <v>630000</v>
      </c>
      <c r="O255" s="28" t="b">
        <f t="shared" si="19"/>
        <v>1</v>
      </c>
    </row>
    <row r="256" spans="2:15" s="28" customFormat="1" ht="16.5" customHeight="1">
      <c r="B256" s="20"/>
      <c r="C256" s="20"/>
      <c r="D256" s="254"/>
      <c r="E256" s="379">
        <v>136235</v>
      </c>
      <c r="F256" s="395" t="s">
        <v>739</v>
      </c>
      <c r="G256" s="396"/>
      <c r="H256" s="397"/>
      <c r="I256" s="383">
        <v>858000</v>
      </c>
      <c r="J256" s="398">
        <v>136235</v>
      </c>
      <c r="K256" s="399" t="s">
        <v>71</v>
      </c>
      <c r="L256" s="399" t="s">
        <v>34</v>
      </c>
      <c r="M256" s="399">
        <v>208</v>
      </c>
      <c r="N256" s="356">
        <v>858000</v>
      </c>
      <c r="O256" s="28" t="b">
        <f t="shared" si="19"/>
        <v>1</v>
      </c>
    </row>
    <row r="257" spans="2:15" s="28" customFormat="1" ht="16.5" customHeight="1">
      <c r="B257" s="20"/>
      <c r="C257" s="20"/>
      <c r="D257" s="254"/>
      <c r="E257" s="379">
        <v>148678</v>
      </c>
      <c r="F257" s="395" t="s">
        <v>527</v>
      </c>
      <c r="G257" s="396"/>
      <c r="H257" s="397"/>
      <c r="I257" s="383">
        <v>645000</v>
      </c>
      <c r="J257" s="398">
        <v>148678</v>
      </c>
      <c r="K257" s="399" t="s">
        <v>71</v>
      </c>
      <c r="L257" s="399" t="s">
        <v>34</v>
      </c>
      <c r="M257" s="399">
        <v>208</v>
      </c>
      <c r="N257" s="356">
        <v>645000</v>
      </c>
      <c r="O257" s="28" t="b">
        <f t="shared" si="19"/>
        <v>1</v>
      </c>
    </row>
    <row r="258" spans="2:15" s="28" customFormat="1" ht="16.5" customHeight="1">
      <c r="B258" s="20"/>
      <c r="C258" s="20"/>
      <c r="D258" s="254"/>
      <c r="E258" s="379">
        <v>143561</v>
      </c>
      <c r="F258" s="395" t="s">
        <v>558</v>
      </c>
      <c r="G258" s="396"/>
      <c r="H258" s="397"/>
      <c r="I258" s="383">
        <v>728000</v>
      </c>
      <c r="J258" s="398">
        <v>138959</v>
      </c>
      <c r="K258" s="399" t="s">
        <v>71</v>
      </c>
      <c r="L258" s="399" t="s">
        <v>34</v>
      </c>
      <c r="M258" s="399">
        <v>200</v>
      </c>
      <c r="N258" s="356">
        <v>728000</v>
      </c>
      <c r="O258" s="28" t="b">
        <f t="shared" si="19"/>
        <v>1</v>
      </c>
    </row>
    <row r="259" spans="2:15" s="28" customFormat="1" ht="16.5" customHeight="1">
      <c r="B259" s="20"/>
      <c r="C259" s="20"/>
      <c r="D259" s="254"/>
      <c r="E259" s="379">
        <v>143560</v>
      </c>
      <c r="F259" s="395" t="s">
        <v>559</v>
      </c>
      <c r="G259" s="396"/>
      <c r="H259" s="397"/>
      <c r="I259" s="383">
        <v>728000</v>
      </c>
      <c r="J259" s="398">
        <v>138960</v>
      </c>
      <c r="K259" s="399" t="s">
        <v>71</v>
      </c>
      <c r="L259" s="399" t="s">
        <v>34</v>
      </c>
      <c r="M259" s="399">
        <v>200</v>
      </c>
      <c r="N259" s="356">
        <v>728000</v>
      </c>
      <c r="O259" s="28" t="b">
        <f t="shared" si="19"/>
        <v>1</v>
      </c>
    </row>
    <row r="260" spans="2:15" s="28" customFormat="1" ht="16.5" customHeight="1">
      <c r="B260" s="20"/>
      <c r="C260" s="20"/>
      <c r="D260" s="254"/>
      <c r="E260" s="379">
        <v>141666</v>
      </c>
      <c r="F260" s="395" t="s">
        <v>560</v>
      </c>
      <c r="G260" s="396"/>
      <c r="H260" s="397"/>
      <c r="I260" s="383">
        <v>755000</v>
      </c>
      <c r="J260" s="398">
        <v>138961</v>
      </c>
      <c r="K260" s="399" t="s">
        <v>71</v>
      </c>
      <c r="L260" s="399" t="s">
        <v>34</v>
      </c>
      <c r="M260" s="399">
        <v>200</v>
      </c>
      <c r="N260" s="356">
        <v>755000</v>
      </c>
      <c r="O260" s="28" t="b">
        <f t="shared" si="19"/>
        <v>1</v>
      </c>
    </row>
    <row r="261" spans="2:15" s="28" customFormat="1" ht="16.5" customHeight="1">
      <c r="B261" s="20"/>
      <c r="C261" s="20"/>
      <c r="D261" s="254"/>
      <c r="E261" s="379">
        <v>138963</v>
      </c>
      <c r="F261" s="395" t="s">
        <v>562</v>
      </c>
      <c r="G261" s="396"/>
      <c r="H261" s="397"/>
      <c r="I261" s="383">
        <v>755000</v>
      </c>
      <c r="J261" s="398">
        <v>138963</v>
      </c>
      <c r="K261" s="399" t="s">
        <v>71</v>
      </c>
      <c r="L261" s="399" t="s">
        <v>34</v>
      </c>
      <c r="M261" s="399">
        <v>200</v>
      </c>
      <c r="N261" s="356">
        <v>755000</v>
      </c>
      <c r="O261" s="28" t="b">
        <f t="shared" si="19"/>
        <v>1</v>
      </c>
    </row>
    <row r="262" spans="2:15" s="28" customFormat="1" ht="16.5" customHeight="1">
      <c r="B262" s="20"/>
      <c r="C262" s="20"/>
      <c r="D262" s="254"/>
      <c r="E262" s="379">
        <v>138964</v>
      </c>
      <c r="F262" s="395" t="s">
        <v>315</v>
      </c>
      <c r="G262" s="396"/>
      <c r="H262" s="397"/>
      <c r="I262" s="383">
        <v>79600</v>
      </c>
      <c r="J262" s="398">
        <v>138964</v>
      </c>
      <c r="K262" s="399" t="s">
        <v>70</v>
      </c>
      <c r="L262" s="399" t="s">
        <v>34</v>
      </c>
      <c r="M262" s="399">
        <v>20</v>
      </c>
      <c r="N262" s="356">
        <v>79600</v>
      </c>
      <c r="O262" s="28" t="b">
        <f t="shared" si="19"/>
        <v>1</v>
      </c>
    </row>
    <row r="263" spans="2:15" s="28" customFormat="1" ht="16.5" customHeight="1">
      <c r="B263" s="20"/>
      <c r="C263" s="20"/>
      <c r="D263" s="254"/>
      <c r="E263" s="379">
        <v>136234</v>
      </c>
      <c r="F263" s="395" t="s">
        <v>316</v>
      </c>
      <c r="G263" s="396"/>
      <c r="H263" s="397"/>
      <c r="I263" s="383">
        <v>94600</v>
      </c>
      <c r="J263" s="398">
        <v>138980</v>
      </c>
      <c r="K263" s="399" t="s">
        <v>70</v>
      </c>
      <c r="L263" s="399" t="s">
        <v>34</v>
      </c>
      <c r="M263" s="399">
        <v>20</v>
      </c>
      <c r="N263" s="356">
        <v>94600</v>
      </c>
      <c r="O263" s="28" t="b">
        <f t="shared" si="19"/>
        <v>1</v>
      </c>
    </row>
    <row r="264" spans="2:15" s="28" customFormat="1" ht="16.5" customHeight="1">
      <c r="B264" s="20"/>
      <c r="C264" s="20"/>
      <c r="D264" s="254"/>
      <c r="E264" s="379">
        <v>139023</v>
      </c>
      <c r="F264" s="395" t="s">
        <v>569</v>
      </c>
      <c r="G264" s="396"/>
      <c r="H264" s="397"/>
      <c r="I264" s="383">
        <v>893000</v>
      </c>
      <c r="J264" s="398">
        <v>139023</v>
      </c>
      <c r="K264" s="399" t="s">
        <v>71</v>
      </c>
      <c r="L264" s="399" t="s">
        <v>34</v>
      </c>
      <c r="M264" s="399">
        <v>200</v>
      </c>
      <c r="N264" s="356">
        <v>893000</v>
      </c>
      <c r="O264" s="28" t="b">
        <f t="shared" si="19"/>
        <v>1</v>
      </c>
    </row>
    <row r="265" spans="2:15" s="28" customFormat="1" ht="16.5" customHeight="1">
      <c r="B265" s="20"/>
      <c r="C265" s="20"/>
      <c r="D265" s="254"/>
      <c r="E265" s="379">
        <v>139026</v>
      </c>
      <c r="F265" s="395" t="s">
        <v>571</v>
      </c>
      <c r="G265" s="396"/>
      <c r="H265" s="397"/>
      <c r="I265" s="383">
        <v>670000</v>
      </c>
      <c r="J265" s="398">
        <v>139026</v>
      </c>
      <c r="K265" s="399" t="s">
        <v>71</v>
      </c>
      <c r="L265" s="399" t="s">
        <v>34</v>
      </c>
      <c r="M265" s="399">
        <v>200</v>
      </c>
      <c r="N265" s="356">
        <v>670000</v>
      </c>
      <c r="O265" s="28" t="b">
        <f t="shared" si="19"/>
        <v>1</v>
      </c>
    </row>
    <row r="266" spans="2:15" s="28" customFormat="1" ht="16.5" customHeight="1">
      <c r="B266" s="20"/>
      <c r="C266" s="20"/>
      <c r="D266" s="254"/>
      <c r="E266" s="379">
        <v>139027</v>
      </c>
      <c r="F266" s="395" t="s">
        <v>572</v>
      </c>
      <c r="G266" s="396"/>
      <c r="H266" s="397"/>
      <c r="I266" s="383">
        <v>749000</v>
      </c>
      <c r="J266" s="398">
        <v>139027</v>
      </c>
      <c r="K266" s="399" t="s">
        <v>71</v>
      </c>
      <c r="L266" s="399" t="s">
        <v>34</v>
      </c>
      <c r="M266" s="399">
        <v>200</v>
      </c>
      <c r="N266" s="356">
        <v>749000</v>
      </c>
      <c r="O266" s="28" t="b">
        <f t="shared" si="19"/>
        <v>1</v>
      </c>
    </row>
    <row r="267" spans="2:15" s="28" customFormat="1" ht="16.5" customHeight="1">
      <c r="B267" s="20"/>
      <c r="C267" s="20"/>
      <c r="D267" s="254"/>
      <c r="E267" s="379">
        <v>139028</v>
      </c>
      <c r="F267" s="395" t="s">
        <v>573</v>
      </c>
      <c r="G267" s="396"/>
      <c r="H267" s="397"/>
      <c r="I267" s="383">
        <v>893000</v>
      </c>
      <c r="J267" s="398">
        <v>139028</v>
      </c>
      <c r="K267" s="399" t="s">
        <v>71</v>
      </c>
      <c r="L267" s="399" t="s">
        <v>34</v>
      </c>
      <c r="M267" s="399">
        <v>200</v>
      </c>
      <c r="N267" s="356">
        <v>893000</v>
      </c>
      <c r="O267" s="28" t="b">
        <f t="shared" si="19"/>
        <v>1</v>
      </c>
    </row>
    <row r="268" spans="2:15" s="28" customFormat="1" ht="16.5" customHeight="1">
      <c r="B268" s="20"/>
      <c r="C268" s="20"/>
      <c r="D268" s="254"/>
      <c r="E268" s="379">
        <v>139029</v>
      </c>
      <c r="F268" s="395" t="s">
        <v>574</v>
      </c>
      <c r="G268" s="396"/>
      <c r="H268" s="397"/>
      <c r="I268" s="383">
        <v>535000</v>
      </c>
      <c r="J268" s="398">
        <v>139029</v>
      </c>
      <c r="K268" s="399" t="s">
        <v>71</v>
      </c>
      <c r="L268" s="399" t="s">
        <v>34</v>
      </c>
      <c r="M268" s="399">
        <v>200</v>
      </c>
      <c r="N268" s="356">
        <v>535000</v>
      </c>
      <c r="O268" s="28" t="b">
        <f t="shared" si="19"/>
        <v>1</v>
      </c>
    </row>
    <row r="269" spans="2:15" s="28" customFormat="1" ht="16.5" customHeight="1">
      <c r="B269" s="20"/>
      <c r="C269" s="20"/>
      <c r="D269" s="254"/>
      <c r="E269" s="379">
        <v>139030</v>
      </c>
      <c r="F269" s="395" t="s">
        <v>236</v>
      </c>
      <c r="G269" s="396"/>
      <c r="H269" s="397"/>
      <c r="I269" s="383">
        <v>54500</v>
      </c>
      <c r="J269" s="398">
        <v>139030</v>
      </c>
      <c r="K269" s="399" t="s">
        <v>70</v>
      </c>
      <c r="L269" s="399" t="s">
        <v>34</v>
      </c>
      <c r="M269" s="399">
        <v>20</v>
      </c>
      <c r="N269" s="356">
        <v>54500</v>
      </c>
      <c r="O269" s="28" t="b">
        <f t="shared" si="19"/>
        <v>1</v>
      </c>
    </row>
    <row r="270" spans="2:15" s="28" customFormat="1" ht="16.5" customHeight="1">
      <c r="B270" s="20"/>
      <c r="C270" s="20"/>
      <c r="D270" s="254"/>
      <c r="E270" s="379">
        <v>139032</v>
      </c>
      <c r="F270" s="395" t="s">
        <v>322</v>
      </c>
      <c r="G270" s="396"/>
      <c r="H270" s="397"/>
      <c r="I270" s="383">
        <v>371000</v>
      </c>
      <c r="J270" s="398">
        <v>139032</v>
      </c>
      <c r="K270" s="399" t="s">
        <v>70</v>
      </c>
      <c r="L270" s="399" t="s">
        <v>34</v>
      </c>
      <c r="M270" s="399">
        <v>20</v>
      </c>
      <c r="N270" s="356">
        <v>371000</v>
      </c>
      <c r="O270" s="28" t="b">
        <f t="shared" si="19"/>
        <v>1</v>
      </c>
    </row>
    <row r="271" spans="2:15" s="28" customFormat="1" ht="16.5" customHeight="1">
      <c r="B271" s="20"/>
      <c r="C271" s="20"/>
      <c r="D271" s="254"/>
      <c r="E271" s="379">
        <v>139033</v>
      </c>
      <c r="F271" s="395" t="s">
        <v>323</v>
      </c>
      <c r="G271" s="396"/>
      <c r="H271" s="397"/>
      <c r="I271" s="383">
        <v>392000</v>
      </c>
      <c r="J271" s="398">
        <v>139033</v>
      </c>
      <c r="K271" s="399" t="s">
        <v>70</v>
      </c>
      <c r="L271" s="399" t="s">
        <v>34</v>
      </c>
      <c r="M271" s="399">
        <v>20</v>
      </c>
      <c r="N271" s="356">
        <v>392000</v>
      </c>
      <c r="O271" s="28" t="b">
        <f t="shared" si="19"/>
        <v>1</v>
      </c>
    </row>
    <row r="272" spans="2:15" s="28" customFormat="1" ht="16.5" customHeight="1">
      <c r="B272" s="20"/>
      <c r="C272" s="20"/>
      <c r="D272" s="254"/>
      <c r="E272" s="379">
        <v>139036</v>
      </c>
      <c r="F272" s="395" t="s">
        <v>575</v>
      </c>
      <c r="G272" s="396"/>
      <c r="H272" s="397"/>
      <c r="I272" s="383">
        <v>649000</v>
      </c>
      <c r="J272" s="398">
        <v>139036</v>
      </c>
      <c r="K272" s="399" t="s">
        <v>71</v>
      </c>
      <c r="L272" s="399" t="s">
        <v>34</v>
      </c>
      <c r="M272" s="399">
        <v>200</v>
      </c>
      <c r="N272" s="356">
        <v>649000</v>
      </c>
      <c r="O272" s="28" t="b">
        <f t="shared" si="19"/>
        <v>1</v>
      </c>
    </row>
    <row r="273" spans="2:15" s="28" customFormat="1" ht="16.5" customHeight="1">
      <c r="B273" s="20"/>
      <c r="C273" s="20"/>
      <c r="D273" s="254"/>
      <c r="E273" s="379">
        <v>139037</v>
      </c>
      <c r="F273" s="395" t="s">
        <v>324</v>
      </c>
      <c r="G273" s="396"/>
      <c r="H273" s="397"/>
      <c r="I273" s="383">
        <v>82400</v>
      </c>
      <c r="J273" s="398">
        <v>139037</v>
      </c>
      <c r="K273" s="399" t="s">
        <v>70</v>
      </c>
      <c r="L273" s="399" t="s">
        <v>34</v>
      </c>
      <c r="M273" s="399">
        <v>20</v>
      </c>
      <c r="N273" s="356">
        <v>82400</v>
      </c>
      <c r="O273" s="28" t="b">
        <f t="shared" si="19"/>
        <v>1</v>
      </c>
    </row>
    <row r="274" spans="2:15" s="28" customFormat="1" ht="16.5" customHeight="1">
      <c r="B274" s="20"/>
      <c r="C274" s="20"/>
      <c r="D274" s="254"/>
      <c r="E274" s="379">
        <v>139038</v>
      </c>
      <c r="F274" s="395" t="s">
        <v>576</v>
      </c>
      <c r="G274" s="396"/>
      <c r="H274" s="397"/>
      <c r="I274" s="383">
        <v>746000</v>
      </c>
      <c r="J274" s="398">
        <v>139038</v>
      </c>
      <c r="K274" s="399" t="s">
        <v>71</v>
      </c>
      <c r="L274" s="399" t="s">
        <v>34</v>
      </c>
      <c r="M274" s="399">
        <v>200</v>
      </c>
      <c r="N274" s="356">
        <v>746000</v>
      </c>
      <c r="O274" s="28" t="b">
        <f t="shared" si="19"/>
        <v>1</v>
      </c>
    </row>
    <row r="275" spans="2:15" s="28" customFormat="1" ht="16.5" customHeight="1">
      <c r="B275" s="20"/>
      <c r="C275" s="20"/>
      <c r="D275" s="254"/>
      <c r="E275" s="379">
        <v>139040</v>
      </c>
      <c r="F275" s="395" t="s">
        <v>577</v>
      </c>
      <c r="G275" s="396"/>
      <c r="H275" s="397"/>
      <c r="I275" s="383">
        <v>575000</v>
      </c>
      <c r="J275" s="398">
        <v>139040</v>
      </c>
      <c r="K275" s="399" t="s">
        <v>71</v>
      </c>
      <c r="L275" s="399" t="s">
        <v>34</v>
      </c>
      <c r="M275" s="399">
        <v>200</v>
      </c>
      <c r="N275" s="356">
        <v>575000</v>
      </c>
      <c r="O275" s="28" t="b">
        <f t="shared" si="19"/>
        <v>1</v>
      </c>
    </row>
    <row r="276" spans="2:15" s="28" customFormat="1" ht="16.5" customHeight="1">
      <c r="B276" s="20"/>
      <c r="C276" s="20"/>
      <c r="D276" s="254"/>
      <c r="E276" s="379">
        <v>139041</v>
      </c>
      <c r="F276" s="395" t="s">
        <v>325</v>
      </c>
      <c r="G276" s="396"/>
      <c r="H276" s="397"/>
      <c r="I276" s="383">
        <v>61300</v>
      </c>
      <c r="J276" s="398">
        <v>139041</v>
      </c>
      <c r="K276" s="399" t="s">
        <v>70</v>
      </c>
      <c r="L276" s="399" t="s">
        <v>34</v>
      </c>
      <c r="M276" s="399">
        <v>20</v>
      </c>
      <c r="N276" s="356">
        <v>61300</v>
      </c>
      <c r="O276" s="28" t="b">
        <f t="shared" si="19"/>
        <v>1</v>
      </c>
    </row>
    <row r="277" spans="2:15" s="28" customFormat="1" ht="16.5" customHeight="1">
      <c r="B277" s="20"/>
      <c r="C277" s="20"/>
      <c r="D277" s="254"/>
      <c r="E277" s="379">
        <v>139042</v>
      </c>
      <c r="F277" s="395" t="s">
        <v>578</v>
      </c>
      <c r="G277" s="396"/>
      <c r="H277" s="397"/>
      <c r="I277" s="383">
        <v>575000</v>
      </c>
      <c r="J277" s="398">
        <v>139042</v>
      </c>
      <c r="K277" s="399" t="s">
        <v>71</v>
      </c>
      <c r="L277" s="399" t="s">
        <v>34</v>
      </c>
      <c r="M277" s="399">
        <v>200</v>
      </c>
      <c r="N277" s="356">
        <v>575000</v>
      </c>
      <c r="O277" s="28" t="b">
        <f t="shared" si="19"/>
        <v>1</v>
      </c>
    </row>
    <row r="278" spans="2:15" s="28" customFormat="1" ht="16.5" customHeight="1">
      <c r="B278" s="20"/>
      <c r="C278" s="20"/>
      <c r="D278" s="254"/>
      <c r="E278" s="379">
        <v>139043</v>
      </c>
      <c r="F278" s="395" t="s">
        <v>326</v>
      </c>
      <c r="G278" s="396"/>
      <c r="H278" s="397"/>
      <c r="I278" s="383">
        <v>100000</v>
      </c>
      <c r="J278" s="398">
        <v>139043</v>
      </c>
      <c r="K278" s="399" t="s">
        <v>70</v>
      </c>
      <c r="L278" s="399" t="s">
        <v>34</v>
      </c>
      <c r="M278" s="399">
        <v>20</v>
      </c>
      <c r="N278" s="356">
        <v>100000</v>
      </c>
      <c r="O278" s="28" t="b">
        <f t="shared" si="19"/>
        <v>1</v>
      </c>
    </row>
    <row r="279" spans="2:15" s="28" customFormat="1" ht="16.5" customHeight="1">
      <c r="B279" s="20"/>
      <c r="C279" s="20"/>
      <c r="D279" s="254"/>
      <c r="E279" s="379">
        <v>139044</v>
      </c>
      <c r="F279" s="395" t="s">
        <v>579</v>
      </c>
      <c r="G279" s="396"/>
      <c r="H279" s="397"/>
      <c r="I279" s="383">
        <v>960000</v>
      </c>
      <c r="J279" s="398">
        <v>139044</v>
      </c>
      <c r="K279" s="399" t="s">
        <v>71</v>
      </c>
      <c r="L279" s="399" t="s">
        <v>34</v>
      </c>
      <c r="M279" s="399">
        <v>200</v>
      </c>
      <c r="N279" s="356">
        <v>960000</v>
      </c>
      <c r="O279" s="28" t="b">
        <f t="shared" si="19"/>
        <v>1</v>
      </c>
    </row>
    <row r="280" spans="2:15" s="28" customFormat="1" ht="16.5" customHeight="1">
      <c r="B280" s="20"/>
      <c r="C280" s="20"/>
      <c r="D280" s="254"/>
      <c r="E280" s="379">
        <v>139045</v>
      </c>
      <c r="F280" s="395" t="s">
        <v>327</v>
      </c>
      <c r="G280" s="396"/>
      <c r="H280" s="397"/>
      <c r="I280" s="383">
        <v>100000</v>
      </c>
      <c r="J280" s="398">
        <v>139045</v>
      </c>
      <c r="K280" s="399" t="s">
        <v>70</v>
      </c>
      <c r="L280" s="399" t="s">
        <v>34</v>
      </c>
      <c r="M280" s="399">
        <v>20</v>
      </c>
      <c r="N280" s="356">
        <v>100000</v>
      </c>
      <c r="O280" s="28" t="b">
        <f t="shared" si="19"/>
        <v>1</v>
      </c>
    </row>
    <row r="281" spans="2:15" s="28" customFormat="1" ht="16.5" customHeight="1">
      <c r="B281" s="20"/>
      <c r="C281" s="20"/>
      <c r="D281" s="254"/>
      <c r="E281" s="379">
        <v>139048</v>
      </c>
      <c r="F281" s="395" t="s">
        <v>328</v>
      </c>
      <c r="G281" s="396"/>
      <c r="H281" s="397"/>
      <c r="I281" s="383">
        <v>166000</v>
      </c>
      <c r="J281" s="398">
        <v>139048</v>
      </c>
      <c r="K281" s="399" t="s">
        <v>70</v>
      </c>
      <c r="L281" s="399" t="s">
        <v>34</v>
      </c>
      <c r="M281" s="399">
        <v>20</v>
      </c>
      <c r="N281" s="356">
        <v>166000</v>
      </c>
      <c r="O281" s="28" t="b">
        <f t="shared" si="19"/>
        <v>1</v>
      </c>
    </row>
    <row r="282" spans="2:15" s="28" customFormat="1" ht="16.5" customHeight="1">
      <c r="B282" s="20"/>
      <c r="C282" s="20"/>
      <c r="D282" s="254"/>
      <c r="E282" s="379">
        <v>139049</v>
      </c>
      <c r="F282" s="395" t="s">
        <v>329</v>
      </c>
      <c r="G282" s="396"/>
      <c r="H282" s="397"/>
      <c r="I282" s="383">
        <v>146000</v>
      </c>
      <c r="J282" s="398">
        <v>139049</v>
      </c>
      <c r="K282" s="399" t="s">
        <v>70</v>
      </c>
      <c r="L282" s="399" t="s">
        <v>34</v>
      </c>
      <c r="M282" s="399">
        <v>20</v>
      </c>
      <c r="N282" s="356">
        <v>146000</v>
      </c>
      <c r="O282" s="28" t="b">
        <f t="shared" ref="O282:O345" si="20">I282=N282</f>
        <v>1</v>
      </c>
    </row>
    <row r="283" spans="2:15" s="28" customFormat="1" ht="16.5" customHeight="1">
      <c r="B283" s="20"/>
      <c r="C283" s="20"/>
      <c r="D283" s="254"/>
      <c r="E283" s="379">
        <v>139050</v>
      </c>
      <c r="F283" s="395" t="s">
        <v>330</v>
      </c>
      <c r="G283" s="396"/>
      <c r="H283" s="397"/>
      <c r="I283" s="383"/>
      <c r="J283" s="398">
        <v>139050</v>
      </c>
      <c r="K283" s="399" t="s">
        <v>70</v>
      </c>
      <c r="L283" s="399" t="s">
        <v>34</v>
      </c>
      <c r="M283" s="399">
        <v>20</v>
      </c>
      <c r="N283" s="356" t="e">
        <v>#N/A</v>
      </c>
      <c r="O283" s="28" t="e">
        <f t="shared" si="20"/>
        <v>#N/A</v>
      </c>
    </row>
    <row r="284" spans="2:15" s="28" customFormat="1" ht="16.5" customHeight="1">
      <c r="B284" s="20"/>
      <c r="C284" s="20"/>
      <c r="D284" s="254"/>
      <c r="E284" s="379">
        <v>139051</v>
      </c>
      <c r="F284" s="395" t="s">
        <v>331</v>
      </c>
      <c r="G284" s="396"/>
      <c r="H284" s="397"/>
      <c r="I284" s="383">
        <v>169000</v>
      </c>
      <c r="J284" s="398">
        <v>139051</v>
      </c>
      <c r="K284" s="399" t="s">
        <v>70</v>
      </c>
      <c r="L284" s="399" t="s">
        <v>34</v>
      </c>
      <c r="M284" s="399">
        <v>18.899999999999999</v>
      </c>
      <c r="N284" s="356">
        <v>169000</v>
      </c>
      <c r="O284" s="28" t="b">
        <f t="shared" si="20"/>
        <v>1</v>
      </c>
    </row>
    <row r="285" spans="2:15" s="28" customFormat="1" ht="16.5" customHeight="1">
      <c r="B285" s="20"/>
      <c r="C285" s="20"/>
      <c r="D285" s="254"/>
      <c r="E285" s="379">
        <v>139052</v>
      </c>
      <c r="F285" s="395" t="s">
        <v>582</v>
      </c>
      <c r="G285" s="396"/>
      <c r="H285" s="397"/>
      <c r="I285" s="383"/>
      <c r="J285" s="398">
        <v>139052</v>
      </c>
      <c r="K285" s="399" t="s">
        <v>71</v>
      </c>
      <c r="L285" s="399" t="s">
        <v>34</v>
      </c>
      <c r="M285" s="399">
        <v>200</v>
      </c>
      <c r="N285" s="356" t="e">
        <v>#N/A</v>
      </c>
      <c r="O285" s="28" t="e">
        <f t="shared" si="20"/>
        <v>#N/A</v>
      </c>
    </row>
    <row r="286" spans="2:15" s="28" customFormat="1" ht="16.5" customHeight="1">
      <c r="B286" s="20"/>
      <c r="C286" s="20"/>
      <c r="D286" s="254"/>
      <c r="E286" s="379">
        <v>139057</v>
      </c>
      <c r="F286" s="395" t="s">
        <v>583</v>
      </c>
      <c r="G286" s="396"/>
      <c r="H286" s="397"/>
      <c r="I286" s="383">
        <v>721000</v>
      </c>
      <c r="J286" s="398">
        <v>139057</v>
      </c>
      <c r="K286" s="399" t="s">
        <v>71</v>
      </c>
      <c r="L286" s="399" t="s">
        <v>34</v>
      </c>
      <c r="M286" s="399">
        <v>200</v>
      </c>
      <c r="N286" s="356">
        <v>721000</v>
      </c>
      <c r="O286" s="28" t="b">
        <f t="shared" si="20"/>
        <v>1</v>
      </c>
    </row>
    <row r="287" spans="2:15" s="28" customFormat="1" ht="16.5" customHeight="1">
      <c r="B287" s="20"/>
      <c r="C287" s="20"/>
      <c r="D287" s="254"/>
      <c r="E287" s="379">
        <v>139058</v>
      </c>
      <c r="F287" s="395" t="s">
        <v>584</v>
      </c>
      <c r="G287" s="396"/>
      <c r="H287" s="397"/>
      <c r="I287" s="383">
        <v>893000</v>
      </c>
      <c r="J287" s="398">
        <v>139058</v>
      </c>
      <c r="K287" s="399" t="s">
        <v>71</v>
      </c>
      <c r="L287" s="399" t="s">
        <v>34</v>
      </c>
      <c r="M287" s="399">
        <v>200</v>
      </c>
      <c r="N287" s="356">
        <v>893000</v>
      </c>
      <c r="O287" s="28" t="b">
        <f t="shared" si="20"/>
        <v>1</v>
      </c>
    </row>
    <row r="288" spans="2:15" s="28" customFormat="1" ht="16.5" customHeight="1">
      <c r="B288" s="20"/>
      <c r="C288" s="20"/>
      <c r="D288" s="254"/>
      <c r="E288" s="379">
        <v>139059</v>
      </c>
      <c r="F288" s="395" t="s">
        <v>585</v>
      </c>
      <c r="G288" s="396"/>
      <c r="H288" s="397"/>
      <c r="I288" s="383">
        <v>691000</v>
      </c>
      <c r="J288" s="398">
        <v>139059</v>
      </c>
      <c r="K288" s="399" t="s">
        <v>71</v>
      </c>
      <c r="L288" s="399" t="s">
        <v>34</v>
      </c>
      <c r="M288" s="399">
        <v>200</v>
      </c>
      <c r="N288" s="356">
        <v>691000</v>
      </c>
      <c r="O288" s="28" t="b">
        <f t="shared" si="20"/>
        <v>1</v>
      </c>
    </row>
    <row r="289" spans="2:15" s="28" customFormat="1" ht="16.5" customHeight="1">
      <c r="B289" s="20"/>
      <c r="C289" s="20"/>
      <c r="D289" s="254"/>
      <c r="E289" s="379">
        <v>139061</v>
      </c>
      <c r="F289" s="395" t="s">
        <v>242</v>
      </c>
      <c r="G289" s="396"/>
      <c r="H289" s="397"/>
      <c r="I289" s="383">
        <v>83600</v>
      </c>
      <c r="J289" s="398">
        <v>139061</v>
      </c>
      <c r="K289" s="399" t="s">
        <v>70</v>
      </c>
      <c r="L289" s="399" t="s">
        <v>34</v>
      </c>
      <c r="M289" s="399">
        <v>20</v>
      </c>
      <c r="N289" s="356">
        <v>83600</v>
      </c>
      <c r="O289" s="28" t="b">
        <f t="shared" si="20"/>
        <v>1</v>
      </c>
    </row>
    <row r="290" spans="2:15" s="28" customFormat="1" ht="16.5" customHeight="1">
      <c r="B290" s="20"/>
      <c r="C290" s="20"/>
      <c r="D290" s="254"/>
      <c r="E290" s="379">
        <v>139062</v>
      </c>
      <c r="F290" s="395" t="s">
        <v>586</v>
      </c>
      <c r="G290" s="396"/>
      <c r="H290" s="397"/>
      <c r="I290" s="383">
        <v>687000</v>
      </c>
      <c r="J290" s="398">
        <v>139062</v>
      </c>
      <c r="K290" s="399" t="s">
        <v>71</v>
      </c>
      <c r="L290" s="399" t="s">
        <v>34</v>
      </c>
      <c r="M290" s="399">
        <v>200</v>
      </c>
      <c r="N290" s="356">
        <v>687000</v>
      </c>
      <c r="O290" s="28" t="b">
        <f t="shared" si="20"/>
        <v>1</v>
      </c>
    </row>
    <row r="291" spans="2:15" s="28" customFormat="1" ht="16.5" customHeight="1">
      <c r="B291" s="20"/>
      <c r="C291" s="20"/>
      <c r="D291" s="254"/>
      <c r="E291" s="379">
        <v>139063</v>
      </c>
      <c r="F291" s="395" t="s">
        <v>587</v>
      </c>
      <c r="G291" s="396"/>
      <c r="H291" s="397"/>
      <c r="I291" s="383">
        <v>670000</v>
      </c>
      <c r="J291" s="398">
        <v>139063</v>
      </c>
      <c r="K291" s="399" t="s">
        <v>71</v>
      </c>
      <c r="L291" s="399" t="s">
        <v>34</v>
      </c>
      <c r="M291" s="399">
        <v>200</v>
      </c>
      <c r="N291" s="356">
        <v>670000</v>
      </c>
      <c r="O291" s="28" t="b">
        <f t="shared" si="20"/>
        <v>1</v>
      </c>
    </row>
    <row r="292" spans="2:15" s="28" customFormat="1" ht="16.5" customHeight="1">
      <c r="B292" s="20"/>
      <c r="C292" s="20"/>
      <c r="D292" s="254"/>
      <c r="E292" s="379">
        <v>139064</v>
      </c>
      <c r="F292" s="395" t="s">
        <v>233</v>
      </c>
      <c r="G292" s="396"/>
      <c r="H292" s="397"/>
      <c r="I292" s="383">
        <v>66400</v>
      </c>
      <c r="J292" s="398">
        <v>139064</v>
      </c>
      <c r="K292" s="399" t="s">
        <v>70</v>
      </c>
      <c r="L292" s="399" t="s">
        <v>34</v>
      </c>
      <c r="M292" s="399">
        <v>20</v>
      </c>
      <c r="N292" s="356">
        <v>66400</v>
      </c>
      <c r="O292" s="28" t="b">
        <f t="shared" si="20"/>
        <v>1</v>
      </c>
    </row>
    <row r="293" spans="2:15" s="28" customFormat="1" ht="16.5" customHeight="1">
      <c r="B293" s="20"/>
      <c r="C293" s="20"/>
      <c r="D293" s="254"/>
      <c r="E293" s="379">
        <v>139065</v>
      </c>
      <c r="F293" s="395" t="s">
        <v>588</v>
      </c>
      <c r="G293" s="396"/>
      <c r="H293" s="397"/>
      <c r="I293" s="383">
        <v>685000</v>
      </c>
      <c r="J293" s="398">
        <v>139065</v>
      </c>
      <c r="K293" s="399" t="s">
        <v>71</v>
      </c>
      <c r="L293" s="399" t="s">
        <v>34</v>
      </c>
      <c r="M293" s="399">
        <v>200</v>
      </c>
      <c r="N293" s="356">
        <v>685000</v>
      </c>
      <c r="O293" s="28" t="b">
        <f t="shared" si="20"/>
        <v>1</v>
      </c>
    </row>
    <row r="294" spans="2:15" s="28" customFormat="1" ht="16.5" customHeight="1">
      <c r="B294" s="20"/>
      <c r="C294" s="20"/>
      <c r="D294" s="254"/>
      <c r="E294" s="379">
        <v>139066</v>
      </c>
      <c r="F294" s="395" t="s">
        <v>332</v>
      </c>
      <c r="G294" s="396"/>
      <c r="H294" s="397"/>
      <c r="I294" s="383">
        <v>69100</v>
      </c>
      <c r="J294" s="398">
        <v>139066</v>
      </c>
      <c r="K294" s="399" t="s">
        <v>70</v>
      </c>
      <c r="L294" s="399" t="s">
        <v>34</v>
      </c>
      <c r="M294" s="399">
        <v>20</v>
      </c>
      <c r="N294" s="356">
        <v>69100</v>
      </c>
      <c r="O294" s="28" t="b">
        <f t="shared" si="20"/>
        <v>1</v>
      </c>
    </row>
    <row r="295" spans="2:15" s="28" customFormat="1" ht="16.5" customHeight="1">
      <c r="B295" s="20"/>
      <c r="C295" s="20"/>
      <c r="D295" s="254"/>
      <c r="E295" s="379">
        <v>139067</v>
      </c>
      <c r="F295" s="395" t="s">
        <v>333</v>
      </c>
      <c r="G295" s="396"/>
      <c r="H295" s="397"/>
      <c r="I295" s="383"/>
      <c r="J295" s="398">
        <v>139067</v>
      </c>
      <c r="K295" s="399" t="s">
        <v>70</v>
      </c>
      <c r="L295" s="399" t="s">
        <v>34</v>
      </c>
      <c r="M295" s="399">
        <v>18.899999999999999</v>
      </c>
      <c r="N295" s="356" t="e">
        <v>#N/A</v>
      </c>
      <c r="O295" s="28" t="e">
        <f t="shared" si="20"/>
        <v>#N/A</v>
      </c>
    </row>
    <row r="296" spans="2:15" s="28" customFormat="1" ht="16.5" customHeight="1">
      <c r="B296" s="20"/>
      <c r="C296" s="20"/>
      <c r="D296" s="254"/>
      <c r="E296" s="379">
        <v>139068</v>
      </c>
      <c r="F296" s="395" t="s">
        <v>589</v>
      </c>
      <c r="G296" s="396"/>
      <c r="H296" s="397"/>
      <c r="I296" s="383">
        <v>4688000</v>
      </c>
      <c r="J296" s="398">
        <v>139068</v>
      </c>
      <c r="K296" s="399" t="s">
        <v>71</v>
      </c>
      <c r="L296" s="399" t="s">
        <v>34</v>
      </c>
      <c r="M296" s="399">
        <v>208</v>
      </c>
      <c r="N296" s="356">
        <v>4688000</v>
      </c>
      <c r="O296" s="28" t="b">
        <f t="shared" si="20"/>
        <v>1</v>
      </c>
    </row>
    <row r="297" spans="2:15" s="28" customFormat="1" ht="16.5" customHeight="1">
      <c r="B297" s="20"/>
      <c r="C297" s="20"/>
      <c r="D297" s="254"/>
      <c r="E297" s="379">
        <v>139069</v>
      </c>
      <c r="F297" s="395" t="s">
        <v>334</v>
      </c>
      <c r="G297" s="396"/>
      <c r="H297" s="397"/>
      <c r="I297" s="383">
        <v>296000</v>
      </c>
      <c r="J297" s="398">
        <v>139069</v>
      </c>
      <c r="K297" s="399" t="s">
        <v>70</v>
      </c>
      <c r="L297" s="399" t="s">
        <v>34</v>
      </c>
      <c r="M297" s="399">
        <v>20</v>
      </c>
      <c r="N297" s="356">
        <v>296000</v>
      </c>
      <c r="O297" s="28" t="b">
        <f t="shared" si="20"/>
        <v>1</v>
      </c>
    </row>
    <row r="298" spans="2:15" s="28" customFormat="1" ht="16.5" customHeight="1">
      <c r="B298" s="20"/>
      <c r="C298" s="20"/>
      <c r="D298" s="254"/>
      <c r="E298" s="379">
        <v>139070</v>
      </c>
      <c r="F298" s="395" t="s">
        <v>335</v>
      </c>
      <c r="G298" s="396"/>
      <c r="H298" s="397"/>
      <c r="I298" s="383">
        <v>318000</v>
      </c>
      <c r="J298" s="398">
        <v>139070</v>
      </c>
      <c r="K298" s="399" t="s">
        <v>70</v>
      </c>
      <c r="L298" s="399" t="s">
        <v>34</v>
      </c>
      <c r="M298" s="399">
        <v>20</v>
      </c>
      <c r="N298" s="356">
        <v>318000</v>
      </c>
      <c r="O298" s="28" t="b">
        <f t="shared" si="20"/>
        <v>1</v>
      </c>
    </row>
    <row r="299" spans="2:15" s="28" customFormat="1" ht="16.5" customHeight="1">
      <c r="B299" s="20"/>
      <c r="C299" s="20"/>
      <c r="D299" s="254"/>
      <c r="E299" s="379">
        <v>139071</v>
      </c>
      <c r="F299" s="395" t="s">
        <v>590</v>
      </c>
      <c r="G299" s="396"/>
      <c r="H299" s="397"/>
      <c r="I299" s="383">
        <v>746000</v>
      </c>
      <c r="J299" s="398">
        <v>139071</v>
      </c>
      <c r="K299" s="399" t="s">
        <v>71</v>
      </c>
      <c r="L299" s="399" t="s">
        <v>34</v>
      </c>
      <c r="M299" s="399">
        <v>200</v>
      </c>
      <c r="N299" s="356">
        <v>746000</v>
      </c>
      <c r="O299" s="28" t="b">
        <f t="shared" si="20"/>
        <v>1</v>
      </c>
    </row>
    <row r="300" spans="2:15" s="28" customFormat="1" ht="16.5" customHeight="1">
      <c r="B300" s="20"/>
      <c r="C300" s="20"/>
      <c r="D300" s="254"/>
      <c r="E300" s="379">
        <v>139074</v>
      </c>
      <c r="F300" s="395" t="s">
        <v>591</v>
      </c>
      <c r="G300" s="396"/>
      <c r="H300" s="397"/>
      <c r="I300" s="383">
        <v>746000</v>
      </c>
      <c r="J300" s="398">
        <v>139074</v>
      </c>
      <c r="K300" s="399" t="s">
        <v>71</v>
      </c>
      <c r="L300" s="399" t="s">
        <v>34</v>
      </c>
      <c r="M300" s="399">
        <v>200</v>
      </c>
      <c r="N300" s="356">
        <v>746000</v>
      </c>
      <c r="O300" s="28" t="b">
        <f t="shared" si="20"/>
        <v>1</v>
      </c>
    </row>
    <row r="301" spans="2:15" s="28" customFormat="1" ht="16.5" customHeight="1">
      <c r="B301" s="20"/>
      <c r="C301" s="20"/>
      <c r="D301" s="254"/>
      <c r="E301" s="379">
        <v>139075</v>
      </c>
      <c r="F301" s="395" t="s">
        <v>592</v>
      </c>
      <c r="G301" s="396"/>
      <c r="H301" s="397"/>
      <c r="I301" s="383">
        <v>746000</v>
      </c>
      <c r="J301" s="398">
        <v>139075</v>
      </c>
      <c r="K301" s="399" t="s">
        <v>71</v>
      </c>
      <c r="L301" s="399" t="s">
        <v>34</v>
      </c>
      <c r="M301" s="399">
        <v>200</v>
      </c>
      <c r="N301" s="356">
        <v>746000</v>
      </c>
      <c r="O301" s="28" t="b">
        <f t="shared" si="20"/>
        <v>1</v>
      </c>
    </row>
    <row r="302" spans="2:15" s="28" customFormat="1" ht="16.5" customHeight="1">
      <c r="B302" s="20"/>
      <c r="C302" s="20"/>
      <c r="D302" s="254"/>
      <c r="E302" s="379">
        <v>135303</v>
      </c>
      <c r="F302" s="395" t="s">
        <v>336</v>
      </c>
      <c r="G302" s="396"/>
      <c r="H302" s="397"/>
      <c r="I302" s="383">
        <v>370000</v>
      </c>
      <c r="J302" s="398">
        <v>135303</v>
      </c>
      <c r="K302" s="399" t="s">
        <v>70</v>
      </c>
      <c r="L302" s="399" t="s">
        <v>34</v>
      </c>
      <c r="M302" s="399">
        <v>20</v>
      </c>
      <c r="N302" s="356">
        <v>370000</v>
      </c>
      <c r="O302" s="28" t="b">
        <f t="shared" si="20"/>
        <v>1</v>
      </c>
    </row>
    <row r="303" spans="2:15" s="28" customFormat="1" ht="16.5" customHeight="1">
      <c r="B303" s="20"/>
      <c r="C303" s="20"/>
      <c r="D303" s="254"/>
      <c r="E303" s="379">
        <v>139080</v>
      </c>
      <c r="F303" s="395" t="s">
        <v>337</v>
      </c>
      <c r="G303" s="396"/>
      <c r="H303" s="397"/>
      <c r="I303" s="383">
        <v>300000</v>
      </c>
      <c r="J303" s="398">
        <v>139080</v>
      </c>
      <c r="K303" s="399" t="s">
        <v>70</v>
      </c>
      <c r="L303" s="399" t="s">
        <v>34</v>
      </c>
      <c r="M303" s="399">
        <v>20</v>
      </c>
      <c r="N303" s="356">
        <v>300000</v>
      </c>
      <c r="O303" s="28" t="b">
        <f t="shared" si="20"/>
        <v>1</v>
      </c>
    </row>
    <row r="304" spans="2:15" s="28" customFormat="1" ht="16.5" customHeight="1">
      <c r="B304" s="20"/>
      <c r="C304" s="20"/>
      <c r="D304" s="254"/>
      <c r="E304" s="379">
        <v>139082</v>
      </c>
      <c r="F304" s="395" t="s">
        <v>338</v>
      </c>
      <c r="G304" s="396"/>
      <c r="H304" s="397"/>
      <c r="I304" s="383">
        <v>366000</v>
      </c>
      <c r="J304" s="398">
        <v>139082</v>
      </c>
      <c r="K304" s="399" t="s">
        <v>70</v>
      </c>
      <c r="L304" s="399" t="s">
        <v>34</v>
      </c>
      <c r="M304" s="399">
        <v>20</v>
      </c>
      <c r="N304" s="356">
        <v>366000</v>
      </c>
      <c r="O304" s="28" t="b">
        <f t="shared" si="20"/>
        <v>1</v>
      </c>
    </row>
    <row r="305" spans="2:15" s="28" customFormat="1" ht="16.5" customHeight="1">
      <c r="B305" s="20"/>
      <c r="C305" s="20"/>
      <c r="D305" s="254"/>
      <c r="E305" s="379">
        <v>139084</v>
      </c>
      <c r="F305" s="395" t="s">
        <v>243</v>
      </c>
      <c r="G305" s="401"/>
      <c r="H305" s="402"/>
      <c r="I305" s="383">
        <v>58600</v>
      </c>
      <c r="J305" s="399">
        <v>139084</v>
      </c>
      <c r="K305" s="399" t="s">
        <v>70</v>
      </c>
      <c r="L305" s="399" t="s">
        <v>34</v>
      </c>
      <c r="M305" s="399">
        <v>20</v>
      </c>
      <c r="N305" s="356">
        <v>58600</v>
      </c>
      <c r="O305" s="28" t="b">
        <f t="shared" si="20"/>
        <v>1</v>
      </c>
    </row>
    <row r="306" spans="2:15" s="28" customFormat="1" ht="16.5" customHeight="1">
      <c r="B306" s="20"/>
      <c r="C306" s="20"/>
      <c r="D306" s="254"/>
      <c r="E306" s="379">
        <v>139085</v>
      </c>
      <c r="F306" s="395" t="s">
        <v>593</v>
      </c>
      <c r="G306" s="401"/>
      <c r="H306" s="402"/>
      <c r="I306" s="383">
        <v>535000</v>
      </c>
      <c r="J306" s="398">
        <v>139085</v>
      </c>
      <c r="K306" s="399" t="s">
        <v>71</v>
      </c>
      <c r="L306" s="399" t="s">
        <v>34</v>
      </c>
      <c r="M306" s="399">
        <v>200</v>
      </c>
      <c r="N306" s="356">
        <v>535000</v>
      </c>
      <c r="O306" s="28" t="b">
        <f t="shared" si="20"/>
        <v>1</v>
      </c>
    </row>
    <row r="307" spans="2:15" s="28" customFormat="1" ht="16.5" customHeight="1">
      <c r="B307" s="20"/>
      <c r="C307" s="20"/>
      <c r="D307" s="254"/>
      <c r="E307" s="379">
        <v>139086</v>
      </c>
      <c r="F307" s="395" t="s">
        <v>226</v>
      </c>
      <c r="G307" s="401"/>
      <c r="H307" s="402"/>
      <c r="I307" s="383">
        <v>54500</v>
      </c>
      <c r="J307" s="398">
        <v>139086</v>
      </c>
      <c r="K307" s="399" t="s">
        <v>70</v>
      </c>
      <c r="L307" s="399" t="s">
        <v>34</v>
      </c>
      <c r="M307" s="399">
        <v>20</v>
      </c>
      <c r="N307" s="356">
        <v>54500</v>
      </c>
      <c r="O307" s="28" t="b">
        <f t="shared" si="20"/>
        <v>1</v>
      </c>
    </row>
    <row r="308" spans="2:15" s="28" customFormat="1" ht="16.5" customHeight="1">
      <c r="B308" s="20"/>
      <c r="C308" s="20"/>
      <c r="D308" s="254"/>
      <c r="E308" s="379">
        <v>139087</v>
      </c>
      <c r="F308" s="395" t="s">
        <v>594</v>
      </c>
      <c r="G308" s="401"/>
      <c r="H308" s="402"/>
      <c r="I308" s="383">
        <v>547000</v>
      </c>
      <c r="J308" s="398">
        <v>139087</v>
      </c>
      <c r="K308" s="399" t="s">
        <v>71</v>
      </c>
      <c r="L308" s="399" t="s">
        <v>34</v>
      </c>
      <c r="M308" s="399">
        <v>200</v>
      </c>
      <c r="N308" s="356">
        <v>547000</v>
      </c>
      <c r="O308" s="28" t="b">
        <f t="shared" si="20"/>
        <v>1</v>
      </c>
    </row>
    <row r="309" spans="2:15" s="28" customFormat="1" ht="16.5" customHeight="1">
      <c r="B309" s="20"/>
      <c r="C309" s="20"/>
      <c r="D309" s="254"/>
      <c r="E309" s="379">
        <v>139088</v>
      </c>
      <c r="F309" s="395" t="s">
        <v>234</v>
      </c>
      <c r="G309" s="401"/>
      <c r="H309" s="402"/>
      <c r="I309" s="383">
        <v>58600</v>
      </c>
      <c r="J309" s="398">
        <v>139088</v>
      </c>
      <c r="K309" s="399" t="s">
        <v>70</v>
      </c>
      <c r="L309" s="399" t="s">
        <v>34</v>
      </c>
      <c r="M309" s="399">
        <v>20</v>
      </c>
      <c r="N309" s="356">
        <v>58600</v>
      </c>
      <c r="O309" s="28" t="b">
        <f t="shared" si="20"/>
        <v>1</v>
      </c>
    </row>
    <row r="310" spans="2:15" s="28" customFormat="1" ht="16.5" customHeight="1">
      <c r="B310" s="20"/>
      <c r="C310" s="20"/>
      <c r="D310" s="254"/>
      <c r="E310" s="379">
        <v>139089</v>
      </c>
      <c r="F310" s="395" t="s">
        <v>595</v>
      </c>
      <c r="G310" s="401"/>
      <c r="H310" s="402"/>
      <c r="I310" s="383">
        <v>663000</v>
      </c>
      <c r="J310" s="398">
        <v>139089</v>
      </c>
      <c r="K310" s="399" t="s">
        <v>71</v>
      </c>
      <c r="L310" s="399" t="s">
        <v>34</v>
      </c>
      <c r="M310" s="399">
        <v>200</v>
      </c>
      <c r="N310" s="356">
        <v>663000</v>
      </c>
      <c r="O310" s="28" t="b">
        <f t="shared" si="20"/>
        <v>1</v>
      </c>
    </row>
    <row r="311" spans="2:15" s="28" customFormat="1" ht="16.5" customHeight="1">
      <c r="B311" s="20"/>
      <c r="C311" s="20"/>
      <c r="D311" s="254"/>
      <c r="E311" s="379">
        <v>139090</v>
      </c>
      <c r="F311" s="395" t="s">
        <v>596</v>
      </c>
      <c r="G311" s="396"/>
      <c r="H311" s="397"/>
      <c r="I311" s="383">
        <v>626000</v>
      </c>
      <c r="J311" s="398">
        <v>139090</v>
      </c>
      <c r="K311" s="399" t="s">
        <v>71</v>
      </c>
      <c r="L311" s="399" t="s">
        <v>34</v>
      </c>
      <c r="M311" s="399">
        <v>200</v>
      </c>
      <c r="N311" s="356">
        <v>626000</v>
      </c>
      <c r="O311" s="28" t="b">
        <f t="shared" si="20"/>
        <v>1</v>
      </c>
    </row>
    <row r="312" spans="2:15" s="28" customFormat="1" ht="16.5" customHeight="1">
      <c r="B312" s="20"/>
      <c r="C312" s="20"/>
      <c r="D312" s="254"/>
      <c r="E312" s="379">
        <v>139091</v>
      </c>
      <c r="F312" s="395" t="s">
        <v>597</v>
      </c>
      <c r="G312" s="401"/>
      <c r="H312" s="402"/>
      <c r="I312" s="383">
        <v>508000</v>
      </c>
      <c r="J312" s="399">
        <v>139091</v>
      </c>
      <c r="K312" s="399" t="s">
        <v>71</v>
      </c>
      <c r="L312" s="399" t="s">
        <v>34</v>
      </c>
      <c r="M312" s="399">
        <v>200</v>
      </c>
      <c r="N312" s="356">
        <v>508000</v>
      </c>
      <c r="O312" s="28" t="b">
        <f t="shared" si="20"/>
        <v>1</v>
      </c>
    </row>
    <row r="313" spans="2:15" s="28" customFormat="1" ht="16.5" customHeight="1">
      <c r="B313" s="20"/>
      <c r="C313" s="20"/>
      <c r="D313" s="254"/>
      <c r="E313" s="379">
        <v>139092</v>
      </c>
      <c r="F313" s="395" t="s">
        <v>598</v>
      </c>
      <c r="G313" s="401"/>
      <c r="H313" s="402"/>
      <c r="I313" s="383">
        <v>907000</v>
      </c>
      <c r="J313" s="398">
        <v>139092</v>
      </c>
      <c r="K313" s="399" t="s">
        <v>71</v>
      </c>
      <c r="L313" s="399" t="s">
        <v>34</v>
      </c>
      <c r="M313" s="399">
        <v>200</v>
      </c>
      <c r="N313" s="356">
        <v>907000</v>
      </c>
      <c r="O313" s="28" t="b">
        <f t="shared" si="20"/>
        <v>1</v>
      </c>
    </row>
    <row r="314" spans="2:15" s="28" customFormat="1" ht="16.5" customHeight="1">
      <c r="B314" s="20"/>
      <c r="C314" s="20"/>
      <c r="D314" s="254"/>
      <c r="E314" s="379">
        <v>139094</v>
      </c>
      <c r="F314" s="395" t="s">
        <v>599</v>
      </c>
      <c r="G314" s="401"/>
      <c r="H314" s="402"/>
      <c r="I314" s="383">
        <v>781000</v>
      </c>
      <c r="J314" s="398">
        <v>139094</v>
      </c>
      <c r="K314" s="399" t="s">
        <v>71</v>
      </c>
      <c r="L314" s="399" t="s">
        <v>34</v>
      </c>
      <c r="M314" s="399">
        <v>200</v>
      </c>
      <c r="N314" s="356">
        <v>781000</v>
      </c>
      <c r="O314" s="28" t="b">
        <f t="shared" si="20"/>
        <v>1</v>
      </c>
    </row>
    <row r="315" spans="2:15" s="28" customFormat="1" ht="16.5" customHeight="1">
      <c r="B315" s="20"/>
      <c r="C315" s="20"/>
      <c r="D315" s="254"/>
      <c r="E315" s="379">
        <v>139095</v>
      </c>
      <c r="F315" s="395" t="s">
        <v>600</v>
      </c>
      <c r="G315" s="401"/>
      <c r="H315" s="402"/>
      <c r="I315" s="383">
        <v>843000</v>
      </c>
      <c r="J315" s="398">
        <v>139095</v>
      </c>
      <c r="K315" s="399" t="s">
        <v>71</v>
      </c>
      <c r="L315" s="399" t="s">
        <v>34</v>
      </c>
      <c r="M315" s="399">
        <v>200</v>
      </c>
      <c r="N315" s="356">
        <v>843000</v>
      </c>
      <c r="O315" s="28" t="b">
        <f t="shared" si="20"/>
        <v>1</v>
      </c>
    </row>
    <row r="316" spans="2:15" s="28" customFormat="1" ht="16.5" customHeight="1">
      <c r="B316" s="20"/>
      <c r="C316" s="20"/>
      <c r="D316" s="254"/>
      <c r="E316" s="379">
        <v>139096</v>
      </c>
      <c r="F316" s="395" t="s">
        <v>339</v>
      </c>
      <c r="G316" s="401"/>
      <c r="H316" s="402"/>
      <c r="I316" s="383">
        <v>89700</v>
      </c>
      <c r="J316" s="398">
        <v>139096</v>
      </c>
      <c r="K316" s="399" t="s">
        <v>70</v>
      </c>
      <c r="L316" s="399" t="s">
        <v>34</v>
      </c>
      <c r="M316" s="399">
        <v>20</v>
      </c>
      <c r="N316" s="356">
        <v>89700</v>
      </c>
      <c r="O316" s="28" t="b">
        <f t="shared" si="20"/>
        <v>1</v>
      </c>
    </row>
    <row r="317" spans="2:15" s="28" customFormat="1" ht="16.5" customHeight="1">
      <c r="B317" s="20"/>
      <c r="C317" s="20"/>
      <c r="D317" s="254"/>
      <c r="E317" s="379">
        <v>139097</v>
      </c>
      <c r="F317" s="395" t="s">
        <v>601</v>
      </c>
      <c r="G317" s="401"/>
      <c r="H317" s="402"/>
      <c r="I317" s="383">
        <v>987000</v>
      </c>
      <c r="J317" s="398">
        <v>139097</v>
      </c>
      <c r="K317" s="399" t="s">
        <v>71</v>
      </c>
      <c r="L317" s="399" t="s">
        <v>34</v>
      </c>
      <c r="M317" s="399">
        <v>200</v>
      </c>
      <c r="N317" s="356">
        <v>987000</v>
      </c>
      <c r="O317" s="28" t="b">
        <f t="shared" si="20"/>
        <v>1</v>
      </c>
    </row>
    <row r="318" spans="2:15" s="28" customFormat="1" ht="16.5" customHeight="1">
      <c r="B318" s="20"/>
      <c r="C318" s="20"/>
      <c r="D318" s="254"/>
      <c r="E318" s="379">
        <v>139099</v>
      </c>
      <c r="F318" s="395" t="s">
        <v>602</v>
      </c>
      <c r="G318" s="396"/>
      <c r="H318" s="397"/>
      <c r="I318" s="383">
        <v>637000</v>
      </c>
      <c r="J318" s="398">
        <v>139099</v>
      </c>
      <c r="K318" s="399" t="s">
        <v>71</v>
      </c>
      <c r="L318" s="399" t="s">
        <v>34</v>
      </c>
      <c r="M318" s="399">
        <v>200</v>
      </c>
      <c r="N318" s="356">
        <v>637000</v>
      </c>
      <c r="O318" s="28" t="b">
        <f t="shared" si="20"/>
        <v>1</v>
      </c>
    </row>
    <row r="319" spans="2:15" s="28" customFormat="1" ht="16.5" customHeight="1">
      <c r="B319" s="20"/>
      <c r="C319" s="20"/>
      <c r="D319" s="254"/>
      <c r="E319" s="379">
        <v>139101</v>
      </c>
      <c r="F319" s="395" t="s">
        <v>603</v>
      </c>
      <c r="G319" s="396"/>
      <c r="H319" s="397"/>
      <c r="I319" s="383">
        <v>616000</v>
      </c>
      <c r="J319" s="398">
        <v>139101</v>
      </c>
      <c r="K319" s="399" t="s">
        <v>71</v>
      </c>
      <c r="L319" s="399" t="s">
        <v>34</v>
      </c>
      <c r="M319" s="399">
        <v>200</v>
      </c>
      <c r="N319" s="356">
        <v>616000</v>
      </c>
      <c r="O319" s="28" t="b">
        <f t="shared" si="20"/>
        <v>1</v>
      </c>
    </row>
    <row r="320" spans="2:15" s="28" customFormat="1" ht="16.5" customHeight="1">
      <c r="B320" s="20"/>
      <c r="C320" s="20"/>
      <c r="D320" s="254"/>
      <c r="E320" s="379">
        <v>139103</v>
      </c>
      <c r="F320" s="395" t="s">
        <v>604</v>
      </c>
      <c r="G320" s="396"/>
      <c r="H320" s="397"/>
      <c r="I320" s="383">
        <v>564000</v>
      </c>
      <c r="J320" s="398">
        <v>139103</v>
      </c>
      <c r="K320" s="399" t="s">
        <v>71</v>
      </c>
      <c r="L320" s="399" t="s">
        <v>34</v>
      </c>
      <c r="M320" s="399">
        <v>200</v>
      </c>
      <c r="N320" s="356">
        <v>564000</v>
      </c>
      <c r="O320" s="28" t="b">
        <f t="shared" si="20"/>
        <v>1</v>
      </c>
    </row>
    <row r="321" spans="2:15" s="28" customFormat="1" ht="16.5" customHeight="1">
      <c r="B321" s="20"/>
      <c r="C321" s="20"/>
      <c r="D321" s="254"/>
      <c r="E321" s="379">
        <v>139105</v>
      </c>
      <c r="F321" s="395" t="s">
        <v>605</v>
      </c>
      <c r="G321" s="396"/>
      <c r="H321" s="397"/>
      <c r="I321" s="383">
        <v>628000</v>
      </c>
      <c r="J321" s="398">
        <v>139105</v>
      </c>
      <c r="K321" s="399" t="s">
        <v>71</v>
      </c>
      <c r="L321" s="399" t="s">
        <v>34</v>
      </c>
      <c r="M321" s="399">
        <v>200</v>
      </c>
      <c r="N321" s="356">
        <v>628000</v>
      </c>
      <c r="O321" s="28" t="b">
        <f t="shared" si="20"/>
        <v>1</v>
      </c>
    </row>
    <row r="322" spans="2:15" s="28" customFormat="1" ht="16.5" customHeight="1">
      <c r="B322" s="20"/>
      <c r="C322" s="20"/>
      <c r="D322" s="254"/>
      <c r="E322" s="379">
        <v>139106</v>
      </c>
      <c r="F322" s="395" t="s">
        <v>340</v>
      </c>
      <c r="G322" s="396"/>
      <c r="H322" s="397"/>
      <c r="I322" s="383">
        <v>76400</v>
      </c>
      <c r="J322" s="398">
        <v>139106</v>
      </c>
      <c r="K322" s="399" t="s">
        <v>70</v>
      </c>
      <c r="L322" s="399" t="s">
        <v>34</v>
      </c>
      <c r="M322" s="399">
        <v>20</v>
      </c>
      <c r="N322" s="356">
        <v>76400</v>
      </c>
      <c r="O322" s="28" t="b">
        <f t="shared" si="20"/>
        <v>1</v>
      </c>
    </row>
    <row r="323" spans="2:15" s="28" customFormat="1" ht="16.5" customHeight="1">
      <c r="B323" s="20"/>
      <c r="C323" s="20"/>
      <c r="D323" s="254"/>
      <c r="E323" s="379">
        <v>139107</v>
      </c>
      <c r="F323" s="395" t="s">
        <v>606</v>
      </c>
      <c r="G323" s="396"/>
      <c r="H323" s="397"/>
      <c r="I323" s="383">
        <v>630000</v>
      </c>
      <c r="J323" s="398">
        <v>139107</v>
      </c>
      <c r="K323" s="399" t="s">
        <v>71</v>
      </c>
      <c r="L323" s="399" t="s">
        <v>34</v>
      </c>
      <c r="M323" s="399">
        <v>200</v>
      </c>
      <c r="N323" s="356">
        <v>630000</v>
      </c>
      <c r="O323" s="28" t="b">
        <f t="shared" si="20"/>
        <v>1</v>
      </c>
    </row>
    <row r="324" spans="2:15" s="28" customFormat="1" ht="16.5" customHeight="1">
      <c r="B324" s="20"/>
      <c r="C324" s="20"/>
      <c r="D324" s="254"/>
      <c r="E324" s="379">
        <v>139108</v>
      </c>
      <c r="F324" s="395" t="s">
        <v>341</v>
      </c>
      <c r="G324" s="396"/>
      <c r="H324" s="397"/>
      <c r="I324" s="383" t="e">
        <v>#N/A</v>
      </c>
      <c r="J324" s="398">
        <v>139108</v>
      </c>
      <c r="K324" s="399" t="s">
        <v>70</v>
      </c>
      <c r="L324" s="399" t="s">
        <v>34</v>
      </c>
      <c r="M324" s="399">
        <v>20</v>
      </c>
      <c r="N324" s="356" t="e">
        <v>#N/A</v>
      </c>
      <c r="O324" s="28" t="e">
        <f t="shared" si="20"/>
        <v>#N/A</v>
      </c>
    </row>
    <row r="325" spans="2:15" s="28" customFormat="1" ht="16.5" customHeight="1">
      <c r="B325" s="20"/>
      <c r="C325" s="20"/>
      <c r="D325" s="254"/>
      <c r="E325" s="379">
        <v>139109</v>
      </c>
      <c r="F325" s="395" t="s">
        <v>607</v>
      </c>
      <c r="G325" s="396"/>
      <c r="H325" s="397"/>
      <c r="I325" s="383">
        <v>593000</v>
      </c>
      <c r="J325" s="398">
        <v>139109</v>
      </c>
      <c r="K325" s="399" t="s">
        <v>71</v>
      </c>
      <c r="L325" s="399" t="s">
        <v>34</v>
      </c>
      <c r="M325" s="399">
        <v>200</v>
      </c>
      <c r="N325" s="356">
        <v>593000</v>
      </c>
      <c r="O325" s="28" t="b">
        <f t="shared" si="20"/>
        <v>1</v>
      </c>
    </row>
    <row r="326" spans="2:15" s="28" customFormat="1" ht="16.5" customHeight="1">
      <c r="B326" s="20"/>
      <c r="C326" s="20"/>
      <c r="D326" s="254"/>
      <c r="E326" s="379">
        <v>139110</v>
      </c>
      <c r="F326" s="395" t="s">
        <v>342</v>
      </c>
      <c r="G326" s="396"/>
      <c r="H326" s="397"/>
      <c r="I326" s="383">
        <v>72300</v>
      </c>
      <c r="J326" s="398">
        <v>139110</v>
      </c>
      <c r="K326" s="399" t="s">
        <v>70</v>
      </c>
      <c r="L326" s="399" t="s">
        <v>34</v>
      </c>
      <c r="M326" s="399">
        <v>20</v>
      </c>
      <c r="N326" s="356">
        <v>72300</v>
      </c>
      <c r="O326" s="28" t="b">
        <f t="shared" si="20"/>
        <v>1</v>
      </c>
    </row>
    <row r="327" spans="2:15" s="28" customFormat="1" ht="16.5" customHeight="1">
      <c r="B327" s="20"/>
      <c r="C327" s="20"/>
      <c r="D327" s="254"/>
      <c r="E327" s="379">
        <v>139111</v>
      </c>
      <c r="F327" s="395" t="s">
        <v>608</v>
      </c>
      <c r="G327" s="396"/>
      <c r="H327" s="397"/>
      <c r="I327" s="383">
        <v>654000</v>
      </c>
      <c r="J327" s="398">
        <v>139111</v>
      </c>
      <c r="K327" s="399" t="s">
        <v>71</v>
      </c>
      <c r="L327" s="399" t="s">
        <v>34</v>
      </c>
      <c r="M327" s="399">
        <v>200</v>
      </c>
      <c r="N327" s="356">
        <v>654000</v>
      </c>
      <c r="O327" s="28" t="b">
        <f t="shared" si="20"/>
        <v>1</v>
      </c>
    </row>
    <row r="328" spans="2:15" s="28" customFormat="1" ht="16.5" customHeight="1">
      <c r="B328" s="20"/>
      <c r="C328" s="20"/>
      <c r="D328" s="254"/>
      <c r="E328" s="379">
        <v>139112</v>
      </c>
      <c r="F328" s="395" t="s">
        <v>343</v>
      </c>
      <c r="G328" s="396"/>
      <c r="H328" s="397"/>
      <c r="I328" s="383">
        <v>465000</v>
      </c>
      <c r="J328" s="398">
        <v>139112</v>
      </c>
      <c r="K328" s="399" t="s">
        <v>70</v>
      </c>
      <c r="L328" s="399" t="s">
        <v>34</v>
      </c>
      <c r="M328" s="399">
        <v>20</v>
      </c>
      <c r="N328" s="356">
        <v>465000</v>
      </c>
      <c r="O328" s="28" t="b">
        <f t="shared" si="20"/>
        <v>1</v>
      </c>
    </row>
    <row r="329" spans="2:15" s="28" customFormat="1" ht="16.5" customHeight="1">
      <c r="B329" s="20"/>
      <c r="C329" s="20"/>
      <c r="D329" s="254"/>
      <c r="E329" s="379">
        <v>139113</v>
      </c>
      <c r="F329" s="395" t="s">
        <v>344</v>
      </c>
      <c r="G329" s="396"/>
      <c r="H329" s="397"/>
      <c r="I329" s="383">
        <v>364000</v>
      </c>
      <c r="J329" s="398">
        <v>139113</v>
      </c>
      <c r="K329" s="399" t="s">
        <v>70</v>
      </c>
      <c r="L329" s="399" t="s">
        <v>34</v>
      </c>
      <c r="M329" s="399">
        <v>20</v>
      </c>
      <c r="N329" s="356">
        <v>364000</v>
      </c>
      <c r="O329" s="28" t="b">
        <f t="shared" si="20"/>
        <v>1</v>
      </c>
    </row>
    <row r="330" spans="2:15" s="28" customFormat="1" ht="16.5" customHeight="1">
      <c r="B330" s="20"/>
      <c r="C330" s="20"/>
      <c r="D330" s="254"/>
      <c r="E330" s="379">
        <v>139118</v>
      </c>
      <c r="F330" s="395" t="s">
        <v>609</v>
      </c>
      <c r="G330" s="396"/>
      <c r="H330" s="397"/>
      <c r="I330" s="383">
        <v>952000</v>
      </c>
      <c r="J330" s="398">
        <v>139118</v>
      </c>
      <c r="K330" s="399" t="s">
        <v>71</v>
      </c>
      <c r="L330" s="399" t="s">
        <v>34</v>
      </c>
      <c r="M330" s="399">
        <v>200</v>
      </c>
      <c r="N330" s="356">
        <v>952000</v>
      </c>
      <c r="O330" s="28" t="b">
        <f t="shared" si="20"/>
        <v>1</v>
      </c>
    </row>
    <row r="331" spans="2:15" s="28" customFormat="1" ht="16.5" customHeight="1">
      <c r="B331" s="20"/>
      <c r="C331" s="20"/>
      <c r="D331" s="254"/>
      <c r="E331" s="379">
        <v>139121</v>
      </c>
      <c r="F331" s="395" t="s">
        <v>610</v>
      </c>
      <c r="G331" s="396"/>
      <c r="H331" s="397"/>
      <c r="I331" s="383">
        <v>952000</v>
      </c>
      <c r="J331" s="398">
        <v>139121</v>
      </c>
      <c r="K331" s="399" t="s">
        <v>71</v>
      </c>
      <c r="L331" s="399" t="s">
        <v>34</v>
      </c>
      <c r="M331" s="399">
        <v>200</v>
      </c>
      <c r="N331" s="356">
        <v>952000</v>
      </c>
      <c r="O331" s="28" t="b">
        <f t="shared" si="20"/>
        <v>1</v>
      </c>
    </row>
    <row r="332" spans="2:15" s="28" customFormat="1" ht="16.5" customHeight="1">
      <c r="B332" s="20"/>
      <c r="C332" s="20"/>
      <c r="D332" s="254"/>
      <c r="E332" s="379">
        <v>139123</v>
      </c>
      <c r="F332" s="395" t="s">
        <v>611</v>
      </c>
      <c r="G332" s="396"/>
      <c r="H332" s="397"/>
      <c r="I332" s="383">
        <v>952000</v>
      </c>
      <c r="J332" s="398">
        <v>139123</v>
      </c>
      <c r="K332" s="399" t="s">
        <v>71</v>
      </c>
      <c r="L332" s="399" t="s">
        <v>34</v>
      </c>
      <c r="M332" s="399">
        <v>200</v>
      </c>
      <c r="N332" s="356">
        <v>952000</v>
      </c>
      <c r="O332" s="28" t="b">
        <f t="shared" si="20"/>
        <v>1</v>
      </c>
    </row>
    <row r="333" spans="2:15" s="28" customFormat="1" ht="16.5" customHeight="1">
      <c r="B333" s="20"/>
      <c r="C333" s="20"/>
      <c r="D333" s="254"/>
      <c r="E333" s="379">
        <v>139125</v>
      </c>
      <c r="F333" s="395" t="s">
        <v>612</v>
      </c>
      <c r="G333" s="396"/>
      <c r="H333" s="397"/>
      <c r="I333" s="383">
        <v>618000</v>
      </c>
      <c r="J333" s="398">
        <v>139125</v>
      </c>
      <c r="K333" s="399" t="s">
        <v>71</v>
      </c>
      <c r="L333" s="399" t="s">
        <v>34</v>
      </c>
      <c r="M333" s="399">
        <v>200</v>
      </c>
      <c r="N333" s="356">
        <v>618000</v>
      </c>
      <c r="O333" s="28" t="b">
        <f t="shared" si="20"/>
        <v>1</v>
      </c>
    </row>
    <row r="334" spans="2:15" s="28" customFormat="1" ht="16.5" customHeight="1">
      <c r="B334" s="20"/>
      <c r="C334" s="20"/>
      <c r="D334" s="254"/>
      <c r="E334" s="379">
        <v>139127</v>
      </c>
      <c r="F334" s="395" t="s">
        <v>244</v>
      </c>
      <c r="G334" s="396"/>
      <c r="H334" s="397"/>
      <c r="I334" s="383">
        <v>71000</v>
      </c>
      <c r="J334" s="398">
        <v>139127</v>
      </c>
      <c r="K334" s="399" t="s">
        <v>70</v>
      </c>
      <c r="L334" s="399" t="s">
        <v>34</v>
      </c>
      <c r="M334" s="399">
        <v>20</v>
      </c>
      <c r="N334" s="356">
        <v>71000</v>
      </c>
      <c r="O334" s="28" t="b">
        <f t="shared" si="20"/>
        <v>1</v>
      </c>
    </row>
    <row r="335" spans="2:15" s="28" customFormat="1" ht="16.5" customHeight="1">
      <c r="B335" s="20"/>
      <c r="C335" s="20"/>
      <c r="D335" s="254"/>
      <c r="E335" s="379">
        <v>139128</v>
      </c>
      <c r="F335" s="395" t="s">
        <v>613</v>
      </c>
      <c r="G335" s="396"/>
      <c r="H335" s="397"/>
      <c r="I335" s="383">
        <v>607000</v>
      </c>
      <c r="J335" s="398">
        <v>139128</v>
      </c>
      <c r="K335" s="399" t="s">
        <v>71</v>
      </c>
      <c r="L335" s="399" t="s">
        <v>34</v>
      </c>
      <c r="M335" s="399">
        <v>200</v>
      </c>
      <c r="N335" s="356">
        <v>607000</v>
      </c>
      <c r="O335" s="28" t="b">
        <f t="shared" si="20"/>
        <v>1</v>
      </c>
    </row>
    <row r="336" spans="2:15" s="28" customFormat="1" ht="16.5" customHeight="1">
      <c r="B336" s="20"/>
      <c r="C336" s="20"/>
      <c r="D336" s="254"/>
      <c r="E336" s="379">
        <v>139129</v>
      </c>
      <c r="F336" s="395" t="s">
        <v>245</v>
      </c>
      <c r="G336" s="396"/>
      <c r="H336" s="397"/>
      <c r="I336" s="383">
        <v>69800</v>
      </c>
      <c r="J336" s="398">
        <v>139129</v>
      </c>
      <c r="K336" s="399" t="s">
        <v>70</v>
      </c>
      <c r="L336" s="399" t="s">
        <v>34</v>
      </c>
      <c r="M336" s="399">
        <v>20</v>
      </c>
      <c r="N336" s="356">
        <v>69800</v>
      </c>
      <c r="O336" s="28" t="b">
        <f t="shared" si="20"/>
        <v>1</v>
      </c>
    </row>
    <row r="337" spans="2:15" s="28" customFormat="1" ht="16.5" customHeight="1">
      <c r="B337" s="20"/>
      <c r="C337" s="20"/>
      <c r="D337" s="254"/>
      <c r="E337" s="379">
        <v>139130</v>
      </c>
      <c r="F337" s="395" t="s">
        <v>614</v>
      </c>
      <c r="G337" s="396"/>
      <c r="H337" s="397"/>
      <c r="I337" s="383">
        <v>623000</v>
      </c>
      <c r="J337" s="398">
        <v>139130</v>
      </c>
      <c r="K337" s="399" t="s">
        <v>71</v>
      </c>
      <c r="L337" s="399" t="s">
        <v>34</v>
      </c>
      <c r="M337" s="399">
        <v>200</v>
      </c>
      <c r="N337" s="356">
        <v>623000</v>
      </c>
      <c r="O337" s="28" t="b">
        <f t="shared" si="20"/>
        <v>1</v>
      </c>
    </row>
    <row r="338" spans="2:15" s="28" customFormat="1" ht="16.5" customHeight="1">
      <c r="B338" s="20"/>
      <c r="C338" s="20"/>
      <c r="D338" s="254"/>
      <c r="E338" s="379">
        <v>139131</v>
      </c>
      <c r="F338" s="395" t="s">
        <v>237</v>
      </c>
      <c r="G338" s="396"/>
      <c r="H338" s="397"/>
      <c r="I338" s="383">
        <v>74600</v>
      </c>
      <c r="J338" s="398">
        <v>139131</v>
      </c>
      <c r="K338" s="399" t="s">
        <v>70</v>
      </c>
      <c r="L338" s="399" t="s">
        <v>34</v>
      </c>
      <c r="M338" s="399">
        <v>20</v>
      </c>
      <c r="N338" s="356">
        <v>74600</v>
      </c>
      <c r="O338" s="28" t="b">
        <f t="shared" si="20"/>
        <v>1</v>
      </c>
    </row>
    <row r="339" spans="2:15" s="28" customFormat="1" ht="16.5" customHeight="1">
      <c r="B339" s="20"/>
      <c r="C339" s="20"/>
      <c r="D339" s="254"/>
      <c r="E339" s="379">
        <v>139132</v>
      </c>
      <c r="F339" s="395" t="s">
        <v>615</v>
      </c>
      <c r="G339" s="396"/>
      <c r="H339" s="397"/>
      <c r="I339" s="383">
        <v>623000</v>
      </c>
      <c r="J339" s="398">
        <v>139132</v>
      </c>
      <c r="K339" s="399" t="s">
        <v>71</v>
      </c>
      <c r="L339" s="399" t="s">
        <v>34</v>
      </c>
      <c r="M339" s="399">
        <v>200</v>
      </c>
      <c r="N339" s="356">
        <v>623000</v>
      </c>
      <c r="O339" s="28" t="b">
        <f t="shared" si="20"/>
        <v>1</v>
      </c>
    </row>
    <row r="340" spans="2:15" s="28" customFormat="1" ht="16.5" customHeight="1">
      <c r="B340" s="20"/>
      <c r="C340" s="20"/>
      <c r="D340" s="254"/>
      <c r="E340" s="379">
        <v>139134</v>
      </c>
      <c r="F340" s="395" t="s">
        <v>227</v>
      </c>
      <c r="G340" s="396"/>
      <c r="H340" s="397"/>
      <c r="I340" s="383">
        <v>70900</v>
      </c>
      <c r="J340" s="398">
        <v>139134</v>
      </c>
      <c r="K340" s="399" t="s">
        <v>70</v>
      </c>
      <c r="L340" s="399" t="s">
        <v>34</v>
      </c>
      <c r="M340" s="399">
        <v>20</v>
      </c>
      <c r="N340" s="356">
        <v>70900</v>
      </c>
      <c r="O340" s="28" t="b">
        <f t="shared" si="20"/>
        <v>1</v>
      </c>
    </row>
    <row r="341" spans="2:15" s="28" customFormat="1" ht="16.5" customHeight="1">
      <c r="B341" s="20"/>
      <c r="C341" s="20"/>
      <c r="D341" s="254"/>
      <c r="E341" s="379">
        <v>139135</v>
      </c>
      <c r="F341" s="395" t="s">
        <v>616</v>
      </c>
      <c r="G341" s="396"/>
      <c r="H341" s="397"/>
      <c r="I341" s="383">
        <v>641000</v>
      </c>
      <c r="J341" s="398">
        <v>139135</v>
      </c>
      <c r="K341" s="399" t="s">
        <v>71</v>
      </c>
      <c r="L341" s="399" t="s">
        <v>34</v>
      </c>
      <c r="M341" s="399">
        <v>200</v>
      </c>
      <c r="N341" s="356">
        <v>641000</v>
      </c>
      <c r="O341" s="28" t="b">
        <f t="shared" si="20"/>
        <v>1</v>
      </c>
    </row>
    <row r="342" spans="2:15" s="28" customFormat="1" ht="16.5" customHeight="1">
      <c r="B342" s="20"/>
      <c r="C342" s="20"/>
      <c r="D342" s="254"/>
      <c r="E342" s="379">
        <v>139137</v>
      </c>
      <c r="F342" s="395" t="s">
        <v>246</v>
      </c>
      <c r="G342" s="396"/>
      <c r="H342" s="397"/>
      <c r="I342" s="383">
        <v>80900</v>
      </c>
      <c r="J342" s="398">
        <v>139137</v>
      </c>
      <c r="K342" s="399" t="s">
        <v>70</v>
      </c>
      <c r="L342" s="399" t="s">
        <v>34</v>
      </c>
      <c r="M342" s="399">
        <v>20</v>
      </c>
      <c r="N342" s="356">
        <v>80900</v>
      </c>
      <c r="O342" s="28" t="b">
        <f t="shared" si="20"/>
        <v>1</v>
      </c>
    </row>
    <row r="343" spans="2:15" s="28" customFormat="1" ht="16.5" customHeight="1">
      <c r="B343" s="20"/>
      <c r="C343" s="20"/>
      <c r="D343" s="254"/>
      <c r="E343" s="379">
        <v>139138</v>
      </c>
      <c r="F343" s="395" t="s">
        <v>617</v>
      </c>
      <c r="G343" s="396"/>
      <c r="H343" s="397"/>
      <c r="I343" s="383">
        <v>740000</v>
      </c>
      <c r="J343" s="398">
        <v>139138</v>
      </c>
      <c r="K343" s="399" t="s">
        <v>71</v>
      </c>
      <c r="L343" s="399" t="s">
        <v>34</v>
      </c>
      <c r="M343" s="399">
        <v>200</v>
      </c>
      <c r="N343" s="356">
        <v>740000</v>
      </c>
      <c r="O343" s="28" t="b">
        <f t="shared" si="20"/>
        <v>1</v>
      </c>
    </row>
    <row r="344" spans="2:15" s="28" customFormat="1" ht="16.5" customHeight="1">
      <c r="B344" s="20"/>
      <c r="C344" s="20"/>
      <c r="D344" s="254"/>
      <c r="E344" s="379">
        <v>139139</v>
      </c>
      <c r="F344" s="395" t="s">
        <v>247</v>
      </c>
      <c r="G344" s="396"/>
      <c r="H344" s="397"/>
      <c r="I344" s="383">
        <v>80900</v>
      </c>
      <c r="J344" s="398">
        <v>139139</v>
      </c>
      <c r="K344" s="399" t="s">
        <v>70</v>
      </c>
      <c r="L344" s="399" t="s">
        <v>34</v>
      </c>
      <c r="M344" s="399">
        <v>20</v>
      </c>
      <c r="N344" s="356">
        <v>80900</v>
      </c>
      <c r="O344" s="28" t="b">
        <f t="shared" si="20"/>
        <v>1</v>
      </c>
    </row>
    <row r="345" spans="2:15" s="28" customFormat="1" ht="16.5" customHeight="1">
      <c r="B345" s="20"/>
      <c r="C345" s="20"/>
      <c r="D345" s="254"/>
      <c r="E345" s="379">
        <v>139140</v>
      </c>
      <c r="F345" s="395" t="s">
        <v>618</v>
      </c>
      <c r="G345" s="396"/>
      <c r="H345" s="397"/>
      <c r="I345" s="383">
        <v>750000</v>
      </c>
      <c r="J345" s="398">
        <v>139140</v>
      </c>
      <c r="K345" s="399" t="s">
        <v>71</v>
      </c>
      <c r="L345" s="399" t="s">
        <v>34</v>
      </c>
      <c r="M345" s="399">
        <v>200</v>
      </c>
      <c r="N345" s="356">
        <v>750000</v>
      </c>
      <c r="O345" s="28" t="b">
        <f t="shared" si="20"/>
        <v>1</v>
      </c>
    </row>
    <row r="346" spans="2:15" s="28" customFormat="1" ht="16.5" customHeight="1">
      <c r="B346" s="20"/>
      <c r="C346" s="20"/>
      <c r="D346" s="254"/>
      <c r="E346" s="379">
        <v>139141</v>
      </c>
      <c r="F346" s="395" t="s">
        <v>345</v>
      </c>
      <c r="G346" s="396"/>
      <c r="H346" s="397"/>
      <c r="I346" s="383">
        <v>87100</v>
      </c>
      <c r="J346" s="398">
        <v>139141</v>
      </c>
      <c r="K346" s="399" t="s">
        <v>70</v>
      </c>
      <c r="L346" s="399" t="s">
        <v>34</v>
      </c>
      <c r="M346" s="399">
        <v>20</v>
      </c>
      <c r="N346" s="356">
        <v>87100</v>
      </c>
      <c r="O346" s="28" t="b">
        <f t="shared" ref="O346:O409" si="21">I346=N346</f>
        <v>1</v>
      </c>
    </row>
    <row r="347" spans="2:15" s="28" customFormat="1" ht="16.5" customHeight="1">
      <c r="B347" s="20"/>
      <c r="C347" s="20"/>
      <c r="D347" s="254"/>
      <c r="E347" s="379">
        <v>139142</v>
      </c>
      <c r="F347" s="395" t="s">
        <v>619</v>
      </c>
      <c r="G347" s="396"/>
      <c r="H347" s="397"/>
      <c r="I347" s="383">
        <v>423000</v>
      </c>
      <c r="J347" s="398">
        <v>139142</v>
      </c>
      <c r="K347" s="399" t="s">
        <v>71</v>
      </c>
      <c r="L347" s="399" t="s">
        <v>34</v>
      </c>
      <c r="M347" s="399">
        <v>200</v>
      </c>
      <c r="N347" s="356">
        <v>423000</v>
      </c>
      <c r="O347" s="28" t="b">
        <f t="shared" si="21"/>
        <v>1</v>
      </c>
    </row>
    <row r="348" spans="2:15" s="28" customFormat="1" ht="16.5" customHeight="1">
      <c r="B348" s="20"/>
      <c r="C348" s="20"/>
      <c r="D348" s="254"/>
      <c r="E348" s="379">
        <v>139143</v>
      </c>
      <c r="F348" s="395" t="s">
        <v>248</v>
      </c>
      <c r="G348" s="396"/>
      <c r="H348" s="397"/>
      <c r="I348" s="383">
        <v>44000</v>
      </c>
      <c r="J348" s="398">
        <v>139143</v>
      </c>
      <c r="K348" s="399" t="s">
        <v>70</v>
      </c>
      <c r="L348" s="399" t="s">
        <v>34</v>
      </c>
      <c r="M348" s="399">
        <v>20</v>
      </c>
      <c r="N348" s="356">
        <v>44000</v>
      </c>
      <c r="O348" s="28" t="b">
        <f t="shared" si="21"/>
        <v>1</v>
      </c>
    </row>
    <row r="349" spans="2:15" s="28" customFormat="1" ht="16.5" customHeight="1">
      <c r="B349" s="20"/>
      <c r="C349" s="20"/>
      <c r="D349" s="254"/>
      <c r="E349" s="379">
        <v>139144</v>
      </c>
      <c r="F349" s="395" t="s">
        <v>620</v>
      </c>
      <c r="G349" s="396"/>
      <c r="H349" s="397"/>
      <c r="I349" s="383">
        <v>423000</v>
      </c>
      <c r="J349" s="398">
        <v>139144</v>
      </c>
      <c r="K349" s="399" t="s">
        <v>71</v>
      </c>
      <c r="L349" s="399" t="s">
        <v>34</v>
      </c>
      <c r="M349" s="399">
        <v>200</v>
      </c>
      <c r="N349" s="356">
        <v>423000</v>
      </c>
      <c r="O349" s="28" t="b">
        <f t="shared" si="21"/>
        <v>1</v>
      </c>
    </row>
    <row r="350" spans="2:15" s="28" customFormat="1" ht="16.5" customHeight="1">
      <c r="B350" s="20"/>
      <c r="C350" s="20"/>
      <c r="D350" s="254"/>
      <c r="E350" s="379">
        <v>139145</v>
      </c>
      <c r="F350" s="395" t="s">
        <v>228</v>
      </c>
      <c r="G350" s="396"/>
      <c r="H350" s="397"/>
      <c r="I350" s="383">
        <v>44000</v>
      </c>
      <c r="J350" s="398">
        <v>139145</v>
      </c>
      <c r="K350" s="399" t="s">
        <v>70</v>
      </c>
      <c r="L350" s="399" t="s">
        <v>34</v>
      </c>
      <c r="M350" s="399">
        <v>20</v>
      </c>
      <c r="N350" s="356">
        <v>44000</v>
      </c>
      <c r="O350" s="28" t="b">
        <f t="shared" si="21"/>
        <v>1</v>
      </c>
    </row>
    <row r="351" spans="2:15" s="28" customFormat="1" ht="16.5" customHeight="1">
      <c r="B351" s="20"/>
      <c r="C351" s="20"/>
      <c r="D351" s="254"/>
      <c r="E351" s="379">
        <v>139146</v>
      </c>
      <c r="F351" s="395" t="s">
        <v>621</v>
      </c>
      <c r="G351" s="396"/>
      <c r="H351" s="397"/>
      <c r="I351" s="383">
        <v>455000</v>
      </c>
      <c r="J351" s="398">
        <v>139146</v>
      </c>
      <c r="K351" s="399" t="s">
        <v>71</v>
      </c>
      <c r="L351" s="399" t="s">
        <v>34</v>
      </c>
      <c r="M351" s="399">
        <v>200</v>
      </c>
      <c r="N351" s="356">
        <v>455000</v>
      </c>
      <c r="O351" s="28" t="b">
        <f t="shared" si="21"/>
        <v>1</v>
      </c>
    </row>
    <row r="352" spans="2:15" s="28" customFormat="1" ht="16.5" customHeight="1">
      <c r="B352" s="20"/>
      <c r="C352" s="20"/>
      <c r="D352" s="254"/>
      <c r="E352" s="379">
        <v>139147</v>
      </c>
      <c r="F352" s="395" t="s">
        <v>622</v>
      </c>
      <c r="G352" s="396"/>
      <c r="H352" s="397"/>
      <c r="I352" s="383">
        <v>475000</v>
      </c>
      <c r="J352" s="398">
        <v>139147</v>
      </c>
      <c r="K352" s="399" t="s">
        <v>71</v>
      </c>
      <c r="L352" s="399" t="s">
        <v>34</v>
      </c>
      <c r="M352" s="399">
        <v>200</v>
      </c>
      <c r="N352" s="356">
        <v>475000</v>
      </c>
      <c r="O352" s="28" t="b">
        <f t="shared" si="21"/>
        <v>1</v>
      </c>
    </row>
    <row r="353" spans="2:15" s="28" customFormat="1" ht="16.5" customHeight="1">
      <c r="B353" s="20"/>
      <c r="C353" s="20"/>
      <c r="D353" s="254"/>
      <c r="E353" s="379">
        <v>139148</v>
      </c>
      <c r="F353" s="395" t="s">
        <v>346</v>
      </c>
      <c r="G353" s="396"/>
      <c r="H353" s="397"/>
      <c r="I353" s="383">
        <v>50600</v>
      </c>
      <c r="J353" s="398">
        <v>139148</v>
      </c>
      <c r="K353" s="399" t="s">
        <v>70</v>
      </c>
      <c r="L353" s="399" t="s">
        <v>34</v>
      </c>
      <c r="M353" s="399">
        <v>20</v>
      </c>
      <c r="N353" s="356">
        <v>50600</v>
      </c>
      <c r="O353" s="28" t="b">
        <f t="shared" si="21"/>
        <v>1</v>
      </c>
    </row>
    <row r="354" spans="2:15" s="28" customFormat="1" ht="16.5" customHeight="1">
      <c r="B354" s="20"/>
      <c r="C354" s="20"/>
      <c r="D354" s="254"/>
      <c r="E354" s="379">
        <v>139149</v>
      </c>
      <c r="F354" s="395" t="s">
        <v>623</v>
      </c>
      <c r="G354" s="396"/>
      <c r="H354" s="397"/>
      <c r="I354" s="383">
        <v>539000</v>
      </c>
      <c r="J354" s="398">
        <v>139149</v>
      </c>
      <c r="K354" s="399" t="s">
        <v>71</v>
      </c>
      <c r="L354" s="399" t="s">
        <v>34</v>
      </c>
      <c r="M354" s="399">
        <v>200</v>
      </c>
      <c r="N354" s="356">
        <v>539000</v>
      </c>
      <c r="O354" s="28" t="b">
        <f t="shared" si="21"/>
        <v>1</v>
      </c>
    </row>
    <row r="355" spans="2:15" s="28" customFormat="1" ht="16.5" customHeight="1">
      <c r="B355" s="20"/>
      <c r="C355" s="20"/>
      <c r="D355" s="254"/>
      <c r="E355" s="379">
        <v>139150</v>
      </c>
      <c r="F355" s="395" t="s">
        <v>249</v>
      </c>
      <c r="G355" s="396"/>
      <c r="H355" s="397"/>
      <c r="I355" s="383">
        <v>56700</v>
      </c>
      <c r="J355" s="398">
        <v>139150</v>
      </c>
      <c r="K355" s="399" t="s">
        <v>70</v>
      </c>
      <c r="L355" s="399" t="s">
        <v>34</v>
      </c>
      <c r="M355" s="399">
        <v>20</v>
      </c>
      <c r="N355" s="356">
        <v>56700</v>
      </c>
      <c r="O355" s="28" t="b">
        <f t="shared" si="21"/>
        <v>1</v>
      </c>
    </row>
    <row r="356" spans="2:15" s="28" customFormat="1" ht="16.5" customHeight="1">
      <c r="B356" s="20"/>
      <c r="C356" s="20"/>
      <c r="D356" s="254"/>
      <c r="E356" s="379">
        <v>139151</v>
      </c>
      <c r="F356" s="395" t="s">
        <v>624</v>
      </c>
      <c r="G356" s="396"/>
      <c r="H356" s="397"/>
      <c r="I356" s="383">
        <v>539000</v>
      </c>
      <c r="J356" s="398">
        <v>139151</v>
      </c>
      <c r="K356" s="399" t="s">
        <v>71</v>
      </c>
      <c r="L356" s="399" t="s">
        <v>34</v>
      </c>
      <c r="M356" s="399">
        <v>200</v>
      </c>
      <c r="N356" s="356">
        <v>539000</v>
      </c>
      <c r="O356" s="28" t="b">
        <f t="shared" si="21"/>
        <v>1</v>
      </c>
    </row>
    <row r="357" spans="2:15" s="28" customFormat="1" ht="16.5" customHeight="1">
      <c r="B357" s="20"/>
      <c r="C357" s="20"/>
      <c r="D357" s="254"/>
      <c r="E357" s="379">
        <v>139152</v>
      </c>
      <c r="F357" s="395" t="s">
        <v>250</v>
      </c>
      <c r="G357" s="396"/>
      <c r="H357" s="397"/>
      <c r="I357" s="383">
        <v>56700</v>
      </c>
      <c r="J357" s="398">
        <v>139152</v>
      </c>
      <c r="K357" s="399" t="s">
        <v>70</v>
      </c>
      <c r="L357" s="399" t="s">
        <v>34</v>
      </c>
      <c r="M357" s="399">
        <v>20</v>
      </c>
      <c r="N357" s="356">
        <v>56700</v>
      </c>
      <c r="O357" s="28" t="b">
        <f t="shared" si="21"/>
        <v>1</v>
      </c>
    </row>
    <row r="358" spans="2:15" s="28" customFormat="1" ht="16.5" customHeight="1">
      <c r="B358" s="20"/>
      <c r="C358" s="20"/>
      <c r="D358" s="254"/>
      <c r="E358" s="379">
        <v>139153</v>
      </c>
      <c r="F358" s="395" t="s">
        <v>625</v>
      </c>
      <c r="G358" s="396"/>
      <c r="H358" s="397"/>
      <c r="I358" s="383">
        <v>580000</v>
      </c>
      <c r="J358" s="398">
        <v>139153</v>
      </c>
      <c r="K358" s="399" t="s">
        <v>71</v>
      </c>
      <c r="L358" s="399" t="s">
        <v>34</v>
      </c>
      <c r="M358" s="399">
        <v>200</v>
      </c>
      <c r="N358" s="356">
        <v>580000</v>
      </c>
      <c r="O358" s="28" t="b">
        <f t="shared" si="21"/>
        <v>1</v>
      </c>
    </row>
    <row r="359" spans="2:15" s="28" customFormat="1" ht="16.5" customHeight="1">
      <c r="B359" s="20"/>
      <c r="C359" s="20"/>
      <c r="D359" s="254"/>
      <c r="E359" s="379">
        <v>139154</v>
      </c>
      <c r="F359" s="395" t="s">
        <v>251</v>
      </c>
      <c r="G359" s="396"/>
      <c r="H359" s="397"/>
      <c r="I359" s="383">
        <v>60600</v>
      </c>
      <c r="J359" s="398">
        <v>139154</v>
      </c>
      <c r="K359" s="399" t="s">
        <v>70</v>
      </c>
      <c r="L359" s="399" t="s">
        <v>34</v>
      </c>
      <c r="M359" s="399">
        <v>20</v>
      </c>
      <c r="N359" s="356">
        <v>60600</v>
      </c>
      <c r="O359" s="28" t="b">
        <f t="shared" si="21"/>
        <v>1</v>
      </c>
    </row>
    <row r="360" spans="2:15" s="28" customFormat="1" ht="16.5" customHeight="1">
      <c r="B360" s="20"/>
      <c r="C360" s="20"/>
      <c r="D360" s="254"/>
      <c r="E360" s="379">
        <v>139155</v>
      </c>
      <c r="F360" s="395" t="s">
        <v>626</v>
      </c>
      <c r="G360" s="396"/>
      <c r="H360" s="397"/>
      <c r="I360" s="383">
        <v>610000</v>
      </c>
      <c r="J360" s="398">
        <v>139155</v>
      </c>
      <c r="K360" s="399" t="s">
        <v>71</v>
      </c>
      <c r="L360" s="399" t="s">
        <v>34</v>
      </c>
      <c r="M360" s="399">
        <v>200</v>
      </c>
      <c r="N360" s="356">
        <v>610000</v>
      </c>
      <c r="O360" s="28" t="b">
        <f t="shared" si="21"/>
        <v>1</v>
      </c>
    </row>
    <row r="361" spans="2:15" s="28" customFormat="1" ht="16.5" customHeight="1">
      <c r="B361" s="20"/>
      <c r="C361" s="20"/>
      <c r="D361" s="254"/>
      <c r="E361" s="379">
        <v>139156</v>
      </c>
      <c r="F361" s="395" t="s">
        <v>252</v>
      </c>
      <c r="G361" s="396"/>
      <c r="H361" s="397"/>
      <c r="I361" s="383">
        <v>64600</v>
      </c>
      <c r="J361" s="398">
        <v>139156</v>
      </c>
      <c r="K361" s="399" t="s">
        <v>70</v>
      </c>
      <c r="L361" s="399" t="s">
        <v>34</v>
      </c>
      <c r="M361" s="399">
        <v>20</v>
      </c>
      <c r="N361" s="356">
        <v>64600</v>
      </c>
      <c r="O361" s="28" t="b">
        <f t="shared" si="21"/>
        <v>1</v>
      </c>
    </row>
    <row r="362" spans="2:15" s="28" customFormat="1" ht="16.5" customHeight="1">
      <c r="B362" s="20"/>
      <c r="C362" s="20"/>
      <c r="D362" s="254"/>
      <c r="E362" s="379">
        <v>139158</v>
      </c>
      <c r="F362" s="395" t="s">
        <v>627</v>
      </c>
      <c r="G362" s="396"/>
      <c r="H362" s="397"/>
      <c r="I362" s="383">
        <v>636000</v>
      </c>
      <c r="J362" s="398">
        <v>139158</v>
      </c>
      <c r="K362" s="399" t="s">
        <v>71</v>
      </c>
      <c r="L362" s="399" t="s">
        <v>34</v>
      </c>
      <c r="M362" s="399">
        <v>200</v>
      </c>
      <c r="N362" s="356">
        <v>636000</v>
      </c>
      <c r="O362" s="28" t="b">
        <f t="shared" si="21"/>
        <v>1</v>
      </c>
    </row>
    <row r="363" spans="2:15" s="28" customFormat="1" ht="16.5" customHeight="1">
      <c r="B363" s="20"/>
      <c r="C363" s="20"/>
      <c r="D363" s="254"/>
      <c r="E363" s="379">
        <v>139160</v>
      </c>
      <c r="F363" s="395" t="s">
        <v>628</v>
      </c>
      <c r="G363" s="396"/>
      <c r="H363" s="397"/>
      <c r="I363" s="383">
        <v>683000</v>
      </c>
      <c r="J363" s="398">
        <v>139160</v>
      </c>
      <c r="K363" s="399" t="s">
        <v>71</v>
      </c>
      <c r="L363" s="399" t="s">
        <v>34</v>
      </c>
      <c r="M363" s="399">
        <v>200</v>
      </c>
      <c r="N363" s="356">
        <v>683000</v>
      </c>
      <c r="O363" s="28" t="b">
        <f t="shared" si="21"/>
        <v>1</v>
      </c>
    </row>
    <row r="364" spans="2:15" s="28" customFormat="1" ht="16.5" customHeight="1">
      <c r="B364" s="20"/>
      <c r="C364" s="20"/>
      <c r="D364" s="254"/>
      <c r="E364" s="379">
        <v>139161</v>
      </c>
      <c r="F364" s="395" t="s">
        <v>347</v>
      </c>
      <c r="G364" s="396"/>
      <c r="H364" s="397"/>
      <c r="I364" s="383">
        <v>80500</v>
      </c>
      <c r="J364" s="398">
        <v>139161</v>
      </c>
      <c r="K364" s="399" t="s">
        <v>70</v>
      </c>
      <c r="L364" s="399" t="s">
        <v>34</v>
      </c>
      <c r="M364" s="399">
        <v>20</v>
      </c>
      <c r="N364" s="356">
        <v>80500</v>
      </c>
      <c r="O364" s="28" t="b">
        <f t="shared" si="21"/>
        <v>1</v>
      </c>
    </row>
    <row r="365" spans="2:15" s="28" customFormat="1" ht="16.5" customHeight="1">
      <c r="B365" s="20"/>
      <c r="C365" s="20"/>
      <c r="D365" s="254"/>
      <c r="E365" s="379">
        <v>139163</v>
      </c>
      <c r="F365" s="395" t="s">
        <v>629</v>
      </c>
      <c r="G365" s="396"/>
      <c r="H365" s="397"/>
      <c r="I365" s="383">
        <v>763000</v>
      </c>
      <c r="J365" s="398">
        <v>139163</v>
      </c>
      <c r="K365" s="399" t="s">
        <v>71</v>
      </c>
      <c r="L365" s="399" t="s">
        <v>34</v>
      </c>
      <c r="M365" s="399">
        <v>200</v>
      </c>
      <c r="N365" s="356">
        <v>763000</v>
      </c>
      <c r="O365" s="28" t="b">
        <f t="shared" si="21"/>
        <v>1</v>
      </c>
    </row>
    <row r="366" spans="2:15" s="28" customFormat="1" ht="16.5" customHeight="1">
      <c r="B366" s="20"/>
      <c r="C366" s="20"/>
      <c r="D366" s="254"/>
      <c r="E366" s="379">
        <v>139164</v>
      </c>
      <c r="F366" s="395" t="s">
        <v>348</v>
      </c>
      <c r="G366" s="396"/>
      <c r="H366" s="397"/>
      <c r="I366" s="383">
        <v>80500</v>
      </c>
      <c r="J366" s="398">
        <v>139164</v>
      </c>
      <c r="K366" s="399" t="s">
        <v>70</v>
      </c>
      <c r="L366" s="399" t="s">
        <v>34</v>
      </c>
      <c r="M366" s="399">
        <v>20</v>
      </c>
      <c r="N366" s="356">
        <v>80500</v>
      </c>
      <c r="O366" s="28" t="b">
        <f t="shared" si="21"/>
        <v>1</v>
      </c>
    </row>
    <row r="367" spans="2:15" s="28" customFormat="1" ht="16.5" customHeight="1">
      <c r="B367" s="20"/>
      <c r="C367" s="20"/>
      <c r="D367" s="254"/>
      <c r="E367" s="379">
        <v>139167</v>
      </c>
      <c r="F367" s="395" t="s">
        <v>630</v>
      </c>
      <c r="G367" s="396"/>
      <c r="H367" s="397"/>
      <c r="I367" s="383">
        <v>499000</v>
      </c>
      <c r="J367" s="398">
        <v>139167</v>
      </c>
      <c r="K367" s="399" t="s">
        <v>71</v>
      </c>
      <c r="L367" s="399" t="s">
        <v>34</v>
      </c>
      <c r="M367" s="399">
        <v>200</v>
      </c>
      <c r="N367" s="356">
        <v>499000</v>
      </c>
      <c r="O367" s="28" t="b">
        <f t="shared" si="21"/>
        <v>1</v>
      </c>
    </row>
    <row r="368" spans="2:15" s="28" customFormat="1" ht="16.5" customHeight="1">
      <c r="B368" s="20"/>
      <c r="C368" s="20"/>
      <c r="D368" s="254"/>
      <c r="E368" s="379">
        <v>140145</v>
      </c>
      <c r="F368" s="395" t="s">
        <v>46</v>
      </c>
      <c r="G368" s="396"/>
      <c r="H368" s="397"/>
      <c r="I368" s="383">
        <v>183000</v>
      </c>
      <c r="J368" s="398">
        <v>140145</v>
      </c>
      <c r="K368" s="399" t="s">
        <v>70</v>
      </c>
      <c r="L368" s="399" t="s">
        <v>34</v>
      </c>
      <c r="M368" s="399">
        <v>16</v>
      </c>
      <c r="N368" s="356">
        <v>183000</v>
      </c>
      <c r="O368" s="28" t="b">
        <f t="shared" si="21"/>
        <v>1</v>
      </c>
    </row>
    <row r="369" spans="2:15" s="28" customFormat="1" ht="16.5" customHeight="1">
      <c r="B369" s="20"/>
      <c r="C369" s="20"/>
      <c r="D369" s="254"/>
      <c r="E369" s="379">
        <v>139600</v>
      </c>
      <c r="F369" s="395" t="s">
        <v>767</v>
      </c>
      <c r="G369" s="396"/>
      <c r="H369" s="397"/>
      <c r="I369" s="383">
        <v>482000</v>
      </c>
      <c r="J369" s="398">
        <v>139600</v>
      </c>
      <c r="K369" s="399" t="s">
        <v>70</v>
      </c>
      <c r="L369" s="399" t="s">
        <v>34</v>
      </c>
      <c r="M369" s="399">
        <v>20</v>
      </c>
      <c r="N369" s="356">
        <v>482000</v>
      </c>
      <c r="O369" s="28" t="b">
        <f t="shared" si="21"/>
        <v>1</v>
      </c>
    </row>
    <row r="370" spans="2:15" s="28" customFormat="1" ht="16.5" customHeight="1">
      <c r="B370" s="20"/>
      <c r="C370" s="20"/>
      <c r="D370" s="254"/>
      <c r="E370" s="379">
        <v>139639</v>
      </c>
      <c r="F370" s="395" t="s">
        <v>353</v>
      </c>
      <c r="G370" s="396"/>
      <c r="H370" s="397"/>
      <c r="I370" s="383">
        <v>94100</v>
      </c>
      <c r="J370" s="398">
        <v>139639</v>
      </c>
      <c r="K370" s="399" t="s">
        <v>70</v>
      </c>
      <c r="L370" s="399" t="s">
        <v>34</v>
      </c>
      <c r="M370" s="399">
        <v>20</v>
      </c>
      <c r="N370" s="356">
        <v>94100</v>
      </c>
      <c r="O370" s="28" t="b">
        <f t="shared" si="21"/>
        <v>1</v>
      </c>
    </row>
    <row r="371" spans="2:15" s="28" customFormat="1" ht="16.5" customHeight="1">
      <c r="B371" s="20"/>
      <c r="C371" s="20"/>
      <c r="D371" s="254"/>
      <c r="E371" s="379">
        <v>139643</v>
      </c>
      <c r="F371" s="395" t="s">
        <v>354</v>
      </c>
      <c r="G371" s="396"/>
      <c r="H371" s="397"/>
      <c r="I371" s="383">
        <v>79200</v>
      </c>
      <c r="J371" s="398">
        <v>139643</v>
      </c>
      <c r="K371" s="399" t="s">
        <v>70</v>
      </c>
      <c r="L371" s="399" t="s">
        <v>34</v>
      </c>
      <c r="M371" s="399">
        <v>20</v>
      </c>
      <c r="N371" s="356">
        <v>79200</v>
      </c>
      <c r="O371" s="28" t="b">
        <f t="shared" si="21"/>
        <v>1</v>
      </c>
    </row>
    <row r="372" spans="2:15" s="28" customFormat="1" ht="16.5" customHeight="1">
      <c r="B372" s="20"/>
      <c r="C372" s="20"/>
      <c r="D372" s="254"/>
      <c r="E372" s="379">
        <v>148679</v>
      </c>
      <c r="F372" s="395" t="s">
        <v>421</v>
      </c>
      <c r="G372" s="396"/>
      <c r="H372" s="397"/>
      <c r="I372" s="383">
        <v>645000</v>
      </c>
      <c r="J372" s="398">
        <v>148679</v>
      </c>
      <c r="K372" s="399" t="s">
        <v>71</v>
      </c>
      <c r="L372" s="399" t="s">
        <v>34</v>
      </c>
      <c r="M372" s="399">
        <v>208</v>
      </c>
      <c r="N372" s="356">
        <v>645000</v>
      </c>
      <c r="O372" s="28" t="b">
        <f t="shared" si="21"/>
        <v>1</v>
      </c>
    </row>
    <row r="373" spans="2:15" s="28" customFormat="1" ht="16.5" customHeight="1">
      <c r="B373" s="20"/>
      <c r="C373" s="20"/>
      <c r="D373" s="254"/>
      <c r="E373" s="379">
        <v>141825</v>
      </c>
      <c r="F373" s="395" t="s">
        <v>641</v>
      </c>
      <c r="G373" s="396"/>
      <c r="H373" s="397"/>
      <c r="I373" s="383">
        <v>2660000</v>
      </c>
      <c r="J373" s="398">
        <v>141825</v>
      </c>
      <c r="K373" s="399" t="s">
        <v>71</v>
      </c>
      <c r="L373" s="399" t="s">
        <v>34</v>
      </c>
      <c r="M373" s="399">
        <v>208</v>
      </c>
      <c r="N373" s="356">
        <v>2660000</v>
      </c>
      <c r="O373" s="28" t="b">
        <f t="shared" si="21"/>
        <v>1</v>
      </c>
    </row>
    <row r="374" spans="2:15" s="28" customFormat="1" ht="16.5" customHeight="1">
      <c r="B374" s="20"/>
      <c r="C374" s="20"/>
      <c r="D374" s="254"/>
      <c r="E374" s="379">
        <v>139819</v>
      </c>
      <c r="F374" s="395" t="s">
        <v>642</v>
      </c>
      <c r="G374" s="396"/>
      <c r="H374" s="397"/>
      <c r="I374" s="383">
        <v>2692000</v>
      </c>
      <c r="J374" s="398">
        <v>139819</v>
      </c>
      <c r="K374" s="399" t="s">
        <v>71</v>
      </c>
      <c r="L374" s="399" t="s">
        <v>34</v>
      </c>
      <c r="M374" s="399">
        <v>208</v>
      </c>
      <c r="N374" s="356">
        <v>2692000</v>
      </c>
      <c r="O374" s="28" t="b">
        <f t="shared" si="21"/>
        <v>1</v>
      </c>
    </row>
    <row r="375" spans="2:15" s="28" customFormat="1" ht="16.5" customHeight="1">
      <c r="B375" s="20"/>
      <c r="C375" s="20"/>
      <c r="D375" s="254"/>
      <c r="E375" s="379">
        <v>139821</v>
      </c>
      <c r="F375" s="395" t="s">
        <v>643</v>
      </c>
      <c r="G375" s="396"/>
      <c r="H375" s="397"/>
      <c r="I375" s="383">
        <v>3429000</v>
      </c>
      <c r="J375" s="398">
        <v>139821</v>
      </c>
      <c r="K375" s="399" t="s">
        <v>71</v>
      </c>
      <c r="L375" s="399" t="s">
        <v>34</v>
      </c>
      <c r="M375" s="399">
        <v>208</v>
      </c>
      <c r="N375" s="356">
        <v>3429000</v>
      </c>
      <c r="O375" s="28" t="b">
        <f t="shared" si="21"/>
        <v>1</v>
      </c>
    </row>
    <row r="376" spans="2:15" s="28" customFormat="1" ht="16.5" customHeight="1">
      <c r="B376" s="20"/>
      <c r="C376" s="20"/>
      <c r="D376" s="254"/>
      <c r="E376" s="379">
        <v>143919</v>
      </c>
      <c r="F376" s="395" t="s">
        <v>863</v>
      </c>
      <c r="G376" s="396"/>
      <c r="H376" s="397"/>
      <c r="I376" s="383">
        <v>64000</v>
      </c>
      <c r="J376" s="398">
        <v>143919</v>
      </c>
      <c r="K376" s="399" t="s">
        <v>73</v>
      </c>
      <c r="L376" s="399" t="s">
        <v>34</v>
      </c>
      <c r="M376" s="399">
        <v>4.68</v>
      </c>
      <c r="N376" s="356">
        <v>64000</v>
      </c>
      <c r="O376" s="28" t="b">
        <f t="shared" si="21"/>
        <v>1</v>
      </c>
    </row>
    <row r="377" spans="2:15" s="28" customFormat="1" ht="16.5" customHeight="1">
      <c r="B377" s="20"/>
      <c r="C377" s="20"/>
      <c r="D377" s="254"/>
      <c r="E377" s="379">
        <v>141840</v>
      </c>
      <c r="F377" s="395" t="s">
        <v>358</v>
      </c>
      <c r="G377" s="396"/>
      <c r="H377" s="397"/>
      <c r="I377" s="383">
        <v>270000</v>
      </c>
      <c r="J377" s="398">
        <v>141840</v>
      </c>
      <c r="K377" s="399" t="s">
        <v>70</v>
      </c>
      <c r="L377" s="399" t="s">
        <v>34</v>
      </c>
      <c r="M377" s="399">
        <v>20</v>
      </c>
      <c r="N377" s="356">
        <v>270000</v>
      </c>
      <c r="O377" s="28" t="b">
        <f t="shared" si="21"/>
        <v>1</v>
      </c>
    </row>
    <row r="378" spans="2:15" s="28" customFormat="1" ht="16.5" customHeight="1">
      <c r="B378" s="20"/>
      <c r="C378" s="20"/>
      <c r="D378" s="254"/>
      <c r="E378" s="379">
        <v>139962</v>
      </c>
      <c r="F378" s="395" t="s">
        <v>359</v>
      </c>
      <c r="G378" s="396"/>
      <c r="H378" s="397"/>
      <c r="I378" s="383">
        <v>255000</v>
      </c>
      <c r="J378" s="398">
        <v>139962</v>
      </c>
      <c r="K378" s="399" t="s">
        <v>70</v>
      </c>
      <c r="L378" s="399" t="s">
        <v>34</v>
      </c>
      <c r="M378" s="399">
        <v>20</v>
      </c>
      <c r="N378" s="356">
        <v>255000</v>
      </c>
      <c r="O378" s="28" t="b">
        <f t="shared" si="21"/>
        <v>1</v>
      </c>
    </row>
    <row r="379" spans="2:15" s="28" customFormat="1" ht="16.5" customHeight="1">
      <c r="B379" s="20"/>
      <c r="C379" s="20"/>
      <c r="D379" s="254"/>
      <c r="E379" s="379">
        <v>139963</v>
      </c>
      <c r="F379" s="395" t="s">
        <v>360</v>
      </c>
      <c r="G379" s="396"/>
      <c r="H379" s="397"/>
      <c r="I379" s="383">
        <v>271000</v>
      </c>
      <c r="J379" s="398">
        <v>139963</v>
      </c>
      <c r="K379" s="399" t="s">
        <v>70</v>
      </c>
      <c r="L379" s="399" t="s">
        <v>34</v>
      </c>
      <c r="M379" s="399">
        <v>20</v>
      </c>
      <c r="N379" s="356">
        <v>271000</v>
      </c>
      <c r="O379" s="28" t="b">
        <f t="shared" si="21"/>
        <v>1</v>
      </c>
    </row>
    <row r="380" spans="2:15" s="28" customFormat="1" ht="16.5" customHeight="1">
      <c r="B380" s="20"/>
      <c r="C380" s="20"/>
      <c r="D380" s="254"/>
      <c r="E380" s="379">
        <v>140058</v>
      </c>
      <c r="F380" s="395" t="s">
        <v>645</v>
      </c>
      <c r="G380" s="396"/>
      <c r="H380" s="397"/>
      <c r="I380" s="383">
        <v>520000</v>
      </c>
      <c r="J380" s="398">
        <v>140058</v>
      </c>
      <c r="K380" s="399" t="s">
        <v>71</v>
      </c>
      <c r="L380" s="399" t="s">
        <v>34</v>
      </c>
      <c r="M380" s="399">
        <v>200</v>
      </c>
      <c r="N380" s="356">
        <v>520000</v>
      </c>
      <c r="O380" s="28" t="b">
        <f t="shared" si="21"/>
        <v>1</v>
      </c>
    </row>
    <row r="381" spans="2:15" s="28" customFormat="1" ht="16.5" customHeight="1">
      <c r="B381" s="20"/>
      <c r="C381" s="20"/>
      <c r="D381" s="254"/>
      <c r="E381" s="379">
        <v>140059</v>
      </c>
      <c r="F381" s="395" t="s">
        <v>361</v>
      </c>
      <c r="G381" s="396"/>
      <c r="H381" s="397"/>
      <c r="I381" s="383">
        <v>54000</v>
      </c>
      <c r="J381" s="398">
        <v>140059</v>
      </c>
      <c r="K381" s="399" t="s">
        <v>70</v>
      </c>
      <c r="L381" s="399" t="s">
        <v>34</v>
      </c>
      <c r="M381" s="399">
        <v>20</v>
      </c>
      <c r="N381" s="356">
        <v>54000</v>
      </c>
      <c r="O381" s="28" t="b">
        <f t="shared" si="21"/>
        <v>1</v>
      </c>
    </row>
    <row r="382" spans="2:15" s="28" customFormat="1" ht="16.5" customHeight="1">
      <c r="B382" s="20"/>
      <c r="C382" s="20"/>
      <c r="D382" s="254"/>
      <c r="E382" s="379">
        <v>140107</v>
      </c>
      <c r="F382" s="395" t="s">
        <v>646</v>
      </c>
      <c r="G382" s="396"/>
      <c r="H382" s="397"/>
      <c r="I382" s="383">
        <v>3193000</v>
      </c>
      <c r="J382" s="398">
        <v>140107</v>
      </c>
      <c r="K382" s="399" t="s">
        <v>71</v>
      </c>
      <c r="L382" s="399" t="s">
        <v>34</v>
      </c>
      <c r="M382" s="399">
        <v>193.8</v>
      </c>
      <c r="N382" s="356">
        <v>3193000</v>
      </c>
      <c r="O382" s="28" t="b">
        <f t="shared" si="21"/>
        <v>1</v>
      </c>
    </row>
    <row r="383" spans="2:15" s="28" customFormat="1" ht="16.5" customHeight="1">
      <c r="B383" s="20"/>
      <c r="C383" s="20"/>
      <c r="D383" s="254"/>
      <c r="E383" s="379">
        <v>140108</v>
      </c>
      <c r="F383" s="395" t="s">
        <v>647</v>
      </c>
      <c r="G383" s="396"/>
      <c r="H383" s="397"/>
      <c r="I383" s="383">
        <v>3403000</v>
      </c>
      <c r="J383" s="398">
        <v>140108</v>
      </c>
      <c r="K383" s="399" t="s">
        <v>71</v>
      </c>
      <c r="L383" s="399" t="s">
        <v>34</v>
      </c>
      <c r="M383" s="399">
        <v>193.8</v>
      </c>
      <c r="N383" s="356">
        <v>3403000</v>
      </c>
      <c r="O383" s="28" t="b">
        <f t="shared" si="21"/>
        <v>1</v>
      </c>
    </row>
    <row r="384" spans="2:15" s="28" customFormat="1" ht="16.5" customHeight="1">
      <c r="B384" s="20"/>
      <c r="C384" s="20"/>
      <c r="D384" s="254"/>
      <c r="E384" s="379">
        <v>140109</v>
      </c>
      <c r="F384" s="395" t="s">
        <v>362</v>
      </c>
      <c r="G384" s="396"/>
      <c r="H384" s="397"/>
      <c r="I384" s="383">
        <v>320000</v>
      </c>
      <c r="J384" s="398">
        <v>140109</v>
      </c>
      <c r="K384" s="399" t="s">
        <v>70</v>
      </c>
      <c r="L384" s="399" t="s">
        <v>34</v>
      </c>
      <c r="M384" s="399">
        <v>17.457000000000001</v>
      </c>
      <c r="N384" s="356">
        <v>320000</v>
      </c>
      <c r="O384" s="28" t="b">
        <f t="shared" si="21"/>
        <v>1</v>
      </c>
    </row>
    <row r="385" spans="2:15" s="28" customFormat="1" ht="16.5" customHeight="1">
      <c r="B385" s="20"/>
      <c r="C385" s="20"/>
      <c r="D385" s="254"/>
      <c r="E385" s="379">
        <v>140110</v>
      </c>
      <c r="F385" s="395" t="s">
        <v>648</v>
      </c>
      <c r="G385" s="396"/>
      <c r="H385" s="397"/>
      <c r="I385" s="383">
        <v>3231000</v>
      </c>
      <c r="J385" s="398">
        <v>140110</v>
      </c>
      <c r="K385" s="399" t="s">
        <v>71</v>
      </c>
      <c r="L385" s="399" t="s">
        <v>34</v>
      </c>
      <c r="M385" s="399">
        <v>193.8</v>
      </c>
      <c r="N385" s="356">
        <v>3231000</v>
      </c>
      <c r="O385" s="28" t="b">
        <f t="shared" si="21"/>
        <v>1</v>
      </c>
    </row>
    <row r="386" spans="2:15" s="28" customFormat="1" ht="16.5" customHeight="1">
      <c r="B386" s="20"/>
      <c r="C386" s="20"/>
      <c r="D386" s="254"/>
      <c r="E386" s="379">
        <v>140111</v>
      </c>
      <c r="F386" s="395" t="s">
        <v>363</v>
      </c>
      <c r="G386" s="396"/>
      <c r="H386" s="397"/>
      <c r="I386" s="383">
        <v>326000</v>
      </c>
      <c r="J386" s="398">
        <v>140111</v>
      </c>
      <c r="K386" s="399" t="s">
        <v>70</v>
      </c>
      <c r="L386" s="399" t="s">
        <v>34</v>
      </c>
      <c r="M386" s="399">
        <v>17.329999999999998</v>
      </c>
      <c r="N386" s="356">
        <v>326000</v>
      </c>
      <c r="O386" s="28" t="b">
        <f t="shared" si="21"/>
        <v>1</v>
      </c>
    </row>
    <row r="387" spans="2:15" s="28" customFormat="1" ht="16.5" customHeight="1">
      <c r="B387" s="20"/>
      <c r="C387" s="20"/>
      <c r="D387" s="254"/>
      <c r="E387" s="379">
        <v>140112</v>
      </c>
      <c r="F387" s="395" t="s">
        <v>364</v>
      </c>
      <c r="G387" s="396"/>
      <c r="H387" s="397"/>
      <c r="I387" s="383">
        <v>340000</v>
      </c>
      <c r="J387" s="398">
        <v>140112</v>
      </c>
      <c r="K387" s="399" t="s">
        <v>70</v>
      </c>
      <c r="L387" s="399" t="s">
        <v>34</v>
      </c>
      <c r="M387" s="399">
        <v>17.329999999999998</v>
      </c>
      <c r="N387" s="356">
        <v>340000</v>
      </c>
      <c r="O387" s="28" t="b">
        <f t="shared" si="21"/>
        <v>1</v>
      </c>
    </row>
    <row r="388" spans="2:15" s="28" customFormat="1" ht="16.5" customHeight="1">
      <c r="B388" s="20"/>
      <c r="C388" s="20"/>
      <c r="D388" s="254"/>
      <c r="E388" s="379">
        <v>140139</v>
      </c>
      <c r="F388" s="395" t="s">
        <v>368</v>
      </c>
      <c r="G388" s="396"/>
      <c r="H388" s="397"/>
      <c r="I388" s="383">
        <v>140000</v>
      </c>
      <c r="J388" s="398">
        <v>140139</v>
      </c>
      <c r="K388" s="399" t="s">
        <v>70</v>
      </c>
      <c r="L388" s="399" t="s">
        <v>34</v>
      </c>
      <c r="M388" s="399">
        <v>16</v>
      </c>
      <c r="N388" s="356">
        <v>140000</v>
      </c>
      <c r="O388" s="28" t="b">
        <f t="shared" si="21"/>
        <v>1</v>
      </c>
    </row>
    <row r="389" spans="2:15" s="28" customFormat="1" ht="16.5" customHeight="1">
      <c r="B389" s="20"/>
      <c r="C389" s="20"/>
      <c r="D389" s="254"/>
      <c r="E389" s="379">
        <v>140140</v>
      </c>
      <c r="F389" s="395" t="s">
        <v>369</v>
      </c>
      <c r="G389" s="396"/>
      <c r="H389" s="397"/>
      <c r="I389" s="383">
        <v>120000</v>
      </c>
      <c r="J389" s="398">
        <v>140140</v>
      </c>
      <c r="K389" s="399" t="s">
        <v>70</v>
      </c>
      <c r="L389" s="399" t="s">
        <v>34</v>
      </c>
      <c r="M389" s="399">
        <v>16</v>
      </c>
      <c r="N389" s="356">
        <v>120000</v>
      </c>
      <c r="O389" s="28" t="b">
        <f t="shared" si="21"/>
        <v>1</v>
      </c>
    </row>
    <row r="390" spans="2:15" s="28" customFormat="1" ht="16.5" customHeight="1">
      <c r="B390" s="20"/>
      <c r="C390" s="20"/>
      <c r="D390" s="254"/>
      <c r="E390" s="379">
        <v>140141</v>
      </c>
      <c r="F390" s="395" t="s">
        <v>370</v>
      </c>
      <c r="G390" s="396"/>
      <c r="H390" s="397"/>
      <c r="I390" s="383">
        <v>188000</v>
      </c>
      <c r="J390" s="398">
        <v>140141</v>
      </c>
      <c r="K390" s="399" t="s">
        <v>70</v>
      </c>
      <c r="L390" s="399" t="s">
        <v>34</v>
      </c>
      <c r="M390" s="399">
        <v>16</v>
      </c>
      <c r="N390" s="356">
        <v>188000</v>
      </c>
      <c r="O390" s="28" t="b">
        <f t="shared" si="21"/>
        <v>1</v>
      </c>
    </row>
    <row r="391" spans="2:15" s="28" customFormat="1" ht="16.5" customHeight="1">
      <c r="B391" s="20"/>
      <c r="C391" s="20"/>
      <c r="D391" s="254"/>
      <c r="E391" s="379">
        <v>140142</v>
      </c>
      <c r="F391" s="395" t="s">
        <v>371</v>
      </c>
      <c r="G391" s="396"/>
      <c r="H391" s="397"/>
      <c r="I391" s="383">
        <v>130000</v>
      </c>
      <c r="J391" s="398">
        <v>140142</v>
      </c>
      <c r="K391" s="399" t="s">
        <v>70</v>
      </c>
      <c r="L391" s="399" t="s">
        <v>34</v>
      </c>
      <c r="M391" s="399">
        <v>16</v>
      </c>
      <c r="N391" s="356">
        <v>130000</v>
      </c>
      <c r="O391" s="28" t="b">
        <f t="shared" si="21"/>
        <v>1</v>
      </c>
    </row>
    <row r="392" spans="2:15" s="28" customFormat="1" ht="16.5" customHeight="1">
      <c r="B392" s="20"/>
      <c r="C392" s="20"/>
      <c r="D392" s="254"/>
      <c r="E392" s="379">
        <v>140143</v>
      </c>
      <c r="F392" s="395" t="s">
        <v>372</v>
      </c>
      <c r="G392" s="396"/>
      <c r="H392" s="397"/>
      <c r="I392" s="383">
        <v>203000</v>
      </c>
      <c r="J392" s="398">
        <v>140143</v>
      </c>
      <c r="K392" s="399" t="s">
        <v>70</v>
      </c>
      <c r="L392" s="399" t="s">
        <v>34</v>
      </c>
      <c r="M392" s="399">
        <v>16</v>
      </c>
      <c r="N392" s="356">
        <v>203000</v>
      </c>
      <c r="O392" s="28" t="b">
        <f t="shared" si="21"/>
        <v>1</v>
      </c>
    </row>
    <row r="393" spans="2:15" s="28" customFormat="1" ht="16.5" customHeight="1">
      <c r="B393" s="20"/>
      <c r="C393" s="20"/>
      <c r="D393" s="254"/>
      <c r="E393" s="379">
        <v>140148</v>
      </c>
      <c r="F393" s="395" t="s">
        <v>650</v>
      </c>
      <c r="G393" s="401"/>
      <c r="H393" s="402"/>
      <c r="I393" s="383">
        <v>1484000</v>
      </c>
      <c r="J393" s="398">
        <v>140148</v>
      </c>
      <c r="K393" s="399" t="s">
        <v>71</v>
      </c>
      <c r="L393" s="399" t="s">
        <v>34</v>
      </c>
      <c r="M393" s="399">
        <v>180</v>
      </c>
      <c r="N393" s="356">
        <v>1484000</v>
      </c>
      <c r="O393" s="28" t="b">
        <f t="shared" si="21"/>
        <v>1</v>
      </c>
    </row>
    <row r="394" spans="2:15" s="28" customFormat="1" ht="16.5" customHeight="1">
      <c r="B394" s="20"/>
      <c r="C394" s="20"/>
      <c r="D394" s="254"/>
      <c r="E394" s="379">
        <v>140149</v>
      </c>
      <c r="F394" s="395" t="s">
        <v>651</v>
      </c>
      <c r="G394" s="396"/>
      <c r="H394" s="397"/>
      <c r="I394" s="383">
        <v>1303000</v>
      </c>
      <c r="J394" s="398">
        <v>140149</v>
      </c>
      <c r="K394" s="399" t="s">
        <v>71</v>
      </c>
      <c r="L394" s="399" t="s">
        <v>34</v>
      </c>
      <c r="M394" s="399">
        <v>180</v>
      </c>
      <c r="N394" s="356">
        <v>1303000</v>
      </c>
      <c r="O394" s="28" t="b">
        <f t="shared" si="21"/>
        <v>1</v>
      </c>
    </row>
    <row r="395" spans="2:15" s="28" customFormat="1" ht="16.5" customHeight="1">
      <c r="B395" s="20"/>
      <c r="C395" s="20"/>
      <c r="D395" s="254"/>
      <c r="E395" s="379">
        <v>140150</v>
      </c>
      <c r="F395" s="395" t="s">
        <v>652</v>
      </c>
      <c r="G395" s="396"/>
      <c r="H395" s="397"/>
      <c r="I395" s="383">
        <v>1484000</v>
      </c>
      <c r="J395" s="398">
        <v>140150</v>
      </c>
      <c r="K395" s="399" t="s">
        <v>71</v>
      </c>
      <c r="L395" s="399" t="s">
        <v>34</v>
      </c>
      <c r="M395" s="399">
        <v>180</v>
      </c>
      <c r="N395" s="356">
        <v>1484000</v>
      </c>
      <c r="O395" s="28" t="b">
        <f t="shared" si="21"/>
        <v>1</v>
      </c>
    </row>
    <row r="396" spans="2:15" s="28" customFormat="1" ht="16.5" customHeight="1">
      <c r="B396" s="20"/>
      <c r="C396" s="20"/>
      <c r="D396" s="254"/>
      <c r="E396" s="379">
        <v>140151</v>
      </c>
      <c r="F396" s="395" t="s">
        <v>653</v>
      </c>
      <c r="G396" s="396"/>
      <c r="H396" s="397"/>
      <c r="I396" s="383">
        <v>1568000</v>
      </c>
      <c r="J396" s="398">
        <v>140151</v>
      </c>
      <c r="K396" s="399" t="s">
        <v>71</v>
      </c>
      <c r="L396" s="399" t="s">
        <v>34</v>
      </c>
      <c r="M396" s="399">
        <v>180</v>
      </c>
      <c r="N396" s="356">
        <v>1568000</v>
      </c>
      <c r="O396" s="28" t="b">
        <f t="shared" si="21"/>
        <v>1</v>
      </c>
    </row>
    <row r="397" spans="2:15" s="28" customFormat="1" ht="16.5" customHeight="1">
      <c r="B397" s="20"/>
      <c r="C397" s="20"/>
      <c r="D397" s="254"/>
      <c r="E397" s="379">
        <v>140152</v>
      </c>
      <c r="F397" s="395" t="s">
        <v>654</v>
      </c>
      <c r="G397" s="396"/>
      <c r="H397" s="397"/>
      <c r="I397" s="383">
        <v>2126000</v>
      </c>
      <c r="J397" s="398">
        <v>140152</v>
      </c>
      <c r="K397" s="399" t="s">
        <v>71</v>
      </c>
      <c r="L397" s="399" t="s">
        <v>34</v>
      </c>
      <c r="M397" s="399">
        <v>180</v>
      </c>
      <c r="N397" s="356">
        <v>2126000</v>
      </c>
      <c r="O397" s="28" t="b">
        <f t="shared" si="21"/>
        <v>1</v>
      </c>
    </row>
    <row r="398" spans="2:15" s="28" customFormat="1" ht="16.5" customHeight="1">
      <c r="B398" s="20"/>
      <c r="C398" s="20"/>
      <c r="D398" s="254"/>
      <c r="E398" s="379">
        <v>140153</v>
      </c>
      <c r="F398" s="395" t="s">
        <v>655</v>
      </c>
      <c r="G398" s="396"/>
      <c r="H398" s="397"/>
      <c r="I398" s="383">
        <v>2128000</v>
      </c>
      <c r="J398" s="398">
        <v>140153</v>
      </c>
      <c r="K398" s="399" t="s">
        <v>71</v>
      </c>
      <c r="L398" s="399" t="s">
        <v>34</v>
      </c>
      <c r="M398" s="399">
        <v>180</v>
      </c>
      <c r="N398" s="356">
        <v>2128000</v>
      </c>
      <c r="O398" s="28" t="b">
        <f t="shared" si="21"/>
        <v>1</v>
      </c>
    </row>
    <row r="399" spans="2:15" s="28" customFormat="1" ht="16.5" customHeight="1">
      <c r="B399" s="20"/>
      <c r="C399" s="20"/>
      <c r="D399" s="254"/>
      <c r="E399" s="379">
        <v>140154</v>
      </c>
      <c r="F399" s="395" t="s">
        <v>656</v>
      </c>
      <c r="G399" s="396"/>
      <c r="H399" s="397"/>
      <c r="I399" s="383" t="e">
        <v>#N/A</v>
      </c>
      <c r="J399" s="398">
        <v>140154</v>
      </c>
      <c r="K399" s="399" t="s">
        <v>71</v>
      </c>
      <c r="L399" s="399" t="s">
        <v>34</v>
      </c>
      <c r="M399" s="399">
        <v>180</v>
      </c>
      <c r="N399" s="356" t="e">
        <v>#N/A</v>
      </c>
      <c r="O399" s="28" t="e">
        <f t="shared" si="21"/>
        <v>#N/A</v>
      </c>
    </row>
    <row r="400" spans="2:15" s="28" customFormat="1" ht="16.5" customHeight="1">
      <c r="B400" s="20"/>
      <c r="C400" s="20"/>
      <c r="D400" s="254"/>
      <c r="E400" s="379">
        <v>140204</v>
      </c>
      <c r="F400" s="395" t="s">
        <v>379</v>
      </c>
      <c r="G400" s="396"/>
      <c r="H400" s="397"/>
      <c r="I400" s="383">
        <v>352000</v>
      </c>
      <c r="J400" s="398">
        <v>140204</v>
      </c>
      <c r="K400" s="399" t="s">
        <v>70</v>
      </c>
      <c r="L400" s="399" t="s">
        <v>34</v>
      </c>
      <c r="M400" s="399">
        <v>16</v>
      </c>
      <c r="N400" s="356">
        <v>352000</v>
      </c>
      <c r="O400" s="28" t="b">
        <f t="shared" si="21"/>
        <v>1</v>
      </c>
    </row>
    <row r="401" spans="2:15" s="28" customFormat="1" ht="16.5" customHeight="1">
      <c r="B401" s="20"/>
      <c r="C401" s="20"/>
      <c r="D401" s="254"/>
      <c r="E401" s="379">
        <v>140205</v>
      </c>
      <c r="F401" s="395" t="s">
        <v>380</v>
      </c>
      <c r="G401" s="401"/>
      <c r="H401" s="402"/>
      <c r="I401" s="383">
        <v>355000</v>
      </c>
      <c r="J401" s="398">
        <v>140205</v>
      </c>
      <c r="K401" s="399" t="s">
        <v>70</v>
      </c>
      <c r="L401" s="399" t="s">
        <v>34</v>
      </c>
      <c r="M401" s="399">
        <v>16</v>
      </c>
      <c r="N401" s="356">
        <v>355000</v>
      </c>
      <c r="O401" s="28" t="b">
        <f t="shared" si="21"/>
        <v>1</v>
      </c>
    </row>
    <row r="402" spans="2:15" s="28" customFormat="1" ht="16.5" customHeight="1">
      <c r="B402" s="20"/>
      <c r="C402" s="20"/>
      <c r="D402" s="254"/>
      <c r="E402" s="379">
        <v>140206</v>
      </c>
      <c r="F402" s="395" t="s">
        <v>659</v>
      </c>
      <c r="G402" s="396"/>
      <c r="H402" s="397"/>
      <c r="I402" s="383">
        <v>3685000</v>
      </c>
      <c r="J402" s="398">
        <v>140206</v>
      </c>
      <c r="K402" s="399" t="s">
        <v>71</v>
      </c>
      <c r="L402" s="399" t="s">
        <v>34</v>
      </c>
      <c r="M402" s="399">
        <v>174</v>
      </c>
      <c r="N402" s="356">
        <v>3685000</v>
      </c>
      <c r="O402" s="28" t="b">
        <f t="shared" si="21"/>
        <v>1</v>
      </c>
    </row>
    <row r="403" spans="2:15" s="28" customFormat="1" ht="16.5" customHeight="1">
      <c r="B403" s="20"/>
      <c r="C403" s="20"/>
      <c r="D403" s="254"/>
      <c r="E403" s="379">
        <v>140207</v>
      </c>
      <c r="F403" s="395" t="s">
        <v>660</v>
      </c>
      <c r="G403" s="396"/>
      <c r="H403" s="397"/>
      <c r="I403" s="383">
        <v>3777000</v>
      </c>
      <c r="J403" s="398">
        <v>140207</v>
      </c>
      <c r="K403" s="399" t="s">
        <v>71</v>
      </c>
      <c r="L403" s="399" t="s">
        <v>34</v>
      </c>
      <c r="M403" s="399">
        <v>174</v>
      </c>
      <c r="N403" s="356">
        <v>3777000</v>
      </c>
      <c r="O403" s="28" t="b">
        <f t="shared" si="21"/>
        <v>1</v>
      </c>
    </row>
    <row r="404" spans="2:15" s="28" customFormat="1" ht="16.5" customHeight="1">
      <c r="B404" s="20"/>
      <c r="C404" s="20"/>
      <c r="D404" s="254"/>
      <c r="E404" s="379">
        <v>140208</v>
      </c>
      <c r="F404" s="395" t="s">
        <v>661</v>
      </c>
      <c r="G404" s="396"/>
      <c r="H404" s="397"/>
      <c r="I404" s="383">
        <v>3689000</v>
      </c>
      <c r="J404" s="398">
        <v>140208</v>
      </c>
      <c r="K404" s="399" t="s">
        <v>71</v>
      </c>
      <c r="L404" s="399" t="s">
        <v>34</v>
      </c>
      <c r="M404" s="399">
        <v>174</v>
      </c>
      <c r="N404" s="356">
        <v>3689000</v>
      </c>
      <c r="O404" s="28" t="b">
        <f t="shared" si="21"/>
        <v>1</v>
      </c>
    </row>
    <row r="405" spans="2:15" s="28" customFormat="1" ht="16.5" customHeight="1">
      <c r="B405" s="20"/>
      <c r="C405" s="20"/>
      <c r="D405" s="254"/>
      <c r="E405" s="379">
        <v>140209</v>
      </c>
      <c r="F405" s="395" t="s">
        <v>662</v>
      </c>
      <c r="G405" s="396"/>
      <c r="H405" s="397"/>
      <c r="I405" s="383">
        <v>3730000</v>
      </c>
      <c r="J405" s="398">
        <v>140209</v>
      </c>
      <c r="K405" s="399" t="s">
        <v>71</v>
      </c>
      <c r="L405" s="399" t="s">
        <v>34</v>
      </c>
      <c r="M405" s="399">
        <v>174</v>
      </c>
      <c r="N405" s="356">
        <v>3730000</v>
      </c>
      <c r="O405" s="28" t="b">
        <f t="shared" si="21"/>
        <v>1</v>
      </c>
    </row>
    <row r="406" spans="2:15" s="28" customFormat="1" ht="16.5" customHeight="1">
      <c r="B406" s="20"/>
      <c r="C406" s="20"/>
      <c r="D406" s="254"/>
      <c r="E406" s="379">
        <v>140210</v>
      </c>
      <c r="F406" s="395" t="s">
        <v>663</v>
      </c>
      <c r="G406" s="396"/>
      <c r="H406" s="397"/>
      <c r="I406" s="383">
        <v>3687000</v>
      </c>
      <c r="J406" s="398">
        <v>140210</v>
      </c>
      <c r="K406" s="399" t="s">
        <v>71</v>
      </c>
      <c r="L406" s="399" t="s">
        <v>34</v>
      </c>
      <c r="M406" s="399">
        <v>174</v>
      </c>
      <c r="N406" s="356">
        <v>3687000</v>
      </c>
      <c r="O406" s="28" t="b">
        <f t="shared" si="21"/>
        <v>1</v>
      </c>
    </row>
    <row r="407" spans="2:15" s="28" customFormat="1" ht="16.5" customHeight="1">
      <c r="B407" s="20"/>
      <c r="C407" s="20"/>
      <c r="D407" s="254"/>
      <c r="E407" s="379">
        <v>140211</v>
      </c>
      <c r="F407" s="395" t="s">
        <v>664</v>
      </c>
      <c r="G407" s="396"/>
      <c r="H407" s="397"/>
      <c r="I407" s="383">
        <v>3730000</v>
      </c>
      <c r="J407" s="398">
        <v>140211</v>
      </c>
      <c r="K407" s="399" t="s">
        <v>71</v>
      </c>
      <c r="L407" s="399" t="s">
        <v>34</v>
      </c>
      <c r="M407" s="399">
        <v>174</v>
      </c>
      <c r="N407" s="356">
        <v>3730000</v>
      </c>
      <c r="O407" s="28" t="b">
        <f t="shared" si="21"/>
        <v>1</v>
      </c>
    </row>
    <row r="408" spans="2:15" s="28" customFormat="1" ht="16.5" customHeight="1">
      <c r="B408" s="20"/>
      <c r="C408" s="20"/>
      <c r="D408" s="254"/>
      <c r="E408" s="379">
        <v>140252</v>
      </c>
      <c r="F408" s="395" t="s">
        <v>381</v>
      </c>
      <c r="G408" s="396"/>
      <c r="H408" s="397"/>
      <c r="I408" s="383">
        <v>81000</v>
      </c>
      <c r="J408" s="398">
        <v>140252</v>
      </c>
      <c r="K408" s="399" t="s">
        <v>70</v>
      </c>
      <c r="L408" s="399" t="s">
        <v>34</v>
      </c>
      <c r="M408" s="399">
        <v>16</v>
      </c>
      <c r="N408" s="356">
        <v>81000</v>
      </c>
      <c r="O408" s="28" t="b">
        <f t="shared" si="21"/>
        <v>1</v>
      </c>
    </row>
    <row r="409" spans="2:15" s="28" customFormat="1" ht="16.5" customHeight="1">
      <c r="B409" s="20"/>
      <c r="C409" s="20"/>
      <c r="D409" s="254"/>
      <c r="E409" s="379">
        <v>140254</v>
      </c>
      <c r="F409" s="395" t="s">
        <v>382</v>
      </c>
      <c r="G409" s="396"/>
      <c r="H409" s="397"/>
      <c r="I409" s="383">
        <v>81000</v>
      </c>
      <c r="J409" s="398">
        <v>140254</v>
      </c>
      <c r="K409" s="399" t="s">
        <v>70</v>
      </c>
      <c r="L409" s="399" t="s">
        <v>34</v>
      </c>
      <c r="M409" s="399">
        <v>16</v>
      </c>
      <c r="N409" s="356">
        <v>81000</v>
      </c>
      <c r="O409" s="28" t="b">
        <f t="shared" si="21"/>
        <v>1</v>
      </c>
    </row>
    <row r="410" spans="2:15" s="28" customFormat="1" ht="16.5" customHeight="1">
      <c r="B410" s="20"/>
      <c r="C410" s="20"/>
      <c r="D410" s="254"/>
      <c r="E410" s="379">
        <v>140255</v>
      </c>
      <c r="F410" s="395" t="s">
        <v>383</v>
      </c>
      <c r="G410" s="396"/>
      <c r="H410" s="397"/>
      <c r="I410" s="383">
        <v>81000</v>
      </c>
      <c r="J410" s="398">
        <v>140255</v>
      </c>
      <c r="K410" s="399" t="s">
        <v>70</v>
      </c>
      <c r="L410" s="399" t="s">
        <v>34</v>
      </c>
      <c r="M410" s="399">
        <v>16</v>
      </c>
      <c r="N410" s="356">
        <v>81000</v>
      </c>
      <c r="O410" s="28" t="b">
        <f t="shared" ref="O410:O473" si="22">I410=N410</f>
        <v>1</v>
      </c>
    </row>
    <row r="411" spans="2:15" s="28" customFormat="1" ht="16.5" customHeight="1">
      <c r="B411" s="20"/>
      <c r="C411" s="20"/>
      <c r="D411" s="254"/>
      <c r="E411" s="379">
        <v>140256</v>
      </c>
      <c r="F411" s="395" t="s">
        <v>384</v>
      </c>
      <c r="G411" s="396"/>
      <c r="H411" s="397"/>
      <c r="I411" s="383">
        <v>81000</v>
      </c>
      <c r="J411" s="398">
        <v>140256</v>
      </c>
      <c r="K411" s="399" t="s">
        <v>70</v>
      </c>
      <c r="L411" s="399" t="s">
        <v>34</v>
      </c>
      <c r="M411" s="399">
        <v>16</v>
      </c>
      <c r="N411" s="356">
        <v>81000</v>
      </c>
      <c r="O411" s="28" t="b">
        <f t="shared" si="22"/>
        <v>1</v>
      </c>
    </row>
    <row r="412" spans="2:15" s="28" customFormat="1" ht="16.5" customHeight="1">
      <c r="B412" s="20"/>
      <c r="C412" s="20"/>
      <c r="D412" s="254"/>
      <c r="E412" s="379">
        <v>140257</v>
      </c>
      <c r="F412" s="395" t="s">
        <v>127</v>
      </c>
      <c r="G412" s="396"/>
      <c r="H412" s="397"/>
      <c r="I412" s="383">
        <v>728000</v>
      </c>
      <c r="J412" s="398">
        <v>140257</v>
      </c>
      <c r="K412" s="399" t="s">
        <v>71</v>
      </c>
      <c r="L412" s="399" t="s">
        <v>34</v>
      </c>
      <c r="M412" s="399">
        <v>180</v>
      </c>
      <c r="N412" s="356">
        <v>728000</v>
      </c>
      <c r="O412" s="28" t="b">
        <f t="shared" si="22"/>
        <v>1</v>
      </c>
    </row>
    <row r="413" spans="2:15" s="28" customFormat="1" ht="16.5" customHeight="1">
      <c r="B413" s="20"/>
      <c r="C413" s="20"/>
      <c r="D413" s="254"/>
      <c r="E413" s="379">
        <v>140259</v>
      </c>
      <c r="F413" s="395" t="s">
        <v>665</v>
      </c>
      <c r="G413" s="396"/>
      <c r="H413" s="397"/>
      <c r="I413" s="383">
        <v>728000</v>
      </c>
      <c r="J413" s="398">
        <v>140259</v>
      </c>
      <c r="K413" s="399" t="s">
        <v>71</v>
      </c>
      <c r="L413" s="399" t="s">
        <v>34</v>
      </c>
      <c r="M413" s="399">
        <v>180</v>
      </c>
      <c r="N413" s="356">
        <v>728000</v>
      </c>
      <c r="O413" s="28" t="b">
        <f t="shared" si="22"/>
        <v>1</v>
      </c>
    </row>
    <row r="414" spans="2:15" s="28" customFormat="1" ht="16.5" customHeight="1">
      <c r="B414" s="20"/>
      <c r="C414" s="20"/>
      <c r="D414" s="254"/>
      <c r="E414" s="379">
        <v>140260</v>
      </c>
      <c r="F414" s="395" t="s">
        <v>666</v>
      </c>
      <c r="G414" s="396"/>
      <c r="H414" s="397"/>
      <c r="I414" s="383">
        <v>728000</v>
      </c>
      <c r="J414" s="398">
        <v>140260</v>
      </c>
      <c r="K414" s="399" t="s">
        <v>71</v>
      </c>
      <c r="L414" s="399" t="s">
        <v>34</v>
      </c>
      <c r="M414" s="399">
        <v>180</v>
      </c>
      <c r="N414" s="356">
        <v>728000</v>
      </c>
      <c r="O414" s="28" t="b">
        <f t="shared" si="22"/>
        <v>1</v>
      </c>
    </row>
    <row r="415" spans="2:15" s="28" customFormat="1" ht="16.5" customHeight="1">
      <c r="B415" s="20"/>
      <c r="C415" s="20"/>
      <c r="D415" s="254"/>
      <c r="E415" s="379">
        <v>140261</v>
      </c>
      <c r="F415" s="395" t="s">
        <v>667</v>
      </c>
      <c r="G415" s="396"/>
      <c r="H415" s="397"/>
      <c r="I415" s="383">
        <v>728000</v>
      </c>
      <c r="J415" s="398">
        <v>140261</v>
      </c>
      <c r="K415" s="399" t="s">
        <v>71</v>
      </c>
      <c r="L415" s="399" t="s">
        <v>34</v>
      </c>
      <c r="M415" s="399">
        <v>180</v>
      </c>
      <c r="N415" s="356">
        <v>728000</v>
      </c>
      <c r="O415" s="28" t="b">
        <f t="shared" si="22"/>
        <v>1</v>
      </c>
    </row>
    <row r="416" spans="2:15" s="28" customFormat="1" ht="16.5" customHeight="1">
      <c r="B416" s="20"/>
      <c r="C416" s="20"/>
      <c r="D416" s="254"/>
      <c r="E416" s="379">
        <v>140262</v>
      </c>
      <c r="F416" s="395" t="s">
        <v>668</v>
      </c>
      <c r="G416" s="396"/>
      <c r="H416" s="397"/>
      <c r="I416" s="383">
        <v>728000</v>
      </c>
      <c r="J416" s="398">
        <v>140262</v>
      </c>
      <c r="K416" s="399" t="s">
        <v>71</v>
      </c>
      <c r="L416" s="399" t="s">
        <v>34</v>
      </c>
      <c r="M416" s="399">
        <v>180</v>
      </c>
      <c r="N416" s="356">
        <v>728000</v>
      </c>
      <c r="O416" s="28" t="b">
        <f t="shared" si="22"/>
        <v>1</v>
      </c>
    </row>
    <row r="417" spans="2:15" s="28" customFormat="1" ht="16.5" customHeight="1">
      <c r="B417" s="20"/>
      <c r="C417" s="20"/>
      <c r="D417" s="254"/>
      <c r="E417" s="379">
        <v>140263</v>
      </c>
      <c r="F417" s="395" t="s">
        <v>126</v>
      </c>
      <c r="G417" s="396"/>
      <c r="H417" s="397"/>
      <c r="I417" s="383">
        <v>81000</v>
      </c>
      <c r="J417" s="398">
        <v>140263</v>
      </c>
      <c r="K417" s="399" t="s">
        <v>70</v>
      </c>
      <c r="L417" s="399" t="s">
        <v>34</v>
      </c>
      <c r="M417" s="399">
        <v>16</v>
      </c>
      <c r="N417" s="356">
        <v>81000</v>
      </c>
      <c r="O417" s="28" t="b">
        <f t="shared" si="22"/>
        <v>1</v>
      </c>
    </row>
    <row r="418" spans="2:15" s="28" customFormat="1" ht="16.5" customHeight="1">
      <c r="B418" s="20"/>
      <c r="C418" s="20"/>
      <c r="D418" s="254"/>
      <c r="E418" s="379">
        <v>140355</v>
      </c>
      <c r="F418" s="395" t="s">
        <v>385</v>
      </c>
      <c r="G418" s="396"/>
      <c r="H418" s="397"/>
      <c r="I418" s="383" t="e">
        <v>#N/A</v>
      </c>
      <c r="J418" s="398">
        <v>140355</v>
      </c>
      <c r="K418" s="399" t="s">
        <v>70</v>
      </c>
      <c r="L418" s="399" t="s">
        <v>34</v>
      </c>
      <c r="M418" s="399">
        <v>18</v>
      </c>
      <c r="N418" s="356" t="e">
        <v>#N/A</v>
      </c>
      <c r="O418" s="28" t="e">
        <f t="shared" si="22"/>
        <v>#N/A</v>
      </c>
    </row>
    <row r="419" spans="2:15" s="28" customFormat="1" ht="16.5" customHeight="1">
      <c r="B419" s="20"/>
      <c r="C419" s="20"/>
      <c r="D419" s="254"/>
      <c r="E419" s="379">
        <v>140435</v>
      </c>
      <c r="F419" s="395" t="s">
        <v>89</v>
      </c>
      <c r="G419" s="396"/>
      <c r="H419" s="397"/>
      <c r="I419" s="383">
        <v>395000</v>
      </c>
      <c r="J419" s="398">
        <v>140435</v>
      </c>
      <c r="K419" s="399" t="s">
        <v>70</v>
      </c>
      <c r="L419" s="399" t="s">
        <v>34</v>
      </c>
      <c r="M419" s="399">
        <v>20</v>
      </c>
      <c r="N419" s="356">
        <v>395000</v>
      </c>
      <c r="O419" s="28" t="b">
        <f t="shared" si="22"/>
        <v>1</v>
      </c>
    </row>
    <row r="420" spans="2:15" s="28" customFormat="1" ht="16.5" customHeight="1">
      <c r="B420" s="20"/>
      <c r="C420" s="20"/>
      <c r="D420" s="254"/>
      <c r="E420" s="379">
        <v>140485</v>
      </c>
      <c r="F420" s="395" t="s">
        <v>386</v>
      </c>
      <c r="G420" s="396"/>
      <c r="H420" s="397"/>
      <c r="I420" s="383">
        <v>107000</v>
      </c>
      <c r="J420" s="398">
        <v>140485</v>
      </c>
      <c r="K420" s="399" t="s">
        <v>70</v>
      </c>
      <c r="L420" s="399" t="s">
        <v>34</v>
      </c>
      <c r="M420" s="399">
        <v>20</v>
      </c>
      <c r="N420" s="356">
        <v>107000</v>
      </c>
      <c r="O420" s="28" t="b">
        <f t="shared" si="22"/>
        <v>1</v>
      </c>
    </row>
    <row r="421" spans="2:15" s="28" customFormat="1" ht="16.5" customHeight="1">
      <c r="B421" s="20"/>
      <c r="C421" s="20"/>
      <c r="D421" s="254"/>
      <c r="E421" s="379">
        <v>140499</v>
      </c>
      <c r="F421" s="395" t="s">
        <v>670</v>
      </c>
      <c r="G421" s="396"/>
      <c r="H421" s="397"/>
      <c r="I421" s="383">
        <v>3384000</v>
      </c>
      <c r="J421" s="398">
        <v>140499</v>
      </c>
      <c r="K421" s="399" t="s">
        <v>71</v>
      </c>
      <c r="L421" s="399" t="s">
        <v>34</v>
      </c>
      <c r="M421" s="399">
        <v>208</v>
      </c>
      <c r="N421" s="356">
        <v>3384000</v>
      </c>
      <c r="O421" s="28" t="b">
        <f t="shared" si="22"/>
        <v>1</v>
      </c>
    </row>
    <row r="422" spans="2:15" s="28" customFormat="1" ht="16.5" customHeight="1">
      <c r="B422" s="20"/>
      <c r="C422" s="20"/>
      <c r="D422" s="254"/>
      <c r="E422" s="379">
        <v>140501</v>
      </c>
      <c r="F422" s="395" t="s">
        <v>671</v>
      </c>
      <c r="G422" s="396"/>
      <c r="H422" s="397"/>
      <c r="I422" s="383">
        <v>4442000</v>
      </c>
      <c r="J422" s="398">
        <v>140501</v>
      </c>
      <c r="K422" s="399" t="s">
        <v>71</v>
      </c>
      <c r="L422" s="399" t="s">
        <v>34</v>
      </c>
      <c r="M422" s="399">
        <v>208</v>
      </c>
      <c r="N422" s="356">
        <v>4442000</v>
      </c>
      <c r="O422" s="28" t="b">
        <f t="shared" si="22"/>
        <v>1</v>
      </c>
    </row>
    <row r="423" spans="2:15" s="28" customFormat="1" ht="16.5" customHeight="1">
      <c r="B423" s="20"/>
      <c r="C423" s="20"/>
      <c r="D423" s="254"/>
      <c r="E423" s="379">
        <v>140503</v>
      </c>
      <c r="F423" s="395" t="s">
        <v>672</v>
      </c>
      <c r="G423" s="396"/>
      <c r="H423" s="397"/>
      <c r="I423" s="383">
        <v>4515000</v>
      </c>
      <c r="J423" s="398">
        <v>140503</v>
      </c>
      <c r="K423" s="399" t="s">
        <v>71</v>
      </c>
      <c r="L423" s="399" t="s">
        <v>34</v>
      </c>
      <c r="M423" s="399">
        <v>208</v>
      </c>
      <c r="N423" s="356">
        <v>4515000</v>
      </c>
      <c r="O423" s="28" t="b">
        <f t="shared" si="22"/>
        <v>1</v>
      </c>
    </row>
    <row r="424" spans="2:15" s="28" customFormat="1" ht="16.5" customHeight="1">
      <c r="B424" s="20"/>
      <c r="C424" s="20"/>
      <c r="D424" s="254"/>
      <c r="E424" s="379">
        <v>140541</v>
      </c>
      <c r="F424" s="395" t="s">
        <v>387</v>
      </c>
      <c r="G424" s="396"/>
      <c r="H424" s="397"/>
      <c r="I424" s="383"/>
      <c r="J424" s="398">
        <v>140541</v>
      </c>
      <c r="K424" s="399" t="s">
        <v>70</v>
      </c>
      <c r="L424" s="399" t="s">
        <v>34</v>
      </c>
      <c r="M424" s="399">
        <v>20</v>
      </c>
      <c r="N424" s="356" t="e">
        <v>#N/A</v>
      </c>
      <c r="O424" s="28" t="e">
        <f t="shared" si="22"/>
        <v>#N/A</v>
      </c>
    </row>
    <row r="425" spans="2:15" s="28" customFormat="1" ht="16.5" customHeight="1">
      <c r="B425" s="20"/>
      <c r="C425" s="20"/>
      <c r="D425" s="254"/>
      <c r="E425" s="379">
        <v>140627</v>
      </c>
      <c r="F425" s="395" t="s">
        <v>676</v>
      </c>
      <c r="G425" s="396"/>
      <c r="H425" s="397"/>
      <c r="I425" s="383">
        <v>746000</v>
      </c>
      <c r="J425" s="398">
        <v>140627</v>
      </c>
      <c r="K425" s="399" t="s">
        <v>71</v>
      </c>
      <c r="L425" s="399" t="s">
        <v>34</v>
      </c>
      <c r="M425" s="399">
        <v>200</v>
      </c>
      <c r="N425" s="356">
        <v>746000</v>
      </c>
      <c r="O425" s="28" t="b">
        <f t="shared" si="22"/>
        <v>1</v>
      </c>
    </row>
    <row r="426" spans="2:15" s="28" customFormat="1" ht="16.5" customHeight="1">
      <c r="B426" s="20"/>
      <c r="C426" s="20"/>
      <c r="D426" s="254"/>
      <c r="E426" s="379">
        <v>140629</v>
      </c>
      <c r="F426" s="395" t="s">
        <v>677</v>
      </c>
      <c r="G426" s="396"/>
      <c r="H426" s="397"/>
      <c r="I426" s="383">
        <v>746000</v>
      </c>
      <c r="J426" s="398">
        <v>140629</v>
      </c>
      <c r="K426" s="399" t="s">
        <v>71</v>
      </c>
      <c r="L426" s="399" t="s">
        <v>34</v>
      </c>
      <c r="M426" s="399">
        <v>200</v>
      </c>
      <c r="N426" s="356">
        <v>746000</v>
      </c>
      <c r="O426" s="28" t="b">
        <f t="shared" si="22"/>
        <v>1</v>
      </c>
    </row>
    <row r="427" spans="2:15" s="28" customFormat="1" ht="16.5" customHeight="1">
      <c r="B427" s="20"/>
      <c r="C427" s="20"/>
      <c r="D427" s="254"/>
      <c r="E427" s="379">
        <v>140631</v>
      </c>
      <c r="F427" s="395" t="s">
        <v>678</v>
      </c>
      <c r="G427" s="396"/>
      <c r="H427" s="397"/>
      <c r="I427" s="383">
        <v>746000</v>
      </c>
      <c r="J427" s="398">
        <v>140631</v>
      </c>
      <c r="K427" s="399" t="s">
        <v>71</v>
      </c>
      <c r="L427" s="399" t="s">
        <v>34</v>
      </c>
      <c r="M427" s="399">
        <v>200</v>
      </c>
      <c r="N427" s="356">
        <v>746000</v>
      </c>
      <c r="O427" s="28" t="b">
        <f t="shared" si="22"/>
        <v>1</v>
      </c>
    </row>
    <row r="428" spans="2:15" s="28" customFormat="1" ht="16.5" customHeight="1">
      <c r="B428" s="20"/>
      <c r="C428" s="20"/>
      <c r="D428" s="254"/>
      <c r="E428" s="379">
        <v>140675</v>
      </c>
      <c r="F428" s="395" t="s">
        <v>388</v>
      </c>
      <c r="G428" s="396"/>
      <c r="H428" s="397"/>
      <c r="I428" s="383">
        <v>79200</v>
      </c>
      <c r="J428" s="398">
        <v>140675</v>
      </c>
      <c r="K428" s="399" t="s">
        <v>70</v>
      </c>
      <c r="L428" s="399" t="s">
        <v>34</v>
      </c>
      <c r="M428" s="399">
        <v>20</v>
      </c>
      <c r="N428" s="356">
        <v>79200</v>
      </c>
      <c r="O428" s="28" t="b">
        <f t="shared" si="22"/>
        <v>1</v>
      </c>
    </row>
    <row r="429" spans="2:15" s="28" customFormat="1" ht="16.5" customHeight="1">
      <c r="B429" s="20"/>
      <c r="C429" s="20"/>
      <c r="D429" s="254"/>
      <c r="E429" s="379">
        <v>140676</v>
      </c>
      <c r="F429" s="395" t="s">
        <v>389</v>
      </c>
      <c r="G429" s="396"/>
      <c r="H429" s="397"/>
      <c r="I429" s="383">
        <v>79200</v>
      </c>
      <c r="J429" s="398">
        <v>140676</v>
      </c>
      <c r="K429" s="399" t="s">
        <v>70</v>
      </c>
      <c r="L429" s="399" t="s">
        <v>34</v>
      </c>
      <c r="M429" s="399">
        <v>20</v>
      </c>
      <c r="N429" s="356">
        <v>79200</v>
      </c>
      <c r="O429" s="28" t="b">
        <f t="shared" si="22"/>
        <v>1</v>
      </c>
    </row>
    <row r="430" spans="2:15" s="28" customFormat="1" ht="16.5" customHeight="1">
      <c r="B430" s="20"/>
      <c r="C430" s="20"/>
      <c r="D430" s="254"/>
      <c r="E430" s="379">
        <v>140677</v>
      </c>
      <c r="F430" s="395" t="s">
        <v>390</v>
      </c>
      <c r="G430" s="396"/>
      <c r="H430" s="397"/>
      <c r="I430" s="383">
        <v>79200</v>
      </c>
      <c r="J430" s="398">
        <v>140677</v>
      </c>
      <c r="K430" s="399" t="s">
        <v>70</v>
      </c>
      <c r="L430" s="399" t="s">
        <v>34</v>
      </c>
      <c r="M430" s="399">
        <v>20</v>
      </c>
      <c r="N430" s="356">
        <v>79200</v>
      </c>
      <c r="O430" s="28" t="b">
        <f t="shared" si="22"/>
        <v>1</v>
      </c>
    </row>
    <row r="431" spans="2:15" s="28" customFormat="1" ht="16.5" customHeight="1">
      <c r="B431" s="20"/>
      <c r="C431" s="20"/>
      <c r="D431" s="254"/>
      <c r="E431" s="379">
        <v>140787</v>
      </c>
      <c r="F431" s="395" t="s">
        <v>682</v>
      </c>
      <c r="G431" s="396"/>
      <c r="H431" s="397"/>
      <c r="I431" s="383">
        <v>1151000</v>
      </c>
      <c r="J431" s="398">
        <v>140787</v>
      </c>
      <c r="K431" s="399" t="s">
        <v>71</v>
      </c>
      <c r="L431" s="399" t="s">
        <v>34</v>
      </c>
      <c r="M431" s="399">
        <v>208</v>
      </c>
      <c r="N431" s="356">
        <v>1151000</v>
      </c>
      <c r="O431" s="28" t="b">
        <f t="shared" si="22"/>
        <v>1</v>
      </c>
    </row>
    <row r="432" spans="2:15" s="28" customFormat="1" ht="16.5" customHeight="1">
      <c r="B432" s="20"/>
      <c r="C432" s="20"/>
      <c r="D432" s="254"/>
      <c r="E432" s="379">
        <v>140817</v>
      </c>
      <c r="F432" s="395" t="s">
        <v>122</v>
      </c>
      <c r="G432" s="396"/>
      <c r="H432" s="397"/>
      <c r="I432" s="383" t="e">
        <v>#N/A</v>
      </c>
      <c r="J432" s="398">
        <v>140817</v>
      </c>
      <c r="K432" s="399" t="s">
        <v>71</v>
      </c>
      <c r="L432" s="399" t="s">
        <v>34</v>
      </c>
      <c r="M432" s="399">
        <v>208</v>
      </c>
      <c r="N432" s="356">
        <v>1065000</v>
      </c>
      <c r="O432" s="28" t="e">
        <f t="shared" si="22"/>
        <v>#N/A</v>
      </c>
    </row>
    <row r="433" spans="2:15" s="28" customFormat="1" ht="16.5" customHeight="1">
      <c r="B433" s="20"/>
      <c r="C433" s="20"/>
      <c r="D433" s="254"/>
      <c r="E433" s="379">
        <v>140854</v>
      </c>
      <c r="F433" s="395" t="s">
        <v>756</v>
      </c>
      <c r="G433" s="396"/>
      <c r="H433" s="397"/>
      <c r="I433" s="383">
        <v>287000</v>
      </c>
      <c r="J433" s="398">
        <v>140854</v>
      </c>
      <c r="K433" s="399" t="s">
        <v>70</v>
      </c>
      <c r="L433" s="399" t="s">
        <v>34</v>
      </c>
      <c r="M433" s="399">
        <v>20</v>
      </c>
      <c r="N433" s="356">
        <v>287000</v>
      </c>
      <c r="O433" s="28" t="b">
        <f t="shared" si="22"/>
        <v>1</v>
      </c>
    </row>
    <row r="434" spans="2:15" s="28" customFormat="1" ht="16.5" customHeight="1">
      <c r="B434" s="20"/>
      <c r="C434" s="20"/>
      <c r="D434" s="254"/>
      <c r="E434" s="379">
        <v>141187</v>
      </c>
      <c r="F434" s="395" t="s">
        <v>125</v>
      </c>
      <c r="G434" s="396"/>
      <c r="H434" s="397"/>
      <c r="I434" s="383"/>
      <c r="J434" s="398">
        <v>141187</v>
      </c>
      <c r="K434" s="399" t="s">
        <v>71</v>
      </c>
      <c r="L434" s="399" t="s">
        <v>34</v>
      </c>
      <c r="M434" s="399">
        <v>200</v>
      </c>
      <c r="N434" s="356" t="e">
        <v>#N/A</v>
      </c>
      <c r="O434" s="28" t="e">
        <f t="shared" si="22"/>
        <v>#N/A</v>
      </c>
    </row>
    <row r="435" spans="2:15" s="28" customFormat="1" ht="16.5" customHeight="1">
      <c r="B435" s="20"/>
      <c r="C435" s="20"/>
      <c r="D435" s="254"/>
      <c r="E435" s="379">
        <v>141361</v>
      </c>
      <c r="F435" s="395" t="s">
        <v>391</v>
      </c>
      <c r="G435" s="396"/>
      <c r="H435" s="397"/>
      <c r="I435" s="383">
        <v>476000</v>
      </c>
      <c r="J435" s="398">
        <v>141361</v>
      </c>
      <c r="K435" s="399" t="s">
        <v>70</v>
      </c>
      <c r="L435" s="399" t="s">
        <v>34</v>
      </c>
      <c r="M435" s="399">
        <v>16</v>
      </c>
      <c r="N435" s="356">
        <v>476000</v>
      </c>
      <c r="O435" s="28" t="b">
        <f t="shared" si="22"/>
        <v>1</v>
      </c>
    </row>
    <row r="436" spans="2:15" s="28" customFormat="1" ht="16.5" customHeight="1">
      <c r="B436" s="20"/>
      <c r="C436" s="20"/>
      <c r="D436" s="254"/>
      <c r="E436" s="379">
        <v>141367</v>
      </c>
      <c r="F436" s="395" t="s">
        <v>392</v>
      </c>
      <c r="G436" s="396"/>
      <c r="H436" s="397"/>
      <c r="I436" s="383">
        <v>107000</v>
      </c>
      <c r="J436" s="398">
        <v>141367</v>
      </c>
      <c r="K436" s="399" t="s">
        <v>70</v>
      </c>
      <c r="L436" s="399" t="s">
        <v>34</v>
      </c>
      <c r="M436" s="399">
        <v>20</v>
      </c>
      <c r="N436" s="356">
        <v>107000</v>
      </c>
      <c r="O436" s="28" t="b">
        <f t="shared" si="22"/>
        <v>1</v>
      </c>
    </row>
    <row r="437" spans="2:15" s="28" customFormat="1" ht="16.5" customHeight="1">
      <c r="B437" s="20"/>
      <c r="C437" s="20"/>
      <c r="D437" s="254"/>
      <c r="E437" s="379">
        <v>148677</v>
      </c>
      <c r="F437" s="395" t="s">
        <v>134</v>
      </c>
      <c r="G437" s="396"/>
      <c r="H437" s="397"/>
      <c r="I437" s="383">
        <v>1029000</v>
      </c>
      <c r="J437" s="398">
        <v>148677</v>
      </c>
      <c r="K437" s="399" t="s">
        <v>71</v>
      </c>
      <c r="L437" s="399" t="s">
        <v>34</v>
      </c>
      <c r="M437" s="399">
        <v>200</v>
      </c>
      <c r="N437" s="356">
        <v>1029000</v>
      </c>
      <c r="O437" s="28" t="b">
        <f t="shared" si="22"/>
        <v>1</v>
      </c>
    </row>
    <row r="438" spans="2:15" s="28" customFormat="1" ht="16.5" customHeight="1">
      <c r="B438" s="20"/>
      <c r="C438" s="20"/>
      <c r="D438" s="254"/>
      <c r="E438" s="379">
        <v>141429</v>
      </c>
      <c r="F438" s="395" t="s">
        <v>119</v>
      </c>
      <c r="G438" s="396"/>
      <c r="H438" s="397"/>
      <c r="I438" s="383">
        <v>4915000</v>
      </c>
      <c r="J438" s="398">
        <v>141429</v>
      </c>
      <c r="K438" s="399" t="s">
        <v>71</v>
      </c>
      <c r="L438" s="399" t="s">
        <v>34</v>
      </c>
      <c r="M438" s="399">
        <v>174</v>
      </c>
      <c r="N438" s="356">
        <v>4915000</v>
      </c>
      <c r="O438" s="28" t="b">
        <f t="shared" si="22"/>
        <v>1</v>
      </c>
    </row>
    <row r="439" spans="2:15" s="28" customFormat="1" ht="16.5" customHeight="1">
      <c r="B439" s="20"/>
      <c r="C439" s="20"/>
      <c r="D439" s="254"/>
      <c r="E439" s="379">
        <v>141467</v>
      </c>
      <c r="F439" s="395" t="s">
        <v>393</v>
      </c>
      <c r="G439" s="396"/>
      <c r="H439" s="397"/>
      <c r="I439" s="383">
        <v>233000</v>
      </c>
      <c r="J439" s="398">
        <v>141467</v>
      </c>
      <c r="K439" s="399" t="s">
        <v>70</v>
      </c>
      <c r="L439" s="399" t="s">
        <v>34</v>
      </c>
      <c r="M439" s="399">
        <v>15.87</v>
      </c>
      <c r="N439" s="356">
        <v>233000</v>
      </c>
      <c r="O439" s="28" t="b">
        <f t="shared" si="22"/>
        <v>1</v>
      </c>
    </row>
    <row r="440" spans="2:15" s="28" customFormat="1" ht="16.5" customHeight="1">
      <c r="B440" s="20"/>
      <c r="C440" s="20"/>
      <c r="D440" s="254"/>
      <c r="E440" s="379">
        <v>141468</v>
      </c>
      <c r="F440" s="395" t="s">
        <v>686</v>
      </c>
      <c r="G440" s="396"/>
      <c r="H440" s="397"/>
      <c r="I440" s="383">
        <v>2439000</v>
      </c>
      <c r="J440" s="398">
        <v>141468</v>
      </c>
      <c r="K440" s="399" t="s">
        <v>71</v>
      </c>
      <c r="L440" s="399" t="s">
        <v>34</v>
      </c>
      <c r="M440" s="399">
        <v>180</v>
      </c>
      <c r="N440" s="356">
        <v>2439000</v>
      </c>
      <c r="O440" s="28" t="b">
        <f t="shared" si="22"/>
        <v>1</v>
      </c>
    </row>
    <row r="441" spans="2:15" s="28" customFormat="1" ht="16.5" customHeight="1">
      <c r="B441" s="20"/>
      <c r="C441" s="20"/>
      <c r="D441" s="254"/>
      <c r="E441" s="379">
        <v>141654</v>
      </c>
      <c r="F441" s="395" t="s">
        <v>394</v>
      </c>
      <c r="G441" s="396"/>
      <c r="H441" s="397"/>
      <c r="I441" s="383">
        <v>62700</v>
      </c>
      <c r="J441" s="398">
        <v>141654</v>
      </c>
      <c r="K441" s="399" t="s">
        <v>70</v>
      </c>
      <c r="L441" s="399" t="s">
        <v>34</v>
      </c>
      <c r="M441" s="399">
        <v>20</v>
      </c>
      <c r="N441" s="356">
        <v>62700</v>
      </c>
      <c r="O441" s="28" t="b">
        <f t="shared" si="22"/>
        <v>1</v>
      </c>
    </row>
    <row r="442" spans="2:15" s="28" customFormat="1" ht="16.5" customHeight="1">
      <c r="B442" s="20"/>
      <c r="C442" s="20"/>
      <c r="D442" s="254"/>
      <c r="E442" s="379">
        <v>141655</v>
      </c>
      <c r="F442" s="395" t="s">
        <v>689</v>
      </c>
      <c r="G442" s="396"/>
      <c r="H442" s="397"/>
      <c r="I442" s="383">
        <v>582000</v>
      </c>
      <c r="J442" s="398">
        <v>141655</v>
      </c>
      <c r="K442" s="399" t="s">
        <v>71</v>
      </c>
      <c r="L442" s="399" t="s">
        <v>34</v>
      </c>
      <c r="M442" s="399">
        <v>200</v>
      </c>
      <c r="N442" s="356">
        <v>582000</v>
      </c>
      <c r="O442" s="28" t="b">
        <f t="shared" si="22"/>
        <v>1</v>
      </c>
    </row>
    <row r="443" spans="2:15" s="28" customFormat="1" ht="16.5" customHeight="1">
      <c r="B443" s="20"/>
      <c r="C443" s="20"/>
      <c r="D443" s="254"/>
      <c r="E443" s="379">
        <v>141657</v>
      </c>
      <c r="F443" s="395" t="s">
        <v>395</v>
      </c>
      <c r="G443" s="396"/>
      <c r="H443" s="397"/>
      <c r="I443" s="383">
        <v>62700</v>
      </c>
      <c r="J443" s="398">
        <v>141657</v>
      </c>
      <c r="K443" s="399" t="s">
        <v>70</v>
      </c>
      <c r="L443" s="399" t="s">
        <v>34</v>
      </c>
      <c r="M443" s="399">
        <v>20</v>
      </c>
      <c r="N443" s="356">
        <v>62700</v>
      </c>
      <c r="O443" s="28" t="b">
        <f t="shared" si="22"/>
        <v>1</v>
      </c>
    </row>
    <row r="444" spans="2:15" s="28" customFormat="1" ht="16.5" customHeight="1">
      <c r="B444" s="20"/>
      <c r="C444" s="20"/>
      <c r="D444" s="254"/>
      <c r="E444" s="379">
        <v>141658</v>
      </c>
      <c r="F444" s="395" t="s">
        <v>691</v>
      </c>
      <c r="G444" s="396"/>
      <c r="H444" s="397"/>
      <c r="I444" s="383">
        <v>582000</v>
      </c>
      <c r="J444" s="398">
        <v>141658</v>
      </c>
      <c r="K444" s="399" t="s">
        <v>71</v>
      </c>
      <c r="L444" s="399" t="s">
        <v>34</v>
      </c>
      <c r="M444" s="399">
        <v>200</v>
      </c>
      <c r="N444" s="356">
        <v>582000</v>
      </c>
      <c r="O444" s="28" t="b">
        <f t="shared" si="22"/>
        <v>1</v>
      </c>
    </row>
    <row r="445" spans="2:15" s="28" customFormat="1" ht="16.5" customHeight="1">
      <c r="B445" s="20"/>
      <c r="C445" s="20"/>
      <c r="D445" s="254"/>
      <c r="E445" s="379">
        <v>141666</v>
      </c>
      <c r="F445" s="395" t="s">
        <v>693</v>
      </c>
      <c r="G445" s="396"/>
      <c r="H445" s="397"/>
      <c r="I445" s="383">
        <v>755000</v>
      </c>
      <c r="J445" s="398">
        <v>141666</v>
      </c>
      <c r="K445" s="399" t="s">
        <v>71</v>
      </c>
      <c r="L445" s="399" t="s">
        <v>34</v>
      </c>
      <c r="M445" s="399">
        <v>200</v>
      </c>
      <c r="N445" s="356">
        <v>755000</v>
      </c>
      <c r="O445" s="28" t="b">
        <f t="shared" si="22"/>
        <v>1</v>
      </c>
    </row>
    <row r="446" spans="2:15" s="28" customFormat="1" ht="16.5" customHeight="1">
      <c r="B446" s="20"/>
      <c r="C446" s="20"/>
      <c r="D446" s="254"/>
      <c r="E446" s="379">
        <v>141667</v>
      </c>
      <c r="F446" s="395" t="s">
        <v>694</v>
      </c>
      <c r="G446" s="396"/>
      <c r="H446" s="397"/>
      <c r="I446" s="383">
        <v>755000</v>
      </c>
      <c r="J446" s="398">
        <v>141667</v>
      </c>
      <c r="K446" s="399" t="s">
        <v>71</v>
      </c>
      <c r="L446" s="399" t="s">
        <v>34</v>
      </c>
      <c r="M446" s="399">
        <v>200</v>
      </c>
      <c r="N446" s="356">
        <v>755000</v>
      </c>
      <c r="O446" s="28" t="b">
        <f t="shared" si="22"/>
        <v>1</v>
      </c>
    </row>
    <row r="447" spans="2:15" s="28" customFormat="1" ht="16.5" customHeight="1">
      <c r="B447" s="20"/>
      <c r="C447" s="20"/>
      <c r="D447" s="254"/>
      <c r="E447" s="379">
        <v>141737</v>
      </c>
      <c r="F447" s="395" t="s">
        <v>116</v>
      </c>
      <c r="G447" s="396"/>
      <c r="H447" s="397"/>
      <c r="I447" s="383">
        <v>56300</v>
      </c>
      <c r="J447" s="398">
        <v>141737</v>
      </c>
      <c r="K447" s="399" t="s">
        <v>70</v>
      </c>
      <c r="L447" s="399" t="s">
        <v>34</v>
      </c>
      <c r="M447" s="399">
        <v>20</v>
      </c>
      <c r="N447" s="356">
        <v>56300</v>
      </c>
      <c r="O447" s="28" t="b">
        <f t="shared" si="22"/>
        <v>1</v>
      </c>
    </row>
    <row r="448" spans="2:15" s="28" customFormat="1" ht="16.5" customHeight="1">
      <c r="B448" s="20"/>
      <c r="C448" s="20"/>
      <c r="D448" s="254"/>
      <c r="E448" s="379">
        <v>141738</v>
      </c>
      <c r="F448" s="395" t="s">
        <v>115</v>
      </c>
      <c r="G448" s="396"/>
      <c r="H448" s="397"/>
      <c r="I448" s="383">
        <v>520000</v>
      </c>
      <c r="J448" s="398">
        <v>141738</v>
      </c>
      <c r="K448" s="399" t="s">
        <v>71</v>
      </c>
      <c r="L448" s="399" t="s">
        <v>34</v>
      </c>
      <c r="M448" s="399">
        <v>200</v>
      </c>
      <c r="N448" s="356">
        <v>520000</v>
      </c>
      <c r="O448" s="28" t="b">
        <f t="shared" si="22"/>
        <v>1</v>
      </c>
    </row>
    <row r="449" spans="2:15" s="28" customFormat="1" ht="16.5" customHeight="1">
      <c r="B449" s="20"/>
      <c r="C449" s="20"/>
      <c r="D449" s="254"/>
      <c r="E449" s="379">
        <v>141741</v>
      </c>
      <c r="F449" s="395" t="s">
        <v>114</v>
      </c>
      <c r="G449" s="396"/>
      <c r="H449" s="397"/>
      <c r="I449" s="383">
        <v>53900</v>
      </c>
      <c r="J449" s="398">
        <v>141741</v>
      </c>
      <c r="K449" s="399" t="s">
        <v>70</v>
      </c>
      <c r="L449" s="399" t="s">
        <v>34</v>
      </c>
      <c r="M449" s="399">
        <v>20</v>
      </c>
      <c r="N449" s="356">
        <v>53900</v>
      </c>
      <c r="O449" s="28" t="b">
        <f t="shared" si="22"/>
        <v>1</v>
      </c>
    </row>
    <row r="450" spans="2:15" s="28" customFormat="1" ht="16.5" customHeight="1">
      <c r="B450" s="20"/>
      <c r="C450" s="20"/>
      <c r="D450" s="254"/>
      <c r="E450" s="379">
        <v>141742</v>
      </c>
      <c r="F450" s="395" t="s">
        <v>113</v>
      </c>
      <c r="G450" s="396"/>
      <c r="H450" s="397"/>
      <c r="I450" s="383">
        <v>492000</v>
      </c>
      <c r="J450" s="398">
        <v>141742</v>
      </c>
      <c r="K450" s="399" t="s">
        <v>71</v>
      </c>
      <c r="L450" s="399" t="s">
        <v>34</v>
      </c>
      <c r="M450" s="399">
        <v>200</v>
      </c>
      <c r="N450" s="356">
        <v>492000</v>
      </c>
      <c r="O450" s="28" t="b">
        <f t="shared" si="22"/>
        <v>1</v>
      </c>
    </row>
    <row r="451" spans="2:15" s="28" customFormat="1" ht="16.5" customHeight="1">
      <c r="B451" s="20"/>
      <c r="C451" s="20"/>
      <c r="D451" s="254"/>
      <c r="E451" s="379">
        <v>141745</v>
      </c>
      <c r="F451" s="395" t="s">
        <v>112</v>
      </c>
      <c r="G451" s="396"/>
      <c r="H451" s="397"/>
      <c r="I451" s="383">
        <v>53900</v>
      </c>
      <c r="J451" s="398">
        <v>141745</v>
      </c>
      <c r="K451" s="399" t="s">
        <v>70</v>
      </c>
      <c r="L451" s="399" t="s">
        <v>34</v>
      </c>
      <c r="M451" s="399">
        <v>20</v>
      </c>
      <c r="N451" s="356">
        <v>53900</v>
      </c>
      <c r="O451" s="28" t="b">
        <f t="shared" si="22"/>
        <v>1</v>
      </c>
    </row>
    <row r="452" spans="2:15" s="28" customFormat="1" ht="16.5" customHeight="1">
      <c r="B452" s="20"/>
      <c r="C452" s="20"/>
      <c r="D452" s="254"/>
      <c r="E452" s="379">
        <v>141746</v>
      </c>
      <c r="F452" s="395" t="s">
        <v>111</v>
      </c>
      <c r="G452" s="396"/>
      <c r="H452" s="397"/>
      <c r="I452" s="383">
        <v>492000</v>
      </c>
      <c r="J452" s="398">
        <v>141746</v>
      </c>
      <c r="K452" s="399" t="s">
        <v>71</v>
      </c>
      <c r="L452" s="399" t="s">
        <v>34</v>
      </c>
      <c r="M452" s="399">
        <v>200</v>
      </c>
      <c r="N452" s="356">
        <v>492000</v>
      </c>
      <c r="O452" s="28" t="b">
        <f t="shared" si="22"/>
        <v>1</v>
      </c>
    </row>
    <row r="453" spans="2:15" s="28" customFormat="1" ht="16.5" customHeight="1">
      <c r="B453" s="20"/>
      <c r="C453" s="20"/>
      <c r="D453" s="254"/>
      <c r="E453" s="379">
        <v>141750</v>
      </c>
      <c r="F453" s="395" t="s">
        <v>231</v>
      </c>
      <c r="G453" s="396"/>
      <c r="H453" s="397"/>
      <c r="I453" s="383">
        <v>53900</v>
      </c>
      <c r="J453" s="398">
        <v>141750</v>
      </c>
      <c r="K453" s="399" t="s">
        <v>70</v>
      </c>
      <c r="L453" s="399" t="s">
        <v>34</v>
      </c>
      <c r="M453" s="399">
        <v>20</v>
      </c>
      <c r="N453" s="356">
        <v>53900</v>
      </c>
      <c r="O453" s="28" t="b">
        <f t="shared" si="22"/>
        <v>1</v>
      </c>
    </row>
    <row r="454" spans="2:15" s="28" customFormat="1" ht="16.5" customHeight="1">
      <c r="B454" s="20"/>
      <c r="C454" s="20"/>
      <c r="D454" s="254"/>
      <c r="E454" s="379">
        <v>141751</v>
      </c>
      <c r="F454" s="395" t="s">
        <v>110</v>
      </c>
      <c r="G454" s="396"/>
      <c r="H454" s="397"/>
      <c r="I454" s="383">
        <v>492000</v>
      </c>
      <c r="J454" s="398">
        <v>141751</v>
      </c>
      <c r="K454" s="399" t="s">
        <v>71</v>
      </c>
      <c r="L454" s="399" t="s">
        <v>34</v>
      </c>
      <c r="M454" s="399">
        <v>200</v>
      </c>
      <c r="N454" s="356">
        <v>492000</v>
      </c>
      <c r="O454" s="28" t="b">
        <f t="shared" si="22"/>
        <v>1</v>
      </c>
    </row>
    <row r="455" spans="2:15" s="28" customFormat="1" ht="16.5" customHeight="1">
      <c r="B455" s="20"/>
      <c r="C455" s="20"/>
      <c r="D455" s="254"/>
      <c r="E455" s="379">
        <v>141763</v>
      </c>
      <c r="F455" s="395" t="s">
        <v>396</v>
      </c>
      <c r="G455" s="396"/>
      <c r="H455" s="397"/>
      <c r="I455" s="383">
        <v>79600</v>
      </c>
      <c r="J455" s="398">
        <v>141763</v>
      </c>
      <c r="K455" s="399" t="s">
        <v>70</v>
      </c>
      <c r="L455" s="399" t="s">
        <v>34</v>
      </c>
      <c r="M455" s="399">
        <v>20</v>
      </c>
      <c r="N455" s="356">
        <v>79600</v>
      </c>
      <c r="O455" s="28" t="b">
        <f t="shared" si="22"/>
        <v>1</v>
      </c>
    </row>
    <row r="456" spans="2:15" s="28" customFormat="1" ht="16.5" customHeight="1">
      <c r="B456" s="20"/>
      <c r="C456" s="20"/>
      <c r="D456" s="254"/>
      <c r="E456" s="379">
        <v>142012</v>
      </c>
      <c r="F456" s="395" t="s">
        <v>129</v>
      </c>
      <c r="G456" s="396"/>
      <c r="H456" s="397"/>
      <c r="I456" s="383">
        <v>46900</v>
      </c>
      <c r="J456" s="398">
        <v>142012</v>
      </c>
      <c r="K456" s="399" t="s">
        <v>70</v>
      </c>
      <c r="L456" s="399" t="s">
        <v>34</v>
      </c>
      <c r="M456" s="399">
        <v>20</v>
      </c>
      <c r="N456" s="356">
        <v>46900</v>
      </c>
      <c r="O456" s="28" t="b">
        <f t="shared" si="22"/>
        <v>1</v>
      </c>
    </row>
    <row r="457" spans="2:15" s="28" customFormat="1" ht="16.5" customHeight="1">
      <c r="B457" s="20"/>
      <c r="C457" s="20"/>
      <c r="D457" s="254"/>
      <c r="E457" s="379">
        <v>142028</v>
      </c>
      <c r="F457" s="395" t="s">
        <v>768</v>
      </c>
      <c r="G457" s="396"/>
      <c r="H457" s="397"/>
      <c r="I457" s="383">
        <v>318000</v>
      </c>
      <c r="J457" s="398">
        <v>142028</v>
      </c>
      <c r="K457" s="399" t="s">
        <v>70</v>
      </c>
      <c r="L457" s="399" t="s">
        <v>34</v>
      </c>
      <c r="M457" s="399">
        <v>16</v>
      </c>
      <c r="N457" s="356">
        <v>318000</v>
      </c>
      <c r="O457" s="28" t="b">
        <f t="shared" si="22"/>
        <v>1</v>
      </c>
    </row>
    <row r="458" spans="2:15" s="28" customFormat="1" ht="16.5" customHeight="1">
      <c r="B458" s="20"/>
      <c r="C458" s="20"/>
      <c r="D458" s="254"/>
      <c r="E458" s="379">
        <v>142288</v>
      </c>
      <c r="F458" s="395" t="s">
        <v>121</v>
      </c>
      <c r="G458" s="396"/>
      <c r="H458" s="397"/>
      <c r="I458" s="383">
        <v>6002000</v>
      </c>
      <c r="J458" s="398">
        <v>142288</v>
      </c>
      <c r="K458" s="399" t="s">
        <v>71</v>
      </c>
      <c r="L458" s="399" t="s">
        <v>34</v>
      </c>
      <c r="M458" s="399">
        <v>208</v>
      </c>
      <c r="N458" s="356">
        <v>6002000</v>
      </c>
      <c r="O458" s="28" t="b">
        <f t="shared" si="22"/>
        <v>1</v>
      </c>
    </row>
    <row r="459" spans="2:15" s="28" customFormat="1" ht="16.5" customHeight="1">
      <c r="B459" s="20"/>
      <c r="C459" s="20"/>
      <c r="D459" s="254"/>
      <c r="E459" s="379">
        <v>142411</v>
      </c>
      <c r="F459" s="395" t="s">
        <v>705</v>
      </c>
      <c r="G459" s="396"/>
      <c r="H459" s="397"/>
      <c r="I459" s="383">
        <v>777000</v>
      </c>
      <c r="J459" s="398">
        <v>142411</v>
      </c>
      <c r="K459" s="399" t="s">
        <v>71</v>
      </c>
      <c r="L459" s="399" t="s">
        <v>34</v>
      </c>
      <c r="M459" s="399">
        <v>200</v>
      </c>
      <c r="N459" s="356">
        <v>777000</v>
      </c>
      <c r="O459" s="28" t="b">
        <f t="shared" si="22"/>
        <v>1</v>
      </c>
    </row>
    <row r="460" spans="2:15" s="28" customFormat="1" ht="16.5" customHeight="1">
      <c r="B460" s="20"/>
      <c r="C460" s="20"/>
      <c r="D460" s="254"/>
      <c r="E460" s="379">
        <v>142637</v>
      </c>
      <c r="F460" s="395" t="s">
        <v>707</v>
      </c>
      <c r="G460" s="396"/>
      <c r="H460" s="397"/>
      <c r="I460" s="383">
        <v>4494000</v>
      </c>
      <c r="J460" s="399">
        <v>142637</v>
      </c>
      <c r="K460" s="399" t="s">
        <v>71</v>
      </c>
      <c r="L460" s="399" t="s">
        <v>34</v>
      </c>
      <c r="M460" s="399">
        <v>200</v>
      </c>
      <c r="N460" s="356">
        <v>4494000</v>
      </c>
      <c r="O460" s="28" t="b">
        <f t="shared" si="22"/>
        <v>1</v>
      </c>
    </row>
    <row r="461" spans="2:15" s="28" customFormat="1" ht="16.5" customHeight="1">
      <c r="B461" s="20"/>
      <c r="C461" s="20"/>
      <c r="D461" s="254"/>
      <c r="E461" s="379">
        <v>143560</v>
      </c>
      <c r="F461" s="395" t="s">
        <v>724</v>
      </c>
      <c r="G461" s="396"/>
      <c r="H461" s="397"/>
      <c r="I461" s="383">
        <v>728000</v>
      </c>
      <c r="J461" s="398">
        <v>143560</v>
      </c>
      <c r="K461" s="399" t="s">
        <v>71</v>
      </c>
      <c r="L461" s="399" t="s">
        <v>34</v>
      </c>
      <c r="M461" s="399">
        <v>200</v>
      </c>
      <c r="N461" s="356">
        <v>728000</v>
      </c>
      <c r="O461" s="28" t="b">
        <f t="shared" si="22"/>
        <v>1</v>
      </c>
    </row>
    <row r="462" spans="2:15" s="28" customFormat="1" ht="16.5" customHeight="1">
      <c r="B462" s="20"/>
      <c r="C462" s="20"/>
      <c r="D462" s="254"/>
      <c r="E462" s="379">
        <v>143561</v>
      </c>
      <c r="F462" s="395" t="s">
        <v>725</v>
      </c>
      <c r="G462" s="396"/>
      <c r="H462" s="397"/>
      <c r="I462" s="383">
        <v>728000</v>
      </c>
      <c r="J462" s="398">
        <v>143561</v>
      </c>
      <c r="K462" s="399" t="s">
        <v>71</v>
      </c>
      <c r="L462" s="399" t="s">
        <v>34</v>
      </c>
      <c r="M462" s="399">
        <v>200</v>
      </c>
      <c r="N462" s="356">
        <v>728000</v>
      </c>
      <c r="O462" s="28" t="b">
        <f t="shared" si="22"/>
        <v>1</v>
      </c>
    </row>
    <row r="463" spans="2:15" s="28" customFormat="1" ht="16.5" customHeight="1">
      <c r="B463" s="20"/>
      <c r="C463" s="20"/>
      <c r="D463" s="254"/>
      <c r="E463" s="379">
        <v>143563</v>
      </c>
      <c r="F463" s="395" t="s">
        <v>726</v>
      </c>
      <c r="G463" s="396"/>
      <c r="H463" s="397"/>
      <c r="I463" s="383">
        <v>728000</v>
      </c>
      <c r="J463" s="398">
        <v>143563</v>
      </c>
      <c r="K463" s="399" t="s">
        <v>71</v>
      </c>
      <c r="L463" s="399" t="s">
        <v>34</v>
      </c>
      <c r="M463" s="399">
        <v>200</v>
      </c>
      <c r="N463" s="356">
        <v>728000</v>
      </c>
      <c r="O463" s="28" t="b">
        <f t="shared" si="22"/>
        <v>1</v>
      </c>
    </row>
    <row r="464" spans="2:15" s="28" customFormat="1" ht="16.5" customHeight="1">
      <c r="B464" s="20"/>
      <c r="C464" s="20"/>
      <c r="D464" s="254"/>
      <c r="E464" s="379">
        <v>143982</v>
      </c>
      <c r="F464" s="395" t="s">
        <v>749</v>
      </c>
      <c r="G464" s="396"/>
      <c r="H464" s="397"/>
      <c r="I464" s="383">
        <v>2995000</v>
      </c>
      <c r="J464" s="398">
        <v>143982</v>
      </c>
      <c r="K464" s="399" t="s">
        <v>71</v>
      </c>
      <c r="L464" s="399" t="s">
        <v>34</v>
      </c>
      <c r="M464" s="399">
        <v>208</v>
      </c>
      <c r="N464" s="356">
        <v>2995000</v>
      </c>
      <c r="O464" s="28" t="b">
        <f t="shared" si="22"/>
        <v>1</v>
      </c>
    </row>
    <row r="465" spans="2:15" s="28" customFormat="1" ht="16.5" customHeight="1">
      <c r="B465" s="20"/>
      <c r="C465" s="20"/>
      <c r="D465" s="254"/>
      <c r="E465" s="379">
        <v>143983</v>
      </c>
      <c r="F465" s="395" t="s">
        <v>743</v>
      </c>
      <c r="G465" s="396"/>
      <c r="H465" s="397"/>
      <c r="I465" s="383">
        <v>287000</v>
      </c>
      <c r="J465" s="399">
        <v>143983</v>
      </c>
      <c r="K465" s="399" t="s">
        <v>70</v>
      </c>
      <c r="L465" s="399" t="s">
        <v>34</v>
      </c>
      <c r="M465" s="399">
        <v>20</v>
      </c>
      <c r="N465" s="356">
        <v>287000</v>
      </c>
      <c r="O465" s="28" t="b">
        <f t="shared" si="22"/>
        <v>1</v>
      </c>
    </row>
    <row r="466" spans="2:15" s="28" customFormat="1" ht="16.5" customHeight="1">
      <c r="B466" s="20"/>
      <c r="C466" s="20"/>
      <c r="D466" s="254"/>
      <c r="E466" s="379">
        <v>143985</v>
      </c>
      <c r="F466" s="395" t="s">
        <v>769</v>
      </c>
      <c r="G466" s="396"/>
      <c r="H466" s="397"/>
      <c r="I466" s="383">
        <v>2763000</v>
      </c>
      <c r="J466" s="398">
        <v>143985</v>
      </c>
      <c r="K466" s="399" t="s">
        <v>71</v>
      </c>
      <c r="L466" s="399" t="s">
        <v>34</v>
      </c>
      <c r="M466" s="399">
        <v>208</v>
      </c>
      <c r="N466" s="356">
        <v>2763000</v>
      </c>
      <c r="O466" s="28" t="b">
        <f t="shared" si="22"/>
        <v>1</v>
      </c>
    </row>
    <row r="467" spans="2:15" s="28" customFormat="1" ht="16.5" customHeight="1">
      <c r="B467" s="20"/>
      <c r="C467" s="20"/>
      <c r="D467" s="254"/>
      <c r="E467" s="379">
        <v>143987</v>
      </c>
      <c r="F467" s="395" t="s">
        <v>747</v>
      </c>
      <c r="G467" s="396"/>
      <c r="H467" s="397"/>
      <c r="I467" s="383">
        <v>2938000</v>
      </c>
      <c r="J467" s="398">
        <v>143987</v>
      </c>
      <c r="K467" s="399" t="s">
        <v>71</v>
      </c>
      <c r="L467" s="399" t="s">
        <v>34</v>
      </c>
      <c r="M467" s="399">
        <v>208</v>
      </c>
      <c r="N467" s="356">
        <v>2938000</v>
      </c>
      <c r="O467" s="28" t="b">
        <f t="shared" si="22"/>
        <v>1</v>
      </c>
    </row>
    <row r="468" spans="2:15" s="28" customFormat="1" ht="16.5" customHeight="1">
      <c r="B468" s="20"/>
      <c r="C468" s="20"/>
      <c r="D468" s="254"/>
      <c r="E468" s="379">
        <v>143988</v>
      </c>
      <c r="F468" s="395" t="s">
        <v>742</v>
      </c>
      <c r="G468" s="396"/>
      <c r="H468" s="397"/>
      <c r="I468" s="383">
        <v>289000</v>
      </c>
      <c r="J468" s="398">
        <v>143988</v>
      </c>
      <c r="K468" s="399" t="s">
        <v>70</v>
      </c>
      <c r="L468" s="399" t="s">
        <v>34</v>
      </c>
      <c r="M468" s="399">
        <v>20</v>
      </c>
      <c r="N468" s="356">
        <v>289000</v>
      </c>
      <c r="O468" s="28" t="b">
        <f t="shared" si="22"/>
        <v>1</v>
      </c>
    </row>
    <row r="469" spans="2:15" s="28" customFormat="1" ht="16.5" customHeight="1">
      <c r="B469" s="20"/>
      <c r="C469" s="20"/>
      <c r="D469" s="254"/>
      <c r="E469" s="379">
        <v>143990</v>
      </c>
      <c r="F469" s="395" t="s">
        <v>770</v>
      </c>
      <c r="G469" s="396"/>
      <c r="H469" s="397"/>
      <c r="I469" s="383">
        <v>3124000</v>
      </c>
      <c r="J469" s="398">
        <v>143990</v>
      </c>
      <c r="K469" s="399" t="s">
        <v>71</v>
      </c>
      <c r="L469" s="399" t="s">
        <v>34</v>
      </c>
      <c r="M469" s="399">
        <v>208</v>
      </c>
      <c r="N469" s="356">
        <v>3124000</v>
      </c>
      <c r="O469" s="28" t="b">
        <f t="shared" si="22"/>
        <v>1</v>
      </c>
    </row>
    <row r="470" spans="2:15" s="28" customFormat="1" ht="16.5" customHeight="1">
      <c r="B470" s="20"/>
      <c r="C470" s="20"/>
      <c r="D470" s="254"/>
      <c r="E470" s="379">
        <v>143991</v>
      </c>
      <c r="F470" s="395" t="s">
        <v>771</v>
      </c>
      <c r="G470" s="396"/>
      <c r="H470" s="397"/>
      <c r="I470" s="383">
        <v>337000</v>
      </c>
      <c r="J470" s="398">
        <v>143991</v>
      </c>
      <c r="K470" s="399" t="s">
        <v>70</v>
      </c>
      <c r="L470" s="399" t="s">
        <v>34</v>
      </c>
      <c r="M470" s="399">
        <v>20</v>
      </c>
      <c r="N470" s="356">
        <v>337000</v>
      </c>
      <c r="O470" s="28" t="b">
        <f t="shared" si="22"/>
        <v>1</v>
      </c>
    </row>
    <row r="471" spans="2:15" s="28" customFormat="1" ht="16.5" customHeight="1">
      <c r="B471" s="20"/>
      <c r="C471" s="20"/>
      <c r="D471" s="254"/>
      <c r="E471" s="379">
        <v>143993</v>
      </c>
      <c r="F471" s="395" t="s">
        <v>772</v>
      </c>
      <c r="G471" s="396"/>
      <c r="H471" s="397"/>
      <c r="I471" s="383">
        <v>3255000</v>
      </c>
      <c r="J471" s="399">
        <v>143993</v>
      </c>
      <c r="K471" s="399" t="s">
        <v>71</v>
      </c>
      <c r="L471" s="399" t="s">
        <v>34</v>
      </c>
      <c r="M471" s="399">
        <v>208</v>
      </c>
      <c r="N471" s="356">
        <v>3255000</v>
      </c>
      <c r="O471" s="28" t="b">
        <f t="shared" si="22"/>
        <v>1</v>
      </c>
    </row>
    <row r="472" spans="2:15" s="28" customFormat="1" ht="16.5" customHeight="1">
      <c r="B472" s="20"/>
      <c r="C472" s="20"/>
      <c r="D472" s="254"/>
      <c r="E472" s="379">
        <v>143994</v>
      </c>
      <c r="F472" s="395" t="s">
        <v>773</v>
      </c>
      <c r="G472" s="396"/>
      <c r="H472" s="397"/>
      <c r="I472" s="383">
        <v>351000</v>
      </c>
      <c r="J472" s="398">
        <v>143994</v>
      </c>
      <c r="K472" s="399" t="s">
        <v>70</v>
      </c>
      <c r="L472" s="399" t="s">
        <v>34</v>
      </c>
      <c r="M472" s="399">
        <v>20</v>
      </c>
      <c r="N472" s="356">
        <v>351000</v>
      </c>
      <c r="O472" s="28" t="b">
        <f t="shared" si="22"/>
        <v>1</v>
      </c>
    </row>
    <row r="473" spans="2:15" s="28" customFormat="1" ht="16.5" customHeight="1">
      <c r="B473" s="20"/>
      <c r="C473" s="20"/>
      <c r="D473" s="254"/>
      <c r="E473" s="379">
        <v>144165</v>
      </c>
      <c r="F473" s="395" t="s">
        <v>750</v>
      </c>
      <c r="G473" s="396"/>
      <c r="H473" s="397"/>
      <c r="I473" s="383">
        <v>34300</v>
      </c>
      <c r="J473" s="398">
        <v>144165</v>
      </c>
      <c r="K473" s="399" t="s">
        <v>70</v>
      </c>
      <c r="L473" s="399" t="s">
        <v>34</v>
      </c>
      <c r="M473" s="399">
        <v>20</v>
      </c>
      <c r="N473" s="356">
        <v>34300</v>
      </c>
      <c r="O473" s="28" t="b">
        <f t="shared" si="22"/>
        <v>1</v>
      </c>
    </row>
    <row r="474" spans="2:15" s="28" customFormat="1" ht="16.5" customHeight="1">
      <c r="B474" s="20"/>
      <c r="C474" s="20"/>
      <c r="D474" s="254"/>
      <c r="E474" s="379">
        <v>144166</v>
      </c>
      <c r="F474" s="395" t="s">
        <v>748</v>
      </c>
      <c r="G474" s="396"/>
      <c r="H474" s="397"/>
      <c r="I474" s="383">
        <v>318000</v>
      </c>
      <c r="J474" s="398">
        <v>144166</v>
      </c>
      <c r="K474" s="399" t="s">
        <v>71</v>
      </c>
      <c r="L474" s="399" t="s">
        <v>34</v>
      </c>
      <c r="M474" s="399">
        <v>200</v>
      </c>
      <c r="N474" s="356">
        <v>318000</v>
      </c>
      <c r="O474" s="28" t="b">
        <f t="shared" ref="O474:O503" si="23">I474=N474</f>
        <v>1</v>
      </c>
    </row>
    <row r="475" spans="2:15" s="28" customFormat="1" ht="16.5" customHeight="1">
      <c r="B475" s="20"/>
      <c r="C475" s="20"/>
      <c r="D475" s="254"/>
      <c r="E475" s="379">
        <v>144167</v>
      </c>
      <c r="F475" s="395" t="s">
        <v>745</v>
      </c>
      <c r="G475" s="396"/>
      <c r="H475" s="397"/>
      <c r="I475" s="383">
        <v>34300</v>
      </c>
      <c r="J475" s="398">
        <v>144167</v>
      </c>
      <c r="K475" s="399" t="s">
        <v>70</v>
      </c>
      <c r="L475" s="399" t="s">
        <v>34</v>
      </c>
      <c r="M475" s="399">
        <v>20</v>
      </c>
      <c r="N475" s="356">
        <v>34300</v>
      </c>
      <c r="O475" s="28" t="b">
        <f t="shared" si="23"/>
        <v>1</v>
      </c>
    </row>
    <row r="476" spans="2:15" s="28" customFormat="1" ht="16.5" customHeight="1">
      <c r="B476" s="20"/>
      <c r="C476" s="20"/>
      <c r="D476" s="254"/>
      <c r="E476" s="379">
        <v>144168</v>
      </c>
      <c r="F476" s="395" t="s">
        <v>744</v>
      </c>
      <c r="G476" s="396"/>
      <c r="H476" s="397"/>
      <c r="I476" s="383">
        <v>318000</v>
      </c>
      <c r="J476" s="398">
        <v>144168</v>
      </c>
      <c r="K476" s="399" t="s">
        <v>71</v>
      </c>
      <c r="L476" s="399" t="s">
        <v>34</v>
      </c>
      <c r="M476" s="399">
        <v>200</v>
      </c>
      <c r="N476" s="356">
        <v>318000</v>
      </c>
      <c r="O476" s="28" t="b">
        <f t="shared" si="23"/>
        <v>1</v>
      </c>
    </row>
    <row r="477" spans="2:15" s="28" customFormat="1" ht="16.5" customHeight="1">
      <c r="B477" s="20"/>
      <c r="C477" s="20"/>
      <c r="D477" s="254"/>
      <c r="E477" s="379">
        <v>144169</v>
      </c>
      <c r="F477" s="395" t="s">
        <v>751</v>
      </c>
      <c r="G477" s="396"/>
      <c r="H477" s="397"/>
      <c r="I477" s="383">
        <v>36600</v>
      </c>
      <c r="J477" s="398">
        <v>144169</v>
      </c>
      <c r="K477" s="399" t="s">
        <v>70</v>
      </c>
      <c r="L477" s="399" t="s">
        <v>34</v>
      </c>
      <c r="M477" s="399">
        <v>20</v>
      </c>
      <c r="N477" s="356">
        <v>35300</v>
      </c>
      <c r="O477" s="28" t="b">
        <f t="shared" si="23"/>
        <v>0</v>
      </c>
    </row>
    <row r="478" spans="2:15" s="28" customFormat="1" ht="16.5" customHeight="1">
      <c r="B478" s="20"/>
      <c r="C478" s="20"/>
      <c r="D478" s="254"/>
      <c r="E478" s="379">
        <v>144170</v>
      </c>
      <c r="F478" s="395" t="s">
        <v>752</v>
      </c>
      <c r="G478" s="396"/>
      <c r="H478" s="397"/>
      <c r="I478" s="383">
        <v>338000</v>
      </c>
      <c r="J478" s="398">
        <v>144170</v>
      </c>
      <c r="K478" s="399" t="s">
        <v>71</v>
      </c>
      <c r="L478" s="399" t="s">
        <v>34</v>
      </c>
      <c r="M478" s="399">
        <v>200</v>
      </c>
      <c r="N478" s="356">
        <v>328000</v>
      </c>
      <c r="O478" s="28" t="b">
        <f t="shared" si="23"/>
        <v>0</v>
      </c>
    </row>
    <row r="479" spans="2:15" s="28" customFormat="1" ht="16.5" customHeight="1">
      <c r="B479" s="20"/>
      <c r="C479" s="20"/>
      <c r="D479" s="254"/>
      <c r="E479" s="379">
        <v>138924</v>
      </c>
      <c r="F479" s="395" t="s">
        <v>555</v>
      </c>
      <c r="G479" s="396"/>
      <c r="H479" s="397"/>
      <c r="I479" s="383"/>
      <c r="J479" s="398">
        <v>138924</v>
      </c>
      <c r="K479" s="399" t="s">
        <v>71</v>
      </c>
      <c r="L479" s="399" t="s">
        <v>34</v>
      </c>
      <c r="M479" s="399">
        <v>200</v>
      </c>
      <c r="N479" s="356" t="e">
        <v>#N/A</v>
      </c>
      <c r="O479" s="28" t="e">
        <f t="shared" si="23"/>
        <v>#N/A</v>
      </c>
    </row>
    <row r="480" spans="2:15" s="28" customFormat="1" ht="16.5" customHeight="1">
      <c r="B480" s="20"/>
      <c r="C480" s="20"/>
      <c r="D480" s="254"/>
      <c r="E480" s="379">
        <v>144364</v>
      </c>
      <c r="F480" s="395" t="s">
        <v>780</v>
      </c>
      <c r="G480" s="396"/>
      <c r="H480" s="397"/>
      <c r="I480" s="383">
        <v>713000</v>
      </c>
      <c r="J480" s="398">
        <v>144364</v>
      </c>
      <c r="K480" s="399" t="s">
        <v>71</v>
      </c>
      <c r="L480" s="399" t="s">
        <v>34</v>
      </c>
      <c r="M480" s="399">
        <v>200</v>
      </c>
      <c r="N480" s="356">
        <v>713000</v>
      </c>
      <c r="O480" s="28" t="b">
        <f t="shared" si="23"/>
        <v>1</v>
      </c>
    </row>
    <row r="481" spans="2:15" s="28" customFormat="1" ht="16.5" customHeight="1">
      <c r="B481" s="20"/>
      <c r="C481" s="20"/>
      <c r="D481" s="254"/>
      <c r="E481" s="379">
        <v>136171</v>
      </c>
      <c r="F481" s="395" t="s">
        <v>39</v>
      </c>
      <c r="G481" s="396"/>
      <c r="H481" s="397"/>
      <c r="I481" s="383"/>
      <c r="J481" s="398">
        <v>136171</v>
      </c>
      <c r="K481" s="399" t="s">
        <v>70</v>
      </c>
      <c r="L481" s="399" t="s">
        <v>34</v>
      </c>
      <c r="M481" s="399">
        <v>20</v>
      </c>
      <c r="N481" s="356" t="e">
        <v>#N/A</v>
      </c>
      <c r="O481" s="28" t="e">
        <f t="shared" si="23"/>
        <v>#N/A</v>
      </c>
    </row>
    <row r="482" spans="2:15" s="28" customFormat="1" ht="16.5" customHeight="1">
      <c r="B482" s="20"/>
      <c r="C482" s="20"/>
      <c r="D482" s="254"/>
      <c r="E482" s="379">
        <v>148672</v>
      </c>
      <c r="F482" s="395" t="s">
        <v>779</v>
      </c>
      <c r="G482" s="396"/>
      <c r="H482" s="397"/>
      <c r="I482" s="383">
        <v>76100</v>
      </c>
      <c r="J482" s="398">
        <v>148672</v>
      </c>
      <c r="K482" s="399" t="s">
        <v>70</v>
      </c>
      <c r="L482" s="399" t="s">
        <v>34</v>
      </c>
      <c r="M482" s="399">
        <v>20</v>
      </c>
      <c r="N482" s="356">
        <v>76100</v>
      </c>
      <c r="O482" s="28" t="b">
        <f t="shared" si="23"/>
        <v>1</v>
      </c>
    </row>
    <row r="483" spans="2:15" s="28" customFormat="1" ht="16.5" customHeight="1">
      <c r="B483" s="20"/>
      <c r="C483" s="20"/>
      <c r="D483" s="254"/>
      <c r="E483" s="379">
        <v>144353</v>
      </c>
      <c r="F483" s="395" t="s">
        <v>774</v>
      </c>
      <c r="G483" s="396"/>
      <c r="H483" s="397"/>
      <c r="I483" s="383">
        <v>670000</v>
      </c>
      <c r="J483" s="398">
        <v>144353</v>
      </c>
      <c r="K483" s="399" t="s">
        <v>71</v>
      </c>
      <c r="L483" s="399" t="s">
        <v>34</v>
      </c>
      <c r="M483" s="399">
        <v>200</v>
      </c>
      <c r="N483" s="356">
        <v>670000</v>
      </c>
      <c r="O483" s="28" t="b">
        <f t="shared" si="23"/>
        <v>1</v>
      </c>
    </row>
    <row r="484" spans="2:15" s="28" customFormat="1" ht="16.5" customHeight="1">
      <c r="B484" s="20"/>
      <c r="C484" s="20"/>
      <c r="D484" s="254"/>
      <c r="E484" s="379">
        <v>148668</v>
      </c>
      <c r="F484" s="395" t="s">
        <v>758</v>
      </c>
      <c r="G484" s="396"/>
      <c r="H484" s="397"/>
      <c r="I484" s="383">
        <v>71700</v>
      </c>
      <c r="J484" s="398">
        <v>148668</v>
      </c>
      <c r="K484" s="399" t="s">
        <v>70</v>
      </c>
      <c r="L484" s="399" t="s">
        <v>34</v>
      </c>
      <c r="M484" s="399">
        <v>20</v>
      </c>
      <c r="N484" s="356">
        <v>71700</v>
      </c>
      <c r="O484" s="28" t="b">
        <f t="shared" si="23"/>
        <v>1</v>
      </c>
    </row>
    <row r="485" spans="2:15" s="28" customFormat="1" ht="16.5" customHeight="1">
      <c r="B485" s="20"/>
      <c r="C485" s="20"/>
      <c r="D485" s="254"/>
      <c r="E485" s="379">
        <v>138925</v>
      </c>
      <c r="F485" s="395" t="s">
        <v>556</v>
      </c>
      <c r="G485" s="396"/>
      <c r="H485" s="397"/>
      <c r="I485" s="383"/>
      <c r="J485" s="398">
        <v>138925</v>
      </c>
      <c r="K485" s="399" t="s">
        <v>71</v>
      </c>
      <c r="L485" s="399" t="s">
        <v>34</v>
      </c>
      <c r="M485" s="399">
        <v>200</v>
      </c>
      <c r="N485" s="356" t="e">
        <v>#N/A</v>
      </c>
      <c r="O485" s="28" t="e">
        <f t="shared" si="23"/>
        <v>#N/A</v>
      </c>
    </row>
    <row r="486" spans="2:15" s="28" customFormat="1" ht="16.5" customHeight="1">
      <c r="B486" s="20"/>
      <c r="C486" s="20"/>
      <c r="D486" s="254"/>
      <c r="E486" s="379">
        <v>144367</v>
      </c>
      <c r="F486" s="395" t="s">
        <v>782</v>
      </c>
      <c r="G486" s="396"/>
      <c r="H486" s="397"/>
      <c r="I486" s="383">
        <v>756000</v>
      </c>
      <c r="J486" s="398">
        <v>144367</v>
      </c>
      <c r="K486" s="399" t="s">
        <v>71</v>
      </c>
      <c r="L486" s="399" t="s">
        <v>34</v>
      </c>
      <c r="M486" s="399">
        <v>200</v>
      </c>
      <c r="N486" s="356">
        <v>756000</v>
      </c>
      <c r="O486" s="28" t="b">
        <f t="shared" si="23"/>
        <v>1</v>
      </c>
    </row>
    <row r="487" spans="2:15" s="28" customFormat="1" ht="16.5" customHeight="1">
      <c r="B487" s="20"/>
      <c r="C487" s="20"/>
      <c r="D487" s="254"/>
      <c r="E487" s="379">
        <v>136172</v>
      </c>
      <c r="F487" s="395" t="s">
        <v>38</v>
      </c>
      <c r="G487" s="396"/>
      <c r="H487" s="397"/>
      <c r="I487" s="383"/>
      <c r="J487" s="398">
        <v>136172</v>
      </c>
      <c r="K487" s="399" t="s">
        <v>70</v>
      </c>
      <c r="L487" s="399" t="s">
        <v>34</v>
      </c>
      <c r="M487" s="399">
        <v>20</v>
      </c>
      <c r="N487" s="356" t="e">
        <v>#N/A</v>
      </c>
      <c r="O487" s="28" t="e">
        <f t="shared" si="23"/>
        <v>#N/A</v>
      </c>
    </row>
    <row r="488" spans="2:15" s="28" customFormat="1" ht="16.5" customHeight="1">
      <c r="B488" s="20"/>
      <c r="C488" s="20"/>
      <c r="D488" s="254"/>
      <c r="E488" s="379">
        <v>148673</v>
      </c>
      <c r="F488" s="395" t="s">
        <v>781</v>
      </c>
      <c r="G488" s="396"/>
      <c r="H488" s="397"/>
      <c r="I488" s="383">
        <v>80200</v>
      </c>
      <c r="J488" s="398">
        <v>148673</v>
      </c>
      <c r="K488" s="399" t="s">
        <v>70</v>
      </c>
      <c r="L488" s="399" t="s">
        <v>34</v>
      </c>
      <c r="M488" s="399">
        <v>20</v>
      </c>
      <c r="N488" s="356">
        <v>80200</v>
      </c>
      <c r="O488" s="28" t="b">
        <f t="shared" si="23"/>
        <v>1</v>
      </c>
    </row>
    <row r="489" spans="2:15" s="28" customFormat="1" ht="16.5" customHeight="1">
      <c r="B489" s="20"/>
      <c r="C489" s="20"/>
      <c r="D489" s="254"/>
      <c r="E489" s="379">
        <v>144355</v>
      </c>
      <c r="F489" s="395" t="s">
        <v>775</v>
      </c>
      <c r="G489" s="396"/>
      <c r="H489" s="397"/>
      <c r="I489" s="383">
        <v>670000</v>
      </c>
      <c r="J489" s="398">
        <v>144355</v>
      </c>
      <c r="K489" s="399" t="s">
        <v>71</v>
      </c>
      <c r="L489" s="399" t="s">
        <v>34</v>
      </c>
      <c r="M489" s="399">
        <v>200</v>
      </c>
      <c r="N489" s="356">
        <v>670000</v>
      </c>
      <c r="O489" s="28" t="b">
        <f t="shared" si="23"/>
        <v>1</v>
      </c>
    </row>
    <row r="490" spans="2:15" s="28" customFormat="1" ht="16.5" customHeight="1">
      <c r="B490" s="20"/>
      <c r="C490" s="20"/>
      <c r="D490" s="254"/>
      <c r="E490" s="379">
        <v>148669</v>
      </c>
      <c r="F490" s="395" t="s">
        <v>755</v>
      </c>
      <c r="G490" s="396"/>
      <c r="H490" s="397"/>
      <c r="I490" s="383">
        <v>71700</v>
      </c>
      <c r="J490" s="398">
        <v>148669</v>
      </c>
      <c r="K490" s="399" t="s">
        <v>70</v>
      </c>
      <c r="L490" s="399" t="s">
        <v>34</v>
      </c>
      <c r="M490" s="399">
        <v>20</v>
      </c>
      <c r="N490" s="356">
        <v>71700</v>
      </c>
      <c r="O490" s="28" t="b">
        <f t="shared" si="23"/>
        <v>1</v>
      </c>
    </row>
    <row r="491" spans="2:15" s="28" customFormat="1" ht="16.5" customHeight="1">
      <c r="B491" s="20"/>
      <c r="C491" s="20"/>
      <c r="D491" s="254"/>
      <c r="E491" s="379">
        <v>144358</v>
      </c>
      <c r="F491" s="395" t="s">
        <v>754</v>
      </c>
      <c r="G491" s="396"/>
      <c r="H491" s="397"/>
      <c r="I491" s="383">
        <v>670000</v>
      </c>
      <c r="J491" s="398">
        <v>144358</v>
      </c>
      <c r="K491" s="399" t="s">
        <v>71</v>
      </c>
      <c r="L491" s="399" t="s">
        <v>34</v>
      </c>
      <c r="M491" s="399">
        <v>200</v>
      </c>
      <c r="N491" s="356">
        <v>670000</v>
      </c>
      <c r="O491" s="28" t="b">
        <f t="shared" si="23"/>
        <v>1</v>
      </c>
    </row>
    <row r="492" spans="2:15" s="28" customFormat="1" ht="16.5" customHeight="1">
      <c r="B492" s="20"/>
      <c r="C492" s="20"/>
      <c r="D492" s="254"/>
      <c r="E492" s="379">
        <v>148670</v>
      </c>
      <c r="F492" s="395" t="s">
        <v>776</v>
      </c>
      <c r="G492" s="396"/>
      <c r="H492" s="397"/>
      <c r="I492" s="383">
        <v>71700</v>
      </c>
      <c r="J492" s="398">
        <v>148670</v>
      </c>
      <c r="K492" s="399" t="s">
        <v>70</v>
      </c>
      <c r="L492" s="399" t="s">
        <v>34</v>
      </c>
      <c r="M492" s="399">
        <v>20</v>
      </c>
      <c r="N492" s="356">
        <v>71700</v>
      </c>
      <c r="O492" s="28" t="b">
        <f t="shared" si="23"/>
        <v>1</v>
      </c>
    </row>
    <row r="493" spans="2:15" s="28" customFormat="1" ht="16.5" customHeight="1">
      <c r="B493" s="20"/>
      <c r="C493" s="20"/>
      <c r="D493" s="254"/>
      <c r="E493" s="379">
        <v>144361</v>
      </c>
      <c r="F493" s="395" t="s">
        <v>778</v>
      </c>
      <c r="G493" s="396"/>
      <c r="H493" s="397"/>
      <c r="I493" s="383">
        <v>670000</v>
      </c>
      <c r="J493" s="398">
        <v>144361</v>
      </c>
      <c r="K493" s="399" t="s">
        <v>71</v>
      </c>
      <c r="L493" s="399" t="s">
        <v>34</v>
      </c>
      <c r="M493" s="399">
        <v>200</v>
      </c>
      <c r="N493" s="356">
        <v>670000</v>
      </c>
      <c r="O493" s="28" t="b">
        <f t="shared" si="23"/>
        <v>1</v>
      </c>
    </row>
    <row r="494" spans="2:15" s="28" customFormat="1" ht="16.5" customHeight="1">
      <c r="B494" s="20"/>
      <c r="C494" s="20"/>
      <c r="D494" s="254"/>
      <c r="E494" s="379">
        <v>148671</v>
      </c>
      <c r="F494" s="395" t="s">
        <v>777</v>
      </c>
      <c r="G494" s="396"/>
      <c r="H494" s="397"/>
      <c r="I494" s="383">
        <v>71700</v>
      </c>
      <c r="J494" s="398">
        <v>148671</v>
      </c>
      <c r="K494" s="399" t="s">
        <v>70</v>
      </c>
      <c r="L494" s="399" t="s">
        <v>34</v>
      </c>
      <c r="M494" s="399">
        <v>20</v>
      </c>
      <c r="N494" s="356">
        <v>71700</v>
      </c>
      <c r="O494" s="28" t="b">
        <f t="shared" si="23"/>
        <v>1</v>
      </c>
    </row>
    <row r="495" spans="2:15" s="28" customFormat="1" ht="16.5" customHeight="1">
      <c r="B495" s="20"/>
      <c r="C495" s="20"/>
      <c r="D495" s="254"/>
      <c r="E495" s="379">
        <v>144355</v>
      </c>
      <c r="F495" s="395" t="s">
        <v>775</v>
      </c>
      <c r="G495" s="396"/>
      <c r="H495" s="397"/>
      <c r="I495" s="383">
        <v>670000</v>
      </c>
      <c r="J495" s="398">
        <v>144355</v>
      </c>
      <c r="K495" s="399" t="s">
        <v>71</v>
      </c>
      <c r="L495" s="399" t="s">
        <v>34</v>
      </c>
      <c r="M495" s="399">
        <v>200</v>
      </c>
      <c r="N495" s="356">
        <v>670000</v>
      </c>
      <c r="O495" s="28" t="b">
        <f t="shared" si="23"/>
        <v>1</v>
      </c>
    </row>
    <row r="496" spans="2:15" s="28" customFormat="1" ht="16.5" customHeight="1">
      <c r="B496" s="20"/>
      <c r="C496" s="20"/>
      <c r="D496" s="254"/>
      <c r="E496" s="379">
        <v>148669</v>
      </c>
      <c r="F496" s="395" t="s">
        <v>755</v>
      </c>
      <c r="G496" s="396"/>
      <c r="H496" s="397"/>
      <c r="I496" s="383">
        <v>71700</v>
      </c>
      <c r="J496" s="398">
        <v>148669</v>
      </c>
      <c r="K496" s="399" t="s">
        <v>70</v>
      </c>
      <c r="L496" s="399" t="s">
        <v>34</v>
      </c>
      <c r="M496" s="399">
        <v>20</v>
      </c>
      <c r="N496" s="356">
        <v>71700</v>
      </c>
      <c r="O496" s="28" t="b">
        <f t="shared" si="23"/>
        <v>1</v>
      </c>
    </row>
    <row r="497" spans="2:22" s="28" customFormat="1" ht="16.5" customHeight="1">
      <c r="B497" s="20"/>
      <c r="C497" s="20"/>
      <c r="D497" s="254"/>
      <c r="E497" s="379">
        <v>144358</v>
      </c>
      <c r="F497" s="395" t="s">
        <v>754</v>
      </c>
      <c r="G497" s="396"/>
      <c r="H497" s="397"/>
      <c r="I497" s="383">
        <v>670000</v>
      </c>
      <c r="J497" s="398">
        <v>144358</v>
      </c>
      <c r="K497" s="399" t="s">
        <v>71</v>
      </c>
      <c r="L497" s="399" t="s">
        <v>34</v>
      </c>
      <c r="M497" s="399">
        <v>200</v>
      </c>
      <c r="N497" s="356">
        <v>670000</v>
      </c>
      <c r="O497" s="28" t="b">
        <f t="shared" si="23"/>
        <v>1</v>
      </c>
    </row>
    <row r="498" spans="2:22" s="28" customFormat="1" ht="16.5" customHeight="1">
      <c r="B498" s="20"/>
      <c r="C498" s="20"/>
      <c r="D498" s="254"/>
      <c r="E498" s="379">
        <v>148670</v>
      </c>
      <c r="F498" s="395" t="s">
        <v>776</v>
      </c>
      <c r="G498" s="396"/>
      <c r="H498" s="397"/>
      <c r="I498" s="383">
        <v>71700</v>
      </c>
      <c r="J498" s="398">
        <v>148670</v>
      </c>
      <c r="K498" s="399" t="s">
        <v>70</v>
      </c>
      <c r="L498" s="399" t="s">
        <v>34</v>
      </c>
      <c r="M498" s="399">
        <v>20</v>
      </c>
      <c r="N498" s="356">
        <v>71700</v>
      </c>
      <c r="O498" s="28" t="b">
        <f t="shared" si="23"/>
        <v>1</v>
      </c>
    </row>
    <row r="499" spans="2:22" s="28" customFormat="1" ht="16.5" customHeight="1">
      <c r="B499" s="20"/>
      <c r="C499" s="20"/>
      <c r="D499" s="254"/>
      <c r="E499" s="379">
        <v>144361</v>
      </c>
      <c r="F499" s="395" t="s">
        <v>778</v>
      </c>
      <c r="G499" s="396"/>
      <c r="H499" s="397"/>
      <c r="I499" s="383">
        <v>670000</v>
      </c>
      <c r="J499" s="398">
        <v>144361</v>
      </c>
      <c r="K499" s="399" t="s">
        <v>71</v>
      </c>
      <c r="L499" s="399" t="s">
        <v>34</v>
      </c>
      <c r="M499" s="399">
        <v>200</v>
      </c>
      <c r="N499" s="356">
        <v>670000</v>
      </c>
      <c r="O499" s="28" t="b">
        <f t="shared" si="23"/>
        <v>1</v>
      </c>
    </row>
    <row r="500" spans="2:22" s="28" customFormat="1" ht="16.5" customHeight="1">
      <c r="B500" s="20"/>
      <c r="C500" s="20"/>
      <c r="D500" s="254"/>
      <c r="E500" s="379">
        <v>148671</v>
      </c>
      <c r="F500" s="395" t="s">
        <v>777</v>
      </c>
      <c r="G500" s="396"/>
      <c r="H500" s="397"/>
      <c r="I500" s="383">
        <v>71700</v>
      </c>
      <c r="J500" s="398">
        <v>148671</v>
      </c>
      <c r="K500" s="399" t="s">
        <v>70</v>
      </c>
      <c r="L500" s="399" t="s">
        <v>34</v>
      </c>
      <c r="M500" s="399">
        <v>20</v>
      </c>
      <c r="N500" s="356">
        <v>71700</v>
      </c>
      <c r="O500" s="28" t="b">
        <f t="shared" si="23"/>
        <v>1</v>
      </c>
    </row>
    <row r="501" spans="2:22" s="28" customFormat="1" ht="16.5" customHeight="1">
      <c r="B501" s="20"/>
      <c r="C501" s="20"/>
      <c r="D501" s="254"/>
      <c r="E501" s="379">
        <v>144270</v>
      </c>
      <c r="F501" s="395" t="s">
        <v>843</v>
      </c>
      <c r="G501" s="396"/>
      <c r="H501" s="397"/>
      <c r="I501" s="383">
        <v>1005000</v>
      </c>
      <c r="J501" s="398">
        <v>144270</v>
      </c>
      <c r="K501" s="399" t="s">
        <v>71</v>
      </c>
      <c r="L501" s="399" t="s">
        <v>34</v>
      </c>
      <c r="M501" s="399">
        <v>200</v>
      </c>
      <c r="N501" s="356">
        <v>1005000</v>
      </c>
      <c r="O501" s="28" t="b">
        <f t="shared" si="23"/>
        <v>1</v>
      </c>
    </row>
    <row r="502" spans="2:22" s="28" customFormat="1" ht="16.5" customHeight="1">
      <c r="B502" s="20"/>
      <c r="C502" s="20"/>
      <c r="D502" s="254"/>
      <c r="E502" s="379">
        <v>135441</v>
      </c>
      <c r="F502" s="395" t="s">
        <v>298</v>
      </c>
      <c r="G502" s="396"/>
      <c r="H502" s="397"/>
      <c r="I502" s="383">
        <v>287000</v>
      </c>
      <c r="J502" s="398">
        <v>135441</v>
      </c>
      <c r="K502" s="399" t="s">
        <v>70</v>
      </c>
      <c r="L502" s="399" t="s">
        <v>34</v>
      </c>
      <c r="M502" s="399">
        <v>20</v>
      </c>
      <c r="N502" s="356">
        <v>287000</v>
      </c>
      <c r="O502" s="28" t="b">
        <f t="shared" si="23"/>
        <v>1</v>
      </c>
    </row>
    <row r="503" spans="2:22" s="28" customFormat="1" ht="16.5" customHeight="1">
      <c r="B503" s="20"/>
      <c r="C503" s="20"/>
      <c r="D503" s="254"/>
      <c r="E503" s="379">
        <v>128430</v>
      </c>
      <c r="F503" s="395" t="s">
        <v>847</v>
      </c>
      <c r="G503" s="396"/>
      <c r="H503" s="397"/>
      <c r="I503" s="383">
        <v>1800000</v>
      </c>
      <c r="J503" s="398">
        <v>128430</v>
      </c>
      <c r="K503" s="399" t="s">
        <v>71</v>
      </c>
      <c r="L503" s="399" t="s">
        <v>34</v>
      </c>
      <c r="M503" s="399">
        <v>181</v>
      </c>
      <c r="N503" s="356">
        <v>1800000</v>
      </c>
      <c r="O503" s="28" t="b">
        <f t="shared" si="23"/>
        <v>1</v>
      </c>
    </row>
    <row r="504" spans="2:22" s="28" customFormat="1" ht="16.5" customHeight="1">
      <c r="B504" s="20"/>
      <c r="C504" s="20"/>
      <c r="D504" s="254"/>
      <c r="E504" s="379">
        <v>141257</v>
      </c>
      <c r="F504" s="395" t="s">
        <v>856</v>
      </c>
      <c r="G504" s="396"/>
      <c r="H504" s="397"/>
      <c r="I504" s="383">
        <v>85932</v>
      </c>
      <c r="J504" s="398">
        <v>141257</v>
      </c>
      <c r="K504" s="378" t="s">
        <v>73</v>
      </c>
      <c r="L504" s="378" t="s">
        <v>35</v>
      </c>
      <c r="M504" s="399">
        <v>12</v>
      </c>
      <c r="N504" s="356" t="e">
        <v>#N/A</v>
      </c>
      <c r="V504" s="100"/>
    </row>
    <row r="505" spans="2:22" s="28" customFormat="1" ht="16.5" customHeight="1">
      <c r="B505" s="20"/>
      <c r="C505" s="20"/>
      <c r="D505" s="456"/>
      <c r="E505" s="411">
        <v>147122</v>
      </c>
      <c r="F505" s="395" t="s">
        <v>868</v>
      </c>
      <c r="G505" s="396"/>
      <c r="H505" s="397"/>
      <c r="I505" s="383">
        <v>49896</v>
      </c>
      <c r="J505" s="398">
        <v>147122</v>
      </c>
      <c r="K505" s="378" t="s">
        <v>73</v>
      </c>
      <c r="L505" s="399" t="s">
        <v>872</v>
      </c>
      <c r="M505" s="399">
        <v>12</v>
      </c>
      <c r="N505" s="356" t="e">
        <v>#N/A</v>
      </c>
      <c r="V505" s="100"/>
    </row>
    <row r="506" spans="2:22" s="28" customFormat="1" ht="16.5" customHeight="1">
      <c r="B506" s="20"/>
      <c r="C506" s="20"/>
      <c r="D506" s="254"/>
      <c r="E506" s="411">
        <v>140901</v>
      </c>
      <c r="F506" s="395" t="s">
        <v>98</v>
      </c>
      <c r="G506" s="396"/>
      <c r="H506" s="397"/>
      <c r="I506" s="383">
        <f>VLOOKUP(E506,'[1]Table 1'!$A$6:$C$21,3,0)</f>
        <v>88308</v>
      </c>
      <c r="J506" s="398">
        <v>140901</v>
      </c>
      <c r="K506" s="378" t="s">
        <v>73</v>
      </c>
      <c r="L506" s="399" t="s">
        <v>872</v>
      </c>
      <c r="M506" s="399">
        <v>20</v>
      </c>
      <c r="N506" s="356" t="e">
        <v>#N/A</v>
      </c>
      <c r="V506" s="100"/>
    </row>
    <row r="507" spans="2:22" s="28" customFormat="1" ht="16.5" customHeight="1">
      <c r="B507" s="20"/>
      <c r="C507" s="20"/>
      <c r="D507" s="254"/>
      <c r="E507" s="411">
        <v>140904</v>
      </c>
      <c r="F507" s="395" t="s">
        <v>859</v>
      </c>
      <c r="G507" s="396"/>
      <c r="H507" s="397"/>
      <c r="I507" s="383">
        <f>VLOOKUP(E507,'[1]Table 1'!$A$6:$C$21,3,0)</f>
        <v>96792</v>
      </c>
      <c r="J507" s="398">
        <v>140904</v>
      </c>
      <c r="K507" s="378" t="s">
        <v>73</v>
      </c>
      <c r="L507" s="399" t="s">
        <v>872</v>
      </c>
      <c r="M507" s="399">
        <v>20</v>
      </c>
      <c r="N507" s="356" t="e">
        <v>#N/A</v>
      </c>
      <c r="V507" s="100"/>
    </row>
    <row r="508" spans="2:22" s="28" customFormat="1" ht="16.5" customHeight="1">
      <c r="B508" s="20"/>
      <c r="C508" s="20"/>
      <c r="D508" s="457"/>
      <c r="E508" s="411">
        <v>147379</v>
      </c>
      <c r="F508" s="395" t="s">
        <v>862</v>
      </c>
      <c r="G508" s="396"/>
      <c r="H508" s="397"/>
      <c r="I508" s="383">
        <v>35928</v>
      </c>
      <c r="J508" s="398">
        <v>147379</v>
      </c>
      <c r="K508" s="378" t="s">
        <v>73</v>
      </c>
      <c r="L508" s="399" t="s">
        <v>872</v>
      </c>
      <c r="M508" s="399">
        <v>12</v>
      </c>
      <c r="N508" s="356"/>
      <c r="V508" s="100"/>
    </row>
    <row r="509" spans="2:22" s="28" customFormat="1" ht="16.5" customHeight="1">
      <c r="B509" s="20"/>
      <c r="C509" s="20"/>
      <c r="D509" s="255"/>
      <c r="E509" s="411">
        <v>138583</v>
      </c>
      <c r="F509" s="395" t="s">
        <v>740</v>
      </c>
      <c r="G509" s="396"/>
      <c r="H509" s="397"/>
      <c r="I509" s="383">
        <f>VLOOKUP(E509,'[1]Table 1'!$A$6:$C$21,3,0)</f>
        <v>44600</v>
      </c>
      <c r="J509" s="398">
        <v>138583</v>
      </c>
      <c r="K509" s="378" t="s">
        <v>73</v>
      </c>
      <c r="L509" s="399" t="s">
        <v>872</v>
      </c>
      <c r="M509" s="399">
        <v>12</v>
      </c>
      <c r="N509" s="356"/>
      <c r="V509" s="100"/>
    </row>
    <row r="510" spans="2:22" s="28" customFormat="1" ht="16.5" customHeight="1">
      <c r="B510" s="20"/>
      <c r="C510" s="20"/>
      <c r="D510" s="255"/>
      <c r="E510" s="411">
        <v>140876</v>
      </c>
      <c r="F510" s="395" t="s">
        <v>105</v>
      </c>
      <c r="G510" s="396"/>
      <c r="H510" s="397"/>
      <c r="I510" s="383">
        <f>VLOOKUP(E510,'[1]Table 1'!$A$6:$C$21,3,0)</f>
        <v>529893</v>
      </c>
      <c r="J510" s="398">
        <v>140876</v>
      </c>
      <c r="K510" s="399" t="s">
        <v>70</v>
      </c>
      <c r="L510" s="399" t="s">
        <v>872</v>
      </c>
      <c r="M510" s="399">
        <v>20</v>
      </c>
      <c r="N510" s="356"/>
      <c r="V510" s="100"/>
    </row>
    <row r="511" spans="2:22" s="28" customFormat="1" ht="16.5" customHeight="1">
      <c r="B511" s="20"/>
      <c r="C511" s="20"/>
      <c r="D511" s="255"/>
      <c r="E511" s="411">
        <v>140877</v>
      </c>
      <c r="F511" s="395" t="s">
        <v>99</v>
      </c>
      <c r="G511" s="396"/>
      <c r="H511" s="397"/>
      <c r="I511" s="383">
        <f>VLOOKUP(E511,'[1]Table 1'!$A$6:$C$21,3,0)</f>
        <v>80739</v>
      </c>
      <c r="J511" s="398">
        <v>140877</v>
      </c>
      <c r="K511" s="399" t="s">
        <v>70</v>
      </c>
      <c r="L511" s="399" t="s">
        <v>872</v>
      </c>
      <c r="M511" s="399">
        <v>20</v>
      </c>
      <c r="N511" s="356"/>
      <c r="V511" s="100"/>
    </row>
    <row r="512" spans="2:22" s="28" customFormat="1" ht="16.5" customHeight="1">
      <c r="B512" s="20"/>
      <c r="C512" s="20"/>
      <c r="D512" s="255"/>
      <c r="E512" s="411">
        <v>140878</v>
      </c>
      <c r="F512" s="395" t="s">
        <v>860</v>
      </c>
      <c r="G512" s="396"/>
      <c r="H512" s="397"/>
      <c r="I512" s="383">
        <f>VLOOKUP(E512,'[1]Table 1'!$A$6:$C$21,3,0)</f>
        <v>121830</v>
      </c>
      <c r="J512" s="398">
        <v>140878</v>
      </c>
      <c r="K512" s="399" t="s">
        <v>70</v>
      </c>
      <c r="L512" s="399" t="s">
        <v>872</v>
      </c>
      <c r="M512" s="399">
        <v>20</v>
      </c>
      <c r="N512" s="356"/>
      <c r="V512" s="100"/>
    </row>
    <row r="513" spans="2:24" s="28" customFormat="1" ht="16.5" customHeight="1">
      <c r="B513" s="20"/>
      <c r="C513" s="20"/>
      <c r="D513" s="255"/>
      <c r="E513" s="411">
        <v>140922</v>
      </c>
      <c r="F513" s="395" t="s">
        <v>94</v>
      </c>
      <c r="G513" s="396"/>
      <c r="H513" s="397"/>
      <c r="I513" s="383">
        <f>VLOOKUP(E513,'[1]Table 1'!$A$6:$C$21,3,0)</f>
        <v>210521</v>
      </c>
      <c r="J513" s="398">
        <v>140922</v>
      </c>
      <c r="K513" s="399" t="s">
        <v>70</v>
      </c>
      <c r="L513" s="399" t="s">
        <v>872</v>
      </c>
      <c r="M513" s="399">
        <v>20</v>
      </c>
      <c r="N513" s="356"/>
      <c r="V513" s="100"/>
    </row>
    <row r="514" spans="2:24" s="28" customFormat="1" ht="16.5" customHeight="1">
      <c r="B514" s="20"/>
      <c r="C514" s="20"/>
      <c r="D514" s="255"/>
      <c r="E514" s="411">
        <v>140902</v>
      </c>
      <c r="F514" s="395" t="s">
        <v>95</v>
      </c>
      <c r="G514" s="396"/>
      <c r="H514" s="397"/>
      <c r="I514" s="383">
        <f>VLOOKUP(E514,'[1]Table 1'!$A$6:$C$21,3,0)</f>
        <v>870316</v>
      </c>
      <c r="J514" s="398">
        <v>140902</v>
      </c>
      <c r="K514" s="399" t="s">
        <v>71</v>
      </c>
      <c r="L514" s="399" t="s">
        <v>872</v>
      </c>
      <c r="M514" s="399">
        <v>200</v>
      </c>
      <c r="N514" s="356"/>
      <c r="V514" s="100"/>
    </row>
    <row r="515" spans="2:24" s="28" customFormat="1" ht="16.5" customHeight="1">
      <c r="B515" s="20"/>
      <c r="C515" s="20"/>
      <c r="D515" s="255"/>
      <c r="E515" s="411">
        <v>140905</v>
      </c>
      <c r="F515" s="395" t="s">
        <v>96</v>
      </c>
      <c r="G515" s="396"/>
      <c r="H515" s="397"/>
      <c r="I515" s="383">
        <f>VLOOKUP(E515,'[1]Table 1'!$A$6:$C$21,3,0)</f>
        <v>874413</v>
      </c>
      <c r="J515" s="398">
        <v>140905</v>
      </c>
      <c r="K515" s="399" t="s">
        <v>71</v>
      </c>
      <c r="L515" s="399" t="s">
        <v>872</v>
      </c>
      <c r="M515" s="399">
        <v>200</v>
      </c>
      <c r="N515" s="356"/>
      <c r="V515" s="100"/>
    </row>
    <row r="516" spans="2:24" s="28" customFormat="1" ht="16.5" customHeight="1">
      <c r="B516" s="20"/>
      <c r="C516" s="20"/>
      <c r="D516" s="457"/>
      <c r="E516" s="411">
        <v>147284</v>
      </c>
      <c r="F516" s="395" t="s">
        <v>837</v>
      </c>
      <c r="G516" s="396"/>
      <c r="H516" s="397"/>
      <c r="I516" s="383">
        <v>526308</v>
      </c>
      <c r="J516" s="398">
        <v>147284</v>
      </c>
      <c r="K516" s="399" t="s">
        <v>71</v>
      </c>
      <c r="L516" s="399" t="s">
        <v>872</v>
      </c>
      <c r="M516" s="399">
        <v>208</v>
      </c>
      <c r="N516" s="356"/>
      <c r="V516" s="100"/>
    </row>
    <row r="517" spans="2:24" s="28" customFormat="1" ht="16.5" customHeight="1">
      <c r="B517" s="20"/>
      <c r="C517" s="20"/>
      <c r="D517" s="456"/>
      <c r="E517" s="411">
        <v>147391</v>
      </c>
      <c r="F517" s="395" t="s">
        <v>838</v>
      </c>
      <c r="G517" s="396"/>
      <c r="H517" s="397"/>
      <c r="I517" s="383">
        <v>518741</v>
      </c>
      <c r="J517" s="398">
        <v>147391</v>
      </c>
      <c r="K517" s="399" t="s">
        <v>71</v>
      </c>
      <c r="L517" s="399" t="s">
        <v>872</v>
      </c>
      <c r="M517" s="399">
        <v>208</v>
      </c>
      <c r="N517" s="356"/>
      <c r="V517" s="100"/>
    </row>
    <row r="518" spans="2:24" s="28" customFormat="1" ht="16.5" customHeight="1">
      <c r="B518" s="20"/>
      <c r="C518" s="20"/>
      <c r="D518" s="254"/>
      <c r="E518" s="411">
        <v>144515</v>
      </c>
      <c r="F518" s="395" t="s">
        <v>839</v>
      </c>
      <c r="G518" s="396"/>
      <c r="H518" s="397"/>
      <c r="I518" s="383">
        <v>631617</v>
      </c>
      <c r="J518" s="398">
        <v>144515</v>
      </c>
      <c r="K518" s="399" t="s">
        <v>71</v>
      </c>
      <c r="L518" s="399" t="s">
        <v>872</v>
      </c>
      <c r="M518" s="399">
        <v>208</v>
      </c>
      <c r="N518" s="356"/>
      <c r="V518" s="100"/>
    </row>
    <row r="519" spans="2:24" s="28" customFormat="1" ht="16.5" customHeight="1">
      <c r="B519" s="20"/>
      <c r="C519" s="20"/>
      <c r="D519" s="456"/>
      <c r="E519" s="411">
        <v>147370</v>
      </c>
      <c r="F519" s="395" t="s">
        <v>839</v>
      </c>
      <c r="G519" s="396"/>
      <c r="H519" s="397"/>
      <c r="I519" s="383">
        <v>523786</v>
      </c>
      <c r="J519" s="398">
        <v>147370</v>
      </c>
      <c r="K519" s="399" t="s">
        <v>71</v>
      </c>
      <c r="L519" s="399" t="s">
        <v>872</v>
      </c>
      <c r="M519" s="399">
        <v>208</v>
      </c>
      <c r="N519" s="356"/>
      <c r="V519" s="100"/>
    </row>
    <row r="520" spans="2:24" s="28" customFormat="1" ht="16.5" customHeight="1">
      <c r="B520" s="20"/>
      <c r="C520" s="20"/>
      <c r="D520" s="254"/>
      <c r="E520" s="411">
        <v>140597</v>
      </c>
      <c r="F520" s="395" t="s">
        <v>869</v>
      </c>
      <c r="G520" s="396"/>
      <c r="H520" s="397"/>
      <c r="I520" s="383">
        <v>124000</v>
      </c>
      <c r="J520" s="398">
        <v>140597</v>
      </c>
      <c r="K520" s="378" t="s">
        <v>73</v>
      </c>
      <c r="L520" s="399" t="s">
        <v>872</v>
      </c>
      <c r="M520" s="399">
        <v>12</v>
      </c>
      <c r="N520" s="356"/>
      <c r="V520" s="100"/>
    </row>
    <row r="521" spans="2:24" s="28" customFormat="1" ht="16.5" customHeight="1">
      <c r="B521" s="20"/>
      <c r="C521" s="20"/>
      <c r="D521" s="254"/>
      <c r="E521" s="411">
        <v>147279</v>
      </c>
      <c r="F521" s="395" t="s">
        <v>870</v>
      </c>
      <c r="G521" s="396"/>
      <c r="H521" s="397"/>
      <c r="I521" s="383">
        <f>VLOOKUP(E521,'[1]Table 1'!$A$6:$C$21,3,0)</f>
        <v>50796</v>
      </c>
      <c r="J521" s="398">
        <v>147279</v>
      </c>
      <c r="K521" s="378" t="s">
        <v>73</v>
      </c>
      <c r="L521" s="399" t="s">
        <v>872</v>
      </c>
      <c r="M521" s="399">
        <v>12</v>
      </c>
      <c r="N521" s="356"/>
      <c r="V521" s="100"/>
    </row>
    <row r="522" spans="2:24" s="28" customFormat="1" ht="16.5" customHeight="1">
      <c r="B522" s="20"/>
      <c r="C522" s="20"/>
      <c r="D522" s="254"/>
      <c r="E522" s="411">
        <v>141257</v>
      </c>
      <c r="F522" s="395" t="s">
        <v>871</v>
      </c>
      <c r="G522" s="396"/>
      <c r="H522" s="397"/>
      <c r="I522" s="383">
        <f>VLOOKUP(E522,'[1]Table 1'!$A$6:$C$21,3,0)</f>
        <v>82344</v>
      </c>
      <c r="J522" s="398">
        <v>141257</v>
      </c>
      <c r="K522" s="378" t="s">
        <v>73</v>
      </c>
      <c r="L522" s="399" t="s">
        <v>872</v>
      </c>
      <c r="M522" s="399">
        <v>12</v>
      </c>
      <c r="N522" s="356"/>
      <c r="V522" s="100"/>
    </row>
    <row r="523" spans="2:24" s="28" customFormat="1" ht="16.5" customHeight="1">
      <c r="B523" s="20"/>
      <c r="C523" s="20"/>
      <c r="D523" s="254"/>
      <c r="E523" s="379">
        <v>140909</v>
      </c>
      <c r="F523" s="395" t="s">
        <v>862</v>
      </c>
      <c r="G523" s="396"/>
      <c r="H523" s="397"/>
      <c r="I523" s="383">
        <v>45528</v>
      </c>
      <c r="J523" s="379">
        <v>140909</v>
      </c>
      <c r="K523" s="378" t="s">
        <v>73</v>
      </c>
      <c r="L523" s="399" t="s">
        <v>872</v>
      </c>
      <c r="M523" s="399">
        <v>12</v>
      </c>
      <c r="N523" s="356"/>
      <c r="V523" s="100"/>
    </row>
    <row r="524" spans="2:24" s="28" customFormat="1" ht="16.5" customHeight="1">
      <c r="B524" s="20"/>
      <c r="C524" s="20"/>
      <c r="D524" s="448"/>
      <c r="E524" s="32">
        <v>148006</v>
      </c>
      <c r="F524" s="37" t="s">
        <v>900</v>
      </c>
      <c r="G524" s="34"/>
      <c r="H524" s="35"/>
      <c r="I524" s="62">
        <v>2142400</v>
      </c>
      <c r="J524" s="33">
        <v>135477</v>
      </c>
      <c r="K524" s="32" t="s">
        <v>71</v>
      </c>
      <c r="L524" s="32" t="s">
        <v>1076</v>
      </c>
      <c r="M524" s="32">
        <v>208</v>
      </c>
      <c r="N524" s="356"/>
      <c r="R524" s="43"/>
      <c r="S524" s="43"/>
      <c r="T524" s="43"/>
      <c r="U524" s="449"/>
      <c r="V524" s="449"/>
      <c r="W524" s="43"/>
      <c r="X524" s="42"/>
    </row>
    <row r="525" spans="2:24" s="28" customFormat="1" ht="16.5" customHeight="1">
      <c r="B525" s="20"/>
      <c r="C525" s="20"/>
      <c r="D525" s="456"/>
      <c r="E525" s="411">
        <v>147966</v>
      </c>
      <c r="F525" s="395" t="s">
        <v>870</v>
      </c>
      <c r="G525" s="396"/>
      <c r="H525" s="397"/>
      <c r="I525" s="383">
        <v>48876</v>
      </c>
      <c r="J525" s="398">
        <v>147279</v>
      </c>
      <c r="K525" s="378" t="s">
        <v>73</v>
      </c>
      <c r="L525" s="399" t="s">
        <v>872</v>
      </c>
      <c r="M525" s="399">
        <v>12</v>
      </c>
      <c r="N525" s="356"/>
      <c r="V525" s="100"/>
    </row>
    <row r="526" spans="2:24" s="28" customFormat="1" ht="16.5" customHeight="1">
      <c r="B526" s="20"/>
      <c r="C526" s="20"/>
      <c r="D526" s="456"/>
      <c r="E526" s="379">
        <v>147829</v>
      </c>
      <c r="F526" s="395" t="s">
        <v>913</v>
      </c>
      <c r="G526" s="396"/>
      <c r="H526" s="397"/>
      <c r="I526" s="383">
        <v>80160</v>
      </c>
      <c r="J526" s="398">
        <v>147829</v>
      </c>
      <c r="K526" s="378" t="s">
        <v>73</v>
      </c>
      <c r="L526" s="399" t="s">
        <v>872</v>
      </c>
      <c r="M526" s="399">
        <v>12</v>
      </c>
      <c r="N526" s="356"/>
      <c r="V526" s="100"/>
    </row>
    <row r="527" spans="2:24" s="28" customFormat="1" ht="16.5" customHeight="1">
      <c r="B527" s="20"/>
      <c r="C527" s="20"/>
      <c r="D527" s="457"/>
      <c r="E527" s="379">
        <v>148692</v>
      </c>
      <c r="F527" s="395" t="s">
        <v>1059</v>
      </c>
      <c r="G527" s="460"/>
      <c r="H527" s="461"/>
      <c r="I527" s="462">
        <v>48876</v>
      </c>
      <c r="J527" s="398">
        <v>148692</v>
      </c>
      <c r="K527" s="378" t="s">
        <v>73</v>
      </c>
      <c r="L527" s="399" t="s">
        <v>872</v>
      </c>
      <c r="M527" s="399">
        <v>12</v>
      </c>
      <c r="N527" s="356"/>
      <c r="V527" s="100"/>
    </row>
    <row r="528" spans="2:24" s="28" customFormat="1" ht="16.5" customHeight="1">
      <c r="B528" s="20"/>
      <c r="C528" s="20"/>
      <c r="D528" s="254"/>
      <c r="E528" s="379">
        <v>148789</v>
      </c>
      <c r="F528" s="395" t="s">
        <v>1060</v>
      </c>
      <c r="G528" s="396"/>
      <c r="H528" s="397"/>
      <c r="I528" s="383">
        <v>743243</v>
      </c>
      <c r="J528" s="398">
        <v>148789</v>
      </c>
      <c r="K528" s="32" t="s">
        <v>71</v>
      </c>
      <c r="L528" s="399" t="s">
        <v>872</v>
      </c>
      <c r="M528" s="399">
        <v>208</v>
      </c>
      <c r="N528" s="356"/>
      <c r="V528" s="100"/>
    </row>
    <row r="529" spans="2:26" s="28" customFormat="1" ht="16.5" customHeight="1">
      <c r="B529" s="20"/>
      <c r="C529" s="20"/>
      <c r="D529" s="254"/>
      <c r="E529" s="379">
        <v>134799</v>
      </c>
      <c r="F529" s="395" t="s">
        <v>1063</v>
      </c>
      <c r="G529" s="396"/>
      <c r="H529" s="397"/>
      <c r="I529" s="383">
        <v>778800</v>
      </c>
      <c r="J529" s="398">
        <v>134799</v>
      </c>
      <c r="K529" s="399" t="s">
        <v>980</v>
      </c>
      <c r="L529" s="399" t="s">
        <v>1065</v>
      </c>
      <c r="M529" s="399">
        <v>22</v>
      </c>
      <c r="N529" s="356"/>
      <c r="V529" s="100"/>
    </row>
    <row r="530" spans="2:26" s="28" customFormat="1" ht="16.5" customHeight="1">
      <c r="B530" s="20"/>
      <c r="C530" s="20"/>
      <c r="D530" s="254"/>
      <c r="E530" s="379"/>
      <c r="F530" s="395"/>
      <c r="G530" s="396"/>
      <c r="H530" s="397"/>
      <c r="I530" s="383"/>
      <c r="J530" s="398"/>
      <c r="K530" s="399"/>
      <c r="L530" s="399"/>
      <c r="M530" s="399"/>
      <c r="N530" s="356"/>
      <c r="V530" s="100"/>
    </row>
    <row r="531" spans="2:26" s="28" customFormat="1" ht="16.5" customHeight="1">
      <c r="B531" s="20"/>
      <c r="C531" s="20"/>
      <c r="D531" s="254"/>
      <c r="E531" s="379"/>
      <c r="F531" s="395"/>
      <c r="G531" s="396"/>
      <c r="H531" s="397"/>
      <c r="I531" s="383"/>
      <c r="J531" s="398"/>
      <c r="K531" s="399"/>
      <c r="L531" s="399"/>
      <c r="M531" s="399"/>
      <c r="N531" s="356"/>
      <c r="V531" s="100"/>
    </row>
    <row r="532" spans="2:26" s="28" customFormat="1" ht="16.5" customHeight="1">
      <c r="B532" s="20"/>
      <c r="C532" s="20"/>
      <c r="D532" s="254"/>
      <c r="E532" s="379"/>
      <c r="F532" s="395"/>
      <c r="G532" s="396"/>
      <c r="H532" s="397"/>
      <c r="I532" s="383"/>
      <c r="J532" s="398"/>
      <c r="K532" s="399"/>
      <c r="L532" s="399"/>
      <c r="M532" s="399"/>
      <c r="N532" s="356"/>
      <c r="V532" s="100"/>
    </row>
    <row r="533" spans="2:26" s="28" customFormat="1" ht="16.5" customHeight="1">
      <c r="B533" s="20"/>
      <c r="C533" s="20"/>
      <c r="D533" s="254"/>
      <c r="E533" s="379"/>
      <c r="F533" s="395"/>
      <c r="G533" s="396"/>
      <c r="H533" s="397"/>
      <c r="I533" s="383"/>
      <c r="J533" s="398"/>
      <c r="K533" s="399"/>
      <c r="L533" s="399"/>
      <c r="M533" s="399"/>
      <c r="N533" s="356"/>
      <c r="V533" s="100"/>
    </row>
    <row r="534" spans="2:26" s="28" customFormat="1" ht="16.5" customHeight="1">
      <c r="B534" s="20"/>
      <c r="C534" s="20"/>
      <c r="D534" s="254"/>
      <c r="E534" s="379"/>
      <c r="F534" s="395"/>
      <c r="G534" s="396"/>
      <c r="H534" s="397"/>
      <c r="I534" s="383"/>
      <c r="J534" s="398"/>
      <c r="K534" s="399"/>
      <c r="L534" s="399"/>
      <c r="M534" s="399"/>
      <c r="N534" s="356"/>
      <c r="V534" s="100"/>
    </row>
    <row r="535" spans="2:26" s="28" customFormat="1" ht="16.5" customHeight="1">
      <c r="B535" s="20"/>
      <c r="C535" s="20"/>
      <c r="D535" s="254"/>
      <c r="E535" s="379"/>
      <c r="F535" s="395"/>
      <c r="G535" s="396"/>
      <c r="H535" s="397"/>
      <c r="I535" s="383"/>
      <c r="J535" s="398"/>
      <c r="K535" s="399"/>
      <c r="L535" s="399"/>
      <c r="M535" s="399"/>
      <c r="N535" s="356"/>
      <c r="V535" s="100"/>
    </row>
    <row r="536" spans="2:26" s="28" customFormat="1" ht="16.5" customHeight="1">
      <c r="B536" s="20"/>
      <c r="C536" s="20"/>
      <c r="D536" s="254"/>
      <c r="E536" s="379"/>
      <c r="F536" s="395"/>
      <c r="G536" s="396"/>
      <c r="H536" s="397"/>
      <c r="I536" s="383"/>
      <c r="J536" s="398"/>
      <c r="K536" s="399"/>
      <c r="L536" s="399"/>
      <c r="M536" s="399"/>
      <c r="N536" s="356"/>
      <c r="V536" s="100"/>
    </row>
    <row r="537" spans="2:26">
      <c r="U537" s="12"/>
      <c r="V537" s="59"/>
      <c r="W537"/>
      <c r="X537"/>
      <c r="Y537"/>
      <c r="Z537"/>
    </row>
    <row r="538" spans="2:26">
      <c r="U538" s="12"/>
      <c r="V538" s="59"/>
      <c r="W538"/>
      <c r="X538"/>
      <c r="Y538"/>
      <c r="Z538"/>
    </row>
    <row r="539" spans="2:26">
      <c r="U539" s="12"/>
      <c r="V539" s="59"/>
      <c r="W539"/>
      <c r="X539"/>
      <c r="Y539"/>
      <c r="Z539"/>
    </row>
    <row r="540" spans="2:26">
      <c r="U540" s="12"/>
      <c r="V540" s="59"/>
      <c r="W540"/>
      <c r="X540"/>
      <c r="Y540"/>
      <c r="Z540"/>
    </row>
    <row r="541" spans="2:26">
      <c r="U541" s="12"/>
      <c r="V541" s="59"/>
      <c r="W541"/>
      <c r="X541"/>
      <c r="Y541"/>
      <c r="Z541"/>
    </row>
    <row r="542" spans="2:26">
      <c r="U542" s="12"/>
      <c r="V542" s="59"/>
      <c r="W542"/>
      <c r="X542"/>
      <c r="Y542"/>
      <c r="Z542"/>
    </row>
    <row r="543" spans="2:26">
      <c r="U543" s="12"/>
      <c r="V543" s="59"/>
      <c r="W543"/>
      <c r="X543"/>
      <c r="Y543"/>
      <c r="Z543"/>
    </row>
    <row r="544" spans="2:26">
      <c r="U544" s="12"/>
      <c r="V544" s="59"/>
      <c r="W544"/>
      <c r="X544"/>
      <c r="Y544"/>
      <c r="Z544"/>
    </row>
    <row r="545" spans="21:26">
      <c r="U545" s="12"/>
      <c r="V545" s="59"/>
      <c r="W545"/>
      <c r="X545"/>
      <c r="Y545"/>
      <c r="Z545"/>
    </row>
    <row r="546" spans="21:26">
      <c r="U546" s="12"/>
      <c r="V546" s="59"/>
      <c r="W546"/>
      <c r="X546"/>
      <c r="Y546"/>
      <c r="Z546"/>
    </row>
    <row r="547" spans="21:26">
      <c r="U547" s="12"/>
      <c r="V547" s="59"/>
      <c r="W547"/>
      <c r="X547"/>
      <c r="Y547"/>
      <c r="Z547"/>
    </row>
    <row r="548" spans="21:26">
      <c r="U548" s="12"/>
      <c r="V548" s="59"/>
      <c r="W548"/>
      <c r="X548"/>
      <c r="Y548"/>
      <c r="Z548"/>
    </row>
    <row r="549" spans="21:26">
      <c r="U549" s="12"/>
      <c r="V549" s="59"/>
      <c r="W549"/>
      <c r="X549"/>
      <c r="Y549"/>
      <c r="Z549"/>
    </row>
    <row r="550" spans="21:26">
      <c r="U550" s="12"/>
      <c r="V550" s="59"/>
      <c r="W550"/>
      <c r="X550"/>
      <c r="Y550"/>
      <c r="Z550"/>
    </row>
    <row r="551" spans="21:26">
      <c r="U551" s="12"/>
      <c r="V551" s="59"/>
      <c r="W551"/>
      <c r="X551"/>
      <c r="Y551"/>
      <c r="Z551"/>
    </row>
    <row r="552" spans="21:26">
      <c r="U552" s="12"/>
      <c r="V552" s="59"/>
      <c r="W552"/>
      <c r="X552"/>
      <c r="Y552"/>
      <c r="Z552"/>
    </row>
    <row r="553" spans="21:26">
      <c r="U553" s="12"/>
      <c r="V553" s="59"/>
      <c r="W553"/>
      <c r="X553"/>
      <c r="Y553"/>
      <c r="Z553"/>
    </row>
    <row r="554" spans="21:26">
      <c r="U554" s="12"/>
      <c r="V554" s="59"/>
      <c r="W554"/>
      <c r="X554"/>
      <c r="Y554"/>
      <c r="Z554"/>
    </row>
    <row r="555" spans="21:26">
      <c r="U555" s="12"/>
      <c r="V555" s="59"/>
      <c r="W555"/>
      <c r="X555"/>
      <c r="Y555"/>
      <c r="Z555"/>
    </row>
    <row r="556" spans="21:26">
      <c r="U556" s="12"/>
      <c r="V556" s="59"/>
      <c r="W556"/>
      <c r="X556"/>
      <c r="Y556"/>
      <c r="Z556"/>
    </row>
    <row r="557" spans="21:26">
      <c r="U557" s="12"/>
      <c r="V557" s="59"/>
      <c r="W557"/>
      <c r="X557"/>
      <c r="Y557"/>
      <c r="Z557"/>
    </row>
    <row r="558" spans="21:26">
      <c r="U558" s="12"/>
      <c r="V558" s="59"/>
      <c r="W558"/>
      <c r="X558"/>
      <c r="Y558"/>
      <c r="Z558"/>
    </row>
  </sheetData>
  <protectedRanges>
    <protectedRange sqref="M67:O70 M45:O57 M59:O60 M62:O65" name="범위10_1_1"/>
    <protectedRange sqref="L8" name="범위11_1"/>
    <protectedRange sqref="L8" name="범위4_1"/>
    <protectedRange sqref="D9" name="범위13_1_1"/>
    <protectedRange sqref="G8:H8" name="범위15_1_1"/>
    <protectedRange sqref="E29:E30 G67:G70 D67:E69 D45:E60 G45:G60 D62:E64 G62:G65" name="범위8_1_1_2_1_1_1"/>
    <protectedRange sqref="H60 I68:J70 I64:K65 H67:H70 I67:K67 H45:K59 J67:K70 H62:H65" name="범위9_1_1_1_1_2"/>
    <protectedRange sqref="G7:H7" name="범위15_1_1_1"/>
    <protectedRange sqref="L9" name="범위16_1_1_1_1_1_1_1_1_1_1_1_1_1"/>
    <protectedRange sqref="D27" name="범위23_1_1_1_2_1_1"/>
    <protectedRange sqref="D27" name="범위1_3_1_1_1_1_2_1_1"/>
    <protectedRange sqref="C12:C26" name="범위1_3_1_2_1"/>
    <protectedRange sqref="C12:C26" name="범위1_3_1_2_2"/>
    <protectedRange sqref="D12:D26" name="범위23_1_1_1_2_1_1_1_2_1_1_1"/>
    <protectedRange sqref="D12:D26" name="범위1_3_1_1_1_1_2_1_1_1_2_1_1_1"/>
    <protectedRange sqref="G66 D66:E66" name="범위8_1_1_2_1_1_1_1"/>
    <protectedRange sqref="H66:K66" name="범위9_1_1_1_1_2_1"/>
    <protectedRange sqref="D65:E65" name="범위8_1_1_2_1_1_1_2"/>
    <protectedRange sqref="G61" name="범위8_1_1_2_1_1_1_3"/>
    <protectedRange sqref="H61:K61" name="범위9_1_1_1_1_2_2"/>
    <protectedRange sqref="D61:E61" name="범위8_1_1_2_1_1_1_2_1"/>
    <protectedRange sqref="D502" name="범위5_1_3_2_1"/>
    <protectedRange sqref="D495:D501" name="범위5_1_2_1_2_1_2_1"/>
    <protectedRange sqref="D88:D494" name="범위5_1_2_1_2_1_2_1_1_4"/>
    <protectedRange sqref="D503:D504 D528:D536" name="범위5_1_3_2_1_1_2"/>
    <protectedRange sqref="I501" name="범위6_1_1_1_2_1_2_8_3"/>
    <protectedRange sqref="G501:H501" name="범위6_1_1_1_2_1_9_1_2"/>
    <protectedRange sqref="M495:M497" name="범위26_2_1_2_1_1_7_3_2_1"/>
    <protectedRange sqref="G495:H497" name="범위6_1_1_1_2_1_2_8_1_3"/>
    <protectedRange sqref="M501" name="범위26_2_1_2_1_19_1_1_1_2"/>
    <protectedRange sqref="G499:H499" name="범위6_1_1_1_2_1_2_1_2_2"/>
    <protectedRange sqref="M498:M499" name="범위26_2_1_2_1_1_7_2_1_3"/>
    <protectedRange sqref="M500" name="범위26_2_1_2_1_1_8_2"/>
    <protectedRange sqref="G500:H500" name="범위6_1_1_1_2_1_2_8_1_1_2_1"/>
    <protectedRange sqref="F500" name="범위1_3_1_1_1_2"/>
    <protectedRange sqref="M116 M114" name="범위26_2_1_2_1_8_1_2_1_1"/>
    <protectedRange sqref="G118:H118 G116:H116 G114:H114" name="범위6_1_1_1_2_1_9_2_1_1_1"/>
    <protectedRange sqref="F116" name="범위1_1_2_1_1_1"/>
    <protectedRange sqref="M117 M115 M90:M112 M120:M131" name="범위26_2_1_2_1_1_7_1_1_1_1"/>
    <protectedRange sqref="G117:H117 G128:H131 G105:H105 G90:H90 G115:H115 G91:I104 G107:H110 G120:H125 I105:I500 I502:I504 I528:I536 I88:I90" name="범위6_1_1_1_2_1_2_8_2_1_3"/>
    <protectedRange sqref="F128 F131" name="범위1_3_1_1_2_1_1"/>
    <protectedRange sqref="G111:H112" name="범위6_1_1_1_2_1_1_1_1_2_1_1_1"/>
    <protectedRange sqref="M119" name="범위26_2_1_2_1_1_1_1_1_1_1_1"/>
    <protectedRange sqref="G119:H119" name="범위6_1_1_1_2_1_2_1_1_1_1_1_1"/>
    <protectedRange sqref="M118" name="범위26_2_1_2_1_19_1_1_2_1_1_1"/>
    <protectedRange sqref="M113" name="범위26_2_1_2_1_1_4_1_2_1_1_1"/>
    <protectedRange sqref="G113:H113" name="범위6_1_1_1_2_1_2_4_1_2_1_1_1"/>
    <protectedRange sqref="M89" name="범위26_2_1_2_1_1_3_1_1_1_1_1"/>
    <protectedRange sqref="G89:H89" name="범위6_1_1_1_2_1_2_2_1_1_1_1_1"/>
    <protectedRange sqref="F89" name="범위1_3_3_1_1_1_1_1"/>
    <protectedRange sqref="M436 M406:M408 M416:M418" name="범위26_2_1_2_1_8_2_1_1_1_1"/>
    <protectedRange sqref="G406:H408 G416:H418 G422:H436 G502:H502" name="범위6_1_1_1_2_1_9_1_1_1_1_1"/>
    <protectedRange sqref="F416:F418" name="범위1_1_1_1_1_1_1"/>
    <protectedRange sqref="F436" name="범위1_4_2_1_1_1_1_1"/>
    <protectedRange sqref="M419:M421 M437:M442 M446:M474 M409:M413 M476 M487:M491 M314:M404 M132:M312" name="범위26_2_1_2_1_1_7_3_1_1_1_4"/>
    <protectedRange sqref="G158:H160 G167:H167 G391:H393 G165:H165 G176:H177 G462:H462 G240:H241 G380:H382 G249:H249 G271:H271 G264:H264 G262:H262 G273:H273 G266:H266 G277:H277 G487:H491 G233:H234 G345:H345 G335:H343 G355:H355 G385:H389 G410:H413 G315:H316 G291:H312 G318:H320 G322:H332 G347:H352 G419:H421 G446:H454 G456:H460 G465:H473 G476:H476 G223:H230 G132:H144 G279:H286 G214:H219 G437:H442 G146:H153 G364:H375" name="범위6_1_1_1_2_1_2_8_1_2_1_1_4"/>
    <protectedRange sqref="G461:H461" name="범위6_1_1_1_1_1_1_1_1_1_1_1_1_1"/>
    <protectedRange sqref="F301:F302 F197:F199 F246:F248 F189:F191 F318 F364 F344:F345 F413 F312 F385 F291 F147:F148 F236:F239 F274:F278 F419 F267:F272 F151:F153 F250:F265" name="범위1_3_1_3_1_1_1_2"/>
    <protectedRange sqref="G394:H394 G396:H404" name="범위6_1_1_1_2_1_1_1_1_1_1_1_1_1"/>
    <protectedRange sqref="F373" name="범위1_2_1_1_1_1_1_1_1"/>
    <protectedRange sqref="F362" name="범위1_5_1_1_1_1_1_1_1"/>
    <protectedRange sqref="M422:M435 M502" name="범위26_2_1_2_1_19_1_1_1_1_1_1_1"/>
    <protectedRange sqref="M405" name="범위26_2_1_2_1_1_4_1_1_1_1_1_1"/>
    <protectedRange sqref="G405:H405" name="범위6_1_1_1_2_1_2_4_1_1_1_1_1_1"/>
    <protectedRange sqref="G409:H409" name="범위6_1_1_1_2_1_2_5_1_1_1_1_1_1"/>
    <protectedRange sqref="M475 M486" name="범위26_2_1_2_1_1_2_1_1_1_1_1_2"/>
    <protectedRange sqref="F475" name="범위1_3_2_1_1_1_1_1"/>
    <protectedRange sqref="M414:M415" name="범위26_2_1_2_1_3_1_1_1_1_1_1"/>
    <protectedRange sqref="G414:H415" name="범위6_1_1_1_2_1_3_1_1_1_1_1_1"/>
    <protectedRange sqref="F414:F415" name="범위1_2_2_1_1_1_1_1"/>
    <protectedRange sqref="M443:M445" name="범위26_2_1_2_1_1_5_1_1_1_1_1_1"/>
    <protectedRange sqref="G443:H445" name="범위6_1_1_1_2_1_2_3_1_1_1_1_1_1"/>
    <protectedRange sqref="M313" name="범위26_2_1_2_1_1_6_1_1_1_1_1_1"/>
    <protectedRange sqref="G313:H313" name="범위6_1_1_1_2_1_2_6_1_1_1_1_1_1"/>
    <protectedRange sqref="G486:H486" name="범위6_1_1_1_2_1_4_1_1_1_1_1_1"/>
    <protectedRange sqref="F486" name="범위1_5_2_1_1_1_1_1"/>
    <protectedRange sqref="G493:H493 G478:H478 G88:H88" name="범위6_1_1_1_2_1_2_1_2_1_1_1"/>
    <protectedRange sqref="M492:M493 M477:M478 M88" name="범위26_2_1_2_1_1_7_2_1_2_1_1"/>
    <protectedRange sqref="M494 M479" name="범위26_2_1_2_1_1_8_1_1_1_2"/>
    <protectedRange sqref="G494:H494 G479:H479" name="범위6_1_1_1_2_1_2_8_1_1_1_1_1_2"/>
    <protectedRange sqref="F494 F479" name="범위1_3_1_1_1_1_1_1_2"/>
    <protectedRange sqref="M480" name="범위26_2_1_2_1_8_1_1_2_1_1_1"/>
    <protectedRange sqref="M481" name="범위26_2_1_2_1_1_7_2_1_1_1_1_1_1"/>
    <protectedRange sqref="F482:F485" name="범위1_2_1_1_1_1_1"/>
    <protectedRange sqref="M485 M482" name="범위26_2_1_2_1_8_1_1_1_1_1_1_1"/>
    <protectedRange sqref="M483:M484" name="범위26_2_1_2_1_1_7_2_2_1_1_1_1"/>
    <protectedRange sqref="F503:F504 F528:F536" name="범위1_2_1_2_1_1_2"/>
    <protectedRange sqref="M503:M504 M528:M536" name="범위26_2_1_2_1_1_7_2_2_2_1_1_2"/>
    <protectedRange sqref="D505:D523 D526:D527" name="범위5_1_3_2_1_1_1_4"/>
    <protectedRange sqref="I505:I523 I526:I527" name="범위6_1_1_1_2_1_2_8_2_1_1_5"/>
    <protectedRange sqref="F505:F523 F526:F527" name="범위1_2_1_2_1_1_1_4"/>
    <protectedRange sqref="M505:M523" name="범위26_2_1_2_1_1_7_2_2_2_1_1_1_2"/>
    <protectedRange sqref="D524" name="범위5_1_2_1_2_1"/>
    <protectedRange sqref="M524" name="범위26_2_1_2_1_1"/>
    <protectedRange sqref="G524:I524" name="범위6_1_1_1_2_1_1_1"/>
    <protectedRange sqref="M526:M527" name="범위26_2_1_2_1_1_7_2_2_2_1_1_1_1_3"/>
    <protectedRange sqref="D80" name="범위5_1_2_1_2_1_2_1_1_2_2"/>
    <protectedRange sqref="I80" name="범위6_1_1_1_2_1_2_8_2_1_2_2"/>
    <protectedRange sqref="M80" name="범위26_2_1_2_1_1_7_3_1_1_1_2_2"/>
    <protectedRange sqref="D81:D82" name="범위5_1_2_1_2_1_2_1_1_1_1_1"/>
    <protectedRange sqref="I81:I82" name="범위6_1_1_1_2_1_2_8_2_1_1_2_1"/>
    <protectedRange sqref="M81:M82" name="범위26_2_1_2_1_1_7_3_1_1_1_1_1_1"/>
    <protectedRange sqref="F81:F82" name="범위1_3_1_3_1_1_1_1_1"/>
    <protectedRange sqref="D83:D87" name="범위5_1_2_1_2_1_2_1_1_2_1_1"/>
    <protectedRange sqref="I83:I87" name="범위6_1_1_1_2_1_2_8_2_1_2_1_1"/>
    <protectedRange sqref="M83:M87" name="범위26_2_1_2_1_1_7_3_1_1_1_2_1_1"/>
    <protectedRange sqref="G83:H87" name="범위6_1_1_1_2_1_2_8_1_2_1_1_2_1"/>
    <protectedRange sqref="D525" name="범위5_1_3_2_1_1_1_1_2_1"/>
    <protectedRange sqref="I525" name="범위6_1_1_1_2_1_2_8_2_1_1_1_2_1"/>
    <protectedRange sqref="F525" name="범위1_2_1_2_1_1_1_1_2_1"/>
    <protectedRange sqref="M525" name="범위26_2_1_2_1_1_7_2_2_2_1_1_1_1_2_1"/>
    <protectedRange sqref="D74:D79" name="범위5_1_2_1_2_1_2_1_1"/>
    <protectedRange sqref="I74:I79" name="범위6_1_1_1_2_1_2_8_2_1"/>
    <protectedRange sqref="M74:M75 M77" name="범위26_2_1_2_1_1_7_3_1_1_1"/>
    <protectedRange sqref="G74:H74 G77:H77" name="범위6_1_1_1_2_1_2_8_1_2_1_1"/>
    <protectedRange sqref="M76" name="범위26_2_1_2_1_1_2_1_1_1_1_1"/>
    <protectedRange sqref="F76" name="범위1_3_2_1_1_1_1_1_1"/>
    <protectedRange sqref="G79:H79" name="범위6_1_1_1_2_1_2_1_2_1_1_1_1"/>
    <protectedRange sqref="M78:M79" name="범위26_2_1_2_1_1_7_2_1_2_1_1_1"/>
  </protectedRanges>
  <autoFilter ref="A73:Z73" xr:uid="{00000000-0009-0000-0000-000004000000}"/>
  <mergeCells count="23">
    <mergeCell ref="B9:C9"/>
    <mergeCell ref="D9:I9"/>
    <mergeCell ref="M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  <mergeCell ref="B41:E42"/>
    <mergeCell ref="D72:E72"/>
    <mergeCell ref="L10:P10"/>
    <mergeCell ref="G11:I11"/>
    <mergeCell ref="R11:S11"/>
    <mergeCell ref="I28:I29"/>
    <mergeCell ref="M28:M29"/>
    <mergeCell ref="O28:P28"/>
    <mergeCell ref="O29:P29"/>
  </mergeCells>
  <phoneticPr fontId="16" type="noConversion"/>
  <dataValidations count="6">
    <dataValidation type="list" allowBlank="1" showInputMessage="1" showErrorMessage="1" sqref="L9" xr:uid="{00000000-0002-0000-0400-000000000000}">
      <formula1>$G$45:$G$70</formula1>
    </dataValidation>
    <dataValidation type="list" allowBlank="1" showInputMessage="1" showErrorMessage="1" sqref="L8:M8" xr:uid="{00000000-0002-0000-0400-000001000000}">
      <formula1>$M$49:$M$70</formula1>
    </dataValidation>
    <dataValidation type="list" allowBlank="1" showInputMessage="1" showErrorMessage="1" sqref="D27" xr:uid="{00000000-0002-0000-0400-000002000000}">
      <formula1>$D$49:$D$70</formula1>
    </dataValidation>
    <dataValidation type="list" allowBlank="1" showInputMessage="1" showErrorMessage="1" sqref="D524" xr:uid="{00000000-0002-0000-0400-000003000000}">
      <formula1>$D$47:$D$72</formula1>
    </dataValidation>
    <dataValidation type="list" allowBlank="1" showInputMessage="1" showErrorMessage="1" sqref="D12:D26" xr:uid="{00000000-0002-0000-0400-000004000000}">
      <formula1>$D$45:$D$70</formula1>
    </dataValidation>
    <dataValidation type="list" allowBlank="1" showInputMessage="1" showErrorMessage="1" sqref="F235 F184:F188 F178:F179 F220:F222" xr:uid="{00000000-0002-0000-0400-000005000000}">
      <formula1>$A$3:$A$348</formula1>
    </dataValidation>
  </dataValidations>
  <printOptions horizontalCentered="1"/>
  <pageMargins left="7.874015748031496E-2" right="7.874015748031496E-2" top="0.3" bottom="0.28999999999999998" header="0.27559055118110237" footer="0.23622047244094491"/>
  <pageSetup paperSize="9" scale="73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indexed="12"/>
    <pageSetUpPr fitToPage="1"/>
  </sheetPr>
  <dimension ref="A1:Z560"/>
  <sheetViews>
    <sheetView zoomScale="80" zoomScaleNormal="80" workbookViewId="0">
      <selection activeCell="F12" sqref="F12:L23"/>
    </sheetView>
  </sheetViews>
  <sheetFormatPr defaultRowHeight="13.5"/>
  <cols>
    <col min="1" max="1" width="1.21875" customWidth="1"/>
    <col min="2" max="2" width="4.6640625" style="1" customWidth="1"/>
    <col min="3" max="3" width="11.21875" style="1" customWidth="1"/>
    <col min="4" max="4" width="17.88671875" customWidth="1"/>
    <col min="5" max="6" width="10.109375" style="1" customWidth="1"/>
    <col min="7" max="7" width="13.88671875" customWidth="1"/>
    <col min="8" max="8" width="14.21875" customWidth="1"/>
    <col min="9" max="9" width="9.5546875" style="12" customWidth="1"/>
    <col min="10" max="10" width="8.6640625" style="15" customWidth="1"/>
    <col min="11" max="11" width="8.6640625" style="1" customWidth="1"/>
    <col min="12" max="12" width="8.5546875" customWidth="1"/>
    <col min="13" max="13" width="8.6640625" customWidth="1"/>
    <col min="14" max="14" width="12.109375" customWidth="1"/>
    <col min="15" max="15" width="13.33203125" customWidth="1"/>
    <col min="16" max="16" width="13.109375" customWidth="1"/>
    <col min="17" max="17" width="5.33203125" customWidth="1"/>
    <col min="18" max="18" width="7.44140625" bestFit="1" customWidth="1"/>
    <col min="19" max="19" width="4.88671875" bestFit="1" customWidth="1"/>
    <col min="20" max="20" width="1.44140625" customWidth="1"/>
    <col min="21" max="21" width="11.44140625" style="42" customWidth="1"/>
    <col min="22" max="22" width="7.88671875" style="105" bestFit="1" customWidth="1"/>
    <col min="23" max="23" width="6.109375" style="21" customWidth="1"/>
    <col min="24" max="24" width="11.6640625" style="21" customWidth="1"/>
    <col min="25" max="26" width="8.44140625" style="43" customWidth="1"/>
  </cols>
  <sheetData>
    <row r="1" spans="1:26" ht="14.25" customHeight="1" thickBot="1">
      <c r="A1" s="5"/>
      <c r="B1" s="6"/>
      <c r="C1" s="6"/>
      <c r="D1" s="5"/>
      <c r="E1" s="6"/>
      <c r="F1" s="97"/>
      <c r="G1" s="7"/>
      <c r="H1" s="7"/>
      <c r="I1" s="9"/>
      <c r="J1" s="17"/>
      <c r="K1" s="7"/>
      <c r="L1" s="7"/>
      <c r="M1" s="5"/>
      <c r="N1" s="5"/>
      <c r="O1" s="5"/>
      <c r="P1" s="5"/>
    </row>
    <row r="2" spans="1:26" s="43" customFormat="1" ht="18" customHeight="1">
      <c r="A2" s="4"/>
      <c r="B2" s="572" t="s">
        <v>1</v>
      </c>
      <c r="C2" s="573"/>
      <c r="D2" s="573"/>
      <c r="E2" s="574"/>
      <c r="F2" s="578"/>
      <c r="G2" s="579"/>
      <c r="H2" s="579"/>
      <c r="I2" s="579"/>
      <c r="J2" s="579"/>
      <c r="K2" s="579"/>
      <c r="L2" s="579"/>
      <c r="M2" s="102" t="s">
        <v>2</v>
      </c>
      <c r="N2" s="102"/>
      <c r="O2" s="101"/>
      <c r="P2" s="101"/>
      <c r="U2" s="42"/>
      <c r="V2" s="105"/>
      <c r="W2" s="21"/>
      <c r="X2" s="21"/>
    </row>
    <row r="3" spans="1:26" s="43" customFormat="1" ht="16.5" customHeight="1" thickBot="1">
      <c r="A3" s="4"/>
      <c r="B3" s="575"/>
      <c r="C3" s="576"/>
      <c r="D3" s="576"/>
      <c r="E3" s="577"/>
      <c r="F3" s="579"/>
      <c r="G3" s="579"/>
      <c r="H3" s="579"/>
      <c r="I3" s="579"/>
      <c r="J3" s="579"/>
      <c r="K3" s="579"/>
      <c r="L3" s="579"/>
      <c r="M3" s="103" t="s">
        <v>416</v>
      </c>
      <c r="N3" s="100"/>
      <c r="O3" s="4"/>
      <c r="P3" s="4"/>
      <c r="U3" s="42"/>
      <c r="V3" s="105"/>
      <c r="W3" s="21"/>
      <c r="X3" s="21"/>
    </row>
    <row r="4" spans="1:26" s="43" customFormat="1" ht="16.5" customHeight="1">
      <c r="A4" s="4"/>
      <c r="B4" s="112"/>
      <c r="C4" s="112"/>
      <c r="D4" s="4"/>
      <c r="E4" s="112"/>
      <c r="F4" s="579"/>
      <c r="G4" s="579"/>
      <c r="H4" s="579"/>
      <c r="I4" s="579"/>
      <c r="J4" s="579"/>
      <c r="K4" s="579"/>
      <c r="L4" s="579"/>
      <c r="M4" s="103" t="s">
        <v>3</v>
      </c>
      <c r="N4" s="100"/>
      <c r="O4" s="4"/>
      <c r="P4" s="4"/>
      <c r="U4" s="42"/>
      <c r="V4" s="105"/>
      <c r="W4" s="21"/>
      <c r="X4" s="21"/>
    </row>
    <row r="5" spans="1:26" s="43" customFormat="1" ht="16.5" customHeight="1">
      <c r="A5" s="4"/>
      <c r="B5" s="112"/>
      <c r="C5" s="112"/>
      <c r="D5" s="4"/>
      <c r="E5" s="112"/>
      <c r="F5" s="350"/>
      <c r="G5" s="113"/>
      <c r="H5" s="113"/>
      <c r="I5" s="114"/>
      <c r="J5" s="115"/>
      <c r="K5" s="113"/>
      <c r="L5" s="113"/>
      <c r="M5" s="103" t="s">
        <v>4</v>
      </c>
      <c r="N5" s="100"/>
      <c r="O5" s="4"/>
      <c r="P5" s="4"/>
      <c r="U5" s="42"/>
      <c r="V5" s="105"/>
      <c r="W5" s="21"/>
      <c r="X5" s="21"/>
    </row>
    <row r="6" spans="1:26" s="43" customFormat="1" ht="9" customHeight="1" thickBot="1">
      <c r="A6" s="4"/>
      <c r="B6" s="112"/>
      <c r="C6" s="112"/>
      <c r="D6" s="4"/>
      <c r="E6" s="112"/>
      <c r="F6" s="116"/>
      <c r="G6" s="4"/>
      <c r="H6" s="4"/>
      <c r="I6" s="117"/>
      <c r="J6" s="118"/>
      <c r="K6" s="112"/>
      <c r="L6" s="4"/>
      <c r="M6" s="4"/>
      <c r="N6" s="4"/>
      <c r="O6" s="4"/>
      <c r="P6" s="4"/>
      <c r="U6" s="42"/>
      <c r="V6" s="105"/>
      <c r="W6" s="21"/>
      <c r="X6" s="21"/>
    </row>
    <row r="7" spans="1:26" s="28" customFormat="1" ht="25.5" customHeight="1" thickTop="1">
      <c r="A7" s="100"/>
      <c r="B7" s="580" t="s">
        <v>5</v>
      </c>
      <c r="C7" s="581"/>
      <c r="D7" s="582" t="s">
        <v>6</v>
      </c>
      <c r="E7" s="583"/>
      <c r="F7" s="119" t="s">
        <v>7</v>
      </c>
      <c r="G7" s="584" t="s">
        <v>75</v>
      </c>
      <c r="H7" s="585"/>
      <c r="I7" s="586"/>
      <c r="J7" s="120"/>
      <c r="K7" s="121" t="s">
        <v>8</v>
      </c>
      <c r="L7" s="587">
        <f ca="1">TODAY()</f>
        <v>45981</v>
      </c>
      <c r="M7" s="588"/>
      <c r="N7" s="122" t="s">
        <v>9</v>
      </c>
      <c r="O7" s="123">
        <f ca="1">TODAY()+1</f>
        <v>45982</v>
      </c>
      <c r="P7" s="124"/>
      <c r="U7" s="29"/>
      <c r="V7" s="105"/>
      <c r="W7" s="20"/>
      <c r="X7" s="20"/>
    </row>
    <row r="8" spans="1:26" s="28" customFormat="1" ht="25.5" customHeight="1">
      <c r="A8" s="100"/>
      <c r="B8" s="589" t="s">
        <v>10</v>
      </c>
      <c r="C8" s="590"/>
      <c r="D8" s="591" t="s">
        <v>11</v>
      </c>
      <c r="E8" s="592"/>
      <c r="F8" s="125" t="s">
        <v>12</v>
      </c>
      <c r="G8" s="592" t="s">
        <v>13</v>
      </c>
      <c r="H8" s="592"/>
      <c r="I8" s="593"/>
      <c r="J8" s="120"/>
      <c r="K8" s="126" t="s">
        <v>14</v>
      </c>
      <c r="L8" s="594" t="s">
        <v>91</v>
      </c>
      <c r="M8" s="595"/>
      <c r="N8" s="358" t="s">
        <v>15</v>
      </c>
      <c r="O8" s="596" t="s">
        <v>92</v>
      </c>
      <c r="P8" s="597"/>
      <c r="U8" s="29"/>
      <c r="V8" s="105"/>
      <c r="W8" s="20"/>
      <c r="X8" s="20"/>
    </row>
    <row r="9" spans="1:26" s="28" customFormat="1" ht="25.5" customHeight="1" thickBot="1">
      <c r="A9" s="100"/>
      <c r="B9" s="564" t="s">
        <v>16</v>
      </c>
      <c r="C9" s="565"/>
      <c r="D9" s="566"/>
      <c r="E9" s="567"/>
      <c r="F9" s="567"/>
      <c r="G9" s="567"/>
      <c r="H9" s="567"/>
      <c r="I9" s="568"/>
      <c r="J9" s="120"/>
      <c r="K9" s="128" t="s">
        <v>17</v>
      </c>
      <c r="L9" s="129" t="s">
        <v>844</v>
      </c>
      <c r="M9" s="569" t="str">
        <f>IF($L9&lt;&gt;0,VLOOKUP($L9,$G$45:$K$68,2,FALSE),"")</f>
        <v>경기도 화성시 향남읍 구문천1길 43-9</v>
      </c>
      <c r="N9" s="570"/>
      <c r="O9" s="570"/>
      <c r="P9" s="571"/>
      <c r="U9" s="44"/>
      <c r="V9" s="105"/>
      <c r="W9" s="20"/>
      <c r="X9" s="20"/>
    </row>
    <row r="10" spans="1:26" ht="18" customHeight="1" thickBot="1">
      <c r="A10" s="5"/>
      <c r="B10" s="6"/>
      <c r="C10" s="6"/>
      <c r="D10" s="5"/>
      <c r="E10" s="6"/>
      <c r="F10" s="6"/>
      <c r="G10" s="5"/>
      <c r="H10" s="5"/>
      <c r="I10" s="11"/>
      <c r="J10" s="14"/>
      <c r="K10" s="6"/>
      <c r="L10" s="606"/>
      <c r="M10" s="606"/>
      <c r="N10" s="606"/>
      <c r="O10" s="606"/>
      <c r="P10" s="606"/>
    </row>
    <row r="11" spans="1:26" s="28" customFormat="1" ht="27" customHeight="1" thickTop="1">
      <c r="A11" s="100"/>
      <c r="B11" s="371" t="s">
        <v>415</v>
      </c>
      <c r="C11" s="368" t="s">
        <v>88</v>
      </c>
      <c r="D11" s="368" t="s">
        <v>408</v>
      </c>
      <c r="E11" s="368" t="s">
        <v>409</v>
      </c>
      <c r="F11" s="369" t="s">
        <v>109</v>
      </c>
      <c r="G11" s="607" t="s">
        <v>108</v>
      </c>
      <c r="H11" s="608"/>
      <c r="I11" s="609"/>
      <c r="J11" s="377" t="s">
        <v>410</v>
      </c>
      <c r="K11" s="368" t="s">
        <v>405</v>
      </c>
      <c r="L11" s="368" t="s">
        <v>406</v>
      </c>
      <c r="M11" s="368" t="s">
        <v>411</v>
      </c>
      <c r="N11" s="368" t="s">
        <v>407</v>
      </c>
      <c r="O11" s="368" t="s">
        <v>412</v>
      </c>
      <c r="P11" s="370" t="s">
        <v>93</v>
      </c>
      <c r="R11" s="610" t="s">
        <v>398</v>
      </c>
      <c r="S11" s="611"/>
      <c r="U11" s="327" t="s">
        <v>399</v>
      </c>
      <c r="V11" s="98" t="s">
        <v>402</v>
      </c>
      <c r="W11" s="98" t="s">
        <v>403</v>
      </c>
      <c r="X11" s="98" t="s">
        <v>404</v>
      </c>
      <c r="Y11" s="98" t="s">
        <v>400</v>
      </c>
      <c r="Z11" s="99" t="s">
        <v>401</v>
      </c>
    </row>
    <row r="12" spans="1:26" s="28" customFormat="1" ht="24.95" customHeight="1">
      <c r="B12" s="221">
        <v>1</v>
      </c>
      <c r="C12" s="364" t="s">
        <v>1068</v>
      </c>
      <c r="D12" s="82" t="s">
        <v>955</v>
      </c>
      <c r="E12" s="85">
        <f>IF($D12&lt;&gt;0,VLOOKUP($D12,$D$45:$E$73,2,FALSE),"")</f>
        <v>194667</v>
      </c>
      <c r="F12" s="546">
        <v>141742</v>
      </c>
      <c r="G12" s="224" t="str">
        <f>IF($F12&lt;&gt;0,VLOOKUP($F12,$E$81:$M$537,2,FALSE),"")</f>
        <v>MOBIL DTE 24 ULTRA DRUM 200L:KR</v>
      </c>
      <c r="H12" s="341"/>
      <c r="I12" s="342"/>
      <c r="J12" s="84" t="str">
        <f>IF($F12&lt;&gt;0,VLOOKUP($F12,$E$81:$M$537,7,FALSE),"")</f>
        <v>DRUM</v>
      </c>
      <c r="K12" s="85" t="str">
        <f>IF($F12&lt;&gt;0,VLOOKUP($F12,$E$81:$M$537,8,FALSE),"")</f>
        <v>IND</v>
      </c>
      <c r="L12" s="547">
        <v>20</v>
      </c>
      <c r="M12" s="87">
        <f>IF($L12&lt;&gt;0,VLOOKUP($F12,$E$81:$M$537,9,FALSE)*$L12,"")</f>
        <v>4000</v>
      </c>
      <c r="N12" s="88">
        <f t="shared" ref="N12:N19" si="0">IF($F12&lt;&gt;0,VLOOKUP($F12,$E$53:$L$545,5,FALSE),"")</f>
        <v>492000</v>
      </c>
      <c r="O12" s="89">
        <f t="shared" ref="O12:O16" si="1">IF(L12&lt;&gt;0,$L12*$N12,"")</f>
        <v>9840000</v>
      </c>
      <c r="P12" s="450">
        <v>15</v>
      </c>
      <c r="R12" s="75" t="str">
        <f>VLOOKUP(F12,'파레트 제품 리스트'!$B:$F,4,0)</f>
        <v>DRUM</v>
      </c>
      <c r="S12" s="76">
        <f>VLOOKUP(F12,'파레트 제품 리스트'!$B:$F,5,0)</f>
        <v>1</v>
      </c>
      <c r="U12" s="328">
        <f t="shared" ref="U12:U16" si="2">O12*1.1</f>
        <v>10824000</v>
      </c>
      <c r="V12" s="367"/>
      <c r="W12" s="78"/>
      <c r="X12" s="78"/>
      <c r="Y12" s="79"/>
      <c r="Z12" s="80"/>
    </row>
    <row r="13" spans="1:26" s="28" customFormat="1" ht="24.95" customHeight="1">
      <c r="B13" s="221">
        <v>2</v>
      </c>
      <c r="C13" s="364" t="s">
        <v>1069</v>
      </c>
      <c r="D13" s="82" t="s">
        <v>955</v>
      </c>
      <c r="E13" s="85">
        <f>IF($D13&lt;&gt;0,VLOOKUP($D13,$D$45:$E$73,2,FALSE),"")</f>
        <v>194667</v>
      </c>
      <c r="F13" s="546">
        <v>139125</v>
      </c>
      <c r="G13" s="224" t="str">
        <f>IF($F13&lt;&gt;0,VLOOKUP($F13,$E$81:$M$537,2,FALSE),"")</f>
        <v>MOBILGEAR 600 XP 68 DRUM 200L:KR</v>
      </c>
      <c r="H13" s="341"/>
      <c r="I13" s="342"/>
      <c r="J13" s="84" t="str">
        <f>IF($F13&lt;&gt;0,VLOOKUP($F13,$E$81:$M$537,7,FALSE),"")</f>
        <v>DRUM</v>
      </c>
      <c r="K13" s="85" t="str">
        <f>IF($F13&lt;&gt;0,VLOOKUP($F13,$E$81:$M$537,8,FALSE),"")</f>
        <v>IND</v>
      </c>
      <c r="L13" s="547">
        <v>5</v>
      </c>
      <c r="M13" s="87">
        <f>IF($L13&lt;&gt;0,VLOOKUP($F13,$E$81:$M$537,9,FALSE)*$L13,"")</f>
        <v>1000</v>
      </c>
      <c r="N13" s="88">
        <f t="shared" si="0"/>
        <v>618000</v>
      </c>
      <c r="O13" s="89">
        <f>IF(L13&lt;&gt;0,$L13*$N13,"")</f>
        <v>3090000</v>
      </c>
      <c r="P13" s="450">
        <v>21</v>
      </c>
      <c r="R13" s="75" t="str">
        <f>VLOOKUP(F13,'파레트 제품 리스트'!$B:$F,4,0)</f>
        <v>DRUM</v>
      </c>
      <c r="S13" s="76">
        <f>VLOOKUP(F13,'파레트 제품 리스트'!$B:$F,5,0)</f>
        <v>1</v>
      </c>
      <c r="U13" s="328">
        <f>O13*1.1</f>
        <v>3399000.0000000005</v>
      </c>
      <c r="V13" s="367"/>
      <c r="W13" s="78"/>
      <c r="X13" s="78"/>
      <c r="Y13" s="79"/>
      <c r="Z13" s="80"/>
    </row>
    <row r="14" spans="1:26" s="28" customFormat="1" ht="24.95" customHeight="1">
      <c r="B14" s="221">
        <v>3</v>
      </c>
      <c r="C14" s="364"/>
      <c r="D14" s="82" t="s">
        <v>955</v>
      </c>
      <c r="E14" s="85">
        <f>IF($D14&lt;&gt;0,VLOOKUP($D14,$D$45:$E$73,2,FALSE),"")</f>
        <v>194667</v>
      </c>
      <c r="F14" s="446">
        <v>139137</v>
      </c>
      <c r="G14" s="224" t="str">
        <f>IF($F14&lt;&gt;0,VLOOKUP($F14,$E$81:$M$537,2,FALSE),"")</f>
        <v>MOBILGEAR 600 XP 320 PAIL 20L:KR</v>
      </c>
      <c r="H14" s="341"/>
      <c r="I14" s="342"/>
      <c r="J14" s="84" t="str">
        <f>IF($F14&lt;&gt;0,VLOOKUP($F14,$E$81:$M$537,7,FALSE),"")</f>
        <v>PAIL</v>
      </c>
      <c r="K14" s="85" t="str">
        <f>IF($F14&lt;&gt;0,VLOOKUP($F14,$E$81:$M$537,8,FALSE),"")</f>
        <v>IND</v>
      </c>
      <c r="L14" s="326">
        <v>14</v>
      </c>
      <c r="M14" s="87">
        <f>IF($L14&lt;&gt;0,VLOOKUP($F14,$E$81:$M$537,9,FALSE)*$L14,"")</f>
        <v>280</v>
      </c>
      <c r="N14" s="88">
        <f t="shared" si="0"/>
        <v>80900</v>
      </c>
      <c r="O14" s="89">
        <f t="shared" si="1"/>
        <v>1132600</v>
      </c>
      <c r="P14" s="450">
        <v>41</v>
      </c>
      <c r="R14" s="75" t="str">
        <f>VLOOKUP(F14,'파레트 제품 리스트'!$B:$F,4,0)</f>
        <v>MIX (28)</v>
      </c>
      <c r="S14" s="76">
        <f>VLOOKUP(F14,'파레트 제품 리스트'!$B:$F,5,0)</f>
        <v>1</v>
      </c>
      <c r="U14" s="328">
        <f t="shared" si="2"/>
        <v>1245860</v>
      </c>
      <c r="V14" s="367"/>
      <c r="W14" s="78"/>
      <c r="X14" s="78"/>
      <c r="Y14" s="79"/>
      <c r="Z14" s="80"/>
    </row>
    <row r="15" spans="1:26" s="28" customFormat="1" ht="24.95" customHeight="1">
      <c r="B15" s="221">
        <v>4</v>
      </c>
      <c r="C15" s="364"/>
      <c r="D15" s="82" t="s">
        <v>955</v>
      </c>
      <c r="E15" s="85">
        <f>IF($D15&lt;&gt;0,VLOOKUP($D15,$D$45:$E$73,2,FALSE),"")</f>
        <v>194667</v>
      </c>
      <c r="F15" s="446">
        <v>139143</v>
      </c>
      <c r="G15" s="224" t="str">
        <f>IF($F15&lt;&gt;0,VLOOKUP($F15,$E$81:$M$537,2,FALSE),"")</f>
        <v>NUTO H 32 PAIL 20L:KR</v>
      </c>
      <c r="H15" s="341"/>
      <c r="I15" s="342"/>
      <c r="J15" s="84" t="str">
        <f>IF($F15&lt;&gt;0,VLOOKUP($F15,$E$81:$M$537,7,FALSE),"")</f>
        <v>PAIL</v>
      </c>
      <c r="K15" s="85" t="str">
        <f>IF($F15&lt;&gt;0,VLOOKUP($F15,$E$81:$M$537,8,FALSE),"")</f>
        <v>IND</v>
      </c>
      <c r="L15" s="326">
        <v>14</v>
      </c>
      <c r="M15" s="87">
        <f>IF($L15&lt;&gt;0,VLOOKUP($F15,$E$81:$M$537,9,FALSE)*$L15,"")</f>
        <v>280</v>
      </c>
      <c r="N15" s="88">
        <f t="shared" si="0"/>
        <v>44000</v>
      </c>
      <c r="O15" s="89">
        <f t="shared" si="1"/>
        <v>616000</v>
      </c>
      <c r="P15" s="450">
        <v>56</v>
      </c>
      <c r="R15" s="75" t="str">
        <f>VLOOKUP(F15,'파레트 제품 리스트'!$B:$F,4,0)</f>
        <v>MIX (28)</v>
      </c>
      <c r="S15" s="76">
        <f>VLOOKUP(F15,'파레트 제품 리스트'!$B:$F,5,0)</f>
        <v>1</v>
      </c>
      <c r="U15" s="328">
        <f t="shared" si="2"/>
        <v>677600</v>
      </c>
      <c r="V15" s="367"/>
      <c r="W15" s="78"/>
      <c r="X15" s="78"/>
      <c r="Y15" s="79"/>
      <c r="Z15" s="80"/>
    </row>
    <row r="16" spans="1:26" s="28" customFormat="1" ht="24.95" customHeight="1">
      <c r="B16" s="221">
        <v>5</v>
      </c>
      <c r="C16" s="364"/>
      <c r="D16" s="82" t="s">
        <v>955</v>
      </c>
      <c r="E16" s="85">
        <f>IF($D16&lt;&gt;0,VLOOKUP($D16,$D$45:$E$73,2,FALSE),"")</f>
        <v>194667</v>
      </c>
      <c r="F16" s="336">
        <v>136174</v>
      </c>
      <c r="G16" s="340" t="str">
        <f>IF($F16&lt;&gt;0,VLOOKUP($F16,$E$81:$M$537,2,FALSE),"")</f>
        <v>PEGASUS 805, 200LT, DR</v>
      </c>
      <c r="H16" s="341"/>
      <c r="I16" s="342"/>
      <c r="J16" s="84" t="str">
        <f t="shared" ref="J16:J22" si="3">IF($F16&lt;&gt;0,VLOOKUP($F16,$E$81:$M$537,7,FALSE),"")</f>
        <v>DRUM</v>
      </c>
      <c r="K16" s="85" t="str">
        <f>IF($F16&lt;&gt;0,VLOOKUP($F16,$E$81:$M$537,8,FALSE),"")</f>
        <v>IND</v>
      </c>
      <c r="L16" s="326">
        <v>12</v>
      </c>
      <c r="M16" s="87">
        <f t="shared" ref="M16:M22" si="4">IF($L16&lt;&gt;0,VLOOKUP($F16,$E$81:$M$537,9,FALSE)*$L16,"")</f>
        <v>2400</v>
      </c>
      <c r="N16" s="88">
        <f t="shared" si="0"/>
        <v>630000</v>
      </c>
      <c r="O16" s="346">
        <f t="shared" si="1"/>
        <v>7560000</v>
      </c>
      <c r="P16" s="450">
        <v>0</v>
      </c>
      <c r="R16" s="75" t="str">
        <f>VLOOKUP(F16,'파레트 제품 리스트'!$B:$F,4,0)</f>
        <v>DRUM</v>
      </c>
      <c r="S16" s="76">
        <f>VLOOKUP(F16,'파레트 제품 리스트'!$B:$F,5,0)</f>
        <v>1</v>
      </c>
      <c r="U16" s="328">
        <f t="shared" si="2"/>
        <v>8316000.0000000009</v>
      </c>
      <c r="V16" s="367"/>
      <c r="W16" s="78"/>
      <c r="X16" s="78"/>
      <c r="Y16" s="79"/>
      <c r="Z16" s="80"/>
    </row>
    <row r="17" spans="1:26" s="28" customFormat="1" ht="24.95" customHeight="1">
      <c r="B17" s="221">
        <v>6</v>
      </c>
      <c r="C17" s="364"/>
      <c r="D17" s="82" t="s">
        <v>955</v>
      </c>
      <c r="E17" s="85">
        <f>IF($D17&lt;&gt;0,VLOOKUP($D17,$D$45:$E$69,2,FALSE),"")</f>
        <v>194667</v>
      </c>
      <c r="F17" s="548">
        <v>143985</v>
      </c>
      <c r="G17" s="224" t="str">
        <f>IF($F17&lt;&gt;0,VLOOKUP($F17,$E$73:$M$537,2,FALSE),"")</f>
        <v>MOBIL SHC 630 DRUM 208L:SG</v>
      </c>
      <c r="H17" s="225"/>
      <c r="I17" s="226"/>
      <c r="J17" s="84" t="str">
        <f t="shared" si="3"/>
        <v>DRUM</v>
      </c>
      <c r="K17" s="85" t="str">
        <f t="shared" ref="K17:K22" si="5">IF($F17&lt;&gt;0,VLOOKUP($F17,$E$81:$M$537,8,FALSE),"")</f>
        <v>IND</v>
      </c>
      <c r="L17" s="550">
        <v>2</v>
      </c>
      <c r="M17" s="87">
        <f t="shared" si="4"/>
        <v>416</v>
      </c>
      <c r="N17" s="88">
        <f t="shared" si="0"/>
        <v>2763000</v>
      </c>
      <c r="O17" s="346">
        <f t="shared" ref="O17:O22" si="6">IF(L17&lt;&gt;0,$L17*$N17,"")</f>
        <v>5526000</v>
      </c>
      <c r="P17" s="450">
        <v>0</v>
      </c>
      <c r="R17" s="75" t="e">
        <f>VLOOKUP(F17,'파레트 제품 리스트'!$B:$F,4,0)</f>
        <v>#N/A</v>
      </c>
      <c r="S17" s="76" t="e">
        <f>VLOOKUP(F17,'파레트 제품 리스트'!$B:$F,5,0)</f>
        <v>#N/A</v>
      </c>
      <c r="U17" s="328">
        <f>O17*1.1</f>
        <v>6078600.0000000009</v>
      </c>
      <c r="V17" s="367" t="e">
        <f>VLOOKUP(F17,미출!$D:$F,3,0)</f>
        <v>#N/A</v>
      </c>
      <c r="W17" s="78">
        <f>COUNTIF($F$11:$F$12,F17)</f>
        <v>0</v>
      </c>
      <c r="X17" s="78" t="e">
        <f>VLOOKUP(F17,#REF!,7,0)</f>
        <v>#REF!</v>
      </c>
      <c r="Y17" s="79"/>
      <c r="Z17" s="80" t="b">
        <f>N17=Y17</f>
        <v>0</v>
      </c>
    </row>
    <row r="18" spans="1:26" s="28" customFormat="1" ht="24.95" customHeight="1">
      <c r="B18" s="221">
        <v>7</v>
      </c>
      <c r="C18" s="364"/>
      <c r="D18" s="82" t="s">
        <v>955</v>
      </c>
      <c r="E18" s="85">
        <f>IF($D18&lt;&gt;0,VLOOKUP($D18,$D$45:$E$73,2,FALSE),"")</f>
        <v>194667</v>
      </c>
      <c r="F18" s="348">
        <v>143987</v>
      </c>
      <c r="G18" s="340" t="str">
        <f>IF($F18&lt;&gt;0,VLOOKUP($F18,$E$81:$M$537,2,FALSE),"")</f>
        <v>MOBIL SHC 632 DRUM 208L:SG</v>
      </c>
      <c r="H18" s="341"/>
      <c r="I18" s="342"/>
      <c r="J18" s="84" t="str">
        <f t="shared" si="3"/>
        <v>DRUM</v>
      </c>
      <c r="K18" s="85" t="str">
        <f t="shared" si="5"/>
        <v>IND</v>
      </c>
      <c r="L18" s="547">
        <v>1</v>
      </c>
      <c r="M18" s="87">
        <f t="shared" si="4"/>
        <v>208</v>
      </c>
      <c r="N18" s="88">
        <f t="shared" si="0"/>
        <v>2938000</v>
      </c>
      <c r="O18" s="346">
        <f t="shared" si="6"/>
        <v>2938000</v>
      </c>
      <c r="P18" s="450">
        <v>0</v>
      </c>
      <c r="R18" s="75"/>
      <c r="S18" s="76"/>
      <c r="U18" s="328">
        <f>O18*1.1</f>
        <v>3231800.0000000005</v>
      </c>
      <c r="V18" s="367"/>
      <c r="W18" s="78"/>
      <c r="X18" s="78"/>
      <c r="Y18" s="79"/>
      <c r="Z18" s="80"/>
    </row>
    <row r="19" spans="1:26" s="28" customFormat="1" ht="24.95" customHeight="1">
      <c r="B19" s="221">
        <v>8</v>
      </c>
      <c r="C19" s="364"/>
      <c r="D19" s="82" t="s">
        <v>955</v>
      </c>
      <c r="E19" s="85">
        <f>IF($D19&lt;&gt;0,VLOOKUP($D19,$D$45:$E$69,2,FALSE),"")</f>
        <v>194667</v>
      </c>
      <c r="F19" s="517">
        <v>140256</v>
      </c>
      <c r="G19" s="340" t="str">
        <f>IF($F19&lt;&gt;0,VLOOKUP($F19,$E$73:$M$537,2,FALSE),"")</f>
        <v>MOBILUX EP 3 PAIL 16KG:SG</v>
      </c>
      <c r="H19" s="341"/>
      <c r="I19" s="342"/>
      <c r="J19" s="84" t="str">
        <f t="shared" si="3"/>
        <v>PAIL</v>
      </c>
      <c r="K19" s="85" t="str">
        <f t="shared" si="5"/>
        <v>IND</v>
      </c>
      <c r="L19" s="326">
        <v>14</v>
      </c>
      <c r="M19" s="87">
        <f t="shared" si="4"/>
        <v>224</v>
      </c>
      <c r="N19" s="88">
        <f t="shared" si="0"/>
        <v>81000</v>
      </c>
      <c r="O19" s="346">
        <f t="shared" si="6"/>
        <v>1134000</v>
      </c>
      <c r="P19" s="450">
        <v>57</v>
      </c>
      <c r="R19" s="75" t="str">
        <f>VLOOKUP(F19,'파레트 제품 리스트'!$B:$F,4,0)</f>
        <v>MIX (28)</v>
      </c>
      <c r="S19" s="76">
        <f>VLOOKUP(F19,'파레트 제품 리스트'!$B:$F,5,0)</f>
        <v>1</v>
      </c>
      <c r="U19" s="328">
        <f>O19*1.1</f>
        <v>1247400</v>
      </c>
      <c r="V19" s="367" t="e">
        <f>VLOOKUP(F19,미출!$D:$F,3,0)</f>
        <v>#N/A</v>
      </c>
      <c r="W19" s="78">
        <f>COUNTIF($F$11:$F$12,F19)</f>
        <v>0</v>
      </c>
      <c r="X19" s="78" t="e">
        <f>VLOOKUP(F19,#REF!,7,0)</f>
        <v>#REF!</v>
      </c>
      <c r="Y19" s="79"/>
      <c r="Z19" s="80" t="b">
        <f>N19=Y19</f>
        <v>0</v>
      </c>
    </row>
    <row r="20" spans="1:26" s="28" customFormat="1" ht="24.95" customHeight="1">
      <c r="B20" s="221">
        <v>9</v>
      </c>
      <c r="C20" s="364"/>
      <c r="D20" s="82" t="s">
        <v>759</v>
      </c>
      <c r="E20" s="85">
        <f>IF($D20&lt;&gt;0,VLOOKUP($D20,$D$45:$E$73,2,FALSE),"")</f>
        <v>202724</v>
      </c>
      <c r="F20" s="510">
        <v>140263</v>
      </c>
      <c r="G20" s="340" t="str">
        <f>IF($F20&lt;&gt;0,VLOOKUP($F20,$E$73:$M$537,2,FALSE),"")</f>
        <v>MOBILUX EP 2 PAIL 16KG:SG</v>
      </c>
      <c r="H20" s="341"/>
      <c r="I20" s="342"/>
      <c r="J20" s="84" t="str">
        <f t="shared" si="3"/>
        <v>PAIL</v>
      </c>
      <c r="K20" s="85" t="str">
        <f t="shared" si="5"/>
        <v>IND</v>
      </c>
      <c r="L20" s="511">
        <v>42</v>
      </c>
      <c r="M20" s="87">
        <f t="shared" si="4"/>
        <v>672</v>
      </c>
      <c r="N20" s="345">
        <v>69900</v>
      </c>
      <c r="O20" s="346">
        <f t="shared" si="6"/>
        <v>2935800</v>
      </c>
      <c r="P20" s="450">
        <v>436</v>
      </c>
      <c r="R20" s="75" t="str">
        <f>VLOOKUP(F20,'파레트 제품 리스트'!$B:$F,4,0)</f>
        <v>MIX (28)</v>
      </c>
      <c r="S20" s="76">
        <f>VLOOKUP(F20,'파레트 제품 리스트'!$B:$F,5,0)</f>
        <v>1</v>
      </c>
      <c r="U20" s="328">
        <f t="shared" ref="U20" si="7">O20*1.1</f>
        <v>3229380.0000000005</v>
      </c>
      <c r="V20" s="367" t="e">
        <f>VLOOKUP(F20,미출!$D:$F,3,0)</f>
        <v>#N/A</v>
      </c>
      <c r="W20" s="78">
        <f>COUNTIF($F$11:$F$12,F20)</f>
        <v>0</v>
      </c>
      <c r="X20" s="78" t="e">
        <f>VLOOKUP(F20,#REF!,7,0)</f>
        <v>#REF!</v>
      </c>
      <c r="Y20" s="79"/>
      <c r="Z20" s="80" t="b">
        <f t="shared" ref="Z20" si="8">N20=Y20</f>
        <v>0</v>
      </c>
    </row>
    <row r="21" spans="1:26" s="28" customFormat="1" ht="24.95" customHeight="1">
      <c r="B21" s="221">
        <v>10</v>
      </c>
      <c r="C21" s="364" t="s">
        <v>1071</v>
      </c>
      <c r="D21" s="82" t="s">
        <v>1070</v>
      </c>
      <c r="E21" s="85">
        <f>IF($D21&lt;&gt;0,VLOOKUP($D21,$D$45:$E$69,2,FALSE),"")</f>
        <v>194638</v>
      </c>
      <c r="F21" s="548">
        <v>132835</v>
      </c>
      <c r="G21" s="224" t="str">
        <f>IF($F21&lt;&gt;0,VLOOKUP($F21,$E$73:$M$537,2,FALSE),"")</f>
        <v>MOBIL GLYGOYLE 460, 208LT DRUM</v>
      </c>
      <c r="H21" s="225"/>
      <c r="I21" s="226"/>
      <c r="J21" s="84" t="str">
        <f t="shared" si="3"/>
        <v>DRUM</v>
      </c>
      <c r="K21" s="85" t="str">
        <f t="shared" si="5"/>
        <v>IND</v>
      </c>
      <c r="L21" s="549">
        <v>5</v>
      </c>
      <c r="M21" s="87">
        <f t="shared" si="4"/>
        <v>1040</v>
      </c>
      <c r="N21" s="345">
        <v>1755000</v>
      </c>
      <c r="O21" s="346">
        <f t="shared" si="6"/>
        <v>8775000</v>
      </c>
      <c r="P21" s="450">
        <v>112</v>
      </c>
      <c r="R21" s="75" t="str">
        <f>VLOOKUP(F21,'파레트 제품 리스트'!$B:$F,4,0)</f>
        <v>DRUM</v>
      </c>
      <c r="S21" s="76">
        <f>VLOOKUP(F21,'파레트 제품 리스트'!$B:$F,5,0)</f>
        <v>1</v>
      </c>
      <c r="U21" s="328">
        <f t="shared" ref="U21" si="9">O21*1.1</f>
        <v>9652500</v>
      </c>
      <c r="V21" s="367" t="e">
        <f>VLOOKUP(F21,미출!$D:$F,3,0)</f>
        <v>#N/A</v>
      </c>
      <c r="W21" s="78">
        <f>COUNTIF($F$11:$F$12,F21)</f>
        <v>0</v>
      </c>
      <c r="X21" s="78" t="e">
        <f>VLOOKUP(F21,#REF!,7,0)</f>
        <v>#REF!</v>
      </c>
      <c r="Y21" s="79"/>
      <c r="Z21" s="80"/>
    </row>
    <row r="22" spans="1:26" s="28" customFormat="1" ht="24.95" customHeight="1">
      <c r="B22" s="221">
        <v>11</v>
      </c>
      <c r="C22" s="364"/>
      <c r="D22" s="82" t="s">
        <v>753</v>
      </c>
      <c r="E22" s="85">
        <f>IF($D22&lt;&gt;0,VLOOKUP($D22,$D$45:$E$73,2,FALSE),"")</f>
        <v>200584</v>
      </c>
      <c r="F22" s="446">
        <v>141741</v>
      </c>
      <c r="G22" s="224" t="str">
        <f>IF($F22&lt;&gt;0,VLOOKUP($F22,$E$81:$M$537,2,FALSE),"")</f>
        <v>MOBIL DTE 24 ULTRA PAIL 20L:KR</v>
      </c>
      <c r="H22" s="341"/>
      <c r="I22" s="342"/>
      <c r="J22" s="84" t="str">
        <f t="shared" si="3"/>
        <v>PAIL</v>
      </c>
      <c r="K22" s="85" t="str">
        <f t="shared" si="5"/>
        <v>IND</v>
      </c>
      <c r="L22" s="326">
        <v>42</v>
      </c>
      <c r="M22" s="87">
        <f t="shared" si="4"/>
        <v>840</v>
      </c>
      <c r="N22" s="88">
        <v>45300</v>
      </c>
      <c r="O22" s="89">
        <f t="shared" si="6"/>
        <v>1902600</v>
      </c>
      <c r="P22" s="450">
        <v>716</v>
      </c>
      <c r="R22" s="75" t="str">
        <f>VLOOKUP(F22,'파레트 제품 리스트'!$B:$F,4,0)</f>
        <v>Full</v>
      </c>
      <c r="S22" s="76">
        <f>VLOOKUP(F22,'파레트 제품 리스트'!$B:$F,5,0)</f>
        <v>42</v>
      </c>
      <c r="U22" s="328">
        <f>O22*1.1</f>
        <v>2092860.0000000002</v>
      </c>
      <c r="V22" s="367"/>
      <c r="W22" s="78"/>
      <c r="X22" s="78"/>
      <c r="Y22" s="79"/>
      <c r="Z22" s="80"/>
    </row>
    <row r="23" spans="1:26" s="28" customFormat="1" ht="24.95" customHeight="1">
      <c r="B23" s="221">
        <v>12</v>
      </c>
      <c r="C23" s="364"/>
      <c r="D23" s="82"/>
      <c r="E23" s="85" t="str">
        <f>IF($D23&lt;&gt;0,VLOOKUP($D23,$D$45:$E$69,2,FALSE),"")</f>
        <v/>
      </c>
      <c r="F23" s="510"/>
      <c r="G23" s="224" t="str">
        <f>IF($F23&lt;&gt;0,VLOOKUP($F23,$E$73:$M$537,2,FALSE),"")</f>
        <v/>
      </c>
      <c r="H23" s="225"/>
      <c r="I23" s="226"/>
      <c r="J23" s="84" t="str">
        <f>IF($F23&lt;&gt;0,VLOOKUP($F23,$E$73:$M$537,7,FALSE),"")</f>
        <v/>
      </c>
      <c r="K23" s="85" t="str">
        <f>IF($F23&lt;&gt;0,VLOOKUP($F23,$E$73:$M$537,8,FALSE),"")</f>
        <v/>
      </c>
      <c r="L23" s="86"/>
      <c r="M23" s="87" t="str">
        <f>IF($L23&lt;&gt;0,VLOOKUP($F23,$E$73:$M$537,9,FALSE)*$L23,"")</f>
        <v/>
      </c>
      <c r="N23" s="345"/>
      <c r="O23" s="346" t="str">
        <f t="shared" ref="O23:O25" si="10">IF(L23&lt;&gt;0,$L23*$N23,"")</f>
        <v/>
      </c>
      <c r="P23" s="450"/>
      <c r="R23" s="75" t="e">
        <f>VLOOKUP(F23,'파레트 제품 리스트'!$B:$F,4,0)</f>
        <v>#N/A</v>
      </c>
      <c r="S23" s="76" t="e">
        <f>VLOOKUP(F23,'파레트 제품 리스트'!$B:$F,5,0)</f>
        <v>#N/A</v>
      </c>
      <c r="U23" s="328" t="e">
        <f t="shared" ref="U23" si="11">O23*1.1</f>
        <v>#VALUE!</v>
      </c>
      <c r="V23" s="367" t="e">
        <f>VLOOKUP(F23,미출!$D:$F,3,0)</f>
        <v>#N/A</v>
      </c>
      <c r="W23" s="78">
        <f>COUNTIF($F$11:$F$12,F23)</f>
        <v>0</v>
      </c>
      <c r="X23" s="78" t="e">
        <f>VLOOKUP(F23,#REF!,7,0)</f>
        <v>#REF!</v>
      </c>
      <c r="Y23" s="79"/>
      <c r="Z23" s="80" t="b">
        <f t="shared" ref="Z23" si="12">N23=Y23</f>
        <v>1</v>
      </c>
    </row>
    <row r="24" spans="1:26" s="28" customFormat="1" ht="24.95" customHeight="1">
      <c r="B24" s="221">
        <v>13</v>
      </c>
      <c r="C24" s="364"/>
      <c r="D24" s="82"/>
      <c r="E24" s="85"/>
      <c r="F24" s="517"/>
      <c r="G24" s="224"/>
      <c r="H24" s="225"/>
      <c r="I24" s="226"/>
      <c r="J24" s="84"/>
      <c r="K24" s="85"/>
      <c r="L24" s="86"/>
      <c r="M24" s="87"/>
      <c r="N24" s="345"/>
      <c r="O24" s="346"/>
      <c r="P24" s="450"/>
      <c r="R24" s="75"/>
      <c r="S24" s="76"/>
      <c r="U24" s="328"/>
      <c r="V24" s="367"/>
      <c r="W24" s="78"/>
      <c r="X24" s="78"/>
      <c r="Y24" s="79"/>
      <c r="Z24" s="80"/>
    </row>
    <row r="25" spans="1:26" s="28" customFormat="1" ht="24.95" customHeight="1">
      <c r="B25" s="221">
        <v>14</v>
      </c>
      <c r="C25" s="364"/>
      <c r="D25" s="82"/>
      <c r="E25" s="85" t="str">
        <f>IF($D25&lt;&gt;0,VLOOKUP($D25,$D$45:$E$69,2,FALSE),"")</f>
        <v/>
      </c>
      <c r="F25" s="446"/>
      <c r="G25" s="224" t="str">
        <f>IF($F25&lt;&gt;0,VLOOKUP($F25,$E$73:$M$537,2,FALSE),"")</f>
        <v/>
      </c>
      <c r="H25" s="225"/>
      <c r="I25" s="226"/>
      <c r="J25" s="84" t="str">
        <f>IF($F25&lt;&gt;0,VLOOKUP($F25,$E$73:$M$537,7,FALSE),"")</f>
        <v/>
      </c>
      <c r="K25" s="85" t="str">
        <f>IF($F25&lt;&gt;0,VLOOKUP($F25,$E$73:$M$537,8,FALSE),"")</f>
        <v/>
      </c>
      <c r="L25" s="86"/>
      <c r="M25" s="87" t="str">
        <f>IF($L25&lt;&gt;0,VLOOKUP($F25,$E$73:$M$537,9,FALSE)*$L25,"")</f>
        <v/>
      </c>
      <c r="N25" s="345" t="str">
        <f>IF($F25&lt;&gt;0,VLOOKUP($F25,$E$53:$L$545,5,FALSE),"")</f>
        <v/>
      </c>
      <c r="O25" s="346" t="str">
        <f t="shared" si="10"/>
        <v/>
      </c>
      <c r="P25" s="450"/>
      <c r="R25" s="75" t="e">
        <f>VLOOKUP(F25,'파레트 제품 리스트'!$B:$F,4,0)</f>
        <v>#N/A</v>
      </c>
      <c r="S25" s="76" t="e">
        <f>VLOOKUP(F25,'파레트 제품 리스트'!$B:$F,5,0)</f>
        <v>#N/A</v>
      </c>
      <c r="U25" s="328" t="e">
        <f>O25*1.1</f>
        <v>#VALUE!</v>
      </c>
      <c r="V25" s="367" t="e">
        <f>VLOOKUP(F25,미출!$D:$F,3,0)</f>
        <v>#N/A</v>
      </c>
      <c r="W25" s="78">
        <f>COUNTIF($F$11:$F$12,F25)</f>
        <v>0</v>
      </c>
      <c r="X25" s="78" t="e">
        <f>VLOOKUP(F25,#REF!,7,0)</f>
        <v>#REF!</v>
      </c>
      <c r="Y25" s="79"/>
      <c r="Z25" s="80" t="b">
        <f>N25=Y25</f>
        <v>1</v>
      </c>
    </row>
    <row r="26" spans="1:26" s="28" customFormat="1" ht="24.95" customHeight="1" thickBot="1">
      <c r="B26" s="355">
        <v>15</v>
      </c>
      <c r="C26" s="435"/>
      <c r="D26" s="90"/>
      <c r="E26" s="92" t="str">
        <f>IF($D26&lt;&gt;0,VLOOKUP($D26,$D$45:$E$68,2,FALSE),"")</f>
        <v/>
      </c>
      <c r="F26" s="504"/>
      <c r="G26" s="515" t="str">
        <f>IF($F26&lt;&gt;0,VLOOKUP($F26,$E$73:$M$546,2,FALSE),"")</f>
        <v/>
      </c>
      <c r="H26" s="412"/>
      <c r="I26" s="413"/>
      <c r="J26" s="414" t="str">
        <f>IF($F26&lt;&gt;0,VLOOKUP($F26,$E$73:$M$546,7,FALSE),"")</f>
        <v/>
      </c>
      <c r="K26" s="415" t="str">
        <f>IF($F26&lt;&gt;0,VLOOKUP($F26,$E$73:$M$546,8,FALSE),"")</f>
        <v/>
      </c>
      <c r="L26" s="505"/>
      <c r="M26" s="416" t="str">
        <f>IF($L26&lt;&gt;0,VLOOKUP($F26,$E$73:$M$529,9,FALSE)*$L26,"")</f>
        <v/>
      </c>
      <c r="N26" s="516" t="str">
        <f>IF($F26&lt;&gt;0,VLOOKUP($F26,$E$53:$L$545,5,FALSE),"")</f>
        <v/>
      </c>
      <c r="O26" s="96" t="str">
        <f t="shared" ref="O26" si="13">IF(L26&lt;&gt;0,$L26*$N26,"")</f>
        <v/>
      </c>
      <c r="P26" s="451"/>
      <c r="R26" s="75" t="e">
        <f>VLOOKUP(F26,'파레트 제품 리스트'!$B:$F,4,0)</f>
        <v>#N/A</v>
      </c>
      <c r="S26" s="76" t="e">
        <f>VLOOKUP(F26,'파레트 제품 리스트'!$B:$F,5,0)</f>
        <v>#N/A</v>
      </c>
      <c r="U26" s="328" t="e">
        <f t="shared" ref="U26" si="14">O26*1.1</f>
        <v>#VALUE!</v>
      </c>
      <c r="V26" s="367" t="e">
        <f>VLOOKUP(F26,미출!$D:$F,3,0)</f>
        <v>#N/A</v>
      </c>
      <c r="W26" s="78">
        <f>COUNTIF($F$11:$F$12,F26)</f>
        <v>0</v>
      </c>
      <c r="X26" s="78" t="e">
        <f>VLOOKUP(F26,#REF!,7,0)</f>
        <v>#REF!</v>
      </c>
      <c r="Y26" s="79"/>
      <c r="Z26" s="80" t="b">
        <f t="shared" ref="Z26" si="15">N26=Y26</f>
        <v>1</v>
      </c>
    </row>
    <row r="27" spans="1:26" s="43" customFormat="1" ht="12" customHeight="1" thickTop="1" thickBot="1">
      <c r="A27" s="4"/>
      <c r="B27" s="105"/>
      <c r="C27" s="105"/>
      <c r="D27" s="130"/>
      <c r="E27" s="105"/>
      <c r="F27" s="372"/>
      <c r="G27" s="373"/>
      <c r="H27" s="373"/>
      <c r="I27" s="374"/>
      <c r="J27" s="375" t="str">
        <f>IF($F27&lt;&gt;0,VLOOKUP($F27,$E$90:$M$459,7,FALSE),"")</f>
        <v/>
      </c>
      <c r="K27" s="372" t="str">
        <f>IF($F27&lt;&gt;0,VLOOKUP($F27,$E$90:$M$459,8,FALSE),"")</f>
        <v/>
      </c>
      <c r="L27" s="376"/>
      <c r="M27" s="376" t="str">
        <f>IF($L27&lt;&gt;0,VLOOKUP($F27,$E$90:$M$459,9,FALSE)*$L27,"")</f>
        <v/>
      </c>
      <c r="N27" s="100" t="str">
        <f>IF($F27&lt;&gt;0,VLOOKUP($F27,$E$90:$M$459,5,FALSE),"")</f>
        <v/>
      </c>
      <c r="O27" s="100" t="str">
        <f t="shared" ref="O27" si="16">IF(L27&lt;&gt;0,$L27*$N27,"")</f>
        <v/>
      </c>
      <c r="P27" s="100"/>
      <c r="U27" s="55"/>
      <c r="V27" s="105"/>
      <c r="W27" s="20"/>
      <c r="X27" s="78"/>
    </row>
    <row r="28" spans="1:26" s="43" customFormat="1" ht="18" customHeight="1" thickBot="1">
      <c r="A28" s="4"/>
      <c r="B28" s="105"/>
      <c r="C28" s="105"/>
      <c r="D28" s="100"/>
      <c r="E28" s="105"/>
      <c r="F28" s="105"/>
      <c r="G28" s="100"/>
      <c r="H28" s="100"/>
      <c r="I28" s="620" t="s">
        <v>18</v>
      </c>
      <c r="J28" s="106" t="s">
        <v>413</v>
      </c>
      <c r="K28" s="107">
        <f>SUM(M12:M26)</f>
        <v>11360</v>
      </c>
      <c r="L28" s="100"/>
      <c r="M28" s="614" t="s">
        <v>19</v>
      </c>
      <c r="N28" s="108" t="s">
        <v>20</v>
      </c>
      <c r="O28" s="616">
        <f>SUM(O12:O27)</f>
        <v>45450000</v>
      </c>
      <c r="P28" s="617"/>
      <c r="U28" s="55"/>
      <c r="V28" s="105"/>
      <c r="W28" s="20"/>
      <c r="X28" s="21"/>
    </row>
    <row r="29" spans="1:26" s="43" customFormat="1" ht="18" customHeight="1" thickBot="1">
      <c r="A29" s="4"/>
      <c r="B29" s="105"/>
      <c r="C29" s="105"/>
      <c r="D29" s="100"/>
      <c r="E29"/>
      <c r="F29" s="105"/>
      <c r="G29" s="100"/>
      <c r="H29" s="100"/>
      <c r="I29" s="621"/>
      <c r="J29" s="109" t="s">
        <v>414</v>
      </c>
      <c r="K29" s="110">
        <f>$K$28/200</f>
        <v>56.8</v>
      </c>
      <c r="L29" s="100"/>
      <c r="M29" s="615"/>
      <c r="N29" s="111" t="s">
        <v>21</v>
      </c>
      <c r="O29" s="618">
        <f>O28*1.1</f>
        <v>49995000.000000007</v>
      </c>
      <c r="P29" s="619"/>
      <c r="U29" s="55"/>
      <c r="V29" s="105"/>
      <c r="W29" s="20"/>
      <c r="X29" s="21"/>
    </row>
    <row r="30" spans="1:26" s="43" customFormat="1" ht="16.5" customHeight="1">
      <c r="B30" s="21"/>
      <c r="C30" s="21"/>
      <c r="E30"/>
      <c r="F30" s="21"/>
      <c r="I30" s="42"/>
      <c r="J30" s="61"/>
      <c r="K30" s="21"/>
      <c r="U30" s="42"/>
      <c r="V30" s="105"/>
      <c r="W30" s="21"/>
      <c r="X30" s="21"/>
    </row>
    <row r="31" spans="1:26" ht="16.5" customHeight="1">
      <c r="K31" s="58"/>
      <c r="S31" s="43"/>
    </row>
    <row r="32" spans="1:26" ht="16.5" customHeight="1">
      <c r="A32" s="43"/>
      <c r="L32" s="362" t="e">
        <f>#REF!+#REF!+#REF!+#REF!</f>
        <v>#REF!</v>
      </c>
      <c r="P32" s="12"/>
      <c r="S32" s="43"/>
    </row>
    <row r="33" spans="2:26" ht="16.5" customHeight="1">
      <c r="L33" s="362" t="e">
        <f>+#REF!+#REF!+#REF!+#REF!</f>
        <v>#REF!</v>
      </c>
      <c r="P33" s="12"/>
    </row>
    <row r="34" spans="2:26" ht="16.5" customHeight="1">
      <c r="L34" s="363" t="e">
        <f>L33-L32</f>
        <v>#REF!</v>
      </c>
      <c r="P34" s="12"/>
      <c r="Y34"/>
    </row>
    <row r="35" spans="2:26" ht="16.5" customHeight="1">
      <c r="L35" s="1"/>
    </row>
    <row r="36" spans="2:26" ht="16.5" customHeight="1"/>
    <row r="37" spans="2:26" ht="16.5" customHeight="1"/>
    <row r="38" spans="2:26" ht="16.5" customHeight="1"/>
    <row r="39" spans="2:26" ht="16.5" customHeight="1"/>
    <row r="40" spans="2:26" s="3" customFormat="1" ht="16.5" customHeight="1" thickBot="1">
      <c r="B40" s="2"/>
      <c r="C40" s="2"/>
      <c r="E40" s="2"/>
      <c r="F40" s="2"/>
      <c r="I40" s="13"/>
      <c r="J40" s="16"/>
      <c r="K40" s="2"/>
      <c r="U40" s="45"/>
      <c r="V40" s="366"/>
      <c r="W40" s="56"/>
      <c r="X40" s="56"/>
      <c r="Y40" s="81"/>
      <c r="Z40" s="81"/>
    </row>
    <row r="41" spans="2:26" ht="13.5" customHeight="1">
      <c r="B41" s="598" t="s">
        <v>22</v>
      </c>
      <c r="C41" s="599"/>
      <c r="D41" s="599"/>
      <c r="E41" s="600"/>
    </row>
    <row r="42" spans="2:26" ht="14.25" customHeight="1" thickBot="1">
      <c r="B42" s="601"/>
      <c r="C42" s="602"/>
      <c r="D42" s="602"/>
      <c r="E42" s="603"/>
    </row>
    <row r="43" spans="2:26" ht="14.25" customHeight="1">
      <c r="B43" s="269"/>
      <c r="C43" s="269"/>
      <c r="D43" s="269"/>
      <c r="E43" s="269"/>
      <c r="I43" s="260"/>
      <c r="J43" s="261"/>
      <c r="U43" s="285"/>
    </row>
    <row r="44" spans="2:26" ht="14.25" customHeight="1">
      <c r="B44" s="269"/>
      <c r="C44" s="269"/>
      <c r="D44" s="259" t="s">
        <v>76</v>
      </c>
      <c r="E44" s="259" t="s">
        <v>23</v>
      </c>
      <c r="G44" s="280" t="s">
        <v>77</v>
      </c>
      <c r="H44" s="286" t="s">
        <v>16</v>
      </c>
      <c r="I44" s="232"/>
      <c r="J44" s="232"/>
      <c r="K44" s="233"/>
      <c r="M44" s="274" t="s">
        <v>14</v>
      </c>
      <c r="N44" s="259" t="s">
        <v>15</v>
      </c>
      <c r="O44" s="259"/>
      <c r="U44" s="285"/>
    </row>
    <row r="45" spans="2:26">
      <c r="D45" s="281" t="s">
        <v>955</v>
      </c>
      <c r="E45" s="282">
        <v>194667</v>
      </c>
      <c r="G45" s="281" t="s">
        <v>845</v>
      </c>
      <c r="H45" s="284" t="s">
        <v>792</v>
      </c>
      <c r="I45" s="275"/>
      <c r="J45" s="276"/>
      <c r="K45" s="254"/>
      <c r="L45" s="28"/>
      <c r="M45" s="255"/>
      <c r="N45" s="255"/>
      <c r="O45" s="255"/>
    </row>
    <row r="46" spans="2:26" s="28" customFormat="1" ht="13.5" customHeight="1">
      <c r="B46" s="21"/>
      <c r="C46" s="21"/>
      <c r="D46" s="281" t="s">
        <v>753</v>
      </c>
      <c r="E46" s="282">
        <v>200584</v>
      </c>
      <c r="F46" s="20"/>
      <c r="G46" s="281" t="s">
        <v>801</v>
      </c>
      <c r="H46" s="284" t="s">
        <v>792</v>
      </c>
      <c r="I46" s="275"/>
      <c r="J46" s="276"/>
      <c r="K46" s="254"/>
      <c r="M46" s="255"/>
      <c r="N46" s="255"/>
      <c r="O46" s="255"/>
      <c r="U46" s="29"/>
      <c r="V46" s="105"/>
      <c r="W46" s="20"/>
      <c r="X46" s="20"/>
    </row>
    <row r="47" spans="2:26" s="28" customFormat="1" ht="13.5" customHeight="1">
      <c r="B47" s="21"/>
      <c r="C47" s="21"/>
      <c r="D47" s="281" t="s">
        <v>26</v>
      </c>
      <c r="E47" s="282">
        <v>194729</v>
      </c>
      <c r="F47" s="20"/>
      <c r="G47" s="281" t="s">
        <v>794</v>
      </c>
      <c r="H47" s="284" t="s">
        <v>792</v>
      </c>
      <c r="I47" s="275"/>
      <c r="J47" s="276"/>
      <c r="K47" s="254"/>
      <c r="M47" s="255"/>
      <c r="N47" s="255"/>
      <c r="O47" s="255"/>
      <c r="U47" s="29"/>
      <c r="V47" s="105"/>
      <c r="W47" s="20"/>
      <c r="X47" s="20"/>
    </row>
    <row r="48" spans="2:26" s="28" customFormat="1" ht="13.5" customHeight="1">
      <c r="B48" s="21"/>
      <c r="C48" s="21"/>
      <c r="D48" s="281" t="s">
        <v>817</v>
      </c>
      <c r="E48" s="282">
        <v>194638</v>
      </c>
      <c r="F48" s="20"/>
      <c r="G48" s="281" t="s">
        <v>807</v>
      </c>
      <c r="H48" s="284" t="s">
        <v>792</v>
      </c>
      <c r="I48" s="275"/>
      <c r="J48" s="276"/>
      <c r="K48" s="254"/>
      <c r="M48" s="255"/>
      <c r="N48" s="255"/>
      <c r="O48" s="255"/>
      <c r="U48" s="29"/>
      <c r="V48" s="105"/>
      <c r="W48" s="20"/>
      <c r="X48" s="20"/>
    </row>
    <row r="49" spans="2:24" s="28" customFormat="1" ht="13.5" customHeight="1">
      <c r="B49" s="21"/>
      <c r="C49" s="21"/>
      <c r="D49" s="281" t="s">
        <v>759</v>
      </c>
      <c r="E49" s="282">
        <v>202724</v>
      </c>
      <c r="F49" s="20"/>
      <c r="G49" s="281" t="s">
        <v>799</v>
      </c>
      <c r="H49" s="284" t="s">
        <v>792</v>
      </c>
      <c r="I49" s="275"/>
      <c r="J49" s="276"/>
      <c r="K49" s="254"/>
      <c r="M49" s="255"/>
      <c r="N49" s="255"/>
      <c r="O49" s="255"/>
      <c r="U49" s="29"/>
      <c r="V49" s="105"/>
      <c r="W49" s="20"/>
      <c r="X49" s="20"/>
    </row>
    <row r="50" spans="2:24" s="28" customFormat="1" ht="13.5" customHeight="1">
      <c r="B50" s="21"/>
      <c r="C50" s="21"/>
      <c r="D50" s="283" t="s">
        <v>785</v>
      </c>
      <c r="E50" s="282">
        <v>203805</v>
      </c>
      <c r="F50" s="20"/>
      <c r="G50" s="281" t="s">
        <v>800</v>
      </c>
      <c r="H50" s="284" t="s">
        <v>792</v>
      </c>
      <c r="I50" s="275"/>
      <c r="J50" s="276"/>
      <c r="K50" s="254"/>
      <c r="M50" s="255"/>
      <c r="N50" s="255"/>
      <c r="O50" s="255"/>
      <c r="U50" s="29"/>
      <c r="V50" s="105"/>
      <c r="W50" s="20"/>
      <c r="X50" s="20"/>
    </row>
    <row r="51" spans="2:24" s="28" customFormat="1" ht="13.5" customHeight="1">
      <c r="B51" s="21"/>
      <c r="C51" s="21"/>
      <c r="D51" s="281" t="s">
        <v>788</v>
      </c>
      <c r="E51" s="282">
        <v>215691</v>
      </c>
      <c r="F51" s="20"/>
      <c r="G51" s="281" t="s">
        <v>805</v>
      </c>
      <c r="H51" s="284" t="s">
        <v>792</v>
      </c>
      <c r="I51" s="275"/>
      <c r="J51" s="276"/>
      <c r="K51" s="254"/>
      <c r="M51" s="255"/>
      <c r="N51" s="255"/>
      <c r="O51" s="255"/>
      <c r="U51" s="29"/>
      <c r="V51" s="105"/>
      <c r="W51" s="20"/>
      <c r="X51" s="20"/>
    </row>
    <row r="52" spans="2:24" s="28" customFormat="1" ht="13.5" customHeight="1">
      <c r="B52" s="21"/>
      <c r="C52" s="21"/>
      <c r="D52" s="281" t="s">
        <v>814</v>
      </c>
      <c r="E52" s="282">
        <v>208008</v>
      </c>
      <c r="F52" s="20"/>
      <c r="G52" s="281" t="s">
        <v>808</v>
      </c>
      <c r="H52" s="284" t="s">
        <v>792</v>
      </c>
      <c r="I52" s="275"/>
      <c r="J52" s="276"/>
      <c r="K52" s="254"/>
      <c r="M52" s="255"/>
      <c r="N52" s="255"/>
      <c r="O52" s="255"/>
      <c r="U52" s="29"/>
      <c r="V52" s="105"/>
      <c r="W52" s="20"/>
      <c r="X52" s="20"/>
    </row>
    <row r="53" spans="2:24" s="28" customFormat="1" ht="13.5" customHeight="1">
      <c r="B53" s="21"/>
      <c r="C53" s="21"/>
      <c r="D53" s="281" t="s">
        <v>815</v>
      </c>
      <c r="E53" s="282">
        <v>207998</v>
      </c>
      <c r="F53" s="20"/>
      <c r="G53" s="281" t="s">
        <v>802</v>
      </c>
      <c r="H53" s="284" t="s">
        <v>792</v>
      </c>
      <c r="I53" s="275"/>
      <c r="J53" s="276"/>
      <c r="K53" s="254"/>
      <c r="M53" s="255"/>
      <c r="N53" s="255"/>
      <c r="O53" s="255"/>
      <c r="R53" s="28" t="s">
        <v>861</v>
      </c>
      <c r="U53" s="29"/>
      <c r="V53" s="105"/>
      <c r="W53" s="20"/>
      <c r="X53" s="20"/>
    </row>
    <row r="54" spans="2:24" s="28" customFormat="1" ht="13.5" customHeight="1">
      <c r="B54" s="21"/>
      <c r="C54" s="21"/>
      <c r="D54" s="281" t="s">
        <v>813</v>
      </c>
      <c r="E54" s="282">
        <v>194819</v>
      </c>
      <c r="F54" s="20"/>
      <c r="G54" s="281" t="s">
        <v>74</v>
      </c>
      <c r="H54" s="284" t="s">
        <v>818</v>
      </c>
      <c r="I54" s="275"/>
      <c r="J54" s="276"/>
      <c r="K54" s="254"/>
      <c r="M54" s="255"/>
      <c r="N54" s="255"/>
      <c r="O54" s="255"/>
      <c r="U54" s="29"/>
      <c r="V54" s="105"/>
      <c r="W54" s="20"/>
      <c r="X54" s="20"/>
    </row>
    <row r="55" spans="2:24" s="28" customFormat="1" ht="13.5" customHeight="1">
      <c r="B55" s="21"/>
      <c r="C55" s="21"/>
      <c r="D55" s="283" t="s">
        <v>816</v>
      </c>
      <c r="E55" s="282">
        <v>229113</v>
      </c>
      <c r="F55" s="20"/>
      <c r="G55" s="281" t="s">
        <v>809</v>
      </c>
      <c r="H55" s="284" t="s">
        <v>792</v>
      </c>
      <c r="I55" s="275"/>
      <c r="J55" s="276"/>
      <c r="K55" s="254"/>
      <c r="M55" s="255"/>
      <c r="N55" s="255"/>
      <c r="O55" s="255"/>
      <c r="U55" s="29"/>
      <c r="V55" s="105"/>
      <c r="W55" s="20"/>
      <c r="X55" s="20"/>
    </row>
    <row r="56" spans="2:24" s="28" customFormat="1" ht="13.5" customHeight="1">
      <c r="B56" s="21"/>
      <c r="C56" s="21"/>
      <c r="D56" s="281" t="s">
        <v>812</v>
      </c>
      <c r="E56" s="282">
        <v>237074</v>
      </c>
      <c r="F56" s="20"/>
      <c r="G56" s="281" t="s">
        <v>811</v>
      </c>
      <c r="H56" s="284" t="s">
        <v>819</v>
      </c>
      <c r="I56" s="275"/>
      <c r="J56" s="276"/>
      <c r="K56" s="254"/>
      <c r="M56" s="255"/>
      <c r="N56" s="255"/>
      <c r="O56" s="255"/>
      <c r="U56" s="29"/>
      <c r="V56" s="105"/>
      <c r="W56" s="20"/>
      <c r="X56" s="20"/>
    </row>
    <row r="57" spans="2:24" s="28" customFormat="1" ht="13.5" customHeight="1">
      <c r="B57" s="21"/>
      <c r="C57" s="21"/>
      <c r="D57" s="281" t="s">
        <v>833</v>
      </c>
      <c r="E57" s="282">
        <v>231778</v>
      </c>
      <c r="F57" s="20"/>
      <c r="G57" s="281" t="s">
        <v>810</v>
      </c>
      <c r="H57" s="284" t="s">
        <v>792</v>
      </c>
      <c r="I57" s="275"/>
      <c r="J57" s="276"/>
      <c r="K57" s="254"/>
      <c r="M57" s="255"/>
      <c r="N57" s="255"/>
      <c r="O57" s="255"/>
      <c r="U57" s="29"/>
      <c r="V57" s="105"/>
      <c r="W57" s="20"/>
      <c r="X57" s="20"/>
    </row>
    <row r="58" spans="2:24" s="28" customFormat="1" ht="13.5" customHeight="1">
      <c r="B58" s="21"/>
      <c r="C58" s="21"/>
      <c r="D58" s="283" t="s">
        <v>894</v>
      </c>
      <c r="E58" s="282">
        <v>272022</v>
      </c>
      <c r="F58" s="20"/>
      <c r="G58" s="281"/>
      <c r="H58" s="284"/>
      <c r="I58" s="275"/>
      <c r="J58" s="276"/>
      <c r="K58" s="254"/>
      <c r="M58" s="283"/>
      <c r="N58" s="283"/>
      <c r="O58" s="283"/>
      <c r="U58" s="29"/>
      <c r="V58" s="105"/>
      <c r="W58" s="20"/>
      <c r="X58" s="20"/>
    </row>
    <row r="59" spans="2:24" s="28" customFormat="1" ht="13.5" customHeight="1">
      <c r="B59" s="21"/>
      <c r="C59" s="21"/>
      <c r="D59" s="283" t="s">
        <v>832</v>
      </c>
      <c r="E59" s="282">
        <v>211914</v>
      </c>
      <c r="F59" s="20"/>
      <c r="G59" s="281"/>
      <c r="H59" s="284"/>
      <c r="I59" s="275"/>
      <c r="J59" s="276"/>
      <c r="K59" s="254"/>
      <c r="M59" s="255"/>
      <c r="N59" s="255"/>
      <c r="O59" s="255"/>
      <c r="U59" s="29"/>
      <c r="V59" s="105"/>
      <c r="W59" s="20"/>
      <c r="X59" s="20"/>
    </row>
    <row r="60" spans="2:24" s="28" customFormat="1" ht="13.5" customHeight="1">
      <c r="B60" s="21"/>
      <c r="C60" s="21"/>
      <c r="D60" s="283" t="s">
        <v>840</v>
      </c>
      <c r="E60" s="282">
        <v>238419</v>
      </c>
      <c r="F60" s="20"/>
      <c r="G60" s="281" t="s">
        <v>841</v>
      </c>
      <c r="H60" s="284" t="s">
        <v>842</v>
      </c>
      <c r="I60" s="277"/>
      <c r="J60" s="278"/>
      <c r="K60" s="20"/>
      <c r="M60" s="255"/>
      <c r="N60" s="255"/>
      <c r="O60" s="255"/>
      <c r="U60" s="29"/>
      <c r="V60" s="105"/>
      <c r="W60" s="20"/>
      <c r="X60" s="20"/>
    </row>
    <row r="61" spans="2:24" s="28" customFormat="1" ht="13.5" customHeight="1">
      <c r="B61" s="21"/>
      <c r="C61" s="21"/>
      <c r="D61" s="509" t="s">
        <v>950</v>
      </c>
      <c r="E61" s="508">
        <v>278723</v>
      </c>
      <c r="F61" s="509"/>
      <c r="G61" s="281"/>
      <c r="H61" s="284"/>
      <c r="I61" s="277"/>
      <c r="J61" s="278"/>
      <c r="K61" s="20"/>
      <c r="M61" s="255"/>
      <c r="N61" s="255"/>
      <c r="O61" s="255"/>
      <c r="U61" s="29"/>
      <c r="V61" s="105"/>
      <c r="W61" s="20"/>
      <c r="X61" s="20"/>
    </row>
    <row r="62" spans="2:24" s="28" customFormat="1" ht="13.5" customHeight="1">
      <c r="B62" s="21"/>
      <c r="C62" s="21"/>
      <c r="D62" s="436" t="s">
        <v>897</v>
      </c>
      <c r="E62" s="20">
        <v>273231</v>
      </c>
      <c r="F62" s="20"/>
      <c r="G62" s="281"/>
      <c r="H62" s="284"/>
      <c r="I62" s="277"/>
      <c r="J62" s="278"/>
      <c r="K62" s="20"/>
      <c r="M62" s="255"/>
      <c r="N62" s="255"/>
      <c r="O62" s="255"/>
      <c r="U62" s="29"/>
      <c r="V62" s="105"/>
      <c r="W62" s="20"/>
      <c r="X62" s="20"/>
    </row>
    <row r="63" spans="2:24" s="28" customFormat="1" ht="13.5" customHeight="1">
      <c r="B63" s="21"/>
      <c r="C63" s="21"/>
      <c r="D63" s="283" t="s">
        <v>884</v>
      </c>
      <c r="E63" s="282">
        <v>272022</v>
      </c>
      <c r="F63" s="20"/>
      <c r="G63" s="281"/>
      <c r="H63" s="284"/>
      <c r="I63" s="275"/>
      <c r="J63" s="276"/>
      <c r="K63" s="254"/>
      <c r="M63" s="255"/>
      <c r="N63" s="255"/>
      <c r="O63" s="255"/>
      <c r="U63" s="29"/>
      <c r="V63" s="105"/>
      <c r="W63" s="20"/>
      <c r="X63" s="20"/>
    </row>
    <row r="64" spans="2:24" s="28" customFormat="1" ht="13.5" customHeight="1">
      <c r="B64" s="21"/>
      <c r="C64" s="21"/>
      <c r="D64" s="281" t="s">
        <v>898</v>
      </c>
      <c r="E64" s="282">
        <v>273458</v>
      </c>
      <c r="F64" s="20"/>
      <c r="G64" s="43"/>
      <c r="H64" s="440"/>
      <c r="I64" s="441"/>
      <c r="J64" s="442"/>
      <c r="K64" s="443"/>
      <c r="M64" s="443"/>
      <c r="N64" s="443"/>
      <c r="O64" s="443"/>
      <c r="U64" s="29"/>
      <c r="V64" s="105"/>
      <c r="W64" s="20"/>
      <c r="X64" s="20"/>
    </row>
    <row r="65" spans="1:24" s="28" customFormat="1" ht="13.5" customHeight="1">
      <c r="B65" s="21"/>
      <c r="C65" s="21"/>
      <c r="D65" s="436" t="s">
        <v>899</v>
      </c>
      <c r="E65" s="20">
        <v>239950</v>
      </c>
      <c r="F65" s="20"/>
      <c r="G65" s="43"/>
      <c r="H65" s="440"/>
      <c r="I65" s="441"/>
      <c r="J65" s="442"/>
      <c r="K65" s="443"/>
      <c r="U65" s="29"/>
      <c r="V65" s="105"/>
      <c r="W65" s="20"/>
      <c r="X65" s="20"/>
    </row>
    <row r="66" spans="1:24" s="28" customFormat="1" ht="13.5" customHeight="1">
      <c r="B66" s="21"/>
      <c r="C66" s="21"/>
      <c r="D66" s="281" t="s">
        <v>898</v>
      </c>
      <c r="E66" s="282">
        <v>273458</v>
      </c>
      <c r="F66" s="20"/>
      <c r="G66" s="281"/>
      <c r="H66" s="284"/>
      <c r="I66" s="437"/>
      <c r="J66" s="444"/>
      <c r="K66" s="255"/>
      <c r="M66" s="255"/>
      <c r="N66" s="255"/>
      <c r="O66" s="255"/>
      <c r="U66" s="29"/>
      <c r="V66" s="105"/>
      <c r="W66" s="20"/>
      <c r="X66" s="20"/>
    </row>
    <row r="67" spans="1:24" s="28" customFormat="1" ht="13.5" customHeight="1">
      <c r="B67" s="21"/>
      <c r="C67" s="21"/>
      <c r="D67" s="281" t="s">
        <v>896</v>
      </c>
      <c r="E67" s="282">
        <v>273459</v>
      </c>
      <c r="F67" s="20"/>
      <c r="G67" s="281"/>
      <c r="H67" s="284"/>
      <c r="I67" s="275"/>
      <c r="J67" s="279"/>
      <c r="K67" s="254"/>
      <c r="M67" s="255"/>
      <c r="N67" s="255"/>
      <c r="O67" s="255"/>
      <c r="U67" s="29"/>
      <c r="V67" s="105"/>
      <c r="W67" s="20"/>
      <c r="X67" s="20"/>
    </row>
    <row r="68" spans="1:24" s="28" customFormat="1" ht="13.5" customHeight="1">
      <c r="B68" s="21"/>
      <c r="C68" s="21"/>
      <c r="D68" s="436" t="s">
        <v>895</v>
      </c>
      <c r="E68" s="1">
        <v>222604</v>
      </c>
      <c r="F68" s="20"/>
      <c r="G68" s="281"/>
      <c r="H68" s="284"/>
      <c r="I68" s="437"/>
      <c r="J68" s="438"/>
      <c r="K68" s="255"/>
      <c r="M68" s="255"/>
      <c r="N68" s="255"/>
      <c r="O68" s="255"/>
      <c r="U68" s="29"/>
      <c r="V68" s="105"/>
      <c r="W68" s="20"/>
      <c r="X68" s="20"/>
    </row>
    <row r="69" spans="1:24" s="43" customFormat="1">
      <c r="A69"/>
      <c r="B69" s="1"/>
      <c r="C69" s="1"/>
      <c r="D69"/>
      <c r="E69" s="1"/>
      <c r="F69" s="1"/>
      <c r="G69"/>
      <c r="H69"/>
      <c r="I69" s="260"/>
      <c r="J69" s="261"/>
      <c r="K69" s="1"/>
      <c r="L69"/>
      <c r="M69"/>
      <c r="N69"/>
      <c r="O69"/>
      <c r="P69"/>
      <c r="Q69"/>
      <c r="R69"/>
      <c r="S69"/>
      <c r="T69"/>
      <c r="U69" s="42"/>
      <c r="V69" s="100"/>
    </row>
    <row r="70" spans="1:24" s="43" customFormat="1">
      <c r="A70"/>
      <c r="B70" s="1"/>
      <c r="C70" s="1"/>
      <c r="D70"/>
      <c r="E70" s="1"/>
      <c r="F70" s="1"/>
      <c r="G70"/>
      <c r="H70"/>
      <c r="I70" s="260"/>
      <c r="J70" s="261"/>
      <c r="K70" s="1"/>
      <c r="L70"/>
      <c r="M70"/>
      <c r="N70"/>
      <c r="O70"/>
      <c r="P70"/>
      <c r="Q70"/>
      <c r="R70"/>
      <c r="S70"/>
      <c r="T70"/>
      <c r="U70" s="42"/>
      <c r="V70" s="100"/>
    </row>
    <row r="71" spans="1:24" s="43" customFormat="1" ht="14.25" thickBot="1">
      <c r="A71"/>
      <c r="B71" s="1"/>
      <c r="C71" s="1"/>
      <c r="D71"/>
      <c r="E71" s="1"/>
      <c r="F71" s="1"/>
      <c r="G71"/>
      <c r="H71"/>
      <c r="I71" s="260"/>
      <c r="J71" s="261"/>
      <c r="K71" s="1"/>
      <c r="L71"/>
      <c r="M71"/>
      <c r="N71"/>
      <c r="O71"/>
      <c r="P71"/>
      <c r="Q71"/>
      <c r="R71"/>
      <c r="S71"/>
      <c r="T71"/>
      <c r="U71" s="42"/>
      <c r="V71" s="100"/>
    </row>
    <row r="72" spans="1:24" s="43" customFormat="1" ht="18" customHeight="1" thickBot="1">
      <c r="A72"/>
      <c r="B72" s="1"/>
      <c r="C72" s="1"/>
      <c r="D72" s="604"/>
      <c r="E72" s="605"/>
      <c r="F72" s="1"/>
      <c r="G72"/>
      <c r="H72"/>
      <c r="I72" s="12"/>
      <c r="J72" s="15"/>
      <c r="K72" s="1"/>
      <c r="L72"/>
      <c r="M72"/>
      <c r="N72"/>
      <c r="O72"/>
      <c r="P72"/>
      <c r="Q72"/>
      <c r="R72"/>
      <c r="S72"/>
      <c r="T72"/>
      <c r="U72" s="42"/>
      <c r="V72" s="100"/>
    </row>
    <row r="73" spans="1:24" s="28" customFormat="1" ht="16.5" customHeight="1">
      <c r="D73" s="329" t="s">
        <v>27</v>
      </c>
      <c r="E73" s="330" t="s">
        <v>23</v>
      </c>
      <c r="F73" s="331" t="s">
        <v>28</v>
      </c>
      <c r="G73" s="332" t="s">
        <v>28</v>
      </c>
      <c r="H73" s="332" t="s">
        <v>28</v>
      </c>
      <c r="I73" s="333" t="s">
        <v>29</v>
      </c>
      <c r="J73" s="334" t="s">
        <v>30</v>
      </c>
      <c r="K73" s="335" t="s">
        <v>31</v>
      </c>
      <c r="L73" s="335" t="s">
        <v>32</v>
      </c>
      <c r="M73" s="335" t="s">
        <v>33</v>
      </c>
      <c r="U73" s="29"/>
      <c r="V73" s="100"/>
    </row>
    <row r="74" spans="1:24" s="28" customFormat="1" ht="16.5" customHeight="1">
      <c r="B74" s="20"/>
      <c r="C74" s="20"/>
      <c r="D74" s="254"/>
      <c r="E74" s="379">
        <v>144165</v>
      </c>
      <c r="F74" s="395" t="s">
        <v>750</v>
      </c>
      <c r="G74" s="396"/>
      <c r="H74" s="397"/>
      <c r="I74" s="383">
        <v>31200</v>
      </c>
      <c r="J74" s="398">
        <v>144165</v>
      </c>
      <c r="K74" s="399" t="s">
        <v>70</v>
      </c>
      <c r="L74" s="399" t="s">
        <v>34</v>
      </c>
      <c r="M74" s="399">
        <v>20</v>
      </c>
      <c r="N74" s="356">
        <v>34300</v>
      </c>
      <c r="O74" s="28" t="b">
        <f t="shared" ref="O74:O79" si="17">I74=N74</f>
        <v>0</v>
      </c>
    </row>
    <row r="75" spans="1:24" s="28" customFormat="1" ht="16.5" customHeight="1">
      <c r="B75" s="20"/>
      <c r="C75" s="20"/>
      <c r="D75" s="254"/>
      <c r="E75" s="379">
        <v>144166</v>
      </c>
      <c r="F75" s="395" t="s">
        <v>748</v>
      </c>
      <c r="G75" s="396"/>
      <c r="H75" s="397"/>
      <c r="I75" s="383">
        <v>289000</v>
      </c>
      <c r="J75" s="398">
        <v>144166</v>
      </c>
      <c r="K75" s="399" t="s">
        <v>71</v>
      </c>
      <c r="L75" s="399" t="s">
        <v>34</v>
      </c>
      <c r="M75" s="399">
        <v>200</v>
      </c>
      <c r="N75" s="356">
        <v>318000</v>
      </c>
      <c r="O75" s="28" t="b">
        <f t="shared" si="17"/>
        <v>0</v>
      </c>
    </row>
    <row r="76" spans="1:24" s="28" customFormat="1" ht="16.5" customHeight="1">
      <c r="B76" s="20"/>
      <c r="C76" s="20"/>
      <c r="D76" s="254"/>
      <c r="E76" s="379">
        <v>144167</v>
      </c>
      <c r="F76" s="395" t="s">
        <v>745</v>
      </c>
      <c r="G76" s="396"/>
      <c r="H76" s="397"/>
      <c r="I76" s="383">
        <v>31200</v>
      </c>
      <c r="J76" s="398">
        <v>144167</v>
      </c>
      <c r="K76" s="399" t="s">
        <v>70</v>
      </c>
      <c r="L76" s="399" t="s">
        <v>34</v>
      </c>
      <c r="M76" s="399">
        <v>20</v>
      </c>
      <c r="N76" s="356">
        <v>34300</v>
      </c>
      <c r="O76" s="28" t="b">
        <f t="shared" si="17"/>
        <v>0</v>
      </c>
    </row>
    <row r="77" spans="1:24" s="28" customFormat="1" ht="16.5" customHeight="1">
      <c r="B77" s="20"/>
      <c r="C77" s="20"/>
      <c r="D77" s="254"/>
      <c r="E77" s="379">
        <v>144168</v>
      </c>
      <c r="F77" s="395" t="s">
        <v>744</v>
      </c>
      <c r="G77" s="396"/>
      <c r="H77" s="397"/>
      <c r="I77" s="383">
        <v>289000</v>
      </c>
      <c r="J77" s="398">
        <v>144168</v>
      </c>
      <c r="K77" s="399" t="s">
        <v>71</v>
      </c>
      <c r="L77" s="399" t="s">
        <v>34</v>
      </c>
      <c r="M77" s="399">
        <v>200</v>
      </c>
      <c r="N77" s="356">
        <v>318000</v>
      </c>
      <c r="O77" s="28" t="b">
        <f t="shared" si="17"/>
        <v>0</v>
      </c>
    </row>
    <row r="78" spans="1:24" s="28" customFormat="1" ht="16.5" customHeight="1">
      <c r="B78" s="20"/>
      <c r="C78" s="20"/>
      <c r="D78" s="254"/>
      <c r="E78" s="379">
        <v>144169</v>
      </c>
      <c r="F78" s="395" t="s">
        <v>751</v>
      </c>
      <c r="G78" s="396"/>
      <c r="H78" s="397"/>
      <c r="I78" s="383">
        <v>33900</v>
      </c>
      <c r="J78" s="398">
        <v>144169</v>
      </c>
      <c r="K78" s="399" t="s">
        <v>70</v>
      </c>
      <c r="L78" s="399" t="s">
        <v>34</v>
      </c>
      <c r="M78" s="399">
        <v>20</v>
      </c>
      <c r="N78" s="356">
        <v>35300</v>
      </c>
      <c r="O78" s="28" t="b">
        <f t="shared" si="17"/>
        <v>0</v>
      </c>
    </row>
    <row r="79" spans="1:24" s="28" customFormat="1" ht="16.5" customHeight="1">
      <c r="B79" s="20"/>
      <c r="C79" s="20"/>
      <c r="D79" s="254"/>
      <c r="E79" s="379">
        <v>144170</v>
      </c>
      <c r="F79" s="395" t="s">
        <v>752</v>
      </c>
      <c r="G79" s="396"/>
      <c r="H79" s="397"/>
      <c r="I79" s="383">
        <v>314000</v>
      </c>
      <c r="J79" s="398">
        <v>144170</v>
      </c>
      <c r="K79" s="399" t="s">
        <v>71</v>
      </c>
      <c r="L79" s="399" t="s">
        <v>34</v>
      </c>
      <c r="M79" s="399">
        <v>200</v>
      </c>
      <c r="N79" s="356">
        <v>328000</v>
      </c>
      <c r="O79" s="28" t="b">
        <f t="shared" si="17"/>
        <v>0</v>
      </c>
    </row>
    <row r="80" spans="1:24" s="28" customFormat="1" ht="16.5" customHeight="1">
      <c r="B80" s="20"/>
      <c r="C80" s="20"/>
      <c r="D80" s="255"/>
      <c r="E80" s="379">
        <v>135916</v>
      </c>
      <c r="F80" s="395" t="s">
        <v>516</v>
      </c>
      <c r="G80" s="460"/>
      <c r="H80" s="461"/>
      <c r="I80" s="462">
        <v>520000</v>
      </c>
      <c r="J80" s="398">
        <v>135916</v>
      </c>
      <c r="K80" s="399" t="s">
        <v>71</v>
      </c>
      <c r="L80" s="399" t="s">
        <v>34</v>
      </c>
      <c r="M80" s="399">
        <v>200</v>
      </c>
      <c r="N80" s="356">
        <v>547000</v>
      </c>
      <c r="O80" s="28" t="b">
        <v>1</v>
      </c>
    </row>
    <row r="81" spans="2:15" s="28" customFormat="1" ht="16.5" customHeight="1">
      <c r="B81" s="20"/>
      <c r="C81" s="20"/>
      <c r="D81" s="255"/>
      <c r="E81" s="379">
        <v>139029</v>
      </c>
      <c r="F81" s="395" t="s">
        <v>574</v>
      </c>
      <c r="G81" s="460"/>
      <c r="H81" s="461"/>
      <c r="I81" s="462">
        <v>508000</v>
      </c>
      <c r="J81" s="398">
        <v>139029</v>
      </c>
      <c r="K81" s="399" t="s">
        <v>71</v>
      </c>
      <c r="L81" s="399" t="s">
        <v>34</v>
      </c>
      <c r="M81" s="399">
        <v>200</v>
      </c>
      <c r="N81" s="356">
        <v>535000</v>
      </c>
      <c r="O81" s="28" t="b">
        <v>1</v>
      </c>
    </row>
    <row r="82" spans="2:15" s="28" customFormat="1" ht="16.5" customHeight="1">
      <c r="B82" s="20"/>
      <c r="C82" s="20"/>
      <c r="D82" s="255"/>
      <c r="E82" s="379">
        <v>139030</v>
      </c>
      <c r="F82" s="395" t="s">
        <v>236</v>
      </c>
      <c r="G82" s="460"/>
      <c r="H82" s="461"/>
      <c r="I82" s="462">
        <v>54300</v>
      </c>
      <c r="J82" s="398">
        <v>139030</v>
      </c>
      <c r="K82" s="399" t="s">
        <v>70</v>
      </c>
      <c r="L82" s="399" t="s">
        <v>34</v>
      </c>
      <c r="M82" s="399">
        <v>20</v>
      </c>
      <c r="N82" s="356">
        <v>54500</v>
      </c>
      <c r="O82" s="28" t="b">
        <v>1</v>
      </c>
    </row>
    <row r="83" spans="2:15" s="28" customFormat="1" ht="16.5" customHeight="1">
      <c r="B83" s="20"/>
      <c r="C83" s="20"/>
      <c r="D83" s="255"/>
      <c r="E83" s="379">
        <v>139084</v>
      </c>
      <c r="F83" s="395" t="s">
        <v>243</v>
      </c>
      <c r="G83" s="463"/>
      <c r="H83" s="464"/>
      <c r="I83" s="462">
        <v>55700</v>
      </c>
      <c r="J83" s="399">
        <v>139084</v>
      </c>
      <c r="K83" s="399" t="s">
        <v>70</v>
      </c>
      <c r="L83" s="399" t="s">
        <v>34</v>
      </c>
      <c r="M83" s="399">
        <v>20</v>
      </c>
      <c r="N83" s="356">
        <v>58600</v>
      </c>
      <c r="O83" s="28" t="b">
        <v>1</v>
      </c>
    </row>
    <row r="84" spans="2:15" s="28" customFormat="1" ht="16.5" customHeight="1">
      <c r="B84" s="20"/>
      <c r="C84" s="20"/>
      <c r="D84" s="255"/>
      <c r="E84" s="379">
        <v>139085</v>
      </c>
      <c r="F84" s="395" t="s">
        <v>593</v>
      </c>
      <c r="G84" s="463"/>
      <c r="H84" s="464"/>
      <c r="I84" s="462">
        <v>508000</v>
      </c>
      <c r="J84" s="398">
        <v>139085</v>
      </c>
      <c r="K84" s="399" t="s">
        <v>71</v>
      </c>
      <c r="L84" s="399" t="s">
        <v>34</v>
      </c>
      <c r="M84" s="399">
        <v>200</v>
      </c>
      <c r="N84" s="356">
        <v>535000</v>
      </c>
      <c r="O84" s="28" t="b">
        <v>1</v>
      </c>
    </row>
    <row r="85" spans="2:15" s="28" customFormat="1" ht="16.5" customHeight="1">
      <c r="B85" s="20"/>
      <c r="C85" s="20"/>
      <c r="D85" s="255"/>
      <c r="E85" s="379">
        <v>139086</v>
      </c>
      <c r="F85" s="395" t="s">
        <v>226</v>
      </c>
      <c r="G85" s="463"/>
      <c r="H85" s="464"/>
      <c r="I85" s="462">
        <v>54300</v>
      </c>
      <c r="J85" s="398">
        <v>139086</v>
      </c>
      <c r="K85" s="399" t="s">
        <v>70</v>
      </c>
      <c r="L85" s="399" t="s">
        <v>34</v>
      </c>
      <c r="M85" s="399">
        <v>20</v>
      </c>
      <c r="N85" s="356">
        <v>54500</v>
      </c>
      <c r="O85" s="28" t="b">
        <v>1</v>
      </c>
    </row>
    <row r="86" spans="2:15" s="28" customFormat="1" ht="16.5" customHeight="1">
      <c r="B86" s="20"/>
      <c r="C86" s="20"/>
      <c r="D86" s="255"/>
      <c r="E86" s="379">
        <v>139087</v>
      </c>
      <c r="F86" s="395" t="s">
        <v>594</v>
      </c>
      <c r="G86" s="463"/>
      <c r="H86" s="464"/>
      <c r="I86" s="462">
        <v>520000</v>
      </c>
      <c r="J86" s="398">
        <v>139087</v>
      </c>
      <c r="K86" s="399" t="s">
        <v>71</v>
      </c>
      <c r="L86" s="399" t="s">
        <v>34</v>
      </c>
      <c r="M86" s="399">
        <v>200</v>
      </c>
      <c r="N86" s="356">
        <v>547000</v>
      </c>
      <c r="O86" s="28" t="b">
        <v>1</v>
      </c>
    </row>
    <row r="87" spans="2:15" s="28" customFormat="1" ht="16.5" customHeight="1">
      <c r="B87" s="20"/>
      <c r="C87" s="20"/>
      <c r="D87" s="255"/>
      <c r="E87" s="379">
        <v>139088</v>
      </c>
      <c r="F87" s="395" t="s">
        <v>234</v>
      </c>
      <c r="G87" s="463"/>
      <c r="H87" s="464"/>
      <c r="I87" s="462">
        <v>55700</v>
      </c>
      <c r="J87" s="398">
        <v>139088</v>
      </c>
      <c r="K87" s="399" t="s">
        <v>70</v>
      </c>
      <c r="L87" s="399" t="s">
        <v>34</v>
      </c>
      <c r="M87" s="399">
        <v>20</v>
      </c>
      <c r="N87" s="356">
        <v>58600</v>
      </c>
      <c r="O87" s="28" t="b">
        <v>1</v>
      </c>
    </row>
    <row r="88" spans="2:15" s="28" customFormat="1" ht="16.5" customHeight="1">
      <c r="B88" s="20"/>
      <c r="C88" s="20"/>
      <c r="D88" s="255"/>
      <c r="E88" s="379">
        <v>147133</v>
      </c>
      <c r="F88" s="395" t="s">
        <v>1058</v>
      </c>
      <c r="G88" s="460"/>
      <c r="H88" s="461"/>
      <c r="I88" s="462">
        <v>1198000</v>
      </c>
      <c r="J88" s="398">
        <v>147133</v>
      </c>
      <c r="K88" s="399" t="s">
        <v>71</v>
      </c>
      <c r="L88" s="399" t="s">
        <v>34</v>
      </c>
      <c r="M88" s="399">
        <v>200</v>
      </c>
      <c r="N88" s="356"/>
    </row>
    <row r="89" spans="2:15" s="28" customFormat="1" ht="16.5" customHeight="1">
      <c r="B89" s="20"/>
      <c r="C89" s="20"/>
      <c r="D89" s="254"/>
      <c r="E89" s="379">
        <v>120645</v>
      </c>
      <c r="F89" s="380" t="s">
        <v>53</v>
      </c>
      <c r="G89" s="381"/>
      <c r="H89" s="382"/>
      <c r="I89" s="383">
        <v>2213000</v>
      </c>
      <c r="J89" s="384">
        <v>120645</v>
      </c>
      <c r="K89" s="378" t="s">
        <v>71</v>
      </c>
      <c r="L89" s="378" t="s">
        <v>78</v>
      </c>
      <c r="M89" s="378">
        <v>200</v>
      </c>
      <c r="N89" s="356">
        <v>2213000</v>
      </c>
      <c r="O89" s="28" t="b">
        <f>I89=N89</f>
        <v>1</v>
      </c>
    </row>
    <row r="90" spans="2:15" s="28" customFormat="1" ht="16.5" customHeight="1">
      <c r="B90" s="20"/>
      <c r="C90" s="20"/>
      <c r="D90" s="254"/>
      <c r="E90" s="379">
        <v>122916</v>
      </c>
      <c r="F90" s="380" t="s">
        <v>54</v>
      </c>
      <c r="G90" s="381"/>
      <c r="H90" s="382"/>
      <c r="I90" s="383">
        <v>140000</v>
      </c>
      <c r="J90" s="384">
        <v>122916</v>
      </c>
      <c r="K90" s="378" t="s">
        <v>72</v>
      </c>
      <c r="L90" s="378" t="s">
        <v>78</v>
      </c>
      <c r="M90" s="378">
        <v>12</v>
      </c>
      <c r="N90" s="356">
        <v>140000</v>
      </c>
      <c r="O90" s="28" t="b">
        <f t="shared" ref="O90:O153" si="18">I90=N90</f>
        <v>1</v>
      </c>
    </row>
    <row r="91" spans="2:15" s="28" customFormat="1" ht="16.5" customHeight="1">
      <c r="B91" s="20"/>
      <c r="C91" s="20"/>
      <c r="D91" s="254"/>
      <c r="E91" s="379">
        <v>129171</v>
      </c>
      <c r="F91" s="380" t="s">
        <v>58</v>
      </c>
      <c r="G91" s="381"/>
      <c r="H91" s="382"/>
      <c r="I91" s="383">
        <v>59700</v>
      </c>
      <c r="J91" s="384">
        <v>129171</v>
      </c>
      <c r="K91" s="378" t="s">
        <v>70</v>
      </c>
      <c r="L91" s="378" t="s">
        <v>0</v>
      </c>
      <c r="M91" s="378">
        <v>20</v>
      </c>
      <c r="N91" s="356">
        <v>59700</v>
      </c>
      <c r="O91" s="28" t="b">
        <f t="shared" si="18"/>
        <v>1</v>
      </c>
    </row>
    <row r="92" spans="2:15" s="28" customFormat="1" ht="16.5" customHeight="1">
      <c r="B92" s="20"/>
      <c r="C92" s="20"/>
      <c r="D92" s="254"/>
      <c r="E92" s="379">
        <v>129174</v>
      </c>
      <c r="F92" s="380" t="s">
        <v>60</v>
      </c>
      <c r="G92" s="381"/>
      <c r="H92" s="382"/>
      <c r="I92" s="383">
        <v>70200</v>
      </c>
      <c r="J92" s="384">
        <v>129174</v>
      </c>
      <c r="K92" s="378" t="s">
        <v>70</v>
      </c>
      <c r="L92" s="378" t="s">
        <v>0</v>
      </c>
      <c r="M92" s="378">
        <v>20</v>
      </c>
      <c r="N92" s="356">
        <v>70200</v>
      </c>
      <c r="O92" s="28" t="b">
        <f t="shared" si="18"/>
        <v>1</v>
      </c>
    </row>
    <row r="93" spans="2:15" s="28" customFormat="1" ht="16.5" customHeight="1">
      <c r="B93" s="20"/>
      <c r="C93" s="20"/>
      <c r="D93" s="254"/>
      <c r="E93" s="379">
        <v>134989</v>
      </c>
      <c r="F93" s="380" t="s">
        <v>42</v>
      </c>
      <c r="G93" s="381"/>
      <c r="H93" s="382"/>
      <c r="I93" s="383">
        <v>90900</v>
      </c>
      <c r="J93" s="384">
        <v>134989</v>
      </c>
      <c r="K93" s="378" t="s">
        <v>70</v>
      </c>
      <c r="L93" s="378" t="s">
        <v>0</v>
      </c>
      <c r="M93" s="378">
        <v>20</v>
      </c>
      <c r="N93" s="356">
        <v>90900</v>
      </c>
      <c r="O93" s="28" t="b">
        <f t="shared" si="18"/>
        <v>1</v>
      </c>
    </row>
    <row r="94" spans="2:15" s="28" customFormat="1" ht="16.5" customHeight="1">
      <c r="B94" s="20"/>
      <c r="C94" s="20"/>
      <c r="D94" s="254"/>
      <c r="E94" s="379">
        <v>135691</v>
      </c>
      <c r="F94" s="380" t="s">
        <v>62</v>
      </c>
      <c r="G94" s="381"/>
      <c r="H94" s="382"/>
      <c r="I94" s="383">
        <v>91100</v>
      </c>
      <c r="J94" s="384">
        <v>135691</v>
      </c>
      <c r="K94" s="378" t="s">
        <v>70</v>
      </c>
      <c r="L94" s="378" t="s">
        <v>0</v>
      </c>
      <c r="M94" s="378">
        <v>20</v>
      </c>
      <c r="N94" s="356">
        <v>91100</v>
      </c>
      <c r="O94" s="28" t="b">
        <f t="shared" si="18"/>
        <v>1</v>
      </c>
    </row>
    <row r="95" spans="2:15" s="28" customFormat="1" ht="16.5" customHeight="1">
      <c r="B95" s="20"/>
      <c r="C95" s="20"/>
      <c r="D95" s="254"/>
      <c r="E95" s="379">
        <v>138838</v>
      </c>
      <c r="F95" s="380" t="s">
        <v>40</v>
      </c>
      <c r="G95" s="381"/>
      <c r="H95" s="382"/>
      <c r="I95" s="383">
        <v>615000</v>
      </c>
      <c r="J95" s="384">
        <v>138838</v>
      </c>
      <c r="K95" s="378" t="s">
        <v>71</v>
      </c>
      <c r="L95" s="378" t="s">
        <v>0</v>
      </c>
      <c r="M95" s="378">
        <v>200</v>
      </c>
      <c r="N95" s="356">
        <v>615000</v>
      </c>
      <c r="O95" s="28" t="b">
        <f t="shared" si="18"/>
        <v>1</v>
      </c>
    </row>
    <row r="96" spans="2:15" s="28" customFormat="1" ht="16.5" customHeight="1">
      <c r="B96" s="20"/>
      <c r="C96" s="20"/>
      <c r="D96" s="254"/>
      <c r="E96" s="379">
        <v>138840</v>
      </c>
      <c r="F96" s="380" t="s">
        <v>87</v>
      </c>
      <c r="G96" s="381"/>
      <c r="H96" s="382"/>
      <c r="I96" s="383">
        <v>65600</v>
      </c>
      <c r="J96" s="384">
        <v>138840</v>
      </c>
      <c r="K96" s="378" t="s">
        <v>70</v>
      </c>
      <c r="L96" s="378" t="s">
        <v>0</v>
      </c>
      <c r="M96" s="378">
        <v>20</v>
      </c>
      <c r="N96" s="356">
        <v>65600</v>
      </c>
      <c r="O96" s="28" t="b">
        <f t="shared" si="18"/>
        <v>1</v>
      </c>
    </row>
    <row r="97" spans="2:15" s="28" customFormat="1" ht="16.5" customHeight="1">
      <c r="B97" s="20"/>
      <c r="C97" s="20"/>
      <c r="D97" s="254"/>
      <c r="E97" s="379">
        <v>138851</v>
      </c>
      <c r="F97" s="380" t="s">
        <v>48</v>
      </c>
      <c r="G97" s="381"/>
      <c r="H97" s="382"/>
      <c r="I97" s="383">
        <v>1193000</v>
      </c>
      <c r="J97" s="384">
        <v>138851</v>
      </c>
      <c r="K97" s="378" t="s">
        <v>71</v>
      </c>
      <c r="L97" s="378" t="s">
        <v>0</v>
      </c>
      <c r="M97" s="378">
        <v>208</v>
      </c>
      <c r="N97" s="356">
        <v>1193000</v>
      </c>
      <c r="O97" s="28" t="b">
        <f t="shared" si="18"/>
        <v>1</v>
      </c>
    </row>
    <row r="98" spans="2:15" s="28" customFormat="1" ht="16.5" customHeight="1">
      <c r="B98" s="20"/>
      <c r="C98" s="20"/>
      <c r="D98" s="254"/>
      <c r="E98" s="379">
        <v>138889</v>
      </c>
      <c r="F98" s="380" t="s">
        <v>55</v>
      </c>
      <c r="G98" s="381"/>
      <c r="H98" s="382"/>
      <c r="I98" s="383">
        <v>520000</v>
      </c>
      <c r="J98" s="384">
        <v>138889</v>
      </c>
      <c r="K98" s="378" t="s">
        <v>71</v>
      </c>
      <c r="L98" s="378" t="s">
        <v>0</v>
      </c>
      <c r="M98" s="378">
        <v>200</v>
      </c>
      <c r="N98" s="356">
        <v>520000</v>
      </c>
      <c r="O98" s="28" t="b">
        <f t="shared" si="18"/>
        <v>1</v>
      </c>
    </row>
    <row r="99" spans="2:15" s="28" customFormat="1" ht="16.5" customHeight="1">
      <c r="B99" s="20"/>
      <c r="C99" s="20"/>
      <c r="D99" s="254"/>
      <c r="E99" s="379">
        <v>138890</v>
      </c>
      <c r="F99" s="380" t="s">
        <v>56</v>
      </c>
      <c r="G99" s="381"/>
      <c r="H99" s="382"/>
      <c r="I99" s="383">
        <v>54000</v>
      </c>
      <c r="J99" s="384">
        <v>138890</v>
      </c>
      <c r="K99" s="378" t="s">
        <v>70</v>
      </c>
      <c r="L99" s="378" t="s">
        <v>0</v>
      </c>
      <c r="M99" s="378">
        <v>20</v>
      </c>
      <c r="N99" s="356">
        <v>54000</v>
      </c>
      <c r="O99" s="28" t="b">
        <f t="shared" si="18"/>
        <v>1</v>
      </c>
    </row>
    <row r="100" spans="2:15" s="28" customFormat="1" ht="16.5" customHeight="1">
      <c r="B100" s="20"/>
      <c r="C100" s="20"/>
      <c r="D100" s="254"/>
      <c r="E100" s="379">
        <v>138893</v>
      </c>
      <c r="F100" s="380" t="s">
        <v>57</v>
      </c>
      <c r="G100" s="381"/>
      <c r="H100" s="382"/>
      <c r="I100" s="383">
        <v>552000</v>
      </c>
      <c r="J100" s="384">
        <v>138893</v>
      </c>
      <c r="K100" s="378" t="s">
        <v>71</v>
      </c>
      <c r="L100" s="378" t="s">
        <v>0</v>
      </c>
      <c r="M100" s="378">
        <v>200</v>
      </c>
      <c r="N100" s="356">
        <v>552000</v>
      </c>
      <c r="O100" s="28" t="b">
        <f t="shared" si="18"/>
        <v>1</v>
      </c>
    </row>
    <row r="101" spans="2:15" s="28" customFormat="1" ht="16.5" customHeight="1">
      <c r="B101" s="20"/>
      <c r="C101" s="20"/>
      <c r="D101" s="254"/>
      <c r="E101" s="379">
        <v>138895</v>
      </c>
      <c r="F101" s="380" t="s">
        <v>59</v>
      </c>
      <c r="G101" s="381"/>
      <c r="H101" s="382"/>
      <c r="I101" s="383">
        <v>662000</v>
      </c>
      <c r="J101" s="384">
        <v>138895</v>
      </c>
      <c r="K101" s="378" t="s">
        <v>71</v>
      </c>
      <c r="L101" s="378" t="s">
        <v>0</v>
      </c>
      <c r="M101" s="378">
        <v>200</v>
      </c>
      <c r="N101" s="356">
        <v>662000</v>
      </c>
      <c r="O101" s="28" t="b">
        <f t="shared" si="18"/>
        <v>1</v>
      </c>
    </row>
    <row r="102" spans="2:15" s="28" customFormat="1" ht="16.5" customHeight="1">
      <c r="B102" s="20"/>
      <c r="C102" s="20"/>
      <c r="D102" s="254"/>
      <c r="E102" s="379">
        <v>138897</v>
      </c>
      <c r="F102" s="380" t="s">
        <v>61</v>
      </c>
      <c r="G102" s="381"/>
      <c r="H102" s="382"/>
      <c r="I102" s="383">
        <v>885000</v>
      </c>
      <c r="J102" s="384">
        <v>138897</v>
      </c>
      <c r="K102" s="378" t="s">
        <v>71</v>
      </c>
      <c r="L102" s="378" t="s">
        <v>0</v>
      </c>
      <c r="M102" s="378">
        <v>200</v>
      </c>
      <c r="N102" s="356">
        <v>885000</v>
      </c>
      <c r="O102" s="28" t="b">
        <f t="shared" si="18"/>
        <v>1</v>
      </c>
    </row>
    <row r="103" spans="2:15" s="28" customFormat="1" ht="16.5" customHeight="1">
      <c r="B103" s="20"/>
      <c r="C103" s="20"/>
      <c r="D103" s="254"/>
      <c r="E103" s="379">
        <v>138898</v>
      </c>
      <c r="F103" s="380" t="s">
        <v>63</v>
      </c>
      <c r="G103" s="381"/>
      <c r="H103" s="382"/>
      <c r="I103" s="383">
        <v>755000</v>
      </c>
      <c r="J103" s="384">
        <v>138898</v>
      </c>
      <c r="K103" s="378" t="s">
        <v>71</v>
      </c>
      <c r="L103" s="378" t="s">
        <v>0</v>
      </c>
      <c r="M103" s="378">
        <v>200</v>
      </c>
      <c r="N103" s="356">
        <v>755000</v>
      </c>
      <c r="O103" s="28" t="b">
        <f t="shared" si="18"/>
        <v>1</v>
      </c>
    </row>
    <row r="104" spans="2:15" s="28" customFormat="1" ht="16.5" customHeight="1">
      <c r="B104" s="20"/>
      <c r="C104" s="20"/>
      <c r="D104" s="254"/>
      <c r="E104" s="379">
        <v>138899</v>
      </c>
      <c r="F104" s="380" t="s">
        <v>64</v>
      </c>
      <c r="G104" s="381"/>
      <c r="H104" s="382"/>
      <c r="I104" s="383">
        <v>78100</v>
      </c>
      <c r="J104" s="384">
        <v>138899</v>
      </c>
      <c r="K104" s="378" t="s">
        <v>70</v>
      </c>
      <c r="L104" s="378" t="s">
        <v>0</v>
      </c>
      <c r="M104" s="378">
        <v>20</v>
      </c>
      <c r="N104" s="356">
        <v>78100</v>
      </c>
      <c r="O104" s="28" t="b">
        <f t="shared" si="18"/>
        <v>1</v>
      </c>
    </row>
    <row r="105" spans="2:15" s="28" customFormat="1" ht="16.5" customHeight="1">
      <c r="B105" s="20"/>
      <c r="C105" s="20"/>
      <c r="D105" s="254"/>
      <c r="E105" s="379">
        <v>139641</v>
      </c>
      <c r="F105" s="380" t="s">
        <v>90</v>
      </c>
      <c r="G105" s="381"/>
      <c r="H105" s="382"/>
      <c r="I105" s="383">
        <v>43600</v>
      </c>
      <c r="J105" s="384">
        <v>139641</v>
      </c>
      <c r="K105" s="378" t="s">
        <v>73</v>
      </c>
      <c r="L105" s="378" t="s">
        <v>0</v>
      </c>
      <c r="M105" s="378">
        <v>12</v>
      </c>
      <c r="N105" s="356">
        <v>43600</v>
      </c>
      <c r="O105" s="28" t="b">
        <f t="shared" si="18"/>
        <v>1</v>
      </c>
    </row>
    <row r="106" spans="2:15" s="28" customFormat="1" ht="16.5" customHeight="1">
      <c r="B106" s="20"/>
      <c r="C106" s="20"/>
      <c r="D106" s="254"/>
      <c r="E106" s="379">
        <v>139881</v>
      </c>
      <c r="F106" s="385" t="s">
        <v>101</v>
      </c>
      <c r="G106" s="386"/>
      <c r="H106" s="387"/>
      <c r="I106" s="383">
        <v>771000</v>
      </c>
      <c r="J106" s="384">
        <v>139881</v>
      </c>
      <c r="K106" s="378" t="s">
        <v>71</v>
      </c>
      <c r="L106" s="378" t="s">
        <v>78</v>
      </c>
      <c r="M106" s="378">
        <v>200</v>
      </c>
      <c r="N106" s="356">
        <v>771000</v>
      </c>
      <c r="O106" s="28" t="b">
        <f t="shared" si="18"/>
        <v>1</v>
      </c>
    </row>
    <row r="107" spans="2:15" s="28" customFormat="1" ht="16.5" customHeight="1">
      <c r="B107" s="20"/>
      <c r="C107" s="20"/>
      <c r="D107" s="254"/>
      <c r="E107" s="379">
        <v>140382</v>
      </c>
      <c r="F107" s="380" t="s">
        <v>83</v>
      </c>
      <c r="G107" s="381"/>
      <c r="H107" s="382"/>
      <c r="I107" s="383">
        <v>2212000</v>
      </c>
      <c r="J107" s="384">
        <v>140382</v>
      </c>
      <c r="K107" s="378" t="s">
        <v>71</v>
      </c>
      <c r="L107" s="378" t="s">
        <v>0</v>
      </c>
      <c r="M107" s="378">
        <v>208</v>
      </c>
      <c r="N107" s="356">
        <v>2212000</v>
      </c>
      <c r="O107" s="28" t="b">
        <f t="shared" si="18"/>
        <v>1</v>
      </c>
    </row>
    <row r="108" spans="2:15" s="28" customFormat="1" ht="16.5" customHeight="1">
      <c r="B108" s="20"/>
      <c r="C108" s="20"/>
      <c r="D108" s="254"/>
      <c r="E108" s="379">
        <v>140563</v>
      </c>
      <c r="F108" s="388" t="s">
        <v>124</v>
      </c>
      <c r="G108" s="389"/>
      <c r="H108" s="390"/>
      <c r="I108" s="383">
        <v>216000</v>
      </c>
      <c r="J108" s="391">
        <v>140563</v>
      </c>
      <c r="K108" s="392" t="s">
        <v>70</v>
      </c>
      <c r="L108" s="392" t="s">
        <v>0</v>
      </c>
      <c r="M108" s="392">
        <v>16</v>
      </c>
      <c r="N108" s="356">
        <v>216000</v>
      </c>
      <c r="O108" s="28" t="b">
        <f t="shared" si="18"/>
        <v>1</v>
      </c>
    </row>
    <row r="109" spans="2:15" s="28" customFormat="1" ht="16.5" customHeight="1">
      <c r="B109" s="20"/>
      <c r="C109" s="20"/>
      <c r="D109" s="254"/>
      <c r="E109" s="379">
        <v>143003</v>
      </c>
      <c r="F109" s="380" t="s">
        <v>132</v>
      </c>
      <c r="G109" s="381"/>
      <c r="H109" s="382"/>
      <c r="I109" s="383">
        <v>150000</v>
      </c>
      <c r="J109" s="384">
        <v>143003</v>
      </c>
      <c r="K109" s="378" t="s">
        <v>70</v>
      </c>
      <c r="L109" s="378" t="s">
        <v>0</v>
      </c>
      <c r="M109" s="378">
        <v>20</v>
      </c>
      <c r="N109" s="356">
        <v>150000</v>
      </c>
      <c r="O109" s="28" t="b">
        <f t="shared" si="18"/>
        <v>1</v>
      </c>
    </row>
    <row r="110" spans="2:15" s="28" customFormat="1" ht="16.5" customHeight="1">
      <c r="B110" s="20"/>
      <c r="C110" s="20"/>
      <c r="D110" s="254"/>
      <c r="E110" s="379">
        <v>143240</v>
      </c>
      <c r="F110" s="380" t="s">
        <v>746</v>
      </c>
      <c r="G110" s="381"/>
      <c r="H110" s="382"/>
      <c r="I110" s="383">
        <v>107800</v>
      </c>
      <c r="J110" s="384">
        <v>143240</v>
      </c>
      <c r="K110" s="378" t="s">
        <v>73</v>
      </c>
      <c r="L110" s="378" t="s">
        <v>0</v>
      </c>
      <c r="M110" s="378">
        <v>16</v>
      </c>
      <c r="N110" s="356">
        <v>107800</v>
      </c>
      <c r="O110" s="28" t="b">
        <f t="shared" si="18"/>
        <v>1</v>
      </c>
    </row>
    <row r="111" spans="2:15" s="28" customFormat="1" ht="16.5" customHeight="1">
      <c r="B111" s="20"/>
      <c r="C111" s="20"/>
      <c r="D111" s="254"/>
      <c r="E111" s="379">
        <v>138583</v>
      </c>
      <c r="F111" s="380" t="s">
        <v>740</v>
      </c>
      <c r="G111" s="381"/>
      <c r="H111" s="382"/>
      <c r="I111" s="383">
        <v>44600</v>
      </c>
      <c r="J111" s="378">
        <v>138583</v>
      </c>
      <c r="K111" s="378" t="s">
        <v>73</v>
      </c>
      <c r="L111" s="378" t="s">
        <v>741</v>
      </c>
      <c r="M111" s="378">
        <v>12</v>
      </c>
      <c r="N111" s="356" t="e">
        <v>#N/A</v>
      </c>
      <c r="O111" s="28" t="e">
        <f t="shared" si="18"/>
        <v>#N/A</v>
      </c>
    </row>
    <row r="112" spans="2:15" s="28" customFormat="1" ht="16.5" customHeight="1">
      <c r="B112" s="20"/>
      <c r="C112" s="20"/>
      <c r="D112" s="254"/>
      <c r="E112" s="379">
        <v>123205</v>
      </c>
      <c r="F112" s="380" t="s">
        <v>49</v>
      </c>
      <c r="G112" s="381"/>
      <c r="H112" s="382"/>
      <c r="I112" s="383">
        <v>60300</v>
      </c>
      <c r="J112" s="384">
        <v>123205</v>
      </c>
      <c r="K112" s="393" t="s">
        <v>73</v>
      </c>
      <c r="L112" s="378" t="s">
        <v>35</v>
      </c>
      <c r="M112" s="378">
        <v>6</v>
      </c>
      <c r="N112" s="356">
        <v>60300</v>
      </c>
      <c r="O112" s="28" t="b">
        <f t="shared" si="18"/>
        <v>1</v>
      </c>
    </row>
    <row r="113" spans="2:15" s="28" customFormat="1" ht="16.5" customHeight="1">
      <c r="B113" s="20"/>
      <c r="C113" s="20"/>
      <c r="D113" s="254"/>
      <c r="E113" s="379">
        <v>124476</v>
      </c>
      <c r="F113" s="380" t="s">
        <v>52</v>
      </c>
      <c r="G113" s="381"/>
      <c r="H113" s="382"/>
      <c r="I113" s="383">
        <v>63200</v>
      </c>
      <c r="J113" s="384">
        <v>124476</v>
      </c>
      <c r="K113" s="378" t="s">
        <v>70</v>
      </c>
      <c r="L113" s="378" t="s">
        <v>79</v>
      </c>
      <c r="M113" s="378">
        <v>20</v>
      </c>
      <c r="N113" s="356">
        <v>63200</v>
      </c>
      <c r="O113" s="28" t="b">
        <f t="shared" si="18"/>
        <v>1</v>
      </c>
    </row>
    <row r="114" spans="2:15" s="28" customFormat="1" ht="16.5" customHeight="1">
      <c r="B114" s="20"/>
      <c r="C114" s="20"/>
      <c r="D114" s="254"/>
      <c r="E114" s="379">
        <v>135080</v>
      </c>
      <c r="F114" s="380" t="s">
        <v>44</v>
      </c>
      <c r="G114" s="381"/>
      <c r="H114" s="382"/>
      <c r="I114" s="383">
        <v>110000</v>
      </c>
      <c r="J114" s="378">
        <v>135080</v>
      </c>
      <c r="K114" s="393" t="s">
        <v>73</v>
      </c>
      <c r="L114" s="378" t="s">
        <v>35</v>
      </c>
      <c r="M114" s="378">
        <v>12</v>
      </c>
      <c r="N114" s="356">
        <v>110000</v>
      </c>
      <c r="O114" s="28" t="b">
        <f t="shared" si="18"/>
        <v>1</v>
      </c>
    </row>
    <row r="115" spans="2:15" s="28" customFormat="1" ht="16.5" customHeight="1">
      <c r="B115" s="20"/>
      <c r="C115" s="20"/>
      <c r="D115" s="254"/>
      <c r="E115" s="379">
        <v>138806</v>
      </c>
      <c r="F115" s="380" t="s">
        <v>50</v>
      </c>
      <c r="G115" s="381"/>
      <c r="H115" s="382"/>
      <c r="I115" s="383">
        <v>148600</v>
      </c>
      <c r="J115" s="384">
        <v>138806</v>
      </c>
      <c r="K115" s="378" t="s">
        <v>72</v>
      </c>
      <c r="L115" s="378" t="s">
        <v>35</v>
      </c>
      <c r="M115" s="378">
        <v>9.94</v>
      </c>
      <c r="N115" s="356">
        <v>148600</v>
      </c>
      <c r="O115" s="28" t="b">
        <f t="shared" si="18"/>
        <v>1</v>
      </c>
    </row>
    <row r="116" spans="2:15" s="28" customFormat="1" ht="16.5" customHeight="1">
      <c r="B116" s="20"/>
      <c r="C116" s="20"/>
      <c r="D116" s="254"/>
      <c r="E116" s="379">
        <v>138827</v>
      </c>
      <c r="F116" s="380" t="s">
        <v>51</v>
      </c>
      <c r="G116" s="381"/>
      <c r="H116" s="382"/>
      <c r="I116" s="383">
        <v>595000</v>
      </c>
      <c r="J116" s="384">
        <v>138827</v>
      </c>
      <c r="K116" s="378" t="s">
        <v>71</v>
      </c>
      <c r="L116" s="378" t="s">
        <v>35</v>
      </c>
      <c r="M116" s="378">
        <v>200</v>
      </c>
      <c r="N116" s="356">
        <v>595000</v>
      </c>
      <c r="O116" s="28" t="b">
        <f t="shared" si="18"/>
        <v>1</v>
      </c>
    </row>
    <row r="117" spans="2:15" s="28" customFormat="1" ht="16.5" customHeight="1">
      <c r="B117" s="20"/>
      <c r="C117" s="20"/>
      <c r="D117" s="254"/>
      <c r="E117" s="379">
        <v>138888</v>
      </c>
      <c r="F117" s="380" t="s">
        <v>102</v>
      </c>
      <c r="G117" s="381"/>
      <c r="H117" s="382"/>
      <c r="I117" s="383">
        <v>233000</v>
      </c>
      <c r="J117" s="384">
        <v>138888</v>
      </c>
      <c r="K117" s="378" t="s">
        <v>70</v>
      </c>
      <c r="L117" s="378" t="s">
        <v>79</v>
      </c>
      <c r="M117" s="378">
        <v>20</v>
      </c>
      <c r="N117" s="356">
        <v>233000</v>
      </c>
      <c r="O117" s="28" t="b">
        <f t="shared" si="18"/>
        <v>1</v>
      </c>
    </row>
    <row r="118" spans="2:15" s="28" customFormat="1" ht="16.5" customHeight="1">
      <c r="B118" s="20"/>
      <c r="C118" s="20"/>
      <c r="D118" s="254"/>
      <c r="E118" s="379">
        <v>138892</v>
      </c>
      <c r="F118" s="380" t="s">
        <v>85</v>
      </c>
      <c r="G118" s="381"/>
      <c r="H118" s="382"/>
      <c r="I118" s="383">
        <v>46500</v>
      </c>
      <c r="J118" s="384">
        <v>138892</v>
      </c>
      <c r="K118" s="378" t="s">
        <v>72</v>
      </c>
      <c r="L118" s="378" t="s">
        <v>35</v>
      </c>
      <c r="M118" s="378">
        <v>16</v>
      </c>
      <c r="N118" s="356">
        <v>46500</v>
      </c>
      <c r="O118" s="28" t="b">
        <f t="shared" si="18"/>
        <v>1</v>
      </c>
    </row>
    <row r="119" spans="2:15" s="28" customFormat="1" ht="16.5" customHeight="1">
      <c r="B119" s="20"/>
      <c r="C119" s="20"/>
      <c r="D119" s="254"/>
      <c r="E119" s="379">
        <v>142227</v>
      </c>
      <c r="F119" s="380" t="s">
        <v>117</v>
      </c>
      <c r="G119" s="381"/>
      <c r="H119" s="382"/>
      <c r="I119" s="383">
        <v>853000</v>
      </c>
      <c r="J119" s="384">
        <v>142227</v>
      </c>
      <c r="K119" s="378" t="s">
        <v>103</v>
      </c>
      <c r="L119" s="378" t="s">
        <v>35</v>
      </c>
      <c r="M119" s="378">
        <v>200</v>
      </c>
      <c r="N119" s="356" t="e">
        <v>#N/A</v>
      </c>
      <c r="O119" s="28" t="e">
        <f t="shared" si="18"/>
        <v>#N/A</v>
      </c>
    </row>
    <row r="120" spans="2:15" s="28" customFormat="1" ht="16.5" customHeight="1">
      <c r="B120" s="20"/>
      <c r="C120" s="20"/>
      <c r="D120" s="254"/>
      <c r="E120" s="379">
        <v>140169</v>
      </c>
      <c r="F120" s="380" t="s">
        <v>84</v>
      </c>
      <c r="G120" s="381"/>
      <c r="H120" s="382"/>
      <c r="I120" s="383">
        <v>62400</v>
      </c>
      <c r="J120" s="384">
        <v>140169</v>
      </c>
      <c r="K120" s="393" t="s">
        <v>73</v>
      </c>
      <c r="L120" s="378" t="s">
        <v>35</v>
      </c>
      <c r="M120" s="378">
        <v>12</v>
      </c>
      <c r="N120" s="356" t="e">
        <v>#N/A</v>
      </c>
      <c r="O120" s="28" t="e">
        <f t="shared" si="18"/>
        <v>#N/A</v>
      </c>
    </row>
    <row r="121" spans="2:15" s="28" customFormat="1" ht="16.5" customHeight="1">
      <c r="B121" s="20"/>
      <c r="C121" s="20"/>
      <c r="D121" s="254"/>
      <c r="E121" s="379">
        <v>140657</v>
      </c>
      <c r="F121" s="380" t="s">
        <v>43</v>
      </c>
      <c r="G121" s="381"/>
      <c r="H121" s="382"/>
      <c r="I121" s="383">
        <v>118000</v>
      </c>
      <c r="J121" s="384">
        <v>140657</v>
      </c>
      <c r="K121" s="378" t="s">
        <v>73</v>
      </c>
      <c r="L121" s="378" t="s">
        <v>79</v>
      </c>
      <c r="M121" s="378">
        <v>12</v>
      </c>
      <c r="N121" s="356">
        <v>118000</v>
      </c>
      <c r="O121" s="28" t="b">
        <f t="shared" si="18"/>
        <v>1</v>
      </c>
    </row>
    <row r="122" spans="2:15" s="28" customFormat="1" ht="16.5" customHeight="1">
      <c r="B122" s="20"/>
      <c r="C122" s="20"/>
      <c r="D122" s="254"/>
      <c r="E122" s="379">
        <v>140660</v>
      </c>
      <c r="F122" s="380" t="s">
        <v>100</v>
      </c>
      <c r="G122" s="381"/>
      <c r="H122" s="382"/>
      <c r="I122" s="383">
        <v>118000</v>
      </c>
      <c r="J122" s="384">
        <v>140660</v>
      </c>
      <c r="K122" s="378" t="s">
        <v>73</v>
      </c>
      <c r="L122" s="378" t="s">
        <v>79</v>
      </c>
      <c r="M122" s="378">
        <v>12</v>
      </c>
      <c r="N122" s="356">
        <v>118000</v>
      </c>
      <c r="O122" s="28" t="b">
        <f t="shared" si="18"/>
        <v>1</v>
      </c>
    </row>
    <row r="123" spans="2:15" s="28" customFormat="1" ht="16.5" customHeight="1">
      <c r="B123" s="20"/>
      <c r="C123" s="20"/>
      <c r="D123" s="254"/>
      <c r="E123" s="379">
        <v>140661</v>
      </c>
      <c r="F123" s="380" t="s">
        <v>106</v>
      </c>
      <c r="G123" s="381"/>
      <c r="H123" s="382"/>
      <c r="I123" s="383">
        <v>1789000</v>
      </c>
      <c r="J123" s="378">
        <v>140661</v>
      </c>
      <c r="K123" s="378" t="s">
        <v>103</v>
      </c>
      <c r="L123" s="378" t="s">
        <v>79</v>
      </c>
      <c r="M123" s="378">
        <v>200</v>
      </c>
      <c r="N123" s="356">
        <v>1789000</v>
      </c>
      <c r="O123" s="28" t="b">
        <f t="shared" si="18"/>
        <v>1</v>
      </c>
    </row>
    <row r="124" spans="2:15" s="28" customFormat="1" ht="16.5" customHeight="1">
      <c r="B124" s="20"/>
      <c r="C124" s="20"/>
      <c r="D124" s="254"/>
      <c r="E124" s="379">
        <v>141593</v>
      </c>
      <c r="F124" s="380" t="s">
        <v>104</v>
      </c>
      <c r="G124" s="381"/>
      <c r="H124" s="382"/>
      <c r="I124" s="383">
        <v>479000</v>
      </c>
      <c r="J124" s="384">
        <v>141593</v>
      </c>
      <c r="K124" s="378" t="s">
        <v>71</v>
      </c>
      <c r="L124" s="378" t="s">
        <v>35</v>
      </c>
      <c r="M124" s="378">
        <v>200</v>
      </c>
      <c r="N124" s="356">
        <v>479000</v>
      </c>
      <c r="O124" s="28" t="b">
        <f t="shared" si="18"/>
        <v>1</v>
      </c>
    </row>
    <row r="125" spans="2:15" s="28" customFormat="1" ht="16.5" customHeight="1">
      <c r="B125" s="20"/>
      <c r="C125" s="20"/>
      <c r="D125" s="254"/>
      <c r="E125" s="379">
        <v>120082</v>
      </c>
      <c r="F125" s="380" t="s">
        <v>97</v>
      </c>
      <c r="G125" s="381"/>
      <c r="H125" s="382"/>
      <c r="I125" s="383">
        <v>662475</v>
      </c>
      <c r="J125" s="384">
        <v>120082</v>
      </c>
      <c r="K125" s="378" t="s">
        <v>70</v>
      </c>
      <c r="L125" s="378" t="s">
        <v>69</v>
      </c>
      <c r="M125" s="378">
        <v>16</v>
      </c>
      <c r="N125" s="356">
        <v>605000</v>
      </c>
      <c r="O125" s="28" t="b">
        <f t="shared" si="18"/>
        <v>0</v>
      </c>
    </row>
    <row r="126" spans="2:15" s="28" customFormat="1" ht="16.5" customHeight="1">
      <c r="B126" s="20"/>
      <c r="C126" s="20"/>
      <c r="D126" s="254"/>
      <c r="E126" s="379">
        <v>120084</v>
      </c>
      <c r="F126" s="380" t="s">
        <v>760</v>
      </c>
      <c r="G126" s="381"/>
      <c r="H126" s="382"/>
      <c r="I126" s="383">
        <v>501510</v>
      </c>
      <c r="J126" s="394">
        <v>120084</v>
      </c>
      <c r="K126" s="393" t="s">
        <v>761</v>
      </c>
      <c r="L126" s="378" t="s">
        <v>69</v>
      </c>
      <c r="M126" s="378">
        <v>22.8</v>
      </c>
      <c r="N126" s="356">
        <v>458000</v>
      </c>
      <c r="O126" s="28" t="b">
        <f t="shared" si="18"/>
        <v>0</v>
      </c>
    </row>
    <row r="127" spans="2:15" s="28" customFormat="1" ht="16.5" customHeight="1">
      <c r="B127" s="20"/>
      <c r="C127" s="20"/>
      <c r="D127" s="254"/>
      <c r="E127" s="379">
        <v>120088</v>
      </c>
      <c r="F127" s="380" t="s">
        <v>118</v>
      </c>
      <c r="G127" s="381"/>
      <c r="H127" s="382"/>
      <c r="I127" s="383">
        <v>4264030</v>
      </c>
      <c r="J127" s="384">
        <v>120088</v>
      </c>
      <c r="K127" s="378" t="s">
        <v>71</v>
      </c>
      <c r="L127" s="378" t="s">
        <v>69</v>
      </c>
      <c r="M127" s="378">
        <v>208</v>
      </c>
      <c r="N127" s="356" t="e">
        <v>#N/A</v>
      </c>
      <c r="O127" s="28" t="e">
        <f t="shared" si="18"/>
        <v>#N/A</v>
      </c>
    </row>
    <row r="128" spans="2:15" s="28" customFormat="1" ht="16.5" customHeight="1">
      <c r="B128" s="20"/>
      <c r="C128" s="20"/>
      <c r="D128" s="254"/>
      <c r="E128" s="379">
        <v>120089</v>
      </c>
      <c r="F128" s="380" t="s">
        <v>762</v>
      </c>
      <c r="G128" s="381"/>
      <c r="H128" s="382"/>
      <c r="I128" s="383">
        <v>416100</v>
      </c>
      <c r="J128" s="384">
        <v>120089</v>
      </c>
      <c r="K128" s="378" t="s">
        <v>761</v>
      </c>
      <c r="L128" s="378" t="s">
        <v>69</v>
      </c>
      <c r="M128" s="378">
        <v>22.8</v>
      </c>
      <c r="N128" s="356">
        <v>380000</v>
      </c>
      <c r="O128" s="28" t="b">
        <f t="shared" si="18"/>
        <v>0</v>
      </c>
    </row>
    <row r="129" spans="2:15" s="28" customFormat="1" ht="16.5" customHeight="1">
      <c r="B129" s="20"/>
      <c r="C129" s="20"/>
      <c r="D129" s="254"/>
      <c r="E129" s="379">
        <v>134601</v>
      </c>
      <c r="F129" s="380" t="s">
        <v>763</v>
      </c>
      <c r="G129" s="381"/>
      <c r="H129" s="382"/>
      <c r="I129" s="383">
        <v>4077780</v>
      </c>
      <c r="J129" s="384">
        <v>134601</v>
      </c>
      <c r="K129" s="378" t="s">
        <v>71</v>
      </c>
      <c r="L129" s="378" t="s">
        <v>69</v>
      </c>
      <c r="M129" s="378">
        <v>200</v>
      </c>
      <c r="N129" s="356">
        <v>3724000</v>
      </c>
      <c r="O129" s="28" t="b">
        <f t="shared" si="18"/>
        <v>0</v>
      </c>
    </row>
    <row r="130" spans="2:15" s="28" customFormat="1" ht="16.5" customHeight="1">
      <c r="B130" s="20"/>
      <c r="C130" s="20"/>
      <c r="D130" s="254"/>
      <c r="E130" s="379">
        <v>134756</v>
      </c>
      <c r="F130" s="380" t="s">
        <v>107</v>
      </c>
      <c r="G130" s="381"/>
      <c r="H130" s="382"/>
      <c r="I130" s="383">
        <v>724890</v>
      </c>
      <c r="J130" s="378">
        <v>134756</v>
      </c>
      <c r="K130" s="378" t="s">
        <v>70</v>
      </c>
      <c r="L130" s="378" t="s">
        <v>69</v>
      </c>
      <c r="M130" s="378">
        <v>16</v>
      </c>
      <c r="N130" s="356">
        <v>662000</v>
      </c>
      <c r="O130" s="28" t="b">
        <f t="shared" si="18"/>
        <v>0</v>
      </c>
    </row>
    <row r="131" spans="2:15" s="28" customFormat="1" ht="16.5" customHeight="1">
      <c r="B131" s="20"/>
      <c r="C131" s="20"/>
      <c r="D131" s="254"/>
      <c r="E131" s="379">
        <v>135390</v>
      </c>
      <c r="F131" s="380" t="s">
        <v>764</v>
      </c>
      <c r="G131" s="381"/>
      <c r="H131" s="382"/>
      <c r="I131" s="383">
        <v>573780</v>
      </c>
      <c r="J131" s="378">
        <v>135390</v>
      </c>
      <c r="K131" s="378" t="s">
        <v>70</v>
      </c>
      <c r="L131" s="378" t="s">
        <v>69</v>
      </c>
      <c r="M131" s="378">
        <v>20</v>
      </c>
      <c r="N131" s="356">
        <v>524000</v>
      </c>
      <c r="O131" s="28" t="b">
        <f t="shared" si="18"/>
        <v>0</v>
      </c>
    </row>
    <row r="132" spans="2:15" s="28" customFormat="1" ht="16.5" customHeight="1">
      <c r="B132" s="20"/>
      <c r="C132" s="20"/>
      <c r="D132" s="254"/>
      <c r="E132" s="379">
        <v>120969</v>
      </c>
      <c r="F132" s="395" t="s">
        <v>254</v>
      </c>
      <c r="G132" s="396"/>
      <c r="H132" s="397"/>
      <c r="I132" s="383">
        <v>235000</v>
      </c>
      <c r="J132" s="398">
        <v>120969</v>
      </c>
      <c r="K132" s="399" t="s">
        <v>70</v>
      </c>
      <c r="L132" s="399" t="s">
        <v>34</v>
      </c>
      <c r="M132" s="399">
        <v>18.899999999999999</v>
      </c>
      <c r="N132" s="356">
        <v>222000</v>
      </c>
      <c r="O132" s="28" t="b">
        <f t="shared" si="18"/>
        <v>0</v>
      </c>
    </row>
    <row r="133" spans="2:15" s="28" customFormat="1" ht="16.5" customHeight="1">
      <c r="B133" s="20"/>
      <c r="C133" s="20"/>
      <c r="D133" s="254"/>
      <c r="E133" s="379">
        <v>121540</v>
      </c>
      <c r="F133" s="395" t="s">
        <v>419</v>
      </c>
      <c r="G133" s="396"/>
      <c r="H133" s="397"/>
      <c r="I133" s="383">
        <v>1684000</v>
      </c>
      <c r="J133" s="398">
        <v>121540</v>
      </c>
      <c r="K133" s="399" t="s">
        <v>71</v>
      </c>
      <c r="L133" s="399" t="s">
        <v>34</v>
      </c>
      <c r="M133" s="399">
        <v>208</v>
      </c>
      <c r="N133" s="356">
        <v>1684000</v>
      </c>
      <c r="O133" s="28" t="b">
        <f t="shared" si="18"/>
        <v>1</v>
      </c>
    </row>
    <row r="134" spans="2:15" s="28" customFormat="1" ht="16.5" customHeight="1">
      <c r="B134" s="20"/>
      <c r="C134" s="20"/>
      <c r="D134" s="254"/>
      <c r="E134" s="379">
        <v>121558</v>
      </c>
      <c r="F134" s="395" t="s">
        <v>255</v>
      </c>
      <c r="G134" s="396"/>
      <c r="H134" s="397"/>
      <c r="I134" s="383">
        <v>311000</v>
      </c>
      <c r="J134" s="398">
        <v>121558</v>
      </c>
      <c r="K134" s="399" t="s">
        <v>70</v>
      </c>
      <c r="L134" s="399" t="s">
        <v>34</v>
      </c>
      <c r="M134" s="399">
        <v>17.251999999999999</v>
      </c>
      <c r="N134" s="356">
        <v>311000</v>
      </c>
      <c r="O134" s="28" t="b">
        <f t="shared" si="18"/>
        <v>1</v>
      </c>
    </row>
    <row r="135" spans="2:15" s="28" customFormat="1" ht="16.5" customHeight="1">
      <c r="B135" s="20"/>
      <c r="C135" s="20"/>
      <c r="D135" s="254"/>
      <c r="E135" s="379">
        <v>121759</v>
      </c>
      <c r="F135" s="395" t="s">
        <v>765</v>
      </c>
      <c r="G135" s="396"/>
      <c r="H135" s="397"/>
      <c r="I135" s="383">
        <v>1230000</v>
      </c>
      <c r="J135" s="399">
        <v>121759</v>
      </c>
      <c r="K135" s="399" t="s">
        <v>71</v>
      </c>
      <c r="L135" s="399" t="s">
        <v>34</v>
      </c>
      <c r="M135" s="399">
        <v>208</v>
      </c>
      <c r="N135" s="356">
        <v>1230000</v>
      </c>
      <c r="O135" s="28" t="b">
        <f t="shared" si="18"/>
        <v>1</v>
      </c>
    </row>
    <row r="136" spans="2:15" s="28" customFormat="1" ht="16.5" customHeight="1">
      <c r="B136" s="20"/>
      <c r="C136" s="20"/>
      <c r="D136" s="254"/>
      <c r="E136" s="379">
        <v>121762</v>
      </c>
      <c r="F136" s="395" t="s">
        <v>434</v>
      </c>
      <c r="G136" s="396"/>
      <c r="H136" s="397"/>
      <c r="I136" s="383">
        <v>1302000</v>
      </c>
      <c r="J136" s="399">
        <v>121762</v>
      </c>
      <c r="K136" s="399" t="s">
        <v>71</v>
      </c>
      <c r="L136" s="399" t="s">
        <v>34</v>
      </c>
      <c r="M136" s="399">
        <v>208</v>
      </c>
      <c r="N136" s="356">
        <v>1302000</v>
      </c>
      <c r="O136" s="28" t="b">
        <f t="shared" si="18"/>
        <v>1</v>
      </c>
    </row>
    <row r="137" spans="2:15" s="28" customFormat="1" ht="16.5" customHeight="1">
      <c r="B137" s="20"/>
      <c r="C137" s="20"/>
      <c r="D137" s="254"/>
      <c r="E137" s="379">
        <v>121764</v>
      </c>
      <c r="F137" s="395" t="s">
        <v>435</v>
      </c>
      <c r="G137" s="396"/>
      <c r="H137" s="397"/>
      <c r="I137" s="383">
        <v>1246000</v>
      </c>
      <c r="J137" s="399">
        <v>121764</v>
      </c>
      <c r="K137" s="399" t="s">
        <v>71</v>
      </c>
      <c r="L137" s="399" t="s">
        <v>34</v>
      </c>
      <c r="M137" s="399">
        <v>208</v>
      </c>
      <c r="N137" s="356">
        <v>1246000</v>
      </c>
      <c r="O137" s="28" t="b">
        <f t="shared" si="18"/>
        <v>1</v>
      </c>
    </row>
    <row r="138" spans="2:15" s="28" customFormat="1" ht="16.5" customHeight="1">
      <c r="B138" s="20"/>
      <c r="C138" s="20"/>
      <c r="D138" s="254"/>
      <c r="E138" s="379">
        <v>121892</v>
      </c>
      <c r="F138" s="395" t="s">
        <v>256</v>
      </c>
      <c r="G138" s="396"/>
      <c r="H138" s="397"/>
      <c r="I138" s="383">
        <v>481000</v>
      </c>
      <c r="J138" s="399">
        <v>121892</v>
      </c>
      <c r="K138" s="399" t="s">
        <v>70</v>
      </c>
      <c r="L138" s="399" t="s">
        <v>34</v>
      </c>
      <c r="M138" s="399">
        <v>18.899999999999999</v>
      </c>
      <c r="N138" s="356">
        <v>481000</v>
      </c>
      <c r="O138" s="28" t="b">
        <f t="shared" si="18"/>
        <v>1</v>
      </c>
    </row>
    <row r="139" spans="2:15" s="28" customFormat="1" ht="16.5" customHeight="1">
      <c r="B139" s="20"/>
      <c r="C139" s="20"/>
      <c r="D139" s="254"/>
      <c r="E139" s="379">
        <v>121902</v>
      </c>
      <c r="F139" s="395" t="s">
        <v>257</v>
      </c>
      <c r="G139" s="396"/>
      <c r="H139" s="397"/>
      <c r="I139" s="383">
        <v>410000</v>
      </c>
      <c r="J139" s="398">
        <v>121902</v>
      </c>
      <c r="K139" s="399" t="s">
        <v>70</v>
      </c>
      <c r="L139" s="399" t="s">
        <v>34</v>
      </c>
      <c r="M139" s="399">
        <v>18.899999999999999</v>
      </c>
      <c r="N139" s="356">
        <v>410000</v>
      </c>
      <c r="O139" s="28" t="b">
        <f t="shared" si="18"/>
        <v>1</v>
      </c>
    </row>
    <row r="140" spans="2:15" s="28" customFormat="1" ht="16.5" customHeight="1">
      <c r="B140" s="20"/>
      <c r="C140" s="20"/>
      <c r="D140" s="254"/>
      <c r="E140" s="379">
        <v>121904</v>
      </c>
      <c r="F140" s="395" t="s">
        <v>258</v>
      </c>
      <c r="G140" s="396"/>
      <c r="H140" s="397"/>
      <c r="I140" s="383">
        <v>430000</v>
      </c>
      <c r="J140" s="398">
        <v>121904</v>
      </c>
      <c r="K140" s="399" t="s">
        <v>70</v>
      </c>
      <c r="L140" s="399" t="s">
        <v>34</v>
      </c>
      <c r="M140" s="399">
        <v>18.899999999999999</v>
      </c>
      <c r="N140" s="356">
        <v>430000</v>
      </c>
      <c r="O140" s="28" t="b">
        <f t="shared" si="18"/>
        <v>1</v>
      </c>
    </row>
    <row r="141" spans="2:15" s="28" customFormat="1" ht="16.5" customHeight="1">
      <c r="B141" s="20"/>
      <c r="C141" s="20"/>
      <c r="D141" s="254"/>
      <c r="E141" s="379">
        <v>121907</v>
      </c>
      <c r="F141" s="395" t="s">
        <v>259</v>
      </c>
      <c r="G141" s="396"/>
      <c r="H141" s="397"/>
      <c r="I141" s="383">
        <v>398000</v>
      </c>
      <c r="J141" s="398">
        <v>121907</v>
      </c>
      <c r="K141" s="399" t="s">
        <v>70</v>
      </c>
      <c r="L141" s="399" t="s">
        <v>34</v>
      </c>
      <c r="M141" s="399">
        <v>18.899999999999999</v>
      </c>
      <c r="N141" s="356">
        <v>398000</v>
      </c>
      <c r="O141" s="28" t="b">
        <f t="shared" si="18"/>
        <v>1</v>
      </c>
    </row>
    <row r="142" spans="2:15" s="28" customFormat="1" ht="16.5" customHeight="1">
      <c r="B142" s="20"/>
      <c r="C142" s="20"/>
      <c r="D142" s="254"/>
      <c r="E142" s="379">
        <v>122135</v>
      </c>
      <c r="F142" s="395" t="s">
        <v>437</v>
      </c>
      <c r="G142" s="396"/>
      <c r="H142" s="397"/>
      <c r="I142" s="383">
        <v>1207000</v>
      </c>
      <c r="J142" s="399">
        <v>122135</v>
      </c>
      <c r="K142" s="399" t="s">
        <v>71</v>
      </c>
      <c r="L142" s="399" t="s">
        <v>34</v>
      </c>
      <c r="M142" s="399">
        <v>208</v>
      </c>
      <c r="N142" s="356">
        <v>1207000</v>
      </c>
      <c r="O142" s="28" t="b">
        <f t="shared" si="18"/>
        <v>1</v>
      </c>
    </row>
    <row r="143" spans="2:15" s="28" customFormat="1" ht="16.5" customHeight="1">
      <c r="B143" s="20"/>
      <c r="C143" s="20"/>
      <c r="D143" s="254"/>
      <c r="E143" s="379">
        <v>122167</v>
      </c>
      <c r="F143" s="395" t="s">
        <v>438</v>
      </c>
      <c r="G143" s="396"/>
      <c r="H143" s="397"/>
      <c r="I143" s="383">
        <v>3124000</v>
      </c>
      <c r="J143" s="398">
        <v>122167</v>
      </c>
      <c r="K143" s="399" t="s">
        <v>71</v>
      </c>
      <c r="L143" s="399" t="s">
        <v>34</v>
      </c>
      <c r="M143" s="399">
        <v>208</v>
      </c>
      <c r="N143" s="356">
        <v>3124000</v>
      </c>
      <c r="O143" s="28" t="b">
        <f t="shared" si="18"/>
        <v>1</v>
      </c>
    </row>
    <row r="144" spans="2:15" s="28" customFormat="1" ht="16.5" customHeight="1">
      <c r="B144" s="20"/>
      <c r="C144" s="20"/>
      <c r="D144" s="254"/>
      <c r="E144" s="379">
        <v>122187</v>
      </c>
      <c r="F144" s="395" t="s">
        <v>439</v>
      </c>
      <c r="G144" s="396"/>
      <c r="H144" s="397"/>
      <c r="I144" s="383">
        <v>2760000</v>
      </c>
      <c r="J144" s="398">
        <v>122187</v>
      </c>
      <c r="K144" s="399" t="s">
        <v>71</v>
      </c>
      <c r="L144" s="399" t="s">
        <v>34</v>
      </c>
      <c r="M144" s="399">
        <v>208</v>
      </c>
      <c r="N144" s="356">
        <v>2760000</v>
      </c>
      <c r="O144" s="28" t="b">
        <f t="shared" si="18"/>
        <v>1</v>
      </c>
    </row>
    <row r="145" spans="2:15" s="28" customFormat="1" ht="16.5" customHeight="1">
      <c r="B145" s="20"/>
      <c r="C145" s="20"/>
      <c r="D145" s="254"/>
      <c r="E145" s="379">
        <v>122612</v>
      </c>
      <c r="F145" s="395" t="s">
        <v>446</v>
      </c>
      <c r="G145" s="396"/>
      <c r="H145" s="397"/>
      <c r="I145" s="383">
        <v>1525000</v>
      </c>
      <c r="J145" s="398">
        <v>122612</v>
      </c>
      <c r="K145" s="399" t="s">
        <v>71</v>
      </c>
      <c r="L145" s="399" t="s">
        <v>34</v>
      </c>
      <c r="M145" s="399">
        <v>208</v>
      </c>
      <c r="N145" s="356">
        <v>1525000</v>
      </c>
      <c r="O145" s="28" t="b">
        <f t="shared" si="18"/>
        <v>1</v>
      </c>
    </row>
    <row r="146" spans="2:15" s="28" customFormat="1" ht="16.5" customHeight="1">
      <c r="B146" s="20"/>
      <c r="C146" s="20"/>
      <c r="D146" s="254"/>
      <c r="E146" s="379">
        <v>122650</v>
      </c>
      <c r="F146" s="395" t="s">
        <v>447</v>
      </c>
      <c r="G146" s="396"/>
      <c r="H146" s="397"/>
      <c r="I146" s="383">
        <v>3190000</v>
      </c>
      <c r="J146" s="398">
        <v>122650</v>
      </c>
      <c r="K146" s="399" t="s">
        <v>71</v>
      </c>
      <c r="L146" s="399" t="s">
        <v>34</v>
      </c>
      <c r="M146" s="399">
        <v>208</v>
      </c>
      <c r="N146" s="356">
        <v>3190000</v>
      </c>
      <c r="O146" s="28" t="b">
        <f t="shared" si="18"/>
        <v>1</v>
      </c>
    </row>
    <row r="147" spans="2:15" s="28" customFormat="1" ht="16.5" customHeight="1">
      <c r="B147" s="20"/>
      <c r="C147" s="20"/>
      <c r="D147" s="254"/>
      <c r="E147" s="379">
        <v>122713</v>
      </c>
      <c r="F147" s="395" t="s">
        <v>67</v>
      </c>
      <c r="G147" s="396"/>
      <c r="H147" s="397"/>
      <c r="I147" s="383">
        <v>106000</v>
      </c>
      <c r="J147" s="399">
        <v>122713</v>
      </c>
      <c r="K147" s="399" t="s">
        <v>70</v>
      </c>
      <c r="L147" s="399" t="s">
        <v>34</v>
      </c>
      <c r="M147" s="399">
        <v>20</v>
      </c>
      <c r="N147" s="356">
        <v>106000</v>
      </c>
      <c r="O147" s="28" t="b">
        <f t="shared" si="18"/>
        <v>1</v>
      </c>
    </row>
    <row r="148" spans="2:15" s="28" customFormat="1" ht="16.5" customHeight="1">
      <c r="B148" s="20"/>
      <c r="C148" s="20"/>
      <c r="D148" s="254"/>
      <c r="E148" s="379">
        <v>122766</v>
      </c>
      <c r="F148" s="395" t="s">
        <v>68</v>
      </c>
      <c r="G148" s="396"/>
      <c r="H148" s="397"/>
      <c r="I148" s="383">
        <v>83600</v>
      </c>
      <c r="J148" s="398">
        <v>122766</v>
      </c>
      <c r="K148" s="399" t="s">
        <v>70</v>
      </c>
      <c r="L148" s="399" t="s">
        <v>34</v>
      </c>
      <c r="M148" s="399">
        <v>20</v>
      </c>
      <c r="N148" s="356">
        <v>83600</v>
      </c>
      <c r="O148" s="28" t="b">
        <f t="shared" si="18"/>
        <v>1</v>
      </c>
    </row>
    <row r="149" spans="2:15" s="28" customFormat="1" ht="16.5" customHeight="1">
      <c r="B149" s="20"/>
      <c r="C149" s="20"/>
      <c r="D149" s="254"/>
      <c r="E149" s="379">
        <v>122821</v>
      </c>
      <c r="F149" s="395" t="s">
        <v>448</v>
      </c>
      <c r="G149" s="396"/>
      <c r="H149" s="397"/>
      <c r="I149" s="383"/>
      <c r="J149" s="398">
        <v>122821</v>
      </c>
      <c r="K149" s="399" t="s">
        <v>71</v>
      </c>
      <c r="L149" s="399" t="s">
        <v>34</v>
      </c>
      <c r="M149" s="399">
        <v>208</v>
      </c>
      <c r="N149" s="356" t="e">
        <v>#N/A</v>
      </c>
      <c r="O149" s="28" t="e">
        <f t="shared" si="18"/>
        <v>#N/A</v>
      </c>
    </row>
    <row r="150" spans="2:15" s="28" customFormat="1" ht="16.5" customHeight="1">
      <c r="B150" s="20"/>
      <c r="C150" s="20"/>
      <c r="D150" s="254"/>
      <c r="E150" s="379">
        <v>122837</v>
      </c>
      <c r="F150" s="395" t="s">
        <v>65</v>
      </c>
      <c r="G150" s="396"/>
      <c r="H150" s="397"/>
      <c r="I150" s="383">
        <v>62800</v>
      </c>
      <c r="J150" s="398">
        <v>122837</v>
      </c>
      <c r="K150" s="399" t="s">
        <v>70</v>
      </c>
      <c r="L150" s="399" t="s">
        <v>34</v>
      </c>
      <c r="M150" s="399">
        <v>20</v>
      </c>
      <c r="N150" s="356">
        <v>62800</v>
      </c>
      <c r="O150" s="28" t="b">
        <f t="shared" si="18"/>
        <v>1</v>
      </c>
    </row>
    <row r="151" spans="2:15" s="28" customFormat="1" ht="16.5" customHeight="1">
      <c r="B151" s="20"/>
      <c r="C151" s="20"/>
      <c r="D151" s="254"/>
      <c r="E151" s="379">
        <v>122842</v>
      </c>
      <c r="F151" s="395" t="s">
        <v>238</v>
      </c>
      <c r="G151" s="396"/>
      <c r="H151" s="397"/>
      <c r="I151" s="383">
        <v>79200</v>
      </c>
      <c r="J151" s="399">
        <v>122842</v>
      </c>
      <c r="K151" s="399" t="s">
        <v>70</v>
      </c>
      <c r="L151" s="399" t="s">
        <v>34</v>
      </c>
      <c r="M151" s="399">
        <v>20</v>
      </c>
      <c r="N151" s="356">
        <v>79200</v>
      </c>
      <c r="O151" s="28" t="b">
        <f t="shared" si="18"/>
        <v>1</v>
      </c>
    </row>
    <row r="152" spans="2:15" s="28" customFormat="1" ht="16.5" customHeight="1">
      <c r="B152" s="20"/>
      <c r="C152" s="20"/>
      <c r="D152" s="254"/>
      <c r="E152" s="379">
        <v>144277</v>
      </c>
      <c r="F152" s="395" t="s">
        <v>232</v>
      </c>
      <c r="G152" s="396"/>
      <c r="H152" s="397"/>
      <c r="I152" s="383">
        <v>46600</v>
      </c>
      <c r="J152" s="398">
        <v>122885</v>
      </c>
      <c r="K152" s="399" t="s">
        <v>70</v>
      </c>
      <c r="L152" s="399" t="s">
        <v>34</v>
      </c>
      <c r="M152" s="399">
        <v>20</v>
      </c>
      <c r="N152" s="356">
        <v>46600</v>
      </c>
      <c r="O152" s="28" t="b">
        <f t="shared" si="18"/>
        <v>1</v>
      </c>
    </row>
    <row r="153" spans="2:15" s="28" customFormat="1" ht="16.5" customHeight="1">
      <c r="B153" s="20"/>
      <c r="C153" s="20"/>
      <c r="D153" s="254"/>
      <c r="E153" s="379">
        <v>123004</v>
      </c>
      <c r="F153" s="395" t="s">
        <v>41</v>
      </c>
      <c r="G153" s="396"/>
      <c r="H153" s="397"/>
      <c r="I153" s="383">
        <v>402000</v>
      </c>
      <c r="J153" s="398">
        <v>123004</v>
      </c>
      <c r="K153" s="399" t="s">
        <v>70</v>
      </c>
      <c r="L153" s="399" t="s">
        <v>34</v>
      </c>
      <c r="M153" s="399">
        <v>18</v>
      </c>
      <c r="N153" s="356">
        <v>402000</v>
      </c>
      <c r="O153" s="28" t="b">
        <f t="shared" si="18"/>
        <v>1</v>
      </c>
    </row>
    <row r="154" spans="2:15" s="28" customFormat="1" ht="16.5" customHeight="1">
      <c r="B154" s="20"/>
      <c r="C154" s="20"/>
      <c r="D154" s="254"/>
      <c r="E154" s="379">
        <v>123291</v>
      </c>
      <c r="F154" s="395" t="s">
        <v>261</v>
      </c>
      <c r="G154" s="396"/>
      <c r="H154" s="397"/>
      <c r="I154" s="383">
        <v>326000</v>
      </c>
      <c r="J154" s="398">
        <v>123291</v>
      </c>
      <c r="K154" s="399" t="s">
        <v>70</v>
      </c>
      <c r="L154" s="399" t="s">
        <v>34</v>
      </c>
      <c r="M154" s="399">
        <v>20</v>
      </c>
      <c r="N154" s="356">
        <v>326000</v>
      </c>
      <c r="O154" s="28" t="b">
        <f t="shared" ref="O154:O217" si="19">I154=N154</f>
        <v>1</v>
      </c>
    </row>
    <row r="155" spans="2:15" s="28" customFormat="1" ht="16.5" customHeight="1">
      <c r="B155" s="20"/>
      <c r="C155" s="20"/>
      <c r="D155" s="254"/>
      <c r="E155" s="379">
        <v>148674</v>
      </c>
      <c r="F155" s="395" t="s">
        <v>262</v>
      </c>
      <c r="G155" s="396"/>
      <c r="H155" s="397"/>
      <c r="I155" s="383">
        <v>66800</v>
      </c>
      <c r="J155" s="398">
        <v>148674</v>
      </c>
      <c r="K155" s="399" t="s">
        <v>70</v>
      </c>
      <c r="L155" s="399" t="s">
        <v>34</v>
      </c>
      <c r="M155" s="399">
        <v>20</v>
      </c>
      <c r="N155" s="356">
        <v>66800</v>
      </c>
      <c r="O155" s="28" t="b">
        <f t="shared" si="19"/>
        <v>1</v>
      </c>
    </row>
    <row r="156" spans="2:15" s="28" customFormat="1" ht="16.5" customHeight="1">
      <c r="B156" s="20"/>
      <c r="C156" s="20"/>
      <c r="D156" s="254"/>
      <c r="E156" s="379">
        <v>148687</v>
      </c>
      <c r="F156" s="395" t="s">
        <v>263</v>
      </c>
      <c r="G156" s="396"/>
      <c r="H156" s="397"/>
      <c r="I156" s="383">
        <v>62700</v>
      </c>
      <c r="J156" s="398">
        <v>148687</v>
      </c>
      <c r="K156" s="399" t="s">
        <v>70</v>
      </c>
      <c r="L156" s="399" t="s">
        <v>34</v>
      </c>
      <c r="M156" s="399">
        <v>20</v>
      </c>
      <c r="N156" s="356">
        <v>62700</v>
      </c>
      <c r="O156" s="28" t="b">
        <f t="shared" si="19"/>
        <v>1</v>
      </c>
    </row>
    <row r="157" spans="2:15" s="28" customFormat="1" ht="16.5" customHeight="1">
      <c r="B157" s="20"/>
      <c r="C157" s="20"/>
      <c r="D157" s="254"/>
      <c r="E157" s="379">
        <v>148663</v>
      </c>
      <c r="F157" s="395" t="s">
        <v>264</v>
      </c>
      <c r="G157" s="396"/>
      <c r="H157" s="397"/>
      <c r="I157" s="383">
        <v>54200</v>
      </c>
      <c r="J157" s="398">
        <v>148663</v>
      </c>
      <c r="K157" s="399" t="s">
        <v>70</v>
      </c>
      <c r="L157" s="399" t="s">
        <v>34</v>
      </c>
      <c r="M157" s="399">
        <v>20</v>
      </c>
      <c r="N157" s="356">
        <v>54200</v>
      </c>
      <c r="O157" s="28" t="b">
        <f t="shared" si="19"/>
        <v>1</v>
      </c>
    </row>
    <row r="158" spans="2:15" s="28" customFormat="1" ht="16.5" customHeight="1">
      <c r="B158" s="20"/>
      <c r="C158" s="20"/>
      <c r="D158" s="254"/>
      <c r="E158" s="379">
        <v>148661</v>
      </c>
      <c r="F158" s="395" t="s">
        <v>235</v>
      </c>
      <c r="G158" s="396"/>
      <c r="H158" s="397"/>
      <c r="I158" s="383">
        <v>63400</v>
      </c>
      <c r="J158" s="398">
        <v>148661</v>
      </c>
      <c r="K158" s="399" t="s">
        <v>70</v>
      </c>
      <c r="L158" s="399" t="s">
        <v>34</v>
      </c>
      <c r="M158" s="399">
        <v>20</v>
      </c>
      <c r="N158" s="356">
        <v>63400</v>
      </c>
      <c r="O158" s="28" t="b">
        <f t="shared" si="19"/>
        <v>1</v>
      </c>
    </row>
    <row r="159" spans="2:15" s="28" customFormat="1" ht="16.5" customHeight="1">
      <c r="B159" s="20"/>
      <c r="C159" s="20"/>
      <c r="D159" s="254"/>
      <c r="E159" s="379">
        <v>148662</v>
      </c>
      <c r="F159" s="395" t="s">
        <v>225</v>
      </c>
      <c r="G159" s="396"/>
      <c r="H159" s="397"/>
      <c r="I159" s="383">
        <v>55400</v>
      </c>
      <c r="J159" s="399">
        <v>148662</v>
      </c>
      <c r="K159" s="399" t="s">
        <v>70</v>
      </c>
      <c r="L159" s="399" t="s">
        <v>34</v>
      </c>
      <c r="M159" s="399">
        <v>20</v>
      </c>
      <c r="N159" s="356">
        <v>55400</v>
      </c>
      <c r="O159" s="28" t="b">
        <f t="shared" si="19"/>
        <v>1</v>
      </c>
    </row>
    <row r="160" spans="2:15" s="28" customFormat="1" ht="16.5" customHeight="1">
      <c r="B160" s="20"/>
      <c r="C160" s="20"/>
      <c r="D160" s="254"/>
      <c r="E160" s="379">
        <v>124528</v>
      </c>
      <c r="F160" s="395" t="s">
        <v>450</v>
      </c>
      <c r="G160" s="396"/>
      <c r="H160" s="397"/>
      <c r="I160" s="383">
        <v>3634000</v>
      </c>
      <c r="J160" s="398">
        <v>124528</v>
      </c>
      <c r="K160" s="399" t="s">
        <v>71</v>
      </c>
      <c r="L160" s="399" t="s">
        <v>34</v>
      </c>
      <c r="M160" s="399">
        <v>208</v>
      </c>
      <c r="N160" s="356">
        <v>3634000</v>
      </c>
      <c r="O160" s="28" t="b">
        <f t="shared" si="19"/>
        <v>1</v>
      </c>
    </row>
    <row r="161" spans="2:15" s="28" customFormat="1" ht="16.5" customHeight="1">
      <c r="B161" s="20"/>
      <c r="C161" s="20"/>
      <c r="D161" s="254"/>
      <c r="E161" s="379">
        <v>126328</v>
      </c>
      <c r="F161" s="395" t="s">
        <v>453</v>
      </c>
      <c r="G161" s="396"/>
      <c r="H161" s="397"/>
      <c r="I161" s="383">
        <v>4056000</v>
      </c>
      <c r="J161" s="399">
        <v>126328</v>
      </c>
      <c r="K161" s="399" t="s">
        <v>71</v>
      </c>
      <c r="L161" s="399" t="s">
        <v>34</v>
      </c>
      <c r="M161" s="399">
        <v>208</v>
      </c>
      <c r="N161" s="356">
        <v>4056000</v>
      </c>
      <c r="O161" s="28" t="b">
        <f t="shared" si="19"/>
        <v>1</v>
      </c>
    </row>
    <row r="162" spans="2:15" s="28" customFormat="1" ht="16.5" customHeight="1">
      <c r="B162" s="20"/>
      <c r="C162" s="20"/>
      <c r="D162" s="254"/>
      <c r="E162" s="379">
        <v>127356</v>
      </c>
      <c r="F162" s="395" t="s">
        <v>265</v>
      </c>
      <c r="G162" s="396"/>
      <c r="H162" s="397"/>
      <c r="I162" s="383">
        <v>337000</v>
      </c>
      <c r="J162" s="398">
        <v>127356</v>
      </c>
      <c r="K162" s="399" t="s">
        <v>70</v>
      </c>
      <c r="L162" s="399" t="s">
        <v>34</v>
      </c>
      <c r="M162" s="399">
        <v>20</v>
      </c>
      <c r="N162" s="356">
        <v>337000</v>
      </c>
      <c r="O162" s="28" t="b">
        <f t="shared" si="19"/>
        <v>1</v>
      </c>
    </row>
    <row r="163" spans="2:15" s="28" customFormat="1" ht="16.5" customHeight="1">
      <c r="B163" s="20"/>
      <c r="C163" s="20"/>
      <c r="D163" s="254"/>
      <c r="E163" s="379">
        <v>128773</v>
      </c>
      <c r="F163" s="395" t="s">
        <v>766</v>
      </c>
      <c r="G163" s="396"/>
      <c r="H163" s="397"/>
      <c r="I163" s="383">
        <v>378870</v>
      </c>
      <c r="J163" s="398">
        <v>128773</v>
      </c>
      <c r="K163" s="399" t="s">
        <v>70</v>
      </c>
      <c r="L163" s="399" t="s">
        <v>34</v>
      </c>
      <c r="M163" s="399">
        <v>18.899999999999999</v>
      </c>
      <c r="N163" s="356">
        <v>346000</v>
      </c>
      <c r="O163" s="28" t="b">
        <f t="shared" si="19"/>
        <v>0</v>
      </c>
    </row>
    <row r="164" spans="2:15" s="28" customFormat="1" ht="16.5" customHeight="1">
      <c r="B164" s="20"/>
      <c r="C164" s="20"/>
      <c r="D164" s="254"/>
      <c r="E164" s="379">
        <v>129351</v>
      </c>
      <c r="F164" s="395" t="s">
        <v>266</v>
      </c>
      <c r="G164" s="396"/>
      <c r="H164" s="397"/>
      <c r="I164" s="383">
        <v>415000</v>
      </c>
      <c r="J164" s="398">
        <v>129351</v>
      </c>
      <c r="K164" s="399" t="s">
        <v>70</v>
      </c>
      <c r="L164" s="399" t="s">
        <v>34</v>
      </c>
      <c r="M164" s="399">
        <v>20</v>
      </c>
      <c r="N164" s="356">
        <v>415000</v>
      </c>
      <c r="O164" s="28" t="b">
        <f t="shared" si="19"/>
        <v>1</v>
      </c>
    </row>
    <row r="165" spans="2:15" s="28" customFormat="1" ht="16.5" customHeight="1">
      <c r="B165" s="20"/>
      <c r="C165" s="20"/>
      <c r="D165" s="254"/>
      <c r="E165" s="379">
        <v>129389</v>
      </c>
      <c r="F165" s="395" t="s">
        <v>459</v>
      </c>
      <c r="G165" s="396"/>
      <c r="H165" s="397"/>
      <c r="I165" s="383">
        <v>3962000</v>
      </c>
      <c r="J165" s="398">
        <v>129389</v>
      </c>
      <c r="K165" s="399" t="s">
        <v>71</v>
      </c>
      <c r="L165" s="399" t="s">
        <v>34</v>
      </c>
      <c r="M165" s="399">
        <v>208</v>
      </c>
      <c r="N165" s="356">
        <v>3962000</v>
      </c>
      <c r="O165" s="28" t="b">
        <f t="shared" si="19"/>
        <v>1</v>
      </c>
    </row>
    <row r="166" spans="2:15" s="28" customFormat="1" ht="16.5" customHeight="1">
      <c r="B166" s="20"/>
      <c r="C166" s="20"/>
      <c r="D166" s="254"/>
      <c r="E166" s="379">
        <v>130938</v>
      </c>
      <c r="F166" s="395" t="s">
        <v>461</v>
      </c>
      <c r="G166" s="396"/>
      <c r="H166" s="397"/>
      <c r="I166" s="383">
        <v>1918000</v>
      </c>
      <c r="J166" s="398">
        <v>130938</v>
      </c>
      <c r="K166" s="399" t="s">
        <v>71</v>
      </c>
      <c r="L166" s="399" t="s">
        <v>34</v>
      </c>
      <c r="M166" s="399">
        <v>181</v>
      </c>
      <c r="N166" s="356">
        <v>1918000</v>
      </c>
      <c r="O166" s="28" t="b">
        <f t="shared" si="19"/>
        <v>1</v>
      </c>
    </row>
    <row r="167" spans="2:15" s="28" customFormat="1" ht="16.5" customHeight="1">
      <c r="B167" s="20"/>
      <c r="C167" s="20"/>
      <c r="D167" s="254"/>
      <c r="E167" s="379">
        <v>130939</v>
      </c>
      <c r="F167" s="395" t="s">
        <v>267</v>
      </c>
      <c r="G167" s="396"/>
      <c r="H167" s="397"/>
      <c r="I167" s="383">
        <v>179000</v>
      </c>
      <c r="J167" s="398">
        <v>130939</v>
      </c>
      <c r="K167" s="399" t="s">
        <v>70</v>
      </c>
      <c r="L167" s="399" t="s">
        <v>34</v>
      </c>
      <c r="M167" s="399">
        <v>15.87</v>
      </c>
      <c r="N167" s="356">
        <v>179000</v>
      </c>
      <c r="O167" s="28" t="b">
        <f t="shared" si="19"/>
        <v>1</v>
      </c>
    </row>
    <row r="168" spans="2:15" s="28" customFormat="1" ht="16.5" customHeight="1">
      <c r="B168" s="20"/>
      <c r="C168" s="20"/>
      <c r="D168" s="254"/>
      <c r="E168" s="379">
        <v>131773</v>
      </c>
      <c r="F168" s="395" t="s">
        <v>462</v>
      </c>
      <c r="G168" s="396"/>
      <c r="H168" s="397"/>
      <c r="I168" s="383"/>
      <c r="J168" s="398">
        <v>131773</v>
      </c>
      <c r="K168" s="399" t="s">
        <v>71</v>
      </c>
      <c r="L168" s="399" t="s">
        <v>34</v>
      </c>
      <c r="M168" s="399">
        <v>208</v>
      </c>
      <c r="N168" s="356" t="e">
        <v>#N/A</v>
      </c>
      <c r="O168" s="28" t="e">
        <f t="shared" si="19"/>
        <v>#N/A</v>
      </c>
    </row>
    <row r="169" spans="2:15" s="28" customFormat="1" ht="16.5" customHeight="1">
      <c r="B169" s="20"/>
      <c r="C169" s="20"/>
      <c r="D169" s="254"/>
      <c r="E169" s="379">
        <v>132528</v>
      </c>
      <c r="F169" s="395" t="s">
        <v>270</v>
      </c>
      <c r="G169" s="396"/>
      <c r="H169" s="397"/>
      <c r="I169" s="383">
        <v>269000</v>
      </c>
      <c r="J169" s="398">
        <v>132528</v>
      </c>
      <c r="K169" s="399" t="s">
        <v>70</v>
      </c>
      <c r="L169" s="399" t="s">
        <v>34</v>
      </c>
      <c r="M169" s="399">
        <v>16</v>
      </c>
      <c r="N169" s="356">
        <v>269000</v>
      </c>
      <c r="O169" s="28" t="b">
        <f t="shared" si="19"/>
        <v>1</v>
      </c>
    </row>
    <row r="170" spans="2:15" s="28" customFormat="1" ht="16.5" customHeight="1">
      <c r="B170" s="20"/>
      <c r="C170" s="20"/>
      <c r="D170" s="254"/>
      <c r="E170" s="379">
        <v>132549</v>
      </c>
      <c r="F170" s="395" t="s">
        <v>463</v>
      </c>
      <c r="G170" s="396"/>
      <c r="H170" s="397"/>
      <c r="I170" s="383">
        <v>3029000</v>
      </c>
      <c r="J170" s="398">
        <v>132549</v>
      </c>
      <c r="K170" s="399" t="s">
        <v>71</v>
      </c>
      <c r="L170" s="399" t="s">
        <v>34</v>
      </c>
      <c r="M170" s="399">
        <v>208</v>
      </c>
      <c r="N170" s="356">
        <v>3029000</v>
      </c>
      <c r="O170" s="28" t="b">
        <f t="shared" si="19"/>
        <v>1</v>
      </c>
    </row>
    <row r="171" spans="2:15" s="28" customFormat="1" ht="16.5" customHeight="1">
      <c r="B171" s="20"/>
      <c r="C171" s="20"/>
      <c r="D171" s="254"/>
      <c r="E171" s="379">
        <v>132550</v>
      </c>
      <c r="F171" s="395" t="s">
        <v>464</v>
      </c>
      <c r="G171" s="396"/>
      <c r="H171" s="397"/>
      <c r="I171" s="383">
        <v>3173000</v>
      </c>
      <c r="J171" s="398">
        <v>132550</v>
      </c>
      <c r="K171" s="399" t="s">
        <v>71</v>
      </c>
      <c r="L171" s="399" t="s">
        <v>34</v>
      </c>
      <c r="M171" s="399">
        <v>208</v>
      </c>
      <c r="N171" s="356">
        <v>3173000</v>
      </c>
      <c r="O171" s="28" t="b">
        <f t="shared" si="19"/>
        <v>1</v>
      </c>
    </row>
    <row r="172" spans="2:15" s="28" customFormat="1" ht="16.5" customHeight="1">
      <c r="B172" s="20"/>
      <c r="C172" s="20"/>
      <c r="D172" s="254"/>
      <c r="E172" s="379">
        <v>132558</v>
      </c>
      <c r="F172" s="395" t="s">
        <v>465</v>
      </c>
      <c r="G172" s="396"/>
      <c r="H172" s="397"/>
      <c r="I172" s="383">
        <v>3541000</v>
      </c>
      <c r="J172" s="398">
        <v>132558</v>
      </c>
      <c r="K172" s="399" t="s">
        <v>71</v>
      </c>
      <c r="L172" s="399" t="s">
        <v>34</v>
      </c>
      <c r="M172" s="399">
        <v>208</v>
      </c>
      <c r="N172" s="356">
        <v>3541000</v>
      </c>
      <c r="O172" s="28" t="b">
        <f t="shared" si="19"/>
        <v>1</v>
      </c>
    </row>
    <row r="173" spans="2:15" s="28" customFormat="1" ht="16.5" customHeight="1">
      <c r="B173" s="20"/>
      <c r="C173" s="20"/>
      <c r="D173" s="254"/>
      <c r="E173" s="379">
        <v>140202</v>
      </c>
      <c r="F173" s="395" t="s">
        <v>377</v>
      </c>
      <c r="G173" s="396"/>
      <c r="H173" s="397"/>
      <c r="I173" s="383">
        <v>352000</v>
      </c>
      <c r="J173" s="398">
        <v>140202</v>
      </c>
      <c r="K173" s="399" t="s">
        <v>70</v>
      </c>
      <c r="L173" s="399" t="s">
        <v>34</v>
      </c>
      <c r="M173" s="399">
        <v>16</v>
      </c>
      <c r="N173" s="356">
        <v>352000</v>
      </c>
      <c r="O173" s="28" t="b">
        <f t="shared" si="19"/>
        <v>1</v>
      </c>
    </row>
    <row r="174" spans="2:15" s="28" customFormat="1" ht="16.5" customHeight="1">
      <c r="B174" s="20"/>
      <c r="C174" s="20"/>
      <c r="D174" s="254"/>
      <c r="E174" s="379">
        <v>140203</v>
      </c>
      <c r="F174" s="395" t="s">
        <v>273</v>
      </c>
      <c r="G174" s="396"/>
      <c r="H174" s="397"/>
      <c r="I174" s="383">
        <v>355000</v>
      </c>
      <c r="J174" s="398">
        <v>140203</v>
      </c>
      <c r="K174" s="399" t="s">
        <v>70</v>
      </c>
      <c r="L174" s="399" t="s">
        <v>34</v>
      </c>
      <c r="M174" s="399">
        <v>16</v>
      </c>
      <c r="N174" s="356">
        <v>355000</v>
      </c>
      <c r="O174" s="28" t="b">
        <f t="shared" si="19"/>
        <v>1</v>
      </c>
    </row>
    <row r="175" spans="2:15" s="28" customFormat="1" ht="16.5" customHeight="1">
      <c r="B175" s="20"/>
      <c r="C175" s="20"/>
      <c r="D175" s="254"/>
      <c r="E175" s="379">
        <v>132575</v>
      </c>
      <c r="F175" s="400" t="s">
        <v>274</v>
      </c>
      <c r="G175" s="401"/>
      <c r="H175" s="402"/>
      <c r="I175" s="383">
        <v>394000</v>
      </c>
      <c r="J175" s="398">
        <v>132575</v>
      </c>
      <c r="K175" s="399" t="s">
        <v>70</v>
      </c>
      <c r="L175" s="399" t="s">
        <v>34</v>
      </c>
      <c r="M175" s="399">
        <v>16</v>
      </c>
      <c r="N175" s="356">
        <v>394000</v>
      </c>
      <c r="O175" s="28" t="b">
        <f t="shared" si="19"/>
        <v>1</v>
      </c>
    </row>
    <row r="176" spans="2:15" s="28" customFormat="1" ht="16.5" customHeight="1">
      <c r="B176" s="20"/>
      <c r="C176" s="20"/>
      <c r="D176" s="254"/>
      <c r="E176" s="379">
        <v>132610</v>
      </c>
      <c r="F176" s="395" t="s">
        <v>466</v>
      </c>
      <c r="G176" s="396"/>
      <c r="H176" s="397"/>
      <c r="I176" s="383">
        <v>3730000</v>
      </c>
      <c r="J176" s="398">
        <v>132610</v>
      </c>
      <c r="K176" s="399" t="s">
        <v>71</v>
      </c>
      <c r="L176" s="399" t="s">
        <v>34</v>
      </c>
      <c r="M176" s="399">
        <v>174</v>
      </c>
      <c r="N176" s="356">
        <v>3730000</v>
      </c>
      <c r="O176" s="28" t="b">
        <f t="shared" si="19"/>
        <v>1</v>
      </c>
    </row>
    <row r="177" spans="2:15" s="28" customFormat="1" ht="16.5" customHeight="1">
      <c r="B177" s="20"/>
      <c r="C177" s="20"/>
      <c r="D177" s="254"/>
      <c r="E177" s="379">
        <v>132611</v>
      </c>
      <c r="F177" s="395" t="s">
        <v>275</v>
      </c>
      <c r="G177" s="396"/>
      <c r="H177" s="397"/>
      <c r="I177" s="383">
        <v>338000</v>
      </c>
      <c r="J177" s="398">
        <v>132611</v>
      </c>
      <c r="K177" s="399" t="s">
        <v>70</v>
      </c>
      <c r="L177" s="399" t="s">
        <v>34</v>
      </c>
      <c r="M177" s="399">
        <v>15.87</v>
      </c>
      <c r="N177" s="356">
        <v>338000</v>
      </c>
      <c r="O177" s="28" t="b">
        <f t="shared" si="19"/>
        <v>1</v>
      </c>
    </row>
    <row r="178" spans="2:15" s="28" customFormat="1" ht="16.5" customHeight="1">
      <c r="B178" s="20"/>
      <c r="C178" s="20"/>
      <c r="D178" s="254"/>
      <c r="E178" s="379">
        <v>140200</v>
      </c>
      <c r="F178" s="395" t="s">
        <v>276</v>
      </c>
      <c r="G178" s="396"/>
      <c r="H178" s="397"/>
      <c r="I178" s="383">
        <v>352000</v>
      </c>
      <c r="J178" s="398">
        <v>132642</v>
      </c>
      <c r="K178" s="399" t="s">
        <v>70</v>
      </c>
      <c r="L178" s="399" t="s">
        <v>34</v>
      </c>
      <c r="M178" s="399">
        <v>16</v>
      </c>
      <c r="N178" s="356">
        <v>351000</v>
      </c>
      <c r="O178" s="28" t="b">
        <f t="shared" si="19"/>
        <v>0</v>
      </c>
    </row>
    <row r="179" spans="2:15" s="28" customFormat="1" ht="16.5" customHeight="1">
      <c r="B179" s="20"/>
      <c r="C179" s="20"/>
      <c r="D179" s="254"/>
      <c r="E179" s="379">
        <v>132796</v>
      </c>
      <c r="F179" s="403" t="s">
        <v>278</v>
      </c>
      <c r="G179" s="404"/>
      <c r="H179" s="405"/>
      <c r="I179" s="383">
        <v>562000</v>
      </c>
      <c r="J179" s="398">
        <v>132796</v>
      </c>
      <c r="K179" s="406" t="s">
        <v>70</v>
      </c>
      <c r="L179" s="406" t="s">
        <v>34</v>
      </c>
      <c r="M179" s="406">
        <v>18</v>
      </c>
      <c r="N179" s="356">
        <v>562000</v>
      </c>
      <c r="O179" s="28" t="b">
        <f t="shared" si="19"/>
        <v>1</v>
      </c>
    </row>
    <row r="180" spans="2:15" s="28" customFormat="1" ht="16.5" customHeight="1">
      <c r="B180" s="20"/>
      <c r="C180" s="20"/>
      <c r="D180" s="254"/>
      <c r="E180" s="379">
        <v>132835</v>
      </c>
      <c r="F180" s="395" t="s">
        <v>474</v>
      </c>
      <c r="G180" s="396"/>
      <c r="H180" s="397"/>
      <c r="I180" s="383">
        <v>3480000</v>
      </c>
      <c r="J180" s="398">
        <v>132835</v>
      </c>
      <c r="K180" s="399" t="s">
        <v>71</v>
      </c>
      <c r="L180" s="399" t="s">
        <v>34</v>
      </c>
      <c r="M180" s="399">
        <v>208</v>
      </c>
      <c r="N180" s="356">
        <v>3480000</v>
      </c>
      <c r="O180" s="28" t="b">
        <f t="shared" si="19"/>
        <v>1</v>
      </c>
    </row>
    <row r="181" spans="2:15" s="28" customFormat="1" ht="16.5" customHeight="1">
      <c r="B181" s="20"/>
      <c r="C181" s="20"/>
      <c r="D181" s="254"/>
      <c r="E181" s="379">
        <v>133450</v>
      </c>
      <c r="F181" s="395" t="s">
        <v>475</v>
      </c>
      <c r="G181" s="396"/>
      <c r="H181" s="397"/>
      <c r="I181" s="383">
        <v>4688000</v>
      </c>
      <c r="J181" s="398">
        <v>133450</v>
      </c>
      <c r="K181" s="399" t="s">
        <v>71</v>
      </c>
      <c r="L181" s="399" t="s">
        <v>34</v>
      </c>
      <c r="M181" s="399">
        <v>208</v>
      </c>
      <c r="N181" s="356">
        <v>4688000</v>
      </c>
      <c r="O181" s="28" t="b">
        <f t="shared" si="19"/>
        <v>1</v>
      </c>
    </row>
    <row r="182" spans="2:15" s="28" customFormat="1" ht="16.5" customHeight="1">
      <c r="B182" s="20"/>
      <c r="C182" s="20"/>
      <c r="D182" s="254"/>
      <c r="E182" s="379">
        <v>134221</v>
      </c>
      <c r="F182" s="400" t="s">
        <v>476</v>
      </c>
      <c r="G182" s="401"/>
      <c r="H182" s="402"/>
      <c r="I182" s="383">
        <v>4412000</v>
      </c>
      <c r="J182" s="407">
        <v>134221</v>
      </c>
      <c r="K182" s="399" t="s">
        <v>71</v>
      </c>
      <c r="L182" s="399" t="s">
        <v>34</v>
      </c>
      <c r="M182" s="399">
        <v>216</v>
      </c>
      <c r="N182" s="356">
        <v>4412000</v>
      </c>
      <c r="O182" s="28" t="b">
        <f t="shared" si="19"/>
        <v>1</v>
      </c>
    </row>
    <row r="183" spans="2:15" s="28" customFormat="1" ht="16.5" customHeight="1">
      <c r="B183" s="20"/>
      <c r="C183" s="20"/>
      <c r="D183" s="254"/>
      <c r="E183" s="379">
        <v>134320</v>
      </c>
      <c r="F183" s="400" t="s">
        <v>477</v>
      </c>
      <c r="G183" s="396"/>
      <c r="H183" s="397"/>
      <c r="I183" s="383">
        <v>3144000</v>
      </c>
      <c r="J183" s="398">
        <v>134320</v>
      </c>
      <c r="K183" s="399" t="s">
        <v>71</v>
      </c>
      <c r="L183" s="399" t="s">
        <v>34</v>
      </c>
      <c r="M183" s="399">
        <v>208</v>
      </c>
      <c r="N183" s="356">
        <v>3144000</v>
      </c>
      <c r="O183" s="28" t="b">
        <f t="shared" si="19"/>
        <v>1</v>
      </c>
    </row>
    <row r="184" spans="2:15" s="28" customFormat="1" ht="16.5" customHeight="1">
      <c r="B184" s="20"/>
      <c r="C184" s="20"/>
      <c r="D184" s="254"/>
      <c r="E184" s="379">
        <v>134445</v>
      </c>
      <c r="F184" s="400" t="s">
        <v>239</v>
      </c>
      <c r="G184" s="396"/>
      <c r="H184" s="397"/>
      <c r="I184" s="383">
        <v>66900</v>
      </c>
      <c r="J184" s="398">
        <v>134445</v>
      </c>
      <c r="K184" s="399" t="s">
        <v>70</v>
      </c>
      <c r="L184" s="399" t="s">
        <v>34</v>
      </c>
      <c r="M184" s="399">
        <v>20</v>
      </c>
      <c r="N184" s="356">
        <v>66900</v>
      </c>
      <c r="O184" s="28" t="b">
        <f t="shared" si="19"/>
        <v>1</v>
      </c>
    </row>
    <row r="185" spans="2:15" s="28" customFormat="1" ht="16.5" customHeight="1">
      <c r="B185" s="20"/>
      <c r="C185" s="20"/>
      <c r="D185" s="254"/>
      <c r="E185" s="379">
        <v>134602</v>
      </c>
      <c r="F185" s="400" t="s">
        <v>481</v>
      </c>
      <c r="G185" s="396"/>
      <c r="H185" s="397"/>
      <c r="I185" s="383">
        <v>3680000</v>
      </c>
      <c r="J185" s="407">
        <v>134602</v>
      </c>
      <c r="K185" s="399" t="s">
        <v>71</v>
      </c>
      <c r="L185" s="399" t="s">
        <v>34</v>
      </c>
      <c r="M185" s="399">
        <v>208</v>
      </c>
      <c r="N185" s="356">
        <v>3680000</v>
      </c>
      <c r="O185" s="28" t="b">
        <f t="shared" si="19"/>
        <v>1</v>
      </c>
    </row>
    <row r="186" spans="2:15" s="28" customFormat="1" ht="16.5" customHeight="1">
      <c r="B186" s="20"/>
      <c r="C186" s="20"/>
      <c r="D186" s="254"/>
      <c r="E186" s="379">
        <v>134604</v>
      </c>
      <c r="F186" s="400" t="s">
        <v>280</v>
      </c>
      <c r="G186" s="396"/>
      <c r="H186" s="397"/>
      <c r="I186" s="383">
        <v>120000</v>
      </c>
      <c r="J186" s="398">
        <v>134604</v>
      </c>
      <c r="K186" s="399" t="s">
        <v>70</v>
      </c>
      <c r="L186" s="399" t="s">
        <v>34</v>
      </c>
      <c r="M186" s="399">
        <v>16</v>
      </c>
      <c r="N186" s="356">
        <v>120000</v>
      </c>
      <c r="O186" s="28" t="b">
        <f t="shared" si="19"/>
        <v>1</v>
      </c>
    </row>
    <row r="187" spans="2:15" s="28" customFormat="1" ht="16.5" customHeight="1">
      <c r="B187" s="20"/>
      <c r="C187" s="20"/>
      <c r="D187" s="254"/>
      <c r="E187" s="379">
        <v>134884</v>
      </c>
      <c r="F187" s="400" t="s">
        <v>281</v>
      </c>
      <c r="G187" s="396"/>
      <c r="H187" s="397"/>
      <c r="I187" s="383">
        <v>80500</v>
      </c>
      <c r="J187" s="407">
        <v>134884</v>
      </c>
      <c r="K187" s="399" t="s">
        <v>70</v>
      </c>
      <c r="L187" s="399" t="s">
        <v>34</v>
      </c>
      <c r="M187" s="399">
        <v>20</v>
      </c>
      <c r="N187" s="356">
        <v>80500</v>
      </c>
      <c r="O187" s="28" t="b">
        <f t="shared" si="19"/>
        <v>1</v>
      </c>
    </row>
    <row r="188" spans="2:15" s="28" customFormat="1" ht="16.5" customHeight="1">
      <c r="B188" s="20"/>
      <c r="C188" s="20"/>
      <c r="D188" s="254"/>
      <c r="E188" s="379">
        <v>134937</v>
      </c>
      <c r="F188" s="400" t="s">
        <v>486</v>
      </c>
      <c r="G188" s="396"/>
      <c r="H188" s="397"/>
      <c r="I188" s="383">
        <v>3079000</v>
      </c>
      <c r="J188" s="407">
        <v>134937</v>
      </c>
      <c r="K188" s="399" t="s">
        <v>71</v>
      </c>
      <c r="L188" s="399" t="s">
        <v>34</v>
      </c>
      <c r="M188" s="399">
        <v>208</v>
      </c>
      <c r="N188" s="356">
        <v>3079000</v>
      </c>
      <c r="O188" s="28" t="b">
        <f t="shared" si="19"/>
        <v>1</v>
      </c>
    </row>
    <row r="189" spans="2:15" s="28" customFormat="1" ht="16.5" customHeight="1">
      <c r="B189" s="20"/>
      <c r="C189" s="20"/>
      <c r="D189" s="254"/>
      <c r="E189" s="379">
        <v>134962</v>
      </c>
      <c r="F189" s="395" t="s">
        <v>47</v>
      </c>
      <c r="G189" s="396"/>
      <c r="H189" s="397"/>
      <c r="I189" s="383">
        <v>364000</v>
      </c>
      <c r="J189" s="398">
        <v>134962</v>
      </c>
      <c r="K189" s="399" t="s">
        <v>70</v>
      </c>
      <c r="L189" s="399" t="s">
        <v>34</v>
      </c>
      <c r="M189" s="399">
        <v>20</v>
      </c>
      <c r="N189" s="356">
        <v>364000</v>
      </c>
      <c r="O189" s="28" t="b">
        <f t="shared" si="19"/>
        <v>1</v>
      </c>
    </row>
    <row r="190" spans="2:15" s="28" customFormat="1" ht="16.5" customHeight="1">
      <c r="B190" s="20"/>
      <c r="C190" s="20"/>
      <c r="D190" s="254"/>
      <c r="E190" s="379">
        <v>134995</v>
      </c>
      <c r="F190" s="395" t="s">
        <v>283</v>
      </c>
      <c r="G190" s="396"/>
      <c r="H190" s="397"/>
      <c r="I190" s="383">
        <v>475000</v>
      </c>
      <c r="J190" s="398">
        <v>134995</v>
      </c>
      <c r="K190" s="399" t="s">
        <v>70</v>
      </c>
      <c r="L190" s="399" t="s">
        <v>34</v>
      </c>
      <c r="M190" s="399">
        <v>16</v>
      </c>
      <c r="N190" s="356">
        <v>475000</v>
      </c>
      <c r="O190" s="28" t="b">
        <f t="shared" si="19"/>
        <v>1</v>
      </c>
    </row>
    <row r="191" spans="2:15" s="28" customFormat="1" ht="16.5" customHeight="1">
      <c r="B191" s="20"/>
      <c r="C191" s="20"/>
      <c r="D191" s="254"/>
      <c r="E191" s="379">
        <v>134997</v>
      </c>
      <c r="F191" s="408" t="s">
        <v>284</v>
      </c>
      <c r="G191" s="409"/>
      <c r="H191" s="410"/>
      <c r="I191" s="383">
        <v>316000</v>
      </c>
      <c r="J191" s="398">
        <v>134997</v>
      </c>
      <c r="K191" s="378" t="s">
        <v>70</v>
      </c>
      <c r="L191" s="378" t="s">
        <v>34</v>
      </c>
      <c r="M191" s="378">
        <v>15.87</v>
      </c>
      <c r="N191" s="356">
        <v>316000</v>
      </c>
      <c r="O191" s="28" t="b">
        <f t="shared" si="19"/>
        <v>1</v>
      </c>
    </row>
    <row r="192" spans="2:15" s="28" customFormat="1" ht="16.5" customHeight="1">
      <c r="B192" s="20"/>
      <c r="C192" s="20"/>
      <c r="D192" s="254"/>
      <c r="E192" s="379">
        <v>134999</v>
      </c>
      <c r="F192" s="395" t="s">
        <v>285</v>
      </c>
      <c r="G192" s="396"/>
      <c r="H192" s="397"/>
      <c r="I192" s="383">
        <v>476000</v>
      </c>
      <c r="J192" s="398">
        <v>134999</v>
      </c>
      <c r="K192" s="399" t="s">
        <v>70</v>
      </c>
      <c r="L192" s="399" t="s">
        <v>34</v>
      </c>
      <c r="M192" s="399">
        <v>15.87</v>
      </c>
      <c r="N192" s="356">
        <v>476000</v>
      </c>
      <c r="O192" s="28" t="b">
        <f t="shared" si="19"/>
        <v>1</v>
      </c>
    </row>
    <row r="193" spans="2:15" s="28" customFormat="1" ht="16.5" customHeight="1">
      <c r="B193" s="20"/>
      <c r="C193" s="20"/>
      <c r="D193" s="254"/>
      <c r="E193" s="379">
        <v>135000</v>
      </c>
      <c r="F193" s="395" t="s">
        <v>487</v>
      </c>
      <c r="G193" s="396"/>
      <c r="H193" s="397"/>
      <c r="I193" s="383">
        <v>2918000</v>
      </c>
      <c r="J193" s="398">
        <v>135000</v>
      </c>
      <c r="K193" s="399" t="s">
        <v>71</v>
      </c>
      <c r="L193" s="399" t="s">
        <v>34</v>
      </c>
      <c r="M193" s="399">
        <v>208</v>
      </c>
      <c r="N193" s="356">
        <v>2918000</v>
      </c>
      <c r="O193" s="28" t="b">
        <f t="shared" si="19"/>
        <v>1</v>
      </c>
    </row>
    <row r="194" spans="2:15" s="28" customFormat="1" ht="16.5" customHeight="1">
      <c r="B194" s="20"/>
      <c r="C194" s="20"/>
      <c r="D194" s="254"/>
      <c r="E194" s="379">
        <v>135002</v>
      </c>
      <c r="F194" s="395" t="s">
        <v>286</v>
      </c>
      <c r="G194" s="396"/>
      <c r="H194" s="397"/>
      <c r="I194" s="383">
        <v>364000</v>
      </c>
      <c r="J194" s="398">
        <v>135002</v>
      </c>
      <c r="K194" s="399" t="s">
        <v>70</v>
      </c>
      <c r="L194" s="399" t="s">
        <v>34</v>
      </c>
      <c r="M194" s="399">
        <v>20</v>
      </c>
      <c r="N194" s="356">
        <v>364000</v>
      </c>
      <c r="O194" s="28" t="b">
        <f t="shared" si="19"/>
        <v>1</v>
      </c>
    </row>
    <row r="195" spans="2:15" s="28" customFormat="1" ht="16.5" customHeight="1">
      <c r="B195" s="20"/>
      <c r="C195" s="20"/>
      <c r="D195" s="254"/>
      <c r="E195" s="379">
        <v>135004</v>
      </c>
      <c r="F195" s="395" t="s">
        <v>287</v>
      </c>
      <c r="G195" s="396"/>
      <c r="H195" s="397"/>
      <c r="I195" s="383">
        <v>300000</v>
      </c>
      <c r="J195" s="398">
        <v>135004</v>
      </c>
      <c r="K195" s="399" t="s">
        <v>70</v>
      </c>
      <c r="L195" s="399" t="s">
        <v>34</v>
      </c>
      <c r="M195" s="399">
        <v>18.899999999999999</v>
      </c>
      <c r="N195" s="356">
        <v>300000</v>
      </c>
      <c r="O195" s="28" t="b">
        <f t="shared" si="19"/>
        <v>1</v>
      </c>
    </row>
    <row r="196" spans="2:15" s="28" customFormat="1" ht="16.5" customHeight="1">
      <c r="B196" s="20"/>
      <c r="C196" s="20"/>
      <c r="D196" s="254"/>
      <c r="E196" s="379">
        <v>135008</v>
      </c>
      <c r="F196" s="395" t="s">
        <v>288</v>
      </c>
      <c r="G196" s="396"/>
      <c r="H196" s="397"/>
      <c r="I196" s="383">
        <v>274000</v>
      </c>
      <c r="J196" s="398">
        <v>135008</v>
      </c>
      <c r="K196" s="399" t="s">
        <v>70</v>
      </c>
      <c r="L196" s="399" t="s">
        <v>34</v>
      </c>
      <c r="M196" s="399">
        <v>20</v>
      </c>
      <c r="N196" s="356">
        <v>274000</v>
      </c>
      <c r="O196" s="28" t="b">
        <f t="shared" si="19"/>
        <v>1</v>
      </c>
    </row>
    <row r="197" spans="2:15" s="28" customFormat="1" ht="16.5" customHeight="1">
      <c r="B197" s="20"/>
      <c r="C197" s="20"/>
      <c r="D197" s="254"/>
      <c r="E197" s="379">
        <v>135010</v>
      </c>
      <c r="F197" s="395" t="s">
        <v>488</v>
      </c>
      <c r="G197" s="396"/>
      <c r="H197" s="397"/>
      <c r="I197" s="383">
        <v>3777000</v>
      </c>
      <c r="J197" s="398">
        <v>135010</v>
      </c>
      <c r="K197" s="399" t="s">
        <v>71</v>
      </c>
      <c r="L197" s="399" t="s">
        <v>34</v>
      </c>
      <c r="M197" s="399">
        <v>174</v>
      </c>
      <c r="N197" s="356">
        <v>3777000</v>
      </c>
      <c r="O197" s="28" t="b">
        <f t="shared" si="19"/>
        <v>1</v>
      </c>
    </row>
    <row r="198" spans="2:15" s="28" customFormat="1" ht="16.5" customHeight="1">
      <c r="B198" s="20"/>
      <c r="C198" s="20"/>
      <c r="D198" s="254"/>
      <c r="E198" s="379">
        <v>135013</v>
      </c>
      <c r="F198" s="395" t="s">
        <v>489</v>
      </c>
      <c r="G198" s="396"/>
      <c r="H198" s="397"/>
      <c r="I198" s="383">
        <v>2922000</v>
      </c>
      <c r="J198" s="398">
        <v>135013</v>
      </c>
      <c r="K198" s="399" t="s">
        <v>71</v>
      </c>
      <c r="L198" s="399" t="s">
        <v>34</v>
      </c>
      <c r="M198" s="399">
        <v>208</v>
      </c>
      <c r="N198" s="356">
        <v>2922000</v>
      </c>
      <c r="O198" s="28" t="b">
        <f t="shared" si="19"/>
        <v>1</v>
      </c>
    </row>
    <row r="199" spans="2:15" s="28" customFormat="1" ht="16.5" customHeight="1">
      <c r="B199" s="20"/>
      <c r="C199" s="20"/>
      <c r="D199" s="254"/>
      <c r="E199" s="379">
        <v>135014</v>
      </c>
      <c r="F199" s="395" t="s">
        <v>490</v>
      </c>
      <c r="G199" s="396"/>
      <c r="H199" s="397"/>
      <c r="I199" s="383">
        <v>3151000</v>
      </c>
      <c r="J199" s="398">
        <v>135014</v>
      </c>
      <c r="K199" s="399" t="s">
        <v>71</v>
      </c>
      <c r="L199" s="399" t="s">
        <v>34</v>
      </c>
      <c r="M199" s="399">
        <v>208</v>
      </c>
      <c r="N199" s="356">
        <v>3151000</v>
      </c>
      <c r="O199" s="28" t="b">
        <f t="shared" si="19"/>
        <v>1</v>
      </c>
    </row>
    <row r="200" spans="2:15" s="28" customFormat="1" ht="16.5" customHeight="1">
      <c r="B200" s="20"/>
      <c r="C200" s="20"/>
      <c r="D200" s="254"/>
      <c r="E200" s="379">
        <v>135016</v>
      </c>
      <c r="F200" s="395" t="s">
        <v>289</v>
      </c>
      <c r="G200" s="396"/>
      <c r="H200" s="397"/>
      <c r="I200" s="383">
        <v>353000</v>
      </c>
      <c r="J200" s="398">
        <v>135016</v>
      </c>
      <c r="K200" s="399" t="s">
        <v>70</v>
      </c>
      <c r="L200" s="399" t="s">
        <v>34</v>
      </c>
      <c r="M200" s="399">
        <v>20</v>
      </c>
      <c r="N200" s="356">
        <v>353000</v>
      </c>
      <c r="O200" s="28" t="b">
        <f t="shared" si="19"/>
        <v>1</v>
      </c>
    </row>
    <row r="201" spans="2:15" s="28" customFormat="1" ht="16.5" customHeight="1">
      <c r="B201" s="20"/>
      <c r="C201" s="20"/>
      <c r="D201" s="254"/>
      <c r="E201" s="379">
        <v>135152</v>
      </c>
      <c r="F201" s="395" t="s">
        <v>290</v>
      </c>
      <c r="G201" s="396"/>
      <c r="H201" s="397"/>
      <c r="I201" s="383">
        <v>327000</v>
      </c>
      <c r="J201" s="398">
        <v>135152</v>
      </c>
      <c r="K201" s="399" t="s">
        <v>70</v>
      </c>
      <c r="L201" s="399" t="s">
        <v>34</v>
      </c>
      <c r="M201" s="399">
        <v>20</v>
      </c>
      <c r="N201" s="356">
        <v>327000</v>
      </c>
      <c r="O201" s="28" t="b">
        <f t="shared" si="19"/>
        <v>1</v>
      </c>
    </row>
    <row r="202" spans="2:15" s="28" customFormat="1" ht="16.5" customHeight="1">
      <c r="B202" s="20"/>
      <c r="C202" s="20"/>
      <c r="D202" s="254"/>
      <c r="E202" s="379">
        <v>135153</v>
      </c>
      <c r="F202" s="395" t="s">
        <v>291</v>
      </c>
      <c r="G202" s="396"/>
      <c r="H202" s="397"/>
      <c r="I202" s="383">
        <v>277000</v>
      </c>
      <c r="J202" s="398">
        <v>135153</v>
      </c>
      <c r="K202" s="399" t="s">
        <v>70</v>
      </c>
      <c r="L202" s="399" t="s">
        <v>34</v>
      </c>
      <c r="M202" s="399">
        <v>20</v>
      </c>
      <c r="N202" s="356">
        <v>277000</v>
      </c>
      <c r="O202" s="28" t="b">
        <f t="shared" si="19"/>
        <v>1</v>
      </c>
    </row>
    <row r="203" spans="2:15" s="28" customFormat="1" ht="16.5" customHeight="1">
      <c r="B203" s="20"/>
      <c r="C203" s="20"/>
      <c r="D203" s="254"/>
      <c r="E203" s="379">
        <v>135179</v>
      </c>
      <c r="F203" s="395" t="s">
        <v>491</v>
      </c>
      <c r="G203" s="396"/>
      <c r="H203" s="397"/>
      <c r="I203" s="383">
        <v>2733000</v>
      </c>
      <c r="J203" s="398">
        <v>135179</v>
      </c>
      <c r="K203" s="399" t="s">
        <v>71</v>
      </c>
      <c r="L203" s="399" t="s">
        <v>34</v>
      </c>
      <c r="M203" s="399">
        <v>208</v>
      </c>
      <c r="N203" s="356">
        <v>2733000</v>
      </c>
      <c r="O203" s="28" t="b">
        <f t="shared" si="19"/>
        <v>1</v>
      </c>
    </row>
    <row r="204" spans="2:15" s="28" customFormat="1" ht="16.5" customHeight="1">
      <c r="B204" s="20"/>
      <c r="C204" s="20"/>
      <c r="D204" s="254"/>
      <c r="E204" s="379">
        <v>135180</v>
      </c>
      <c r="F204" s="395" t="s">
        <v>492</v>
      </c>
      <c r="G204" s="401"/>
      <c r="H204" s="402"/>
      <c r="I204" s="383">
        <v>3124000</v>
      </c>
      <c r="J204" s="398">
        <v>135180</v>
      </c>
      <c r="K204" s="399" t="s">
        <v>71</v>
      </c>
      <c r="L204" s="399" t="s">
        <v>34</v>
      </c>
      <c r="M204" s="399">
        <v>208</v>
      </c>
      <c r="N204" s="356">
        <v>3124000</v>
      </c>
      <c r="O204" s="28" t="b">
        <f t="shared" si="19"/>
        <v>1</v>
      </c>
    </row>
    <row r="205" spans="2:15" s="28" customFormat="1" ht="16.5" customHeight="1">
      <c r="B205" s="20"/>
      <c r="C205" s="20"/>
      <c r="D205" s="254"/>
      <c r="E205" s="379">
        <v>135181</v>
      </c>
      <c r="F205" s="395" t="s">
        <v>292</v>
      </c>
      <c r="G205" s="396"/>
      <c r="H205" s="397"/>
      <c r="I205" s="383">
        <v>269000</v>
      </c>
      <c r="J205" s="398">
        <v>135181</v>
      </c>
      <c r="K205" s="399" t="s">
        <v>70</v>
      </c>
      <c r="L205" s="399" t="s">
        <v>34</v>
      </c>
      <c r="M205" s="399">
        <v>20</v>
      </c>
      <c r="N205" s="356">
        <v>269000</v>
      </c>
      <c r="O205" s="28" t="b">
        <f t="shared" si="19"/>
        <v>1</v>
      </c>
    </row>
    <row r="206" spans="2:15" s="28" customFormat="1" ht="16.5" customHeight="1">
      <c r="B206" s="20"/>
      <c r="C206" s="20"/>
      <c r="D206" s="254"/>
      <c r="E206" s="379">
        <v>135182</v>
      </c>
      <c r="F206" s="395" t="s">
        <v>493</v>
      </c>
      <c r="G206" s="396"/>
      <c r="H206" s="397"/>
      <c r="I206" s="383">
        <v>2995000</v>
      </c>
      <c r="J206" s="398">
        <v>135182</v>
      </c>
      <c r="K206" s="399" t="s">
        <v>71</v>
      </c>
      <c r="L206" s="399" t="s">
        <v>34</v>
      </c>
      <c r="M206" s="399">
        <v>208</v>
      </c>
      <c r="N206" s="356">
        <v>2995000</v>
      </c>
      <c r="O206" s="28" t="b">
        <f t="shared" si="19"/>
        <v>1</v>
      </c>
    </row>
    <row r="207" spans="2:15" s="28" customFormat="1" ht="16.5" customHeight="1">
      <c r="B207" s="20"/>
      <c r="C207" s="20"/>
      <c r="D207" s="254"/>
      <c r="E207" s="379">
        <v>135183</v>
      </c>
      <c r="F207" s="395" t="s">
        <v>293</v>
      </c>
      <c r="G207" s="396"/>
      <c r="H207" s="397"/>
      <c r="I207" s="383">
        <v>302000</v>
      </c>
      <c r="J207" s="398">
        <v>135183</v>
      </c>
      <c r="K207" s="399" t="s">
        <v>70</v>
      </c>
      <c r="L207" s="399" t="s">
        <v>34</v>
      </c>
      <c r="M207" s="399">
        <v>20</v>
      </c>
      <c r="N207" s="356">
        <v>302000</v>
      </c>
      <c r="O207" s="28" t="b">
        <f t="shared" si="19"/>
        <v>1</v>
      </c>
    </row>
    <row r="208" spans="2:15" s="28" customFormat="1" ht="16.5" customHeight="1">
      <c r="B208" s="20"/>
      <c r="C208" s="20"/>
      <c r="D208" s="254"/>
      <c r="E208" s="379">
        <v>135184</v>
      </c>
      <c r="F208" s="395" t="s">
        <v>494</v>
      </c>
      <c r="G208" s="396"/>
      <c r="H208" s="397"/>
      <c r="I208" s="383">
        <v>3255000</v>
      </c>
      <c r="J208" s="398">
        <v>135184</v>
      </c>
      <c r="K208" s="399" t="s">
        <v>71</v>
      </c>
      <c r="L208" s="399" t="s">
        <v>34</v>
      </c>
      <c r="M208" s="399">
        <v>208</v>
      </c>
      <c r="N208" s="356">
        <v>3255000</v>
      </c>
      <c r="O208" s="28" t="b">
        <f t="shared" si="19"/>
        <v>1</v>
      </c>
    </row>
    <row r="209" spans="2:15" s="28" customFormat="1" ht="16.5" customHeight="1">
      <c r="B209" s="20"/>
      <c r="C209" s="20"/>
      <c r="D209" s="254"/>
      <c r="E209" s="379">
        <v>135185</v>
      </c>
      <c r="F209" s="395" t="s">
        <v>495</v>
      </c>
      <c r="G209" s="396"/>
      <c r="H209" s="397"/>
      <c r="I209" s="383">
        <v>3450000</v>
      </c>
      <c r="J209" s="398">
        <v>135185</v>
      </c>
      <c r="K209" s="399" t="s">
        <v>71</v>
      </c>
      <c r="L209" s="399" t="s">
        <v>34</v>
      </c>
      <c r="M209" s="399">
        <v>208</v>
      </c>
      <c r="N209" s="356">
        <v>3450000</v>
      </c>
      <c r="O209" s="28" t="b">
        <f t="shared" si="19"/>
        <v>1</v>
      </c>
    </row>
    <row r="210" spans="2:15" s="28" customFormat="1" ht="16.5" customHeight="1">
      <c r="B210" s="20"/>
      <c r="C210" s="20"/>
      <c r="D210" s="254"/>
      <c r="E210" s="379">
        <v>135186</v>
      </c>
      <c r="F210" s="395" t="s">
        <v>496</v>
      </c>
      <c r="G210" s="396"/>
      <c r="H210" s="397"/>
      <c r="I210" s="383">
        <v>3644000</v>
      </c>
      <c r="J210" s="398">
        <v>135186</v>
      </c>
      <c r="K210" s="399" t="s">
        <v>71</v>
      </c>
      <c r="L210" s="399" t="s">
        <v>34</v>
      </c>
      <c r="M210" s="399">
        <v>208</v>
      </c>
      <c r="N210" s="356">
        <v>3644000</v>
      </c>
      <c r="O210" s="28" t="b">
        <f t="shared" si="19"/>
        <v>1</v>
      </c>
    </row>
    <row r="211" spans="2:15" s="28" customFormat="1" ht="16.5" customHeight="1">
      <c r="B211" s="20"/>
      <c r="C211" s="20"/>
      <c r="D211" s="254"/>
      <c r="E211" s="379">
        <v>135187</v>
      </c>
      <c r="F211" s="395" t="s">
        <v>497</v>
      </c>
      <c r="G211" s="396"/>
      <c r="H211" s="397"/>
      <c r="I211" s="383">
        <v>3124000</v>
      </c>
      <c r="J211" s="398">
        <v>135187</v>
      </c>
      <c r="K211" s="399" t="s">
        <v>71</v>
      </c>
      <c r="L211" s="399" t="s">
        <v>34</v>
      </c>
      <c r="M211" s="399">
        <v>208</v>
      </c>
      <c r="N211" s="356">
        <v>3124000</v>
      </c>
      <c r="O211" s="28" t="b">
        <f t="shared" si="19"/>
        <v>1</v>
      </c>
    </row>
    <row r="212" spans="2:15" s="28" customFormat="1" ht="16.5" customHeight="1">
      <c r="B212" s="20"/>
      <c r="C212" s="20"/>
      <c r="D212" s="254"/>
      <c r="E212" s="379">
        <v>135188</v>
      </c>
      <c r="F212" s="395" t="s">
        <v>294</v>
      </c>
      <c r="G212" s="396"/>
      <c r="H212" s="397"/>
      <c r="I212" s="383">
        <v>315000</v>
      </c>
      <c r="J212" s="398">
        <v>135188</v>
      </c>
      <c r="K212" s="399" t="s">
        <v>70</v>
      </c>
      <c r="L212" s="399" t="s">
        <v>34</v>
      </c>
      <c r="M212" s="399">
        <v>20</v>
      </c>
      <c r="N212" s="356">
        <v>315000</v>
      </c>
      <c r="O212" s="28" t="b">
        <f t="shared" si="19"/>
        <v>1</v>
      </c>
    </row>
    <row r="213" spans="2:15" s="28" customFormat="1" ht="16.5" customHeight="1">
      <c r="B213" s="20"/>
      <c r="C213" s="20"/>
      <c r="D213" s="254"/>
      <c r="E213" s="379">
        <v>135190</v>
      </c>
      <c r="F213" s="395" t="s">
        <v>295</v>
      </c>
      <c r="G213" s="396"/>
      <c r="H213" s="397"/>
      <c r="I213" s="383">
        <v>346000</v>
      </c>
      <c r="J213" s="398">
        <v>135190</v>
      </c>
      <c r="K213" s="399" t="s">
        <v>70</v>
      </c>
      <c r="L213" s="399" t="s">
        <v>34</v>
      </c>
      <c r="M213" s="399">
        <v>20</v>
      </c>
      <c r="N213" s="356">
        <v>346000</v>
      </c>
      <c r="O213" s="28" t="b">
        <f t="shared" si="19"/>
        <v>1</v>
      </c>
    </row>
    <row r="214" spans="2:15" s="28" customFormat="1" ht="16.5" customHeight="1">
      <c r="B214" s="20"/>
      <c r="C214" s="20"/>
      <c r="D214" s="254"/>
      <c r="E214" s="379">
        <v>135249</v>
      </c>
      <c r="F214" s="395" t="s">
        <v>498</v>
      </c>
      <c r="G214" s="401"/>
      <c r="H214" s="402"/>
      <c r="I214" s="383">
        <v>1871000</v>
      </c>
      <c r="J214" s="398">
        <v>135249</v>
      </c>
      <c r="K214" s="399" t="s">
        <v>71</v>
      </c>
      <c r="L214" s="399" t="s">
        <v>34</v>
      </c>
      <c r="M214" s="399">
        <v>180</v>
      </c>
      <c r="N214" s="356">
        <v>1871000</v>
      </c>
      <c r="O214" s="28" t="b">
        <f t="shared" si="19"/>
        <v>1</v>
      </c>
    </row>
    <row r="215" spans="2:15" s="28" customFormat="1" ht="16.5" customHeight="1">
      <c r="B215" s="20"/>
      <c r="C215" s="20"/>
      <c r="D215" s="254"/>
      <c r="E215" s="379">
        <v>135304</v>
      </c>
      <c r="F215" s="395" t="s">
        <v>499</v>
      </c>
      <c r="G215" s="396"/>
      <c r="H215" s="397"/>
      <c r="I215" s="383">
        <v>3473000</v>
      </c>
      <c r="J215" s="398">
        <v>135304</v>
      </c>
      <c r="K215" s="399" t="s">
        <v>71</v>
      </c>
      <c r="L215" s="399" t="s">
        <v>34</v>
      </c>
      <c r="M215" s="399">
        <v>208</v>
      </c>
      <c r="N215" s="356">
        <v>3473000</v>
      </c>
      <c r="O215" s="28" t="b">
        <f t="shared" si="19"/>
        <v>1</v>
      </c>
    </row>
    <row r="216" spans="2:15" s="28" customFormat="1" ht="16.5" customHeight="1">
      <c r="B216" s="20"/>
      <c r="C216" s="20"/>
      <c r="D216" s="254"/>
      <c r="E216" s="379">
        <v>135361</v>
      </c>
      <c r="F216" s="395" t="s">
        <v>296</v>
      </c>
      <c r="G216" s="396"/>
      <c r="H216" s="397"/>
      <c r="I216" s="383">
        <v>317000</v>
      </c>
      <c r="J216" s="398">
        <v>135361</v>
      </c>
      <c r="K216" s="399" t="s">
        <v>70</v>
      </c>
      <c r="L216" s="399" t="s">
        <v>34</v>
      </c>
      <c r="M216" s="399">
        <v>18.899999999999999</v>
      </c>
      <c r="N216" s="356">
        <v>317000</v>
      </c>
      <c r="O216" s="28" t="b">
        <f t="shared" si="19"/>
        <v>1</v>
      </c>
    </row>
    <row r="217" spans="2:15" s="28" customFormat="1" ht="16.5" customHeight="1">
      <c r="B217" s="20"/>
      <c r="C217" s="20"/>
      <c r="D217" s="254"/>
      <c r="E217" s="379">
        <v>135421</v>
      </c>
      <c r="F217" s="395" t="s">
        <v>500</v>
      </c>
      <c r="G217" s="396"/>
      <c r="H217" s="397"/>
      <c r="I217" s="383">
        <v>5049000</v>
      </c>
      <c r="J217" s="398">
        <v>135421</v>
      </c>
      <c r="K217" s="399" t="s">
        <v>71</v>
      </c>
      <c r="L217" s="399" t="s">
        <v>34</v>
      </c>
      <c r="M217" s="399">
        <v>208</v>
      </c>
      <c r="N217" s="356">
        <v>5049000</v>
      </c>
      <c r="O217" s="28" t="b">
        <f t="shared" si="19"/>
        <v>1</v>
      </c>
    </row>
    <row r="218" spans="2:15" s="28" customFormat="1" ht="16.5" customHeight="1">
      <c r="B218" s="20"/>
      <c r="C218" s="20"/>
      <c r="D218" s="254"/>
      <c r="E218" s="379">
        <v>135431</v>
      </c>
      <c r="F218" s="395" t="s">
        <v>501</v>
      </c>
      <c r="G218" s="396"/>
      <c r="H218" s="397"/>
      <c r="I218" s="383">
        <v>3873000</v>
      </c>
      <c r="J218" s="398">
        <v>135431</v>
      </c>
      <c r="K218" s="399" t="s">
        <v>71</v>
      </c>
      <c r="L218" s="399" t="s">
        <v>34</v>
      </c>
      <c r="M218" s="399">
        <v>177</v>
      </c>
      <c r="N218" s="356">
        <v>3873000</v>
      </c>
      <c r="O218" s="28" t="b">
        <f t="shared" ref="O218:O281" si="20">I218=N218</f>
        <v>1</v>
      </c>
    </row>
    <row r="219" spans="2:15" s="28" customFormat="1" ht="16.5" customHeight="1">
      <c r="B219" s="20"/>
      <c r="C219" s="20"/>
      <c r="D219" s="254"/>
      <c r="E219" s="379">
        <v>135432</v>
      </c>
      <c r="F219" s="395" t="s">
        <v>502</v>
      </c>
      <c r="G219" s="396"/>
      <c r="H219" s="397"/>
      <c r="I219" s="383">
        <v>3962000</v>
      </c>
      <c r="J219" s="398">
        <v>135432</v>
      </c>
      <c r="K219" s="399" t="s">
        <v>71</v>
      </c>
      <c r="L219" s="399" t="s">
        <v>34</v>
      </c>
      <c r="M219" s="399">
        <v>177</v>
      </c>
      <c r="N219" s="356">
        <v>3962000</v>
      </c>
      <c r="O219" s="28" t="b">
        <f t="shared" si="20"/>
        <v>1</v>
      </c>
    </row>
    <row r="220" spans="2:15" s="28" customFormat="1" ht="16.5" customHeight="1">
      <c r="B220" s="20"/>
      <c r="C220" s="20"/>
      <c r="D220" s="254"/>
      <c r="E220" s="379">
        <v>135437</v>
      </c>
      <c r="F220" s="395" t="s">
        <v>503</v>
      </c>
      <c r="G220" s="396"/>
      <c r="H220" s="397"/>
      <c r="I220" s="383">
        <v>3634000</v>
      </c>
      <c r="J220" s="398">
        <v>135437</v>
      </c>
      <c r="K220" s="399" t="s">
        <v>71</v>
      </c>
      <c r="L220" s="399" t="s">
        <v>34</v>
      </c>
      <c r="M220" s="399">
        <v>176.9</v>
      </c>
      <c r="N220" s="356">
        <v>3634000</v>
      </c>
      <c r="O220" s="28" t="b">
        <f t="shared" si="20"/>
        <v>1</v>
      </c>
    </row>
    <row r="221" spans="2:15" s="28" customFormat="1" ht="16.5" customHeight="1">
      <c r="B221" s="20"/>
      <c r="C221" s="20"/>
      <c r="D221" s="254"/>
      <c r="E221" s="379">
        <v>135439</v>
      </c>
      <c r="F221" s="395" t="s">
        <v>504</v>
      </c>
      <c r="G221" s="396"/>
      <c r="H221" s="397"/>
      <c r="I221" s="383">
        <v>4035000</v>
      </c>
      <c r="J221" s="398">
        <v>135439</v>
      </c>
      <c r="K221" s="399" t="s">
        <v>71</v>
      </c>
      <c r="L221" s="399" t="s">
        <v>34</v>
      </c>
      <c r="M221" s="399">
        <v>176.9</v>
      </c>
      <c r="N221" s="356">
        <v>4035000</v>
      </c>
      <c r="O221" s="28" t="b">
        <f t="shared" si="20"/>
        <v>1</v>
      </c>
    </row>
    <row r="222" spans="2:15" s="28" customFormat="1" ht="16.5" customHeight="1">
      <c r="B222" s="20"/>
      <c r="C222" s="20"/>
      <c r="D222" s="254"/>
      <c r="E222" s="379">
        <v>135440</v>
      </c>
      <c r="F222" s="395" t="s">
        <v>505</v>
      </c>
      <c r="G222" s="396"/>
      <c r="H222" s="397"/>
      <c r="I222" s="383">
        <v>2915000</v>
      </c>
      <c r="J222" s="398">
        <v>135440</v>
      </c>
      <c r="K222" s="399" t="s">
        <v>71</v>
      </c>
      <c r="L222" s="399" t="s">
        <v>34</v>
      </c>
      <c r="M222" s="399">
        <v>208</v>
      </c>
      <c r="N222" s="356">
        <v>2915000</v>
      </c>
      <c r="O222" s="28" t="b">
        <f t="shared" si="20"/>
        <v>1</v>
      </c>
    </row>
    <row r="223" spans="2:15" s="28" customFormat="1" ht="16.5" customHeight="1">
      <c r="B223" s="20"/>
      <c r="C223" s="20"/>
      <c r="D223" s="254"/>
      <c r="E223" s="379">
        <v>135444</v>
      </c>
      <c r="F223" s="395" t="s">
        <v>507</v>
      </c>
      <c r="G223" s="396"/>
      <c r="H223" s="397"/>
      <c r="I223" s="383">
        <v>4131000</v>
      </c>
      <c r="J223" s="399">
        <v>135444</v>
      </c>
      <c r="K223" s="399" t="s">
        <v>71</v>
      </c>
      <c r="L223" s="399" t="s">
        <v>34</v>
      </c>
      <c r="M223" s="399">
        <v>177</v>
      </c>
      <c r="N223" s="356">
        <v>4131000</v>
      </c>
      <c r="O223" s="28" t="b">
        <f t="shared" si="20"/>
        <v>1</v>
      </c>
    </row>
    <row r="224" spans="2:15" s="28" customFormat="1" ht="16.5" customHeight="1">
      <c r="B224" s="20"/>
      <c r="C224" s="20"/>
      <c r="D224" s="254"/>
      <c r="E224" s="379">
        <v>135448</v>
      </c>
      <c r="F224" s="395" t="s">
        <v>508</v>
      </c>
      <c r="G224" s="396"/>
      <c r="H224" s="397"/>
      <c r="I224" s="383">
        <v>3842000</v>
      </c>
      <c r="J224" s="398">
        <v>135448</v>
      </c>
      <c r="K224" s="399" t="s">
        <v>71</v>
      </c>
      <c r="L224" s="399" t="s">
        <v>34</v>
      </c>
      <c r="M224" s="399">
        <v>177</v>
      </c>
      <c r="N224" s="356">
        <v>3842000</v>
      </c>
      <c r="O224" s="28" t="b">
        <f t="shared" si="20"/>
        <v>1</v>
      </c>
    </row>
    <row r="225" spans="2:15" s="28" customFormat="1" ht="16.5" customHeight="1">
      <c r="B225" s="20"/>
      <c r="C225" s="20"/>
      <c r="D225" s="254"/>
      <c r="E225" s="379">
        <v>135449</v>
      </c>
      <c r="F225" s="395" t="s">
        <v>300</v>
      </c>
      <c r="G225" s="396"/>
      <c r="H225" s="397"/>
      <c r="I225" s="383"/>
      <c r="J225" s="398">
        <v>135449</v>
      </c>
      <c r="K225" s="399" t="s">
        <v>73</v>
      </c>
      <c r="L225" s="399" t="s">
        <v>34</v>
      </c>
      <c r="M225" s="399">
        <v>21.1</v>
      </c>
      <c r="N225" s="356" t="e">
        <v>#N/A</v>
      </c>
      <c r="O225" s="28" t="e">
        <f t="shared" si="20"/>
        <v>#N/A</v>
      </c>
    </row>
    <row r="226" spans="2:15" s="28" customFormat="1" ht="16.5" customHeight="1">
      <c r="B226" s="20"/>
      <c r="C226" s="20"/>
      <c r="D226" s="254"/>
      <c r="E226" s="379">
        <v>135451</v>
      </c>
      <c r="F226" s="395" t="s">
        <v>509</v>
      </c>
      <c r="G226" s="396"/>
      <c r="H226" s="397"/>
      <c r="I226" s="383">
        <v>3847000</v>
      </c>
      <c r="J226" s="398">
        <v>135451</v>
      </c>
      <c r="K226" s="399" t="s">
        <v>71</v>
      </c>
      <c r="L226" s="399" t="s">
        <v>34</v>
      </c>
      <c r="M226" s="399">
        <v>177</v>
      </c>
      <c r="N226" s="356">
        <v>3847000</v>
      </c>
      <c r="O226" s="28" t="b">
        <f t="shared" si="20"/>
        <v>1</v>
      </c>
    </row>
    <row r="227" spans="2:15" s="28" customFormat="1" ht="16.5" customHeight="1">
      <c r="B227" s="20"/>
      <c r="C227" s="20"/>
      <c r="D227" s="254"/>
      <c r="E227" s="379">
        <v>135452</v>
      </c>
      <c r="F227" s="395" t="s">
        <v>510</v>
      </c>
      <c r="G227" s="396"/>
      <c r="H227" s="397"/>
      <c r="I227" s="383">
        <v>2586000</v>
      </c>
      <c r="J227" s="398">
        <v>135452</v>
      </c>
      <c r="K227" s="399" t="s">
        <v>71</v>
      </c>
      <c r="L227" s="399" t="s">
        <v>34</v>
      </c>
      <c r="M227" s="399">
        <v>208</v>
      </c>
      <c r="N227" s="356">
        <v>2586000</v>
      </c>
      <c r="O227" s="28" t="b">
        <f t="shared" si="20"/>
        <v>1</v>
      </c>
    </row>
    <row r="228" spans="2:15" s="28" customFormat="1" ht="16.5" customHeight="1">
      <c r="B228" s="20"/>
      <c r="C228" s="20"/>
      <c r="D228" s="254"/>
      <c r="E228" s="379">
        <v>135453</v>
      </c>
      <c r="F228" s="395" t="s">
        <v>301</v>
      </c>
      <c r="G228" s="396"/>
      <c r="H228" s="397"/>
      <c r="I228" s="383">
        <v>262000</v>
      </c>
      <c r="J228" s="398">
        <v>135453</v>
      </c>
      <c r="K228" s="399" t="s">
        <v>70</v>
      </c>
      <c r="L228" s="399" t="s">
        <v>34</v>
      </c>
      <c r="M228" s="399">
        <v>18.899999999999999</v>
      </c>
      <c r="N228" s="356">
        <v>262000</v>
      </c>
      <c r="O228" s="28" t="b">
        <f t="shared" si="20"/>
        <v>1</v>
      </c>
    </row>
    <row r="229" spans="2:15" s="28" customFormat="1" ht="16.5" customHeight="1">
      <c r="B229" s="20"/>
      <c r="C229" s="20"/>
      <c r="D229" s="254"/>
      <c r="E229" s="379">
        <v>135454</v>
      </c>
      <c r="F229" s="395" t="s">
        <v>511</v>
      </c>
      <c r="G229" s="396"/>
      <c r="H229" s="397"/>
      <c r="I229" s="383">
        <v>2602000</v>
      </c>
      <c r="J229" s="398">
        <v>135454</v>
      </c>
      <c r="K229" s="399" t="s">
        <v>71</v>
      </c>
      <c r="L229" s="399" t="s">
        <v>34</v>
      </c>
      <c r="M229" s="399">
        <v>208</v>
      </c>
      <c r="N229" s="356">
        <v>2602000</v>
      </c>
      <c r="O229" s="28" t="b">
        <f t="shared" si="20"/>
        <v>1</v>
      </c>
    </row>
    <row r="230" spans="2:15" s="28" customFormat="1" ht="16.5" customHeight="1">
      <c r="B230" s="20"/>
      <c r="C230" s="20"/>
      <c r="D230" s="254"/>
      <c r="E230" s="379">
        <v>135455</v>
      </c>
      <c r="F230" s="395" t="s">
        <v>302</v>
      </c>
      <c r="G230" s="396"/>
      <c r="H230" s="397"/>
      <c r="I230" s="383">
        <v>282000</v>
      </c>
      <c r="J230" s="398">
        <v>135455</v>
      </c>
      <c r="K230" s="399" t="s">
        <v>70</v>
      </c>
      <c r="L230" s="399" t="s">
        <v>34</v>
      </c>
      <c r="M230" s="399">
        <v>18.899999999999999</v>
      </c>
      <c r="N230" s="356">
        <v>282000</v>
      </c>
      <c r="O230" s="28" t="b">
        <f t="shared" si="20"/>
        <v>1</v>
      </c>
    </row>
    <row r="231" spans="2:15" s="28" customFormat="1" ht="16.5" customHeight="1">
      <c r="B231" s="20"/>
      <c r="C231" s="20"/>
      <c r="D231" s="254"/>
      <c r="E231" s="379">
        <v>135456</v>
      </c>
      <c r="F231" s="395" t="s">
        <v>512</v>
      </c>
      <c r="G231" s="396"/>
      <c r="H231" s="397"/>
      <c r="I231" s="383">
        <v>2995000</v>
      </c>
      <c r="J231" s="398">
        <v>135456</v>
      </c>
      <c r="K231" s="399" t="s">
        <v>71</v>
      </c>
      <c r="L231" s="399" t="s">
        <v>34</v>
      </c>
      <c r="M231" s="399">
        <v>208</v>
      </c>
      <c r="N231" s="356">
        <v>2995000</v>
      </c>
      <c r="O231" s="28" t="b">
        <f t="shared" si="20"/>
        <v>1</v>
      </c>
    </row>
    <row r="232" spans="2:15" s="28" customFormat="1" ht="16.5" customHeight="1">
      <c r="B232" s="20"/>
      <c r="C232" s="20"/>
      <c r="D232" s="254"/>
      <c r="E232" s="379">
        <v>135457</v>
      </c>
      <c r="F232" s="395" t="s">
        <v>303</v>
      </c>
      <c r="G232" s="396"/>
      <c r="H232" s="397"/>
      <c r="I232" s="383">
        <v>287000</v>
      </c>
      <c r="J232" s="398">
        <v>135457</v>
      </c>
      <c r="K232" s="399" t="s">
        <v>70</v>
      </c>
      <c r="L232" s="399" t="s">
        <v>34</v>
      </c>
      <c r="M232" s="399">
        <v>18.899999999999999</v>
      </c>
      <c r="N232" s="356">
        <v>287000</v>
      </c>
      <c r="O232" s="28" t="b">
        <f t="shared" si="20"/>
        <v>1</v>
      </c>
    </row>
    <row r="233" spans="2:15" s="28" customFormat="1" ht="16.5" customHeight="1">
      <c r="B233" s="20"/>
      <c r="C233" s="20"/>
      <c r="D233" s="254"/>
      <c r="E233" s="379">
        <v>135458</v>
      </c>
      <c r="F233" s="395" t="s">
        <v>420</v>
      </c>
      <c r="G233" s="396"/>
      <c r="H233" s="397"/>
      <c r="I233" s="383">
        <v>2763000</v>
      </c>
      <c r="J233" s="398">
        <v>135458</v>
      </c>
      <c r="K233" s="399" t="s">
        <v>71</v>
      </c>
      <c r="L233" s="399" t="s">
        <v>34</v>
      </c>
      <c r="M233" s="399">
        <v>208</v>
      </c>
      <c r="N233" s="356">
        <v>2763000</v>
      </c>
      <c r="O233" s="28" t="b">
        <f t="shared" si="20"/>
        <v>1</v>
      </c>
    </row>
    <row r="234" spans="2:15" s="28" customFormat="1" ht="16.5" customHeight="1">
      <c r="B234" s="20"/>
      <c r="C234" s="20"/>
      <c r="D234" s="254"/>
      <c r="E234" s="379">
        <v>135460</v>
      </c>
      <c r="F234" s="395" t="s">
        <v>304</v>
      </c>
      <c r="G234" s="396"/>
      <c r="H234" s="397"/>
      <c r="I234" s="383">
        <v>337000</v>
      </c>
      <c r="J234" s="398">
        <v>135460</v>
      </c>
      <c r="K234" s="399" t="s">
        <v>70</v>
      </c>
      <c r="L234" s="399" t="s">
        <v>34</v>
      </c>
      <c r="M234" s="399">
        <v>18.899999999999999</v>
      </c>
      <c r="N234" s="356">
        <v>337000</v>
      </c>
      <c r="O234" s="28" t="b">
        <f t="shared" si="20"/>
        <v>1</v>
      </c>
    </row>
    <row r="235" spans="2:15" s="28" customFormat="1" ht="16.5" customHeight="1">
      <c r="B235" s="20"/>
      <c r="C235" s="20"/>
      <c r="D235" s="254"/>
      <c r="E235" s="379">
        <v>135461</v>
      </c>
      <c r="F235" s="395" t="s">
        <v>513</v>
      </c>
      <c r="G235" s="396"/>
      <c r="H235" s="397"/>
      <c r="I235" s="383">
        <v>3255000</v>
      </c>
      <c r="J235" s="398">
        <v>135461</v>
      </c>
      <c r="K235" s="399" t="s">
        <v>71</v>
      </c>
      <c r="L235" s="399" t="s">
        <v>34</v>
      </c>
      <c r="M235" s="399">
        <v>208</v>
      </c>
      <c r="N235" s="356">
        <v>3255000</v>
      </c>
      <c r="O235" s="28" t="b">
        <f t="shared" si="20"/>
        <v>1</v>
      </c>
    </row>
    <row r="236" spans="2:15" s="28" customFormat="1" ht="16.5" customHeight="1">
      <c r="B236" s="20"/>
      <c r="C236" s="20"/>
      <c r="D236" s="254"/>
      <c r="E236" s="379">
        <v>135462</v>
      </c>
      <c r="F236" s="395" t="s">
        <v>305</v>
      </c>
      <c r="G236" s="396"/>
      <c r="H236" s="397"/>
      <c r="I236" s="383">
        <v>351000</v>
      </c>
      <c r="J236" s="398">
        <v>135462</v>
      </c>
      <c r="K236" s="399" t="s">
        <v>70</v>
      </c>
      <c r="L236" s="399" t="s">
        <v>34</v>
      </c>
      <c r="M236" s="399">
        <v>18.899999999999999</v>
      </c>
      <c r="N236" s="356">
        <v>351000</v>
      </c>
      <c r="O236" s="28" t="b">
        <f t="shared" si="20"/>
        <v>1</v>
      </c>
    </row>
    <row r="237" spans="2:15" s="28" customFormat="1" ht="16.5" customHeight="1">
      <c r="B237" s="20"/>
      <c r="C237" s="20"/>
      <c r="D237" s="254"/>
      <c r="E237" s="379">
        <v>135463</v>
      </c>
      <c r="F237" s="395" t="s">
        <v>514</v>
      </c>
      <c r="G237" s="396"/>
      <c r="H237" s="397"/>
      <c r="I237" s="383">
        <v>3383000</v>
      </c>
      <c r="J237" s="398">
        <v>135463</v>
      </c>
      <c r="K237" s="399" t="s">
        <v>71</v>
      </c>
      <c r="L237" s="399" t="s">
        <v>34</v>
      </c>
      <c r="M237" s="399">
        <v>208</v>
      </c>
      <c r="N237" s="356">
        <v>3383000</v>
      </c>
      <c r="O237" s="28" t="b">
        <f t="shared" si="20"/>
        <v>1</v>
      </c>
    </row>
    <row r="238" spans="2:15" s="28" customFormat="1" ht="16.5" customHeight="1">
      <c r="B238" s="20"/>
      <c r="C238" s="20"/>
      <c r="D238" s="254"/>
      <c r="E238" s="379">
        <v>135464</v>
      </c>
      <c r="F238" s="395" t="s">
        <v>306</v>
      </c>
      <c r="G238" s="396"/>
      <c r="H238" s="397"/>
      <c r="I238" s="383">
        <v>364000</v>
      </c>
      <c r="J238" s="398">
        <v>135464</v>
      </c>
      <c r="K238" s="399" t="s">
        <v>70</v>
      </c>
      <c r="L238" s="399" t="s">
        <v>34</v>
      </c>
      <c r="M238" s="399">
        <v>18.899999999999999</v>
      </c>
      <c r="N238" s="356">
        <v>364000</v>
      </c>
      <c r="O238" s="28" t="b">
        <f t="shared" si="20"/>
        <v>1</v>
      </c>
    </row>
    <row r="239" spans="2:15" s="28" customFormat="1" ht="16.5" customHeight="1">
      <c r="B239" s="20"/>
      <c r="C239" s="20"/>
      <c r="D239" s="254"/>
      <c r="E239" s="379">
        <v>135488</v>
      </c>
      <c r="F239" s="395" t="s">
        <v>240</v>
      </c>
      <c r="G239" s="396"/>
      <c r="H239" s="397"/>
      <c r="I239" s="383">
        <v>47600</v>
      </c>
      <c r="J239" s="398">
        <v>135488</v>
      </c>
      <c r="K239" s="399" t="s">
        <v>70</v>
      </c>
      <c r="L239" s="399" t="s">
        <v>34</v>
      </c>
      <c r="M239" s="399">
        <v>20</v>
      </c>
      <c r="N239" s="356">
        <v>47600</v>
      </c>
      <c r="O239" s="28" t="b">
        <f t="shared" si="20"/>
        <v>1</v>
      </c>
    </row>
    <row r="240" spans="2:15" s="28" customFormat="1" ht="16.5" customHeight="1">
      <c r="B240" s="20"/>
      <c r="C240" s="20"/>
      <c r="D240" s="254"/>
      <c r="E240" s="379">
        <v>148688</v>
      </c>
      <c r="F240" s="395" t="s">
        <v>307</v>
      </c>
      <c r="G240" s="396"/>
      <c r="H240" s="397"/>
      <c r="I240" s="383">
        <v>69500</v>
      </c>
      <c r="J240" s="398">
        <v>148688</v>
      </c>
      <c r="K240" s="399" t="s">
        <v>70</v>
      </c>
      <c r="L240" s="399" t="s">
        <v>34</v>
      </c>
      <c r="M240" s="399">
        <v>20</v>
      </c>
      <c r="N240" s="356">
        <v>69500</v>
      </c>
      <c r="O240" s="28" t="b">
        <f t="shared" si="20"/>
        <v>1</v>
      </c>
    </row>
    <row r="241" spans="2:15" s="28" customFormat="1" ht="16.5" customHeight="1">
      <c r="B241" s="20"/>
      <c r="C241" s="20"/>
      <c r="D241" s="254"/>
      <c r="E241" s="379">
        <v>135627</v>
      </c>
      <c r="F241" s="395" t="s">
        <v>36</v>
      </c>
      <c r="G241" s="396"/>
      <c r="H241" s="397"/>
      <c r="I241" s="383">
        <v>4915000</v>
      </c>
      <c r="J241" s="398">
        <v>135627</v>
      </c>
      <c r="K241" s="399" t="s">
        <v>71</v>
      </c>
      <c r="L241" s="399" t="s">
        <v>34</v>
      </c>
      <c r="M241" s="399">
        <v>175</v>
      </c>
      <c r="N241" s="356">
        <v>4915000</v>
      </c>
      <c r="O241" s="28" t="b">
        <f t="shared" si="20"/>
        <v>1</v>
      </c>
    </row>
    <row r="242" spans="2:15" s="28" customFormat="1" ht="16.5" customHeight="1">
      <c r="B242" s="20"/>
      <c r="C242" s="20"/>
      <c r="D242" s="254"/>
      <c r="E242" s="379">
        <v>135836</v>
      </c>
      <c r="F242" s="395" t="s">
        <v>66</v>
      </c>
      <c r="G242" s="396"/>
      <c r="H242" s="397"/>
      <c r="I242" s="383">
        <v>3321000</v>
      </c>
      <c r="J242" s="398">
        <v>135836</v>
      </c>
      <c r="K242" s="399" t="s">
        <v>71</v>
      </c>
      <c r="L242" s="399" t="s">
        <v>34</v>
      </c>
      <c r="M242" s="399">
        <v>208</v>
      </c>
      <c r="N242" s="356">
        <v>3321000</v>
      </c>
      <c r="O242" s="28" t="b">
        <f t="shared" si="20"/>
        <v>1</v>
      </c>
    </row>
    <row r="243" spans="2:15" s="28" customFormat="1" ht="16.5" customHeight="1">
      <c r="B243" s="20"/>
      <c r="C243" s="20"/>
      <c r="D243" s="254"/>
      <c r="E243" s="379">
        <v>135877</v>
      </c>
      <c r="F243" s="395" t="s">
        <v>308</v>
      </c>
      <c r="G243" s="396"/>
      <c r="H243" s="397"/>
      <c r="I243" s="383">
        <v>474000</v>
      </c>
      <c r="J243" s="398">
        <v>135877</v>
      </c>
      <c r="K243" s="399" t="s">
        <v>70</v>
      </c>
      <c r="L243" s="399" t="s">
        <v>34</v>
      </c>
      <c r="M243" s="399">
        <v>20</v>
      </c>
      <c r="N243" s="356">
        <v>474000</v>
      </c>
      <c r="O243" s="28" t="b">
        <f t="shared" si="20"/>
        <v>1</v>
      </c>
    </row>
    <row r="244" spans="2:15" s="28" customFormat="1" ht="16.5" customHeight="1">
      <c r="B244" s="20"/>
      <c r="C244" s="20"/>
      <c r="D244" s="254"/>
      <c r="E244" s="379">
        <v>135916</v>
      </c>
      <c r="F244" s="395" t="s">
        <v>516</v>
      </c>
      <c r="G244" s="396"/>
      <c r="H244" s="397"/>
      <c r="I244" s="383">
        <v>547000</v>
      </c>
      <c r="J244" s="398">
        <v>135916</v>
      </c>
      <c r="K244" s="399" t="s">
        <v>71</v>
      </c>
      <c r="L244" s="399" t="s">
        <v>34</v>
      </c>
      <c r="M244" s="399">
        <v>200</v>
      </c>
      <c r="N244" s="356">
        <v>547000</v>
      </c>
      <c r="O244" s="28" t="b">
        <f t="shared" si="20"/>
        <v>1</v>
      </c>
    </row>
    <row r="245" spans="2:15" s="28" customFormat="1" ht="16.5" customHeight="1">
      <c r="B245" s="20"/>
      <c r="C245" s="20"/>
      <c r="D245" s="254"/>
      <c r="E245" s="379">
        <v>148680</v>
      </c>
      <c r="F245" s="395" t="s">
        <v>45</v>
      </c>
      <c r="G245" s="396"/>
      <c r="H245" s="397"/>
      <c r="I245" s="383">
        <v>850000</v>
      </c>
      <c r="J245" s="398">
        <v>148680</v>
      </c>
      <c r="K245" s="399" t="s">
        <v>71</v>
      </c>
      <c r="L245" s="399" t="s">
        <v>34</v>
      </c>
      <c r="M245" s="399">
        <v>208</v>
      </c>
      <c r="N245" s="356">
        <v>850000</v>
      </c>
      <c r="O245" s="28" t="b">
        <f t="shared" si="20"/>
        <v>1</v>
      </c>
    </row>
    <row r="246" spans="2:15" s="28" customFormat="1" ht="16.5" customHeight="1">
      <c r="B246" s="20"/>
      <c r="C246" s="20"/>
      <c r="D246" s="254"/>
      <c r="E246" s="379">
        <v>135934</v>
      </c>
      <c r="F246" s="395" t="s">
        <v>309</v>
      </c>
      <c r="G246" s="396"/>
      <c r="H246" s="397"/>
      <c r="I246" s="383">
        <v>183000</v>
      </c>
      <c r="J246" s="398">
        <v>135934</v>
      </c>
      <c r="K246" s="399" t="s">
        <v>70</v>
      </c>
      <c r="L246" s="399" t="s">
        <v>34</v>
      </c>
      <c r="M246" s="399">
        <v>16</v>
      </c>
      <c r="N246" s="356">
        <v>183000</v>
      </c>
      <c r="O246" s="28" t="b">
        <f t="shared" si="20"/>
        <v>1</v>
      </c>
    </row>
    <row r="247" spans="2:15" s="28" customFormat="1" ht="16.5" customHeight="1">
      <c r="B247" s="20"/>
      <c r="C247" s="20"/>
      <c r="D247" s="254"/>
      <c r="E247" s="379">
        <v>135935</v>
      </c>
      <c r="F247" s="395" t="s">
        <v>517</v>
      </c>
      <c r="G247" s="401"/>
      <c r="H247" s="402"/>
      <c r="I247" s="383">
        <v>1871000</v>
      </c>
      <c r="J247" s="398">
        <v>135935</v>
      </c>
      <c r="K247" s="399" t="s">
        <v>71</v>
      </c>
      <c r="L247" s="399" t="s">
        <v>34</v>
      </c>
      <c r="M247" s="399">
        <v>180</v>
      </c>
      <c r="N247" s="356">
        <v>1871000</v>
      </c>
      <c r="O247" s="28" t="b">
        <f t="shared" si="20"/>
        <v>1</v>
      </c>
    </row>
    <row r="248" spans="2:15" s="28" customFormat="1" ht="16.5" customHeight="1">
      <c r="B248" s="20"/>
      <c r="C248" s="20"/>
      <c r="D248" s="254"/>
      <c r="E248" s="379">
        <v>148676</v>
      </c>
      <c r="F248" s="395" t="s">
        <v>520</v>
      </c>
      <c r="G248" s="396"/>
      <c r="H248" s="397"/>
      <c r="I248" s="383">
        <v>645000</v>
      </c>
      <c r="J248" s="398">
        <v>148676</v>
      </c>
      <c r="K248" s="399" t="s">
        <v>71</v>
      </c>
      <c r="L248" s="399" t="s">
        <v>34</v>
      </c>
      <c r="M248" s="399">
        <v>208</v>
      </c>
      <c r="N248" s="356">
        <v>645000</v>
      </c>
      <c r="O248" s="28" t="b">
        <f t="shared" si="20"/>
        <v>1</v>
      </c>
    </row>
    <row r="249" spans="2:15" s="28" customFormat="1" ht="16.5" customHeight="1">
      <c r="B249" s="20"/>
      <c r="C249" s="20"/>
      <c r="D249" s="254"/>
      <c r="E249" s="379">
        <v>136130</v>
      </c>
      <c r="F249" s="395" t="s">
        <v>311</v>
      </c>
      <c r="G249" s="396"/>
      <c r="H249" s="397"/>
      <c r="I249" s="383">
        <v>198000</v>
      </c>
      <c r="J249" s="398">
        <v>136130</v>
      </c>
      <c r="K249" s="399" t="s">
        <v>70</v>
      </c>
      <c r="L249" s="399" t="s">
        <v>34</v>
      </c>
      <c r="M249" s="399">
        <v>16</v>
      </c>
      <c r="N249" s="356">
        <v>198000</v>
      </c>
      <c r="O249" s="28" t="b">
        <f t="shared" si="20"/>
        <v>1</v>
      </c>
    </row>
    <row r="250" spans="2:15" s="28" customFormat="1" ht="16.5" customHeight="1">
      <c r="B250" s="20"/>
      <c r="C250" s="20"/>
      <c r="D250" s="254"/>
      <c r="E250" s="379">
        <v>136131</v>
      </c>
      <c r="F250" s="395" t="s">
        <v>521</v>
      </c>
      <c r="G250" s="396"/>
      <c r="H250" s="397"/>
      <c r="I250" s="383">
        <v>2166000</v>
      </c>
      <c r="J250" s="398">
        <v>136131</v>
      </c>
      <c r="K250" s="399" t="s">
        <v>71</v>
      </c>
      <c r="L250" s="399" t="s">
        <v>34</v>
      </c>
      <c r="M250" s="399">
        <v>180</v>
      </c>
      <c r="N250" s="356">
        <v>2166000</v>
      </c>
      <c r="O250" s="28" t="b">
        <f t="shared" si="20"/>
        <v>1</v>
      </c>
    </row>
    <row r="251" spans="2:15" s="28" customFormat="1" ht="16.5" customHeight="1">
      <c r="B251" s="20"/>
      <c r="C251" s="20"/>
      <c r="D251" s="254"/>
      <c r="E251" s="379">
        <v>136132</v>
      </c>
      <c r="F251" s="395" t="s">
        <v>312</v>
      </c>
      <c r="G251" s="396"/>
      <c r="H251" s="397"/>
      <c r="I251" s="383">
        <v>198000</v>
      </c>
      <c r="J251" s="398">
        <v>136132</v>
      </c>
      <c r="K251" s="399" t="s">
        <v>70</v>
      </c>
      <c r="L251" s="399" t="s">
        <v>34</v>
      </c>
      <c r="M251" s="399">
        <v>16</v>
      </c>
      <c r="N251" s="356">
        <v>198000</v>
      </c>
      <c r="O251" s="28" t="b">
        <f t="shared" si="20"/>
        <v>1</v>
      </c>
    </row>
    <row r="252" spans="2:15" s="28" customFormat="1" ht="16.5" customHeight="1">
      <c r="B252" s="20"/>
      <c r="C252" s="20"/>
      <c r="D252" s="254"/>
      <c r="E252" s="379">
        <v>136133</v>
      </c>
      <c r="F252" s="395" t="s">
        <v>522</v>
      </c>
      <c r="G252" s="396"/>
      <c r="H252" s="397"/>
      <c r="I252" s="383">
        <v>2222000</v>
      </c>
      <c r="J252" s="398">
        <v>136133</v>
      </c>
      <c r="K252" s="399" t="s">
        <v>71</v>
      </c>
      <c r="L252" s="399" t="s">
        <v>34</v>
      </c>
      <c r="M252" s="399">
        <v>180</v>
      </c>
      <c r="N252" s="356">
        <v>2222000</v>
      </c>
      <c r="O252" s="28" t="b">
        <f t="shared" si="20"/>
        <v>1</v>
      </c>
    </row>
    <row r="253" spans="2:15" s="28" customFormat="1" ht="16.5" customHeight="1">
      <c r="B253" s="20"/>
      <c r="C253" s="20"/>
      <c r="D253" s="254"/>
      <c r="E253" s="379">
        <v>136141</v>
      </c>
      <c r="F253" s="395" t="s">
        <v>523</v>
      </c>
      <c r="G253" s="396"/>
      <c r="H253" s="397"/>
      <c r="I253" s="383">
        <v>3527000</v>
      </c>
      <c r="J253" s="398">
        <v>136141</v>
      </c>
      <c r="K253" s="399" t="s">
        <v>71</v>
      </c>
      <c r="L253" s="399" t="s">
        <v>34</v>
      </c>
      <c r="M253" s="399">
        <v>181</v>
      </c>
      <c r="N253" s="356">
        <v>3527000</v>
      </c>
      <c r="O253" s="28" t="b">
        <f t="shared" si="20"/>
        <v>1</v>
      </c>
    </row>
    <row r="254" spans="2:15" s="28" customFormat="1" ht="16.5" customHeight="1">
      <c r="B254" s="20"/>
      <c r="C254" s="20"/>
      <c r="D254" s="254"/>
      <c r="E254" s="379">
        <v>136159</v>
      </c>
      <c r="F254" s="395" t="s">
        <v>525</v>
      </c>
      <c r="G254" s="396"/>
      <c r="H254" s="397"/>
      <c r="I254" s="383">
        <v>4607000</v>
      </c>
      <c r="J254" s="398">
        <v>136159</v>
      </c>
      <c r="K254" s="399" t="s">
        <v>71</v>
      </c>
      <c r="L254" s="399" t="s">
        <v>34</v>
      </c>
      <c r="M254" s="399">
        <v>208</v>
      </c>
      <c r="N254" s="356">
        <v>4607000</v>
      </c>
      <c r="O254" s="28" t="b">
        <f t="shared" si="20"/>
        <v>1</v>
      </c>
    </row>
    <row r="255" spans="2:15" s="28" customFormat="1" ht="16.5" customHeight="1">
      <c r="B255" s="20"/>
      <c r="C255" s="20"/>
      <c r="D255" s="254"/>
      <c r="E255" s="379">
        <v>136174</v>
      </c>
      <c r="F255" s="395" t="s">
        <v>526</v>
      </c>
      <c r="G255" s="396"/>
      <c r="H255" s="397"/>
      <c r="I255" s="383">
        <v>630000</v>
      </c>
      <c r="J255" s="398">
        <v>136174</v>
      </c>
      <c r="K255" s="399" t="s">
        <v>71</v>
      </c>
      <c r="L255" s="399" t="s">
        <v>34</v>
      </c>
      <c r="M255" s="399">
        <v>200</v>
      </c>
      <c r="N255" s="356">
        <v>630000</v>
      </c>
      <c r="O255" s="28" t="b">
        <f t="shared" si="20"/>
        <v>1</v>
      </c>
    </row>
    <row r="256" spans="2:15" s="28" customFormat="1" ht="16.5" customHeight="1">
      <c r="B256" s="20"/>
      <c r="C256" s="20"/>
      <c r="D256" s="254"/>
      <c r="E256" s="379">
        <v>136235</v>
      </c>
      <c r="F256" s="395" t="s">
        <v>739</v>
      </c>
      <c r="G256" s="396"/>
      <c r="H256" s="397"/>
      <c r="I256" s="383">
        <v>858000</v>
      </c>
      <c r="J256" s="398">
        <v>136235</v>
      </c>
      <c r="K256" s="399" t="s">
        <v>71</v>
      </c>
      <c r="L256" s="399" t="s">
        <v>34</v>
      </c>
      <c r="M256" s="399">
        <v>208</v>
      </c>
      <c r="N256" s="356">
        <v>858000</v>
      </c>
      <c r="O256" s="28" t="b">
        <f t="shared" si="20"/>
        <v>1</v>
      </c>
    </row>
    <row r="257" spans="2:15" s="28" customFormat="1" ht="16.5" customHeight="1">
      <c r="B257" s="20"/>
      <c r="C257" s="20"/>
      <c r="D257" s="254"/>
      <c r="E257" s="379">
        <v>148678</v>
      </c>
      <c r="F257" s="395" t="s">
        <v>527</v>
      </c>
      <c r="G257" s="396"/>
      <c r="H257" s="397"/>
      <c r="I257" s="383">
        <v>645000</v>
      </c>
      <c r="J257" s="398">
        <v>148678</v>
      </c>
      <c r="K257" s="399" t="s">
        <v>71</v>
      </c>
      <c r="L257" s="399" t="s">
        <v>34</v>
      </c>
      <c r="M257" s="399">
        <v>208</v>
      </c>
      <c r="N257" s="356">
        <v>645000</v>
      </c>
      <c r="O257" s="28" t="b">
        <f t="shared" si="20"/>
        <v>1</v>
      </c>
    </row>
    <row r="258" spans="2:15" s="28" customFormat="1" ht="16.5" customHeight="1">
      <c r="B258" s="20"/>
      <c r="C258" s="20"/>
      <c r="D258" s="254"/>
      <c r="E258" s="379">
        <v>143561</v>
      </c>
      <c r="F258" s="395" t="s">
        <v>558</v>
      </c>
      <c r="G258" s="396"/>
      <c r="H258" s="397"/>
      <c r="I258" s="383">
        <v>728000</v>
      </c>
      <c r="J258" s="398">
        <v>138959</v>
      </c>
      <c r="K258" s="399" t="s">
        <v>71</v>
      </c>
      <c r="L258" s="399" t="s">
        <v>34</v>
      </c>
      <c r="M258" s="399">
        <v>200</v>
      </c>
      <c r="N258" s="356">
        <v>728000</v>
      </c>
      <c r="O258" s="28" t="b">
        <f t="shared" si="20"/>
        <v>1</v>
      </c>
    </row>
    <row r="259" spans="2:15" s="28" customFormat="1" ht="16.5" customHeight="1">
      <c r="B259" s="20"/>
      <c r="C259" s="20"/>
      <c r="D259" s="254"/>
      <c r="E259" s="379">
        <v>143560</v>
      </c>
      <c r="F259" s="395" t="s">
        <v>559</v>
      </c>
      <c r="G259" s="396"/>
      <c r="H259" s="397"/>
      <c r="I259" s="383">
        <v>728000</v>
      </c>
      <c r="J259" s="398">
        <v>138960</v>
      </c>
      <c r="K259" s="399" t="s">
        <v>71</v>
      </c>
      <c r="L259" s="399" t="s">
        <v>34</v>
      </c>
      <c r="M259" s="399">
        <v>200</v>
      </c>
      <c r="N259" s="356">
        <v>728000</v>
      </c>
      <c r="O259" s="28" t="b">
        <f t="shared" si="20"/>
        <v>1</v>
      </c>
    </row>
    <row r="260" spans="2:15" s="28" customFormat="1" ht="16.5" customHeight="1">
      <c r="B260" s="20"/>
      <c r="C260" s="20"/>
      <c r="D260" s="254"/>
      <c r="E260" s="379">
        <v>141666</v>
      </c>
      <c r="F260" s="395" t="s">
        <v>560</v>
      </c>
      <c r="G260" s="396"/>
      <c r="H260" s="397"/>
      <c r="I260" s="383">
        <v>755000</v>
      </c>
      <c r="J260" s="398">
        <v>138961</v>
      </c>
      <c r="K260" s="399" t="s">
        <v>71</v>
      </c>
      <c r="L260" s="399" t="s">
        <v>34</v>
      </c>
      <c r="M260" s="399">
        <v>200</v>
      </c>
      <c r="N260" s="356">
        <v>755000</v>
      </c>
      <c r="O260" s="28" t="b">
        <f t="shared" si="20"/>
        <v>1</v>
      </c>
    </row>
    <row r="261" spans="2:15" s="28" customFormat="1" ht="16.5" customHeight="1">
      <c r="B261" s="20"/>
      <c r="C261" s="20"/>
      <c r="D261" s="254"/>
      <c r="E261" s="379">
        <v>138963</v>
      </c>
      <c r="F261" s="395" t="s">
        <v>562</v>
      </c>
      <c r="G261" s="396"/>
      <c r="H261" s="397"/>
      <c r="I261" s="383">
        <v>755000</v>
      </c>
      <c r="J261" s="398">
        <v>138963</v>
      </c>
      <c r="K261" s="399" t="s">
        <v>71</v>
      </c>
      <c r="L261" s="399" t="s">
        <v>34</v>
      </c>
      <c r="M261" s="399">
        <v>200</v>
      </c>
      <c r="N261" s="356">
        <v>755000</v>
      </c>
      <c r="O261" s="28" t="b">
        <f t="shared" si="20"/>
        <v>1</v>
      </c>
    </row>
    <row r="262" spans="2:15" s="28" customFormat="1" ht="16.5" customHeight="1">
      <c r="B262" s="20"/>
      <c r="C262" s="20"/>
      <c r="D262" s="254"/>
      <c r="E262" s="379">
        <v>138964</v>
      </c>
      <c r="F262" s="395" t="s">
        <v>315</v>
      </c>
      <c r="G262" s="396"/>
      <c r="H262" s="397"/>
      <c r="I262" s="383">
        <v>79600</v>
      </c>
      <c r="J262" s="398">
        <v>138964</v>
      </c>
      <c r="K262" s="399" t="s">
        <v>70</v>
      </c>
      <c r="L262" s="399" t="s">
        <v>34</v>
      </c>
      <c r="M262" s="399">
        <v>20</v>
      </c>
      <c r="N262" s="356">
        <v>79600</v>
      </c>
      <c r="O262" s="28" t="b">
        <f t="shared" si="20"/>
        <v>1</v>
      </c>
    </row>
    <row r="263" spans="2:15" s="28" customFormat="1" ht="16.5" customHeight="1">
      <c r="B263" s="20"/>
      <c r="C263" s="20"/>
      <c r="D263" s="254"/>
      <c r="E263" s="379">
        <v>136234</v>
      </c>
      <c r="F263" s="395" t="s">
        <v>316</v>
      </c>
      <c r="G263" s="396"/>
      <c r="H263" s="397"/>
      <c r="I263" s="383">
        <v>94600</v>
      </c>
      <c r="J263" s="398">
        <v>138980</v>
      </c>
      <c r="K263" s="399" t="s">
        <v>70</v>
      </c>
      <c r="L263" s="399" t="s">
        <v>34</v>
      </c>
      <c r="M263" s="399">
        <v>20</v>
      </c>
      <c r="N263" s="356">
        <v>94600</v>
      </c>
      <c r="O263" s="28" t="b">
        <f t="shared" si="20"/>
        <v>1</v>
      </c>
    </row>
    <row r="264" spans="2:15" s="28" customFormat="1" ht="16.5" customHeight="1">
      <c r="B264" s="20"/>
      <c r="C264" s="20"/>
      <c r="D264" s="254"/>
      <c r="E264" s="379">
        <v>139023</v>
      </c>
      <c r="F264" s="395" t="s">
        <v>569</v>
      </c>
      <c r="G264" s="396"/>
      <c r="H264" s="397"/>
      <c r="I264" s="383">
        <v>893000</v>
      </c>
      <c r="J264" s="398">
        <v>139023</v>
      </c>
      <c r="K264" s="399" t="s">
        <v>71</v>
      </c>
      <c r="L264" s="399" t="s">
        <v>34</v>
      </c>
      <c r="M264" s="399">
        <v>200</v>
      </c>
      <c r="N264" s="356">
        <v>893000</v>
      </c>
      <c r="O264" s="28" t="b">
        <f t="shared" si="20"/>
        <v>1</v>
      </c>
    </row>
    <row r="265" spans="2:15" s="28" customFormat="1" ht="16.5" customHeight="1">
      <c r="B265" s="20"/>
      <c r="C265" s="20"/>
      <c r="D265" s="254"/>
      <c r="E265" s="379">
        <v>139026</v>
      </c>
      <c r="F265" s="395" t="s">
        <v>571</v>
      </c>
      <c r="G265" s="396"/>
      <c r="H265" s="397"/>
      <c r="I265" s="383">
        <v>670000</v>
      </c>
      <c r="J265" s="398">
        <v>139026</v>
      </c>
      <c r="K265" s="399" t="s">
        <v>71</v>
      </c>
      <c r="L265" s="399" t="s">
        <v>34</v>
      </c>
      <c r="M265" s="399">
        <v>200</v>
      </c>
      <c r="N265" s="356">
        <v>670000</v>
      </c>
      <c r="O265" s="28" t="b">
        <f t="shared" si="20"/>
        <v>1</v>
      </c>
    </row>
    <row r="266" spans="2:15" s="28" customFormat="1" ht="16.5" customHeight="1">
      <c r="B266" s="20"/>
      <c r="C266" s="20"/>
      <c r="D266" s="254"/>
      <c r="E266" s="379">
        <v>139027</v>
      </c>
      <c r="F266" s="395" t="s">
        <v>572</v>
      </c>
      <c r="G266" s="396"/>
      <c r="H266" s="397"/>
      <c r="I266" s="383">
        <v>749000</v>
      </c>
      <c r="J266" s="398">
        <v>139027</v>
      </c>
      <c r="K266" s="399" t="s">
        <v>71</v>
      </c>
      <c r="L266" s="399" t="s">
        <v>34</v>
      </c>
      <c r="M266" s="399">
        <v>200</v>
      </c>
      <c r="N266" s="356">
        <v>749000</v>
      </c>
      <c r="O266" s="28" t="b">
        <f t="shared" si="20"/>
        <v>1</v>
      </c>
    </row>
    <row r="267" spans="2:15" s="28" customFormat="1" ht="16.5" customHeight="1">
      <c r="B267" s="20"/>
      <c r="C267" s="20"/>
      <c r="D267" s="254"/>
      <c r="E267" s="379">
        <v>139028</v>
      </c>
      <c r="F267" s="395" t="s">
        <v>573</v>
      </c>
      <c r="G267" s="396"/>
      <c r="H267" s="397"/>
      <c r="I267" s="383">
        <v>893000</v>
      </c>
      <c r="J267" s="398">
        <v>139028</v>
      </c>
      <c r="K267" s="399" t="s">
        <v>71</v>
      </c>
      <c r="L267" s="399" t="s">
        <v>34</v>
      </c>
      <c r="M267" s="399">
        <v>200</v>
      </c>
      <c r="N267" s="356">
        <v>893000</v>
      </c>
      <c r="O267" s="28" t="b">
        <f t="shared" si="20"/>
        <v>1</v>
      </c>
    </row>
    <row r="268" spans="2:15" s="28" customFormat="1" ht="16.5" customHeight="1">
      <c r="B268" s="20"/>
      <c r="C268" s="20"/>
      <c r="D268" s="254"/>
      <c r="E268" s="379">
        <v>139029</v>
      </c>
      <c r="F268" s="395" t="s">
        <v>574</v>
      </c>
      <c r="G268" s="396"/>
      <c r="H268" s="397"/>
      <c r="I268" s="383">
        <v>535000</v>
      </c>
      <c r="J268" s="398">
        <v>139029</v>
      </c>
      <c r="K268" s="399" t="s">
        <v>71</v>
      </c>
      <c r="L268" s="399" t="s">
        <v>34</v>
      </c>
      <c r="M268" s="399">
        <v>200</v>
      </c>
      <c r="N268" s="356">
        <v>535000</v>
      </c>
      <c r="O268" s="28" t="b">
        <f t="shared" si="20"/>
        <v>1</v>
      </c>
    </row>
    <row r="269" spans="2:15" s="28" customFormat="1" ht="16.5" customHeight="1">
      <c r="B269" s="20"/>
      <c r="C269" s="20"/>
      <c r="D269" s="254"/>
      <c r="E269" s="379">
        <v>139030</v>
      </c>
      <c r="F269" s="395" t="s">
        <v>236</v>
      </c>
      <c r="G269" s="396"/>
      <c r="H269" s="397"/>
      <c r="I269" s="383">
        <v>54500</v>
      </c>
      <c r="J269" s="398">
        <v>139030</v>
      </c>
      <c r="K269" s="399" t="s">
        <v>70</v>
      </c>
      <c r="L269" s="399" t="s">
        <v>34</v>
      </c>
      <c r="M269" s="399">
        <v>20</v>
      </c>
      <c r="N269" s="356">
        <v>54500</v>
      </c>
      <c r="O269" s="28" t="b">
        <f t="shared" si="20"/>
        <v>1</v>
      </c>
    </row>
    <row r="270" spans="2:15" s="28" customFormat="1" ht="16.5" customHeight="1">
      <c r="B270" s="20"/>
      <c r="C270" s="20"/>
      <c r="D270" s="254"/>
      <c r="E270" s="379">
        <v>139032</v>
      </c>
      <c r="F270" s="395" t="s">
        <v>322</v>
      </c>
      <c r="G270" s="396"/>
      <c r="H270" s="397"/>
      <c r="I270" s="383">
        <v>371000</v>
      </c>
      <c r="J270" s="398">
        <v>139032</v>
      </c>
      <c r="K270" s="399" t="s">
        <v>70</v>
      </c>
      <c r="L270" s="399" t="s">
        <v>34</v>
      </c>
      <c r="M270" s="399">
        <v>20</v>
      </c>
      <c r="N270" s="356">
        <v>371000</v>
      </c>
      <c r="O270" s="28" t="b">
        <f t="shared" si="20"/>
        <v>1</v>
      </c>
    </row>
    <row r="271" spans="2:15" s="28" customFormat="1" ht="16.5" customHeight="1">
      <c r="B271" s="20"/>
      <c r="C271" s="20"/>
      <c r="D271" s="254"/>
      <c r="E271" s="379">
        <v>139033</v>
      </c>
      <c r="F271" s="395" t="s">
        <v>323</v>
      </c>
      <c r="G271" s="396"/>
      <c r="H271" s="397"/>
      <c r="I271" s="383">
        <v>392000</v>
      </c>
      <c r="J271" s="398">
        <v>139033</v>
      </c>
      <c r="K271" s="399" t="s">
        <v>70</v>
      </c>
      <c r="L271" s="399" t="s">
        <v>34</v>
      </c>
      <c r="M271" s="399">
        <v>20</v>
      </c>
      <c r="N271" s="356">
        <v>392000</v>
      </c>
      <c r="O271" s="28" t="b">
        <f t="shared" si="20"/>
        <v>1</v>
      </c>
    </row>
    <row r="272" spans="2:15" s="28" customFormat="1" ht="16.5" customHeight="1">
      <c r="B272" s="20"/>
      <c r="C272" s="20"/>
      <c r="D272" s="254"/>
      <c r="E272" s="379">
        <v>139036</v>
      </c>
      <c r="F272" s="395" t="s">
        <v>575</v>
      </c>
      <c r="G272" s="396"/>
      <c r="H272" s="397"/>
      <c r="I272" s="383">
        <v>649000</v>
      </c>
      <c r="J272" s="398">
        <v>139036</v>
      </c>
      <c r="K272" s="399" t="s">
        <v>71</v>
      </c>
      <c r="L272" s="399" t="s">
        <v>34</v>
      </c>
      <c r="M272" s="399">
        <v>200</v>
      </c>
      <c r="N272" s="356">
        <v>649000</v>
      </c>
      <c r="O272" s="28" t="b">
        <f t="shared" si="20"/>
        <v>1</v>
      </c>
    </row>
    <row r="273" spans="2:15" s="28" customFormat="1" ht="16.5" customHeight="1">
      <c r="B273" s="20"/>
      <c r="C273" s="20"/>
      <c r="D273" s="254"/>
      <c r="E273" s="379">
        <v>139037</v>
      </c>
      <c r="F273" s="395" t="s">
        <v>324</v>
      </c>
      <c r="G273" s="396"/>
      <c r="H273" s="397"/>
      <c r="I273" s="383">
        <v>82400</v>
      </c>
      <c r="J273" s="398">
        <v>139037</v>
      </c>
      <c r="K273" s="399" t="s">
        <v>70</v>
      </c>
      <c r="L273" s="399" t="s">
        <v>34</v>
      </c>
      <c r="M273" s="399">
        <v>20</v>
      </c>
      <c r="N273" s="356">
        <v>82400</v>
      </c>
      <c r="O273" s="28" t="b">
        <f t="shared" si="20"/>
        <v>1</v>
      </c>
    </row>
    <row r="274" spans="2:15" s="28" customFormat="1" ht="16.5" customHeight="1">
      <c r="B274" s="20"/>
      <c r="C274" s="20"/>
      <c r="D274" s="254"/>
      <c r="E274" s="379">
        <v>139038</v>
      </c>
      <c r="F274" s="395" t="s">
        <v>576</v>
      </c>
      <c r="G274" s="396"/>
      <c r="H274" s="397"/>
      <c r="I274" s="383">
        <v>746000</v>
      </c>
      <c r="J274" s="398">
        <v>139038</v>
      </c>
      <c r="K274" s="399" t="s">
        <v>71</v>
      </c>
      <c r="L274" s="399" t="s">
        <v>34</v>
      </c>
      <c r="M274" s="399">
        <v>200</v>
      </c>
      <c r="N274" s="356">
        <v>746000</v>
      </c>
      <c r="O274" s="28" t="b">
        <f t="shared" si="20"/>
        <v>1</v>
      </c>
    </row>
    <row r="275" spans="2:15" s="28" customFormat="1" ht="16.5" customHeight="1">
      <c r="B275" s="20"/>
      <c r="C275" s="20"/>
      <c r="D275" s="254"/>
      <c r="E275" s="379">
        <v>139040</v>
      </c>
      <c r="F275" s="395" t="s">
        <v>577</v>
      </c>
      <c r="G275" s="396"/>
      <c r="H275" s="397"/>
      <c r="I275" s="383">
        <v>575000</v>
      </c>
      <c r="J275" s="398">
        <v>139040</v>
      </c>
      <c r="K275" s="399" t="s">
        <v>71</v>
      </c>
      <c r="L275" s="399" t="s">
        <v>34</v>
      </c>
      <c r="M275" s="399">
        <v>200</v>
      </c>
      <c r="N275" s="356">
        <v>575000</v>
      </c>
      <c r="O275" s="28" t="b">
        <f t="shared" si="20"/>
        <v>1</v>
      </c>
    </row>
    <row r="276" spans="2:15" s="28" customFormat="1" ht="16.5" customHeight="1">
      <c r="B276" s="20"/>
      <c r="C276" s="20"/>
      <c r="D276" s="254"/>
      <c r="E276" s="379">
        <v>139041</v>
      </c>
      <c r="F276" s="395" t="s">
        <v>325</v>
      </c>
      <c r="G276" s="396"/>
      <c r="H276" s="397"/>
      <c r="I276" s="383">
        <v>61300</v>
      </c>
      <c r="J276" s="398">
        <v>139041</v>
      </c>
      <c r="K276" s="399" t="s">
        <v>70</v>
      </c>
      <c r="L276" s="399" t="s">
        <v>34</v>
      </c>
      <c r="M276" s="399">
        <v>20</v>
      </c>
      <c r="N276" s="356">
        <v>61300</v>
      </c>
      <c r="O276" s="28" t="b">
        <f t="shared" si="20"/>
        <v>1</v>
      </c>
    </row>
    <row r="277" spans="2:15" s="28" customFormat="1" ht="16.5" customHeight="1">
      <c r="B277" s="20"/>
      <c r="C277" s="20"/>
      <c r="D277" s="254"/>
      <c r="E277" s="379">
        <v>139042</v>
      </c>
      <c r="F277" s="395" t="s">
        <v>578</v>
      </c>
      <c r="G277" s="396"/>
      <c r="H277" s="397"/>
      <c r="I277" s="383">
        <v>575000</v>
      </c>
      <c r="J277" s="398">
        <v>139042</v>
      </c>
      <c r="K277" s="399" t="s">
        <v>71</v>
      </c>
      <c r="L277" s="399" t="s">
        <v>34</v>
      </c>
      <c r="M277" s="399">
        <v>200</v>
      </c>
      <c r="N277" s="356">
        <v>575000</v>
      </c>
      <c r="O277" s="28" t="b">
        <f t="shared" si="20"/>
        <v>1</v>
      </c>
    </row>
    <row r="278" spans="2:15" s="28" customFormat="1" ht="16.5" customHeight="1">
      <c r="B278" s="20"/>
      <c r="C278" s="20"/>
      <c r="D278" s="254"/>
      <c r="E278" s="379">
        <v>139043</v>
      </c>
      <c r="F278" s="395" t="s">
        <v>326</v>
      </c>
      <c r="G278" s="396"/>
      <c r="H278" s="397"/>
      <c r="I278" s="383">
        <v>100000</v>
      </c>
      <c r="J278" s="398">
        <v>139043</v>
      </c>
      <c r="K278" s="399" t="s">
        <v>70</v>
      </c>
      <c r="L278" s="399" t="s">
        <v>34</v>
      </c>
      <c r="M278" s="399">
        <v>20</v>
      </c>
      <c r="N278" s="356">
        <v>100000</v>
      </c>
      <c r="O278" s="28" t="b">
        <f t="shared" si="20"/>
        <v>1</v>
      </c>
    </row>
    <row r="279" spans="2:15" s="28" customFormat="1" ht="16.5" customHeight="1">
      <c r="B279" s="20"/>
      <c r="C279" s="20"/>
      <c r="D279" s="254"/>
      <c r="E279" s="379">
        <v>139044</v>
      </c>
      <c r="F279" s="395" t="s">
        <v>579</v>
      </c>
      <c r="G279" s="396"/>
      <c r="H279" s="397"/>
      <c r="I279" s="383">
        <v>960000</v>
      </c>
      <c r="J279" s="398">
        <v>139044</v>
      </c>
      <c r="K279" s="399" t="s">
        <v>71</v>
      </c>
      <c r="L279" s="399" t="s">
        <v>34</v>
      </c>
      <c r="M279" s="399">
        <v>200</v>
      </c>
      <c r="N279" s="356">
        <v>960000</v>
      </c>
      <c r="O279" s="28" t="b">
        <f t="shared" si="20"/>
        <v>1</v>
      </c>
    </row>
    <row r="280" spans="2:15" s="28" customFormat="1" ht="16.5" customHeight="1">
      <c r="B280" s="20"/>
      <c r="C280" s="20"/>
      <c r="D280" s="254"/>
      <c r="E280" s="379">
        <v>139045</v>
      </c>
      <c r="F280" s="395" t="s">
        <v>327</v>
      </c>
      <c r="G280" s="396"/>
      <c r="H280" s="397"/>
      <c r="I280" s="383">
        <v>100000</v>
      </c>
      <c r="J280" s="398">
        <v>139045</v>
      </c>
      <c r="K280" s="399" t="s">
        <v>70</v>
      </c>
      <c r="L280" s="399" t="s">
        <v>34</v>
      </c>
      <c r="M280" s="399">
        <v>20</v>
      </c>
      <c r="N280" s="356">
        <v>100000</v>
      </c>
      <c r="O280" s="28" t="b">
        <f t="shared" si="20"/>
        <v>1</v>
      </c>
    </row>
    <row r="281" spans="2:15" s="28" customFormat="1" ht="16.5" customHeight="1">
      <c r="B281" s="20"/>
      <c r="C281" s="20"/>
      <c r="D281" s="254"/>
      <c r="E281" s="379">
        <v>139048</v>
      </c>
      <c r="F281" s="395" t="s">
        <v>328</v>
      </c>
      <c r="G281" s="396"/>
      <c r="H281" s="397"/>
      <c r="I281" s="383">
        <v>166000</v>
      </c>
      <c r="J281" s="398">
        <v>139048</v>
      </c>
      <c r="K281" s="399" t="s">
        <v>70</v>
      </c>
      <c r="L281" s="399" t="s">
        <v>34</v>
      </c>
      <c r="M281" s="399">
        <v>20</v>
      </c>
      <c r="N281" s="356">
        <v>166000</v>
      </c>
      <c r="O281" s="28" t="b">
        <f t="shared" si="20"/>
        <v>1</v>
      </c>
    </row>
    <row r="282" spans="2:15" s="28" customFormat="1" ht="16.5" customHeight="1">
      <c r="B282" s="20"/>
      <c r="C282" s="20"/>
      <c r="D282" s="254"/>
      <c r="E282" s="379">
        <v>139049</v>
      </c>
      <c r="F282" s="395" t="s">
        <v>329</v>
      </c>
      <c r="G282" s="396"/>
      <c r="H282" s="397"/>
      <c r="I282" s="383">
        <v>146000</v>
      </c>
      <c r="J282" s="398">
        <v>139049</v>
      </c>
      <c r="K282" s="399" t="s">
        <v>70</v>
      </c>
      <c r="L282" s="399" t="s">
        <v>34</v>
      </c>
      <c r="M282" s="399">
        <v>20</v>
      </c>
      <c r="N282" s="356">
        <v>146000</v>
      </c>
      <c r="O282" s="28" t="b">
        <f t="shared" ref="O282:O345" si="21">I282=N282</f>
        <v>1</v>
      </c>
    </row>
    <row r="283" spans="2:15" s="28" customFormat="1" ht="16.5" customHeight="1">
      <c r="B283" s="20"/>
      <c r="C283" s="20"/>
      <c r="D283" s="254"/>
      <c r="E283" s="379">
        <v>139050</v>
      </c>
      <c r="F283" s="395" t="s">
        <v>330</v>
      </c>
      <c r="G283" s="396"/>
      <c r="H283" s="397"/>
      <c r="I283" s="383"/>
      <c r="J283" s="398">
        <v>139050</v>
      </c>
      <c r="K283" s="399" t="s">
        <v>70</v>
      </c>
      <c r="L283" s="399" t="s">
        <v>34</v>
      </c>
      <c r="M283" s="399">
        <v>20</v>
      </c>
      <c r="N283" s="356" t="e">
        <v>#N/A</v>
      </c>
      <c r="O283" s="28" t="e">
        <f t="shared" si="21"/>
        <v>#N/A</v>
      </c>
    </row>
    <row r="284" spans="2:15" s="28" customFormat="1" ht="16.5" customHeight="1">
      <c r="B284" s="20"/>
      <c r="C284" s="20"/>
      <c r="D284" s="254"/>
      <c r="E284" s="379">
        <v>139051</v>
      </c>
      <c r="F284" s="395" t="s">
        <v>331</v>
      </c>
      <c r="G284" s="396"/>
      <c r="H284" s="397"/>
      <c r="I284" s="383">
        <v>169000</v>
      </c>
      <c r="J284" s="398">
        <v>139051</v>
      </c>
      <c r="K284" s="399" t="s">
        <v>70</v>
      </c>
      <c r="L284" s="399" t="s">
        <v>34</v>
      </c>
      <c r="M284" s="399">
        <v>18.899999999999999</v>
      </c>
      <c r="N284" s="356">
        <v>169000</v>
      </c>
      <c r="O284" s="28" t="b">
        <f t="shared" si="21"/>
        <v>1</v>
      </c>
    </row>
    <row r="285" spans="2:15" s="28" customFormat="1" ht="16.5" customHeight="1">
      <c r="B285" s="20"/>
      <c r="C285" s="20"/>
      <c r="D285" s="254"/>
      <c r="E285" s="379">
        <v>139052</v>
      </c>
      <c r="F285" s="395" t="s">
        <v>582</v>
      </c>
      <c r="G285" s="396"/>
      <c r="H285" s="397"/>
      <c r="I285" s="383"/>
      <c r="J285" s="398">
        <v>139052</v>
      </c>
      <c r="K285" s="399" t="s">
        <v>71</v>
      </c>
      <c r="L285" s="399" t="s">
        <v>34</v>
      </c>
      <c r="M285" s="399">
        <v>200</v>
      </c>
      <c r="N285" s="356" t="e">
        <v>#N/A</v>
      </c>
      <c r="O285" s="28" t="e">
        <f t="shared" si="21"/>
        <v>#N/A</v>
      </c>
    </row>
    <row r="286" spans="2:15" s="28" customFormat="1" ht="16.5" customHeight="1">
      <c r="B286" s="20"/>
      <c r="C286" s="20"/>
      <c r="D286" s="254"/>
      <c r="E286" s="379">
        <v>139057</v>
      </c>
      <c r="F286" s="395" t="s">
        <v>583</v>
      </c>
      <c r="G286" s="396"/>
      <c r="H286" s="397"/>
      <c r="I286" s="383">
        <v>721000</v>
      </c>
      <c r="J286" s="398">
        <v>139057</v>
      </c>
      <c r="K286" s="399" t="s">
        <v>71</v>
      </c>
      <c r="L286" s="399" t="s">
        <v>34</v>
      </c>
      <c r="M286" s="399">
        <v>200</v>
      </c>
      <c r="N286" s="356">
        <v>721000</v>
      </c>
      <c r="O286" s="28" t="b">
        <f t="shared" si="21"/>
        <v>1</v>
      </c>
    </row>
    <row r="287" spans="2:15" s="28" customFormat="1" ht="16.5" customHeight="1">
      <c r="B287" s="20"/>
      <c r="C287" s="20"/>
      <c r="D287" s="254"/>
      <c r="E287" s="379">
        <v>139058</v>
      </c>
      <c r="F287" s="395" t="s">
        <v>584</v>
      </c>
      <c r="G287" s="396"/>
      <c r="H287" s="397"/>
      <c r="I287" s="383">
        <v>893000</v>
      </c>
      <c r="J287" s="398">
        <v>139058</v>
      </c>
      <c r="K287" s="399" t="s">
        <v>71</v>
      </c>
      <c r="L287" s="399" t="s">
        <v>34</v>
      </c>
      <c r="M287" s="399">
        <v>200</v>
      </c>
      <c r="N287" s="356">
        <v>893000</v>
      </c>
      <c r="O287" s="28" t="b">
        <f t="shared" si="21"/>
        <v>1</v>
      </c>
    </row>
    <row r="288" spans="2:15" s="28" customFormat="1" ht="16.5" customHeight="1">
      <c r="B288" s="20"/>
      <c r="C288" s="20"/>
      <c r="D288" s="254"/>
      <c r="E288" s="379">
        <v>139059</v>
      </c>
      <c r="F288" s="395" t="s">
        <v>585</v>
      </c>
      <c r="G288" s="396"/>
      <c r="H288" s="397"/>
      <c r="I288" s="383">
        <v>691000</v>
      </c>
      <c r="J288" s="398">
        <v>139059</v>
      </c>
      <c r="K288" s="399" t="s">
        <v>71</v>
      </c>
      <c r="L288" s="399" t="s">
        <v>34</v>
      </c>
      <c r="M288" s="399">
        <v>200</v>
      </c>
      <c r="N288" s="356">
        <v>691000</v>
      </c>
      <c r="O288" s="28" t="b">
        <f t="shared" si="21"/>
        <v>1</v>
      </c>
    </row>
    <row r="289" spans="2:15" s="28" customFormat="1" ht="16.5" customHeight="1">
      <c r="B289" s="20"/>
      <c r="C289" s="20"/>
      <c r="D289" s="254"/>
      <c r="E289" s="379">
        <v>139061</v>
      </c>
      <c r="F289" s="395" t="s">
        <v>242</v>
      </c>
      <c r="G289" s="396"/>
      <c r="H289" s="397"/>
      <c r="I289" s="383">
        <v>83600</v>
      </c>
      <c r="J289" s="398">
        <v>139061</v>
      </c>
      <c r="K289" s="399" t="s">
        <v>70</v>
      </c>
      <c r="L289" s="399" t="s">
        <v>34</v>
      </c>
      <c r="M289" s="399">
        <v>20</v>
      </c>
      <c r="N289" s="356">
        <v>83600</v>
      </c>
      <c r="O289" s="28" t="b">
        <f t="shared" si="21"/>
        <v>1</v>
      </c>
    </row>
    <row r="290" spans="2:15" s="28" customFormat="1" ht="16.5" customHeight="1">
      <c r="B290" s="20"/>
      <c r="C290" s="20"/>
      <c r="D290" s="254"/>
      <c r="E290" s="379">
        <v>139062</v>
      </c>
      <c r="F290" s="395" t="s">
        <v>586</v>
      </c>
      <c r="G290" s="396"/>
      <c r="H290" s="397"/>
      <c r="I290" s="383">
        <v>687000</v>
      </c>
      <c r="J290" s="398">
        <v>139062</v>
      </c>
      <c r="K290" s="399" t="s">
        <v>71</v>
      </c>
      <c r="L290" s="399" t="s">
        <v>34</v>
      </c>
      <c r="M290" s="399">
        <v>200</v>
      </c>
      <c r="N290" s="356">
        <v>687000</v>
      </c>
      <c r="O290" s="28" t="b">
        <f t="shared" si="21"/>
        <v>1</v>
      </c>
    </row>
    <row r="291" spans="2:15" s="28" customFormat="1" ht="16.5" customHeight="1">
      <c r="B291" s="20"/>
      <c r="C291" s="20"/>
      <c r="D291" s="254"/>
      <c r="E291" s="379">
        <v>139063</v>
      </c>
      <c r="F291" s="395" t="s">
        <v>587</v>
      </c>
      <c r="G291" s="396"/>
      <c r="H291" s="397"/>
      <c r="I291" s="383">
        <v>670000</v>
      </c>
      <c r="J291" s="398">
        <v>139063</v>
      </c>
      <c r="K291" s="399" t="s">
        <v>71</v>
      </c>
      <c r="L291" s="399" t="s">
        <v>34</v>
      </c>
      <c r="M291" s="399">
        <v>200</v>
      </c>
      <c r="N291" s="356">
        <v>670000</v>
      </c>
      <c r="O291" s="28" t="b">
        <f t="shared" si="21"/>
        <v>1</v>
      </c>
    </row>
    <row r="292" spans="2:15" s="28" customFormat="1" ht="16.5" customHeight="1">
      <c r="B292" s="20"/>
      <c r="C292" s="20"/>
      <c r="D292" s="254"/>
      <c r="E292" s="379">
        <v>139064</v>
      </c>
      <c r="F292" s="395" t="s">
        <v>233</v>
      </c>
      <c r="G292" s="396"/>
      <c r="H292" s="397"/>
      <c r="I292" s="383">
        <v>66400</v>
      </c>
      <c r="J292" s="398">
        <v>139064</v>
      </c>
      <c r="K292" s="399" t="s">
        <v>70</v>
      </c>
      <c r="L292" s="399" t="s">
        <v>34</v>
      </c>
      <c r="M292" s="399">
        <v>20</v>
      </c>
      <c r="N292" s="356">
        <v>66400</v>
      </c>
      <c r="O292" s="28" t="b">
        <f t="shared" si="21"/>
        <v>1</v>
      </c>
    </row>
    <row r="293" spans="2:15" s="28" customFormat="1" ht="16.5" customHeight="1">
      <c r="B293" s="20"/>
      <c r="C293" s="20"/>
      <c r="D293" s="254"/>
      <c r="E293" s="379">
        <v>139065</v>
      </c>
      <c r="F293" s="395" t="s">
        <v>588</v>
      </c>
      <c r="G293" s="396"/>
      <c r="H293" s="397"/>
      <c r="I293" s="383">
        <v>685000</v>
      </c>
      <c r="J293" s="398">
        <v>139065</v>
      </c>
      <c r="K293" s="399" t="s">
        <v>71</v>
      </c>
      <c r="L293" s="399" t="s">
        <v>34</v>
      </c>
      <c r="M293" s="399">
        <v>200</v>
      </c>
      <c r="N293" s="356">
        <v>685000</v>
      </c>
      <c r="O293" s="28" t="b">
        <f t="shared" si="21"/>
        <v>1</v>
      </c>
    </row>
    <row r="294" spans="2:15" s="28" customFormat="1" ht="16.5" customHeight="1">
      <c r="B294" s="20"/>
      <c r="C294" s="20"/>
      <c r="D294" s="254"/>
      <c r="E294" s="379">
        <v>139066</v>
      </c>
      <c r="F294" s="395" t="s">
        <v>332</v>
      </c>
      <c r="G294" s="396"/>
      <c r="H294" s="397"/>
      <c r="I294" s="383">
        <v>69100</v>
      </c>
      <c r="J294" s="398">
        <v>139066</v>
      </c>
      <c r="K294" s="399" t="s">
        <v>70</v>
      </c>
      <c r="L294" s="399" t="s">
        <v>34</v>
      </c>
      <c r="M294" s="399">
        <v>20</v>
      </c>
      <c r="N294" s="356">
        <v>69100</v>
      </c>
      <c r="O294" s="28" t="b">
        <f t="shared" si="21"/>
        <v>1</v>
      </c>
    </row>
    <row r="295" spans="2:15" s="28" customFormat="1" ht="16.5" customHeight="1">
      <c r="B295" s="20"/>
      <c r="C295" s="20"/>
      <c r="D295" s="254"/>
      <c r="E295" s="379">
        <v>139067</v>
      </c>
      <c r="F295" s="395" t="s">
        <v>333</v>
      </c>
      <c r="G295" s="396"/>
      <c r="H295" s="397"/>
      <c r="I295" s="383"/>
      <c r="J295" s="398">
        <v>139067</v>
      </c>
      <c r="K295" s="399" t="s">
        <v>70</v>
      </c>
      <c r="L295" s="399" t="s">
        <v>34</v>
      </c>
      <c r="M295" s="399">
        <v>18.899999999999999</v>
      </c>
      <c r="N295" s="356" t="e">
        <v>#N/A</v>
      </c>
      <c r="O295" s="28" t="e">
        <f t="shared" si="21"/>
        <v>#N/A</v>
      </c>
    </row>
    <row r="296" spans="2:15" s="28" customFormat="1" ht="16.5" customHeight="1">
      <c r="B296" s="20"/>
      <c r="C296" s="20"/>
      <c r="D296" s="254"/>
      <c r="E296" s="379">
        <v>139068</v>
      </c>
      <c r="F296" s="395" t="s">
        <v>589</v>
      </c>
      <c r="G296" s="396"/>
      <c r="H296" s="397"/>
      <c r="I296" s="383">
        <v>4688000</v>
      </c>
      <c r="J296" s="398">
        <v>139068</v>
      </c>
      <c r="K296" s="399" t="s">
        <v>71</v>
      </c>
      <c r="L296" s="399" t="s">
        <v>34</v>
      </c>
      <c r="M296" s="399">
        <v>208</v>
      </c>
      <c r="N296" s="356">
        <v>4688000</v>
      </c>
      <c r="O296" s="28" t="b">
        <f t="shared" si="21"/>
        <v>1</v>
      </c>
    </row>
    <row r="297" spans="2:15" s="28" customFormat="1" ht="16.5" customHeight="1">
      <c r="B297" s="20"/>
      <c r="C297" s="20"/>
      <c r="D297" s="254"/>
      <c r="E297" s="379">
        <v>139069</v>
      </c>
      <c r="F297" s="395" t="s">
        <v>334</v>
      </c>
      <c r="G297" s="396"/>
      <c r="H297" s="397"/>
      <c r="I297" s="383">
        <v>296000</v>
      </c>
      <c r="J297" s="398">
        <v>139069</v>
      </c>
      <c r="K297" s="399" t="s">
        <v>70</v>
      </c>
      <c r="L297" s="399" t="s">
        <v>34</v>
      </c>
      <c r="M297" s="399">
        <v>20</v>
      </c>
      <c r="N297" s="356">
        <v>296000</v>
      </c>
      <c r="O297" s="28" t="b">
        <f t="shared" si="21"/>
        <v>1</v>
      </c>
    </row>
    <row r="298" spans="2:15" s="28" customFormat="1" ht="16.5" customHeight="1">
      <c r="B298" s="20"/>
      <c r="C298" s="20"/>
      <c r="D298" s="254"/>
      <c r="E298" s="379">
        <v>139070</v>
      </c>
      <c r="F298" s="395" t="s">
        <v>335</v>
      </c>
      <c r="G298" s="396"/>
      <c r="H298" s="397"/>
      <c r="I298" s="383">
        <v>318000</v>
      </c>
      <c r="J298" s="398">
        <v>139070</v>
      </c>
      <c r="K298" s="399" t="s">
        <v>70</v>
      </c>
      <c r="L298" s="399" t="s">
        <v>34</v>
      </c>
      <c r="M298" s="399">
        <v>20</v>
      </c>
      <c r="N298" s="356">
        <v>318000</v>
      </c>
      <c r="O298" s="28" t="b">
        <f t="shared" si="21"/>
        <v>1</v>
      </c>
    </row>
    <row r="299" spans="2:15" s="28" customFormat="1" ht="16.5" customHeight="1">
      <c r="B299" s="20"/>
      <c r="C299" s="20"/>
      <c r="D299" s="254"/>
      <c r="E299" s="379">
        <v>139071</v>
      </c>
      <c r="F299" s="395" t="s">
        <v>590</v>
      </c>
      <c r="G299" s="396"/>
      <c r="H299" s="397"/>
      <c r="I299" s="383">
        <v>746000</v>
      </c>
      <c r="J299" s="398">
        <v>139071</v>
      </c>
      <c r="K299" s="399" t="s">
        <v>71</v>
      </c>
      <c r="L299" s="399" t="s">
        <v>34</v>
      </c>
      <c r="M299" s="399">
        <v>200</v>
      </c>
      <c r="N299" s="356">
        <v>746000</v>
      </c>
      <c r="O299" s="28" t="b">
        <f t="shared" si="21"/>
        <v>1</v>
      </c>
    </row>
    <row r="300" spans="2:15" s="28" customFormat="1" ht="16.5" customHeight="1">
      <c r="B300" s="20"/>
      <c r="C300" s="20"/>
      <c r="D300" s="254"/>
      <c r="E300" s="379">
        <v>139074</v>
      </c>
      <c r="F300" s="395" t="s">
        <v>591</v>
      </c>
      <c r="G300" s="396"/>
      <c r="H300" s="397"/>
      <c r="I300" s="383">
        <v>746000</v>
      </c>
      <c r="J300" s="398">
        <v>139074</v>
      </c>
      <c r="K300" s="399" t="s">
        <v>71</v>
      </c>
      <c r="L300" s="399" t="s">
        <v>34</v>
      </c>
      <c r="M300" s="399">
        <v>200</v>
      </c>
      <c r="N300" s="356">
        <v>746000</v>
      </c>
      <c r="O300" s="28" t="b">
        <f t="shared" si="21"/>
        <v>1</v>
      </c>
    </row>
    <row r="301" spans="2:15" s="28" customFormat="1" ht="16.5" customHeight="1">
      <c r="B301" s="20"/>
      <c r="C301" s="20"/>
      <c r="D301" s="254"/>
      <c r="E301" s="379">
        <v>139075</v>
      </c>
      <c r="F301" s="395" t="s">
        <v>592</v>
      </c>
      <c r="G301" s="396"/>
      <c r="H301" s="397"/>
      <c r="I301" s="383">
        <v>746000</v>
      </c>
      <c r="J301" s="398">
        <v>139075</v>
      </c>
      <c r="K301" s="399" t="s">
        <v>71</v>
      </c>
      <c r="L301" s="399" t="s">
        <v>34</v>
      </c>
      <c r="M301" s="399">
        <v>200</v>
      </c>
      <c r="N301" s="356">
        <v>746000</v>
      </c>
      <c r="O301" s="28" t="b">
        <f t="shared" si="21"/>
        <v>1</v>
      </c>
    </row>
    <row r="302" spans="2:15" s="28" customFormat="1" ht="16.5" customHeight="1">
      <c r="B302" s="20"/>
      <c r="C302" s="20"/>
      <c r="D302" s="254"/>
      <c r="E302" s="379">
        <v>135303</v>
      </c>
      <c r="F302" s="395" t="s">
        <v>336</v>
      </c>
      <c r="G302" s="396"/>
      <c r="H302" s="397"/>
      <c r="I302" s="383">
        <v>370000</v>
      </c>
      <c r="J302" s="398">
        <v>135303</v>
      </c>
      <c r="K302" s="399" t="s">
        <v>70</v>
      </c>
      <c r="L302" s="399" t="s">
        <v>34</v>
      </c>
      <c r="M302" s="399">
        <v>20</v>
      </c>
      <c r="N302" s="356">
        <v>370000</v>
      </c>
      <c r="O302" s="28" t="b">
        <f t="shared" si="21"/>
        <v>1</v>
      </c>
    </row>
    <row r="303" spans="2:15" s="28" customFormat="1" ht="16.5" customHeight="1">
      <c r="B303" s="20"/>
      <c r="C303" s="20"/>
      <c r="D303" s="254"/>
      <c r="E303" s="379">
        <v>139080</v>
      </c>
      <c r="F303" s="395" t="s">
        <v>337</v>
      </c>
      <c r="G303" s="396"/>
      <c r="H303" s="397"/>
      <c r="I303" s="383">
        <v>300000</v>
      </c>
      <c r="J303" s="398">
        <v>139080</v>
      </c>
      <c r="K303" s="399" t="s">
        <v>70</v>
      </c>
      <c r="L303" s="399" t="s">
        <v>34</v>
      </c>
      <c r="M303" s="399">
        <v>20</v>
      </c>
      <c r="N303" s="356">
        <v>300000</v>
      </c>
      <c r="O303" s="28" t="b">
        <f t="shared" si="21"/>
        <v>1</v>
      </c>
    </row>
    <row r="304" spans="2:15" s="28" customFormat="1" ht="16.5" customHeight="1">
      <c r="B304" s="20"/>
      <c r="C304" s="20"/>
      <c r="D304" s="254"/>
      <c r="E304" s="379">
        <v>139082</v>
      </c>
      <c r="F304" s="395" t="s">
        <v>338</v>
      </c>
      <c r="G304" s="396"/>
      <c r="H304" s="397"/>
      <c r="I304" s="383">
        <v>366000</v>
      </c>
      <c r="J304" s="398">
        <v>139082</v>
      </c>
      <c r="K304" s="399" t="s">
        <v>70</v>
      </c>
      <c r="L304" s="399" t="s">
        <v>34</v>
      </c>
      <c r="M304" s="399">
        <v>20</v>
      </c>
      <c r="N304" s="356">
        <v>366000</v>
      </c>
      <c r="O304" s="28" t="b">
        <f t="shared" si="21"/>
        <v>1</v>
      </c>
    </row>
    <row r="305" spans="2:15" s="28" customFormat="1" ht="16.5" customHeight="1">
      <c r="B305" s="20"/>
      <c r="C305" s="20"/>
      <c r="D305" s="254"/>
      <c r="E305" s="379">
        <v>139084</v>
      </c>
      <c r="F305" s="395" t="s">
        <v>243</v>
      </c>
      <c r="G305" s="401"/>
      <c r="H305" s="402"/>
      <c r="I305" s="383">
        <v>58600</v>
      </c>
      <c r="J305" s="399">
        <v>139084</v>
      </c>
      <c r="K305" s="399" t="s">
        <v>70</v>
      </c>
      <c r="L305" s="399" t="s">
        <v>34</v>
      </c>
      <c r="M305" s="399">
        <v>20</v>
      </c>
      <c r="N305" s="356">
        <v>58600</v>
      </c>
      <c r="O305" s="28" t="b">
        <f t="shared" si="21"/>
        <v>1</v>
      </c>
    </row>
    <row r="306" spans="2:15" s="28" customFormat="1" ht="16.5" customHeight="1">
      <c r="B306" s="20"/>
      <c r="C306" s="20"/>
      <c r="D306" s="254"/>
      <c r="E306" s="379">
        <v>139085</v>
      </c>
      <c r="F306" s="395" t="s">
        <v>593</v>
      </c>
      <c r="G306" s="401"/>
      <c r="H306" s="402"/>
      <c r="I306" s="383">
        <v>535000</v>
      </c>
      <c r="J306" s="398">
        <v>139085</v>
      </c>
      <c r="K306" s="399" t="s">
        <v>71</v>
      </c>
      <c r="L306" s="399" t="s">
        <v>34</v>
      </c>
      <c r="M306" s="399">
        <v>200</v>
      </c>
      <c r="N306" s="356">
        <v>535000</v>
      </c>
      <c r="O306" s="28" t="b">
        <f t="shared" si="21"/>
        <v>1</v>
      </c>
    </row>
    <row r="307" spans="2:15" s="28" customFormat="1" ht="16.5" customHeight="1">
      <c r="B307" s="20"/>
      <c r="C307" s="20"/>
      <c r="D307" s="254"/>
      <c r="E307" s="379">
        <v>139086</v>
      </c>
      <c r="F307" s="395" t="s">
        <v>226</v>
      </c>
      <c r="G307" s="401"/>
      <c r="H307" s="402"/>
      <c r="I307" s="383">
        <v>54500</v>
      </c>
      <c r="J307" s="398">
        <v>139086</v>
      </c>
      <c r="K307" s="399" t="s">
        <v>70</v>
      </c>
      <c r="L307" s="399" t="s">
        <v>34</v>
      </c>
      <c r="M307" s="399">
        <v>20</v>
      </c>
      <c r="N307" s="356">
        <v>54500</v>
      </c>
      <c r="O307" s="28" t="b">
        <f t="shared" si="21"/>
        <v>1</v>
      </c>
    </row>
    <row r="308" spans="2:15" s="28" customFormat="1" ht="16.5" customHeight="1">
      <c r="B308" s="20"/>
      <c r="C308" s="20"/>
      <c r="D308" s="254"/>
      <c r="E308" s="379">
        <v>139087</v>
      </c>
      <c r="F308" s="395" t="s">
        <v>594</v>
      </c>
      <c r="G308" s="401"/>
      <c r="H308" s="402"/>
      <c r="I308" s="383">
        <v>547000</v>
      </c>
      <c r="J308" s="398">
        <v>139087</v>
      </c>
      <c r="K308" s="399" t="s">
        <v>71</v>
      </c>
      <c r="L308" s="399" t="s">
        <v>34</v>
      </c>
      <c r="M308" s="399">
        <v>200</v>
      </c>
      <c r="N308" s="356">
        <v>547000</v>
      </c>
      <c r="O308" s="28" t="b">
        <f t="shared" si="21"/>
        <v>1</v>
      </c>
    </row>
    <row r="309" spans="2:15" s="28" customFormat="1" ht="16.5" customHeight="1">
      <c r="B309" s="20"/>
      <c r="C309" s="20"/>
      <c r="D309" s="254"/>
      <c r="E309" s="379">
        <v>139088</v>
      </c>
      <c r="F309" s="395" t="s">
        <v>234</v>
      </c>
      <c r="G309" s="401"/>
      <c r="H309" s="402"/>
      <c r="I309" s="383">
        <v>58600</v>
      </c>
      <c r="J309" s="398">
        <v>139088</v>
      </c>
      <c r="K309" s="399" t="s">
        <v>70</v>
      </c>
      <c r="L309" s="399" t="s">
        <v>34</v>
      </c>
      <c r="M309" s="399">
        <v>20</v>
      </c>
      <c r="N309" s="356">
        <v>58600</v>
      </c>
      <c r="O309" s="28" t="b">
        <f t="shared" si="21"/>
        <v>1</v>
      </c>
    </row>
    <row r="310" spans="2:15" s="28" customFormat="1" ht="16.5" customHeight="1">
      <c r="B310" s="20"/>
      <c r="C310" s="20"/>
      <c r="D310" s="254"/>
      <c r="E310" s="379">
        <v>139089</v>
      </c>
      <c r="F310" s="395" t="s">
        <v>595</v>
      </c>
      <c r="G310" s="401"/>
      <c r="H310" s="402"/>
      <c r="I310" s="383">
        <v>663000</v>
      </c>
      <c r="J310" s="398">
        <v>139089</v>
      </c>
      <c r="K310" s="399" t="s">
        <v>71</v>
      </c>
      <c r="L310" s="399" t="s">
        <v>34</v>
      </c>
      <c r="M310" s="399">
        <v>200</v>
      </c>
      <c r="N310" s="356">
        <v>663000</v>
      </c>
      <c r="O310" s="28" t="b">
        <f t="shared" si="21"/>
        <v>1</v>
      </c>
    </row>
    <row r="311" spans="2:15" s="28" customFormat="1" ht="16.5" customHeight="1">
      <c r="B311" s="20"/>
      <c r="C311" s="20"/>
      <c r="D311" s="254"/>
      <c r="E311" s="379">
        <v>139090</v>
      </c>
      <c r="F311" s="395" t="s">
        <v>596</v>
      </c>
      <c r="G311" s="396"/>
      <c r="H311" s="397"/>
      <c r="I311" s="383">
        <v>626000</v>
      </c>
      <c r="J311" s="398">
        <v>139090</v>
      </c>
      <c r="K311" s="399" t="s">
        <v>71</v>
      </c>
      <c r="L311" s="399" t="s">
        <v>34</v>
      </c>
      <c r="M311" s="399">
        <v>200</v>
      </c>
      <c r="N311" s="356">
        <v>626000</v>
      </c>
      <c r="O311" s="28" t="b">
        <f t="shared" si="21"/>
        <v>1</v>
      </c>
    </row>
    <row r="312" spans="2:15" s="28" customFormat="1" ht="16.5" customHeight="1">
      <c r="B312" s="20"/>
      <c r="C312" s="20"/>
      <c r="D312" s="254"/>
      <c r="E312" s="379">
        <v>139091</v>
      </c>
      <c r="F312" s="395" t="s">
        <v>597</v>
      </c>
      <c r="G312" s="401"/>
      <c r="H312" s="402"/>
      <c r="I312" s="383">
        <v>508000</v>
      </c>
      <c r="J312" s="399">
        <v>139091</v>
      </c>
      <c r="K312" s="399" t="s">
        <v>71</v>
      </c>
      <c r="L312" s="399" t="s">
        <v>34</v>
      </c>
      <c r="M312" s="399">
        <v>200</v>
      </c>
      <c r="N312" s="356">
        <v>508000</v>
      </c>
      <c r="O312" s="28" t="b">
        <f t="shared" si="21"/>
        <v>1</v>
      </c>
    </row>
    <row r="313" spans="2:15" s="28" customFormat="1" ht="16.5" customHeight="1">
      <c r="B313" s="20"/>
      <c r="C313" s="20"/>
      <c r="D313" s="254"/>
      <c r="E313" s="379">
        <v>139092</v>
      </c>
      <c r="F313" s="395" t="s">
        <v>598</v>
      </c>
      <c r="G313" s="401"/>
      <c r="H313" s="402"/>
      <c r="I313" s="383">
        <v>907000</v>
      </c>
      <c r="J313" s="398">
        <v>139092</v>
      </c>
      <c r="K313" s="399" t="s">
        <v>71</v>
      </c>
      <c r="L313" s="399" t="s">
        <v>34</v>
      </c>
      <c r="M313" s="399">
        <v>200</v>
      </c>
      <c r="N313" s="356">
        <v>907000</v>
      </c>
      <c r="O313" s="28" t="b">
        <f t="shared" si="21"/>
        <v>1</v>
      </c>
    </row>
    <row r="314" spans="2:15" s="28" customFormat="1" ht="16.5" customHeight="1">
      <c r="B314" s="20"/>
      <c r="C314" s="20"/>
      <c r="D314" s="254"/>
      <c r="E314" s="379">
        <v>139094</v>
      </c>
      <c r="F314" s="395" t="s">
        <v>599</v>
      </c>
      <c r="G314" s="401"/>
      <c r="H314" s="402"/>
      <c r="I314" s="383">
        <v>781000</v>
      </c>
      <c r="J314" s="398">
        <v>139094</v>
      </c>
      <c r="K314" s="399" t="s">
        <v>71</v>
      </c>
      <c r="L314" s="399" t="s">
        <v>34</v>
      </c>
      <c r="M314" s="399">
        <v>200</v>
      </c>
      <c r="N314" s="356">
        <v>781000</v>
      </c>
      <c r="O314" s="28" t="b">
        <f t="shared" si="21"/>
        <v>1</v>
      </c>
    </row>
    <row r="315" spans="2:15" s="28" customFormat="1" ht="16.5" customHeight="1">
      <c r="B315" s="20"/>
      <c r="C315" s="20"/>
      <c r="D315" s="254"/>
      <c r="E315" s="379">
        <v>139095</v>
      </c>
      <c r="F315" s="395" t="s">
        <v>600</v>
      </c>
      <c r="G315" s="401"/>
      <c r="H315" s="402"/>
      <c r="I315" s="383">
        <v>843000</v>
      </c>
      <c r="J315" s="398">
        <v>139095</v>
      </c>
      <c r="K315" s="399" t="s">
        <v>71</v>
      </c>
      <c r="L315" s="399" t="s">
        <v>34</v>
      </c>
      <c r="M315" s="399">
        <v>200</v>
      </c>
      <c r="N315" s="356">
        <v>843000</v>
      </c>
      <c r="O315" s="28" t="b">
        <f t="shared" si="21"/>
        <v>1</v>
      </c>
    </row>
    <row r="316" spans="2:15" s="28" customFormat="1" ht="16.5" customHeight="1">
      <c r="B316" s="20"/>
      <c r="C316" s="20"/>
      <c r="D316" s="254"/>
      <c r="E316" s="379">
        <v>139096</v>
      </c>
      <c r="F316" s="395" t="s">
        <v>339</v>
      </c>
      <c r="G316" s="401"/>
      <c r="H316" s="402"/>
      <c r="I316" s="383">
        <v>89700</v>
      </c>
      <c r="J316" s="398">
        <v>139096</v>
      </c>
      <c r="K316" s="399" t="s">
        <v>70</v>
      </c>
      <c r="L316" s="399" t="s">
        <v>34</v>
      </c>
      <c r="M316" s="399">
        <v>20</v>
      </c>
      <c r="N316" s="356">
        <v>89700</v>
      </c>
      <c r="O316" s="28" t="b">
        <f t="shared" si="21"/>
        <v>1</v>
      </c>
    </row>
    <row r="317" spans="2:15" s="28" customFormat="1" ht="16.5" customHeight="1">
      <c r="B317" s="20"/>
      <c r="C317" s="20"/>
      <c r="D317" s="254"/>
      <c r="E317" s="379">
        <v>139097</v>
      </c>
      <c r="F317" s="395" t="s">
        <v>601</v>
      </c>
      <c r="G317" s="401"/>
      <c r="H317" s="402"/>
      <c r="I317" s="383">
        <v>987000</v>
      </c>
      <c r="J317" s="398">
        <v>139097</v>
      </c>
      <c r="K317" s="399" t="s">
        <v>71</v>
      </c>
      <c r="L317" s="399" t="s">
        <v>34</v>
      </c>
      <c r="M317" s="399">
        <v>200</v>
      </c>
      <c r="N317" s="356">
        <v>987000</v>
      </c>
      <c r="O317" s="28" t="b">
        <f t="shared" si="21"/>
        <v>1</v>
      </c>
    </row>
    <row r="318" spans="2:15" s="28" customFormat="1" ht="16.5" customHeight="1">
      <c r="B318" s="20"/>
      <c r="C318" s="20"/>
      <c r="D318" s="254"/>
      <c r="E318" s="379">
        <v>139099</v>
      </c>
      <c r="F318" s="395" t="s">
        <v>602</v>
      </c>
      <c r="G318" s="396"/>
      <c r="H318" s="397"/>
      <c r="I318" s="383">
        <v>637000</v>
      </c>
      <c r="J318" s="398">
        <v>139099</v>
      </c>
      <c r="K318" s="399" t="s">
        <v>71</v>
      </c>
      <c r="L318" s="399" t="s">
        <v>34</v>
      </c>
      <c r="M318" s="399">
        <v>200</v>
      </c>
      <c r="N318" s="356">
        <v>637000</v>
      </c>
      <c r="O318" s="28" t="b">
        <f t="shared" si="21"/>
        <v>1</v>
      </c>
    </row>
    <row r="319" spans="2:15" s="28" customFormat="1" ht="16.5" customHeight="1">
      <c r="B319" s="20"/>
      <c r="C319" s="20"/>
      <c r="D319" s="254"/>
      <c r="E319" s="379">
        <v>139101</v>
      </c>
      <c r="F319" s="395" t="s">
        <v>603</v>
      </c>
      <c r="G319" s="396"/>
      <c r="H319" s="397"/>
      <c r="I319" s="383">
        <v>616000</v>
      </c>
      <c r="J319" s="398">
        <v>139101</v>
      </c>
      <c r="K319" s="399" t="s">
        <v>71</v>
      </c>
      <c r="L319" s="399" t="s">
        <v>34</v>
      </c>
      <c r="M319" s="399">
        <v>200</v>
      </c>
      <c r="N319" s="356">
        <v>616000</v>
      </c>
      <c r="O319" s="28" t="b">
        <f t="shared" si="21"/>
        <v>1</v>
      </c>
    </row>
    <row r="320" spans="2:15" s="28" customFormat="1" ht="16.5" customHeight="1">
      <c r="B320" s="20"/>
      <c r="C320" s="20"/>
      <c r="D320" s="254"/>
      <c r="E320" s="379">
        <v>139103</v>
      </c>
      <c r="F320" s="395" t="s">
        <v>604</v>
      </c>
      <c r="G320" s="396"/>
      <c r="H320" s="397"/>
      <c r="I320" s="383">
        <v>564000</v>
      </c>
      <c r="J320" s="398">
        <v>139103</v>
      </c>
      <c r="K320" s="399" t="s">
        <v>71</v>
      </c>
      <c r="L320" s="399" t="s">
        <v>34</v>
      </c>
      <c r="M320" s="399">
        <v>200</v>
      </c>
      <c r="N320" s="356">
        <v>564000</v>
      </c>
      <c r="O320" s="28" t="b">
        <f t="shared" si="21"/>
        <v>1</v>
      </c>
    </row>
    <row r="321" spans="2:15" s="28" customFormat="1" ht="16.5" customHeight="1">
      <c r="B321" s="20"/>
      <c r="C321" s="20"/>
      <c r="D321" s="254"/>
      <c r="E321" s="379">
        <v>139105</v>
      </c>
      <c r="F321" s="395" t="s">
        <v>605</v>
      </c>
      <c r="G321" s="396"/>
      <c r="H321" s="397"/>
      <c r="I321" s="383">
        <v>628000</v>
      </c>
      <c r="J321" s="398">
        <v>139105</v>
      </c>
      <c r="K321" s="399" t="s">
        <v>71</v>
      </c>
      <c r="L321" s="399" t="s">
        <v>34</v>
      </c>
      <c r="M321" s="399">
        <v>200</v>
      </c>
      <c r="N321" s="356">
        <v>628000</v>
      </c>
      <c r="O321" s="28" t="b">
        <f t="shared" si="21"/>
        <v>1</v>
      </c>
    </row>
    <row r="322" spans="2:15" s="28" customFormat="1" ht="16.5" customHeight="1">
      <c r="B322" s="20"/>
      <c r="C322" s="20"/>
      <c r="D322" s="254"/>
      <c r="E322" s="379">
        <v>139106</v>
      </c>
      <c r="F322" s="395" t="s">
        <v>340</v>
      </c>
      <c r="G322" s="396"/>
      <c r="H322" s="397"/>
      <c r="I322" s="383">
        <v>76400</v>
      </c>
      <c r="J322" s="398">
        <v>139106</v>
      </c>
      <c r="K322" s="399" t="s">
        <v>70</v>
      </c>
      <c r="L322" s="399" t="s">
        <v>34</v>
      </c>
      <c r="M322" s="399">
        <v>20</v>
      </c>
      <c r="N322" s="356">
        <v>76400</v>
      </c>
      <c r="O322" s="28" t="b">
        <f t="shared" si="21"/>
        <v>1</v>
      </c>
    </row>
    <row r="323" spans="2:15" s="28" customFormat="1" ht="16.5" customHeight="1">
      <c r="B323" s="20"/>
      <c r="C323" s="20"/>
      <c r="D323" s="254"/>
      <c r="E323" s="379">
        <v>139107</v>
      </c>
      <c r="F323" s="395" t="s">
        <v>606</v>
      </c>
      <c r="G323" s="396"/>
      <c r="H323" s="397"/>
      <c r="I323" s="383">
        <v>630000</v>
      </c>
      <c r="J323" s="398">
        <v>139107</v>
      </c>
      <c r="K323" s="399" t="s">
        <v>71</v>
      </c>
      <c r="L323" s="399" t="s">
        <v>34</v>
      </c>
      <c r="M323" s="399">
        <v>200</v>
      </c>
      <c r="N323" s="356">
        <v>630000</v>
      </c>
      <c r="O323" s="28" t="b">
        <f t="shared" si="21"/>
        <v>1</v>
      </c>
    </row>
    <row r="324" spans="2:15" s="28" customFormat="1" ht="16.5" customHeight="1">
      <c r="B324" s="20"/>
      <c r="C324" s="20"/>
      <c r="D324" s="254"/>
      <c r="E324" s="379">
        <v>139108</v>
      </c>
      <c r="F324" s="395" t="s">
        <v>341</v>
      </c>
      <c r="G324" s="396"/>
      <c r="H324" s="397"/>
      <c r="I324" s="383" t="e">
        <v>#N/A</v>
      </c>
      <c r="J324" s="398">
        <v>139108</v>
      </c>
      <c r="K324" s="399" t="s">
        <v>70</v>
      </c>
      <c r="L324" s="399" t="s">
        <v>34</v>
      </c>
      <c r="M324" s="399">
        <v>20</v>
      </c>
      <c r="N324" s="356" t="e">
        <v>#N/A</v>
      </c>
      <c r="O324" s="28" t="e">
        <f t="shared" si="21"/>
        <v>#N/A</v>
      </c>
    </row>
    <row r="325" spans="2:15" s="28" customFormat="1" ht="16.5" customHeight="1">
      <c r="B325" s="20"/>
      <c r="C325" s="20"/>
      <c r="D325" s="254"/>
      <c r="E325" s="379">
        <v>139109</v>
      </c>
      <c r="F325" s="395" t="s">
        <v>607</v>
      </c>
      <c r="G325" s="396"/>
      <c r="H325" s="397"/>
      <c r="I325" s="383">
        <v>593000</v>
      </c>
      <c r="J325" s="398">
        <v>139109</v>
      </c>
      <c r="K325" s="399" t="s">
        <v>71</v>
      </c>
      <c r="L325" s="399" t="s">
        <v>34</v>
      </c>
      <c r="M325" s="399">
        <v>200</v>
      </c>
      <c r="N325" s="356">
        <v>593000</v>
      </c>
      <c r="O325" s="28" t="b">
        <f t="shared" si="21"/>
        <v>1</v>
      </c>
    </row>
    <row r="326" spans="2:15" s="28" customFormat="1" ht="16.5" customHeight="1">
      <c r="B326" s="20"/>
      <c r="C326" s="20"/>
      <c r="D326" s="254"/>
      <c r="E326" s="379">
        <v>139110</v>
      </c>
      <c r="F326" s="395" t="s">
        <v>342</v>
      </c>
      <c r="G326" s="396"/>
      <c r="H326" s="397"/>
      <c r="I326" s="383">
        <v>72300</v>
      </c>
      <c r="J326" s="398">
        <v>139110</v>
      </c>
      <c r="K326" s="399" t="s">
        <v>70</v>
      </c>
      <c r="L326" s="399" t="s">
        <v>34</v>
      </c>
      <c r="M326" s="399">
        <v>20</v>
      </c>
      <c r="N326" s="356">
        <v>72300</v>
      </c>
      <c r="O326" s="28" t="b">
        <f t="shared" si="21"/>
        <v>1</v>
      </c>
    </row>
    <row r="327" spans="2:15" s="28" customFormat="1" ht="16.5" customHeight="1">
      <c r="B327" s="20"/>
      <c r="C327" s="20"/>
      <c r="D327" s="254"/>
      <c r="E327" s="379">
        <v>139111</v>
      </c>
      <c r="F327" s="395" t="s">
        <v>608</v>
      </c>
      <c r="G327" s="396"/>
      <c r="H327" s="397"/>
      <c r="I327" s="383">
        <v>654000</v>
      </c>
      <c r="J327" s="398">
        <v>139111</v>
      </c>
      <c r="K327" s="399" t="s">
        <v>71</v>
      </c>
      <c r="L327" s="399" t="s">
        <v>34</v>
      </c>
      <c r="M327" s="399">
        <v>200</v>
      </c>
      <c r="N327" s="356">
        <v>654000</v>
      </c>
      <c r="O327" s="28" t="b">
        <f t="shared" si="21"/>
        <v>1</v>
      </c>
    </row>
    <row r="328" spans="2:15" s="28" customFormat="1" ht="16.5" customHeight="1">
      <c r="B328" s="20"/>
      <c r="C328" s="20"/>
      <c r="D328" s="254"/>
      <c r="E328" s="379">
        <v>139112</v>
      </c>
      <c r="F328" s="395" t="s">
        <v>343</v>
      </c>
      <c r="G328" s="396"/>
      <c r="H328" s="397"/>
      <c r="I328" s="383">
        <v>465000</v>
      </c>
      <c r="J328" s="398">
        <v>139112</v>
      </c>
      <c r="K328" s="399" t="s">
        <v>70</v>
      </c>
      <c r="L328" s="399" t="s">
        <v>34</v>
      </c>
      <c r="M328" s="399">
        <v>20</v>
      </c>
      <c r="N328" s="356">
        <v>465000</v>
      </c>
      <c r="O328" s="28" t="b">
        <f t="shared" si="21"/>
        <v>1</v>
      </c>
    </row>
    <row r="329" spans="2:15" s="28" customFormat="1" ht="16.5" customHeight="1">
      <c r="B329" s="20"/>
      <c r="C329" s="20"/>
      <c r="D329" s="254"/>
      <c r="E329" s="379">
        <v>139113</v>
      </c>
      <c r="F329" s="395" t="s">
        <v>344</v>
      </c>
      <c r="G329" s="396"/>
      <c r="H329" s="397"/>
      <c r="I329" s="383">
        <v>364000</v>
      </c>
      <c r="J329" s="398">
        <v>139113</v>
      </c>
      <c r="K329" s="399" t="s">
        <v>70</v>
      </c>
      <c r="L329" s="399" t="s">
        <v>34</v>
      </c>
      <c r="M329" s="399">
        <v>20</v>
      </c>
      <c r="N329" s="356">
        <v>364000</v>
      </c>
      <c r="O329" s="28" t="b">
        <f t="shared" si="21"/>
        <v>1</v>
      </c>
    </row>
    <row r="330" spans="2:15" s="28" customFormat="1" ht="16.5" customHeight="1">
      <c r="B330" s="20"/>
      <c r="C330" s="20"/>
      <c r="D330" s="254"/>
      <c r="E330" s="379">
        <v>139118</v>
      </c>
      <c r="F330" s="395" t="s">
        <v>609</v>
      </c>
      <c r="G330" s="396"/>
      <c r="H330" s="397"/>
      <c r="I330" s="383">
        <v>952000</v>
      </c>
      <c r="J330" s="398">
        <v>139118</v>
      </c>
      <c r="K330" s="399" t="s">
        <v>71</v>
      </c>
      <c r="L330" s="399" t="s">
        <v>34</v>
      </c>
      <c r="M330" s="399">
        <v>200</v>
      </c>
      <c r="N330" s="356">
        <v>952000</v>
      </c>
      <c r="O330" s="28" t="b">
        <f t="shared" si="21"/>
        <v>1</v>
      </c>
    </row>
    <row r="331" spans="2:15" s="28" customFormat="1" ht="16.5" customHeight="1">
      <c r="B331" s="20"/>
      <c r="C331" s="20"/>
      <c r="D331" s="254"/>
      <c r="E331" s="379">
        <v>139121</v>
      </c>
      <c r="F331" s="395" t="s">
        <v>610</v>
      </c>
      <c r="G331" s="396"/>
      <c r="H331" s="397"/>
      <c r="I331" s="383">
        <v>952000</v>
      </c>
      <c r="J331" s="398">
        <v>139121</v>
      </c>
      <c r="K331" s="399" t="s">
        <v>71</v>
      </c>
      <c r="L331" s="399" t="s">
        <v>34</v>
      </c>
      <c r="M331" s="399">
        <v>200</v>
      </c>
      <c r="N331" s="356">
        <v>952000</v>
      </c>
      <c r="O331" s="28" t="b">
        <f t="shared" si="21"/>
        <v>1</v>
      </c>
    </row>
    <row r="332" spans="2:15" s="28" customFormat="1" ht="16.5" customHeight="1">
      <c r="B332" s="20"/>
      <c r="C332" s="20"/>
      <c r="D332" s="254"/>
      <c r="E332" s="379">
        <v>139123</v>
      </c>
      <c r="F332" s="395" t="s">
        <v>611</v>
      </c>
      <c r="G332" s="396"/>
      <c r="H332" s="397"/>
      <c r="I332" s="383">
        <v>952000</v>
      </c>
      <c r="J332" s="398">
        <v>139123</v>
      </c>
      <c r="K332" s="399" t="s">
        <v>71</v>
      </c>
      <c r="L332" s="399" t="s">
        <v>34</v>
      </c>
      <c r="M332" s="399">
        <v>200</v>
      </c>
      <c r="N332" s="356">
        <v>952000</v>
      </c>
      <c r="O332" s="28" t="b">
        <f t="shared" si="21"/>
        <v>1</v>
      </c>
    </row>
    <row r="333" spans="2:15" s="28" customFormat="1" ht="16.5" customHeight="1">
      <c r="B333" s="20"/>
      <c r="C333" s="20"/>
      <c r="D333" s="254"/>
      <c r="E333" s="379">
        <v>139125</v>
      </c>
      <c r="F333" s="395" t="s">
        <v>612</v>
      </c>
      <c r="G333" s="396"/>
      <c r="H333" s="397"/>
      <c r="I333" s="383">
        <v>618000</v>
      </c>
      <c r="J333" s="398">
        <v>139125</v>
      </c>
      <c r="K333" s="399" t="s">
        <v>71</v>
      </c>
      <c r="L333" s="399" t="s">
        <v>34</v>
      </c>
      <c r="M333" s="399">
        <v>200</v>
      </c>
      <c r="N333" s="356">
        <v>618000</v>
      </c>
      <c r="O333" s="28" t="b">
        <f t="shared" si="21"/>
        <v>1</v>
      </c>
    </row>
    <row r="334" spans="2:15" s="28" customFormat="1" ht="16.5" customHeight="1">
      <c r="B334" s="20"/>
      <c r="C334" s="20"/>
      <c r="D334" s="254"/>
      <c r="E334" s="379">
        <v>139127</v>
      </c>
      <c r="F334" s="395" t="s">
        <v>244</v>
      </c>
      <c r="G334" s="396"/>
      <c r="H334" s="397"/>
      <c r="I334" s="383">
        <v>71000</v>
      </c>
      <c r="J334" s="398">
        <v>139127</v>
      </c>
      <c r="K334" s="399" t="s">
        <v>70</v>
      </c>
      <c r="L334" s="399" t="s">
        <v>34</v>
      </c>
      <c r="M334" s="399">
        <v>20</v>
      </c>
      <c r="N334" s="356">
        <v>71000</v>
      </c>
      <c r="O334" s="28" t="b">
        <f t="shared" si="21"/>
        <v>1</v>
      </c>
    </row>
    <row r="335" spans="2:15" s="28" customFormat="1" ht="16.5" customHeight="1">
      <c r="B335" s="20"/>
      <c r="C335" s="20"/>
      <c r="D335" s="254"/>
      <c r="E335" s="379">
        <v>139128</v>
      </c>
      <c r="F335" s="395" t="s">
        <v>613</v>
      </c>
      <c r="G335" s="396"/>
      <c r="H335" s="397"/>
      <c r="I335" s="383">
        <v>607000</v>
      </c>
      <c r="J335" s="398">
        <v>139128</v>
      </c>
      <c r="K335" s="399" t="s">
        <v>71</v>
      </c>
      <c r="L335" s="399" t="s">
        <v>34</v>
      </c>
      <c r="M335" s="399">
        <v>200</v>
      </c>
      <c r="N335" s="356">
        <v>607000</v>
      </c>
      <c r="O335" s="28" t="b">
        <f t="shared" si="21"/>
        <v>1</v>
      </c>
    </row>
    <row r="336" spans="2:15" s="28" customFormat="1" ht="16.5" customHeight="1">
      <c r="B336" s="20"/>
      <c r="C336" s="20"/>
      <c r="D336" s="254"/>
      <c r="E336" s="379">
        <v>139129</v>
      </c>
      <c r="F336" s="395" t="s">
        <v>245</v>
      </c>
      <c r="G336" s="396"/>
      <c r="H336" s="397"/>
      <c r="I336" s="383">
        <v>69800</v>
      </c>
      <c r="J336" s="398">
        <v>139129</v>
      </c>
      <c r="K336" s="399" t="s">
        <v>70</v>
      </c>
      <c r="L336" s="399" t="s">
        <v>34</v>
      </c>
      <c r="M336" s="399">
        <v>20</v>
      </c>
      <c r="N336" s="356">
        <v>69800</v>
      </c>
      <c r="O336" s="28" t="b">
        <f t="shared" si="21"/>
        <v>1</v>
      </c>
    </row>
    <row r="337" spans="2:15" s="28" customFormat="1" ht="16.5" customHeight="1">
      <c r="B337" s="20"/>
      <c r="C337" s="20"/>
      <c r="D337" s="254"/>
      <c r="E337" s="379">
        <v>139130</v>
      </c>
      <c r="F337" s="395" t="s">
        <v>614</v>
      </c>
      <c r="G337" s="396"/>
      <c r="H337" s="397"/>
      <c r="I337" s="383">
        <v>623000</v>
      </c>
      <c r="J337" s="398">
        <v>139130</v>
      </c>
      <c r="K337" s="399" t="s">
        <v>71</v>
      </c>
      <c r="L337" s="399" t="s">
        <v>34</v>
      </c>
      <c r="M337" s="399">
        <v>200</v>
      </c>
      <c r="N337" s="356">
        <v>623000</v>
      </c>
      <c r="O337" s="28" t="b">
        <f t="shared" si="21"/>
        <v>1</v>
      </c>
    </row>
    <row r="338" spans="2:15" s="28" customFormat="1" ht="16.5" customHeight="1">
      <c r="B338" s="20"/>
      <c r="C338" s="20"/>
      <c r="D338" s="254"/>
      <c r="E338" s="379">
        <v>139131</v>
      </c>
      <c r="F338" s="395" t="s">
        <v>237</v>
      </c>
      <c r="G338" s="396"/>
      <c r="H338" s="397"/>
      <c r="I338" s="383">
        <v>74600</v>
      </c>
      <c r="J338" s="398">
        <v>139131</v>
      </c>
      <c r="K338" s="399" t="s">
        <v>70</v>
      </c>
      <c r="L338" s="399" t="s">
        <v>34</v>
      </c>
      <c r="M338" s="399">
        <v>20</v>
      </c>
      <c r="N338" s="356">
        <v>74600</v>
      </c>
      <c r="O338" s="28" t="b">
        <f t="shared" si="21"/>
        <v>1</v>
      </c>
    </row>
    <row r="339" spans="2:15" s="28" customFormat="1" ht="16.5" customHeight="1">
      <c r="B339" s="20"/>
      <c r="C339" s="20"/>
      <c r="D339" s="254"/>
      <c r="E339" s="379">
        <v>139132</v>
      </c>
      <c r="F339" s="395" t="s">
        <v>615</v>
      </c>
      <c r="G339" s="396"/>
      <c r="H339" s="397"/>
      <c r="I339" s="383">
        <v>623000</v>
      </c>
      <c r="J339" s="398">
        <v>139132</v>
      </c>
      <c r="K339" s="399" t="s">
        <v>71</v>
      </c>
      <c r="L339" s="399" t="s">
        <v>34</v>
      </c>
      <c r="M339" s="399">
        <v>200</v>
      </c>
      <c r="N339" s="356">
        <v>623000</v>
      </c>
      <c r="O339" s="28" t="b">
        <f t="shared" si="21"/>
        <v>1</v>
      </c>
    </row>
    <row r="340" spans="2:15" s="28" customFormat="1" ht="16.5" customHeight="1">
      <c r="B340" s="20"/>
      <c r="C340" s="20"/>
      <c r="D340" s="254"/>
      <c r="E340" s="379">
        <v>139134</v>
      </c>
      <c r="F340" s="395" t="s">
        <v>227</v>
      </c>
      <c r="G340" s="396"/>
      <c r="H340" s="397"/>
      <c r="I340" s="383">
        <v>70900</v>
      </c>
      <c r="J340" s="398">
        <v>139134</v>
      </c>
      <c r="K340" s="399" t="s">
        <v>70</v>
      </c>
      <c r="L340" s="399" t="s">
        <v>34</v>
      </c>
      <c r="M340" s="399">
        <v>20</v>
      </c>
      <c r="N340" s="356">
        <v>70900</v>
      </c>
      <c r="O340" s="28" t="b">
        <f t="shared" si="21"/>
        <v>1</v>
      </c>
    </row>
    <row r="341" spans="2:15" s="28" customFormat="1" ht="16.5" customHeight="1">
      <c r="B341" s="20"/>
      <c r="C341" s="20"/>
      <c r="D341" s="254"/>
      <c r="E341" s="379">
        <v>139135</v>
      </c>
      <c r="F341" s="395" t="s">
        <v>616</v>
      </c>
      <c r="G341" s="396"/>
      <c r="H341" s="397"/>
      <c r="I341" s="383">
        <v>641000</v>
      </c>
      <c r="J341" s="398">
        <v>139135</v>
      </c>
      <c r="K341" s="399" t="s">
        <v>71</v>
      </c>
      <c r="L341" s="399" t="s">
        <v>34</v>
      </c>
      <c r="M341" s="399">
        <v>200</v>
      </c>
      <c r="N341" s="356">
        <v>641000</v>
      </c>
      <c r="O341" s="28" t="b">
        <f t="shared" si="21"/>
        <v>1</v>
      </c>
    </row>
    <row r="342" spans="2:15" s="28" customFormat="1" ht="16.5" customHeight="1">
      <c r="B342" s="20"/>
      <c r="C342" s="20"/>
      <c r="D342" s="254"/>
      <c r="E342" s="379">
        <v>139137</v>
      </c>
      <c r="F342" s="395" t="s">
        <v>246</v>
      </c>
      <c r="G342" s="396"/>
      <c r="H342" s="397"/>
      <c r="I342" s="383">
        <v>80900</v>
      </c>
      <c r="J342" s="398">
        <v>139137</v>
      </c>
      <c r="K342" s="399" t="s">
        <v>70</v>
      </c>
      <c r="L342" s="399" t="s">
        <v>34</v>
      </c>
      <c r="M342" s="399">
        <v>20</v>
      </c>
      <c r="N342" s="356">
        <v>80900</v>
      </c>
      <c r="O342" s="28" t="b">
        <f t="shared" si="21"/>
        <v>1</v>
      </c>
    </row>
    <row r="343" spans="2:15" s="28" customFormat="1" ht="16.5" customHeight="1">
      <c r="B343" s="20"/>
      <c r="C343" s="20"/>
      <c r="D343" s="254"/>
      <c r="E343" s="379">
        <v>139138</v>
      </c>
      <c r="F343" s="395" t="s">
        <v>617</v>
      </c>
      <c r="G343" s="396"/>
      <c r="H343" s="397"/>
      <c r="I343" s="383">
        <v>740000</v>
      </c>
      <c r="J343" s="398">
        <v>139138</v>
      </c>
      <c r="K343" s="399" t="s">
        <v>71</v>
      </c>
      <c r="L343" s="399" t="s">
        <v>34</v>
      </c>
      <c r="M343" s="399">
        <v>200</v>
      </c>
      <c r="N343" s="356">
        <v>740000</v>
      </c>
      <c r="O343" s="28" t="b">
        <f t="shared" si="21"/>
        <v>1</v>
      </c>
    </row>
    <row r="344" spans="2:15" s="28" customFormat="1" ht="16.5" customHeight="1">
      <c r="B344" s="20"/>
      <c r="C344" s="20"/>
      <c r="D344" s="254"/>
      <c r="E344" s="379">
        <v>139139</v>
      </c>
      <c r="F344" s="395" t="s">
        <v>247</v>
      </c>
      <c r="G344" s="396"/>
      <c r="H344" s="397"/>
      <c r="I344" s="383">
        <v>80900</v>
      </c>
      <c r="J344" s="398">
        <v>139139</v>
      </c>
      <c r="K344" s="399" t="s">
        <v>70</v>
      </c>
      <c r="L344" s="399" t="s">
        <v>34</v>
      </c>
      <c r="M344" s="399">
        <v>20</v>
      </c>
      <c r="N344" s="356">
        <v>80900</v>
      </c>
      <c r="O344" s="28" t="b">
        <f t="shared" si="21"/>
        <v>1</v>
      </c>
    </row>
    <row r="345" spans="2:15" s="28" customFormat="1" ht="16.5" customHeight="1">
      <c r="B345" s="20"/>
      <c r="C345" s="20"/>
      <c r="D345" s="254"/>
      <c r="E345" s="379">
        <v>139140</v>
      </c>
      <c r="F345" s="395" t="s">
        <v>618</v>
      </c>
      <c r="G345" s="396"/>
      <c r="H345" s="397"/>
      <c r="I345" s="383">
        <v>750000</v>
      </c>
      <c r="J345" s="398">
        <v>139140</v>
      </c>
      <c r="K345" s="399" t="s">
        <v>71</v>
      </c>
      <c r="L345" s="399" t="s">
        <v>34</v>
      </c>
      <c r="M345" s="399">
        <v>200</v>
      </c>
      <c r="N345" s="356">
        <v>750000</v>
      </c>
      <c r="O345" s="28" t="b">
        <f t="shared" si="21"/>
        <v>1</v>
      </c>
    </row>
    <row r="346" spans="2:15" s="28" customFormat="1" ht="16.5" customHeight="1">
      <c r="B346" s="20"/>
      <c r="C346" s="20"/>
      <c r="D346" s="254"/>
      <c r="E346" s="379">
        <v>139141</v>
      </c>
      <c r="F346" s="395" t="s">
        <v>345</v>
      </c>
      <c r="G346" s="396"/>
      <c r="H346" s="397"/>
      <c r="I346" s="383">
        <v>87100</v>
      </c>
      <c r="J346" s="398">
        <v>139141</v>
      </c>
      <c r="K346" s="399" t="s">
        <v>70</v>
      </c>
      <c r="L346" s="399" t="s">
        <v>34</v>
      </c>
      <c r="M346" s="399">
        <v>20</v>
      </c>
      <c r="N346" s="356">
        <v>87100</v>
      </c>
      <c r="O346" s="28" t="b">
        <f t="shared" ref="O346:O409" si="22">I346=N346</f>
        <v>1</v>
      </c>
    </row>
    <row r="347" spans="2:15" s="28" customFormat="1" ht="16.5" customHeight="1">
      <c r="B347" s="20"/>
      <c r="C347" s="20"/>
      <c r="D347" s="254"/>
      <c r="E347" s="379">
        <v>139142</v>
      </c>
      <c r="F347" s="395" t="s">
        <v>619</v>
      </c>
      <c r="G347" s="396"/>
      <c r="H347" s="397"/>
      <c r="I347" s="383">
        <v>423000</v>
      </c>
      <c r="J347" s="398">
        <v>139142</v>
      </c>
      <c r="K347" s="399" t="s">
        <v>71</v>
      </c>
      <c r="L347" s="399" t="s">
        <v>34</v>
      </c>
      <c r="M347" s="399">
        <v>200</v>
      </c>
      <c r="N347" s="356">
        <v>423000</v>
      </c>
      <c r="O347" s="28" t="b">
        <f t="shared" si="22"/>
        <v>1</v>
      </c>
    </row>
    <row r="348" spans="2:15" s="28" customFormat="1" ht="16.5" customHeight="1">
      <c r="B348" s="20"/>
      <c r="C348" s="20"/>
      <c r="D348" s="254"/>
      <c r="E348" s="379">
        <v>139143</v>
      </c>
      <c r="F348" s="395" t="s">
        <v>248</v>
      </c>
      <c r="G348" s="396"/>
      <c r="H348" s="397"/>
      <c r="I348" s="383">
        <v>44000</v>
      </c>
      <c r="J348" s="398">
        <v>139143</v>
      </c>
      <c r="K348" s="399" t="s">
        <v>70</v>
      </c>
      <c r="L348" s="399" t="s">
        <v>34</v>
      </c>
      <c r="M348" s="399">
        <v>20</v>
      </c>
      <c r="N348" s="356">
        <v>44000</v>
      </c>
      <c r="O348" s="28" t="b">
        <f t="shared" si="22"/>
        <v>1</v>
      </c>
    </row>
    <row r="349" spans="2:15" s="28" customFormat="1" ht="16.5" customHeight="1">
      <c r="B349" s="20"/>
      <c r="C349" s="20"/>
      <c r="D349" s="254"/>
      <c r="E349" s="379">
        <v>139144</v>
      </c>
      <c r="F349" s="395" t="s">
        <v>620</v>
      </c>
      <c r="G349" s="396"/>
      <c r="H349" s="397"/>
      <c r="I349" s="383">
        <v>423000</v>
      </c>
      <c r="J349" s="398">
        <v>139144</v>
      </c>
      <c r="K349" s="399" t="s">
        <v>71</v>
      </c>
      <c r="L349" s="399" t="s">
        <v>34</v>
      </c>
      <c r="M349" s="399">
        <v>200</v>
      </c>
      <c r="N349" s="356">
        <v>423000</v>
      </c>
      <c r="O349" s="28" t="b">
        <f t="shared" si="22"/>
        <v>1</v>
      </c>
    </row>
    <row r="350" spans="2:15" s="28" customFormat="1" ht="16.5" customHeight="1">
      <c r="B350" s="20"/>
      <c r="C350" s="20"/>
      <c r="D350" s="254"/>
      <c r="E350" s="379">
        <v>139145</v>
      </c>
      <c r="F350" s="395" t="s">
        <v>228</v>
      </c>
      <c r="G350" s="396"/>
      <c r="H350" s="397"/>
      <c r="I350" s="383">
        <v>44000</v>
      </c>
      <c r="J350" s="398">
        <v>139145</v>
      </c>
      <c r="K350" s="399" t="s">
        <v>70</v>
      </c>
      <c r="L350" s="399" t="s">
        <v>34</v>
      </c>
      <c r="M350" s="399">
        <v>20</v>
      </c>
      <c r="N350" s="356">
        <v>44000</v>
      </c>
      <c r="O350" s="28" t="b">
        <f t="shared" si="22"/>
        <v>1</v>
      </c>
    </row>
    <row r="351" spans="2:15" s="28" customFormat="1" ht="16.5" customHeight="1">
      <c r="B351" s="20"/>
      <c r="C351" s="20"/>
      <c r="D351" s="254"/>
      <c r="E351" s="379">
        <v>139146</v>
      </c>
      <c r="F351" s="395" t="s">
        <v>621</v>
      </c>
      <c r="G351" s="396"/>
      <c r="H351" s="397"/>
      <c r="I351" s="383">
        <v>455000</v>
      </c>
      <c r="J351" s="398">
        <v>139146</v>
      </c>
      <c r="K351" s="399" t="s">
        <v>71</v>
      </c>
      <c r="L351" s="399" t="s">
        <v>34</v>
      </c>
      <c r="M351" s="399">
        <v>200</v>
      </c>
      <c r="N351" s="356">
        <v>455000</v>
      </c>
      <c r="O351" s="28" t="b">
        <f t="shared" si="22"/>
        <v>1</v>
      </c>
    </row>
    <row r="352" spans="2:15" s="28" customFormat="1" ht="16.5" customHeight="1">
      <c r="B352" s="20"/>
      <c r="C352" s="20"/>
      <c r="D352" s="254"/>
      <c r="E352" s="379">
        <v>139147</v>
      </c>
      <c r="F352" s="395" t="s">
        <v>622</v>
      </c>
      <c r="G352" s="396"/>
      <c r="H352" s="397"/>
      <c r="I352" s="383">
        <v>475000</v>
      </c>
      <c r="J352" s="398">
        <v>139147</v>
      </c>
      <c r="K352" s="399" t="s">
        <v>71</v>
      </c>
      <c r="L352" s="399" t="s">
        <v>34</v>
      </c>
      <c r="M352" s="399">
        <v>200</v>
      </c>
      <c r="N352" s="356">
        <v>475000</v>
      </c>
      <c r="O352" s="28" t="b">
        <f t="shared" si="22"/>
        <v>1</v>
      </c>
    </row>
    <row r="353" spans="2:15" s="28" customFormat="1" ht="16.5" customHeight="1">
      <c r="B353" s="20"/>
      <c r="C353" s="20"/>
      <c r="D353" s="254"/>
      <c r="E353" s="379">
        <v>139148</v>
      </c>
      <c r="F353" s="395" t="s">
        <v>346</v>
      </c>
      <c r="G353" s="396"/>
      <c r="H353" s="397"/>
      <c r="I353" s="383">
        <v>50600</v>
      </c>
      <c r="J353" s="398">
        <v>139148</v>
      </c>
      <c r="K353" s="399" t="s">
        <v>70</v>
      </c>
      <c r="L353" s="399" t="s">
        <v>34</v>
      </c>
      <c r="M353" s="399">
        <v>20</v>
      </c>
      <c r="N353" s="356">
        <v>50600</v>
      </c>
      <c r="O353" s="28" t="b">
        <f t="shared" si="22"/>
        <v>1</v>
      </c>
    </row>
    <row r="354" spans="2:15" s="28" customFormat="1" ht="16.5" customHeight="1">
      <c r="B354" s="20"/>
      <c r="C354" s="20"/>
      <c r="D354" s="254"/>
      <c r="E354" s="379">
        <v>139149</v>
      </c>
      <c r="F354" s="395" t="s">
        <v>623</v>
      </c>
      <c r="G354" s="396"/>
      <c r="H354" s="397"/>
      <c r="I354" s="383">
        <v>539000</v>
      </c>
      <c r="J354" s="398">
        <v>139149</v>
      </c>
      <c r="K354" s="399" t="s">
        <v>71</v>
      </c>
      <c r="L354" s="399" t="s">
        <v>34</v>
      </c>
      <c r="M354" s="399">
        <v>200</v>
      </c>
      <c r="N354" s="356">
        <v>539000</v>
      </c>
      <c r="O354" s="28" t="b">
        <f t="shared" si="22"/>
        <v>1</v>
      </c>
    </row>
    <row r="355" spans="2:15" s="28" customFormat="1" ht="16.5" customHeight="1">
      <c r="B355" s="20"/>
      <c r="C355" s="20"/>
      <c r="D355" s="254"/>
      <c r="E355" s="379">
        <v>139150</v>
      </c>
      <c r="F355" s="395" t="s">
        <v>249</v>
      </c>
      <c r="G355" s="396"/>
      <c r="H355" s="397"/>
      <c r="I355" s="383">
        <v>56700</v>
      </c>
      <c r="J355" s="398">
        <v>139150</v>
      </c>
      <c r="K355" s="399" t="s">
        <v>70</v>
      </c>
      <c r="L355" s="399" t="s">
        <v>34</v>
      </c>
      <c r="M355" s="399">
        <v>20</v>
      </c>
      <c r="N355" s="356">
        <v>56700</v>
      </c>
      <c r="O355" s="28" t="b">
        <f t="shared" si="22"/>
        <v>1</v>
      </c>
    </row>
    <row r="356" spans="2:15" s="28" customFormat="1" ht="16.5" customHeight="1">
      <c r="B356" s="20"/>
      <c r="C356" s="20"/>
      <c r="D356" s="254"/>
      <c r="E356" s="379">
        <v>139151</v>
      </c>
      <c r="F356" s="395" t="s">
        <v>624</v>
      </c>
      <c r="G356" s="396"/>
      <c r="H356" s="397"/>
      <c r="I356" s="383">
        <v>539000</v>
      </c>
      <c r="J356" s="398">
        <v>139151</v>
      </c>
      <c r="K356" s="399" t="s">
        <v>71</v>
      </c>
      <c r="L356" s="399" t="s">
        <v>34</v>
      </c>
      <c r="M356" s="399">
        <v>200</v>
      </c>
      <c r="N356" s="356">
        <v>539000</v>
      </c>
      <c r="O356" s="28" t="b">
        <f t="shared" si="22"/>
        <v>1</v>
      </c>
    </row>
    <row r="357" spans="2:15" s="28" customFormat="1" ht="16.5" customHeight="1">
      <c r="B357" s="20"/>
      <c r="C357" s="20"/>
      <c r="D357" s="254"/>
      <c r="E357" s="379">
        <v>139152</v>
      </c>
      <c r="F357" s="395" t="s">
        <v>250</v>
      </c>
      <c r="G357" s="396"/>
      <c r="H357" s="397"/>
      <c r="I357" s="383">
        <v>56700</v>
      </c>
      <c r="J357" s="398">
        <v>139152</v>
      </c>
      <c r="K357" s="399" t="s">
        <v>70</v>
      </c>
      <c r="L357" s="399" t="s">
        <v>34</v>
      </c>
      <c r="M357" s="399">
        <v>20</v>
      </c>
      <c r="N357" s="356">
        <v>56700</v>
      </c>
      <c r="O357" s="28" t="b">
        <f t="shared" si="22"/>
        <v>1</v>
      </c>
    </row>
    <row r="358" spans="2:15" s="28" customFormat="1" ht="16.5" customHeight="1">
      <c r="B358" s="20"/>
      <c r="C358" s="20"/>
      <c r="D358" s="254"/>
      <c r="E358" s="379">
        <v>139153</v>
      </c>
      <c r="F358" s="395" t="s">
        <v>625</v>
      </c>
      <c r="G358" s="396"/>
      <c r="H358" s="397"/>
      <c r="I358" s="383">
        <v>580000</v>
      </c>
      <c r="J358" s="398">
        <v>139153</v>
      </c>
      <c r="K358" s="399" t="s">
        <v>71</v>
      </c>
      <c r="L358" s="399" t="s">
        <v>34</v>
      </c>
      <c r="M358" s="399">
        <v>200</v>
      </c>
      <c r="N358" s="356">
        <v>580000</v>
      </c>
      <c r="O358" s="28" t="b">
        <f t="shared" si="22"/>
        <v>1</v>
      </c>
    </row>
    <row r="359" spans="2:15" s="28" customFormat="1" ht="16.5" customHeight="1">
      <c r="B359" s="20"/>
      <c r="C359" s="20"/>
      <c r="D359" s="254"/>
      <c r="E359" s="379">
        <v>139154</v>
      </c>
      <c r="F359" s="395" t="s">
        <v>251</v>
      </c>
      <c r="G359" s="396"/>
      <c r="H359" s="397"/>
      <c r="I359" s="383">
        <v>60600</v>
      </c>
      <c r="J359" s="398">
        <v>139154</v>
      </c>
      <c r="K359" s="399" t="s">
        <v>70</v>
      </c>
      <c r="L359" s="399" t="s">
        <v>34</v>
      </c>
      <c r="M359" s="399">
        <v>20</v>
      </c>
      <c r="N359" s="356">
        <v>60600</v>
      </c>
      <c r="O359" s="28" t="b">
        <f t="shared" si="22"/>
        <v>1</v>
      </c>
    </row>
    <row r="360" spans="2:15" s="28" customFormat="1" ht="16.5" customHeight="1">
      <c r="B360" s="20"/>
      <c r="C360" s="20"/>
      <c r="D360" s="254"/>
      <c r="E360" s="379">
        <v>139155</v>
      </c>
      <c r="F360" s="395" t="s">
        <v>626</v>
      </c>
      <c r="G360" s="396"/>
      <c r="H360" s="397"/>
      <c r="I360" s="383">
        <v>610000</v>
      </c>
      <c r="J360" s="398">
        <v>139155</v>
      </c>
      <c r="K360" s="399" t="s">
        <v>71</v>
      </c>
      <c r="L360" s="399" t="s">
        <v>34</v>
      </c>
      <c r="M360" s="399">
        <v>200</v>
      </c>
      <c r="N360" s="356">
        <v>610000</v>
      </c>
      <c r="O360" s="28" t="b">
        <f t="shared" si="22"/>
        <v>1</v>
      </c>
    </row>
    <row r="361" spans="2:15" s="28" customFormat="1" ht="16.5" customHeight="1">
      <c r="B361" s="20"/>
      <c r="C361" s="20"/>
      <c r="D361" s="254"/>
      <c r="E361" s="379">
        <v>139156</v>
      </c>
      <c r="F361" s="395" t="s">
        <v>252</v>
      </c>
      <c r="G361" s="396"/>
      <c r="H361" s="397"/>
      <c r="I361" s="383">
        <v>64600</v>
      </c>
      <c r="J361" s="398">
        <v>139156</v>
      </c>
      <c r="K361" s="399" t="s">
        <v>70</v>
      </c>
      <c r="L361" s="399" t="s">
        <v>34</v>
      </c>
      <c r="M361" s="399">
        <v>20</v>
      </c>
      <c r="N361" s="356">
        <v>64600</v>
      </c>
      <c r="O361" s="28" t="b">
        <f t="shared" si="22"/>
        <v>1</v>
      </c>
    </row>
    <row r="362" spans="2:15" s="28" customFormat="1" ht="16.5" customHeight="1">
      <c r="B362" s="20"/>
      <c r="C362" s="20"/>
      <c r="D362" s="254"/>
      <c r="E362" s="379">
        <v>139158</v>
      </c>
      <c r="F362" s="395" t="s">
        <v>627</v>
      </c>
      <c r="G362" s="396"/>
      <c r="H362" s="397"/>
      <c r="I362" s="383">
        <v>636000</v>
      </c>
      <c r="J362" s="398">
        <v>139158</v>
      </c>
      <c r="K362" s="399" t="s">
        <v>71</v>
      </c>
      <c r="L362" s="399" t="s">
        <v>34</v>
      </c>
      <c r="M362" s="399">
        <v>200</v>
      </c>
      <c r="N362" s="356">
        <v>636000</v>
      </c>
      <c r="O362" s="28" t="b">
        <f t="shared" si="22"/>
        <v>1</v>
      </c>
    </row>
    <row r="363" spans="2:15" s="28" customFormat="1" ht="16.5" customHeight="1">
      <c r="B363" s="20"/>
      <c r="C363" s="20"/>
      <c r="D363" s="254"/>
      <c r="E363" s="379">
        <v>139160</v>
      </c>
      <c r="F363" s="395" t="s">
        <v>628</v>
      </c>
      <c r="G363" s="396"/>
      <c r="H363" s="397"/>
      <c r="I363" s="383">
        <v>683000</v>
      </c>
      <c r="J363" s="398">
        <v>139160</v>
      </c>
      <c r="K363" s="399" t="s">
        <v>71</v>
      </c>
      <c r="L363" s="399" t="s">
        <v>34</v>
      </c>
      <c r="M363" s="399">
        <v>200</v>
      </c>
      <c r="N363" s="356">
        <v>683000</v>
      </c>
      <c r="O363" s="28" t="b">
        <f t="shared" si="22"/>
        <v>1</v>
      </c>
    </row>
    <row r="364" spans="2:15" s="28" customFormat="1" ht="16.5" customHeight="1">
      <c r="B364" s="20"/>
      <c r="C364" s="20"/>
      <c r="D364" s="254"/>
      <c r="E364" s="379">
        <v>139161</v>
      </c>
      <c r="F364" s="395" t="s">
        <v>347</v>
      </c>
      <c r="G364" s="396"/>
      <c r="H364" s="397"/>
      <c r="I364" s="383">
        <v>80500</v>
      </c>
      <c r="J364" s="398">
        <v>139161</v>
      </c>
      <c r="K364" s="399" t="s">
        <v>70</v>
      </c>
      <c r="L364" s="399" t="s">
        <v>34</v>
      </c>
      <c r="M364" s="399">
        <v>20</v>
      </c>
      <c r="N364" s="356">
        <v>80500</v>
      </c>
      <c r="O364" s="28" t="b">
        <f t="shared" si="22"/>
        <v>1</v>
      </c>
    </row>
    <row r="365" spans="2:15" s="28" customFormat="1" ht="16.5" customHeight="1">
      <c r="B365" s="20"/>
      <c r="C365" s="20"/>
      <c r="D365" s="254"/>
      <c r="E365" s="379">
        <v>139163</v>
      </c>
      <c r="F365" s="395" t="s">
        <v>629</v>
      </c>
      <c r="G365" s="396"/>
      <c r="H365" s="397"/>
      <c r="I365" s="383">
        <v>763000</v>
      </c>
      <c r="J365" s="398">
        <v>139163</v>
      </c>
      <c r="K365" s="399" t="s">
        <v>71</v>
      </c>
      <c r="L365" s="399" t="s">
        <v>34</v>
      </c>
      <c r="M365" s="399">
        <v>200</v>
      </c>
      <c r="N365" s="356">
        <v>763000</v>
      </c>
      <c r="O365" s="28" t="b">
        <f t="shared" si="22"/>
        <v>1</v>
      </c>
    </row>
    <row r="366" spans="2:15" s="28" customFormat="1" ht="16.5" customHeight="1">
      <c r="B366" s="20"/>
      <c r="C366" s="20"/>
      <c r="D366" s="254"/>
      <c r="E366" s="379">
        <v>139164</v>
      </c>
      <c r="F366" s="395" t="s">
        <v>348</v>
      </c>
      <c r="G366" s="396"/>
      <c r="H366" s="397"/>
      <c r="I366" s="383">
        <v>80500</v>
      </c>
      <c r="J366" s="398">
        <v>139164</v>
      </c>
      <c r="K366" s="399" t="s">
        <v>70</v>
      </c>
      <c r="L366" s="399" t="s">
        <v>34</v>
      </c>
      <c r="M366" s="399">
        <v>20</v>
      </c>
      <c r="N366" s="356">
        <v>80500</v>
      </c>
      <c r="O366" s="28" t="b">
        <f t="shared" si="22"/>
        <v>1</v>
      </c>
    </row>
    <row r="367" spans="2:15" s="28" customFormat="1" ht="16.5" customHeight="1">
      <c r="B367" s="20"/>
      <c r="C367" s="20"/>
      <c r="D367" s="254"/>
      <c r="E367" s="379">
        <v>139167</v>
      </c>
      <c r="F367" s="395" t="s">
        <v>630</v>
      </c>
      <c r="G367" s="396"/>
      <c r="H367" s="397"/>
      <c r="I367" s="383">
        <v>499000</v>
      </c>
      <c r="J367" s="398">
        <v>139167</v>
      </c>
      <c r="K367" s="399" t="s">
        <v>71</v>
      </c>
      <c r="L367" s="399" t="s">
        <v>34</v>
      </c>
      <c r="M367" s="399">
        <v>200</v>
      </c>
      <c r="N367" s="356">
        <v>499000</v>
      </c>
      <c r="O367" s="28" t="b">
        <f t="shared" si="22"/>
        <v>1</v>
      </c>
    </row>
    <row r="368" spans="2:15" s="28" customFormat="1" ht="16.5" customHeight="1">
      <c r="B368" s="20"/>
      <c r="C368" s="20"/>
      <c r="D368" s="254"/>
      <c r="E368" s="379">
        <v>140145</v>
      </c>
      <c r="F368" s="395" t="s">
        <v>46</v>
      </c>
      <c r="G368" s="396"/>
      <c r="H368" s="397"/>
      <c r="I368" s="383">
        <v>183000</v>
      </c>
      <c r="J368" s="398">
        <v>140145</v>
      </c>
      <c r="K368" s="399" t="s">
        <v>70</v>
      </c>
      <c r="L368" s="399" t="s">
        <v>34</v>
      </c>
      <c r="M368" s="399">
        <v>16</v>
      </c>
      <c r="N368" s="356">
        <v>183000</v>
      </c>
      <c r="O368" s="28" t="b">
        <f t="shared" si="22"/>
        <v>1</v>
      </c>
    </row>
    <row r="369" spans="2:15" s="28" customFormat="1" ht="16.5" customHeight="1">
      <c r="B369" s="20"/>
      <c r="C369" s="20"/>
      <c r="D369" s="254"/>
      <c r="E369" s="379">
        <v>139600</v>
      </c>
      <c r="F369" s="395" t="s">
        <v>767</v>
      </c>
      <c r="G369" s="396"/>
      <c r="H369" s="397"/>
      <c r="I369" s="383">
        <v>482000</v>
      </c>
      <c r="J369" s="398">
        <v>139600</v>
      </c>
      <c r="K369" s="399" t="s">
        <v>70</v>
      </c>
      <c r="L369" s="399" t="s">
        <v>34</v>
      </c>
      <c r="M369" s="399">
        <v>20</v>
      </c>
      <c r="N369" s="356">
        <v>482000</v>
      </c>
      <c r="O369" s="28" t="b">
        <f t="shared" si="22"/>
        <v>1</v>
      </c>
    </row>
    <row r="370" spans="2:15" s="28" customFormat="1" ht="16.5" customHeight="1">
      <c r="B370" s="20"/>
      <c r="C370" s="20"/>
      <c r="D370" s="254"/>
      <c r="E370" s="379">
        <v>139639</v>
      </c>
      <c r="F370" s="395" t="s">
        <v>353</v>
      </c>
      <c r="G370" s="396"/>
      <c r="H370" s="397"/>
      <c r="I370" s="383">
        <v>94100</v>
      </c>
      <c r="J370" s="398">
        <v>139639</v>
      </c>
      <c r="K370" s="399" t="s">
        <v>70</v>
      </c>
      <c r="L370" s="399" t="s">
        <v>34</v>
      </c>
      <c r="M370" s="399">
        <v>20</v>
      </c>
      <c r="N370" s="356">
        <v>94100</v>
      </c>
      <c r="O370" s="28" t="b">
        <f t="shared" si="22"/>
        <v>1</v>
      </c>
    </row>
    <row r="371" spans="2:15" s="28" customFormat="1" ht="16.5" customHeight="1">
      <c r="B371" s="20"/>
      <c r="C371" s="20"/>
      <c r="D371" s="254"/>
      <c r="E371" s="379">
        <v>139643</v>
      </c>
      <c r="F371" s="395" t="s">
        <v>354</v>
      </c>
      <c r="G371" s="396"/>
      <c r="H371" s="397"/>
      <c r="I371" s="383">
        <v>79200</v>
      </c>
      <c r="J371" s="398">
        <v>139643</v>
      </c>
      <c r="K371" s="399" t="s">
        <v>70</v>
      </c>
      <c r="L371" s="399" t="s">
        <v>34</v>
      </c>
      <c r="M371" s="399">
        <v>20</v>
      </c>
      <c r="N371" s="356">
        <v>79200</v>
      </c>
      <c r="O371" s="28" t="b">
        <f t="shared" si="22"/>
        <v>1</v>
      </c>
    </row>
    <row r="372" spans="2:15" s="28" customFormat="1" ht="16.5" customHeight="1">
      <c r="B372" s="20"/>
      <c r="C372" s="20"/>
      <c r="D372" s="254"/>
      <c r="E372" s="379">
        <v>148679</v>
      </c>
      <c r="F372" s="395" t="s">
        <v>421</v>
      </c>
      <c r="G372" s="396"/>
      <c r="H372" s="397"/>
      <c r="I372" s="383">
        <v>645000</v>
      </c>
      <c r="J372" s="398">
        <v>148679</v>
      </c>
      <c r="K372" s="399" t="s">
        <v>71</v>
      </c>
      <c r="L372" s="399" t="s">
        <v>34</v>
      </c>
      <c r="M372" s="399">
        <v>208</v>
      </c>
      <c r="N372" s="356">
        <v>645000</v>
      </c>
      <c r="O372" s="28" t="b">
        <f t="shared" si="22"/>
        <v>1</v>
      </c>
    </row>
    <row r="373" spans="2:15" s="28" customFormat="1" ht="16.5" customHeight="1">
      <c r="B373" s="20"/>
      <c r="C373" s="20"/>
      <c r="D373" s="254"/>
      <c r="E373" s="379">
        <v>141825</v>
      </c>
      <c r="F373" s="395" t="s">
        <v>641</v>
      </c>
      <c r="G373" s="396"/>
      <c r="H373" s="397"/>
      <c r="I373" s="383">
        <v>2660000</v>
      </c>
      <c r="J373" s="398">
        <v>141825</v>
      </c>
      <c r="K373" s="399" t="s">
        <v>71</v>
      </c>
      <c r="L373" s="399" t="s">
        <v>34</v>
      </c>
      <c r="M373" s="399">
        <v>208</v>
      </c>
      <c r="N373" s="356">
        <v>2660000</v>
      </c>
      <c r="O373" s="28" t="b">
        <f t="shared" si="22"/>
        <v>1</v>
      </c>
    </row>
    <row r="374" spans="2:15" s="28" customFormat="1" ht="16.5" customHeight="1">
      <c r="B374" s="20"/>
      <c r="C374" s="20"/>
      <c r="D374" s="254"/>
      <c r="E374" s="379">
        <v>139819</v>
      </c>
      <c r="F374" s="395" t="s">
        <v>642</v>
      </c>
      <c r="G374" s="396"/>
      <c r="H374" s="397"/>
      <c r="I374" s="383">
        <v>2692000</v>
      </c>
      <c r="J374" s="398">
        <v>139819</v>
      </c>
      <c r="K374" s="399" t="s">
        <v>71</v>
      </c>
      <c r="L374" s="399" t="s">
        <v>34</v>
      </c>
      <c r="M374" s="399">
        <v>208</v>
      </c>
      <c r="N374" s="356">
        <v>2692000</v>
      </c>
      <c r="O374" s="28" t="b">
        <f t="shared" si="22"/>
        <v>1</v>
      </c>
    </row>
    <row r="375" spans="2:15" s="28" customFormat="1" ht="16.5" customHeight="1">
      <c r="B375" s="20"/>
      <c r="C375" s="20"/>
      <c r="D375" s="254"/>
      <c r="E375" s="379">
        <v>139821</v>
      </c>
      <c r="F375" s="395" t="s">
        <v>643</v>
      </c>
      <c r="G375" s="396"/>
      <c r="H375" s="397"/>
      <c r="I375" s="383">
        <v>3429000</v>
      </c>
      <c r="J375" s="398">
        <v>139821</v>
      </c>
      <c r="K375" s="399" t="s">
        <v>71</v>
      </c>
      <c r="L375" s="399" t="s">
        <v>34</v>
      </c>
      <c r="M375" s="399">
        <v>208</v>
      </c>
      <c r="N375" s="356">
        <v>3429000</v>
      </c>
      <c r="O375" s="28" t="b">
        <f t="shared" si="22"/>
        <v>1</v>
      </c>
    </row>
    <row r="376" spans="2:15" s="28" customFormat="1" ht="16.5" customHeight="1">
      <c r="B376" s="20"/>
      <c r="C376" s="20"/>
      <c r="D376" s="254"/>
      <c r="E376" s="379">
        <v>143919</v>
      </c>
      <c r="F376" s="395" t="s">
        <v>863</v>
      </c>
      <c r="G376" s="396"/>
      <c r="H376" s="397"/>
      <c r="I376" s="383">
        <v>64000</v>
      </c>
      <c r="J376" s="398">
        <v>143919</v>
      </c>
      <c r="K376" s="399" t="s">
        <v>73</v>
      </c>
      <c r="L376" s="399" t="s">
        <v>34</v>
      </c>
      <c r="M376" s="399">
        <v>4.68</v>
      </c>
      <c r="N376" s="356">
        <v>64000</v>
      </c>
      <c r="O376" s="28" t="b">
        <f t="shared" si="22"/>
        <v>1</v>
      </c>
    </row>
    <row r="377" spans="2:15" s="28" customFormat="1" ht="16.5" customHeight="1">
      <c r="B377" s="20"/>
      <c r="C377" s="20"/>
      <c r="D377" s="254"/>
      <c r="E377" s="379">
        <v>141840</v>
      </c>
      <c r="F377" s="395" t="s">
        <v>358</v>
      </c>
      <c r="G377" s="396"/>
      <c r="H377" s="397"/>
      <c r="I377" s="383">
        <v>270000</v>
      </c>
      <c r="J377" s="398">
        <v>141840</v>
      </c>
      <c r="K377" s="399" t="s">
        <v>70</v>
      </c>
      <c r="L377" s="399" t="s">
        <v>34</v>
      </c>
      <c r="M377" s="399">
        <v>20</v>
      </c>
      <c r="N377" s="356">
        <v>270000</v>
      </c>
      <c r="O377" s="28" t="b">
        <f t="shared" si="22"/>
        <v>1</v>
      </c>
    </row>
    <row r="378" spans="2:15" s="28" customFormat="1" ht="16.5" customHeight="1">
      <c r="B378" s="20"/>
      <c r="C378" s="20"/>
      <c r="D378" s="254"/>
      <c r="E378" s="379">
        <v>139962</v>
      </c>
      <c r="F378" s="395" t="s">
        <v>359</v>
      </c>
      <c r="G378" s="396"/>
      <c r="H378" s="397"/>
      <c r="I378" s="383">
        <v>255000</v>
      </c>
      <c r="J378" s="398">
        <v>139962</v>
      </c>
      <c r="K378" s="399" t="s">
        <v>70</v>
      </c>
      <c r="L378" s="399" t="s">
        <v>34</v>
      </c>
      <c r="M378" s="399">
        <v>20</v>
      </c>
      <c r="N378" s="356">
        <v>255000</v>
      </c>
      <c r="O378" s="28" t="b">
        <f t="shared" si="22"/>
        <v>1</v>
      </c>
    </row>
    <row r="379" spans="2:15" s="28" customFormat="1" ht="16.5" customHeight="1">
      <c r="B379" s="20"/>
      <c r="C379" s="20"/>
      <c r="D379" s="254"/>
      <c r="E379" s="379">
        <v>139963</v>
      </c>
      <c r="F379" s="395" t="s">
        <v>360</v>
      </c>
      <c r="G379" s="396"/>
      <c r="H379" s="397"/>
      <c r="I379" s="383">
        <v>271000</v>
      </c>
      <c r="J379" s="398">
        <v>139963</v>
      </c>
      <c r="K379" s="399" t="s">
        <v>70</v>
      </c>
      <c r="L379" s="399" t="s">
        <v>34</v>
      </c>
      <c r="M379" s="399">
        <v>20</v>
      </c>
      <c r="N379" s="356">
        <v>271000</v>
      </c>
      <c r="O379" s="28" t="b">
        <f t="shared" si="22"/>
        <v>1</v>
      </c>
    </row>
    <row r="380" spans="2:15" s="28" customFormat="1" ht="16.5" customHeight="1">
      <c r="B380" s="20"/>
      <c r="C380" s="20"/>
      <c r="D380" s="254"/>
      <c r="E380" s="379">
        <v>140058</v>
      </c>
      <c r="F380" s="395" t="s">
        <v>645</v>
      </c>
      <c r="G380" s="396"/>
      <c r="H380" s="397"/>
      <c r="I380" s="383">
        <v>520000</v>
      </c>
      <c r="J380" s="398">
        <v>140058</v>
      </c>
      <c r="K380" s="399" t="s">
        <v>71</v>
      </c>
      <c r="L380" s="399" t="s">
        <v>34</v>
      </c>
      <c r="M380" s="399">
        <v>200</v>
      </c>
      <c r="N380" s="356">
        <v>520000</v>
      </c>
      <c r="O380" s="28" t="b">
        <f t="shared" si="22"/>
        <v>1</v>
      </c>
    </row>
    <row r="381" spans="2:15" s="28" customFormat="1" ht="16.5" customHeight="1">
      <c r="B381" s="20"/>
      <c r="C381" s="20"/>
      <c r="D381" s="254"/>
      <c r="E381" s="379">
        <v>140059</v>
      </c>
      <c r="F381" s="395" t="s">
        <v>361</v>
      </c>
      <c r="G381" s="396"/>
      <c r="H381" s="397"/>
      <c r="I381" s="383">
        <v>54000</v>
      </c>
      <c r="J381" s="398">
        <v>140059</v>
      </c>
      <c r="K381" s="399" t="s">
        <v>70</v>
      </c>
      <c r="L381" s="399" t="s">
        <v>34</v>
      </c>
      <c r="M381" s="399">
        <v>20</v>
      </c>
      <c r="N381" s="356">
        <v>54000</v>
      </c>
      <c r="O381" s="28" t="b">
        <f t="shared" si="22"/>
        <v>1</v>
      </c>
    </row>
    <row r="382" spans="2:15" s="28" customFormat="1" ht="16.5" customHeight="1">
      <c r="B382" s="20"/>
      <c r="C382" s="20"/>
      <c r="D382" s="254"/>
      <c r="E382" s="379">
        <v>140107</v>
      </c>
      <c r="F382" s="395" t="s">
        <v>646</v>
      </c>
      <c r="G382" s="396"/>
      <c r="H382" s="397"/>
      <c r="I382" s="383">
        <v>3193000</v>
      </c>
      <c r="J382" s="398">
        <v>140107</v>
      </c>
      <c r="K382" s="399" t="s">
        <v>71</v>
      </c>
      <c r="L382" s="399" t="s">
        <v>34</v>
      </c>
      <c r="M382" s="399">
        <v>193.8</v>
      </c>
      <c r="N382" s="356">
        <v>3193000</v>
      </c>
      <c r="O382" s="28" t="b">
        <f t="shared" si="22"/>
        <v>1</v>
      </c>
    </row>
    <row r="383" spans="2:15" s="28" customFormat="1" ht="16.5" customHeight="1">
      <c r="B383" s="20"/>
      <c r="C383" s="20"/>
      <c r="D383" s="254"/>
      <c r="E383" s="379">
        <v>140108</v>
      </c>
      <c r="F383" s="395" t="s">
        <v>647</v>
      </c>
      <c r="G383" s="396"/>
      <c r="H383" s="397"/>
      <c r="I383" s="383">
        <v>3403000</v>
      </c>
      <c r="J383" s="398">
        <v>140108</v>
      </c>
      <c r="K383" s="399" t="s">
        <v>71</v>
      </c>
      <c r="L383" s="399" t="s">
        <v>34</v>
      </c>
      <c r="M383" s="399">
        <v>193.8</v>
      </c>
      <c r="N383" s="356">
        <v>3403000</v>
      </c>
      <c r="O383" s="28" t="b">
        <f t="shared" si="22"/>
        <v>1</v>
      </c>
    </row>
    <row r="384" spans="2:15" s="28" customFormat="1" ht="16.5" customHeight="1">
      <c r="B384" s="20"/>
      <c r="C384" s="20"/>
      <c r="D384" s="254"/>
      <c r="E384" s="379">
        <v>140109</v>
      </c>
      <c r="F384" s="395" t="s">
        <v>362</v>
      </c>
      <c r="G384" s="396"/>
      <c r="H384" s="397"/>
      <c r="I384" s="383">
        <v>320000</v>
      </c>
      <c r="J384" s="398">
        <v>140109</v>
      </c>
      <c r="K384" s="399" t="s">
        <v>70</v>
      </c>
      <c r="L384" s="399" t="s">
        <v>34</v>
      </c>
      <c r="M384" s="399">
        <v>17.457000000000001</v>
      </c>
      <c r="N384" s="356">
        <v>320000</v>
      </c>
      <c r="O384" s="28" t="b">
        <f t="shared" si="22"/>
        <v>1</v>
      </c>
    </row>
    <row r="385" spans="2:15" s="28" customFormat="1" ht="16.5" customHeight="1">
      <c r="B385" s="20"/>
      <c r="C385" s="20"/>
      <c r="D385" s="254"/>
      <c r="E385" s="379">
        <v>140110</v>
      </c>
      <c r="F385" s="395" t="s">
        <v>648</v>
      </c>
      <c r="G385" s="396"/>
      <c r="H385" s="397"/>
      <c r="I385" s="383">
        <v>3231000</v>
      </c>
      <c r="J385" s="398">
        <v>140110</v>
      </c>
      <c r="K385" s="399" t="s">
        <v>71</v>
      </c>
      <c r="L385" s="399" t="s">
        <v>34</v>
      </c>
      <c r="M385" s="399">
        <v>193.8</v>
      </c>
      <c r="N385" s="356">
        <v>3231000</v>
      </c>
      <c r="O385" s="28" t="b">
        <f t="shared" si="22"/>
        <v>1</v>
      </c>
    </row>
    <row r="386" spans="2:15" s="28" customFormat="1" ht="16.5" customHeight="1">
      <c r="B386" s="20"/>
      <c r="C386" s="20"/>
      <c r="D386" s="254"/>
      <c r="E386" s="379">
        <v>140111</v>
      </c>
      <c r="F386" s="395" t="s">
        <v>363</v>
      </c>
      <c r="G386" s="396"/>
      <c r="H386" s="397"/>
      <c r="I386" s="383">
        <v>326000</v>
      </c>
      <c r="J386" s="398">
        <v>140111</v>
      </c>
      <c r="K386" s="399" t="s">
        <v>70</v>
      </c>
      <c r="L386" s="399" t="s">
        <v>34</v>
      </c>
      <c r="M386" s="399">
        <v>17.329999999999998</v>
      </c>
      <c r="N386" s="356">
        <v>326000</v>
      </c>
      <c r="O386" s="28" t="b">
        <f t="shared" si="22"/>
        <v>1</v>
      </c>
    </row>
    <row r="387" spans="2:15" s="28" customFormat="1" ht="16.5" customHeight="1">
      <c r="B387" s="20"/>
      <c r="C387" s="20"/>
      <c r="D387" s="254"/>
      <c r="E387" s="379">
        <v>140112</v>
      </c>
      <c r="F387" s="395" t="s">
        <v>364</v>
      </c>
      <c r="G387" s="396"/>
      <c r="H387" s="397"/>
      <c r="I387" s="383">
        <v>340000</v>
      </c>
      <c r="J387" s="398">
        <v>140112</v>
      </c>
      <c r="K387" s="399" t="s">
        <v>70</v>
      </c>
      <c r="L387" s="399" t="s">
        <v>34</v>
      </c>
      <c r="M387" s="399">
        <v>17.329999999999998</v>
      </c>
      <c r="N387" s="356">
        <v>340000</v>
      </c>
      <c r="O387" s="28" t="b">
        <f t="shared" si="22"/>
        <v>1</v>
      </c>
    </row>
    <row r="388" spans="2:15" s="28" customFormat="1" ht="16.5" customHeight="1">
      <c r="B388" s="20"/>
      <c r="C388" s="20"/>
      <c r="D388" s="254"/>
      <c r="E388" s="379">
        <v>140139</v>
      </c>
      <c r="F388" s="395" t="s">
        <v>368</v>
      </c>
      <c r="G388" s="396"/>
      <c r="H388" s="397"/>
      <c r="I388" s="383">
        <v>140000</v>
      </c>
      <c r="J388" s="398">
        <v>140139</v>
      </c>
      <c r="K388" s="399" t="s">
        <v>70</v>
      </c>
      <c r="L388" s="399" t="s">
        <v>34</v>
      </c>
      <c r="M388" s="399">
        <v>16</v>
      </c>
      <c r="N388" s="356">
        <v>140000</v>
      </c>
      <c r="O388" s="28" t="b">
        <f t="shared" si="22"/>
        <v>1</v>
      </c>
    </row>
    <row r="389" spans="2:15" s="28" customFormat="1" ht="16.5" customHeight="1">
      <c r="B389" s="20"/>
      <c r="C389" s="20"/>
      <c r="D389" s="254"/>
      <c r="E389" s="379">
        <v>140140</v>
      </c>
      <c r="F389" s="395" t="s">
        <v>369</v>
      </c>
      <c r="G389" s="396"/>
      <c r="H389" s="397"/>
      <c r="I389" s="383">
        <v>120000</v>
      </c>
      <c r="J389" s="398">
        <v>140140</v>
      </c>
      <c r="K389" s="399" t="s">
        <v>70</v>
      </c>
      <c r="L389" s="399" t="s">
        <v>34</v>
      </c>
      <c r="M389" s="399">
        <v>16</v>
      </c>
      <c r="N389" s="356">
        <v>120000</v>
      </c>
      <c r="O389" s="28" t="b">
        <f t="shared" si="22"/>
        <v>1</v>
      </c>
    </row>
    <row r="390" spans="2:15" s="28" customFormat="1" ht="16.5" customHeight="1">
      <c r="B390" s="20"/>
      <c r="C390" s="20"/>
      <c r="D390" s="254"/>
      <c r="E390" s="379">
        <v>140141</v>
      </c>
      <c r="F390" s="395" t="s">
        <v>370</v>
      </c>
      <c r="G390" s="396"/>
      <c r="H390" s="397"/>
      <c r="I390" s="383">
        <v>188000</v>
      </c>
      <c r="J390" s="398">
        <v>140141</v>
      </c>
      <c r="K390" s="399" t="s">
        <v>70</v>
      </c>
      <c r="L390" s="399" t="s">
        <v>34</v>
      </c>
      <c r="M390" s="399">
        <v>16</v>
      </c>
      <c r="N390" s="356">
        <v>188000</v>
      </c>
      <c r="O390" s="28" t="b">
        <f t="shared" si="22"/>
        <v>1</v>
      </c>
    </row>
    <row r="391" spans="2:15" s="28" customFormat="1" ht="16.5" customHeight="1">
      <c r="B391" s="20"/>
      <c r="C391" s="20"/>
      <c r="D391" s="254"/>
      <c r="E391" s="379">
        <v>140142</v>
      </c>
      <c r="F391" s="395" t="s">
        <v>371</v>
      </c>
      <c r="G391" s="396"/>
      <c r="H391" s="397"/>
      <c r="I391" s="383">
        <v>130000</v>
      </c>
      <c r="J391" s="398">
        <v>140142</v>
      </c>
      <c r="K391" s="399" t="s">
        <v>70</v>
      </c>
      <c r="L391" s="399" t="s">
        <v>34</v>
      </c>
      <c r="M391" s="399">
        <v>16</v>
      </c>
      <c r="N391" s="356">
        <v>130000</v>
      </c>
      <c r="O391" s="28" t="b">
        <f t="shared" si="22"/>
        <v>1</v>
      </c>
    </row>
    <row r="392" spans="2:15" s="28" customFormat="1" ht="16.5" customHeight="1">
      <c r="B392" s="20"/>
      <c r="C392" s="20"/>
      <c r="D392" s="254"/>
      <c r="E392" s="379">
        <v>140143</v>
      </c>
      <c r="F392" s="395" t="s">
        <v>372</v>
      </c>
      <c r="G392" s="396"/>
      <c r="H392" s="397"/>
      <c r="I392" s="383">
        <v>203000</v>
      </c>
      <c r="J392" s="398">
        <v>140143</v>
      </c>
      <c r="K392" s="399" t="s">
        <v>70</v>
      </c>
      <c r="L392" s="399" t="s">
        <v>34</v>
      </c>
      <c r="M392" s="399">
        <v>16</v>
      </c>
      <c r="N392" s="356">
        <v>203000</v>
      </c>
      <c r="O392" s="28" t="b">
        <f t="shared" si="22"/>
        <v>1</v>
      </c>
    </row>
    <row r="393" spans="2:15" s="28" customFormat="1" ht="16.5" customHeight="1">
      <c r="B393" s="20"/>
      <c r="C393" s="20"/>
      <c r="D393" s="254"/>
      <c r="E393" s="379">
        <v>140148</v>
      </c>
      <c r="F393" s="395" t="s">
        <v>650</v>
      </c>
      <c r="G393" s="401"/>
      <c r="H393" s="402"/>
      <c r="I393" s="383">
        <v>1484000</v>
      </c>
      <c r="J393" s="398">
        <v>140148</v>
      </c>
      <c r="K393" s="399" t="s">
        <v>71</v>
      </c>
      <c r="L393" s="399" t="s">
        <v>34</v>
      </c>
      <c r="M393" s="399">
        <v>180</v>
      </c>
      <c r="N393" s="356">
        <v>1484000</v>
      </c>
      <c r="O393" s="28" t="b">
        <f t="shared" si="22"/>
        <v>1</v>
      </c>
    </row>
    <row r="394" spans="2:15" s="28" customFormat="1" ht="16.5" customHeight="1">
      <c r="B394" s="20"/>
      <c r="C394" s="20"/>
      <c r="D394" s="254"/>
      <c r="E394" s="379">
        <v>140149</v>
      </c>
      <c r="F394" s="395" t="s">
        <v>651</v>
      </c>
      <c r="G394" s="396"/>
      <c r="H394" s="397"/>
      <c r="I394" s="383">
        <v>1303000</v>
      </c>
      <c r="J394" s="398">
        <v>140149</v>
      </c>
      <c r="K394" s="399" t="s">
        <v>71</v>
      </c>
      <c r="L394" s="399" t="s">
        <v>34</v>
      </c>
      <c r="M394" s="399">
        <v>180</v>
      </c>
      <c r="N394" s="356">
        <v>1303000</v>
      </c>
      <c r="O394" s="28" t="b">
        <f t="shared" si="22"/>
        <v>1</v>
      </c>
    </row>
    <row r="395" spans="2:15" s="28" customFormat="1" ht="16.5" customHeight="1">
      <c r="B395" s="20"/>
      <c r="C395" s="20"/>
      <c r="D395" s="254"/>
      <c r="E395" s="379">
        <v>140150</v>
      </c>
      <c r="F395" s="395" t="s">
        <v>652</v>
      </c>
      <c r="G395" s="396"/>
      <c r="H395" s="397"/>
      <c r="I395" s="383">
        <v>1484000</v>
      </c>
      <c r="J395" s="398">
        <v>140150</v>
      </c>
      <c r="K395" s="399" t="s">
        <v>71</v>
      </c>
      <c r="L395" s="399" t="s">
        <v>34</v>
      </c>
      <c r="M395" s="399">
        <v>180</v>
      </c>
      <c r="N395" s="356">
        <v>1484000</v>
      </c>
      <c r="O395" s="28" t="b">
        <f t="shared" si="22"/>
        <v>1</v>
      </c>
    </row>
    <row r="396" spans="2:15" s="28" customFormat="1" ht="16.5" customHeight="1">
      <c r="B396" s="20"/>
      <c r="C396" s="20"/>
      <c r="D396" s="254"/>
      <c r="E396" s="379">
        <v>140151</v>
      </c>
      <c r="F396" s="395" t="s">
        <v>653</v>
      </c>
      <c r="G396" s="396"/>
      <c r="H396" s="397"/>
      <c r="I396" s="383">
        <v>1568000</v>
      </c>
      <c r="J396" s="398">
        <v>140151</v>
      </c>
      <c r="K396" s="399" t="s">
        <v>71</v>
      </c>
      <c r="L396" s="399" t="s">
        <v>34</v>
      </c>
      <c r="M396" s="399">
        <v>180</v>
      </c>
      <c r="N396" s="356">
        <v>1568000</v>
      </c>
      <c r="O396" s="28" t="b">
        <f t="shared" si="22"/>
        <v>1</v>
      </c>
    </row>
    <row r="397" spans="2:15" s="28" customFormat="1" ht="16.5" customHeight="1">
      <c r="B397" s="20"/>
      <c r="C397" s="20"/>
      <c r="D397" s="254"/>
      <c r="E397" s="379">
        <v>140152</v>
      </c>
      <c r="F397" s="395" t="s">
        <v>654</v>
      </c>
      <c r="G397" s="396"/>
      <c r="H397" s="397"/>
      <c r="I397" s="383">
        <v>2126000</v>
      </c>
      <c r="J397" s="398">
        <v>140152</v>
      </c>
      <c r="K397" s="399" t="s">
        <v>71</v>
      </c>
      <c r="L397" s="399" t="s">
        <v>34</v>
      </c>
      <c r="M397" s="399">
        <v>180</v>
      </c>
      <c r="N397" s="356">
        <v>2126000</v>
      </c>
      <c r="O397" s="28" t="b">
        <f t="shared" si="22"/>
        <v>1</v>
      </c>
    </row>
    <row r="398" spans="2:15" s="28" customFormat="1" ht="16.5" customHeight="1">
      <c r="B398" s="20"/>
      <c r="C398" s="20"/>
      <c r="D398" s="254"/>
      <c r="E398" s="379">
        <v>140153</v>
      </c>
      <c r="F398" s="395" t="s">
        <v>655</v>
      </c>
      <c r="G398" s="396"/>
      <c r="H398" s="397"/>
      <c r="I398" s="383">
        <v>2128000</v>
      </c>
      <c r="J398" s="398">
        <v>140153</v>
      </c>
      <c r="K398" s="399" t="s">
        <v>71</v>
      </c>
      <c r="L398" s="399" t="s">
        <v>34</v>
      </c>
      <c r="M398" s="399">
        <v>180</v>
      </c>
      <c r="N398" s="356">
        <v>2128000</v>
      </c>
      <c r="O398" s="28" t="b">
        <f t="shared" si="22"/>
        <v>1</v>
      </c>
    </row>
    <row r="399" spans="2:15" s="28" customFormat="1" ht="16.5" customHeight="1">
      <c r="B399" s="20"/>
      <c r="C399" s="20"/>
      <c r="D399" s="254"/>
      <c r="E399" s="379">
        <v>140154</v>
      </c>
      <c r="F399" s="395" t="s">
        <v>656</v>
      </c>
      <c r="G399" s="396"/>
      <c r="H399" s="397"/>
      <c r="I399" s="383" t="e">
        <v>#N/A</v>
      </c>
      <c r="J399" s="398">
        <v>140154</v>
      </c>
      <c r="K399" s="399" t="s">
        <v>71</v>
      </c>
      <c r="L399" s="399" t="s">
        <v>34</v>
      </c>
      <c r="M399" s="399">
        <v>180</v>
      </c>
      <c r="N399" s="356" t="e">
        <v>#N/A</v>
      </c>
      <c r="O399" s="28" t="e">
        <f t="shared" si="22"/>
        <v>#N/A</v>
      </c>
    </row>
    <row r="400" spans="2:15" s="28" customFormat="1" ht="16.5" customHeight="1">
      <c r="B400" s="20"/>
      <c r="C400" s="20"/>
      <c r="D400" s="254"/>
      <c r="E400" s="379">
        <v>140204</v>
      </c>
      <c r="F400" s="395" t="s">
        <v>379</v>
      </c>
      <c r="G400" s="396"/>
      <c r="H400" s="397"/>
      <c r="I400" s="383">
        <v>352000</v>
      </c>
      <c r="J400" s="398">
        <v>140204</v>
      </c>
      <c r="K400" s="399" t="s">
        <v>70</v>
      </c>
      <c r="L400" s="399" t="s">
        <v>34</v>
      </c>
      <c r="M400" s="399">
        <v>16</v>
      </c>
      <c r="N400" s="356">
        <v>352000</v>
      </c>
      <c r="O400" s="28" t="b">
        <f t="shared" si="22"/>
        <v>1</v>
      </c>
    </row>
    <row r="401" spans="2:15" s="28" customFormat="1" ht="16.5" customHeight="1">
      <c r="B401" s="20"/>
      <c r="C401" s="20"/>
      <c r="D401" s="254"/>
      <c r="E401" s="379">
        <v>140205</v>
      </c>
      <c r="F401" s="395" t="s">
        <v>380</v>
      </c>
      <c r="G401" s="401"/>
      <c r="H401" s="402"/>
      <c r="I401" s="383">
        <v>355000</v>
      </c>
      <c r="J401" s="398">
        <v>140205</v>
      </c>
      <c r="K401" s="399" t="s">
        <v>70</v>
      </c>
      <c r="L401" s="399" t="s">
        <v>34</v>
      </c>
      <c r="M401" s="399">
        <v>16</v>
      </c>
      <c r="N401" s="356">
        <v>355000</v>
      </c>
      <c r="O401" s="28" t="b">
        <f t="shared" si="22"/>
        <v>1</v>
      </c>
    </row>
    <row r="402" spans="2:15" s="28" customFormat="1" ht="16.5" customHeight="1">
      <c r="B402" s="20"/>
      <c r="C402" s="20"/>
      <c r="D402" s="254"/>
      <c r="E402" s="379">
        <v>140206</v>
      </c>
      <c r="F402" s="395" t="s">
        <v>659</v>
      </c>
      <c r="G402" s="396"/>
      <c r="H402" s="397"/>
      <c r="I402" s="383">
        <v>3685000</v>
      </c>
      <c r="J402" s="398">
        <v>140206</v>
      </c>
      <c r="K402" s="399" t="s">
        <v>71</v>
      </c>
      <c r="L402" s="399" t="s">
        <v>34</v>
      </c>
      <c r="M402" s="399">
        <v>174</v>
      </c>
      <c r="N402" s="356">
        <v>3685000</v>
      </c>
      <c r="O402" s="28" t="b">
        <f t="shared" si="22"/>
        <v>1</v>
      </c>
    </row>
    <row r="403" spans="2:15" s="28" customFormat="1" ht="16.5" customHeight="1">
      <c r="B403" s="20"/>
      <c r="C403" s="20"/>
      <c r="D403" s="254"/>
      <c r="E403" s="379">
        <v>140207</v>
      </c>
      <c r="F403" s="395" t="s">
        <v>660</v>
      </c>
      <c r="G403" s="396"/>
      <c r="H403" s="397"/>
      <c r="I403" s="383">
        <v>3777000</v>
      </c>
      <c r="J403" s="398">
        <v>140207</v>
      </c>
      <c r="K403" s="399" t="s">
        <v>71</v>
      </c>
      <c r="L403" s="399" t="s">
        <v>34</v>
      </c>
      <c r="M403" s="399">
        <v>174</v>
      </c>
      <c r="N403" s="356">
        <v>3777000</v>
      </c>
      <c r="O403" s="28" t="b">
        <f t="shared" si="22"/>
        <v>1</v>
      </c>
    </row>
    <row r="404" spans="2:15" s="28" customFormat="1" ht="16.5" customHeight="1">
      <c r="B404" s="20"/>
      <c r="C404" s="20"/>
      <c r="D404" s="254"/>
      <c r="E404" s="379">
        <v>140208</v>
      </c>
      <c r="F404" s="395" t="s">
        <v>661</v>
      </c>
      <c r="G404" s="396"/>
      <c r="H404" s="397"/>
      <c r="I404" s="383">
        <v>3689000</v>
      </c>
      <c r="J404" s="398">
        <v>140208</v>
      </c>
      <c r="K404" s="399" t="s">
        <v>71</v>
      </c>
      <c r="L404" s="399" t="s">
        <v>34</v>
      </c>
      <c r="M404" s="399">
        <v>174</v>
      </c>
      <c r="N404" s="356">
        <v>3689000</v>
      </c>
      <c r="O404" s="28" t="b">
        <f t="shared" si="22"/>
        <v>1</v>
      </c>
    </row>
    <row r="405" spans="2:15" s="28" customFormat="1" ht="16.5" customHeight="1">
      <c r="B405" s="20"/>
      <c r="C405" s="20"/>
      <c r="D405" s="254"/>
      <c r="E405" s="379">
        <v>140209</v>
      </c>
      <c r="F405" s="395" t="s">
        <v>662</v>
      </c>
      <c r="G405" s="396"/>
      <c r="H405" s="397"/>
      <c r="I405" s="383">
        <v>3730000</v>
      </c>
      <c r="J405" s="398">
        <v>140209</v>
      </c>
      <c r="K405" s="399" t="s">
        <v>71</v>
      </c>
      <c r="L405" s="399" t="s">
        <v>34</v>
      </c>
      <c r="M405" s="399">
        <v>174</v>
      </c>
      <c r="N405" s="356">
        <v>3730000</v>
      </c>
      <c r="O405" s="28" t="b">
        <f t="shared" si="22"/>
        <v>1</v>
      </c>
    </row>
    <row r="406" spans="2:15" s="28" customFormat="1" ht="16.5" customHeight="1">
      <c r="B406" s="20"/>
      <c r="C406" s="20"/>
      <c r="D406" s="254"/>
      <c r="E406" s="379">
        <v>140210</v>
      </c>
      <c r="F406" s="395" t="s">
        <v>663</v>
      </c>
      <c r="G406" s="396"/>
      <c r="H406" s="397"/>
      <c r="I406" s="383">
        <v>3687000</v>
      </c>
      <c r="J406" s="398">
        <v>140210</v>
      </c>
      <c r="K406" s="399" t="s">
        <v>71</v>
      </c>
      <c r="L406" s="399" t="s">
        <v>34</v>
      </c>
      <c r="M406" s="399">
        <v>174</v>
      </c>
      <c r="N406" s="356">
        <v>3687000</v>
      </c>
      <c r="O406" s="28" t="b">
        <f t="shared" si="22"/>
        <v>1</v>
      </c>
    </row>
    <row r="407" spans="2:15" s="28" customFormat="1" ht="16.5" customHeight="1">
      <c r="B407" s="20"/>
      <c r="C407" s="20"/>
      <c r="D407" s="254"/>
      <c r="E407" s="379">
        <v>140211</v>
      </c>
      <c r="F407" s="395" t="s">
        <v>664</v>
      </c>
      <c r="G407" s="396"/>
      <c r="H407" s="397"/>
      <c r="I407" s="383">
        <v>3730000</v>
      </c>
      <c r="J407" s="398">
        <v>140211</v>
      </c>
      <c r="K407" s="399" t="s">
        <v>71</v>
      </c>
      <c r="L407" s="399" t="s">
        <v>34</v>
      </c>
      <c r="M407" s="399">
        <v>174</v>
      </c>
      <c r="N407" s="356">
        <v>3730000</v>
      </c>
      <c r="O407" s="28" t="b">
        <f t="shared" si="22"/>
        <v>1</v>
      </c>
    </row>
    <row r="408" spans="2:15" s="28" customFormat="1" ht="16.5" customHeight="1">
      <c r="B408" s="20"/>
      <c r="C408" s="20"/>
      <c r="D408" s="254"/>
      <c r="E408" s="379">
        <v>140252</v>
      </c>
      <c r="F408" s="395" t="s">
        <v>381</v>
      </c>
      <c r="G408" s="396"/>
      <c r="H408" s="397"/>
      <c r="I408" s="383">
        <v>81000</v>
      </c>
      <c r="J408" s="398">
        <v>140252</v>
      </c>
      <c r="K408" s="399" t="s">
        <v>70</v>
      </c>
      <c r="L408" s="399" t="s">
        <v>34</v>
      </c>
      <c r="M408" s="399">
        <v>16</v>
      </c>
      <c r="N408" s="356">
        <v>81000</v>
      </c>
      <c r="O408" s="28" t="b">
        <f t="shared" si="22"/>
        <v>1</v>
      </c>
    </row>
    <row r="409" spans="2:15" s="28" customFormat="1" ht="16.5" customHeight="1">
      <c r="B409" s="20"/>
      <c r="C409" s="20"/>
      <c r="D409" s="254"/>
      <c r="E409" s="379">
        <v>140254</v>
      </c>
      <c r="F409" s="395" t="s">
        <v>382</v>
      </c>
      <c r="G409" s="396"/>
      <c r="H409" s="397"/>
      <c r="I409" s="383">
        <v>81000</v>
      </c>
      <c r="J409" s="398">
        <v>140254</v>
      </c>
      <c r="K409" s="399" t="s">
        <v>70</v>
      </c>
      <c r="L409" s="399" t="s">
        <v>34</v>
      </c>
      <c r="M409" s="399">
        <v>16</v>
      </c>
      <c r="N409" s="356">
        <v>81000</v>
      </c>
      <c r="O409" s="28" t="b">
        <f t="shared" si="22"/>
        <v>1</v>
      </c>
    </row>
    <row r="410" spans="2:15" s="28" customFormat="1" ht="16.5" customHeight="1">
      <c r="B410" s="20"/>
      <c r="C410" s="20"/>
      <c r="D410" s="254"/>
      <c r="E410" s="379">
        <v>140255</v>
      </c>
      <c r="F410" s="395" t="s">
        <v>383</v>
      </c>
      <c r="G410" s="396"/>
      <c r="H410" s="397"/>
      <c r="I410" s="383">
        <v>81000</v>
      </c>
      <c r="J410" s="398">
        <v>140255</v>
      </c>
      <c r="K410" s="399" t="s">
        <v>70</v>
      </c>
      <c r="L410" s="399" t="s">
        <v>34</v>
      </c>
      <c r="M410" s="399">
        <v>16</v>
      </c>
      <c r="N410" s="356">
        <v>81000</v>
      </c>
      <c r="O410" s="28" t="b">
        <f t="shared" ref="O410:O473" si="23">I410=N410</f>
        <v>1</v>
      </c>
    </row>
    <row r="411" spans="2:15" s="28" customFormat="1" ht="16.5" customHeight="1">
      <c r="B411" s="20"/>
      <c r="C411" s="20"/>
      <c r="D411" s="254"/>
      <c r="E411" s="379">
        <v>140256</v>
      </c>
      <c r="F411" s="395" t="s">
        <v>384</v>
      </c>
      <c r="G411" s="396"/>
      <c r="H411" s="397"/>
      <c r="I411" s="383">
        <v>81000</v>
      </c>
      <c r="J411" s="398">
        <v>140256</v>
      </c>
      <c r="K411" s="399" t="s">
        <v>70</v>
      </c>
      <c r="L411" s="399" t="s">
        <v>34</v>
      </c>
      <c r="M411" s="399">
        <v>16</v>
      </c>
      <c r="N411" s="356">
        <v>81000</v>
      </c>
      <c r="O411" s="28" t="b">
        <f t="shared" si="23"/>
        <v>1</v>
      </c>
    </row>
    <row r="412" spans="2:15" s="28" customFormat="1" ht="16.5" customHeight="1">
      <c r="B412" s="20"/>
      <c r="C412" s="20"/>
      <c r="D412" s="254"/>
      <c r="E412" s="379">
        <v>140257</v>
      </c>
      <c r="F412" s="395" t="s">
        <v>127</v>
      </c>
      <c r="G412" s="396"/>
      <c r="H412" s="397"/>
      <c r="I412" s="383">
        <v>728000</v>
      </c>
      <c r="J412" s="398">
        <v>140257</v>
      </c>
      <c r="K412" s="399" t="s">
        <v>71</v>
      </c>
      <c r="L412" s="399" t="s">
        <v>34</v>
      </c>
      <c r="M412" s="399">
        <v>180</v>
      </c>
      <c r="N412" s="356">
        <v>728000</v>
      </c>
      <c r="O412" s="28" t="b">
        <f t="shared" si="23"/>
        <v>1</v>
      </c>
    </row>
    <row r="413" spans="2:15" s="28" customFormat="1" ht="16.5" customHeight="1">
      <c r="B413" s="20"/>
      <c r="C413" s="20"/>
      <c r="D413" s="254"/>
      <c r="E413" s="379">
        <v>140259</v>
      </c>
      <c r="F413" s="395" t="s">
        <v>665</v>
      </c>
      <c r="G413" s="396"/>
      <c r="H413" s="397"/>
      <c r="I413" s="383">
        <v>728000</v>
      </c>
      <c r="J413" s="398">
        <v>140259</v>
      </c>
      <c r="K413" s="399" t="s">
        <v>71</v>
      </c>
      <c r="L413" s="399" t="s">
        <v>34</v>
      </c>
      <c r="M413" s="399">
        <v>180</v>
      </c>
      <c r="N413" s="356">
        <v>728000</v>
      </c>
      <c r="O413" s="28" t="b">
        <f t="shared" si="23"/>
        <v>1</v>
      </c>
    </row>
    <row r="414" spans="2:15" s="28" customFormat="1" ht="16.5" customHeight="1">
      <c r="B414" s="20"/>
      <c r="C414" s="20"/>
      <c r="D414" s="254"/>
      <c r="E414" s="379">
        <v>140260</v>
      </c>
      <c r="F414" s="395" t="s">
        <v>666</v>
      </c>
      <c r="G414" s="396"/>
      <c r="H414" s="397"/>
      <c r="I414" s="383">
        <v>728000</v>
      </c>
      <c r="J414" s="398">
        <v>140260</v>
      </c>
      <c r="K414" s="399" t="s">
        <v>71</v>
      </c>
      <c r="L414" s="399" t="s">
        <v>34</v>
      </c>
      <c r="M414" s="399">
        <v>180</v>
      </c>
      <c r="N414" s="356">
        <v>728000</v>
      </c>
      <c r="O414" s="28" t="b">
        <f t="shared" si="23"/>
        <v>1</v>
      </c>
    </row>
    <row r="415" spans="2:15" s="28" customFormat="1" ht="16.5" customHeight="1">
      <c r="B415" s="20"/>
      <c r="C415" s="20"/>
      <c r="D415" s="254"/>
      <c r="E415" s="379">
        <v>140261</v>
      </c>
      <c r="F415" s="395" t="s">
        <v>667</v>
      </c>
      <c r="G415" s="396"/>
      <c r="H415" s="397"/>
      <c r="I415" s="383">
        <v>728000</v>
      </c>
      <c r="J415" s="398">
        <v>140261</v>
      </c>
      <c r="K415" s="399" t="s">
        <v>71</v>
      </c>
      <c r="L415" s="399" t="s">
        <v>34</v>
      </c>
      <c r="M415" s="399">
        <v>180</v>
      </c>
      <c r="N415" s="356">
        <v>728000</v>
      </c>
      <c r="O415" s="28" t="b">
        <f t="shared" si="23"/>
        <v>1</v>
      </c>
    </row>
    <row r="416" spans="2:15" s="28" customFormat="1" ht="16.5" customHeight="1">
      <c r="B416" s="20"/>
      <c r="C416" s="20"/>
      <c r="D416" s="254"/>
      <c r="E416" s="379">
        <v>140262</v>
      </c>
      <c r="F416" s="395" t="s">
        <v>668</v>
      </c>
      <c r="G416" s="396"/>
      <c r="H416" s="397"/>
      <c r="I416" s="383">
        <v>728000</v>
      </c>
      <c r="J416" s="398">
        <v>140262</v>
      </c>
      <c r="K416" s="399" t="s">
        <v>71</v>
      </c>
      <c r="L416" s="399" t="s">
        <v>34</v>
      </c>
      <c r="M416" s="399">
        <v>180</v>
      </c>
      <c r="N416" s="356">
        <v>728000</v>
      </c>
      <c r="O416" s="28" t="b">
        <f t="shared" si="23"/>
        <v>1</v>
      </c>
    </row>
    <row r="417" spans="2:15" s="28" customFormat="1" ht="16.5" customHeight="1">
      <c r="B417" s="20"/>
      <c r="C417" s="20"/>
      <c r="D417" s="254"/>
      <c r="E417" s="379">
        <v>140263</v>
      </c>
      <c r="F417" s="395" t="s">
        <v>126</v>
      </c>
      <c r="G417" s="396"/>
      <c r="H417" s="397"/>
      <c r="I417" s="383">
        <v>81000</v>
      </c>
      <c r="J417" s="398">
        <v>140263</v>
      </c>
      <c r="K417" s="399" t="s">
        <v>70</v>
      </c>
      <c r="L417" s="399" t="s">
        <v>34</v>
      </c>
      <c r="M417" s="399">
        <v>16</v>
      </c>
      <c r="N417" s="356">
        <v>81000</v>
      </c>
      <c r="O417" s="28" t="b">
        <f t="shared" si="23"/>
        <v>1</v>
      </c>
    </row>
    <row r="418" spans="2:15" s="28" customFormat="1" ht="16.5" customHeight="1">
      <c r="B418" s="20"/>
      <c r="C418" s="20"/>
      <c r="D418" s="254"/>
      <c r="E418" s="379">
        <v>140355</v>
      </c>
      <c r="F418" s="395" t="s">
        <v>385</v>
      </c>
      <c r="G418" s="396"/>
      <c r="H418" s="397"/>
      <c r="I418" s="383" t="e">
        <v>#N/A</v>
      </c>
      <c r="J418" s="398">
        <v>140355</v>
      </c>
      <c r="K418" s="399" t="s">
        <v>70</v>
      </c>
      <c r="L418" s="399" t="s">
        <v>34</v>
      </c>
      <c r="M418" s="399">
        <v>18</v>
      </c>
      <c r="N418" s="356" t="e">
        <v>#N/A</v>
      </c>
      <c r="O418" s="28" t="e">
        <f t="shared" si="23"/>
        <v>#N/A</v>
      </c>
    </row>
    <row r="419" spans="2:15" s="28" customFormat="1" ht="16.5" customHeight="1">
      <c r="B419" s="20"/>
      <c r="C419" s="20"/>
      <c r="D419" s="254"/>
      <c r="E419" s="379">
        <v>140435</v>
      </c>
      <c r="F419" s="395" t="s">
        <v>89</v>
      </c>
      <c r="G419" s="396"/>
      <c r="H419" s="397"/>
      <c r="I419" s="383">
        <v>395000</v>
      </c>
      <c r="J419" s="398">
        <v>140435</v>
      </c>
      <c r="K419" s="399" t="s">
        <v>70</v>
      </c>
      <c r="L419" s="399" t="s">
        <v>34</v>
      </c>
      <c r="M419" s="399">
        <v>20</v>
      </c>
      <c r="N419" s="356">
        <v>395000</v>
      </c>
      <c r="O419" s="28" t="b">
        <f t="shared" si="23"/>
        <v>1</v>
      </c>
    </row>
    <row r="420" spans="2:15" s="28" customFormat="1" ht="16.5" customHeight="1">
      <c r="B420" s="20"/>
      <c r="C420" s="20"/>
      <c r="D420" s="254"/>
      <c r="E420" s="379">
        <v>140485</v>
      </c>
      <c r="F420" s="395" t="s">
        <v>386</v>
      </c>
      <c r="G420" s="396"/>
      <c r="H420" s="397"/>
      <c r="I420" s="383">
        <v>107000</v>
      </c>
      <c r="J420" s="398">
        <v>140485</v>
      </c>
      <c r="K420" s="399" t="s">
        <v>70</v>
      </c>
      <c r="L420" s="399" t="s">
        <v>34</v>
      </c>
      <c r="M420" s="399">
        <v>20</v>
      </c>
      <c r="N420" s="356">
        <v>107000</v>
      </c>
      <c r="O420" s="28" t="b">
        <f t="shared" si="23"/>
        <v>1</v>
      </c>
    </row>
    <row r="421" spans="2:15" s="28" customFormat="1" ht="16.5" customHeight="1">
      <c r="B421" s="20"/>
      <c r="C421" s="20"/>
      <c r="D421" s="254"/>
      <c r="E421" s="379">
        <v>140499</v>
      </c>
      <c r="F421" s="395" t="s">
        <v>670</v>
      </c>
      <c r="G421" s="396"/>
      <c r="H421" s="397"/>
      <c r="I421" s="383">
        <v>3384000</v>
      </c>
      <c r="J421" s="398">
        <v>140499</v>
      </c>
      <c r="K421" s="399" t="s">
        <v>71</v>
      </c>
      <c r="L421" s="399" t="s">
        <v>34</v>
      </c>
      <c r="M421" s="399">
        <v>208</v>
      </c>
      <c r="N421" s="356">
        <v>3384000</v>
      </c>
      <c r="O421" s="28" t="b">
        <f t="shared" si="23"/>
        <v>1</v>
      </c>
    </row>
    <row r="422" spans="2:15" s="28" customFormat="1" ht="16.5" customHeight="1">
      <c r="B422" s="20"/>
      <c r="C422" s="20"/>
      <c r="D422" s="254"/>
      <c r="E422" s="379">
        <v>140501</v>
      </c>
      <c r="F422" s="395" t="s">
        <v>671</v>
      </c>
      <c r="G422" s="396"/>
      <c r="H422" s="397"/>
      <c r="I422" s="383">
        <v>4442000</v>
      </c>
      <c r="J422" s="398">
        <v>140501</v>
      </c>
      <c r="K422" s="399" t="s">
        <v>71</v>
      </c>
      <c r="L422" s="399" t="s">
        <v>34</v>
      </c>
      <c r="M422" s="399">
        <v>208</v>
      </c>
      <c r="N422" s="356">
        <v>4442000</v>
      </c>
      <c r="O422" s="28" t="b">
        <f t="shared" si="23"/>
        <v>1</v>
      </c>
    </row>
    <row r="423" spans="2:15" s="28" customFormat="1" ht="16.5" customHeight="1">
      <c r="B423" s="20"/>
      <c r="C423" s="20"/>
      <c r="D423" s="254"/>
      <c r="E423" s="379">
        <v>140503</v>
      </c>
      <c r="F423" s="395" t="s">
        <v>672</v>
      </c>
      <c r="G423" s="396"/>
      <c r="H423" s="397"/>
      <c r="I423" s="383">
        <v>4515000</v>
      </c>
      <c r="J423" s="398">
        <v>140503</v>
      </c>
      <c r="K423" s="399" t="s">
        <v>71</v>
      </c>
      <c r="L423" s="399" t="s">
        <v>34</v>
      </c>
      <c r="M423" s="399">
        <v>208</v>
      </c>
      <c r="N423" s="356">
        <v>4515000</v>
      </c>
      <c r="O423" s="28" t="b">
        <f t="shared" si="23"/>
        <v>1</v>
      </c>
    </row>
    <row r="424" spans="2:15" s="28" customFormat="1" ht="16.5" customHeight="1">
      <c r="B424" s="20"/>
      <c r="C424" s="20"/>
      <c r="D424" s="254"/>
      <c r="E424" s="379">
        <v>140541</v>
      </c>
      <c r="F424" s="395" t="s">
        <v>387</v>
      </c>
      <c r="G424" s="396"/>
      <c r="H424" s="397"/>
      <c r="I424" s="383"/>
      <c r="J424" s="398">
        <v>140541</v>
      </c>
      <c r="K424" s="399" t="s">
        <v>70</v>
      </c>
      <c r="L424" s="399" t="s">
        <v>34</v>
      </c>
      <c r="M424" s="399">
        <v>20</v>
      </c>
      <c r="N424" s="356" t="e">
        <v>#N/A</v>
      </c>
      <c r="O424" s="28" t="e">
        <f t="shared" si="23"/>
        <v>#N/A</v>
      </c>
    </row>
    <row r="425" spans="2:15" s="28" customFormat="1" ht="16.5" customHeight="1">
      <c r="B425" s="20"/>
      <c r="C425" s="20"/>
      <c r="D425" s="254"/>
      <c r="E425" s="379">
        <v>140627</v>
      </c>
      <c r="F425" s="395" t="s">
        <v>676</v>
      </c>
      <c r="G425" s="396"/>
      <c r="H425" s="397"/>
      <c r="I425" s="383">
        <v>746000</v>
      </c>
      <c r="J425" s="398">
        <v>140627</v>
      </c>
      <c r="K425" s="399" t="s">
        <v>71</v>
      </c>
      <c r="L425" s="399" t="s">
        <v>34</v>
      </c>
      <c r="M425" s="399">
        <v>200</v>
      </c>
      <c r="N425" s="356">
        <v>746000</v>
      </c>
      <c r="O425" s="28" t="b">
        <f t="shared" si="23"/>
        <v>1</v>
      </c>
    </row>
    <row r="426" spans="2:15" s="28" customFormat="1" ht="16.5" customHeight="1">
      <c r="B426" s="20"/>
      <c r="C426" s="20"/>
      <c r="D426" s="254"/>
      <c r="E426" s="379">
        <v>140629</v>
      </c>
      <c r="F426" s="395" t="s">
        <v>677</v>
      </c>
      <c r="G426" s="396"/>
      <c r="H426" s="397"/>
      <c r="I426" s="383">
        <v>746000</v>
      </c>
      <c r="J426" s="398">
        <v>140629</v>
      </c>
      <c r="K426" s="399" t="s">
        <v>71</v>
      </c>
      <c r="L426" s="399" t="s">
        <v>34</v>
      </c>
      <c r="M426" s="399">
        <v>200</v>
      </c>
      <c r="N426" s="356">
        <v>746000</v>
      </c>
      <c r="O426" s="28" t="b">
        <f t="shared" si="23"/>
        <v>1</v>
      </c>
    </row>
    <row r="427" spans="2:15" s="28" customFormat="1" ht="16.5" customHeight="1">
      <c r="B427" s="20"/>
      <c r="C427" s="20"/>
      <c r="D427" s="254"/>
      <c r="E427" s="379">
        <v>140631</v>
      </c>
      <c r="F427" s="395" t="s">
        <v>678</v>
      </c>
      <c r="G427" s="396"/>
      <c r="H427" s="397"/>
      <c r="I427" s="383">
        <v>746000</v>
      </c>
      <c r="J427" s="398">
        <v>140631</v>
      </c>
      <c r="K427" s="399" t="s">
        <v>71</v>
      </c>
      <c r="L427" s="399" t="s">
        <v>34</v>
      </c>
      <c r="M427" s="399">
        <v>200</v>
      </c>
      <c r="N427" s="356">
        <v>746000</v>
      </c>
      <c r="O427" s="28" t="b">
        <f t="shared" si="23"/>
        <v>1</v>
      </c>
    </row>
    <row r="428" spans="2:15" s="28" customFormat="1" ht="16.5" customHeight="1">
      <c r="B428" s="20"/>
      <c r="C428" s="20"/>
      <c r="D428" s="254"/>
      <c r="E428" s="379">
        <v>140675</v>
      </c>
      <c r="F428" s="395" t="s">
        <v>388</v>
      </c>
      <c r="G428" s="396"/>
      <c r="H428" s="397"/>
      <c r="I428" s="383">
        <v>79200</v>
      </c>
      <c r="J428" s="398">
        <v>140675</v>
      </c>
      <c r="K428" s="399" t="s">
        <v>70</v>
      </c>
      <c r="L428" s="399" t="s">
        <v>34</v>
      </c>
      <c r="M428" s="399">
        <v>20</v>
      </c>
      <c r="N428" s="356">
        <v>79200</v>
      </c>
      <c r="O428" s="28" t="b">
        <f t="shared" si="23"/>
        <v>1</v>
      </c>
    </row>
    <row r="429" spans="2:15" s="28" customFormat="1" ht="16.5" customHeight="1">
      <c r="B429" s="20"/>
      <c r="C429" s="20"/>
      <c r="D429" s="254"/>
      <c r="E429" s="379">
        <v>140676</v>
      </c>
      <c r="F429" s="395" t="s">
        <v>389</v>
      </c>
      <c r="G429" s="396"/>
      <c r="H429" s="397"/>
      <c r="I429" s="383">
        <v>79200</v>
      </c>
      <c r="J429" s="398">
        <v>140676</v>
      </c>
      <c r="K429" s="399" t="s">
        <v>70</v>
      </c>
      <c r="L429" s="399" t="s">
        <v>34</v>
      </c>
      <c r="M429" s="399">
        <v>20</v>
      </c>
      <c r="N429" s="356">
        <v>79200</v>
      </c>
      <c r="O429" s="28" t="b">
        <f t="shared" si="23"/>
        <v>1</v>
      </c>
    </row>
    <row r="430" spans="2:15" s="28" customFormat="1" ht="16.5" customHeight="1">
      <c r="B430" s="20"/>
      <c r="C430" s="20"/>
      <c r="D430" s="254"/>
      <c r="E430" s="379">
        <v>140677</v>
      </c>
      <c r="F430" s="395" t="s">
        <v>390</v>
      </c>
      <c r="G430" s="396"/>
      <c r="H430" s="397"/>
      <c r="I430" s="383">
        <v>79200</v>
      </c>
      <c r="J430" s="398">
        <v>140677</v>
      </c>
      <c r="K430" s="399" t="s">
        <v>70</v>
      </c>
      <c r="L430" s="399" t="s">
        <v>34</v>
      </c>
      <c r="M430" s="399">
        <v>20</v>
      </c>
      <c r="N430" s="356">
        <v>79200</v>
      </c>
      <c r="O430" s="28" t="b">
        <f t="shared" si="23"/>
        <v>1</v>
      </c>
    </row>
    <row r="431" spans="2:15" s="28" customFormat="1" ht="16.5" customHeight="1">
      <c r="B431" s="20"/>
      <c r="C431" s="20"/>
      <c r="D431" s="254"/>
      <c r="E431" s="379">
        <v>140787</v>
      </c>
      <c r="F431" s="395" t="s">
        <v>682</v>
      </c>
      <c r="G431" s="396"/>
      <c r="H431" s="397"/>
      <c r="I431" s="383">
        <v>1151000</v>
      </c>
      <c r="J431" s="398">
        <v>140787</v>
      </c>
      <c r="K431" s="399" t="s">
        <v>71</v>
      </c>
      <c r="L431" s="399" t="s">
        <v>34</v>
      </c>
      <c r="M431" s="399">
        <v>208</v>
      </c>
      <c r="N431" s="356">
        <v>1151000</v>
      </c>
      <c r="O431" s="28" t="b">
        <f t="shared" si="23"/>
        <v>1</v>
      </c>
    </row>
    <row r="432" spans="2:15" s="28" customFormat="1" ht="16.5" customHeight="1">
      <c r="B432" s="20"/>
      <c r="C432" s="20"/>
      <c r="D432" s="254"/>
      <c r="E432" s="379">
        <v>140817</v>
      </c>
      <c r="F432" s="395" t="s">
        <v>122</v>
      </c>
      <c r="G432" s="396"/>
      <c r="H432" s="397"/>
      <c r="I432" s="383" t="e">
        <v>#N/A</v>
      </c>
      <c r="J432" s="398">
        <v>140817</v>
      </c>
      <c r="K432" s="399" t="s">
        <v>71</v>
      </c>
      <c r="L432" s="399" t="s">
        <v>34</v>
      </c>
      <c r="M432" s="399">
        <v>208</v>
      </c>
      <c r="N432" s="356">
        <v>1065000</v>
      </c>
      <c r="O432" s="28" t="e">
        <f t="shared" si="23"/>
        <v>#N/A</v>
      </c>
    </row>
    <row r="433" spans="2:15" s="28" customFormat="1" ht="16.5" customHeight="1">
      <c r="B433" s="20"/>
      <c r="C433" s="20"/>
      <c r="D433" s="254"/>
      <c r="E433" s="379">
        <v>140854</v>
      </c>
      <c r="F433" s="395" t="s">
        <v>756</v>
      </c>
      <c r="G433" s="396"/>
      <c r="H433" s="397"/>
      <c r="I433" s="383">
        <v>287000</v>
      </c>
      <c r="J433" s="398">
        <v>140854</v>
      </c>
      <c r="K433" s="399" t="s">
        <v>70</v>
      </c>
      <c r="L433" s="399" t="s">
        <v>34</v>
      </c>
      <c r="M433" s="399">
        <v>20</v>
      </c>
      <c r="N433" s="356">
        <v>287000</v>
      </c>
      <c r="O433" s="28" t="b">
        <f t="shared" si="23"/>
        <v>1</v>
      </c>
    </row>
    <row r="434" spans="2:15" s="28" customFormat="1" ht="16.5" customHeight="1">
      <c r="B434" s="20"/>
      <c r="C434" s="20"/>
      <c r="D434" s="254"/>
      <c r="E434" s="379">
        <v>141187</v>
      </c>
      <c r="F434" s="395" t="s">
        <v>125</v>
      </c>
      <c r="G434" s="396"/>
      <c r="H434" s="397"/>
      <c r="I434" s="383"/>
      <c r="J434" s="398">
        <v>141187</v>
      </c>
      <c r="K434" s="399" t="s">
        <v>71</v>
      </c>
      <c r="L434" s="399" t="s">
        <v>34</v>
      </c>
      <c r="M434" s="399">
        <v>200</v>
      </c>
      <c r="N434" s="356" t="e">
        <v>#N/A</v>
      </c>
      <c r="O434" s="28" t="e">
        <f t="shared" si="23"/>
        <v>#N/A</v>
      </c>
    </row>
    <row r="435" spans="2:15" s="28" customFormat="1" ht="16.5" customHeight="1">
      <c r="B435" s="20"/>
      <c r="C435" s="20"/>
      <c r="D435" s="254"/>
      <c r="E435" s="379">
        <v>141361</v>
      </c>
      <c r="F435" s="395" t="s">
        <v>391</v>
      </c>
      <c r="G435" s="396"/>
      <c r="H435" s="397"/>
      <c r="I435" s="383">
        <v>476000</v>
      </c>
      <c r="J435" s="398">
        <v>141361</v>
      </c>
      <c r="K435" s="399" t="s">
        <v>70</v>
      </c>
      <c r="L435" s="399" t="s">
        <v>34</v>
      </c>
      <c r="M435" s="399">
        <v>16</v>
      </c>
      <c r="N435" s="356">
        <v>476000</v>
      </c>
      <c r="O435" s="28" t="b">
        <f t="shared" si="23"/>
        <v>1</v>
      </c>
    </row>
    <row r="436" spans="2:15" s="28" customFormat="1" ht="16.5" customHeight="1">
      <c r="B436" s="20"/>
      <c r="C436" s="20"/>
      <c r="D436" s="254"/>
      <c r="E436" s="379">
        <v>141367</v>
      </c>
      <c r="F436" s="395" t="s">
        <v>392</v>
      </c>
      <c r="G436" s="396"/>
      <c r="H436" s="397"/>
      <c r="I436" s="383">
        <v>107000</v>
      </c>
      <c r="J436" s="398">
        <v>141367</v>
      </c>
      <c r="K436" s="399" t="s">
        <v>70</v>
      </c>
      <c r="L436" s="399" t="s">
        <v>34</v>
      </c>
      <c r="M436" s="399">
        <v>20</v>
      </c>
      <c r="N436" s="356">
        <v>107000</v>
      </c>
      <c r="O436" s="28" t="b">
        <f t="shared" si="23"/>
        <v>1</v>
      </c>
    </row>
    <row r="437" spans="2:15" s="28" customFormat="1" ht="16.5" customHeight="1">
      <c r="B437" s="20"/>
      <c r="C437" s="20"/>
      <c r="D437" s="254"/>
      <c r="E437" s="379">
        <v>148677</v>
      </c>
      <c r="F437" s="395" t="s">
        <v>134</v>
      </c>
      <c r="G437" s="396"/>
      <c r="H437" s="397"/>
      <c r="I437" s="383">
        <v>1029000</v>
      </c>
      <c r="J437" s="398">
        <v>148677</v>
      </c>
      <c r="K437" s="399" t="s">
        <v>71</v>
      </c>
      <c r="L437" s="399" t="s">
        <v>34</v>
      </c>
      <c r="M437" s="399">
        <v>200</v>
      </c>
      <c r="N437" s="356">
        <v>1029000</v>
      </c>
      <c r="O437" s="28" t="b">
        <f t="shared" si="23"/>
        <v>1</v>
      </c>
    </row>
    <row r="438" spans="2:15" s="28" customFormat="1" ht="16.5" customHeight="1">
      <c r="B438" s="20"/>
      <c r="C438" s="20"/>
      <c r="D438" s="254"/>
      <c r="E438" s="379">
        <v>141429</v>
      </c>
      <c r="F438" s="395" t="s">
        <v>119</v>
      </c>
      <c r="G438" s="396"/>
      <c r="H438" s="397"/>
      <c r="I438" s="383">
        <v>4915000</v>
      </c>
      <c r="J438" s="398">
        <v>141429</v>
      </c>
      <c r="K438" s="399" t="s">
        <v>71</v>
      </c>
      <c r="L438" s="399" t="s">
        <v>34</v>
      </c>
      <c r="M438" s="399">
        <v>174</v>
      </c>
      <c r="N438" s="356">
        <v>4915000</v>
      </c>
      <c r="O438" s="28" t="b">
        <f t="shared" si="23"/>
        <v>1</v>
      </c>
    </row>
    <row r="439" spans="2:15" s="28" customFormat="1" ht="16.5" customHeight="1">
      <c r="B439" s="20"/>
      <c r="C439" s="20"/>
      <c r="D439" s="254"/>
      <c r="E439" s="379">
        <v>141467</v>
      </c>
      <c r="F439" s="395" t="s">
        <v>393</v>
      </c>
      <c r="G439" s="396"/>
      <c r="H439" s="397"/>
      <c r="I439" s="383">
        <v>233000</v>
      </c>
      <c r="J439" s="398">
        <v>141467</v>
      </c>
      <c r="K439" s="399" t="s">
        <v>70</v>
      </c>
      <c r="L439" s="399" t="s">
        <v>34</v>
      </c>
      <c r="M439" s="399">
        <v>15.87</v>
      </c>
      <c r="N439" s="356">
        <v>233000</v>
      </c>
      <c r="O439" s="28" t="b">
        <f t="shared" si="23"/>
        <v>1</v>
      </c>
    </row>
    <row r="440" spans="2:15" s="28" customFormat="1" ht="16.5" customHeight="1">
      <c r="B440" s="20"/>
      <c r="C440" s="20"/>
      <c r="D440" s="254"/>
      <c r="E440" s="379">
        <v>141468</v>
      </c>
      <c r="F440" s="395" t="s">
        <v>686</v>
      </c>
      <c r="G440" s="396"/>
      <c r="H440" s="397"/>
      <c r="I440" s="383">
        <v>2439000</v>
      </c>
      <c r="J440" s="398">
        <v>141468</v>
      </c>
      <c r="K440" s="399" t="s">
        <v>71</v>
      </c>
      <c r="L440" s="399" t="s">
        <v>34</v>
      </c>
      <c r="M440" s="399">
        <v>180</v>
      </c>
      <c r="N440" s="356">
        <v>2439000</v>
      </c>
      <c r="O440" s="28" t="b">
        <f t="shared" si="23"/>
        <v>1</v>
      </c>
    </row>
    <row r="441" spans="2:15" s="28" customFormat="1" ht="16.5" customHeight="1">
      <c r="B441" s="20"/>
      <c r="C441" s="20"/>
      <c r="D441" s="254"/>
      <c r="E441" s="379">
        <v>141654</v>
      </c>
      <c r="F441" s="395" t="s">
        <v>394</v>
      </c>
      <c r="G441" s="396"/>
      <c r="H441" s="397"/>
      <c r="I441" s="383">
        <v>62700</v>
      </c>
      <c r="J441" s="398">
        <v>141654</v>
      </c>
      <c r="K441" s="399" t="s">
        <v>70</v>
      </c>
      <c r="L441" s="399" t="s">
        <v>34</v>
      </c>
      <c r="M441" s="399">
        <v>20</v>
      </c>
      <c r="N441" s="356">
        <v>62700</v>
      </c>
      <c r="O441" s="28" t="b">
        <f t="shared" si="23"/>
        <v>1</v>
      </c>
    </row>
    <row r="442" spans="2:15" s="28" customFormat="1" ht="16.5" customHeight="1">
      <c r="B442" s="20"/>
      <c r="C442" s="20"/>
      <c r="D442" s="254"/>
      <c r="E442" s="379">
        <v>141655</v>
      </c>
      <c r="F442" s="395" t="s">
        <v>689</v>
      </c>
      <c r="G442" s="396"/>
      <c r="H442" s="397"/>
      <c r="I442" s="383">
        <v>582000</v>
      </c>
      <c r="J442" s="398">
        <v>141655</v>
      </c>
      <c r="K442" s="399" t="s">
        <v>71</v>
      </c>
      <c r="L442" s="399" t="s">
        <v>34</v>
      </c>
      <c r="M442" s="399">
        <v>200</v>
      </c>
      <c r="N442" s="356">
        <v>582000</v>
      </c>
      <c r="O442" s="28" t="b">
        <f t="shared" si="23"/>
        <v>1</v>
      </c>
    </row>
    <row r="443" spans="2:15" s="28" customFormat="1" ht="16.5" customHeight="1">
      <c r="B443" s="20"/>
      <c r="C443" s="20"/>
      <c r="D443" s="254"/>
      <c r="E443" s="379">
        <v>141657</v>
      </c>
      <c r="F443" s="395" t="s">
        <v>395</v>
      </c>
      <c r="G443" s="396"/>
      <c r="H443" s="397"/>
      <c r="I443" s="383">
        <v>62700</v>
      </c>
      <c r="J443" s="398">
        <v>141657</v>
      </c>
      <c r="K443" s="399" t="s">
        <v>70</v>
      </c>
      <c r="L443" s="399" t="s">
        <v>34</v>
      </c>
      <c r="M443" s="399">
        <v>20</v>
      </c>
      <c r="N443" s="356">
        <v>62700</v>
      </c>
      <c r="O443" s="28" t="b">
        <f t="shared" si="23"/>
        <v>1</v>
      </c>
    </row>
    <row r="444" spans="2:15" s="28" customFormat="1" ht="16.5" customHeight="1">
      <c r="B444" s="20"/>
      <c r="C444" s="20"/>
      <c r="D444" s="254"/>
      <c r="E444" s="379">
        <v>141658</v>
      </c>
      <c r="F444" s="395" t="s">
        <v>691</v>
      </c>
      <c r="G444" s="396"/>
      <c r="H444" s="397"/>
      <c r="I444" s="383">
        <v>582000</v>
      </c>
      <c r="J444" s="398">
        <v>141658</v>
      </c>
      <c r="K444" s="399" t="s">
        <v>71</v>
      </c>
      <c r="L444" s="399" t="s">
        <v>34</v>
      </c>
      <c r="M444" s="399">
        <v>200</v>
      </c>
      <c r="N444" s="356">
        <v>582000</v>
      </c>
      <c r="O444" s="28" t="b">
        <f t="shared" si="23"/>
        <v>1</v>
      </c>
    </row>
    <row r="445" spans="2:15" s="28" customFormat="1" ht="16.5" customHeight="1">
      <c r="B445" s="20"/>
      <c r="C445" s="20"/>
      <c r="D445" s="254"/>
      <c r="E445" s="379">
        <v>141666</v>
      </c>
      <c r="F445" s="395" t="s">
        <v>693</v>
      </c>
      <c r="G445" s="396"/>
      <c r="H445" s="397"/>
      <c r="I445" s="383">
        <v>755000</v>
      </c>
      <c r="J445" s="398">
        <v>141666</v>
      </c>
      <c r="K445" s="399" t="s">
        <v>71</v>
      </c>
      <c r="L445" s="399" t="s">
        <v>34</v>
      </c>
      <c r="M445" s="399">
        <v>200</v>
      </c>
      <c r="N445" s="356">
        <v>755000</v>
      </c>
      <c r="O445" s="28" t="b">
        <f t="shared" si="23"/>
        <v>1</v>
      </c>
    </row>
    <row r="446" spans="2:15" s="28" customFormat="1" ht="16.5" customHeight="1">
      <c r="B446" s="20"/>
      <c r="C446" s="20"/>
      <c r="D446" s="254"/>
      <c r="E446" s="379">
        <v>141667</v>
      </c>
      <c r="F446" s="395" t="s">
        <v>694</v>
      </c>
      <c r="G446" s="396"/>
      <c r="H446" s="397"/>
      <c r="I446" s="383">
        <v>755000</v>
      </c>
      <c r="J446" s="398">
        <v>141667</v>
      </c>
      <c r="K446" s="399" t="s">
        <v>71</v>
      </c>
      <c r="L446" s="399" t="s">
        <v>34</v>
      </c>
      <c r="M446" s="399">
        <v>200</v>
      </c>
      <c r="N446" s="356">
        <v>755000</v>
      </c>
      <c r="O446" s="28" t="b">
        <f t="shared" si="23"/>
        <v>1</v>
      </c>
    </row>
    <row r="447" spans="2:15" s="28" customFormat="1" ht="16.5" customHeight="1">
      <c r="B447" s="20"/>
      <c r="C447" s="20"/>
      <c r="D447" s="254"/>
      <c r="E447" s="379">
        <v>141737</v>
      </c>
      <c r="F447" s="395" t="s">
        <v>116</v>
      </c>
      <c r="G447" s="396"/>
      <c r="H447" s="397"/>
      <c r="I447" s="383">
        <v>56300</v>
      </c>
      <c r="J447" s="398">
        <v>141737</v>
      </c>
      <c r="K447" s="399" t="s">
        <v>70</v>
      </c>
      <c r="L447" s="399" t="s">
        <v>34</v>
      </c>
      <c r="M447" s="399">
        <v>20</v>
      </c>
      <c r="N447" s="356">
        <v>56300</v>
      </c>
      <c r="O447" s="28" t="b">
        <f t="shared" si="23"/>
        <v>1</v>
      </c>
    </row>
    <row r="448" spans="2:15" s="28" customFormat="1" ht="16.5" customHeight="1">
      <c r="B448" s="20"/>
      <c r="C448" s="20"/>
      <c r="D448" s="254"/>
      <c r="E448" s="379">
        <v>141738</v>
      </c>
      <c r="F448" s="395" t="s">
        <v>115</v>
      </c>
      <c r="G448" s="396"/>
      <c r="H448" s="397"/>
      <c r="I448" s="383">
        <v>520000</v>
      </c>
      <c r="J448" s="398">
        <v>141738</v>
      </c>
      <c r="K448" s="399" t="s">
        <v>71</v>
      </c>
      <c r="L448" s="399" t="s">
        <v>34</v>
      </c>
      <c r="M448" s="399">
        <v>200</v>
      </c>
      <c r="N448" s="356">
        <v>520000</v>
      </c>
      <c r="O448" s="28" t="b">
        <f t="shared" si="23"/>
        <v>1</v>
      </c>
    </row>
    <row r="449" spans="2:15" s="28" customFormat="1" ht="16.5" customHeight="1">
      <c r="B449" s="20"/>
      <c r="C449" s="20"/>
      <c r="D449" s="254"/>
      <c r="E449" s="379">
        <v>141741</v>
      </c>
      <c r="F449" s="395" t="s">
        <v>114</v>
      </c>
      <c r="G449" s="396"/>
      <c r="H449" s="397"/>
      <c r="I449" s="383">
        <v>53900</v>
      </c>
      <c r="J449" s="398">
        <v>141741</v>
      </c>
      <c r="K449" s="399" t="s">
        <v>70</v>
      </c>
      <c r="L449" s="399" t="s">
        <v>34</v>
      </c>
      <c r="M449" s="399">
        <v>20</v>
      </c>
      <c r="N449" s="356">
        <v>53900</v>
      </c>
      <c r="O449" s="28" t="b">
        <f t="shared" si="23"/>
        <v>1</v>
      </c>
    </row>
    <row r="450" spans="2:15" s="28" customFormat="1" ht="16.5" customHeight="1">
      <c r="B450" s="20"/>
      <c r="C450" s="20"/>
      <c r="D450" s="254"/>
      <c r="E450" s="379">
        <v>141742</v>
      </c>
      <c r="F450" s="395" t="s">
        <v>113</v>
      </c>
      <c r="G450" s="396"/>
      <c r="H450" s="397"/>
      <c r="I450" s="383">
        <v>492000</v>
      </c>
      <c r="J450" s="398">
        <v>141742</v>
      </c>
      <c r="K450" s="399" t="s">
        <v>71</v>
      </c>
      <c r="L450" s="399" t="s">
        <v>34</v>
      </c>
      <c r="M450" s="399">
        <v>200</v>
      </c>
      <c r="N450" s="356">
        <v>492000</v>
      </c>
      <c r="O450" s="28" t="b">
        <f t="shared" si="23"/>
        <v>1</v>
      </c>
    </row>
    <row r="451" spans="2:15" s="28" customFormat="1" ht="16.5" customHeight="1">
      <c r="B451" s="20"/>
      <c r="C451" s="20"/>
      <c r="D451" s="254"/>
      <c r="E451" s="379">
        <v>141745</v>
      </c>
      <c r="F451" s="395" t="s">
        <v>112</v>
      </c>
      <c r="G451" s="396"/>
      <c r="H451" s="397"/>
      <c r="I451" s="383">
        <v>53900</v>
      </c>
      <c r="J451" s="398">
        <v>141745</v>
      </c>
      <c r="K451" s="399" t="s">
        <v>70</v>
      </c>
      <c r="L451" s="399" t="s">
        <v>34</v>
      </c>
      <c r="M451" s="399">
        <v>20</v>
      </c>
      <c r="N451" s="356">
        <v>53900</v>
      </c>
      <c r="O451" s="28" t="b">
        <f t="shared" si="23"/>
        <v>1</v>
      </c>
    </row>
    <row r="452" spans="2:15" s="28" customFormat="1" ht="16.5" customHeight="1">
      <c r="B452" s="20"/>
      <c r="C452" s="20"/>
      <c r="D452" s="254"/>
      <c r="E452" s="379">
        <v>141746</v>
      </c>
      <c r="F452" s="395" t="s">
        <v>111</v>
      </c>
      <c r="G452" s="396"/>
      <c r="H452" s="397"/>
      <c r="I452" s="383">
        <v>492000</v>
      </c>
      <c r="J452" s="398">
        <v>141746</v>
      </c>
      <c r="K452" s="399" t="s">
        <v>71</v>
      </c>
      <c r="L452" s="399" t="s">
        <v>34</v>
      </c>
      <c r="M452" s="399">
        <v>200</v>
      </c>
      <c r="N452" s="356">
        <v>492000</v>
      </c>
      <c r="O452" s="28" t="b">
        <f t="shared" si="23"/>
        <v>1</v>
      </c>
    </row>
    <row r="453" spans="2:15" s="28" customFormat="1" ht="16.5" customHeight="1">
      <c r="B453" s="20"/>
      <c r="C453" s="20"/>
      <c r="D453" s="254"/>
      <c r="E453" s="379">
        <v>141750</v>
      </c>
      <c r="F453" s="395" t="s">
        <v>231</v>
      </c>
      <c r="G453" s="396"/>
      <c r="H453" s="397"/>
      <c r="I453" s="383">
        <v>53900</v>
      </c>
      <c r="J453" s="398">
        <v>141750</v>
      </c>
      <c r="K453" s="399" t="s">
        <v>70</v>
      </c>
      <c r="L453" s="399" t="s">
        <v>34</v>
      </c>
      <c r="M453" s="399">
        <v>20</v>
      </c>
      <c r="N453" s="356">
        <v>53900</v>
      </c>
      <c r="O453" s="28" t="b">
        <f t="shared" si="23"/>
        <v>1</v>
      </c>
    </row>
    <row r="454" spans="2:15" s="28" customFormat="1" ht="16.5" customHeight="1">
      <c r="B454" s="20"/>
      <c r="C454" s="20"/>
      <c r="D454" s="254"/>
      <c r="E454" s="379">
        <v>141751</v>
      </c>
      <c r="F454" s="395" t="s">
        <v>110</v>
      </c>
      <c r="G454" s="396"/>
      <c r="H454" s="397"/>
      <c r="I454" s="383">
        <v>492000</v>
      </c>
      <c r="J454" s="398">
        <v>141751</v>
      </c>
      <c r="K454" s="399" t="s">
        <v>71</v>
      </c>
      <c r="L454" s="399" t="s">
        <v>34</v>
      </c>
      <c r="M454" s="399">
        <v>200</v>
      </c>
      <c r="N454" s="356">
        <v>492000</v>
      </c>
      <c r="O454" s="28" t="b">
        <f t="shared" si="23"/>
        <v>1</v>
      </c>
    </row>
    <row r="455" spans="2:15" s="28" customFormat="1" ht="16.5" customHeight="1">
      <c r="B455" s="20"/>
      <c r="C455" s="20"/>
      <c r="D455" s="254"/>
      <c r="E455" s="379">
        <v>141763</v>
      </c>
      <c r="F455" s="395" t="s">
        <v>396</v>
      </c>
      <c r="G455" s="396"/>
      <c r="H455" s="397"/>
      <c r="I455" s="383">
        <v>79600</v>
      </c>
      <c r="J455" s="398">
        <v>141763</v>
      </c>
      <c r="K455" s="399" t="s">
        <v>70</v>
      </c>
      <c r="L455" s="399" t="s">
        <v>34</v>
      </c>
      <c r="M455" s="399">
        <v>20</v>
      </c>
      <c r="N455" s="356">
        <v>79600</v>
      </c>
      <c r="O455" s="28" t="b">
        <f t="shared" si="23"/>
        <v>1</v>
      </c>
    </row>
    <row r="456" spans="2:15" s="28" customFormat="1" ht="16.5" customHeight="1">
      <c r="B456" s="20"/>
      <c r="C456" s="20"/>
      <c r="D456" s="254"/>
      <c r="E456" s="379">
        <v>142012</v>
      </c>
      <c r="F456" s="395" t="s">
        <v>129</v>
      </c>
      <c r="G456" s="396"/>
      <c r="H456" s="397"/>
      <c r="I456" s="383">
        <v>46900</v>
      </c>
      <c r="J456" s="398">
        <v>142012</v>
      </c>
      <c r="K456" s="399" t="s">
        <v>70</v>
      </c>
      <c r="L456" s="399" t="s">
        <v>34</v>
      </c>
      <c r="M456" s="399">
        <v>20</v>
      </c>
      <c r="N456" s="356">
        <v>46900</v>
      </c>
      <c r="O456" s="28" t="b">
        <f t="shared" si="23"/>
        <v>1</v>
      </c>
    </row>
    <row r="457" spans="2:15" s="28" customFormat="1" ht="16.5" customHeight="1">
      <c r="B457" s="20"/>
      <c r="C457" s="20"/>
      <c r="D457" s="254"/>
      <c r="E457" s="379">
        <v>142028</v>
      </c>
      <c r="F457" s="395" t="s">
        <v>768</v>
      </c>
      <c r="G457" s="396"/>
      <c r="H457" s="397"/>
      <c r="I457" s="383">
        <v>318000</v>
      </c>
      <c r="J457" s="398">
        <v>142028</v>
      </c>
      <c r="K457" s="399" t="s">
        <v>70</v>
      </c>
      <c r="L457" s="399" t="s">
        <v>34</v>
      </c>
      <c r="M457" s="399">
        <v>16</v>
      </c>
      <c r="N457" s="356">
        <v>318000</v>
      </c>
      <c r="O457" s="28" t="b">
        <f t="shared" si="23"/>
        <v>1</v>
      </c>
    </row>
    <row r="458" spans="2:15" s="28" customFormat="1" ht="16.5" customHeight="1">
      <c r="B458" s="20"/>
      <c r="C458" s="20"/>
      <c r="D458" s="254"/>
      <c r="E458" s="379">
        <v>142288</v>
      </c>
      <c r="F458" s="395" t="s">
        <v>121</v>
      </c>
      <c r="G458" s="396"/>
      <c r="H458" s="397"/>
      <c r="I458" s="383">
        <v>6002000</v>
      </c>
      <c r="J458" s="398">
        <v>142288</v>
      </c>
      <c r="K458" s="399" t="s">
        <v>71</v>
      </c>
      <c r="L458" s="399" t="s">
        <v>34</v>
      </c>
      <c r="M458" s="399">
        <v>208</v>
      </c>
      <c r="N458" s="356">
        <v>6002000</v>
      </c>
      <c r="O458" s="28" t="b">
        <f t="shared" si="23"/>
        <v>1</v>
      </c>
    </row>
    <row r="459" spans="2:15" s="28" customFormat="1" ht="16.5" customHeight="1">
      <c r="B459" s="20"/>
      <c r="C459" s="20"/>
      <c r="D459" s="254"/>
      <c r="E459" s="379">
        <v>142411</v>
      </c>
      <c r="F459" s="395" t="s">
        <v>705</v>
      </c>
      <c r="G459" s="396"/>
      <c r="H459" s="397"/>
      <c r="I459" s="383">
        <v>777000</v>
      </c>
      <c r="J459" s="398">
        <v>142411</v>
      </c>
      <c r="K459" s="399" t="s">
        <v>71</v>
      </c>
      <c r="L459" s="399" t="s">
        <v>34</v>
      </c>
      <c r="M459" s="399">
        <v>200</v>
      </c>
      <c r="N459" s="356">
        <v>777000</v>
      </c>
      <c r="O459" s="28" t="b">
        <f t="shared" si="23"/>
        <v>1</v>
      </c>
    </row>
    <row r="460" spans="2:15" s="28" customFormat="1" ht="16.5" customHeight="1">
      <c r="B460" s="20"/>
      <c r="C460" s="20"/>
      <c r="D460" s="254"/>
      <c r="E460" s="379">
        <v>142637</v>
      </c>
      <c r="F460" s="395" t="s">
        <v>707</v>
      </c>
      <c r="G460" s="396"/>
      <c r="H460" s="397"/>
      <c r="I460" s="383">
        <v>4494000</v>
      </c>
      <c r="J460" s="399">
        <v>142637</v>
      </c>
      <c r="K460" s="399" t="s">
        <v>71</v>
      </c>
      <c r="L460" s="399" t="s">
        <v>34</v>
      </c>
      <c r="M460" s="399">
        <v>200</v>
      </c>
      <c r="N460" s="356">
        <v>4494000</v>
      </c>
      <c r="O460" s="28" t="b">
        <f t="shared" si="23"/>
        <v>1</v>
      </c>
    </row>
    <row r="461" spans="2:15" s="28" customFormat="1" ht="16.5" customHeight="1">
      <c r="B461" s="20"/>
      <c r="C461" s="20"/>
      <c r="D461" s="254"/>
      <c r="E461" s="379">
        <v>143560</v>
      </c>
      <c r="F461" s="395" t="s">
        <v>724</v>
      </c>
      <c r="G461" s="396"/>
      <c r="H461" s="397"/>
      <c r="I461" s="383">
        <v>728000</v>
      </c>
      <c r="J461" s="398">
        <v>143560</v>
      </c>
      <c r="K461" s="399" t="s">
        <v>71</v>
      </c>
      <c r="L461" s="399" t="s">
        <v>34</v>
      </c>
      <c r="M461" s="399">
        <v>200</v>
      </c>
      <c r="N461" s="356">
        <v>728000</v>
      </c>
      <c r="O461" s="28" t="b">
        <f t="shared" si="23"/>
        <v>1</v>
      </c>
    </row>
    <row r="462" spans="2:15" s="28" customFormat="1" ht="16.5" customHeight="1">
      <c r="B462" s="20"/>
      <c r="C462" s="20"/>
      <c r="D462" s="254"/>
      <c r="E462" s="379">
        <v>143561</v>
      </c>
      <c r="F462" s="395" t="s">
        <v>725</v>
      </c>
      <c r="G462" s="396"/>
      <c r="H462" s="397"/>
      <c r="I462" s="383">
        <v>728000</v>
      </c>
      <c r="J462" s="398">
        <v>143561</v>
      </c>
      <c r="K462" s="399" t="s">
        <v>71</v>
      </c>
      <c r="L462" s="399" t="s">
        <v>34</v>
      </c>
      <c r="M462" s="399">
        <v>200</v>
      </c>
      <c r="N462" s="356">
        <v>728000</v>
      </c>
      <c r="O462" s="28" t="b">
        <f t="shared" si="23"/>
        <v>1</v>
      </c>
    </row>
    <row r="463" spans="2:15" s="28" customFormat="1" ht="16.5" customHeight="1">
      <c r="B463" s="20"/>
      <c r="C463" s="20"/>
      <c r="D463" s="254"/>
      <c r="E463" s="379">
        <v>143563</v>
      </c>
      <c r="F463" s="395" t="s">
        <v>726</v>
      </c>
      <c r="G463" s="396"/>
      <c r="H463" s="397"/>
      <c r="I463" s="383">
        <v>728000</v>
      </c>
      <c r="J463" s="398">
        <v>143563</v>
      </c>
      <c r="K463" s="399" t="s">
        <v>71</v>
      </c>
      <c r="L463" s="399" t="s">
        <v>34</v>
      </c>
      <c r="M463" s="399">
        <v>200</v>
      </c>
      <c r="N463" s="356">
        <v>728000</v>
      </c>
      <c r="O463" s="28" t="b">
        <f t="shared" si="23"/>
        <v>1</v>
      </c>
    </row>
    <row r="464" spans="2:15" s="28" customFormat="1" ht="16.5" customHeight="1">
      <c r="B464" s="20"/>
      <c r="C464" s="20"/>
      <c r="D464" s="254"/>
      <c r="E464" s="379">
        <v>143982</v>
      </c>
      <c r="F464" s="395" t="s">
        <v>749</v>
      </c>
      <c r="G464" s="396"/>
      <c r="H464" s="397"/>
      <c r="I464" s="383">
        <v>2995000</v>
      </c>
      <c r="J464" s="398">
        <v>143982</v>
      </c>
      <c r="K464" s="399" t="s">
        <v>71</v>
      </c>
      <c r="L464" s="399" t="s">
        <v>34</v>
      </c>
      <c r="M464" s="399">
        <v>208</v>
      </c>
      <c r="N464" s="356">
        <v>2995000</v>
      </c>
      <c r="O464" s="28" t="b">
        <f t="shared" si="23"/>
        <v>1</v>
      </c>
    </row>
    <row r="465" spans="2:15" s="28" customFormat="1" ht="16.5" customHeight="1">
      <c r="B465" s="20"/>
      <c r="C465" s="20"/>
      <c r="D465" s="254"/>
      <c r="E465" s="379">
        <v>143983</v>
      </c>
      <c r="F465" s="395" t="s">
        <v>743</v>
      </c>
      <c r="G465" s="396"/>
      <c r="H465" s="397"/>
      <c r="I465" s="383">
        <v>287000</v>
      </c>
      <c r="J465" s="399">
        <v>143983</v>
      </c>
      <c r="K465" s="399" t="s">
        <v>70</v>
      </c>
      <c r="L465" s="399" t="s">
        <v>34</v>
      </c>
      <c r="M465" s="399">
        <v>20</v>
      </c>
      <c r="N465" s="356">
        <v>287000</v>
      </c>
      <c r="O465" s="28" t="b">
        <f t="shared" si="23"/>
        <v>1</v>
      </c>
    </row>
    <row r="466" spans="2:15" s="28" customFormat="1" ht="16.5" customHeight="1">
      <c r="B466" s="20"/>
      <c r="C466" s="20"/>
      <c r="D466" s="254"/>
      <c r="E466" s="379">
        <v>143985</v>
      </c>
      <c r="F466" s="395" t="s">
        <v>769</v>
      </c>
      <c r="G466" s="396"/>
      <c r="H466" s="397"/>
      <c r="I466" s="383">
        <v>2763000</v>
      </c>
      <c r="J466" s="398">
        <v>143985</v>
      </c>
      <c r="K466" s="399" t="s">
        <v>71</v>
      </c>
      <c r="L466" s="399" t="s">
        <v>34</v>
      </c>
      <c r="M466" s="399">
        <v>208</v>
      </c>
      <c r="N466" s="356">
        <v>2763000</v>
      </c>
      <c r="O466" s="28" t="b">
        <f t="shared" si="23"/>
        <v>1</v>
      </c>
    </row>
    <row r="467" spans="2:15" s="28" customFormat="1" ht="16.5" customHeight="1">
      <c r="B467" s="20"/>
      <c r="C467" s="20"/>
      <c r="D467" s="254"/>
      <c r="E467" s="379">
        <v>143987</v>
      </c>
      <c r="F467" s="395" t="s">
        <v>747</v>
      </c>
      <c r="G467" s="396"/>
      <c r="H467" s="397"/>
      <c r="I467" s="383">
        <v>2938000</v>
      </c>
      <c r="J467" s="398">
        <v>143987</v>
      </c>
      <c r="K467" s="399" t="s">
        <v>71</v>
      </c>
      <c r="L467" s="399" t="s">
        <v>34</v>
      </c>
      <c r="M467" s="399">
        <v>208</v>
      </c>
      <c r="N467" s="356">
        <v>2938000</v>
      </c>
      <c r="O467" s="28" t="b">
        <f t="shared" si="23"/>
        <v>1</v>
      </c>
    </row>
    <row r="468" spans="2:15" s="28" customFormat="1" ht="16.5" customHeight="1">
      <c r="B468" s="20"/>
      <c r="C468" s="20"/>
      <c r="D468" s="254"/>
      <c r="E468" s="379">
        <v>143988</v>
      </c>
      <c r="F468" s="395" t="s">
        <v>742</v>
      </c>
      <c r="G468" s="396"/>
      <c r="H468" s="397"/>
      <c r="I468" s="383">
        <v>289000</v>
      </c>
      <c r="J468" s="398">
        <v>143988</v>
      </c>
      <c r="K468" s="399" t="s">
        <v>70</v>
      </c>
      <c r="L468" s="399" t="s">
        <v>34</v>
      </c>
      <c r="M468" s="399">
        <v>20</v>
      </c>
      <c r="N468" s="356">
        <v>289000</v>
      </c>
      <c r="O468" s="28" t="b">
        <f t="shared" si="23"/>
        <v>1</v>
      </c>
    </row>
    <row r="469" spans="2:15" s="28" customFormat="1" ht="16.5" customHeight="1">
      <c r="B469" s="20"/>
      <c r="C469" s="20"/>
      <c r="D469" s="254"/>
      <c r="E469" s="379">
        <v>143990</v>
      </c>
      <c r="F469" s="395" t="s">
        <v>770</v>
      </c>
      <c r="G469" s="396"/>
      <c r="H469" s="397"/>
      <c r="I469" s="383">
        <v>3124000</v>
      </c>
      <c r="J469" s="398">
        <v>143990</v>
      </c>
      <c r="K469" s="399" t="s">
        <v>71</v>
      </c>
      <c r="L469" s="399" t="s">
        <v>34</v>
      </c>
      <c r="M469" s="399">
        <v>208</v>
      </c>
      <c r="N469" s="356">
        <v>3124000</v>
      </c>
      <c r="O469" s="28" t="b">
        <f t="shared" si="23"/>
        <v>1</v>
      </c>
    </row>
    <row r="470" spans="2:15" s="28" customFormat="1" ht="16.5" customHeight="1">
      <c r="B470" s="20"/>
      <c r="C470" s="20"/>
      <c r="D470" s="254"/>
      <c r="E470" s="379">
        <v>143991</v>
      </c>
      <c r="F470" s="395" t="s">
        <v>771</v>
      </c>
      <c r="G470" s="396"/>
      <c r="H470" s="397"/>
      <c r="I470" s="383">
        <v>337000</v>
      </c>
      <c r="J470" s="398">
        <v>143991</v>
      </c>
      <c r="K470" s="399" t="s">
        <v>70</v>
      </c>
      <c r="L470" s="399" t="s">
        <v>34</v>
      </c>
      <c r="M470" s="399">
        <v>20</v>
      </c>
      <c r="N470" s="356">
        <v>337000</v>
      </c>
      <c r="O470" s="28" t="b">
        <f t="shared" si="23"/>
        <v>1</v>
      </c>
    </row>
    <row r="471" spans="2:15" s="28" customFormat="1" ht="16.5" customHeight="1">
      <c r="B471" s="20"/>
      <c r="C471" s="20"/>
      <c r="D471" s="254"/>
      <c r="E471" s="379">
        <v>143993</v>
      </c>
      <c r="F471" s="395" t="s">
        <v>772</v>
      </c>
      <c r="G471" s="396"/>
      <c r="H471" s="397"/>
      <c r="I471" s="383">
        <v>3255000</v>
      </c>
      <c r="J471" s="399">
        <v>143993</v>
      </c>
      <c r="K471" s="399" t="s">
        <v>71</v>
      </c>
      <c r="L471" s="399" t="s">
        <v>34</v>
      </c>
      <c r="M471" s="399">
        <v>208</v>
      </c>
      <c r="N471" s="356">
        <v>3255000</v>
      </c>
      <c r="O471" s="28" t="b">
        <f t="shared" si="23"/>
        <v>1</v>
      </c>
    </row>
    <row r="472" spans="2:15" s="28" customFormat="1" ht="16.5" customHeight="1">
      <c r="B472" s="20"/>
      <c r="C472" s="20"/>
      <c r="D472" s="254"/>
      <c r="E472" s="379">
        <v>143994</v>
      </c>
      <c r="F472" s="395" t="s">
        <v>773</v>
      </c>
      <c r="G472" s="396"/>
      <c r="H472" s="397"/>
      <c r="I472" s="383">
        <v>351000</v>
      </c>
      <c r="J472" s="398">
        <v>143994</v>
      </c>
      <c r="K472" s="399" t="s">
        <v>70</v>
      </c>
      <c r="L472" s="399" t="s">
        <v>34</v>
      </c>
      <c r="M472" s="399">
        <v>20</v>
      </c>
      <c r="N472" s="356">
        <v>351000</v>
      </c>
      <c r="O472" s="28" t="b">
        <f t="shared" si="23"/>
        <v>1</v>
      </c>
    </row>
    <row r="473" spans="2:15" s="28" customFormat="1" ht="16.5" customHeight="1">
      <c r="B473" s="20"/>
      <c r="C473" s="20"/>
      <c r="D473" s="254"/>
      <c r="E473" s="379">
        <v>144165</v>
      </c>
      <c r="F473" s="395" t="s">
        <v>750</v>
      </c>
      <c r="G473" s="396"/>
      <c r="H473" s="397"/>
      <c r="I473" s="383">
        <v>34300</v>
      </c>
      <c r="J473" s="398">
        <v>144165</v>
      </c>
      <c r="K473" s="399" t="s">
        <v>70</v>
      </c>
      <c r="L473" s="399" t="s">
        <v>34</v>
      </c>
      <c r="M473" s="399">
        <v>20</v>
      </c>
      <c r="N473" s="356">
        <v>34300</v>
      </c>
      <c r="O473" s="28" t="b">
        <f t="shared" si="23"/>
        <v>1</v>
      </c>
    </row>
    <row r="474" spans="2:15" s="28" customFormat="1" ht="16.5" customHeight="1">
      <c r="B474" s="20"/>
      <c r="C474" s="20"/>
      <c r="D474" s="254"/>
      <c r="E474" s="379">
        <v>144166</v>
      </c>
      <c r="F474" s="395" t="s">
        <v>748</v>
      </c>
      <c r="G474" s="396"/>
      <c r="H474" s="397"/>
      <c r="I474" s="383">
        <v>318000</v>
      </c>
      <c r="J474" s="398">
        <v>144166</v>
      </c>
      <c r="K474" s="399" t="s">
        <v>71</v>
      </c>
      <c r="L474" s="399" t="s">
        <v>34</v>
      </c>
      <c r="M474" s="399">
        <v>200</v>
      </c>
      <c r="N474" s="356">
        <v>318000</v>
      </c>
      <c r="O474" s="28" t="b">
        <f t="shared" ref="O474:O503" si="24">I474=N474</f>
        <v>1</v>
      </c>
    </row>
    <row r="475" spans="2:15" s="28" customFormat="1" ht="16.5" customHeight="1">
      <c r="B475" s="20"/>
      <c r="C475" s="20"/>
      <c r="D475" s="254"/>
      <c r="E475" s="379">
        <v>144167</v>
      </c>
      <c r="F475" s="395" t="s">
        <v>745</v>
      </c>
      <c r="G475" s="396"/>
      <c r="H475" s="397"/>
      <c r="I475" s="383">
        <v>34300</v>
      </c>
      <c r="J475" s="398">
        <v>144167</v>
      </c>
      <c r="K475" s="399" t="s">
        <v>70</v>
      </c>
      <c r="L475" s="399" t="s">
        <v>34</v>
      </c>
      <c r="M475" s="399">
        <v>20</v>
      </c>
      <c r="N475" s="356">
        <v>34300</v>
      </c>
      <c r="O475" s="28" t="b">
        <f t="shared" si="24"/>
        <v>1</v>
      </c>
    </row>
    <row r="476" spans="2:15" s="28" customFormat="1" ht="16.5" customHeight="1">
      <c r="B476" s="20"/>
      <c r="C476" s="20"/>
      <c r="D476" s="254"/>
      <c r="E476" s="379">
        <v>144168</v>
      </c>
      <c r="F476" s="395" t="s">
        <v>744</v>
      </c>
      <c r="G476" s="396"/>
      <c r="H476" s="397"/>
      <c r="I476" s="383">
        <v>318000</v>
      </c>
      <c r="J476" s="398">
        <v>144168</v>
      </c>
      <c r="K476" s="399" t="s">
        <v>71</v>
      </c>
      <c r="L476" s="399" t="s">
        <v>34</v>
      </c>
      <c r="M476" s="399">
        <v>200</v>
      </c>
      <c r="N476" s="356">
        <v>318000</v>
      </c>
      <c r="O476" s="28" t="b">
        <f t="shared" si="24"/>
        <v>1</v>
      </c>
    </row>
    <row r="477" spans="2:15" s="28" customFormat="1" ht="16.5" customHeight="1">
      <c r="B477" s="20"/>
      <c r="C477" s="20"/>
      <c r="D477" s="254"/>
      <c r="E477" s="379">
        <v>144169</v>
      </c>
      <c r="F477" s="395" t="s">
        <v>751</v>
      </c>
      <c r="G477" s="396"/>
      <c r="H477" s="397"/>
      <c r="I477" s="383">
        <v>36600</v>
      </c>
      <c r="J477" s="398">
        <v>144169</v>
      </c>
      <c r="K477" s="399" t="s">
        <v>70</v>
      </c>
      <c r="L477" s="399" t="s">
        <v>34</v>
      </c>
      <c r="M477" s="399">
        <v>20</v>
      </c>
      <c r="N477" s="356">
        <v>35300</v>
      </c>
      <c r="O477" s="28" t="b">
        <f t="shared" si="24"/>
        <v>0</v>
      </c>
    </row>
    <row r="478" spans="2:15" s="28" customFormat="1" ht="16.5" customHeight="1">
      <c r="B478" s="20"/>
      <c r="C478" s="20"/>
      <c r="D478" s="254"/>
      <c r="E478" s="379">
        <v>144170</v>
      </c>
      <c r="F478" s="395" t="s">
        <v>752</v>
      </c>
      <c r="G478" s="396"/>
      <c r="H478" s="397"/>
      <c r="I478" s="383">
        <v>338000</v>
      </c>
      <c r="J478" s="398">
        <v>144170</v>
      </c>
      <c r="K478" s="399" t="s">
        <v>71</v>
      </c>
      <c r="L478" s="399" t="s">
        <v>34</v>
      </c>
      <c r="M478" s="399">
        <v>200</v>
      </c>
      <c r="N478" s="356">
        <v>328000</v>
      </c>
      <c r="O478" s="28" t="b">
        <f t="shared" si="24"/>
        <v>0</v>
      </c>
    </row>
    <row r="479" spans="2:15" s="28" customFormat="1" ht="16.5" customHeight="1">
      <c r="B479" s="20"/>
      <c r="C479" s="20"/>
      <c r="D479" s="254"/>
      <c r="E479" s="379">
        <v>138924</v>
      </c>
      <c r="F479" s="395" t="s">
        <v>555</v>
      </c>
      <c r="G479" s="396"/>
      <c r="H479" s="397"/>
      <c r="I479" s="383"/>
      <c r="J479" s="398">
        <v>138924</v>
      </c>
      <c r="K479" s="399" t="s">
        <v>71</v>
      </c>
      <c r="L479" s="399" t="s">
        <v>34</v>
      </c>
      <c r="M479" s="399">
        <v>200</v>
      </c>
      <c r="N479" s="356" t="e">
        <v>#N/A</v>
      </c>
      <c r="O479" s="28" t="e">
        <f t="shared" si="24"/>
        <v>#N/A</v>
      </c>
    </row>
    <row r="480" spans="2:15" s="28" customFormat="1" ht="16.5" customHeight="1">
      <c r="B480" s="20"/>
      <c r="C480" s="20"/>
      <c r="D480" s="254"/>
      <c r="E480" s="379">
        <v>144364</v>
      </c>
      <c r="F480" s="395" t="s">
        <v>780</v>
      </c>
      <c r="G480" s="396"/>
      <c r="H480" s="397"/>
      <c r="I480" s="383">
        <v>713000</v>
      </c>
      <c r="J480" s="398">
        <v>144364</v>
      </c>
      <c r="K480" s="399" t="s">
        <v>71</v>
      </c>
      <c r="L480" s="399" t="s">
        <v>34</v>
      </c>
      <c r="M480" s="399">
        <v>200</v>
      </c>
      <c r="N480" s="356">
        <v>713000</v>
      </c>
      <c r="O480" s="28" t="b">
        <f t="shared" si="24"/>
        <v>1</v>
      </c>
    </row>
    <row r="481" spans="2:15" s="28" customFormat="1" ht="16.5" customHeight="1">
      <c r="B481" s="20"/>
      <c r="C481" s="20"/>
      <c r="D481" s="254"/>
      <c r="E481" s="379">
        <v>136171</v>
      </c>
      <c r="F481" s="395" t="s">
        <v>39</v>
      </c>
      <c r="G481" s="396"/>
      <c r="H481" s="397"/>
      <c r="I481" s="383"/>
      <c r="J481" s="398">
        <v>136171</v>
      </c>
      <c r="K481" s="399" t="s">
        <v>70</v>
      </c>
      <c r="L481" s="399" t="s">
        <v>34</v>
      </c>
      <c r="M481" s="399">
        <v>20</v>
      </c>
      <c r="N481" s="356" t="e">
        <v>#N/A</v>
      </c>
      <c r="O481" s="28" t="e">
        <f t="shared" si="24"/>
        <v>#N/A</v>
      </c>
    </row>
    <row r="482" spans="2:15" s="28" customFormat="1" ht="16.5" customHeight="1">
      <c r="B482" s="20"/>
      <c r="C482" s="20"/>
      <c r="D482" s="254"/>
      <c r="E482" s="379">
        <v>148672</v>
      </c>
      <c r="F482" s="395" t="s">
        <v>779</v>
      </c>
      <c r="G482" s="396"/>
      <c r="H482" s="397"/>
      <c r="I482" s="383">
        <v>76100</v>
      </c>
      <c r="J482" s="398">
        <v>148672</v>
      </c>
      <c r="K482" s="399" t="s">
        <v>70</v>
      </c>
      <c r="L482" s="399" t="s">
        <v>34</v>
      </c>
      <c r="M482" s="399">
        <v>20</v>
      </c>
      <c r="N482" s="356">
        <v>76100</v>
      </c>
      <c r="O482" s="28" t="b">
        <f t="shared" si="24"/>
        <v>1</v>
      </c>
    </row>
    <row r="483" spans="2:15" s="28" customFormat="1" ht="16.5" customHeight="1">
      <c r="B483" s="20"/>
      <c r="C483" s="20"/>
      <c r="D483" s="254"/>
      <c r="E483" s="379">
        <v>144353</v>
      </c>
      <c r="F483" s="395" t="s">
        <v>774</v>
      </c>
      <c r="G483" s="396"/>
      <c r="H483" s="397"/>
      <c r="I483" s="383">
        <v>670000</v>
      </c>
      <c r="J483" s="398">
        <v>144353</v>
      </c>
      <c r="K483" s="399" t="s">
        <v>71</v>
      </c>
      <c r="L483" s="399" t="s">
        <v>34</v>
      </c>
      <c r="M483" s="399">
        <v>200</v>
      </c>
      <c r="N483" s="356">
        <v>670000</v>
      </c>
      <c r="O483" s="28" t="b">
        <f t="shared" si="24"/>
        <v>1</v>
      </c>
    </row>
    <row r="484" spans="2:15" s="28" customFormat="1" ht="16.5" customHeight="1">
      <c r="B484" s="20"/>
      <c r="C484" s="20"/>
      <c r="D484" s="254"/>
      <c r="E484" s="379">
        <v>148668</v>
      </c>
      <c r="F484" s="395" t="s">
        <v>758</v>
      </c>
      <c r="G484" s="396"/>
      <c r="H484" s="397"/>
      <c r="I484" s="383">
        <v>71700</v>
      </c>
      <c r="J484" s="398">
        <v>148668</v>
      </c>
      <c r="K484" s="399" t="s">
        <v>70</v>
      </c>
      <c r="L484" s="399" t="s">
        <v>34</v>
      </c>
      <c r="M484" s="399">
        <v>20</v>
      </c>
      <c r="N484" s="356">
        <v>71700</v>
      </c>
      <c r="O484" s="28" t="b">
        <f t="shared" si="24"/>
        <v>1</v>
      </c>
    </row>
    <row r="485" spans="2:15" s="28" customFormat="1" ht="16.5" customHeight="1">
      <c r="B485" s="20"/>
      <c r="C485" s="20"/>
      <c r="D485" s="254"/>
      <c r="E485" s="379">
        <v>138925</v>
      </c>
      <c r="F485" s="395" t="s">
        <v>556</v>
      </c>
      <c r="G485" s="396"/>
      <c r="H485" s="397"/>
      <c r="I485" s="383"/>
      <c r="J485" s="398">
        <v>138925</v>
      </c>
      <c r="K485" s="399" t="s">
        <v>71</v>
      </c>
      <c r="L485" s="399" t="s">
        <v>34</v>
      </c>
      <c r="M485" s="399">
        <v>200</v>
      </c>
      <c r="N485" s="356" t="e">
        <v>#N/A</v>
      </c>
      <c r="O485" s="28" t="e">
        <f t="shared" si="24"/>
        <v>#N/A</v>
      </c>
    </row>
    <row r="486" spans="2:15" s="28" customFormat="1" ht="16.5" customHeight="1">
      <c r="B486" s="20"/>
      <c r="C486" s="20"/>
      <c r="D486" s="254"/>
      <c r="E486" s="379">
        <v>144367</v>
      </c>
      <c r="F486" s="395" t="s">
        <v>782</v>
      </c>
      <c r="G486" s="396"/>
      <c r="H486" s="397"/>
      <c r="I486" s="383">
        <v>756000</v>
      </c>
      <c r="J486" s="398">
        <v>144367</v>
      </c>
      <c r="K486" s="399" t="s">
        <v>71</v>
      </c>
      <c r="L486" s="399" t="s">
        <v>34</v>
      </c>
      <c r="M486" s="399">
        <v>200</v>
      </c>
      <c r="N486" s="356">
        <v>756000</v>
      </c>
      <c r="O486" s="28" t="b">
        <f t="shared" si="24"/>
        <v>1</v>
      </c>
    </row>
    <row r="487" spans="2:15" s="28" customFormat="1" ht="16.5" customHeight="1">
      <c r="B487" s="20"/>
      <c r="C487" s="20"/>
      <c r="D487" s="254"/>
      <c r="E487" s="379">
        <v>136172</v>
      </c>
      <c r="F487" s="395" t="s">
        <v>38</v>
      </c>
      <c r="G487" s="396"/>
      <c r="H487" s="397"/>
      <c r="I487" s="383"/>
      <c r="J487" s="398">
        <v>136172</v>
      </c>
      <c r="K487" s="399" t="s">
        <v>70</v>
      </c>
      <c r="L487" s="399" t="s">
        <v>34</v>
      </c>
      <c r="M487" s="399">
        <v>20</v>
      </c>
      <c r="N487" s="356" t="e">
        <v>#N/A</v>
      </c>
      <c r="O487" s="28" t="e">
        <f t="shared" si="24"/>
        <v>#N/A</v>
      </c>
    </row>
    <row r="488" spans="2:15" s="28" customFormat="1" ht="16.5" customHeight="1">
      <c r="B488" s="20"/>
      <c r="C488" s="20"/>
      <c r="D488" s="254"/>
      <c r="E488" s="379">
        <v>148673</v>
      </c>
      <c r="F488" s="395" t="s">
        <v>781</v>
      </c>
      <c r="G488" s="396"/>
      <c r="H488" s="397"/>
      <c r="I488" s="383">
        <v>80200</v>
      </c>
      <c r="J488" s="398">
        <v>148673</v>
      </c>
      <c r="K488" s="399" t="s">
        <v>70</v>
      </c>
      <c r="L488" s="399" t="s">
        <v>34</v>
      </c>
      <c r="M488" s="399">
        <v>20</v>
      </c>
      <c r="N488" s="356">
        <v>80200</v>
      </c>
      <c r="O488" s="28" t="b">
        <f t="shared" si="24"/>
        <v>1</v>
      </c>
    </row>
    <row r="489" spans="2:15" s="28" customFormat="1" ht="16.5" customHeight="1">
      <c r="B489" s="20"/>
      <c r="C489" s="20"/>
      <c r="D489" s="254"/>
      <c r="E489" s="379">
        <v>144355</v>
      </c>
      <c r="F489" s="395" t="s">
        <v>775</v>
      </c>
      <c r="G489" s="396"/>
      <c r="H489" s="397"/>
      <c r="I489" s="383">
        <v>670000</v>
      </c>
      <c r="J489" s="398">
        <v>144355</v>
      </c>
      <c r="K489" s="399" t="s">
        <v>71</v>
      </c>
      <c r="L489" s="399" t="s">
        <v>34</v>
      </c>
      <c r="M489" s="399">
        <v>200</v>
      </c>
      <c r="N489" s="356">
        <v>670000</v>
      </c>
      <c r="O489" s="28" t="b">
        <f t="shared" si="24"/>
        <v>1</v>
      </c>
    </row>
    <row r="490" spans="2:15" s="28" customFormat="1" ht="16.5" customHeight="1">
      <c r="B490" s="20"/>
      <c r="C490" s="20"/>
      <c r="D490" s="254"/>
      <c r="E490" s="379">
        <v>148669</v>
      </c>
      <c r="F490" s="395" t="s">
        <v>755</v>
      </c>
      <c r="G490" s="396"/>
      <c r="H490" s="397"/>
      <c r="I490" s="383">
        <v>71700</v>
      </c>
      <c r="J490" s="398">
        <v>148669</v>
      </c>
      <c r="K490" s="399" t="s">
        <v>70</v>
      </c>
      <c r="L490" s="399" t="s">
        <v>34</v>
      </c>
      <c r="M490" s="399">
        <v>20</v>
      </c>
      <c r="N490" s="356">
        <v>71700</v>
      </c>
      <c r="O490" s="28" t="b">
        <f t="shared" si="24"/>
        <v>1</v>
      </c>
    </row>
    <row r="491" spans="2:15" s="28" customFormat="1" ht="16.5" customHeight="1">
      <c r="B491" s="20"/>
      <c r="C491" s="20"/>
      <c r="D491" s="254"/>
      <c r="E491" s="379">
        <v>144358</v>
      </c>
      <c r="F491" s="395" t="s">
        <v>754</v>
      </c>
      <c r="G491" s="396"/>
      <c r="H491" s="397"/>
      <c r="I491" s="383">
        <v>670000</v>
      </c>
      <c r="J491" s="398">
        <v>144358</v>
      </c>
      <c r="K491" s="399" t="s">
        <v>71</v>
      </c>
      <c r="L491" s="399" t="s">
        <v>34</v>
      </c>
      <c r="M491" s="399">
        <v>200</v>
      </c>
      <c r="N491" s="356">
        <v>670000</v>
      </c>
      <c r="O491" s="28" t="b">
        <f t="shared" si="24"/>
        <v>1</v>
      </c>
    </row>
    <row r="492" spans="2:15" s="28" customFormat="1" ht="16.5" customHeight="1">
      <c r="B492" s="20"/>
      <c r="C492" s="20"/>
      <c r="D492" s="254"/>
      <c r="E492" s="379">
        <v>148670</v>
      </c>
      <c r="F492" s="395" t="s">
        <v>776</v>
      </c>
      <c r="G492" s="396"/>
      <c r="H492" s="397"/>
      <c r="I492" s="383">
        <v>71700</v>
      </c>
      <c r="J492" s="398">
        <v>148670</v>
      </c>
      <c r="K492" s="399" t="s">
        <v>70</v>
      </c>
      <c r="L492" s="399" t="s">
        <v>34</v>
      </c>
      <c r="M492" s="399">
        <v>20</v>
      </c>
      <c r="N492" s="356">
        <v>71700</v>
      </c>
      <c r="O492" s="28" t="b">
        <f t="shared" si="24"/>
        <v>1</v>
      </c>
    </row>
    <row r="493" spans="2:15" s="28" customFormat="1" ht="16.5" customHeight="1">
      <c r="B493" s="20"/>
      <c r="C493" s="20"/>
      <c r="D493" s="254"/>
      <c r="E493" s="379">
        <v>144361</v>
      </c>
      <c r="F493" s="395" t="s">
        <v>778</v>
      </c>
      <c r="G493" s="396"/>
      <c r="H493" s="397"/>
      <c r="I493" s="383">
        <v>670000</v>
      </c>
      <c r="J493" s="398">
        <v>144361</v>
      </c>
      <c r="K493" s="399" t="s">
        <v>71</v>
      </c>
      <c r="L493" s="399" t="s">
        <v>34</v>
      </c>
      <c r="M493" s="399">
        <v>200</v>
      </c>
      <c r="N493" s="356">
        <v>670000</v>
      </c>
      <c r="O493" s="28" t="b">
        <f t="shared" si="24"/>
        <v>1</v>
      </c>
    </row>
    <row r="494" spans="2:15" s="28" customFormat="1" ht="16.5" customHeight="1">
      <c r="B494" s="20"/>
      <c r="C494" s="20"/>
      <c r="D494" s="254"/>
      <c r="E494" s="379">
        <v>148671</v>
      </c>
      <c r="F494" s="395" t="s">
        <v>777</v>
      </c>
      <c r="G494" s="396"/>
      <c r="H494" s="397"/>
      <c r="I494" s="383">
        <v>71700</v>
      </c>
      <c r="J494" s="398">
        <v>148671</v>
      </c>
      <c r="K494" s="399" t="s">
        <v>70</v>
      </c>
      <c r="L494" s="399" t="s">
        <v>34</v>
      </c>
      <c r="M494" s="399">
        <v>20</v>
      </c>
      <c r="N494" s="356">
        <v>71700</v>
      </c>
      <c r="O494" s="28" t="b">
        <f t="shared" si="24"/>
        <v>1</v>
      </c>
    </row>
    <row r="495" spans="2:15" s="28" customFormat="1" ht="16.5" customHeight="1">
      <c r="B495" s="20"/>
      <c r="C495" s="20"/>
      <c r="D495" s="254"/>
      <c r="E495" s="379">
        <v>144355</v>
      </c>
      <c r="F495" s="395" t="s">
        <v>775</v>
      </c>
      <c r="G495" s="396"/>
      <c r="H495" s="397"/>
      <c r="I495" s="383">
        <v>670000</v>
      </c>
      <c r="J495" s="398">
        <v>144355</v>
      </c>
      <c r="K495" s="399" t="s">
        <v>71</v>
      </c>
      <c r="L495" s="399" t="s">
        <v>34</v>
      </c>
      <c r="M495" s="399">
        <v>200</v>
      </c>
      <c r="N495" s="356">
        <v>670000</v>
      </c>
      <c r="O495" s="28" t="b">
        <f t="shared" si="24"/>
        <v>1</v>
      </c>
    </row>
    <row r="496" spans="2:15" s="28" customFormat="1" ht="16.5" customHeight="1">
      <c r="B496" s="20"/>
      <c r="C496" s="20"/>
      <c r="D496" s="254"/>
      <c r="E496" s="379">
        <v>148669</v>
      </c>
      <c r="F496" s="395" t="s">
        <v>755</v>
      </c>
      <c r="G496" s="396"/>
      <c r="H496" s="397"/>
      <c r="I496" s="383">
        <v>71700</v>
      </c>
      <c r="J496" s="398">
        <v>148669</v>
      </c>
      <c r="K496" s="399" t="s">
        <v>70</v>
      </c>
      <c r="L496" s="399" t="s">
        <v>34</v>
      </c>
      <c r="M496" s="399">
        <v>20</v>
      </c>
      <c r="N496" s="356">
        <v>71700</v>
      </c>
      <c r="O496" s="28" t="b">
        <f t="shared" si="24"/>
        <v>1</v>
      </c>
    </row>
    <row r="497" spans="2:22" s="28" customFormat="1" ht="16.5" customHeight="1">
      <c r="B497" s="20"/>
      <c r="C497" s="20"/>
      <c r="D497" s="254"/>
      <c r="E497" s="379">
        <v>144358</v>
      </c>
      <c r="F497" s="395" t="s">
        <v>754</v>
      </c>
      <c r="G497" s="396"/>
      <c r="H497" s="397"/>
      <c r="I497" s="383">
        <v>670000</v>
      </c>
      <c r="J497" s="398">
        <v>144358</v>
      </c>
      <c r="K497" s="399" t="s">
        <v>71</v>
      </c>
      <c r="L497" s="399" t="s">
        <v>34</v>
      </c>
      <c r="M497" s="399">
        <v>200</v>
      </c>
      <c r="N497" s="356">
        <v>670000</v>
      </c>
      <c r="O497" s="28" t="b">
        <f t="shared" si="24"/>
        <v>1</v>
      </c>
    </row>
    <row r="498" spans="2:22" s="28" customFormat="1" ht="16.5" customHeight="1">
      <c r="B498" s="20"/>
      <c r="C498" s="20"/>
      <c r="D498" s="254"/>
      <c r="E498" s="379">
        <v>148670</v>
      </c>
      <c r="F498" s="395" t="s">
        <v>776</v>
      </c>
      <c r="G498" s="396"/>
      <c r="H498" s="397"/>
      <c r="I498" s="383">
        <v>71700</v>
      </c>
      <c r="J498" s="398">
        <v>148670</v>
      </c>
      <c r="K498" s="399" t="s">
        <v>70</v>
      </c>
      <c r="L498" s="399" t="s">
        <v>34</v>
      </c>
      <c r="M498" s="399">
        <v>20</v>
      </c>
      <c r="N498" s="356">
        <v>71700</v>
      </c>
      <c r="O498" s="28" t="b">
        <f t="shared" si="24"/>
        <v>1</v>
      </c>
    </row>
    <row r="499" spans="2:22" s="28" customFormat="1" ht="16.5" customHeight="1">
      <c r="B499" s="20"/>
      <c r="C499" s="20"/>
      <c r="D499" s="254"/>
      <c r="E499" s="379">
        <v>144361</v>
      </c>
      <c r="F499" s="395" t="s">
        <v>778</v>
      </c>
      <c r="G499" s="396"/>
      <c r="H499" s="397"/>
      <c r="I499" s="383">
        <v>670000</v>
      </c>
      <c r="J499" s="398">
        <v>144361</v>
      </c>
      <c r="K499" s="399" t="s">
        <v>71</v>
      </c>
      <c r="L499" s="399" t="s">
        <v>34</v>
      </c>
      <c r="M499" s="399">
        <v>200</v>
      </c>
      <c r="N499" s="356">
        <v>670000</v>
      </c>
      <c r="O499" s="28" t="b">
        <f t="shared" si="24"/>
        <v>1</v>
      </c>
    </row>
    <row r="500" spans="2:22" s="28" customFormat="1" ht="16.5" customHeight="1">
      <c r="B500" s="20"/>
      <c r="C500" s="20"/>
      <c r="D500" s="254"/>
      <c r="E500" s="379">
        <v>148671</v>
      </c>
      <c r="F500" s="395" t="s">
        <v>777</v>
      </c>
      <c r="G500" s="396"/>
      <c r="H500" s="397"/>
      <c r="I500" s="383">
        <v>71700</v>
      </c>
      <c r="J500" s="398">
        <v>148671</v>
      </c>
      <c r="K500" s="399" t="s">
        <v>70</v>
      </c>
      <c r="L500" s="399" t="s">
        <v>34</v>
      </c>
      <c r="M500" s="399">
        <v>20</v>
      </c>
      <c r="N500" s="356">
        <v>71700</v>
      </c>
      <c r="O500" s="28" t="b">
        <f t="shared" si="24"/>
        <v>1</v>
      </c>
    </row>
    <row r="501" spans="2:22" s="28" customFormat="1" ht="16.5" customHeight="1">
      <c r="B501" s="20"/>
      <c r="C501" s="20"/>
      <c r="D501" s="254"/>
      <c r="E501" s="379">
        <v>144270</v>
      </c>
      <c r="F501" s="395" t="s">
        <v>843</v>
      </c>
      <c r="G501" s="396"/>
      <c r="H501" s="397"/>
      <c r="I501" s="383">
        <v>1005000</v>
      </c>
      <c r="J501" s="398">
        <v>144270</v>
      </c>
      <c r="K501" s="399" t="s">
        <v>71</v>
      </c>
      <c r="L501" s="399" t="s">
        <v>34</v>
      </c>
      <c r="M501" s="399">
        <v>200</v>
      </c>
      <c r="N501" s="356">
        <v>1005000</v>
      </c>
      <c r="O501" s="28" t="b">
        <f t="shared" si="24"/>
        <v>1</v>
      </c>
    </row>
    <row r="502" spans="2:22" s="28" customFormat="1" ht="16.5" customHeight="1">
      <c r="B502" s="20"/>
      <c r="C502" s="20"/>
      <c r="D502" s="254"/>
      <c r="E502" s="379">
        <v>135441</v>
      </c>
      <c r="F502" s="395" t="s">
        <v>298</v>
      </c>
      <c r="G502" s="396"/>
      <c r="H502" s="397"/>
      <c r="I502" s="383">
        <v>287000</v>
      </c>
      <c r="J502" s="398">
        <v>135441</v>
      </c>
      <c r="K502" s="399" t="s">
        <v>70</v>
      </c>
      <c r="L502" s="399" t="s">
        <v>34</v>
      </c>
      <c r="M502" s="399">
        <v>20</v>
      </c>
      <c r="N502" s="356">
        <v>287000</v>
      </c>
      <c r="O502" s="28" t="b">
        <f t="shared" si="24"/>
        <v>1</v>
      </c>
    </row>
    <row r="503" spans="2:22" s="28" customFormat="1" ht="16.5" customHeight="1">
      <c r="B503" s="20"/>
      <c r="C503" s="20"/>
      <c r="D503" s="254"/>
      <c r="E503" s="379">
        <v>128430</v>
      </c>
      <c r="F503" s="395" t="s">
        <v>847</v>
      </c>
      <c r="G503" s="396"/>
      <c r="H503" s="397"/>
      <c r="I503" s="383">
        <v>1800000</v>
      </c>
      <c r="J503" s="398">
        <v>128430</v>
      </c>
      <c r="K503" s="399" t="s">
        <v>71</v>
      </c>
      <c r="L503" s="399" t="s">
        <v>34</v>
      </c>
      <c r="M503" s="399">
        <v>181</v>
      </c>
      <c r="N503" s="356">
        <v>1800000</v>
      </c>
      <c r="O503" s="28" t="b">
        <f t="shared" si="24"/>
        <v>1</v>
      </c>
    </row>
    <row r="504" spans="2:22" s="28" customFormat="1" ht="16.5" customHeight="1">
      <c r="B504" s="20"/>
      <c r="C504" s="20"/>
      <c r="D504" s="254"/>
      <c r="E504" s="379">
        <v>141257</v>
      </c>
      <c r="F504" s="395" t="s">
        <v>856</v>
      </c>
      <c r="G504" s="396"/>
      <c r="H504" s="397"/>
      <c r="I504" s="383">
        <v>85932</v>
      </c>
      <c r="J504" s="398">
        <v>141257</v>
      </c>
      <c r="K504" s="378" t="s">
        <v>73</v>
      </c>
      <c r="L504" s="378" t="s">
        <v>35</v>
      </c>
      <c r="M504" s="399">
        <v>12</v>
      </c>
      <c r="N504" s="356" t="e">
        <v>#N/A</v>
      </c>
      <c r="V504" s="100"/>
    </row>
    <row r="505" spans="2:22" s="28" customFormat="1" ht="16.5" customHeight="1">
      <c r="B505" s="20"/>
      <c r="C505" s="20"/>
      <c r="D505" s="456"/>
      <c r="E505" s="411">
        <v>147122</v>
      </c>
      <c r="F505" s="395" t="s">
        <v>868</v>
      </c>
      <c r="G505" s="396"/>
      <c r="H505" s="397"/>
      <c r="I505" s="383">
        <v>49896</v>
      </c>
      <c r="J505" s="398">
        <v>147122</v>
      </c>
      <c r="K505" s="378" t="s">
        <v>73</v>
      </c>
      <c r="L505" s="399" t="s">
        <v>872</v>
      </c>
      <c r="M505" s="399">
        <v>12</v>
      </c>
      <c r="N505" s="356" t="e">
        <v>#N/A</v>
      </c>
      <c r="V505" s="100"/>
    </row>
    <row r="506" spans="2:22" s="28" customFormat="1" ht="16.5" customHeight="1">
      <c r="B506" s="20"/>
      <c r="C506" s="20"/>
      <c r="D506" s="254"/>
      <c r="E506" s="411">
        <v>140901</v>
      </c>
      <c r="F506" s="395" t="s">
        <v>98</v>
      </c>
      <c r="G506" s="396"/>
      <c r="H506" s="397"/>
      <c r="I506" s="383">
        <f>VLOOKUP(E506,'[1]Table 1'!$A$6:$C$21,3,0)</f>
        <v>88308</v>
      </c>
      <c r="J506" s="398">
        <v>140901</v>
      </c>
      <c r="K506" s="378" t="s">
        <v>73</v>
      </c>
      <c r="L506" s="399" t="s">
        <v>872</v>
      </c>
      <c r="M506" s="399">
        <v>20</v>
      </c>
      <c r="N506" s="356" t="e">
        <v>#N/A</v>
      </c>
      <c r="V506" s="100"/>
    </row>
    <row r="507" spans="2:22" s="28" customFormat="1" ht="16.5" customHeight="1">
      <c r="B507" s="20"/>
      <c r="C507" s="20"/>
      <c r="D507" s="254"/>
      <c r="E507" s="411">
        <v>140904</v>
      </c>
      <c r="F507" s="395" t="s">
        <v>859</v>
      </c>
      <c r="G507" s="396"/>
      <c r="H507" s="397"/>
      <c r="I507" s="383">
        <f>VLOOKUP(E507,'[1]Table 1'!$A$6:$C$21,3,0)</f>
        <v>96792</v>
      </c>
      <c r="J507" s="398">
        <v>140904</v>
      </c>
      <c r="K507" s="378" t="s">
        <v>73</v>
      </c>
      <c r="L507" s="399" t="s">
        <v>872</v>
      </c>
      <c r="M507" s="399">
        <v>20</v>
      </c>
      <c r="N507" s="356" t="e">
        <v>#N/A</v>
      </c>
      <c r="V507" s="100"/>
    </row>
    <row r="508" spans="2:22" s="28" customFormat="1" ht="16.5" customHeight="1">
      <c r="B508" s="20"/>
      <c r="C508" s="20"/>
      <c r="D508" s="457"/>
      <c r="E508" s="411">
        <v>147379</v>
      </c>
      <c r="F508" s="395" t="s">
        <v>862</v>
      </c>
      <c r="G508" s="396"/>
      <c r="H508" s="397"/>
      <c r="I508" s="383">
        <v>35928</v>
      </c>
      <c r="J508" s="398">
        <v>147379</v>
      </c>
      <c r="K508" s="378" t="s">
        <v>73</v>
      </c>
      <c r="L508" s="399" t="s">
        <v>872</v>
      </c>
      <c r="M508" s="399">
        <v>12</v>
      </c>
      <c r="N508" s="356"/>
      <c r="V508" s="100"/>
    </row>
    <row r="509" spans="2:22" s="28" customFormat="1" ht="16.5" customHeight="1">
      <c r="B509" s="20"/>
      <c r="C509" s="20"/>
      <c r="D509" s="255"/>
      <c r="E509" s="411">
        <v>138583</v>
      </c>
      <c r="F509" s="395" t="s">
        <v>740</v>
      </c>
      <c r="G509" s="396"/>
      <c r="H509" s="397"/>
      <c r="I509" s="383">
        <f>VLOOKUP(E509,'[1]Table 1'!$A$6:$C$21,3,0)</f>
        <v>44600</v>
      </c>
      <c r="J509" s="398">
        <v>138583</v>
      </c>
      <c r="K509" s="378" t="s">
        <v>73</v>
      </c>
      <c r="L509" s="399" t="s">
        <v>872</v>
      </c>
      <c r="M509" s="399">
        <v>12</v>
      </c>
      <c r="N509" s="356"/>
      <c r="V509" s="100"/>
    </row>
    <row r="510" spans="2:22" s="28" customFormat="1" ht="16.5" customHeight="1">
      <c r="B510" s="20"/>
      <c r="C510" s="20"/>
      <c r="D510" s="255"/>
      <c r="E510" s="411">
        <v>140876</v>
      </c>
      <c r="F510" s="395" t="s">
        <v>105</v>
      </c>
      <c r="G510" s="396"/>
      <c r="H510" s="397"/>
      <c r="I510" s="383">
        <f>VLOOKUP(E510,'[1]Table 1'!$A$6:$C$21,3,0)</f>
        <v>529893</v>
      </c>
      <c r="J510" s="398">
        <v>140876</v>
      </c>
      <c r="K510" s="399" t="s">
        <v>70</v>
      </c>
      <c r="L510" s="399" t="s">
        <v>872</v>
      </c>
      <c r="M510" s="399">
        <v>20</v>
      </c>
      <c r="N510" s="356"/>
      <c r="V510" s="100"/>
    </row>
    <row r="511" spans="2:22" s="28" customFormat="1" ht="16.5" customHeight="1">
      <c r="B511" s="20"/>
      <c r="C511" s="20"/>
      <c r="D511" s="255"/>
      <c r="E511" s="411">
        <v>140877</v>
      </c>
      <c r="F511" s="395" t="s">
        <v>99</v>
      </c>
      <c r="G511" s="396"/>
      <c r="H511" s="397"/>
      <c r="I511" s="383">
        <f>VLOOKUP(E511,'[1]Table 1'!$A$6:$C$21,3,0)</f>
        <v>80739</v>
      </c>
      <c r="J511" s="398">
        <v>140877</v>
      </c>
      <c r="K511" s="399" t="s">
        <v>70</v>
      </c>
      <c r="L511" s="399" t="s">
        <v>872</v>
      </c>
      <c r="M511" s="399">
        <v>20</v>
      </c>
      <c r="N511" s="356"/>
      <c r="V511" s="100"/>
    </row>
    <row r="512" spans="2:22" s="28" customFormat="1" ht="16.5" customHeight="1">
      <c r="B512" s="20"/>
      <c r="C512" s="20"/>
      <c r="D512" s="255"/>
      <c r="E512" s="411">
        <v>140878</v>
      </c>
      <c r="F512" s="395" t="s">
        <v>860</v>
      </c>
      <c r="G512" s="396"/>
      <c r="H512" s="397"/>
      <c r="I512" s="383">
        <f>VLOOKUP(E512,'[1]Table 1'!$A$6:$C$21,3,0)</f>
        <v>121830</v>
      </c>
      <c r="J512" s="398">
        <v>140878</v>
      </c>
      <c r="K512" s="399" t="s">
        <v>70</v>
      </c>
      <c r="L512" s="399" t="s">
        <v>872</v>
      </c>
      <c r="M512" s="399">
        <v>20</v>
      </c>
      <c r="N512" s="356"/>
      <c r="V512" s="100"/>
    </row>
    <row r="513" spans="2:24" s="28" customFormat="1" ht="16.5" customHeight="1">
      <c r="B513" s="20"/>
      <c r="C513" s="20"/>
      <c r="D513" s="255"/>
      <c r="E513" s="411">
        <v>140922</v>
      </c>
      <c r="F513" s="395" t="s">
        <v>94</v>
      </c>
      <c r="G513" s="396"/>
      <c r="H513" s="397"/>
      <c r="I513" s="383">
        <f>VLOOKUP(E513,'[1]Table 1'!$A$6:$C$21,3,0)</f>
        <v>210521</v>
      </c>
      <c r="J513" s="398">
        <v>140922</v>
      </c>
      <c r="K513" s="399" t="s">
        <v>70</v>
      </c>
      <c r="L513" s="399" t="s">
        <v>872</v>
      </c>
      <c r="M513" s="399">
        <v>20</v>
      </c>
      <c r="N513" s="356"/>
      <c r="V513" s="100"/>
    </row>
    <row r="514" spans="2:24" s="28" customFormat="1" ht="16.5" customHeight="1">
      <c r="B514" s="20"/>
      <c r="C514" s="20"/>
      <c r="D514" s="255"/>
      <c r="E514" s="411">
        <v>140902</v>
      </c>
      <c r="F514" s="395" t="s">
        <v>95</v>
      </c>
      <c r="G514" s="396"/>
      <c r="H514" s="397"/>
      <c r="I514" s="383">
        <f>VLOOKUP(E514,'[1]Table 1'!$A$6:$C$21,3,0)</f>
        <v>870316</v>
      </c>
      <c r="J514" s="398">
        <v>140902</v>
      </c>
      <c r="K514" s="399" t="s">
        <v>71</v>
      </c>
      <c r="L514" s="399" t="s">
        <v>872</v>
      </c>
      <c r="M514" s="399">
        <v>200</v>
      </c>
      <c r="N514" s="356"/>
      <c r="V514" s="100"/>
    </row>
    <row r="515" spans="2:24" s="28" customFormat="1" ht="16.5" customHeight="1">
      <c r="B515" s="20"/>
      <c r="C515" s="20"/>
      <c r="D515" s="255"/>
      <c r="E515" s="411">
        <v>140905</v>
      </c>
      <c r="F515" s="395" t="s">
        <v>96</v>
      </c>
      <c r="G515" s="396"/>
      <c r="H515" s="397"/>
      <c r="I515" s="383">
        <f>VLOOKUP(E515,'[1]Table 1'!$A$6:$C$21,3,0)</f>
        <v>874413</v>
      </c>
      <c r="J515" s="398">
        <v>140905</v>
      </c>
      <c r="K515" s="399" t="s">
        <v>71</v>
      </c>
      <c r="L515" s="399" t="s">
        <v>872</v>
      </c>
      <c r="M515" s="399">
        <v>200</v>
      </c>
      <c r="N515" s="356"/>
      <c r="V515" s="100"/>
    </row>
    <row r="516" spans="2:24" s="28" customFormat="1" ht="16.5" customHeight="1">
      <c r="B516" s="20"/>
      <c r="C516" s="20"/>
      <c r="D516" s="457"/>
      <c r="E516" s="411">
        <v>147284</v>
      </c>
      <c r="F516" s="395" t="s">
        <v>837</v>
      </c>
      <c r="G516" s="396"/>
      <c r="H516" s="397"/>
      <c r="I516" s="383">
        <v>526308</v>
      </c>
      <c r="J516" s="398">
        <v>147284</v>
      </c>
      <c r="K516" s="399" t="s">
        <v>71</v>
      </c>
      <c r="L516" s="399" t="s">
        <v>872</v>
      </c>
      <c r="M516" s="399">
        <v>208</v>
      </c>
      <c r="N516" s="356"/>
      <c r="V516" s="100"/>
    </row>
    <row r="517" spans="2:24" s="28" customFormat="1" ht="16.5" customHeight="1">
      <c r="B517" s="20"/>
      <c r="C517" s="20"/>
      <c r="D517" s="456"/>
      <c r="E517" s="411">
        <v>147391</v>
      </c>
      <c r="F517" s="395" t="s">
        <v>838</v>
      </c>
      <c r="G517" s="396"/>
      <c r="H517" s="397"/>
      <c r="I517" s="383">
        <v>518741</v>
      </c>
      <c r="J517" s="398">
        <v>147391</v>
      </c>
      <c r="K517" s="399" t="s">
        <v>71</v>
      </c>
      <c r="L517" s="399" t="s">
        <v>872</v>
      </c>
      <c r="M517" s="399">
        <v>208</v>
      </c>
      <c r="N517" s="356"/>
      <c r="V517" s="100"/>
    </row>
    <row r="518" spans="2:24" s="28" customFormat="1" ht="16.5" customHeight="1">
      <c r="B518" s="20"/>
      <c r="C518" s="20"/>
      <c r="D518" s="254"/>
      <c r="E518" s="411">
        <v>144515</v>
      </c>
      <c r="F518" s="395" t="s">
        <v>839</v>
      </c>
      <c r="G518" s="396"/>
      <c r="H518" s="397"/>
      <c r="I518" s="383">
        <v>631617</v>
      </c>
      <c r="J518" s="398">
        <v>144515</v>
      </c>
      <c r="K518" s="399" t="s">
        <v>71</v>
      </c>
      <c r="L518" s="399" t="s">
        <v>872</v>
      </c>
      <c r="M518" s="399">
        <v>208</v>
      </c>
      <c r="N518" s="356"/>
      <c r="V518" s="100"/>
    </row>
    <row r="519" spans="2:24" s="28" customFormat="1" ht="16.5" customHeight="1">
      <c r="B519" s="20"/>
      <c r="C519" s="20"/>
      <c r="D519" s="456"/>
      <c r="E519" s="411">
        <v>147370</v>
      </c>
      <c r="F519" s="395" t="s">
        <v>839</v>
      </c>
      <c r="G519" s="396"/>
      <c r="H519" s="397"/>
      <c r="I519" s="383">
        <v>523786</v>
      </c>
      <c r="J519" s="398">
        <v>147370</v>
      </c>
      <c r="K519" s="399" t="s">
        <v>71</v>
      </c>
      <c r="L519" s="399" t="s">
        <v>872</v>
      </c>
      <c r="M519" s="399">
        <v>208</v>
      </c>
      <c r="N519" s="356"/>
      <c r="V519" s="100"/>
    </row>
    <row r="520" spans="2:24" s="28" customFormat="1" ht="16.5" customHeight="1">
      <c r="B520" s="20"/>
      <c r="C520" s="20"/>
      <c r="D520" s="254"/>
      <c r="E520" s="411">
        <v>140597</v>
      </c>
      <c r="F520" s="395" t="s">
        <v>869</v>
      </c>
      <c r="G520" s="396"/>
      <c r="H520" s="397"/>
      <c r="I520" s="383">
        <v>124000</v>
      </c>
      <c r="J520" s="398">
        <v>140597</v>
      </c>
      <c r="K520" s="378" t="s">
        <v>73</v>
      </c>
      <c r="L520" s="399" t="s">
        <v>872</v>
      </c>
      <c r="M520" s="399">
        <v>12</v>
      </c>
      <c r="N520" s="356"/>
      <c r="V520" s="100"/>
    </row>
    <row r="521" spans="2:24" s="28" customFormat="1" ht="16.5" customHeight="1">
      <c r="B521" s="20"/>
      <c r="C521" s="20"/>
      <c r="D521" s="254"/>
      <c r="E521" s="411">
        <v>147279</v>
      </c>
      <c r="F521" s="395" t="s">
        <v>870</v>
      </c>
      <c r="G521" s="396"/>
      <c r="H521" s="397"/>
      <c r="I521" s="383">
        <f>VLOOKUP(E521,'[1]Table 1'!$A$6:$C$21,3,0)</f>
        <v>50796</v>
      </c>
      <c r="J521" s="398">
        <v>147279</v>
      </c>
      <c r="K521" s="378" t="s">
        <v>73</v>
      </c>
      <c r="L521" s="399" t="s">
        <v>872</v>
      </c>
      <c r="M521" s="399">
        <v>12</v>
      </c>
      <c r="N521" s="356"/>
      <c r="V521" s="100"/>
    </row>
    <row r="522" spans="2:24" s="28" customFormat="1" ht="16.5" customHeight="1">
      <c r="B522" s="20"/>
      <c r="C522" s="20"/>
      <c r="D522" s="254"/>
      <c r="E522" s="411">
        <v>141257</v>
      </c>
      <c r="F522" s="395" t="s">
        <v>871</v>
      </c>
      <c r="G522" s="396"/>
      <c r="H522" s="397"/>
      <c r="I522" s="383">
        <f>VLOOKUP(E522,'[1]Table 1'!$A$6:$C$21,3,0)</f>
        <v>82344</v>
      </c>
      <c r="J522" s="398">
        <v>141257</v>
      </c>
      <c r="K522" s="378" t="s">
        <v>73</v>
      </c>
      <c r="L522" s="399" t="s">
        <v>872</v>
      </c>
      <c r="M522" s="399">
        <v>12</v>
      </c>
      <c r="N522" s="356"/>
      <c r="V522" s="100"/>
    </row>
    <row r="523" spans="2:24" s="28" customFormat="1" ht="16.5" customHeight="1">
      <c r="B523" s="20"/>
      <c r="C523" s="20"/>
      <c r="D523" s="254"/>
      <c r="E523" s="379">
        <v>140909</v>
      </c>
      <c r="F523" s="395" t="s">
        <v>862</v>
      </c>
      <c r="G523" s="396"/>
      <c r="H523" s="397"/>
      <c r="I523" s="383">
        <v>45528</v>
      </c>
      <c r="J523" s="379">
        <v>140909</v>
      </c>
      <c r="K523" s="378" t="s">
        <v>73</v>
      </c>
      <c r="L523" s="399" t="s">
        <v>872</v>
      </c>
      <c r="M523" s="399">
        <v>12</v>
      </c>
      <c r="N523" s="356"/>
      <c r="V523" s="100"/>
    </row>
    <row r="524" spans="2:24" s="28" customFormat="1" ht="16.5" customHeight="1">
      <c r="B524" s="20"/>
      <c r="C524" s="20"/>
      <c r="D524" s="448"/>
      <c r="E524" s="32">
        <v>148006</v>
      </c>
      <c r="F524" s="37" t="s">
        <v>900</v>
      </c>
      <c r="G524" s="34"/>
      <c r="H524" s="35"/>
      <c r="I524" s="62">
        <v>2142400</v>
      </c>
      <c r="J524" s="33">
        <v>135477</v>
      </c>
      <c r="K524" s="32" t="s">
        <v>71</v>
      </c>
      <c r="L524" s="32" t="s">
        <v>1076</v>
      </c>
      <c r="M524" s="32">
        <v>208</v>
      </c>
      <c r="N524" s="356"/>
      <c r="R524" s="43"/>
      <c r="S524" s="43"/>
      <c r="T524" s="43"/>
      <c r="U524" s="449"/>
      <c r="V524" s="449"/>
      <c r="W524" s="43"/>
      <c r="X524" s="42"/>
    </row>
    <row r="525" spans="2:24" s="28" customFormat="1" ht="16.5" customHeight="1">
      <c r="B525" s="20"/>
      <c r="C525" s="20"/>
      <c r="D525" s="456"/>
      <c r="E525" s="411">
        <v>147966</v>
      </c>
      <c r="F525" s="395" t="s">
        <v>870</v>
      </c>
      <c r="G525" s="396"/>
      <c r="H525" s="397"/>
      <c r="I525" s="383">
        <v>48876</v>
      </c>
      <c r="J525" s="398">
        <v>147279</v>
      </c>
      <c r="K525" s="378" t="s">
        <v>73</v>
      </c>
      <c r="L525" s="399" t="s">
        <v>872</v>
      </c>
      <c r="M525" s="399">
        <v>12</v>
      </c>
      <c r="N525" s="356"/>
      <c r="V525" s="100"/>
    </row>
    <row r="526" spans="2:24" s="28" customFormat="1" ht="16.5" customHeight="1">
      <c r="B526" s="20"/>
      <c r="C526" s="20"/>
      <c r="D526" s="456"/>
      <c r="E526" s="379">
        <v>147829</v>
      </c>
      <c r="F526" s="395" t="s">
        <v>913</v>
      </c>
      <c r="G526" s="396"/>
      <c r="H526" s="397"/>
      <c r="I526" s="383">
        <v>80160</v>
      </c>
      <c r="J526" s="398">
        <v>147829</v>
      </c>
      <c r="K526" s="378" t="s">
        <v>73</v>
      </c>
      <c r="L526" s="399" t="s">
        <v>872</v>
      </c>
      <c r="M526" s="399">
        <v>12</v>
      </c>
      <c r="N526" s="356"/>
      <c r="V526" s="100"/>
    </row>
    <row r="527" spans="2:24" s="28" customFormat="1" ht="16.5" customHeight="1">
      <c r="B527" s="20"/>
      <c r="C527" s="20"/>
      <c r="D527" s="457"/>
      <c r="E527" s="379">
        <v>148692</v>
      </c>
      <c r="F527" s="395" t="s">
        <v>1059</v>
      </c>
      <c r="G527" s="460"/>
      <c r="H527" s="461"/>
      <c r="I527" s="462">
        <v>48876</v>
      </c>
      <c r="J527" s="398">
        <v>148692</v>
      </c>
      <c r="K527" s="378" t="s">
        <v>73</v>
      </c>
      <c r="L527" s="399" t="s">
        <v>872</v>
      </c>
      <c r="M527" s="399">
        <v>12</v>
      </c>
      <c r="N527" s="356"/>
      <c r="V527" s="100"/>
    </row>
    <row r="528" spans="2:24" s="28" customFormat="1" ht="16.5" customHeight="1">
      <c r="B528" s="20"/>
      <c r="C528" s="20"/>
      <c r="D528" s="254"/>
      <c r="E528" s="379">
        <v>148789</v>
      </c>
      <c r="F528" s="395" t="s">
        <v>1060</v>
      </c>
      <c r="G528" s="396"/>
      <c r="H528" s="397"/>
      <c r="I528" s="383">
        <v>743243</v>
      </c>
      <c r="J528" s="398">
        <v>148789</v>
      </c>
      <c r="K528" s="32" t="s">
        <v>71</v>
      </c>
      <c r="L528" s="399" t="s">
        <v>872</v>
      </c>
      <c r="M528" s="399">
        <v>208</v>
      </c>
      <c r="N528" s="356"/>
      <c r="V528" s="100"/>
    </row>
    <row r="529" spans="2:26" s="28" customFormat="1" ht="16.5" customHeight="1">
      <c r="B529" s="20"/>
      <c r="C529" s="20"/>
      <c r="D529" s="254"/>
      <c r="E529" s="379">
        <v>134799</v>
      </c>
      <c r="F529" s="395" t="s">
        <v>1063</v>
      </c>
      <c r="G529" s="396"/>
      <c r="H529" s="397"/>
      <c r="I529" s="383">
        <v>778800</v>
      </c>
      <c r="J529" s="398">
        <v>134799</v>
      </c>
      <c r="K529" s="399" t="s">
        <v>980</v>
      </c>
      <c r="L529" s="399" t="s">
        <v>1065</v>
      </c>
      <c r="M529" s="399">
        <v>22</v>
      </c>
      <c r="N529" s="356"/>
      <c r="V529" s="100"/>
    </row>
    <row r="530" spans="2:26" s="28" customFormat="1" ht="16.5" customHeight="1">
      <c r="B530" s="20"/>
      <c r="C530" s="20"/>
      <c r="D530" s="254"/>
      <c r="E530" s="379"/>
      <c r="F530" s="395"/>
      <c r="G530" s="396"/>
      <c r="H530" s="397"/>
      <c r="I530" s="383"/>
      <c r="J530" s="398"/>
      <c r="K530" s="399"/>
      <c r="L530" s="399"/>
      <c r="M530" s="399"/>
      <c r="N530" s="356"/>
      <c r="V530" s="100"/>
    </row>
    <row r="531" spans="2:26" s="28" customFormat="1" ht="16.5" customHeight="1">
      <c r="B531" s="20"/>
      <c r="C531" s="20"/>
      <c r="D531" s="254"/>
      <c r="E531" s="379"/>
      <c r="F531" s="395"/>
      <c r="G531" s="396"/>
      <c r="H531" s="397"/>
      <c r="I531" s="383"/>
      <c r="J531" s="398"/>
      <c r="K531" s="399"/>
      <c r="L531" s="399"/>
      <c r="M531" s="399"/>
      <c r="N531" s="356"/>
      <c r="V531" s="100"/>
    </row>
    <row r="532" spans="2:26" s="28" customFormat="1" ht="16.5" customHeight="1">
      <c r="B532" s="20"/>
      <c r="C532" s="20"/>
      <c r="D532" s="254"/>
      <c r="E532" s="379"/>
      <c r="F532" s="395"/>
      <c r="G532" s="396"/>
      <c r="H532" s="397"/>
      <c r="I532" s="383"/>
      <c r="J532" s="398"/>
      <c r="K532" s="399"/>
      <c r="L532" s="399"/>
      <c r="M532" s="399"/>
      <c r="N532" s="356"/>
      <c r="V532" s="100"/>
    </row>
    <row r="533" spans="2:26" s="28" customFormat="1" ht="16.5" customHeight="1">
      <c r="B533" s="20"/>
      <c r="C533" s="20"/>
      <c r="D533" s="254"/>
      <c r="E533" s="379"/>
      <c r="F533" s="395"/>
      <c r="G533" s="396"/>
      <c r="H533" s="397"/>
      <c r="I533" s="383"/>
      <c r="J533" s="398"/>
      <c r="K533" s="399"/>
      <c r="L533" s="399"/>
      <c r="M533" s="399"/>
      <c r="N533" s="356"/>
      <c r="V533" s="100"/>
    </row>
    <row r="534" spans="2:26" s="28" customFormat="1" ht="16.5" customHeight="1">
      <c r="B534" s="20"/>
      <c r="C534" s="20"/>
      <c r="D534" s="254"/>
      <c r="E534" s="379"/>
      <c r="F534" s="395"/>
      <c r="G534" s="396"/>
      <c r="H534" s="397"/>
      <c r="I534" s="383"/>
      <c r="J534" s="398"/>
      <c r="K534" s="399"/>
      <c r="L534" s="399"/>
      <c r="M534" s="399"/>
      <c r="N534" s="356"/>
      <c r="V534" s="100"/>
    </row>
    <row r="535" spans="2:26" s="28" customFormat="1" ht="16.5" customHeight="1">
      <c r="B535" s="20"/>
      <c r="C535" s="20"/>
      <c r="D535" s="254"/>
      <c r="E535" s="379"/>
      <c r="F535" s="395"/>
      <c r="G535" s="396"/>
      <c r="H535" s="397"/>
      <c r="I535" s="383"/>
      <c r="J535" s="398"/>
      <c r="K535" s="399"/>
      <c r="L535" s="399"/>
      <c r="M535" s="399"/>
      <c r="N535" s="356"/>
      <c r="V535" s="100"/>
    </row>
    <row r="536" spans="2:26" s="28" customFormat="1" ht="16.5" customHeight="1">
      <c r="B536" s="20"/>
      <c r="C536" s="20"/>
      <c r="D536" s="254"/>
      <c r="E536" s="379"/>
      <c r="F536" s="395"/>
      <c r="G536" s="396"/>
      <c r="H536" s="397"/>
      <c r="I536" s="383"/>
      <c r="J536" s="398"/>
      <c r="K536" s="399"/>
      <c r="L536" s="399"/>
      <c r="M536" s="399"/>
      <c r="N536" s="356"/>
      <c r="V536" s="100"/>
    </row>
    <row r="537" spans="2:26">
      <c r="U537" s="12"/>
      <c r="V537" s="59"/>
      <c r="W537"/>
      <c r="X537"/>
      <c r="Y537"/>
      <c r="Z537"/>
    </row>
    <row r="538" spans="2:26">
      <c r="U538" s="12"/>
      <c r="V538" s="59"/>
      <c r="W538"/>
      <c r="X538"/>
      <c r="Y538"/>
      <c r="Z538"/>
    </row>
    <row r="539" spans="2:26">
      <c r="U539" s="12"/>
      <c r="V539" s="59"/>
      <c r="W539"/>
      <c r="X539"/>
      <c r="Y539"/>
      <c r="Z539"/>
    </row>
    <row r="540" spans="2:26">
      <c r="U540" s="12"/>
      <c r="V540" s="59"/>
      <c r="W540"/>
      <c r="X540"/>
      <c r="Y540"/>
      <c r="Z540"/>
    </row>
    <row r="541" spans="2:26">
      <c r="U541" s="12"/>
      <c r="V541" s="59"/>
      <c r="W541"/>
      <c r="X541"/>
      <c r="Y541"/>
      <c r="Z541"/>
    </row>
    <row r="542" spans="2:26">
      <c r="U542" s="12"/>
      <c r="V542" s="59"/>
      <c r="W542"/>
      <c r="X542"/>
      <c r="Y542"/>
      <c r="Z542"/>
    </row>
    <row r="543" spans="2:26">
      <c r="U543" s="12"/>
      <c r="V543" s="59"/>
      <c r="W543"/>
      <c r="X543"/>
      <c r="Y543"/>
      <c r="Z543"/>
    </row>
    <row r="544" spans="2:26">
      <c r="U544" s="12"/>
      <c r="V544" s="59"/>
      <c r="W544"/>
      <c r="X544"/>
      <c r="Y544"/>
      <c r="Z544"/>
    </row>
    <row r="545" spans="21:26">
      <c r="U545" s="12"/>
      <c r="V545" s="59"/>
      <c r="W545"/>
      <c r="X545"/>
      <c r="Y545"/>
      <c r="Z545"/>
    </row>
    <row r="546" spans="21:26">
      <c r="U546" s="12"/>
      <c r="V546" s="59"/>
      <c r="W546"/>
      <c r="X546"/>
      <c r="Y546"/>
      <c r="Z546"/>
    </row>
    <row r="547" spans="21:26">
      <c r="U547" s="12"/>
      <c r="V547" s="59"/>
      <c r="W547"/>
      <c r="X547"/>
      <c r="Y547"/>
      <c r="Z547"/>
    </row>
    <row r="548" spans="21:26">
      <c r="U548" s="12"/>
      <c r="V548" s="59"/>
      <c r="W548"/>
      <c r="X548"/>
      <c r="Y548"/>
      <c r="Z548"/>
    </row>
    <row r="549" spans="21:26">
      <c r="U549" s="12"/>
      <c r="V549" s="59"/>
      <c r="W549"/>
      <c r="X549"/>
      <c r="Y549"/>
      <c r="Z549"/>
    </row>
    <row r="550" spans="21:26">
      <c r="U550" s="12"/>
      <c r="V550" s="59"/>
      <c r="W550"/>
      <c r="X550"/>
      <c r="Y550"/>
      <c r="Z550"/>
    </row>
    <row r="551" spans="21:26">
      <c r="U551" s="12"/>
      <c r="V551" s="59"/>
      <c r="W551"/>
      <c r="X551"/>
      <c r="Y551"/>
      <c r="Z551"/>
    </row>
    <row r="552" spans="21:26">
      <c r="U552" s="12"/>
      <c r="V552" s="59"/>
      <c r="W552"/>
      <c r="X552"/>
      <c r="Y552"/>
      <c r="Z552"/>
    </row>
    <row r="553" spans="21:26">
      <c r="U553" s="12"/>
      <c r="V553" s="59"/>
      <c r="W553"/>
      <c r="X553"/>
      <c r="Y553"/>
      <c r="Z553"/>
    </row>
    <row r="554" spans="21:26">
      <c r="U554" s="12"/>
      <c r="V554" s="59"/>
      <c r="W554"/>
      <c r="X554"/>
      <c r="Y554"/>
      <c r="Z554"/>
    </row>
    <row r="555" spans="21:26">
      <c r="U555" s="12"/>
      <c r="V555" s="59"/>
      <c r="W555"/>
      <c r="X555"/>
      <c r="Y555"/>
      <c r="Z555"/>
    </row>
    <row r="556" spans="21:26">
      <c r="U556" s="12"/>
      <c r="V556" s="59"/>
      <c r="W556"/>
      <c r="X556"/>
      <c r="Y556"/>
      <c r="Z556"/>
    </row>
    <row r="557" spans="21:26">
      <c r="U557" s="12"/>
      <c r="V557" s="59"/>
      <c r="W557"/>
      <c r="X557"/>
      <c r="Y557"/>
      <c r="Z557"/>
    </row>
    <row r="558" spans="21:26">
      <c r="U558" s="12"/>
      <c r="V558" s="59"/>
      <c r="W558"/>
      <c r="X558"/>
      <c r="Y558"/>
      <c r="Z558"/>
    </row>
    <row r="559" spans="21:26">
      <c r="U559" s="12"/>
      <c r="V559" s="59"/>
      <c r="W559"/>
      <c r="X559"/>
      <c r="Y559"/>
      <c r="Z559"/>
    </row>
    <row r="560" spans="21:26">
      <c r="U560" s="12"/>
      <c r="V560" s="59"/>
      <c r="W560"/>
      <c r="X560"/>
      <c r="Y560"/>
      <c r="Z560"/>
    </row>
  </sheetData>
  <protectedRanges>
    <protectedRange sqref="M66:O68 M45:O57 M59:O64" name="범위10_1_1"/>
    <protectedRange sqref="L8" name="범위11_1"/>
    <protectedRange sqref="L8" name="범위4_1"/>
    <protectedRange sqref="D9" name="범위13_1_1"/>
    <protectedRange sqref="G8:H8" name="범위15_1_1"/>
    <protectedRange sqref="E29:E30 G66:G68 D66:E67 D45:E60 G45:G64 D62:E63" name="범위8_1_1_2_1_1_1"/>
    <protectedRange sqref="H60:H64 I67:J68 I63:K64 H66:H68 I66:K66 H45:K59 J66:K68" name="범위9_1_1_1_1_2"/>
    <protectedRange sqref="G7:H7" name="범위15_1_1_1"/>
    <protectedRange sqref="L9" name="범위16_1_1_1_1_1_1_1_1_1_1_1_1_1"/>
    <protectedRange sqref="D27" name="범위23_1_1_1_2_1_1"/>
    <protectedRange sqref="D27" name="범위1_3_1_1_1_1_2_1_1"/>
    <protectedRange sqref="C17 C19:C21 C23:C26" name="범위1_3_1_2_1"/>
    <protectedRange sqref="C17 C19:C21 C23:C26" name="범위1_3_1_2_2"/>
    <protectedRange sqref="D21 D23:D26" name="범위23_1_1_1_2_1_1_1_2_1_1_1"/>
    <protectedRange sqref="D21 D23:D26" name="범위1_3_1_1_1_1_2_1_1_1_2_1_1_1"/>
    <protectedRange sqref="G65 D65:E65" name="범위8_1_1_2_1_1_1_1"/>
    <protectedRange sqref="H65:K65" name="범위9_1_1_1_1_2_1"/>
    <protectedRange sqref="D64:E64" name="범위8_1_1_2_1_1_1_2"/>
    <protectedRange sqref="L17 L19" name="범위3_2_1_1_1"/>
    <protectedRange sqref="C18 C22 C12:C16" name="범위1_3_1_2_1_1"/>
    <protectedRange sqref="C18 C22 C12:C16" name="범위1_3_1_2_2_1"/>
    <protectedRange sqref="D22 D12:D20" name="범위23_1_1_1_2_1_1_1_2_1_1_1_1"/>
    <protectedRange sqref="D22 D12:D20" name="범위1_3_1_1_1_1_2_1_1_1_2_1_1_1_1"/>
    <protectedRange sqref="D502" name="범위5_1_3_2_1"/>
    <protectedRange sqref="D495:D501" name="범위5_1_2_1_2_1_2_1"/>
    <protectedRange sqref="D88:D494" name="범위5_1_2_1_2_1_2_1_1_4_1"/>
    <protectedRange sqref="D503:D504 D528:D536" name="범위5_1_3_2_1_1_2"/>
    <protectedRange sqref="I501" name="범위6_1_1_1_2_1_2_8_3"/>
    <protectedRange sqref="G501:H501" name="범위6_1_1_1_2_1_9_1_2"/>
    <protectedRange sqref="M495:M497" name="범위26_2_1_2_1_1_7_3_2_1"/>
    <protectedRange sqref="G495:H497" name="범위6_1_1_1_2_1_2_8_1_3"/>
    <protectedRange sqref="M501" name="범위26_2_1_2_1_19_1_1_1_2"/>
    <protectedRange sqref="G499:H499" name="범위6_1_1_1_2_1_2_1_2_2"/>
    <protectedRange sqref="M498:M499" name="범위26_2_1_2_1_1_7_2_1_3"/>
    <protectedRange sqref="M500" name="범위26_2_1_2_1_1_8_2"/>
    <protectedRange sqref="G500:H500" name="범위6_1_1_1_2_1_2_8_1_1_2_1"/>
    <protectedRange sqref="F500" name="범위1_3_1_1_1_2"/>
    <protectedRange sqref="M116 M114" name="범위26_2_1_2_1_8_1_2_1_1"/>
    <protectedRange sqref="G118:H118 G116:H116 G114:H114" name="범위6_1_1_1_2_1_9_2_1_1_1"/>
    <protectedRange sqref="F116" name="범위1_1_2_1_1_1"/>
    <protectedRange sqref="M117 M115 M90:M112 M120:M131" name="범위26_2_1_2_1_1_7_1_1_1_1"/>
    <protectedRange sqref="G117:H117 G128:H131 G105:H105 G90:H90 G115:H115 G91:I104 G107:H110 G120:H125 I105:I500 I502:I504 I528:I536 I88:I90" name="범위6_1_1_1_2_1_2_8_2_1_3_1"/>
    <protectedRange sqref="F128 F131" name="범위1_3_1_1_2_1_1"/>
    <protectedRange sqref="G111:H112" name="범위6_1_1_1_2_1_1_1_1_2_1_1_1"/>
    <protectedRange sqref="M119" name="범위26_2_1_2_1_1_1_1_1_1_1_1"/>
    <protectedRange sqref="G119:H119" name="범위6_1_1_1_2_1_2_1_1_1_1_1_1"/>
    <protectedRange sqref="M118" name="범위26_2_1_2_1_19_1_1_2_1_1_1"/>
    <protectedRange sqref="M113" name="범위26_2_1_2_1_1_4_1_2_1_1_1"/>
    <protectedRange sqref="G113:H113" name="범위6_1_1_1_2_1_2_4_1_2_1_1_1"/>
    <protectedRange sqref="M89" name="범위26_2_1_2_1_1_3_1_1_1_1_1"/>
    <protectedRange sqref="G89:H89" name="범위6_1_1_1_2_1_2_2_1_1_1_1_1"/>
    <protectedRange sqref="F89" name="범위1_3_3_1_1_1_1_1"/>
    <protectedRange sqref="M436 M406:M408 M416:M418" name="범위26_2_1_2_1_8_2_1_1_1_1"/>
    <protectedRange sqref="G406:H408 G416:H418 G422:H436 G502:H502" name="범위6_1_1_1_2_1_9_1_1_1_1_1"/>
    <protectedRange sqref="F416:F418" name="범위1_1_1_1_1_1_1"/>
    <protectedRange sqref="F436" name="범위1_4_2_1_1_1_1_1"/>
    <protectedRange sqref="M419:M421 M437:M442 M446:M474 M409:M413 M476 M487:M491 M314:M404 M132:M312" name="범위26_2_1_2_1_1_7_3_1_1_1_4"/>
    <protectedRange sqref="G158:H160 G167:H167 G391:H393 G165:H165 G176:H177 G462:H462 G240:H241 G380:H382 G249:H249 G271:H271 G264:H264 G262:H262 G273:H273 G266:H266 G277:H277 G487:H491 G233:H234 G345:H345 G335:H343 G355:H355 G385:H389 G410:H413 G315:H316 G291:H312 G318:H320 G322:H332 G347:H352 G419:H421 G446:H454 G456:H460 G465:H473 G476:H476 G223:H230 G132:H144 G279:H286 G214:H219 G437:H442 G146:H153 G364:H375" name="범위6_1_1_1_2_1_2_8_1_2_1_1_4"/>
    <protectedRange sqref="G461:H461" name="범위6_1_1_1_1_1_1_1_1_1_1_1_1_1"/>
    <protectedRange sqref="F301:F302 F197:F199 F246:F248 F189:F191 F318 F364 F344:F345 F413 F312 F385 F291 F147:F148 F236:F239 F274:F278 F419 F267:F272 F151:F153 F250:F265" name="범위1_3_1_3_1_1_1_2"/>
    <protectedRange sqref="G394:H394 G396:H404" name="범위6_1_1_1_2_1_1_1_1_1_1_1_1_1"/>
    <protectedRange sqref="F373" name="범위1_2_1_1_1_1_1_1_1"/>
    <protectedRange sqref="F362" name="범위1_5_1_1_1_1_1_1_1"/>
    <protectedRange sqref="M422:M435 M502" name="범위26_2_1_2_1_19_1_1_1_1_1_1_1"/>
    <protectedRange sqref="M405" name="범위26_2_1_2_1_1_4_1_1_1_1_1_1"/>
    <protectedRange sqref="G405:H405" name="범위6_1_1_1_2_1_2_4_1_1_1_1_1_1"/>
    <protectedRange sqref="G409:H409" name="범위6_1_1_1_2_1_2_5_1_1_1_1_1_1"/>
    <protectedRange sqref="M475 M486" name="범위26_2_1_2_1_1_2_1_1_1_1_1_2"/>
    <protectedRange sqref="F475" name="범위1_3_2_1_1_1_1_1"/>
    <protectedRange sqref="M414:M415" name="범위26_2_1_2_1_3_1_1_1_1_1_1"/>
    <protectedRange sqref="G414:H415" name="범위6_1_1_1_2_1_3_1_1_1_1_1_1"/>
    <protectedRange sqref="F414:F415" name="범위1_2_2_1_1_1_1_1"/>
    <protectedRange sqref="M443:M445" name="범위26_2_1_2_1_1_5_1_1_1_1_1_1"/>
    <protectedRange sqref="G443:H445" name="범위6_1_1_1_2_1_2_3_1_1_1_1_1_1"/>
    <protectedRange sqref="M313" name="범위26_2_1_2_1_1_6_1_1_1_1_1_1"/>
    <protectedRange sqref="G313:H313" name="범위6_1_1_1_2_1_2_6_1_1_1_1_1_1"/>
    <protectedRange sqref="G486:H486" name="범위6_1_1_1_2_1_4_1_1_1_1_1_1"/>
    <protectedRange sqref="F486" name="범위1_5_2_1_1_1_1_1"/>
    <protectedRange sqref="G493:H493 G478:H478 G88:H88" name="범위6_1_1_1_2_1_2_1_2_1_1_1_3"/>
    <protectedRange sqref="M492:M493 M477:M478 M88" name="범위26_2_1_2_1_1_7_2_1_2_1_1_3"/>
    <protectedRange sqref="M494 M479" name="범위26_2_1_2_1_1_8_1_1_1_2"/>
    <protectedRange sqref="G494:H494 G479:H479" name="범위6_1_1_1_2_1_2_8_1_1_1_1_1_2"/>
    <protectedRange sqref="F494 F479" name="범위1_3_1_1_1_1_1_1_2"/>
    <protectedRange sqref="M480" name="범위26_2_1_2_1_8_1_1_2_1_1_1"/>
    <protectedRange sqref="M481" name="범위26_2_1_2_1_1_7_2_1_1_1_1_1_1"/>
    <protectedRange sqref="F482:F485" name="범위1_2_1_1_1_1_1"/>
    <protectedRange sqref="M485 M482" name="범위26_2_1_2_1_8_1_1_1_1_1_1_1"/>
    <protectedRange sqref="M483:M484" name="범위26_2_1_2_1_1_7_2_2_1_1_1_1"/>
    <protectedRange sqref="F503:F504 F528:F536" name="범위1_2_1_2_1_1_2"/>
    <protectedRange sqref="M503:M504 M528:M536" name="범위26_2_1_2_1_1_7_2_2_2_1_1_2"/>
    <protectedRange sqref="D505:D523 D526:D527" name="범위5_1_3_2_1_1_1_4"/>
    <protectedRange sqref="I505:I523 I526:I527" name="범위6_1_1_1_2_1_2_8_2_1_1_5"/>
    <protectedRange sqref="F505:F523 F526:F527" name="범위1_2_1_2_1_1_1_4"/>
    <protectedRange sqref="M505:M523" name="범위26_2_1_2_1_1_7_2_2_2_1_1_1_2"/>
    <protectedRange sqref="D524" name="범위5_1_2_1_2_1"/>
    <protectedRange sqref="M524" name="범위26_2_1_2_1_1"/>
    <protectedRange sqref="G524:I524" name="범위6_1_1_1_2_1_1_1"/>
    <protectedRange sqref="M526:M527" name="범위26_2_1_2_1_1_7_2_2_2_1_1_1_1_3"/>
    <protectedRange sqref="D80" name="범위5_1_2_1_2_1_2_1_1_2_2"/>
    <protectedRange sqref="I80" name="범위6_1_1_1_2_1_2_8_2_1_2_2"/>
    <protectedRange sqref="M80" name="범위26_2_1_2_1_1_7_3_1_1_1_2_2"/>
    <protectedRange sqref="D81:D82" name="범위5_1_2_1_2_1_2_1_1_1_1_1"/>
    <protectedRange sqref="I81:I82" name="범위6_1_1_1_2_1_2_8_2_1_1_2_1"/>
    <protectedRange sqref="M81:M82" name="범위26_2_1_2_1_1_7_3_1_1_1_1_1_1"/>
    <protectedRange sqref="F81:F82" name="범위1_3_1_3_1_1_1_1_1"/>
    <protectedRange sqref="D83:D87" name="범위5_1_2_1_2_1_2_1_1_2_1_1"/>
    <protectedRange sqref="I83:I87" name="범위6_1_1_1_2_1_2_8_2_1_2_1_1"/>
    <protectedRange sqref="M83:M87" name="범위26_2_1_2_1_1_7_3_1_1_1_2_1_1"/>
    <protectedRange sqref="G83:H87" name="범위6_1_1_1_2_1_2_8_1_2_1_1_2_1"/>
    <protectedRange sqref="D525" name="범위5_1_3_2_1_1_1_1_2_1_1"/>
    <protectedRange sqref="I525" name="범위6_1_1_1_2_1_2_8_2_1_1_1_2_1_1"/>
    <protectedRange sqref="F525" name="범위1_2_1_2_1_1_1_1_2_1_1"/>
    <protectedRange sqref="M525" name="범위26_2_1_2_1_1_7_2_2_2_1_1_1_1_2_1_1"/>
    <protectedRange sqref="D74:D79" name="범위5_1_2_1_2_1_2_1_1"/>
    <protectedRange sqref="I74:I79" name="범위6_1_1_1_2_1_2_8_2_1"/>
    <protectedRange sqref="M74:M75 M77" name="범위26_2_1_2_1_1_7_3_1_1_1"/>
    <protectedRange sqref="G74:H74 G77:H77" name="범위6_1_1_1_2_1_2_8_1_2_1_1"/>
    <protectedRange sqref="M76" name="범위26_2_1_2_1_1_2_1_1_1_1_1"/>
    <protectedRange sqref="F76" name="범위1_3_2_1_1_1_1_1_1"/>
    <protectedRange sqref="G79:H79" name="범위6_1_1_1_2_1_2_1_2_1_1_1_1"/>
    <protectedRange sqref="M78:M79" name="범위26_2_1_2_1_1_7_2_1_2_1_1_1"/>
  </protectedRanges>
  <autoFilter ref="A73:Z73" xr:uid="{00000000-0009-0000-0000-000005000000}"/>
  <sortState xmlns:xlrd2="http://schemas.microsoft.com/office/spreadsheetml/2017/richdata2" ref="B12:O23">
    <sortCondition ref="B12:B23"/>
  </sortState>
  <mergeCells count="23">
    <mergeCell ref="B9:C9"/>
    <mergeCell ref="D9:I9"/>
    <mergeCell ref="M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  <mergeCell ref="B41:E42"/>
    <mergeCell ref="D72:E72"/>
    <mergeCell ref="L10:P10"/>
    <mergeCell ref="G11:I11"/>
    <mergeCell ref="R11:S11"/>
    <mergeCell ref="I28:I29"/>
    <mergeCell ref="M28:M29"/>
    <mergeCell ref="O28:P28"/>
    <mergeCell ref="O29:P29"/>
  </mergeCells>
  <phoneticPr fontId="16" type="noConversion"/>
  <dataValidations count="7">
    <dataValidation type="list" allowBlank="1" showInputMessage="1" showErrorMessage="1" sqref="D524" xr:uid="{00000000-0002-0000-0500-000000000000}">
      <formula1>$D$47:$D$72</formula1>
    </dataValidation>
    <dataValidation type="list" allowBlank="1" showInputMessage="1" showErrorMessage="1" sqref="D27" xr:uid="{00000000-0002-0000-0500-000001000000}">
      <formula1>$D$49:$D$68</formula1>
    </dataValidation>
    <dataValidation type="list" allowBlank="1" showInputMessage="1" showErrorMessage="1" sqref="L8:M8" xr:uid="{00000000-0002-0000-0500-000002000000}">
      <formula1>$M$49:$M$68</formula1>
    </dataValidation>
    <dataValidation type="list" allowBlank="1" showInputMessage="1" showErrorMessage="1" sqref="L9" xr:uid="{00000000-0002-0000-0500-000003000000}">
      <formula1>$G$45:$G$68</formula1>
    </dataValidation>
    <dataValidation type="list" allowBlank="1" showInputMessage="1" showErrorMessage="1" sqref="D21 D23:D26" xr:uid="{00000000-0002-0000-0500-000004000000}">
      <formula1>$D$45:$D$68</formula1>
    </dataValidation>
    <dataValidation type="list" allowBlank="1" showInputMessage="1" showErrorMessage="1" sqref="D12:D20 D22" xr:uid="{00000000-0002-0000-0500-000005000000}">
      <formula1>$D$45:$D$72</formula1>
    </dataValidation>
    <dataValidation type="list" allowBlank="1" showInputMessage="1" showErrorMessage="1" sqref="F235 F184:F188 F178:F179 F220:F222" xr:uid="{00000000-0002-0000-0500-000006000000}">
      <formula1>$A$3:$A$348</formula1>
    </dataValidation>
  </dataValidations>
  <printOptions horizontalCentered="1"/>
  <pageMargins left="7.874015748031496E-2" right="7.874015748031496E-2" top="0.3" bottom="0.28999999999999998" header="0.27559055118110237" footer="0.23622047244094491"/>
  <pageSetup paperSize="9" scale="73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12"/>
    <pageSetUpPr fitToPage="1"/>
  </sheetPr>
  <dimension ref="A1:Z754"/>
  <sheetViews>
    <sheetView topLeftCell="A131" zoomScale="80" zoomScaleNormal="80" workbookViewId="0">
      <selection activeCell="H149" sqref="H149"/>
    </sheetView>
  </sheetViews>
  <sheetFormatPr defaultRowHeight="13.5"/>
  <cols>
    <col min="1" max="1" width="1.21875" customWidth="1"/>
    <col min="2" max="2" width="4.6640625" style="1" customWidth="1"/>
    <col min="3" max="3" width="11.21875" style="1" customWidth="1"/>
    <col min="4" max="4" width="17.88671875" customWidth="1"/>
    <col min="5" max="6" width="10.109375" style="1" customWidth="1"/>
    <col min="7" max="7" width="13.88671875" customWidth="1"/>
    <col min="8" max="8" width="14.21875" customWidth="1"/>
    <col min="9" max="9" width="9.5546875" style="12" customWidth="1"/>
    <col min="10" max="10" width="8.6640625" style="15" customWidth="1"/>
    <col min="11" max="11" width="8.6640625" style="1" customWidth="1"/>
    <col min="12" max="12" width="7.77734375" customWidth="1"/>
    <col min="13" max="13" width="8.6640625" customWidth="1"/>
    <col min="14" max="14" width="12.109375" customWidth="1"/>
    <col min="15" max="15" width="13.33203125" customWidth="1"/>
    <col min="16" max="16" width="13.109375" customWidth="1"/>
    <col min="17" max="17" width="5.33203125" customWidth="1"/>
    <col min="18" max="18" width="7.44140625" bestFit="1" customWidth="1"/>
    <col min="19" max="19" width="4.88671875" bestFit="1" customWidth="1"/>
    <col min="20" max="20" width="1.44140625" customWidth="1"/>
    <col min="21" max="21" width="11.44140625" style="42" customWidth="1"/>
    <col min="22" max="22" width="7.88671875" style="105" bestFit="1" customWidth="1"/>
    <col min="23" max="23" width="6.109375" style="21" customWidth="1"/>
    <col min="24" max="24" width="11.6640625" style="21" customWidth="1"/>
    <col min="25" max="26" width="8.44140625" style="43" customWidth="1"/>
  </cols>
  <sheetData>
    <row r="1" spans="1:26" ht="14.25" customHeight="1" thickBot="1">
      <c r="A1" s="5"/>
      <c r="B1" s="6"/>
      <c r="C1" s="6"/>
      <c r="D1" s="5"/>
      <c r="E1" s="6"/>
      <c r="F1" s="97"/>
      <c r="G1" s="7"/>
      <c r="H1" s="7"/>
      <c r="I1" s="9"/>
      <c r="J1" s="17"/>
      <c r="K1" s="7"/>
      <c r="L1" s="7"/>
      <c r="M1" s="5"/>
      <c r="N1" s="5"/>
      <c r="O1" s="5"/>
      <c r="P1" s="5"/>
    </row>
    <row r="2" spans="1:26" s="43" customFormat="1" ht="18" customHeight="1">
      <c r="A2" s="4"/>
      <c r="B2" s="572" t="s">
        <v>1</v>
      </c>
      <c r="C2" s="573"/>
      <c r="D2" s="573"/>
      <c r="E2" s="574"/>
      <c r="F2" s="578"/>
      <c r="G2" s="579"/>
      <c r="H2" s="579"/>
      <c r="I2" s="579"/>
      <c r="J2" s="579"/>
      <c r="K2" s="579"/>
      <c r="L2" s="579"/>
      <c r="M2" s="102" t="s">
        <v>2</v>
      </c>
      <c r="N2" s="102"/>
      <c r="O2" s="101"/>
      <c r="P2" s="101"/>
      <c r="U2" s="42"/>
      <c r="V2" s="105"/>
      <c r="W2" s="21"/>
      <c r="X2" s="21"/>
    </row>
    <row r="3" spans="1:26" s="43" customFormat="1" ht="16.5" customHeight="1" thickBot="1">
      <c r="A3" s="4"/>
      <c r="B3" s="575"/>
      <c r="C3" s="576"/>
      <c r="D3" s="576"/>
      <c r="E3" s="577"/>
      <c r="F3" s="579"/>
      <c r="G3" s="579"/>
      <c r="H3" s="579"/>
      <c r="I3" s="579"/>
      <c r="J3" s="579"/>
      <c r="K3" s="579"/>
      <c r="L3" s="579"/>
      <c r="M3" s="103" t="s">
        <v>416</v>
      </c>
      <c r="N3" s="100"/>
      <c r="O3" s="4"/>
      <c r="P3" s="4"/>
      <c r="U3" s="42"/>
      <c r="V3" s="105"/>
      <c r="W3" s="21"/>
      <c r="X3" s="21"/>
    </row>
    <row r="4" spans="1:26" s="43" customFormat="1" ht="16.5" customHeight="1">
      <c r="A4" s="4"/>
      <c r="B4" s="112"/>
      <c r="C4" s="112"/>
      <c r="D4" s="4"/>
      <c r="E4" s="112"/>
      <c r="F4" s="579"/>
      <c r="G4" s="579"/>
      <c r="H4" s="579"/>
      <c r="I4" s="579"/>
      <c r="J4" s="579"/>
      <c r="K4" s="579"/>
      <c r="L4" s="579"/>
      <c r="M4" s="103" t="s">
        <v>3</v>
      </c>
      <c r="N4" s="100"/>
      <c r="O4" s="4"/>
      <c r="P4" s="4"/>
      <c r="U4" s="42"/>
      <c r="V4" s="105"/>
      <c r="W4" s="21"/>
      <c r="X4" s="21"/>
    </row>
    <row r="5" spans="1:26" s="43" customFormat="1" ht="16.5" customHeight="1">
      <c r="A5" s="4"/>
      <c r="B5" s="112"/>
      <c r="C5" s="112"/>
      <c r="D5" s="4"/>
      <c r="E5" s="112"/>
      <c r="F5" s="350"/>
      <c r="G5" s="113"/>
      <c r="H5" s="113"/>
      <c r="I5" s="114"/>
      <c r="J5" s="115"/>
      <c r="K5" s="113"/>
      <c r="L5" s="113"/>
      <c r="M5" s="103" t="s">
        <v>4</v>
      </c>
      <c r="N5" s="100"/>
      <c r="O5" s="4"/>
      <c r="P5" s="4"/>
      <c r="U5" s="42"/>
      <c r="V5" s="105"/>
      <c r="W5" s="21"/>
      <c r="X5" s="21"/>
    </row>
    <row r="6" spans="1:26" s="43" customFormat="1" ht="9" customHeight="1" thickBot="1">
      <c r="A6" s="4"/>
      <c r="B6" s="112"/>
      <c r="C6" s="112"/>
      <c r="D6" s="4"/>
      <c r="E6" s="112"/>
      <c r="F6" s="116"/>
      <c r="G6" s="4"/>
      <c r="H6" s="4"/>
      <c r="I6" s="117"/>
      <c r="J6" s="118"/>
      <c r="K6" s="112"/>
      <c r="L6" s="4"/>
      <c r="M6" s="4"/>
      <c r="N6" s="4"/>
      <c r="O6" s="4"/>
      <c r="P6" s="4"/>
      <c r="U6" s="42"/>
      <c r="V6" s="105"/>
      <c r="W6" s="21"/>
      <c r="X6" s="21"/>
    </row>
    <row r="7" spans="1:26" s="28" customFormat="1" ht="25.5" customHeight="1" thickTop="1">
      <c r="A7" s="100"/>
      <c r="B7" s="580" t="s">
        <v>5</v>
      </c>
      <c r="C7" s="581"/>
      <c r="D7" s="582" t="s">
        <v>6</v>
      </c>
      <c r="E7" s="583"/>
      <c r="F7" s="119" t="s">
        <v>7</v>
      </c>
      <c r="G7" s="584" t="s">
        <v>75</v>
      </c>
      <c r="H7" s="585"/>
      <c r="I7" s="586"/>
      <c r="J7" s="120"/>
      <c r="K7" s="121" t="s">
        <v>8</v>
      </c>
      <c r="L7" s="587">
        <f ca="1">TODAY()</f>
        <v>45981</v>
      </c>
      <c r="M7" s="588"/>
      <c r="N7" s="122" t="s">
        <v>9</v>
      </c>
      <c r="O7" s="123">
        <f ca="1">TODAY()+1</f>
        <v>45982</v>
      </c>
      <c r="P7" s="124"/>
      <c r="U7" s="29"/>
      <c r="V7" s="105"/>
      <c r="W7" s="20"/>
      <c r="X7" s="20"/>
    </row>
    <row r="8" spans="1:26" s="28" customFormat="1" ht="25.5" customHeight="1">
      <c r="A8" s="100"/>
      <c r="B8" s="589" t="s">
        <v>10</v>
      </c>
      <c r="C8" s="590"/>
      <c r="D8" s="591" t="s">
        <v>11</v>
      </c>
      <c r="E8" s="592"/>
      <c r="F8" s="125" t="s">
        <v>12</v>
      </c>
      <c r="G8" s="592" t="s">
        <v>13</v>
      </c>
      <c r="H8" s="592"/>
      <c r="I8" s="593"/>
      <c r="J8" s="120"/>
      <c r="K8" s="126" t="s">
        <v>14</v>
      </c>
      <c r="L8" s="594" t="s">
        <v>91</v>
      </c>
      <c r="M8" s="595"/>
      <c r="N8" s="358" t="s">
        <v>15</v>
      </c>
      <c r="O8" s="596" t="s">
        <v>92</v>
      </c>
      <c r="P8" s="597"/>
      <c r="U8" s="29"/>
      <c r="V8" s="105"/>
      <c r="W8" s="20"/>
      <c r="X8" s="20"/>
    </row>
    <row r="9" spans="1:26" s="28" customFormat="1" ht="25.5" customHeight="1" thickBot="1">
      <c r="A9" s="100"/>
      <c r="B9" s="564" t="s">
        <v>16</v>
      </c>
      <c r="C9" s="565"/>
      <c r="D9" s="566"/>
      <c r="E9" s="567"/>
      <c r="F9" s="567"/>
      <c r="G9" s="567"/>
      <c r="H9" s="567"/>
      <c r="I9" s="568"/>
      <c r="J9" s="120"/>
      <c r="K9" s="128" t="s">
        <v>17</v>
      </c>
      <c r="L9" s="129" t="s">
        <v>844</v>
      </c>
      <c r="M9" s="569" t="str">
        <f>IF($L9&lt;&gt;0,VLOOKUP($L9,$G$53:$K$77,2,FALSE),"")</f>
        <v>경기도 화성시 향남읍 구문천1길 43-9</v>
      </c>
      <c r="N9" s="570"/>
      <c r="O9" s="570"/>
      <c r="P9" s="571"/>
      <c r="U9" s="44"/>
      <c r="V9" s="105"/>
      <c r="W9" s="20"/>
      <c r="X9" s="20"/>
    </row>
    <row r="10" spans="1:26" ht="18" customHeight="1" thickBot="1">
      <c r="A10" s="5"/>
      <c r="B10" s="6"/>
      <c r="C10" s="6"/>
      <c r="D10" s="5"/>
      <c r="E10" s="6"/>
      <c r="F10" s="6"/>
      <c r="G10" s="5"/>
      <c r="H10" s="5"/>
      <c r="I10" s="11"/>
      <c r="J10" s="14"/>
      <c r="K10" s="6"/>
      <c r="L10" s="606"/>
      <c r="M10" s="606"/>
      <c r="N10" s="606"/>
      <c r="O10" s="606"/>
      <c r="P10" s="606"/>
    </row>
    <row r="11" spans="1:26" s="28" customFormat="1" ht="27" customHeight="1" thickTop="1">
      <c r="A11" s="100"/>
      <c r="B11" s="371" t="s">
        <v>415</v>
      </c>
      <c r="C11" s="368" t="s">
        <v>88</v>
      </c>
      <c r="D11" s="368" t="s">
        <v>408</v>
      </c>
      <c r="E11" s="368" t="s">
        <v>409</v>
      </c>
      <c r="F11" s="369" t="s">
        <v>109</v>
      </c>
      <c r="G11" s="607" t="s">
        <v>108</v>
      </c>
      <c r="H11" s="608"/>
      <c r="I11" s="609"/>
      <c r="J11" s="377" t="s">
        <v>410</v>
      </c>
      <c r="K11" s="368" t="s">
        <v>405</v>
      </c>
      <c r="L11" s="368" t="s">
        <v>406</v>
      </c>
      <c r="M11" s="368" t="s">
        <v>411</v>
      </c>
      <c r="N11" s="368" t="s">
        <v>407</v>
      </c>
      <c r="O11" s="368" t="s">
        <v>412</v>
      </c>
      <c r="P11" s="370" t="s">
        <v>93</v>
      </c>
      <c r="R11" s="610" t="s">
        <v>398</v>
      </c>
      <c r="S11" s="611"/>
      <c r="U11" s="327" t="s">
        <v>399</v>
      </c>
      <c r="V11" s="98" t="s">
        <v>402</v>
      </c>
      <c r="W11" s="98" t="s">
        <v>403</v>
      </c>
      <c r="X11" s="98" t="s">
        <v>404</v>
      </c>
      <c r="Y11" s="98" t="s">
        <v>400</v>
      </c>
      <c r="Z11" s="99" t="s">
        <v>401</v>
      </c>
    </row>
    <row r="12" spans="1:26" s="28" customFormat="1" ht="24.95" customHeight="1">
      <c r="B12" s="221">
        <v>1</v>
      </c>
      <c r="C12" s="364"/>
      <c r="D12" s="82" t="s">
        <v>1056</v>
      </c>
      <c r="E12" s="85">
        <f>IF($D12&lt;&gt;0,VLOOKUP($D12,$D$53:$E$78,2,FALSE),"")</f>
        <v>222604</v>
      </c>
      <c r="F12" s="446">
        <v>144507</v>
      </c>
      <c r="G12" s="224" t="str">
        <f>IF($F12&lt;&gt;0,VLOOKUP($F12,$E$80:$M$736,2,FALSE),"")</f>
        <v>M DV MODERN 10W-40 CP V1 PAIL 20L:KR</v>
      </c>
      <c r="H12" s="341"/>
      <c r="I12" s="342"/>
      <c r="J12" s="84" t="str">
        <f>IF($F12&lt;&gt;0,VLOOKUP($F12,$E$80:$M$736,7,FALSE),"")</f>
        <v>PAIL</v>
      </c>
      <c r="K12" s="85" t="str">
        <f>IF($F12&lt;&gt;0,VLOOKUP($F12,$E$80:$M$736,8,FALSE),"")</f>
        <v>CVL</v>
      </c>
      <c r="L12" s="326">
        <v>1</v>
      </c>
      <c r="M12" s="87">
        <f>IF($L12&lt;&gt;0,VLOOKUP($F12,$E$80:$M$736,9,FALSE)*$L12,"")</f>
        <v>20</v>
      </c>
      <c r="N12" s="88">
        <f>IF($F12&lt;&gt;0,VLOOKUP($F12,$E$61:$L$744,5,FALSE),"")</f>
        <v>65600</v>
      </c>
      <c r="O12" s="89">
        <f t="shared" ref="O12:O14" si="0">IF(L12&lt;&gt;0,$L12*$N12,"")</f>
        <v>65600</v>
      </c>
      <c r="P12" s="450">
        <v>549</v>
      </c>
      <c r="R12" s="75" t="e">
        <f>VLOOKUP(F12,'파레트 제품 리스트'!$B:$F,4,0)</f>
        <v>#N/A</v>
      </c>
      <c r="S12" s="76" t="e">
        <f>VLOOKUP(F12,'파레트 제품 리스트'!$B:$F,5,0)</f>
        <v>#N/A</v>
      </c>
      <c r="U12" s="328">
        <f>O12*1.1</f>
        <v>72160</v>
      </c>
      <c r="V12" s="367"/>
      <c r="W12" s="78"/>
      <c r="X12" s="78"/>
      <c r="Y12" s="79"/>
      <c r="Z12" s="80"/>
    </row>
    <row r="13" spans="1:26" s="28" customFormat="1" ht="24.95" customHeight="1">
      <c r="B13" s="221">
        <v>2</v>
      </c>
      <c r="C13" s="364"/>
      <c r="D13" s="82" t="s">
        <v>1056</v>
      </c>
      <c r="E13" s="85">
        <f>IF($D13&lt;&gt;0,VLOOKUP($D13,$D$53:$E$78,2,FALSE),"")</f>
        <v>222604</v>
      </c>
      <c r="F13" s="510">
        <v>141737</v>
      </c>
      <c r="G13" s="224" t="str">
        <f>IF($F13&lt;&gt;0,VLOOKUP($F13,$E$80:$M$536,2,FALSE),"")</f>
        <v>MOBIL DTE 22 ULTRA PAIL 20L:KR</v>
      </c>
      <c r="H13" s="225"/>
      <c r="I13" s="226"/>
      <c r="J13" s="84" t="str">
        <f>IF($F13&lt;&gt;0,VLOOKUP($F13,$E$80:$M$536,7,FALSE),"")</f>
        <v>PAIL</v>
      </c>
      <c r="K13" s="85" t="str">
        <f>IF($F13&lt;&gt;0,VLOOKUP($F13,$E$80:$M$536,8,FALSE),"")</f>
        <v>IND</v>
      </c>
      <c r="L13" s="86">
        <v>2</v>
      </c>
      <c r="M13" s="87">
        <f>IF($L13&lt;&gt;0,VLOOKUP($F13,$E$80:$M$536,9,FALSE)*$L13,"")</f>
        <v>40</v>
      </c>
      <c r="N13" s="88">
        <f>IF($F13&lt;&gt;0,VLOOKUP($F13,$E$61:$L$544,5,FALSE),"")</f>
        <v>56300</v>
      </c>
      <c r="O13" s="89">
        <f t="shared" si="0"/>
        <v>112600</v>
      </c>
      <c r="P13" s="450">
        <v>0</v>
      </c>
      <c r="R13" s="75" t="str">
        <f>VLOOKUP(F13,'파레트 제품 리스트'!$B:$F,4,0)</f>
        <v>MIX (28)</v>
      </c>
      <c r="S13" s="76">
        <f>VLOOKUP(F13,'파레트 제품 리스트'!$B:$F,5,0)</f>
        <v>1</v>
      </c>
      <c r="U13" s="328">
        <f t="shared" ref="U13:U17" si="1">O13*1.1</f>
        <v>123860.00000000001</v>
      </c>
      <c r="V13" s="367" t="e">
        <f>VLOOKUP(F13,미출!$D:$F,3,0)</f>
        <v>#N/A</v>
      </c>
      <c r="W13" s="78">
        <f>COUNTIF($F$11:$F$11,F13)</f>
        <v>0</v>
      </c>
      <c r="X13" s="78" t="e">
        <f>VLOOKUP(F13,#REF!,7,0)</f>
        <v>#REF!</v>
      </c>
      <c r="Y13" s="79"/>
      <c r="Z13" s="80" t="b">
        <f>N13=Y13</f>
        <v>0</v>
      </c>
    </row>
    <row r="14" spans="1:26" s="28" customFormat="1" ht="24.95" customHeight="1">
      <c r="B14" s="221">
        <v>3</v>
      </c>
      <c r="C14" s="364"/>
      <c r="D14" s="82" t="s">
        <v>1056</v>
      </c>
      <c r="E14" s="85">
        <f>IF($D14&lt;&gt;0,VLOOKUP($D14,$D$53:$E$78,2,FALSE),"")</f>
        <v>222604</v>
      </c>
      <c r="F14" s="446">
        <v>141741</v>
      </c>
      <c r="G14" s="224" t="str">
        <f>IF($F14&lt;&gt;0,VLOOKUP($F14,$E$80:$M$536,2,FALSE),"")</f>
        <v>MOBIL DTE 24 ULTRA PAIL 20L:KR</v>
      </c>
      <c r="H14" s="341"/>
      <c r="I14" s="342"/>
      <c r="J14" s="84" t="str">
        <f>IF($F14&lt;&gt;0,VLOOKUP($F14,$E$80:$M$536,7,FALSE),"")</f>
        <v>PAIL</v>
      </c>
      <c r="K14" s="85" t="str">
        <f>IF($F14&lt;&gt;0,VLOOKUP($F14,$E$80:$M$536,8,FALSE),"")</f>
        <v>IND</v>
      </c>
      <c r="L14" s="326">
        <v>4</v>
      </c>
      <c r="M14" s="87">
        <f>IF($L14&lt;&gt;0,VLOOKUP($F14,$E$80:$M$536,9,FALSE)*$L14,"")</f>
        <v>80</v>
      </c>
      <c r="N14" s="88">
        <f>IF($F14&lt;&gt;0,VLOOKUP($F14,$E$61:$L$544,5,FALSE),"")</f>
        <v>53900</v>
      </c>
      <c r="O14" s="89">
        <f t="shared" si="0"/>
        <v>215600</v>
      </c>
      <c r="P14" s="450">
        <v>426</v>
      </c>
      <c r="R14" s="75" t="str">
        <f>VLOOKUP(F14,'파레트 제품 리스트'!$B:$F,4,0)</f>
        <v>Full</v>
      </c>
      <c r="S14" s="76">
        <f>VLOOKUP(F14,'파레트 제품 리스트'!$B:$F,5,0)</f>
        <v>42</v>
      </c>
      <c r="U14" s="328">
        <f t="shared" si="1"/>
        <v>237160.00000000003</v>
      </c>
      <c r="V14" s="367"/>
      <c r="W14" s="78"/>
      <c r="X14" s="78"/>
      <c r="Y14" s="79"/>
      <c r="Z14" s="80"/>
    </row>
    <row r="15" spans="1:26" s="28" customFormat="1" ht="24.95" customHeight="1">
      <c r="B15" s="221">
        <v>4</v>
      </c>
      <c r="C15" s="364"/>
      <c r="D15" s="82" t="s">
        <v>1056</v>
      </c>
      <c r="E15" s="85">
        <f>IF($D15&lt;&gt;0,VLOOKUP($D15,$D$53:$E$78,2,FALSE),"")</f>
        <v>222604</v>
      </c>
      <c r="F15" s="446">
        <v>141745</v>
      </c>
      <c r="G15" s="224" t="str">
        <f>IF($F15&lt;&gt;0,VLOOKUP($F15,$E$80:$M$536,2,FALSE),"")</f>
        <v>MOBIL DTE 25 ULTRA PAIL 20L:KR</v>
      </c>
      <c r="H15" s="341"/>
      <c r="I15" s="342"/>
      <c r="J15" s="84" t="str">
        <f>IF($F15&lt;&gt;0,VLOOKUP($F15,$E$80:$M$536,7,FALSE),"")</f>
        <v>PAIL</v>
      </c>
      <c r="K15" s="85" t="str">
        <f>IF($F15&lt;&gt;0,VLOOKUP($F15,$E$80:$M$536,8,FALSE),"")</f>
        <v>IND</v>
      </c>
      <c r="L15" s="326">
        <v>3</v>
      </c>
      <c r="M15" s="87">
        <f>IF($L15&lt;&gt;0,VLOOKUP($F15,$E$80:$M$536,9,FALSE)*$L15,"")</f>
        <v>60</v>
      </c>
      <c r="N15" s="88">
        <f>IF($F15&lt;&gt;0,VLOOKUP($F15,$E$61:$L$544,5,FALSE),"")</f>
        <v>53900</v>
      </c>
      <c r="O15" s="89">
        <f>IF(L15&lt;&gt;0,$L15*$N15,"")</f>
        <v>161700</v>
      </c>
      <c r="P15" s="450">
        <v>633</v>
      </c>
      <c r="R15" s="75" t="str">
        <f>VLOOKUP(F15,'파레트 제품 리스트'!$B:$F,4,0)</f>
        <v>Full</v>
      </c>
      <c r="S15" s="76">
        <f>VLOOKUP(F15,'파레트 제품 리스트'!$B:$F,5,0)</f>
        <v>42</v>
      </c>
      <c r="U15" s="328">
        <f t="shared" si="1"/>
        <v>177870</v>
      </c>
      <c r="V15" s="367"/>
      <c r="W15" s="78"/>
      <c r="X15" s="78"/>
      <c r="Y15" s="79"/>
      <c r="Z15" s="80"/>
    </row>
    <row r="16" spans="1:26" s="28" customFormat="1" ht="24.95" customHeight="1">
      <c r="B16" s="221">
        <v>5</v>
      </c>
      <c r="C16" s="364"/>
      <c r="D16" s="82" t="s">
        <v>1056</v>
      </c>
      <c r="E16" s="85">
        <f>IF($D16&lt;&gt;0,VLOOKUP($D16,$D$53:$E$78,2,FALSE),"")</f>
        <v>222604</v>
      </c>
      <c r="F16" s="446">
        <v>141750</v>
      </c>
      <c r="G16" s="224" t="str">
        <f>IF($F16&lt;&gt;0,VLOOKUP($F16,$E$80:$M$536,2,FALSE),"")</f>
        <v>MOBIL DTE 26 ULTRA PAIL 20L:KR</v>
      </c>
      <c r="H16" s="341"/>
      <c r="I16" s="342"/>
      <c r="J16" s="84" t="str">
        <f>IF($F16&lt;&gt;0,VLOOKUP($F16,$E$80:$M$536,7,FALSE),"")</f>
        <v>PAIL</v>
      </c>
      <c r="K16" s="85" t="str">
        <f>IF($F16&lt;&gt;0,VLOOKUP($F16,$E$80:$M$536,8,FALSE),"")</f>
        <v>IND</v>
      </c>
      <c r="L16" s="326">
        <v>2</v>
      </c>
      <c r="M16" s="87">
        <f>IF($L16&lt;&gt;0,VLOOKUP($F16,$E$80:$M$536,9,FALSE)*$L16,"")</f>
        <v>40</v>
      </c>
      <c r="N16" s="88">
        <f>IF($F16&lt;&gt;0,VLOOKUP($F16,$E$61:$L$544,5,FALSE),"")</f>
        <v>53900</v>
      </c>
      <c r="O16" s="89">
        <f>IF(L16&lt;&gt;0,$L16*$N16,"")</f>
        <v>107800</v>
      </c>
      <c r="P16" s="450">
        <v>205</v>
      </c>
      <c r="R16" s="75" t="str">
        <f>VLOOKUP(F16,'파레트 제품 리스트'!$B:$F,4,0)</f>
        <v>Full</v>
      </c>
      <c r="S16" s="76">
        <f>VLOOKUP(F16,'파레트 제품 리스트'!$B:$F,5,0)</f>
        <v>42</v>
      </c>
      <c r="U16" s="328">
        <f t="shared" si="1"/>
        <v>118580.00000000001</v>
      </c>
      <c r="V16" s="367"/>
      <c r="W16" s="78"/>
      <c r="X16" s="78"/>
      <c r="Y16" s="79"/>
      <c r="Z16" s="80"/>
    </row>
    <row r="17" spans="2:26" s="28" customFormat="1" ht="24.95" customHeight="1" thickBot="1">
      <c r="B17" s="447">
        <v>6</v>
      </c>
      <c r="C17" s="445"/>
      <c r="D17" s="338" t="s">
        <v>1056</v>
      </c>
      <c r="E17" s="339">
        <f t="shared" ref="E17:E22" si="2">IF($D17&lt;&gt;0,VLOOKUP($D17,$D$53:$E$78,2,FALSE),"")</f>
        <v>222604</v>
      </c>
      <c r="F17" s="446">
        <v>139040</v>
      </c>
      <c r="G17" s="340" t="str">
        <f t="shared" ref="G17:G22" si="3">IF($F17&lt;&gt;0,VLOOKUP($F17,$E$80:$M$536,2,FALSE),"")</f>
        <v>MOBIL DTE 732 DRUM 200L:KR</v>
      </c>
      <c r="H17" s="341"/>
      <c r="I17" s="342"/>
      <c r="J17" s="343" t="str">
        <f t="shared" ref="J17:J22" si="4">IF($F17&lt;&gt;0,VLOOKUP($F17,$E$80:$M$536,7,FALSE),"")</f>
        <v>DRUM</v>
      </c>
      <c r="K17" s="339" t="str">
        <f t="shared" ref="K17:K22" si="5">IF($F17&lt;&gt;0,VLOOKUP($F17,$E$80:$M$536,8,FALSE),"")</f>
        <v>IND</v>
      </c>
      <c r="L17" s="326">
        <v>140</v>
      </c>
      <c r="M17" s="344">
        <f t="shared" ref="M17:M22" si="6">IF($L17&lt;&gt;0,VLOOKUP($F17,$E$80:$M$536,9,FALSE)*$L17,"")</f>
        <v>28000</v>
      </c>
      <c r="N17" s="529">
        <v>429000</v>
      </c>
      <c r="O17" s="346">
        <f t="shared" ref="O17:O35" si="7">IF(L17&lt;&gt;0,$L17*$N17,"")</f>
        <v>60060000</v>
      </c>
      <c r="P17" s="450">
        <v>30</v>
      </c>
      <c r="R17" s="75" t="str">
        <f>VLOOKUP(F17,'파레트 제품 리스트'!$B:$F,4,0)</f>
        <v>DRUM</v>
      </c>
      <c r="S17" s="76">
        <f>VLOOKUP(F17,'파레트 제품 리스트'!$B:$F,5,0)</f>
        <v>1</v>
      </c>
      <c r="U17" s="328">
        <f t="shared" si="1"/>
        <v>66066000.000000007</v>
      </c>
      <c r="V17" s="367"/>
      <c r="W17" s="78"/>
      <c r="X17" s="78"/>
      <c r="Y17" s="79"/>
      <c r="Z17" s="80"/>
    </row>
    <row r="18" spans="2:26" s="28" customFormat="1" ht="24.95" customHeight="1">
      <c r="B18" s="530">
        <v>7</v>
      </c>
      <c r="C18" s="531"/>
      <c r="D18" s="532" t="s">
        <v>1056</v>
      </c>
      <c r="E18" s="533">
        <f t="shared" si="2"/>
        <v>222604</v>
      </c>
      <c r="F18" s="534">
        <v>139059</v>
      </c>
      <c r="G18" s="535" t="str">
        <f t="shared" si="3"/>
        <v>MOBIL DTE OIL HEAVY MEDIUM DRUM 200L:KR</v>
      </c>
      <c r="H18" s="536"/>
      <c r="I18" s="537"/>
      <c r="J18" s="538" t="str">
        <f t="shared" si="4"/>
        <v>DRUM</v>
      </c>
      <c r="K18" s="533" t="str">
        <f t="shared" si="5"/>
        <v>IND</v>
      </c>
      <c r="L18" s="539">
        <v>4</v>
      </c>
      <c r="M18" s="540">
        <f t="shared" si="6"/>
        <v>800</v>
      </c>
      <c r="N18" s="541">
        <f t="shared" ref="N18:N22" si="8">IF($F18&lt;&gt;0,VLOOKUP($F18,$E$61:$L$544,5,FALSE),"")</f>
        <v>691000</v>
      </c>
      <c r="O18" s="542">
        <f>IF(L18&lt;&gt;0,$L18*$N18,"")</f>
        <v>2764000</v>
      </c>
      <c r="P18" s="543">
        <v>85</v>
      </c>
      <c r="R18" s="75" t="str">
        <f>VLOOKUP(F18,'파레트 제품 리스트'!$B:$F,4,0)</f>
        <v>DRUM</v>
      </c>
      <c r="S18" s="76">
        <f>VLOOKUP(F18,'파레트 제품 리스트'!$B:$F,5,0)</f>
        <v>1</v>
      </c>
      <c r="U18" s="328">
        <f>O18*1.1</f>
        <v>3040400.0000000005</v>
      </c>
      <c r="V18" s="367" t="e">
        <f>VLOOKUP(F18,미출!$D:$F,3,0)</f>
        <v>#N/A</v>
      </c>
      <c r="W18" s="78">
        <f>COUNTIF($F$11:$F$11,F18)</f>
        <v>0</v>
      </c>
      <c r="X18" s="78" t="e">
        <f>VLOOKUP(F18,#REF!,7,0)</f>
        <v>#REF!</v>
      </c>
      <c r="Y18" s="79"/>
      <c r="Z18" s="80" t="b">
        <f>N18=Y18</f>
        <v>0</v>
      </c>
    </row>
    <row r="19" spans="2:26" s="28" customFormat="1" ht="24.95" customHeight="1">
      <c r="B19" s="221">
        <v>8</v>
      </c>
      <c r="C19" s="364"/>
      <c r="D19" s="82" t="s">
        <v>1056</v>
      </c>
      <c r="E19" s="85">
        <f t="shared" si="2"/>
        <v>222604</v>
      </c>
      <c r="F19" s="446">
        <v>139065</v>
      </c>
      <c r="G19" s="224" t="str">
        <f t="shared" si="3"/>
        <v>MOBIL DTE OIL MEDIUM DRUM 200L:KR</v>
      </c>
      <c r="H19" s="341"/>
      <c r="I19" s="342"/>
      <c r="J19" s="84" t="str">
        <f t="shared" si="4"/>
        <v>DRUM</v>
      </c>
      <c r="K19" s="85" t="str">
        <f t="shared" si="5"/>
        <v>IND</v>
      </c>
      <c r="L19" s="326">
        <v>70</v>
      </c>
      <c r="M19" s="87">
        <f t="shared" si="6"/>
        <v>14000</v>
      </c>
      <c r="N19" s="528">
        <v>470000</v>
      </c>
      <c r="O19" s="89">
        <f>IF(L19&lt;&gt;0,$L19*$N19,"")</f>
        <v>32900000</v>
      </c>
      <c r="P19" s="450">
        <v>56</v>
      </c>
      <c r="R19" s="75" t="str">
        <f>VLOOKUP(F19,'파레트 제품 리스트'!$B:$F,4,0)</f>
        <v>DRUM</v>
      </c>
      <c r="S19" s="76">
        <f>VLOOKUP(F19,'파레트 제품 리스트'!$B:$F,5,0)</f>
        <v>1</v>
      </c>
      <c r="U19" s="328">
        <f t="shared" ref="U19:U34" si="9">O19*1.1</f>
        <v>36190000</v>
      </c>
      <c r="V19" s="367"/>
      <c r="W19" s="78"/>
      <c r="X19" s="78"/>
      <c r="Y19" s="79"/>
      <c r="Z19" s="80"/>
    </row>
    <row r="20" spans="2:26" s="28" customFormat="1" ht="24.95" customHeight="1">
      <c r="B20" s="221">
        <v>9</v>
      </c>
      <c r="C20" s="364"/>
      <c r="D20" s="82" t="s">
        <v>1056</v>
      </c>
      <c r="E20" s="85">
        <f t="shared" si="2"/>
        <v>222604</v>
      </c>
      <c r="F20" s="446">
        <v>124476</v>
      </c>
      <c r="G20" s="224" t="str">
        <f t="shared" si="3"/>
        <v>MOBIL MULTIPURPOSE ATF PAIL 20L</v>
      </c>
      <c r="H20" s="341"/>
      <c r="I20" s="342"/>
      <c r="J20" s="84" t="str">
        <f t="shared" si="4"/>
        <v>PAIL</v>
      </c>
      <c r="K20" s="85" t="str">
        <f t="shared" si="5"/>
        <v>PVL</v>
      </c>
      <c r="L20" s="326">
        <v>1</v>
      </c>
      <c r="M20" s="87">
        <f t="shared" si="6"/>
        <v>20</v>
      </c>
      <c r="N20" s="88">
        <f t="shared" si="8"/>
        <v>63200</v>
      </c>
      <c r="O20" s="89">
        <f>IF(L20&lt;&gt;0,$L20*$N20,"")</f>
        <v>63200</v>
      </c>
      <c r="P20" s="450">
        <v>171</v>
      </c>
      <c r="R20" s="75" t="str">
        <f>VLOOKUP(F20,'파레트 제품 리스트'!$B:$F,4,0)</f>
        <v>FULL</v>
      </c>
      <c r="S20" s="76">
        <f>VLOOKUP(F20,'파레트 제품 리스트'!$B:$F,5,0)</f>
        <v>42</v>
      </c>
      <c r="U20" s="328">
        <f t="shared" si="9"/>
        <v>69520</v>
      </c>
      <c r="V20" s="367"/>
      <c r="W20" s="78"/>
      <c r="X20" s="78"/>
      <c r="Y20" s="79"/>
      <c r="Z20" s="80"/>
    </row>
    <row r="21" spans="2:26" s="28" customFormat="1" ht="24.95" customHeight="1">
      <c r="B21" s="221">
        <v>10</v>
      </c>
      <c r="C21" s="364"/>
      <c r="D21" s="82" t="s">
        <v>1056</v>
      </c>
      <c r="E21" s="85">
        <f t="shared" si="2"/>
        <v>222604</v>
      </c>
      <c r="F21" s="446">
        <v>135454</v>
      </c>
      <c r="G21" s="224" t="str">
        <f t="shared" si="3"/>
        <v>MOBIL SHC 626,55GA</v>
      </c>
      <c r="H21" s="341"/>
      <c r="I21" s="342"/>
      <c r="J21" s="84" t="str">
        <f t="shared" si="4"/>
        <v>DRUM</v>
      </c>
      <c r="K21" s="85" t="str">
        <f t="shared" si="5"/>
        <v>IND</v>
      </c>
      <c r="L21" s="326">
        <v>1</v>
      </c>
      <c r="M21" s="87">
        <f t="shared" si="6"/>
        <v>208</v>
      </c>
      <c r="N21" s="88">
        <f t="shared" si="8"/>
        <v>2602000</v>
      </c>
      <c r="O21" s="89">
        <f>IF(L21&lt;&gt;0,$L21*$N21,"")</f>
        <v>2602000</v>
      </c>
      <c r="P21" s="450">
        <v>13</v>
      </c>
      <c r="R21" s="75" t="str">
        <f>VLOOKUP(F21,'파레트 제품 리스트'!$B:$F,4,0)</f>
        <v>DRUM</v>
      </c>
      <c r="S21" s="76">
        <f>VLOOKUP(F21,'파레트 제품 리스트'!$B:$F,5,0)</f>
        <v>1</v>
      </c>
      <c r="U21" s="328">
        <f>O21*1.1</f>
        <v>2862200</v>
      </c>
      <c r="V21" s="367"/>
      <c r="W21" s="78"/>
      <c r="X21" s="78"/>
      <c r="Y21" s="79"/>
      <c r="Z21" s="80"/>
    </row>
    <row r="22" spans="2:26" s="28" customFormat="1" ht="24.95" customHeight="1">
      <c r="B22" s="221">
        <v>11</v>
      </c>
      <c r="C22" s="364"/>
      <c r="D22" s="82" t="s">
        <v>1056</v>
      </c>
      <c r="E22" s="85">
        <f t="shared" si="2"/>
        <v>222604</v>
      </c>
      <c r="F22" s="446">
        <v>135455</v>
      </c>
      <c r="G22" s="224" t="str">
        <f t="shared" si="3"/>
        <v>MOBIL SHC 626,5GA</v>
      </c>
      <c r="H22" s="341"/>
      <c r="I22" s="342"/>
      <c r="J22" s="343" t="str">
        <f t="shared" si="4"/>
        <v>PAIL</v>
      </c>
      <c r="K22" s="339" t="str">
        <f t="shared" si="5"/>
        <v>IND</v>
      </c>
      <c r="L22" s="326">
        <v>7</v>
      </c>
      <c r="M22" s="87">
        <f t="shared" si="6"/>
        <v>132.29999999999998</v>
      </c>
      <c r="N22" s="88">
        <f t="shared" si="8"/>
        <v>282000</v>
      </c>
      <c r="O22" s="89">
        <f>IF(L22&lt;&gt;0,$L22*$N22,"")</f>
        <v>1974000</v>
      </c>
      <c r="P22" s="450">
        <v>186</v>
      </c>
      <c r="R22" s="75" t="str">
        <f>VLOOKUP(F22,'파레트 제품 리스트'!$B:$F,4,0)</f>
        <v>MIX (28)</v>
      </c>
      <c r="S22" s="76">
        <f>VLOOKUP(F22,'파레트 제품 리스트'!$B:$F,5,0)</f>
        <v>1</v>
      </c>
      <c r="U22" s="328">
        <f>O22*1.1</f>
        <v>2171400</v>
      </c>
      <c r="V22" s="367"/>
      <c r="W22" s="78"/>
      <c r="X22" s="78"/>
      <c r="Y22" s="79"/>
      <c r="Z22" s="80"/>
    </row>
    <row r="23" spans="2:26" s="28" customFormat="1" ht="24.95" customHeight="1">
      <c r="B23" s="221">
        <v>12</v>
      </c>
      <c r="C23" s="364"/>
      <c r="D23" s="82" t="s">
        <v>1056</v>
      </c>
      <c r="E23" s="85">
        <f t="shared" ref="E23:E30" si="10">IF($D23&lt;&gt;0,VLOOKUP($D23,$D$53:$E$78,2,FALSE),"")</f>
        <v>222604</v>
      </c>
      <c r="F23" s="446">
        <v>139036</v>
      </c>
      <c r="G23" s="224" t="str">
        <f t="shared" ref="G23:G30" si="11">IF($F23&lt;&gt;0,VLOOKUP($F23,$E$80:$M$536,2,FALSE),"")</f>
        <v>MOBIL VACUOLINE 528 DRUM 200L:KR</v>
      </c>
      <c r="H23" s="341"/>
      <c r="I23" s="342"/>
      <c r="J23" s="84" t="str">
        <f t="shared" ref="J23:J30" si="12">IF($F23&lt;&gt;0,VLOOKUP($F23,$E$80:$M$536,7,FALSE),"")</f>
        <v>DRUM</v>
      </c>
      <c r="K23" s="85" t="str">
        <f t="shared" ref="K23:K30" si="13">IF($F23&lt;&gt;0,VLOOKUP($F23,$E$80:$M$536,8,FALSE),"")</f>
        <v>IND</v>
      </c>
      <c r="L23" s="326">
        <v>2</v>
      </c>
      <c r="M23" s="87">
        <f t="shared" ref="M23:M30" si="14">IF($L23&lt;&gt;0,VLOOKUP($F23,$E$80:$M$536,9,FALSE)*$L23,"")</f>
        <v>400</v>
      </c>
      <c r="N23" s="88">
        <f>IF($F23&lt;&gt;0,VLOOKUP($F23,$E$61:$L$544,5,FALSE),"")</f>
        <v>649000</v>
      </c>
      <c r="O23" s="89">
        <f t="shared" si="7"/>
        <v>1298000</v>
      </c>
      <c r="P23" s="450">
        <v>34</v>
      </c>
      <c r="R23" s="75" t="str">
        <f>VLOOKUP(F23,'파레트 제품 리스트'!$B:$F,4,0)</f>
        <v>DRUM</v>
      </c>
      <c r="S23" s="76">
        <f>VLOOKUP(F23,'파레트 제품 리스트'!$B:$F,5,0)</f>
        <v>1</v>
      </c>
      <c r="U23" s="328">
        <f t="shared" si="9"/>
        <v>1427800</v>
      </c>
      <c r="V23" s="367"/>
      <c r="W23" s="78"/>
      <c r="X23" s="78"/>
      <c r="Y23" s="79"/>
      <c r="Z23" s="80"/>
    </row>
    <row r="24" spans="2:26" s="28" customFormat="1" ht="24.95" customHeight="1">
      <c r="B24" s="221">
        <v>13</v>
      </c>
      <c r="C24" s="364"/>
      <c r="D24" s="82" t="s">
        <v>1056</v>
      </c>
      <c r="E24" s="85">
        <f t="shared" si="10"/>
        <v>222604</v>
      </c>
      <c r="F24" s="446">
        <v>139037</v>
      </c>
      <c r="G24" s="224" t="str">
        <f t="shared" si="11"/>
        <v>MOBIL VACUOLINE 528 PAIL 20L:KR</v>
      </c>
      <c r="H24" s="341"/>
      <c r="I24" s="342"/>
      <c r="J24" s="343" t="str">
        <f t="shared" si="12"/>
        <v>PAIL</v>
      </c>
      <c r="K24" s="339" t="str">
        <f t="shared" si="13"/>
        <v>IND</v>
      </c>
      <c r="L24" s="326">
        <v>3</v>
      </c>
      <c r="M24" s="87">
        <f t="shared" si="14"/>
        <v>60</v>
      </c>
      <c r="N24" s="88">
        <f>IF($F24&lt;&gt;0,VLOOKUP($F24,$E$61:$L$544,5,FALSE),"")</f>
        <v>82400</v>
      </c>
      <c r="O24" s="89">
        <f t="shared" si="7"/>
        <v>247200</v>
      </c>
      <c r="P24" s="450">
        <v>13</v>
      </c>
      <c r="R24" s="75" t="str">
        <f>VLOOKUP(F24,'파레트 제품 리스트'!$B:$F,4,0)</f>
        <v>MIX (28)</v>
      </c>
      <c r="S24" s="76">
        <f>VLOOKUP(F24,'파레트 제품 리스트'!$B:$F,5,0)</f>
        <v>1</v>
      </c>
      <c r="U24" s="328">
        <f t="shared" si="9"/>
        <v>271920</v>
      </c>
      <c r="V24" s="367"/>
      <c r="W24" s="78"/>
      <c r="X24" s="78"/>
      <c r="Y24" s="79"/>
      <c r="Z24" s="80"/>
    </row>
    <row r="25" spans="2:26" s="28" customFormat="1" ht="24.95" customHeight="1">
      <c r="B25" s="221">
        <v>14</v>
      </c>
      <c r="C25" s="364"/>
      <c r="D25" s="82" t="s">
        <v>1056</v>
      </c>
      <c r="E25" s="85">
        <f t="shared" si="10"/>
        <v>222604</v>
      </c>
      <c r="F25" s="446">
        <v>148662</v>
      </c>
      <c r="G25" s="224" t="str">
        <f t="shared" si="11"/>
        <v>MOBIL VELOCITE 6, 20LT, PAIL</v>
      </c>
      <c r="H25" s="341"/>
      <c r="I25" s="342"/>
      <c r="J25" s="343" t="str">
        <f t="shared" si="12"/>
        <v>PAIL</v>
      </c>
      <c r="K25" s="339" t="str">
        <f t="shared" si="13"/>
        <v>IND</v>
      </c>
      <c r="L25" s="326">
        <v>2</v>
      </c>
      <c r="M25" s="87">
        <f t="shared" si="14"/>
        <v>40</v>
      </c>
      <c r="N25" s="88">
        <f>IF($F25&lt;&gt;0,VLOOKUP($F25,$E$61:$L$544,5,FALSE),"")</f>
        <v>55400</v>
      </c>
      <c r="O25" s="89">
        <f t="shared" si="7"/>
        <v>110800</v>
      </c>
      <c r="P25" s="450">
        <v>71</v>
      </c>
      <c r="R25" s="75" t="str">
        <f>VLOOKUP(F25,'파레트 제품 리스트'!$B:$F,4,0)</f>
        <v>Full</v>
      </c>
      <c r="S25" s="76">
        <f>VLOOKUP(F25,'파레트 제품 리스트'!$B:$F,5,0)</f>
        <v>42</v>
      </c>
      <c r="U25" s="328">
        <f t="shared" si="9"/>
        <v>121880.00000000001</v>
      </c>
      <c r="V25" s="367"/>
      <c r="W25" s="78"/>
      <c r="X25" s="78"/>
      <c r="Y25" s="79"/>
      <c r="Z25" s="80"/>
    </row>
    <row r="26" spans="2:26" s="28" customFormat="1" ht="24.95" customHeight="1">
      <c r="B26" s="221">
        <v>15</v>
      </c>
      <c r="C26" s="364"/>
      <c r="D26" s="82" t="s">
        <v>1056</v>
      </c>
      <c r="E26" s="85">
        <f t="shared" si="10"/>
        <v>222604</v>
      </c>
      <c r="F26" s="446">
        <v>139131</v>
      </c>
      <c r="G26" s="224" t="str">
        <f t="shared" si="11"/>
        <v>MOBILGEAR 600 XP 150 PAIL 20L:KR</v>
      </c>
      <c r="H26" s="341"/>
      <c r="I26" s="342"/>
      <c r="J26" s="343" t="str">
        <f t="shared" si="12"/>
        <v>PAIL</v>
      </c>
      <c r="K26" s="339" t="str">
        <f t="shared" si="13"/>
        <v>IND</v>
      </c>
      <c r="L26" s="326">
        <v>2</v>
      </c>
      <c r="M26" s="87">
        <f t="shared" si="14"/>
        <v>40</v>
      </c>
      <c r="N26" s="88">
        <f>IF($F26&lt;&gt;0,VLOOKUP($F26,$E$61:$L$544,5,FALSE),"")</f>
        <v>74600</v>
      </c>
      <c r="O26" s="89">
        <f t="shared" si="7"/>
        <v>149200</v>
      </c>
      <c r="P26" s="450">
        <v>1</v>
      </c>
      <c r="R26" s="75" t="str">
        <f>VLOOKUP(F26,'파레트 제품 리스트'!$B:$F,4,0)</f>
        <v>Full</v>
      </c>
      <c r="S26" s="76">
        <f>VLOOKUP(F26,'파레트 제품 리스트'!$B:$F,5,0)</f>
        <v>42</v>
      </c>
      <c r="U26" s="328">
        <f t="shared" si="9"/>
        <v>164120</v>
      </c>
      <c r="V26" s="367"/>
      <c r="W26" s="78"/>
      <c r="X26" s="78"/>
      <c r="Y26" s="79"/>
      <c r="Z26" s="80"/>
    </row>
    <row r="27" spans="2:26" s="28" customFormat="1" ht="24.95" customHeight="1">
      <c r="B27" s="221">
        <v>16</v>
      </c>
      <c r="C27" s="364"/>
      <c r="D27" s="82" t="s">
        <v>1056</v>
      </c>
      <c r="E27" s="85">
        <f t="shared" si="10"/>
        <v>222604</v>
      </c>
      <c r="F27" s="446">
        <v>139134</v>
      </c>
      <c r="G27" s="224" t="str">
        <f t="shared" si="11"/>
        <v>MOBILGEAR 600 XP 220 PAIL 20L:KR</v>
      </c>
      <c r="H27" s="341"/>
      <c r="I27" s="342"/>
      <c r="J27" s="343" t="str">
        <f t="shared" si="12"/>
        <v>PAIL</v>
      </c>
      <c r="K27" s="339" t="str">
        <f t="shared" si="13"/>
        <v>IND</v>
      </c>
      <c r="L27" s="326">
        <v>5</v>
      </c>
      <c r="M27" s="87">
        <f t="shared" si="14"/>
        <v>100</v>
      </c>
      <c r="N27" s="88">
        <f>IF($F27&lt;&gt;0,VLOOKUP($F27,$E$61:$L$544,5,FALSE),"")</f>
        <v>70900</v>
      </c>
      <c r="O27" s="89">
        <f t="shared" si="7"/>
        <v>354500</v>
      </c>
      <c r="P27" s="450">
        <v>276</v>
      </c>
      <c r="R27" s="75" t="str">
        <f>VLOOKUP(F27,'파레트 제품 리스트'!$B:$F,4,0)</f>
        <v>Full</v>
      </c>
      <c r="S27" s="76">
        <f>VLOOKUP(F27,'파레트 제품 리스트'!$B:$F,5,0)</f>
        <v>42</v>
      </c>
      <c r="U27" s="328">
        <f t="shared" si="9"/>
        <v>389950.00000000006</v>
      </c>
      <c r="V27" s="367"/>
      <c r="W27" s="78"/>
      <c r="X27" s="78"/>
      <c r="Y27" s="79"/>
      <c r="Z27" s="80"/>
    </row>
    <row r="28" spans="2:26" s="28" customFormat="1" ht="24.95" customHeight="1">
      <c r="B28" s="221">
        <v>17</v>
      </c>
      <c r="C28" s="364"/>
      <c r="D28" s="82" t="s">
        <v>1056</v>
      </c>
      <c r="E28" s="85">
        <f t="shared" si="10"/>
        <v>222604</v>
      </c>
      <c r="F28" s="446">
        <v>139135</v>
      </c>
      <c r="G28" s="224" t="str">
        <f t="shared" si="11"/>
        <v>MOBILGEAR 600 XP 320 DRUM 200L:KR</v>
      </c>
      <c r="H28" s="341"/>
      <c r="I28" s="342"/>
      <c r="J28" s="343" t="str">
        <f t="shared" si="12"/>
        <v>DRUM</v>
      </c>
      <c r="K28" s="339" t="str">
        <f t="shared" si="13"/>
        <v>IND</v>
      </c>
      <c r="L28" s="326">
        <v>9</v>
      </c>
      <c r="M28" s="87">
        <f t="shared" si="14"/>
        <v>1800</v>
      </c>
      <c r="N28" s="528">
        <v>610000</v>
      </c>
      <c r="O28" s="89">
        <f t="shared" si="7"/>
        <v>5490000</v>
      </c>
      <c r="P28" s="450">
        <v>160</v>
      </c>
      <c r="R28" s="75" t="str">
        <f>VLOOKUP(F28,'파레트 제품 리스트'!$B:$F,4,0)</f>
        <v>DRUM</v>
      </c>
      <c r="S28" s="76">
        <f>VLOOKUP(F28,'파레트 제품 리스트'!$B:$F,5,0)</f>
        <v>1</v>
      </c>
      <c r="U28" s="328">
        <f t="shared" si="9"/>
        <v>6039000.0000000009</v>
      </c>
      <c r="V28" s="367"/>
      <c r="W28" s="78"/>
      <c r="X28" s="78"/>
      <c r="Y28" s="79"/>
      <c r="Z28" s="80"/>
    </row>
    <row r="29" spans="2:26" s="28" customFormat="1" ht="24.95" customHeight="1">
      <c r="B29" s="221">
        <v>18</v>
      </c>
      <c r="C29" s="364"/>
      <c r="D29" s="82" t="s">
        <v>1056</v>
      </c>
      <c r="E29" s="85">
        <f t="shared" si="10"/>
        <v>222604</v>
      </c>
      <c r="F29" s="446">
        <v>139137</v>
      </c>
      <c r="G29" s="224" t="str">
        <f t="shared" si="11"/>
        <v>MOBILGEAR 600 XP 320 PAIL 20L:KR</v>
      </c>
      <c r="H29" s="341"/>
      <c r="I29" s="342"/>
      <c r="J29" s="343" t="str">
        <f t="shared" si="12"/>
        <v>PAIL</v>
      </c>
      <c r="K29" s="339" t="str">
        <f t="shared" si="13"/>
        <v>IND</v>
      </c>
      <c r="L29" s="326">
        <v>5</v>
      </c>
      <c r="M29" s="87">
        <f t="shared" si="14"/>
        <v>100</v>
      </c>
      <c r="N29" s="88">
        <f>IF($F29&lt;&gt;0,VLOOKUP($F29,$E$61:$L$544,5,FALSE),"")</f>
        <v>80900</v>
      </c>
      <c r="O29" s="89">
        <f t="shared" si="7"/>
        <v>404500</v>
      </c>
      <c r="P29" s="450">
        <v>451</v>
      </c>
      <c r="R29" s="75" t="str">
        <f>VLOOKUP(F29,'파레트 제품 리스트'!$B:$F,4,0)</f>
        <v>MIX (28)</v>
      </c>
      <c r="S29" s="76">
        <f>VLOOKUP(F29,'파레트 제품 리스트'!$B:$F,5,0)</f>
        <v>1</v>
      </c>
      <c r="U29" s="328">
        <f t="shared" si="9"/>
        <v>444950.00000000006</v>
      </c>
      <c r="V29" s="367"/>
      <c r="W29" s="78"/>
      <c r="X29" s="78"/>
      <c r="Y29" s="79"/>
      <c r="Z29" s="80"/>
    </row>
    <row r="30" spans="2:26" s="28" customFormat="1" ht="24.95" customHeight="1">
      <c r="B30" s="221">
        <v>19</v>
      </c>
      <c r="C30" s="364"/>
      <c r="D30" s="82" t="s">
        <v>1056</v>
      </c>
      <c r="E30" s="85">
        <f t="shared" si="10"/>
        <v>222604</v>
      </c>
      <c r="F30" s="446">
        <v>139141</v>
      </c>
      <c r="G30" s="224" t="str">
        <f t="shared" si="11"/>
        <v>MOBILGEAR 600 XP 680 PAIL 20L:KR</v>
      </c>
      <c r="H30" s="341"/>
      <c r="I30" s="342"/>
      <c r="J30" s="343" t="str">
        <f t="shared" si="12"/>
        <v>PAIL</v>
      </c>
      <c r="K30" s="339" t="str">
        <f t="shared" si="13"/>
        <v>IND</v>
      </c>
      <c r="L30" s="326">
        <v>1</v>
      </c>
      <c r="M30" s="87">
        <f t="shared" si="14"/>
        <v>20</v>
      </c>
      <c r="N30" s="88">
        <f>IF($F30&lt;&gt;0,VLOOKUP($F30,$E$61:$L$544,5,FALSE),"")</f>
        <v>87100</v>
      </c>
      <c r="O30" s="89">
        <f t="shared" si="7"/>
        <v>87100</v>
      </c>
      <c r="P30" s="450">
        <v>16</v>
      </c>
      <c r="R30" s="75" t="str">
        <f>VLOOKUP(F30,'파레트 제품 리스트'!$B:$F,4,0)</f>
        <v>MIX (28)</v>
      </c>
      <c r="S30" s="76">
        <f>VLOOKUP(F30,'파레트 제품 리스트'!$B:$F,5,0)</f>
        <v>1</v>
      </c>
      <c r="U30" s="328">
        <f t="shared" si="9"/>
        <v>95810.000000000015</v>
      </c>
      <c r="V30" s="367"/>
      <c r="W30" s="78"/>
      <c r="X30" s="78"/>
      <c r="Y30" s="79"/>
      <c r="Z30" s="80"/>
    </row>
    <row r="31" spans="2:26" s="28" customFormat="1" ht="24.95" hidden="1" customHeight="1">
      <c r="B31" s="221"/>
      <c r="C31" s="364"/>
      <c r="D31" s="82"/>
      <c r="E31" s="85"/>
      <c r="F31" s="446"/>
      <c r="G31" s="224"/>
      <c r="H31" s="341"/>
      <c r="I31" s="342"/>
      <c r="J31" s="343"/>
      <c r="K31" s="339"/>
      <c r="L31" s="326"/>
      <c r="M31" s="87"/>
      <c r="N31" s="88"/>
      <c r="O31" s="89"/>
      <c r="P31" s="450"/>
      <c r="R31" s="75"/>
      <c r="S31" s="76"/>
      <c r="U31" s="328"/>
      <c r="V31" s="367"/>
      <c r="W31" s="78"/>
      <c r="X31" s="78"/>
      <c r="Y31" s="79"/>
      <c r="Z31" s="80"/>
    </row>
    <row r="32" spans="2:26" s="28" customFormat="1" ht="24.95" hidden="1" customHeight="1">
      <c r="B32" s="221"/>
      <c r="C32" s="364"/>
      <c r="D32" s="82"/>
      <c r="E32" s="85"/>
      <c r="F32" s="446"/>
      <c r="G32" s="224"/>
      <c r="H32" s="341"/>
      <c r="I32" s="342"/>
      <c r="J32" s="343"/>
      <c r="K32" s="339"/>
      <c r="L32" s="326"/>
      <c r="M32" s="87"/>
      <c r="N32" s="88"/>
      <c r="O32" s="89"/>
      <c r="P32" s="450"/>
      <c r="R32" s="75"/>
      <c r="S32" s="76"/>
      <c r="U32" s="328"/>
      <c r="V32" s="367"/>
      <c r="W32" s="78"/>
      <c r="X32" s="78"/>
      <c r="Y32" s="79"/>
      <c r="Z32" s="80"/>
    </row>
    <row r="33" spans="1:26" s="28" customFormat="1" ht="24.95" hidden="1" customHeight="1">
      <c r="B33" s="221"/>
      <c r="C33" s="364"/>
      <c r="D33" s="82"/>
      <c r="E33" s="85" t="str">
        <f>IF($D33&lt;&gt;0,VLOOKUP($D33,$D$53:$E$78,2,FALSE),"")</f>
        <v/>
      </c>
      <c r="F33" s="446"/>
      <c r="G33" s="224" t="str">
        <f>IF($F33&lt;&gt;0,VLOOKUP($F33,$E$80:$M$536,2,FALSE),"")</f>
        <v/>
      </c>
      <c r="H33" s="341"/>
      <c r="I33" s="342"/>
      <c r="J33" s="343" t="str">
        <f>IF($F33&lt;&gt;0,VLOOKUP($F33,$E$80:$M$536,7,FALSE),"")</f>
        <v/>
      </c>
      <c r="K33" s="339" t="str">
        <f>IF($F33&lt;&gt;0,VLOOKUP($F33,$E$80:$M$536,8,FALSE),"")</f>
        <v/>
      </c>
      <c r="L33" s="326"/>
      <c r="M33" s="87" t="str">
        <f>IF($L33&lt;&gt;0,VLOOKUP($F33,$E$80:$M$536,9,FALSE)*$L33,"")</f>
        <v/>
      </c>
      <c r="N33" s="88"/>
      <c r="O33" s="89" t="str">
        <f t="shared" si="7"/>
        <v/>
      </c>
      <c r="P33" s="450"/>
      <c r="R33" s="75" t="e">
        <f>VLOOKUP(F33,'파레트 제품 리스트'!$B:$F,4,0)</f>
        <v>#N/A</v>
      </c>
      <c r="S33" s="76" t="e">
        <f>VLOOKUP(F33,'파레트 제품 리스트'!$B:$F,5,0)</f>
        <v>#N/A</v>
      </c>
      <c r="U33" s="328" t="e">
        <f t="shared" si="9"/>
        <v>#VALUE!</v>
      </c>
      <c r="V33" s="367" t="e">
        <f>VLOOKUP(F33,미출!$D:$F,3,0)</f>
        <v>#N/A</v>
      </c>
      <c r="W33" s="78">
        <f>COUNTIF($F$11:$F$11,F33)</f>
        <v>0</v>
      </c>
      <c r="X33" s="78" t="e">
        <f>VLOOKUP(F33,#REF!,7,0)</f>
        <v>#REF!</v>
      </c>
      <c r="Y33" s="79"/>
      <c r="Z33" s="80" t="b">
        <f t="shared" ref="Z33:Z34" si="15">N33=Y33</f>
        <v>1</v>
      </c>
    </row>
    <row r="34" spans="1:26" s="28" customFormat="1" ht="24.95" customHeight="1" thickBot="1">
      <c r="B34" s="355"/>
      <c r="C34" s="435"/>
      <c r="D34" s="90"/>
      <c r="E34" s="92" t="str">
        <f>IF($D34&lt;&gt;0,VLOOKUP($D34,$D$53:$E$77,2,FALSE),"")</f>
        <v/>
      </c>
      <c r="F34" s="513"/>
      <c r="G34" s="227" t="str">
        <f>IF($F34&lt;&gt;0,VLOOKUP($F34,$E$80:$M$545,2,FALSE),"")</f>
        <v/>
      </c>
      <c r="H34" s="228"/>
      <c r="I34" s="229"/>
      <c r="J34" s="91" t="str">
        <f>IF($F34&lt;&gt;0,VLOOKUP($F34,$E$80:$M$545,7,FALSE),"")</f>
        <v/>
      </c>
      <c r="K34" s="92" t="str">
        <f>IF($F34&lt;&gt;0,VLOOKUP($F34,$E$80:$M$545,8,FALSE),"")</f>
        <v/>
      </c>
      <c r="L34" s="512"/>
      <c r="M34" s="94" t="str">
        <f>IF($L34&lt;&gt;0,VLOOKUP($F34,$E$80:$M$528,9,FALSE)*$L34,"")</f>
        <v/>
      </c>
      <c r="N34" s="95" t="str">
        <f>IF($F34&lt;&gt;0,VLOOKUP($F34,$E$61:$L$544,5,FALSE),"")</f>
        <v/>
      </c>
      <c r="O34" s="96" t="str">
        <f t="shared" si="7"/>
        <v/>
      </c>
      <c r="P34" s="451"/>
      <c r="R34" s="75" t="e">
        <f>VLOOKUP(F34,'파레트 제품 리스트'!$B:$F,4,0)</f>
        <v>#N/A</v>
      </c>
      <c r="S34" s="76" t="e">
        <f>VLOOKUP(F34,'파레트 제품 리스트'!$B:$F,5,0)</f>
        <v>#N/A</v>
      </c>
      <c r="U34" s="328" t="e">
        <f t="shared" si="9"/>
        <v>#VALUE!</v>
      </c>
      <c r="V34" s="367" t="e">
        <f>VLOOKUP(F34,미출!$D:$F,3,0)</f>
        <v>#N/A</v>
      </c>
      <c r="W34" s="78">
        <f>COUNTIF($F$11:$F$11,F34)</f>
        <v>0</v>
      </c>
      <c r="X34" s="78" t="e">
        <f>VLOOKUP(F34,#REF!,7,0)</f>
        <v>#REF!</v>
      </c>
      <c r="Y34" s="79"/>
      <c r="Z34" s="80" t="b">
        <f t="shared" si="15"/>
        <v>1</v>
      </c>
    </row>
    <row r="35" spans="1:26" s="43" customFormat="1" ht="12" customHeight="1" thickTop="1" thickBot="1">
      <c r="A35" s="4"/>
      <c r="B35" s="105"/>
      <c r="C35" s="105"/>
      <c r="D35" s="130"/>
      <c r="E35" s="105"/>
      <c r="F35" s="372"/>
      <c r="G35" s="373"/>
      <c r="H35" s="373"/>
      <c r="I35" s="374"/>
      <c r="J35" s="375" t="str">
        <f>IF($F35&lt;&gt;0,VLOOKUP($F35,$E$89:$M$458,7,FALSE),"")</f>
        <v/>
      </c>
      <c r="K35" s="372" t="str">
        <f>IF($F35&lt;&gt;0,VLOOKUP($F35,$E$89:$M$458,8,FALSE),"")</f>
        <v/>
      </c>
      <c r="L35" s="376"/>
      <c r="M35" s="376" t="str">
        <f>IF($L35&lt;&gt;0,VLOOKUP($F35,$E$89:$M$458,9,FALSE)*$L35,"")</f>
        <v/>
      </c>
      <c r="N35" s="100" t="str">
        <f>IF($F35&lt;&gt;0,VLOOKUP($F35,$E$89:$M$458,5,FALSE),"")</f>
        <v/>
      </c>
      <c r="O35" s="100" t="str">
        <f t="shared" si="7"/>
        <v/>
      </c>
      <c r="P35" s="100"/>
      <c r="U35" s="55"/>
      <c r="V35" s="105"/>
      <c r="W35" s="20"/>
      <c r="X35" s="78"/>
    </row>
    <row r="36" spans="1:26" s="43" customFormat="1" ht="18" customHeight="1" thickBot="1">
      <c r="A36" s="4"/>
      <c r="B36" s="105"/>
      <c r="C36" s="105"/>
      <c r="D36" s="100"/>
      <c r="E36" s="105"/>
      <c r="F36" s="105"/>
      <c r="G36" s="100"/>
      <c r="H36" s="100"/>
      <c r="I36" s="612" t="s">
        <v>18</v>
      </c>
      <c r="J36" s="106" t="s">
        <v>413</v>
      </c>
      <c r="K36" s="107">
        <f>SUM(M12:M34)</f>
        <v>45960.3</v>
      </c>
      <c r="L36" s="100"/>
      <c r="M36" s="614" t="s">
        <v>19</v>
      </c>
      <c r="N36" s="108" t="s">
        <v>20</v>
      </c>
      <c r="O36" s="616">
        <f>SUM(O12:O35)</f>
        <v>109167800</v>
      </c>
      <c r="P36" s="617"/>
      <c r="U36" s="55"/>
      <c r="V36" s="105"/>
      <c r="W36" s="20"/>
      <c r="X36" s="21"/>
    </row>
    <row r="37" spans="1:26" s="43" customFormat="1" ht="18" customHeight="1" thickBot="1">
      <c r="A37" s="4"/>
      <c r="B37" s="105"/>
      <c r="C37" s="105"/>
      <c r="D37" s="100"/>
      <c r="E37"/>
      <c r="F37" s="105"/>
      <c r="G37" s="100"/>
      <c r="H37" s="100"/>
      <c r="I37" s="613"/>
      <c r="J37" s="109" t="s">
        <v>414</v>
      </c>
      <c r="K37" s="110">
        <f>$K$36/200</f>
        <v>229.8015</v>
      </c>
      <c r="L37" s="100"/>
      <c r="M37" s="615"/>
      <c r="N37" s="111" t="s">
        <v>21</v>
      </c>
      <c r="O37" s="618">
        <f>O36*1.1</f>
        <v>120084580.00000001</v>
      </c>
      <c r="P37" s="619"/>
      <c r="U37" s="55"/>
      <c r="V37" s="105"/>
      <c r="W37" s="20"/>
      <c r="X37" s="21"/>
    </row>
    <row r="38" spans="1:26" s="43" customFormat="1" ht="16.5" customHeight="1">
      <c r="B38" s="21"/>
      <c r="C38" s="21"/>
      <c r="E38"/>
      <c r="F38" s="21"/>
      <c r="I38" s="42"/>
      <c r="J38" s="61"/>
      <c r="K38" s="21"/>
      <c r="U38" s="42"/>
      <c r="V38" s="105"/>
      <c r="W38" s="21"/>
      <c r="X38" s="21"/>
    </row>
    <row r="39" spans="1:26" ht="16.5" customHeight="1">
      <c r="K39" s="58"/>
      <c r="S39" s="43"/>
    </row>
    <row r="40" spans="1:26" ht="16.5" customHeight="1">
      <c r="A40" s="43"/>
      <c r="L40" s="362" t="e">
        <f>#REF!+#REF!+#REF!+#REF!</f>
        <v>#REF!</v>
      </c>
      <c r="P40" s="12"/>
      <c r="S40" s="43"/>
    </row>
    <row r="41" spans="1:26" ht="16.5" customHeight="1">
      <c r="L41" s="362" t="e">
        <f>+#REF!+#REF!+#REF!+#REF!</f>
        <v>#REF!</v>
      </c>
      <c r="P41" s="12"/>
    </row>
    <row r="42" spans="1:26" ht="16.5" customHeight="1">
      <c r="L42" s="363" t="e">
        <f>L41-L40</f>
        <v>#REF!</v>
      </c>
      <c r="P42" s="12"/>
      <c r="Y42"/>
    </row>
    <row r="43" spans="1:26" ht="16.5" customHeight="1">
      <c r="L43" s="1"/>
    </row>
    <row r="44" spans="1:26" ht="16.5" customHeight="1"/>
    <row r="45" spans="1:26" ht="16.5" customHeight="1"/>
    <row r="46" spans="1:26" ht="16.5" customHeight="1"/>
    <row r="47" spans="1:26" ht="16.5" customHeight="1"/>
    <row r="48" spans="1:26" s="3" customFormat="1" ht="16.5" customHeight="1" thickBot="1">
      <c r="B48" s="2"/>
      <c r="C48" s="2"/>
      <c r="E48" s="2"/>
      <c r="F48" s="2"/>
      <c r="I48" s="13"/>
      <c r="J48" s="16"/>
      <c r="K48" s="2"/>
      <c r="U48" s="45"/>
      <c r="V48" s="366"/>
      <c r="W48" s="56"/>
      <c r="X48" s="56"/>
      <c r="Y48" s="81"/>
      <c r="Z48" s="81"/>
    </row>
    <row r="49" spans="2:24" ht="13.5" customHeight="1">
      <c r="B49" s="598" t="s">
        <v>22</v>
      </c>
      <c r="C49" s="599"/>
      <c r="D49" s="599"/>
      <c r="E49" s="600"/>
    </row>
    <row r="50" spans="2:24" ht="14.25" customHeight="1" thickBot="1">
      <c r="B50" s="601"/>
      <c r="C50" s="602"/>
      <c r="D50" s="602"/>
      <c r="E50" s="603"/>
    </row>
    <row r="51" spans="2:24" ht="14.25" customHeight="1">
      <c r="B51" s="269"/>
      <c r="C51" s="269"/>
      <c r="D51" s="269"/>
      <c r="E51" s="269"/>
      <c r="I51" s="260"/>
      <c r="J51" s="261"/>
      <c r="U51" s="285"/>
    </row>
    <row r="52" spans="2:24" ht="14.25" customHeight="1">
      <c r="B52" s="269"/>
      <c r="C52" s="269"/>
      <c r="D52" s="259" t="s">
        <v>76</v>
      </c>
      <c r="E52" s="259" t="s">
        <v>23</v>
      </c>
      <c r="G52" s="280" t="s">
        <v>77</v>
      </c>
      <c r="H52" s="286" t="s">
        <v>16</v>
      </c>
      <c r="I52" s="232"/>
      <c r="J52" s="232"/>
      <c r="K52" s="233"/>
      <c r="M52" s="274" t="s">
        <v>14</v>
      </c>
      <c r="N52" s="259" t="s">
        <v>15</v>
      </c>
      <c r="O52" s="259"/>
      <c r="U52" s="285"/>
    </row>
    <row r="53" spans="2:24">
      <c r="D53" s="281" t="s">
        <v>955</v>
      </c>
      <c r="E53" s="282">
        <v>194667</v>
      </c>
      <c r="G53" s="281" t="s">
        <v>845</v>
      </c>
      <c r="H53" s="284" t="s">
        <v>792</v>
      </c>
      <c r="I53" s="275"/>
      <c r="J53" s="276"/>
      <c r="K53" s="254"/>
      <c r="L53" s="28"/>
      <c r="M53" s="255"/>
      <c r="N53" s="255"/>
      <c r="O53" s="255"/>
    </row>
    <row r="54" spans="2:24" s="28" customFormat="1" ht="13.5" customHeight="1">
      <c r="B54" s="21"/>
      <c r="C54" s="21"/>
      <c r="D54" s="281" t="s">
        <v>753</v>
      </c>
      <c r="E54" s="282">
        <v>200584</v>
      </c>
      <c r="F54" s="20"/>
      <c r="G54" s="281" t="s">
        <v>801</v>
      </c>
      <c r="H54" s="284" t="s">
        <v>792</v>
      </c>
      <c r="I54" s="275"/>
      <c r="J54" s="276"/>
      <c r="K54" s="254"/>
      <c r="M54" s="255"/>
      <c r="N54" s="255"/>
      <c r="O54" s="255"/>
      <c r="U54" s="29"/>
      <c r="V54" s="105"/>
      <c r="W54" s="20"/>
      <c r="X54" s="20"/>
    </row>
    <row r="55" spans="2:24" s="28" customFormat="1" ht="13.5" customHeight="1">
      <c r="B55" s="21"/>
      <c r="C55" s="21"/>
      <c r="D55" s="281" t="s">
        <v>26</v>
      </c>
      <c r="E55" s="282">
        <v>194729</v>
      </c>
      <c r="F55" s="20"/>
      <c r="G55" s="281" t="s">
        <v>794</v>
      </c>
      <c r="H55" s="284" t="s">
        <v>792</v>
      </c>
      <c r="I55" s="275"/>
      <c r="J55" s="276"/>
      <c r="K55" s="254"/>
      <c r="M55" s="255"/>
      <c r="N55" s="255"/>
      <c r="O55" s="255"/>
      <c r="U55" s="29"/>
      <c r="V55" s="105"/>
      <c r="W55" s="20"/>
      <c r="X55" s="20"/>
    </row>
    <row r="56" spans="2:24" s="28" customFormat="1" ht="13.5" customHeight="1">
      <c r="B56" s="21"/>
      <c r="C56" s="21"/>
      <c r="D56" s="281" t="s">
        <v>817</v>
      </c>
      <c r="E56" s="282">
        <v>194638</v>
      </c>
      <c r="F56" s="20"/>
      <c r="G56" s="281" t="s">
        <v>807</v>
      </c>
      <c r="H56" s="284" t="s">
        <v>792</v>
      </c>
      <c r="I56" s="275"/>
      <c r="J56" s="276"/>
      <c r="K56" s="254"/>
      <c r="M56" s="255"/>
      <c r="N56" s="255"/>
      <c r="O56" s="255"/>
      <c r="U56" s="29"/>
      <c r="V56" s="105"/>
      <c r="W56" s="20"/>
      <c r="X56" s="20"/>
    </row>
    <row r="57" spans="2:24" s="28" customFormat="1" ht="13.5" customHeight="1">
      <c r="B57" s="21"/>
      <c r="C57" s="21"/>
      <c r="D57" s="281" t="s">
        <v>759</v>
      </c>
      <c r="E57" s="282">
        <v>202724</v>
      </c>
      <c r="F57" s="20"/>
      <c r="G57" s="281" t="s">
        <v>799</v>
      </c>
      <c r="H57" s="284" t="s">
        <v>792</v>
      </c>
      <c r="I57" s="275"/>
      <c r="J57" s="276"/>
      <c r="K57" s="254"/>
      <c r="M57" s="255"/>
      <c r="N57" s="255"/>
      <c r="O57" s="255"/>
      <c r="U57" s="29"/>
      <c r="V57" s="105"/>
      <c r="W57" s="20"/>
      <c r="X57" s="20"/>
    </row>
    <row r="58" spans="2:24" s="28" customFormat="1" ht="13.5" customHeight="1">
      <c r="B58" s="21"/>
      <c r="C58" s="21"/>
      <c r="D58" s="283" t="s">
        <v>785</v>
      </c>
      <c r="E58" s="282">
        <v>203805</v>
      </c>
      <c r="F58" s="20"/>
      <c r="G58" s="281" t="s">
        <v>800</v>
      </c>
      <c r="H58" s="284" t="s">
        <v>792</v>
      </c>
      <c r="I58" s="275"/>
      <c r="J58" s="276"/>
      <c r="K58" s="254"/>
      <c r="M58" s="255"/>
      <c r="N58" s="255"/>
      <c r="O58" s="255"/>
      <c r="U58" s="29"/>
      <c r="V58" s="105"/>
      <c r="W58" s="20"/>
      <c r="X58" s="20"/>
    </row>
    <row r="59" spans="2:24" s="28" customFormat="1" ht="13.5" customHeight="1">
      <c r="B59" s="21"/>
      <c r="C59" s="21"/>
      <c r="D59" s="281" t="s">
        <v>788</v>
      </c>
      <c r="E59" s="282">
        <v>215691</v>
      </c>
      <c r="F59" s="20"/>
      <c r="G59" s="281" t="s">
        <v>805</v>
      </c>
      <c r="H59" s="284" t="s">
        <v>792</v>
      </c>
      <c r="I59" s="275"/>
      <c r="J59" s="276"/>
      <c r="K59" s="254"/>
      <c r="M59" s="255"/>
      <c r="N59" s="255"/>
      <c r="O59" s="255"/>
      <c r="U59" s="29"/>
      <c r="V59" s="105"/>
      <c r="W59" s="20"/>
      <c r="X59" s="20"/>
    </row>
    <row r="60" spans="2:24" s="28" customFormat="1" ht="13.5" customHeight="1">
      <c r="B60" s="21"/>
      <c r="C60" s="21"/>
      <c r="D60" s="281" t="s">
        <v>814</v>
      </c>
      <c r="E60" s="282">
        <v>208008</v>
      </c>
      <c r="F60" s="20"/>
      <c r="G60" s="281" t="s">
        <v>808</v>
      </c>
      <c r="H60" s="284" t="s">
        <v>792</v>
      </c>
      <c r="I60" s="275"/>
      <c r="J60" s="276"/>
      <c r="K60" s="254"/>
      <c r="M60" s="255"/>
      <c r="N60" s="255"/>
      <c r="O60" s="255"/>
      <c r="U60" s="29"/>
      <c r="V60" s="105"/>
      <c r="W60" s="20"/>
      <c r="X60" s="20"/>
    </row>
    <row r="61" spans="2:24" s="28" customFormat="1" ht="13.5" customHeight="1">
      <c r="B61" s="21"/>
      <c r="C61" s="21"/>
      <c r="D61" s="281" t="s">
        <v>815</v>
      </c>
      <c r="E61" s="282">
        <v>207998</v>
      </c>
      <c r="F61" s="20"/>
      <c r="G61" s="281" t="s">
        <v>802</v>
      </c>
      <c r="H61" s="284" t="s">
        <v>792</v>
      </c>
      <c r="I61" s="275"/>
      <c r="J61" s="276"/>
      <c r="K61" s="254"/>
      <c r="M61" s="255"/>
      <c r="N61" s="255"/>
      <c r="O61" s="255"/>
      <c r="R61" s="28" t="s">
        <v>861</v>
      </c>
      <c r="U61" s="29"/>
      <c r="V61" s="105"/>
      <c r="W61" s="20"/>
      <c r="X61" s="20"/>
    </row>
    <row r="62" spans="2:24" s="28" customFormat="1" ht="13.5" customHeight="1">
      <c r="B62" s="21"/>
      <c r="C62" s="21"/>
      <c r="D62" s="281" t="s">
        <v>813</v>
      </c>
      <c r="E62" s="282">
        <v>194819</v>
      </c>
      <c r="F62" s="20"/>
      <c r="G62" s="281" t="s">
        <v>74</v>
      </c>
      <c r="H62" s="284" t="s">
        <v>818</v>
      </c>
      <c r="I62" s="275"/>
      <c r="J62" s="276"/>
      <c r="K62" s="254"/>
      <c r="M62" s="255"/>
      <c r="N62" s="255"/>
      <c r="O62" s="255"/>
      <c r="U62" s="29"/>
      <c r="V62" s="105"/>
      <c r="W62" s="20"/>
      <c r="X62" s="20"/>
    </row>
    <row r="63" spans="2:24" s="28" customFormat="1" ht="13.5" customHeight="1">
      <c r="B63" s="21"/>
      <c r="C63" s="21"/>
      <c r="D63" s="283" t="s">
        <v>816</v>
      </c>
      <c r="E63" s="282">
        <v>229113</v>
      </c>
      <c r="F63" s="20"/>
      <c r="G63" s="281" t="s">
        <v>809</v>
      </c>
      <c r="H63" s="284" t="s">
        <v>792</v>
      </c>
      <c r="I63" s="275"/>
      <c r="J63" s="276"/>
      <c r="K63" s="254"/>
      <c r="M63" s="255"/>
      <c r="N63" s="255"/>
      <c r="O63" s="255"/>
      <c r="U63" s="29"/>
      <c r="V63" s="105"/>
      <c r="W63" s="20"/>
      <c r="X63" s="20"/>
    </row>
    <row r="64" spans="2:24" s="28" customFormat="1" ht="13.5" customHeight="1">
      <c r="B64" s="21"/>
      <c r="C64" s="21"/>
      <c r="D64" s="281" t="s">
        <v>812</v>
      </c>
      <c r="E64" s="282">
        <v>237074</v>
      </c>
      <c r="F64" s="20"/>
      <c r="G64" s="281" t="s">
        <v>811</v>
      </c>
      <c r="H64" s="284" t="s">
        <v>819</v>
      </c>
      <c r="I64" s="275"/>
      <c r="J64" s="276"/>
      <c r="K64" s="254"/>
      <c r="M64" s="255"/>
      <c r="N64" s="255"/>
      <c r="O64" s="255"/>
      <c r="U64" s="29"/>
      <c r="V64" s="105"/>
      <c r="W64" s="20"/>
      <c r="X64" s="20"/>
    </row>
    <row r="65" spans="1:24" s="28" customFormat="1" ht="13.5" customHeight="1">
      <c r="B65" s="21"/>
      <c r="C65" s="21"/>
      <c r="D65" s="281" t="s">
        <v>833</v>
      </c>
      <c r="E65" s="282">
        <v>231778</v>
      </c>
      <c r="F65" s="20"/>
      <c r="G65" s="281" t="s">
        <v>810</v>
      </c>
      <c r="H65" s="284" t="s">
        <v>792</v>
      </c>
      <c r="I65" s="275"/>
      <c r="J65" s="276"/>
      <c r="K65" s="254"/>
      <c r="M65" s="255"/>
      <c r="N65" s="255"/>
      <c r="O65" s="255"/>
      <c r="U65" s="29"/>
      <c r="V65" s="105"/>
      <c r="W65" s="20"/>
      <c r="X65" s="20"/>
    </row>
    <row r="66" spans="1:24" s="28" customFormat="1" ht="13.5" customHeight="1">
      <c r="B66" s="21"/>
      <c r="C66" s="21"/>
      <c r="D66" s="283" t="s">
        <v>894</v>
      </c>
      <c r="E66" s="282">
        <v>272022</v>
      </c>
      <c r="F66" s="20"/>
      <c r="G66" s="281"/>
      <c r="H66" s="284"/>
      <c r="I66" s="275"/>
      <c r="J66" s="276"/>
      <c r="K66" s="254"/>
      <c r="M66" s="283"/>
      <c r="N66" s="283"/>
      <c r="O66" s="283"/>
      <c r="U66" s="29"/>
      <c r="V66" s="105"/>
      <c r="W66" s="20"/>
      <c r="X66" s="20"/>
    </row>
    <row r="67" spans="1:24" s="28" customFormat="1" ht="13.5" customHeight="1">
      <c r="B67" s="21"/>
      <c r="C67" s="21"/>
      <c r="D67" s="283" t="s">
        <v>832</v>
      </c>
      <c r="E67" s="282">
        <v>211914</v>
      </c>
      <c r="F67" s="20"/>
      <c r="G67" s="281"/>
      <c r="H67" s="284"/>
      <c r="I67" s="275"/>
      <c r="J67" s="276"/>
      <c r="K67" s="254"/>
      <c r="M67" s="255"/>
      <c r="N67" s="255"/>
      <c r="O67" s="255"/>
      <c r="U67" s="29"/>
      <c r="V67" s="105"/>
      <c r="W67" s="20"/>
      <c r="X67" s="20"/>
    </row>
    <row r="68" spans="1:24" s="28" customFormat="1" ht="13.5" customHeight="1">
      <c r="B68" s="21"/>
      <c r="C68" s="21"/>
      <c r="D68" s="283" t="s">
        <v>840</v>
      </c>
      <c r="E68" s="282">
        <v>238419</v>
      </c>
      <c r="F68" s="20"/>
      <c r="G68" s="281" t="s">
        <v>841</v>
      </c>
      <c r="H68" s="284" t="s">
        <v>842</v>
      </c>
      <c r="I68" s="277"/>
      <c r="J68" s="278"/>
      <c r="K68" s="20"/>
      <c r="M68" s="255"/>
      <c r="N68" s="255"/>
      <c r="O68" s="255"/>
      <c r="U68" s="29"/>
      <c r="V68" s="105"/>
      <c r="W68" s="20"/>
      <c r="X68" s="20"/>
    </row>
    <row r="69" spans="1:24" s="28" customFormat="1" ht="13.5" customHeight="1">
      <c r="B69" s="21"/>
      <c r="C69" s="21"/>
      <c r="D69" s="436" t="s">
        <v>897</v>
      </c>
      <c r="E69" s="20">
        <v>273231</v>
      </c>
      <c r="F69" s="20"/>
      <c r="G69" s="281"/>
      <c r="H69" s="284"/>
      <c r="I69" s="277"/>
      <c r="J69" s="278"/>
      <c r="K69" s="20"/>
      <c r="M69" s="255"/>
      <c r="N69" s="255"/>
      <c r="O69" s="255"/>
      <c r="U69" s="29"/>
      <c r="V69" s="105"/>
      <c r="W69" s="20"/>
      <c r="X69" s="20"/>
    </row>
    <row r="70" spans="1:24" s="28" customFormat="1" ht="13.5" customHeight="1">
      <c r="B70" s="21"/>
      <c r="C70" s="21"/>
      <c r="D70" s="436" t="s">
        <v>951</v>
      </c>
      <c r="E70" s="20">
        <v>278724</v>
      </c>
      <c r="F70" s="20"/>
      <c r="G70" s="281"/>
      <c r="H70" s="284"/>
      <c r="I70" s="277"/>
      <c r="J70" s="278"/>
      <c r="K70" s="20"/>
      <c r="M70" s="255"/>
      <c r="N70" s="255"/>
      <c r="O70" s="255"/>
      <c r="U70" s="29"/>
      <c r="V70" s="105"/>
      <c r="W70" s="20"/>
      <c r="X70" s="20"/>
    </row>
    <row r="71" spans="1:24" s="28" customFormat="1" ht="13.5" customHeight="1">
      <c r="B71" s="21"/>
      <c r="C71" s="21"/>
      <c r="D71" s="283" t="s">
        <v>884</v>
      </c>
      <c r="E71" s="282">
        <v>272022</v>
      </c>
      <c r="F71" s="20"/>
      <c r="G71" s="281"/>
      <c r="H71" s="284"/>
      <c r="I71" s="275"/>
      <c r="J71" s="276"/>
      <c r="K71" s="254"/>
      <c r="M71" s="255"/>
      <c r="N71" s="255"/>
      <c r="O71" s="255"/>
      <c r="U71" s="29"/>
      <c r="V71" s="105"/>
      <c r="W71" s="20"/>
      <c r="X71" s="20"/>
    </row>
    <row r="72" spans="1:24" s="28" customFormat="1" ht="13.5" customHeight="1">
      <c r="B72" s="21"/>
      <c r="C72" s="21"/>
      <c r="D72" s="281" t="s">
        <v>898</v>
      </c>
      <c r="E72" s="282">
        <v>273458</v>
      </c>
      <c r="F72" s="20"/>
      <c r="G72" s="43"/>
      <c r="H72" s="440"/>
      <c r="I72" s="441"/>
      <c r="J72" s="442"/>
      <c r="K72" s="443"/>
      <c r="M72" s="443"/>
      <c r="N72" s="443"/>
      <c r="O72" s="443"/>
      <c r="U72" s="29"/>
      <c r="V72" s="105"/>
      <c r="W72" s="20"/>
      <c r="X72" s="20"/>
    </row>
    <row r="73" spans="1:24" s="28" customFormat="1" ht="13.5" customHeight="1">
      <c r="B73" s="21"/>
      <c r="C73" s="21"/>
      <c r="D73" s="436" t="s">
        <v>952</v>
      </c>
      <c r="E73" s="20">
        <v>239950</v>
      </c>
      <c r="F73" s="20"/>
      <c r="G73" s="43"/>
      <c r="H73" s="440"/>
      <c r="I73" s="441"/>
      <c r="J73" s="442"/>
      <c r="K73" s="443"/>
      <c r="U73" s="29"/>
      <c r="V73" s="105"/>
      <c r="W73" s="20"/>
      <c r="X73" s="20"/>
    </row>
    <row r="74" spans="1:24" s="28" customFormat="1" ht="13.5" customHeight="1">
      <c r="B74" s="21"/>
      <c r="C74" s="21"/>
      <c r="D74" s="281" t="s">
        <v>898</v>
      </c>
      <c r="E74" s="282">
        <v>273458</v>
      </c>
      <c r="F74" s="20"/>
      <c r="G74" s="281"/>
      <c r="H74" s="284"/>
      <c r="I74" s="437"/>
      <c r="J74" s="444"/>
      <c r="K74" s="255"/>
      <c r="M74" s="255"/>
      <c r="N74" s="255"/>
      <c r="O74" s="255"/>
      <c r="U74" s="29"/>
      <c r="V74" s="105"/>
      <c r="W74" s="20"/>
      <c r="X74" s="20"/>
    </row>
    <row r="75" spans="1:24" s="28" customFormat="1" ht="13.5" customHeight="1">
      <c r="B75" s="21"/>
      <c r="C75" s="21"/>
      <c r="D75" s="281" t="s">
        <v>896</v>
      </c>
      <c r="E75" s="282">
        <v>273459</v>
      </c>
      <c r="F75" s="20"/>
      <c r="G75" s="281"/>
      <c r="H75" s="284"/>
      <c r="I75" s="275"/>
      <c r="J75" s="279"/>
      <c r="K75" s="254"/>
      <c r="M75" s="255"/>
      <c r="N75" s="255"/>
      <c r="O75" s="255"/>
      <c r="U75" s="29"/>
      <c r="V75" s="105"/>
      <c r="W75" s="20"/>
      <c r="X75" s="20"/>
    </row>
    <row r="76" spans="1:24" s="28" customFormat="1" ht="13.5" customHeight="1">
      <c r="B76" s="21"/>
      <c r="C76" s="21"/>
      <c r="D76" s="514" t="s">
        <v>954</v>
      </c>
      <c r="E76" s="20">
        <v>279329</v>
      </c>
      <c r="F76" s="20"/>
      <c r="G76" s="281"/>
      <c r="H76" s="284"/>
      <c r="I76" s="437"/>
      <c r="J76" s="438"/>
      <c r="K76" s="255"/>
      <c r="M76" s="255"/>
      <c r="N76" s="255"/>
      <c r="O76" s="255"/>
      <c r="U76" s="29"/>
      <c r="V76" s="105"/>
      <c r="W76" s="20"/>
      <c r="X76" s="20"/>
    </row>
    <row r="77" spans="1:24" s="28" customFormat="1" ht="13.5" customHeight="1">
      <c r="B77" s="21"/>
      <c r="C77" s="21"/>
      <c r="D77" s="436" t="s">
        <v>1057</v>
      </c>
      <c r="E77" s="1">
        <v>222604</v>
      </c>
      <c r="F77" s="20"/>
      <c r="G77" s="281"/>
      <c r="H77" s="284"/>
      <c r="I77" s="437"/>
      <c r="J77" s="438"/>
      <c r="K77" s="255"/>
      <c r="M77" s="255"/>
      <c r="N77" s="255"/>
      <c r="O77" s="255"/>
      <c r="U77" s="29"/>
      <c r="V77" s="105"/>
      <c r="W77" s="20"/>
      <c r="X77" s="20"/>
    </row>
    <row r="78" spans="1:24" s="43" customFormat="1" ht="14.25" thickBot="1">
      <c r="A78"/>
      <c r="B78" s="1"/>
      <c r="C78" s="1"/>
      <c r="D78"/>
      <c r="E78" s="1"/>
      <c r="F78" s="1"/>
      <c r="G78"/>
      <c r="H78"/>
      <c r="I78" s="260"/>
      <c r="J78" s="261"/>
      <c r="K78" s="1"/>
      <c r="L78"/>
      <c r="M78"/>
      <c r="N78"/>
      <c r="O78"/>
      <c r="P78"/>
      <c r="Q78"/>
      <c r="R78"/>
      <c r="S78"/>
      <c r="T78"/>
      <c r="U78" s="42"/>
      <c r="V78" s="100"/>
    </row>
    <row r="79" spans="1:24" s="43" customFormat="1" ht="18" customHeight="1" thickBot="1">
      <c r="A79"/>
      <c r="B79" s="1"/>
      <c r="C79" s="1"/>
      <c r="D79" s="604"/>
      <c r="E79" s="605"/>
      <c r="F79" s="1"/>
      <c r="G79"/>
      <c r="H79"/>
      <c r="I79" s="12"/>
      <c r="J79" s="15"/>
      <c r="K79" s="1"/>
      <c r="L79"/>
      <c r="M79"/>
      <c r="N79"/>
      <c r="O79"/>
      <c r="P79"/>
      <c r="Q79"/>
      <c r="R79"/>
      <c r="S79"/>
      <c r="T79"/>
      <c r="U79" s="42"/>
      <c r="V79" s="100"/>
    </row>
    <row r="80" spans="1:24" s="28" customFormat="1" ht="16.5" customHeight="1">
      <c r="D80" s="329" t="s">
        <v>27</v>
      </c>
      <c r="E80" s="330" t="s">
        <v>23</v>
      </c>
      <c r="F80" s="331" t="s">
        <v>28</v>
      </c>
      <c r="G80" s="332" t="s">
        <v>28</v>
      </c>
      <c r="H80" s="332" t="s">
        <v>28</v>
      </c>
      <c r="I80" s="333" t="s">
        <v>29</v>
      </c>
      <c r="J80" s="334" t="s">
        <v>30</v>
      </c>
      <c r="K80" s="335" t="s">
        <v>31</v>
      </c>
      <c r="L80" s="335" t="s">
        <v>32</v>
      </c>
      <c r="M80" s="335" t="s">
        <v>33</v>
      </c>
      <c r="U80" s="29"/>
      <c r="V80" s="100"/>
    </row>
    <row r="81" spans="2:15" s="28" customFormat="1" ht="16.5" customHeight="1">
      <c r="B81" s="20"/>
      <c r="C81" s="20"/>
      <c r="D81" s="255"/>
      <c r="E81" s="379">
        <v>135916</v>
      </c>
      <c r="F81" s="395" t="s">
        <v>516</v>
      </c>
      <c r="G81" s="460"/>
      <c r="H81" s="461"/>
      <c r="I81" s="462">
        <v>520000</v>
      </c>
      <c r="J81" s="398">
        <v>135916</v>
      </c>
      <c r="K81" s="399" t="s">
        <v>71</v>
      </c>
      <c r="L81" s="399" t="s">
        <v>34</v>
      </c>
      <c r="M81" s="399">
        <v>200</v>
      </c>
      <c r="N81" s="356">
        <v>547000</v>
      </c>
      <c r="O81" s="28" t="b">
        <v>1</v>
      </c>
    </row>
    <row r="82" spans="2:15" s="28" customFormat="1" ht="16.5" customHeight="1">
      <c r="B82" s="20"/>
      <c r="C82" s="20"/>
      <c r="D82" s="255"/>
      <c r="E82" s="379">
        <v>139029</v>
      </c>
      <c r="F82" s="395" t="s">
        <v>574</v>
      </c>
      <c r="G82" s="460"/>
      <c r="H82" s="461"/>
      <c r="I82" s="462">
        <v>508000</v>
      </c>
      <c r="J82" s="398">
        <v>139029</v>
      </c>
      <c r="K82" s="399" t="s">
        <v>71</v>
      </c>
      <c r="L82" s="399" t="s">
        <v>34</v>
      </c>
      <c r="M82" s="399">
        <v>200</v>
      </c>
      <c r="N82" s="356">
        <v>535000</v>
      </c>
      <c r="O82" s="28" t="b">
        <v>1</v>
      </c>
    </row>
    <row r="83" spans="2:15" s="28" customFormat="1" ht="16.5" customHeight="1">
      <c r="B83" s="20"/>
      <c r="C83" s="20"/>
      <c r="D83" s="255"/>
      <c r="E83" s="379">
        <v>139030</v>
      </c>
      <c r="F83" s="395" t="s">
        <v>236</v>
      </c>
      <c r="G83" s="460"/>
      <c r="H83" s="461"/>
      <c r="I83" s="462">
        <v>54300</v>
      </c>
      <c r="J83" s="398">
        <v>139030</v>
      </c>
      <c r="K83" s="399" t="s">
        <v>70</v>
      </c>
      <c r="L83" s="399" t="s">
        <v>34</v>
      </c>
      <c r="M83" s="399">
        <v>20</v>
      </c>
      <c r="N83" s="356">
        <v>54500</v>
      </c>
      <c r="O83" s="28" t="b">
        <v>1</v>
      </c>
    </row>
    <row r="84" spans="2:15" s="28" customFormat="1" ht="16.5" customHeight="1">
      <c r="B84" s="20"/>
      <c r="C84" s="20"/>
      <c r="D84" s="255"/>
      <c r="E84" s="379">
        <v>139084</v>
      </c>
      <c r="F84" s="395" t="s">
        <v>243</v>
      </c>
      <c r="G84" s="463"/>
      <c r="H84" s="464"/>
      <c r="I84" s="462">
        <v>55700</v>
      </c>
      <c r="J84" s="399">
        <v>139084</v>
      </c>
      <c r="K84" s="399" t="s">
        <v>70</v>
      </c>
      <c r="L84" s="399" t="s">
        <v>34</v>
      </c>
      <c r="M84" s="399">
        <v>20</v>
      </c>
      <c r="N84" s="356">
        <v>58600</v>
      </c>
      <c r="O84" s="28" t="b">
        <v>1</v>
      </c>
    </row>
    <row r="85" spans="2:15" s="28" customFormat="1" ht="16.5" customHeight="1">
      <c r="B85" s="20"/>
      <c r="C85" s="20"/>
      <c r="D85" s="255"/>
      <c r="E85" s="379">
        <v>139085</v>
      </c>
      <c r="F85" s="395" t="s">
        <v>593</v>
      </c>
      <c r="G85" s="463"/>
      <c r="H85" s="464"/>
      <c r="I85" s="462">
        <v>508000</v>
      </c>
      <c r="J85" s="398">
        <v>139085</v>
      </c>
      <c r="K85" s="399" t="s">
        <v>71</v>
      </c>
      <c r="L85" s="399" t="s">
        <v>34</v>
      </c>
      <c r="M85" s="399">
        <v>200</v>
      </c>
      <c r="N85" s="356">
        <v>535000</v>
      </c>
      <c r="O85" s="28" t="b">
        <v>1</v>
      </c>
    </row>
    <row r="86" spans="2:15" s="28" customFormat="1" ht="16.5" customHeight="1">
      <c r="B86" s="20"/>
      <c r="C86" s="20"/>
      <c r="D86" s="255"/>
      <c r="E86" s="379">
        <v>139086</v>
      </c>
      <c r="F86" s="395" t="s">
        <v>226</v>
      </c>
      <c r="G86" s="463"/>
      <c r="H86" s="464"/>
      <c r="I86" s="462">
        <v>54300</v>
      </c>
      <c r="J86" s="398">
        <v>139086</v>
      </c>
      <c r="K86" s="399" t="s">
        <v>70</v>
      </c>
      <c r="L86" s="399" t="s">
        <v>34</v>
      </c>
      <c r="M86" s="399">
        <v>20</v>
      </c>
      <c r="N86" s="356">
        <v>54500</v>
      </c>
      <c r="O86" s="28" t="b">
        <v>1</v>
      </c>
    </row>
    <row r="87" spans="2:15" s="28" customFormat="1" ht="16.5" customHeight="1">
      <c r="B87" s="20"/>
      <c r="C87" s="20"/>
      <c r="D87" s="255"/>
      <c r="E87" s="379">
        <v>139087</v>
      </c>
      <c r="F87" s="395" t="s">
        <v>594</v>
      </c>
      <c r="G87" s="463"/>
      <c r="H87" s="464"/>
      <c r="I87" s="462">
        <v>520000</v>
      </c>
      <c r="J87" s="398">
        <v>139087</v>
      </c>
      <c r="K87" s="399" t="s">
        <v>71</v>
      </c>
      <c r="L87" s="399" t="s">
        <v>34</v>
      </c>
      <c r="M87" s="399">
        <v>200</v>
      </c>
      <c r="N87" s="356">
        <v>547000</v>
      </c>
      <c r="O87" s="28" t="b">
        <v>1</v>
      </c>
    </row>
    <row r="88" spans="2:15" s="28" customFormat="1" ht="16.5" customHeight="1">
      <c r="B88" s="20"/>
      <c r="C88" s="20"/>
      <c r="D88" s="255"/>
      <c r="E88" s="379">
        <v>139088</v>
      </c>
      <c r="F88" s="395" t="s">
        <v>234</v>
      </c>
      <c r="G88" s="463"/>
      <c r="H88" s="464"/>
      <c r="I88" s="462">
        <v>55700</v>
      </c>
      <c r="J88" s="398">
        <v>139088</v>
      </c>
      <c r="K88" s="399" t="s">
        <v>70</v>
      </c>
      <c r="L88" s="399" t="s">
        <v>34</v>
      </c>
      <c r="M88" s="399">
        <v>20</v>
      </c>
      <c r="N88" s="356">
        <v>58600</v>
      </c>
      <c r="O88" s="28" t="b">
        <v>1</v>
      </c>
    </row>
    <row r="89" spans="2:15" s="28" customFormat="1" ht="16.5" customHeight="1">
      <c r="B89" s="20"/>
      <c r="C89" s="20"/>
      <c r="D89" s="254"/>
      <c r="E89" s="379">
        <v>120645</v>
      </c>
      <c r="F89" s="380" t="s">
        <v>53</v>
      </c>
      <c r="G89" s="381"/>
      <c r="H89" s="382"/>
      <c r="I89" s="383">
        <v>2213000</v>
      </c>
      <c r="J89" s="384">
        <v>120645</v>
      </c>
      <c r="K89" s="378" t="s">
        <v>71</v>
      </c>
      <c r="L89" s="378" t="s">
        <v>78</v>
      </c>
      <c r="M89" s="378">
        <v>200</v>
      </c>
      <c r="N89" s="356">
        <v>2213000</v>
      </c>
      <c r="O89" s="28" t="b">
        <f>I89=N89</f>
        <v>1</v>
      </c>
    </row>
    <row r="90" spans="2:15" s="28" customFormat="1" ht="16.5" customHeight="1">
      <c r="B90" s="20"/>
      <c r="C90" s="20"/>
      <c r="D90" s="254"/>
      <c r="E90" s="379">
        <v>122916</v>
      </c>
      <c r="F90" s="380" t="s">
        <v>54</v>
      </c>
      <c r="G90" s="381"/>
      <c r="H90" s="382"/>
      <c r="I90" s="383">
        <v>140000</v>
      </c>
      <c r="J90" s="384">
        <v>122916</v>
      </c>
      <c r="K90" s="378" t="s">
        <v>72</v>
      </c>
      <c r="L90" s="378" t="s">
        <v>78</v>
      </c>
      <c r="M90" s="378">
        <v>12</v>
      </c>
      <c r="N90" s="356">
        <v>140000</v>
      </c>
      <c r="O90" s="28" t="b">
        <f t="shared" ref="O90:O153" si="16">I90=N90</f>
        <v>1</v>
      </c>
    </row>
    <row r="91" spans="2:15" s="28" customFormat="1" ht="16.5" customHeight="1">
      <c r="B91" s="20"/>
      <c r="C91" s="20"/>
      <c r="D91" s="254"/>
      <c r="E91" s="379">
        <v>129171</v>
      </c>
      <c r="F91" s="380" t="s">
        <v>58</v>
      </c>
      <c r="G91" s="381"/>
      <c r="H91" s="382"/>
      <c r="I91" s="383">
        <v>59700</v>
      </c>
      <c r="J91" s="384">
        <v>129171</v>
      </c>
      <c r="K91" s="378" t="s">
        <v>70</v>
      </c>
      <c r="L91" s="378" t="s">
        <v>0</v>
      </c>
      <c r="M91" s="378">
        <v>20</v>
      </c>
      <c r="N91" s="356">
        <v>59700</v>
      </c>
      <c r="O91" s="28" t="b">
        <f t="shared" si="16"/>
        <v>1</v>
      </c>
    </row>
    <row r="92" spans="2:15" s="28" customFormat="1" ht="16.5" customHeight="1">
      <c r="B92" s="20"/>
      <c r="C92" s="20"/>
      <c r="D92" s="254"/>
      <c r="E92" s="379">
        <v>129174</v>
      </c>
      <c r="F92" s="380" t="s">
        <v>60</v>
      </c>
      <c r="G92" s="381"/>
      <c r="H92" s="382"/>
      <c r="I92" s="383">
        <v>70200</v>
      </c>
      <c r="J92" s="384">
        <v>129174</v>
      </c>
      <c r="K92" s="378" t="s">
        <v>70</v>
      </c>
      <c r="L92" s="378" t="s">
        <v>0</v>
      </c>
      <c r="M92" s="378">
        <v>20</v>
      </c>
      <c r="N92" s="356">
        <v>70200</v>
      </c>
      <c r="O92" s="28" t="b">
        <f t="shared" si="16"/>
        <v>1</v>
      </c>
    </row>
    <row r="93" spans="2:15" s="28" customFormat="1" ht="16.5" customHeight="1">
      <c r="B93" s="20"/>
      <c r="C93" s="20"/>
      <c r="D93" s="254"/>
      <c r="E93" s="379">
        <v>134989</v>
      </c>
      <c r="F93" s="380" t="s">
        <v>42</v>
      </c>
      <c r="G93" s="381"/>
      <c r="H93" s="382"/>
      <c r="I93" s="383">
        <v>90900</v>
      </c>
      <c r="J93" s="384">
        <v>134989</v>
      </c>
      <c r="K93" s="378" t="s">
        <v>70</v>
      </c>
      <c r="L93" s="378" t="s">
        <v>0</v>
      </c>
      <c r="M93" s="378">
        <v>20</v>
      </c>
      <c r="N93" s="356">
        <v>90900</v>
      </c>
      <c r="O93" s="28" t="b">
        <f t="shared" si="16"/>
        <v>1</v>
      </c>
    </row>
    <row r="94" spans="2:15" s="28" customFormat="1" ht="16.5" customHeight="1">
      <c r="B94" s="20"/>
      <c r="C94" s="20"/>
      <c r="D94" s="254"/>
      <c r="E94" s="379">
        <v>135691</v>
      </c>
      <c r="F94" s="380" t="s">
        <v>62</v>
      </c>
      <c r="G94" s="381"/>
      <c r="H94" s="382"/>
      <c r="I94" s="383">
        <v>91100</v>
      </c>
      <c r="J94" s="384">
        <v>135691</v>
      </c>
      <c r="K94" s="378" t="s">
        <v>70</v>
      </c>
      <c r="L94" s="378" t="s">
        <v>0</v>
      </c>
      <c r="M94" s="378">
        <v>20</v>
      </c>
      <c r="N94" s="356">
        <v>91100</v>
      </c>
      <c r="O94" s="28" t="b">
        <f t="shared" si="16"/>
        <v>1</v>
      </c>
    </row>
    <row r="95" spans="2:15" s="28" customFormat="1" ht="16.5" customHeight="1">
      <c r="B95" s="20"/>
      <c r="C95" s="20"/>
      <c r="D95" s="254"/>
      <c r="E95" s="379">
        <v>138838</v>
      </c>
      <c r="F95" s="380" t="s">
        <v>40</v>
      </c>
      <c r="G95" s="381"/>
      <c r="H95" s="382"/>
      <c r="I95" s="383">
        <v>615000</v>
      </c>
      <c r="J95" s="384">
        <v>138838</v>
      </c>
      <c r="K95" s="378" t="s">
        <v>71</v>
      </c>
      <c r="L95" s="378" t="s">
        <v>0</v>
      </c>
      <c r="M95" s="378">
        <v>200</v>
      </c>
      <c r="N95" s="356">
        <v>615000</v>
      </c>
      <c r="O95" s="28" t="b">
        <f t="shared" si="16"/>
        <v>1</v>
      </c>
    </row>
    <row r="96" spans="2:15" s="28" customFormat="1" ht="16.5" customHeight="1">
      <c r="B96" s="20"/>
      <c r="C96" s="20"/>
      <c r="D96" s="254"/>
      <c r="E96" s="379">
        <v>138840</v>
      </c>
      <c r="F96" s="380" t="s">
        <v>87</v>
      </c>
      <c r="G96" s="381"/>
      <c r="H96" s="382"/>
      <c r="I96" s="383">
        <v>65600</v>
      </c>
      <c r="J96" s="384">
        <v>138840</v>
      </c>
      <c r="K96" s="378" t="s">
        <v>70</v>
      </c>
      <c r="L96" s="378" t="s">
        <v>0</v>
      </c>
      <c r="M96" s="378">
        <v>20</v>
      </c>
      <c r="N96" s="356">
        <v>65600</v>
      </c>
      <c r="O96" s="28" t="b">
        <f t="shared" si="16"/>
        <v>1</v>
      </c>
    </row>
    <row r="97" spans="2:15" s="28" customFormat="1" ht="16.5" customHeight="1">
      <c r="B97" s="20"/>
      <c r="C97" s="20"/>
      <c r="D97" s="254"/>
      <c r="E97" s="379">
        <v>138851</v>
      </c>
      <c r="F97" s="380" t="s">
        <v>48</v>
      </c>
      <c r="G97" s="381"/>
      <c r="H97" s="382"/>
      <c r="I97" s="383">
        <v>1193000</v>
      </c>
      <c r="J97" s="384">
        <v>138851</v>
      </c>
      <c r="K97" s="378" t="s">
        <v>71</v>
      </c>
      <c r="L97" s="378" t="s">
        <v>0</v>
      </c>
      <c r="M97" s="378">
        <v>208</v>
      </c>
      <c r="N97" s="356">
        <v>1193000</v>
      </c>
      <c r="O97" s="28" t="b">
        <f t="shared" si="16"/>
        <v>1</v>
      </c>
    </row>
    <row r="98" spans="2:15" s="28" customFormat="1" ht="16.5" customHeight="1">
      <c r="B98" s="20"/>
      <c r="C98" s="20"/>
      <c r="D98" s="254"/>
      <c r="E98" s="379">
        <v>138889</v>
      </c>
      <c r="F98" s="380" t="s">
        <v>55</v>
      </c>
      <c r="G98" s="381"/>
      <c r="H98" s="382"/>
      <c r="I98" s="383">
        <v>520000</v>
      </c>
      <c r="J98" s="384">
        <v>138889</v>
      </c>
      <c r="K98" s="378" t="s">
        <v>71</v>
      </c>
      <c r="L98" s="378" t="s">
        <v>0</v>
      </c>
      <c r="M98" s="378">
        <v>200</v>
      </c>
      <c r="N98" s="356">
        <v>520000</v>
      </c>
      <c r="O98" s="28" t="b">
        <f t="shared" si="16"/>
        <v>1</v>
      </c>
    </row>
    <row r="99" spans="2:15" s="28" customFormat="1" ht="16.5" customHeight="1">
      <c r="B99" s="20"/>
      <c r="C99" s="20"/>
      <c r="D99" s="254"/>
      <c r="E99" s="379">
        <v>138890</v>
      </c>
      <c r="F99" s="380" t="s">
        <v>56</v>
      </c>
      <c r="G99" s="381"/>
      <c r="H99" s="382"/>
      <c r="I99" s="383">
        <v>54000</v>
      </c>
      <c r="J99" s="384">
        <v>138890</v>
      </c>
      <c r="K99" s="378" t="s">
        <v>70</v>
      </c>
      <c r="L99" s="378" t="s">
        <v>0</v>
      </c>
      <c r="M99" s="378">
        <v>20</v>
      </c>
      <c r="N99" s="356">
        <v>54000</v>
      </c>
      <c r="O99" s="28" t="b">
        <f t="shared" si="16"/>
        <v>1</v>
      </c>
    </row>
    <row r="100" spans="2:15" s="28" customFormat="1" ht="16.5" customHeight="1">
      <c r="B100" s="20"/>
      <c r="C100" s="20"/>
      <c r="D100" s="254"/>
      <c r="E100" s="379">
        <v>138893</v>
      </c>
      <c r="F100" s="380" t="s">
        <v>57</v>
      </c>
      <c r="G100" s="381"/>
      <c r="H100" s="382"/>
      <c r="I100" s="383">
        <v>552000</v>
      </c>
      <c r="J100" s="384">
        <v>138893</v>
      </c>
      <c r="K100" s="378" t="s">
        <v>71</v>
      </c>
      <c r="L100" s="378" t="s">
        <v>0</v>
      </c>
      <c r="M100" s="378">
        <v>200</v>
      </c>
      <c r="N100" s="356">
        <v>552000</v>
      </c>
      <c r="O100" s="28" t="b">
        <f t="shared" si="16"/>
        <v>1</v>
      </c>
    </row>
    <row r="101" spans="2:15" s="28" customFormat="1" ht="16.5" customHeight="1">
      <c r="B101" s="20"/>
      <c r="C101" s="20"/>
      <c r="D101" s="254"/>
      <c r="E101" s="379">
        <v>138895</v>
      </c>
      <c r="F101" s="380" t="s">
        <v>59</v>
      </c>
      <c r="G101" s="381"/>
      <c r="H101" s="382"/>
      <c r="I101" s="383">
        <v>662000</v>
      </c>
      <c r="J101" s="384">
        <v>138895</v>
      </c>
      <c r="K101" s="378" t="s">
        <v>71</v>
      </c>
      <c r="L101" s="378" t="s">
        <v>0</v>
      </c>
      <c r="M101" s="378">
        <v>200</v>
      </c>
      <c r="N101" s="356">
        <v>662000</v>
      </c>
      <c r="O101" s="28" t="b">
        <f t="shared" si="16"/>
        <v>1</v>
      </c>
    </row>
    <row r="102" spans="2:15" s="28" customFormat="1" ht="16.5" customHeight="1">
      <c r="B102" s="20"/>
      <c r="C102" s="20"/>
      <c r="D102" s="254"/>
      <c r="E102" s="379">
        <v>138897</v>
      </c>
      <c r="F102" s="380" t="s">
        <v>61</v>
      </c>
      <c r="G102" s="381"/>
      <c r="H102" s="382"/>
      <c r="I102" s="383">
        <v>885000</v>
      </c>
      <c r="J102" s="384">
        <v>138897</v>
      </c>
      <c r="K102" s="378" t="s">
        <v>71</v>
      </c>
      <c r="L102" s="378" t="s">
        <v>0</v>
      </c>
      <c r="M102" s="378">
        <v>200</v>
      </c>
      <c r="N102" s="356">
        <v>885000</v>
      </c>
      <c r="O102" s="28" t="b">
        <f t="shared" si="16"/>
        <v>1</v>
      </c>
    </row>
    <row r="103" spans="2:15" s="28" customFormat="1" ht="16.5" customHeight="1">
      <c r="B103" s="20"/>
      <c r="C103" s="20"/>
      <c r="D103" s="254"/>
      <c r="E103" s="379">
        <v>138898</v>
      </c>
      <c r="F103" s="380" t="s">
        <v>63</v>
      </c>
      <c r="G103" s="381"/>
      <c r="H103" s="382"/>
      <c r="I103" s="383">
        <v>755000</v>
      </c>
      <c r="J103" s="384">
        <v>138898</v>
      </c>
      <c r="K103" s="378" t="s">
        <v>71</v>
      </c>
      <c r="L103" s="378" t="s">
        <v>0</v>
      </c>
      <c r="M103" s="378">
        <v>200</v>
      </c>
      <c r="N103" s="356">
        <v>755000</v>
      </c>
      <c r="O103" s="28" t="b">
        <f t="shared" si="16"/>
        <v>1</v>
      </c>
    </row>
    <row r="104" spans="2:15" s="28" customFormat="1" ht="16.5" customHeight="1">
      <c r="B104" s="20"/>
      <c r="C104" s="20"/>
      <c r="D104" s="254"/>
      <c r="E104" s="379">
        <v>138899</v>
      </c>
      <c r="F104" s="380" t="s">
        <v>64</v>
      </c>
      <c r="G104" s="381"/>
      <c r="H104" s="382"/>
      <c r="I104" s="383">
        <v>78100</v>
      </c>
      <c r="J104" s="384">
        <v>138899</v>
      </c>
      <c r="K104" s="378" t="s">
        <v>70</v>
      </c>
      <c r="L104" s="378" t="s">
        <v>0</v>
      </c>
      <c r="M104" s="378">
        <v>20</v>
      </c>
      <c r="N104" s="356">
        <v>78100</v>
      </c>
      <c r="O104" s="28" t="b">
        <f t="shared" si="16"/>
        <v>1</v>
      </c>
    </row>
    <row r="105" spans="2:15" s="28" customFormat="1" ht="16.5" customHeight="1">
      <c r="B105" s="20"/>
      <c r="C105" s="20"/>
      <c r="D105" s="254"/>
      <c r="E105" s="379">
        <v>139641</v>
      </c>
      <c r="F105" s="380" t="s">
        <v>90</v>
      </c>
      <c r="G105" s="381"/>
      <c r="H105" s="382"/>
      <c r="I105" s="383">
        <v>43600</v>
      </c>
      <c r="J105" s="384">
        <v>139641</v>
      </c>
      <c r="K105" s="378" t="s">
        <v>73</v>
      </c>
      <c r="L105" s="378" t="s">
        <v>0</v>
      </c>
      <c r="M105" s="378">
        <v>12</v>
      </c>
      <c r="N105" s="356">
        <v>43600</v>
      </c>
      <c r="O105" s="28" t="b">
        <f t="shared" si="16"/>
        <v>1</v>
      </c>
    </row>
    <row r="106" spans="2:15" s="28" customFormat="1" ht="16.5" customHeight="1">
      <c r="B106" s="20"/>
      <c r="C106" s="20"/>
      <c r="D106" s="254"/>
      <c r="E106" s="379">
        <v>139881</v>
      </c>
      <c r="F106" s="385" t="s">
        <v>101</v>
      </c>
      <c r="G106" s="386"/>
      <c r="H106" s="387"/>
      <c r="I106" s="383">
        <v>771000</v>
      </c>
      <c r="J106" s="384">
        <v>139881</v>
      </c>
      <c r="K106" s="378" t="s">
        <v>71</v>
      </c>
      <c r="L106" s="378" t="s">
        <v>78</v>
      </c>
      <c r="M106" s="378">
        <v>200</v>
      </c>
      <c r="N106" s="356">
        <v>771000</v>
      </c>
      <c r="O106" s="28" t="b">
        <f t="shared" si="16"/>
        <v>1</v>
      </c>
    </row>
    <row r="107" spans="2:15" s="28" customFormat="1" ht="16.5" customHeight="1">
      <c r="B107" s="20"/>
      <c r="C107" s="20"/>
      <c r="D107" s="254"/>
      <c r="E107" s="379">
        <v>140382</v>
      </c>
      <c r="F107" s="380" t="s">
        <v>83</v>
      </c>
      <c r="G107" s="381"/>
      <c r="H107" s="382"/>
      <c r="I107" s="383">
        <v>2212000</v>
      </c>
      <c r="J107" s="384">
        <v>140382</v>
      </c>
      <c r="K107" s="378" t="s">
        <v>71</v>
      </c>
      <c r="L107" s="378" t="s">
        <v>0</v>
      </c>
      <c r="M107" s="378">
        <v>208</v>
      </c>
      <c r="N107" s="356">
        <v>2212000</v>
      </c>
      <c r="O107" s="28" t="b">
        <f t="shared" si="16"/>
        <v>1</v>
      </c>
    </row>
    <row r="108" spans="2:15" s="28" customFormat="1" ht="16.5" customHeight="1">
      <c r="B108" s="20"/>
      <c r="C108" s="20"/>
      <c r="D108" s="254"/>
      <c r="E108" s="379">
        <v>140563</v>
      </c>
      <c r="F108" s="388" t="s">
        <v>124</v>
      </c>
      <c r="G108" s="389"/>
      <c r="H108" s="390"/>
      <c r="I108" s="383">
        <v>216000</v>
      </c>
      <c r="J108" s="391">
        <v>140563</v>
      </c>
      <c r="K108" s="392" t="s">
        <v>70</v>
      </c>
      <c r="L108" s="392" t="s">
        <v>0</v>
      </c>
      <c r="M108" s="392">
        <v>16</v>
      </c>
      <c r="N108" s="356">
        <v>216000</v>
      </c>
      <c r="O108" s="28" t="b">
        <f t="shared" si="16"/>
        <v>1</v>
      </c>
    </row>
    <row r="109" spans="2:15" s="28" customFormat="1" ht="16.5" customHeight="1">
      <c r="B109" s="20"/>
      <c r="C109" s="20"/>
      <c r="D109" s="254"/>
      <c r="E109" s="379">
        <v>143003</v>
      </c>
      <c r="F109" s="380" t="s">
        <v>132</v>
      </c>
      <c r="G109" s="381"/>
      <c r="H109" s="382"/>
      <c r="I109" s="383">
        <v>150000</v>
      </c>
      <c r="J109" s="384">
        <v>143003</v>
      </c>
      <c r="K109" s="378" t="s">
        <v>70</v>
      </c>
      <c r="L109" s="378" t="s">
        <v>0</v>
      </c>
      <c r="M109" s="378">
        <v>20</v>
      </c>
      <c r="N109" s="356">
        <v>150000</v>
      </c>
      <c r="O109" s="28" t="b">
        <f t="shared" si="16"/>
        <v>1</v>
      </c>
    </row>
    <row r="110" spans="2:15" s="28" customFormat="1" ht="16.5" customHeight="1">
      <c r="B110" s="20"/>
      <c r="C110" s="20"/>
      <c r="D110" s="254"/>
      <c r="E110" s="379">
        <v>143240</v>
      </c>
      <c r="F110" s="380" t="s">
        <v>746</v>
      </c>
      <c r="G110" s="381"/>
      <c r="H110" s="382"/>
      <c r="I110" s="383">
        <v>107800</v>
      </c>
      <c r="J110" s="384">
        <v>143240</v>
      </c>
      <c r="K110" s="378" t="s">
        <v>73</v>
      </c>
      <c r="L110" s="378" t="s">
        <v>0</v>
      </c>
      <c r="M110" s="378">
        <v>16</v>
      </c>
      <c r="N110" s="356">
        <v>107800</v>
      </c>
      <c r="O110" s="28" t="b">
        <f t="shared" si="16"/>
        <v>1</v>
      </c>
    </row>
    <row r="111" spans="2:15" s="28" customFormat="1" ht="16.5" customHeight="1">
      <c r="B111" s="20"/>
      <c r="C111" s="20"/>
      <c r="D111" s="254"/>
      <c r="E111" s="379">
        <v>138583</v>
      </c>
      <c r="F111" s="380" t="s">
        <v>740</v>
      </c>
      <c r="G111" s="381"/>
      <c r="H111" s="382"/>
      <c r="I111" s="383">
        <v>44600</v>
      </c>
      <c r="J111" s="378">
        <v>138583</v>
      </c>
      <c r="K111" s="378" t="s">
        <v>73</v>
      </c>
      <c r="L111" s="378" t="s">
        <v>741</v>
      </c>
      <c r="M111" s="378">
        <v>12</v>
      </c>
      <c r="N111" s="356" t="e">
        <v>#N/A</v>
      </c>
      <c r="O111" s="28" t="e">
        <f t="shared" si="16"/>
        <v>#N/A</v>
      </c>
    </row>
    <row r="112" spans="2:15" s="28" customFormat="1" ht="16.5" customHeight="1">
      <c r="B112" s="20"/>
      <c r="C112" s="20"/>
      <c r="D112" s="254"/>
      <c r="E112" s="379">
        <v>123205</v>
      </c>
      <c r="F112" s="380" t="s">
        <v>49</v>
      </c>
      <c r="G112" s="381"/>
      <c r="H112" s="382"/>
      <c r="I112" s="383">
        <v>60300</v>
      </c>
      <c r="J112" s="384">
        <v>123205</v>
      </c>
      <c r="K112" s="393" t="s">
        <v>73</v>
      </c>
      <c r="L112" s="378" t="s">
        <v>35</v>
      </c>
      <c r="M112" s="378">
        <v>6</v>
      </c>
      <c r="N112" s="356">
        <v>60300</v>
      </c>
      <c r="O112" s="28" t="b">
        <f t="shared" si="16"/>
        <v>1</v>
      </c>
    </row>
    <row r="113" spans="2:15" s="28" customFormat="1" ht="16.5" customHeight="1">
      <c r="B113" s="20"/>
      <c r="C113" s="20"/>
      <c r="D113" s="254"/>
      <c r="E113" s="379">
        <v>124476</v>
      </c>
      <c r="F113" s="380" t="s">
        <v>52</v>
      </c>
      <c r="G113" s="381"/>
      <c r="H113" s="382"/>
      <c r="I113" s="383">
        <v>63200</v>
      </c>
      <c r="J113" s="384">
        <v>124476</v>
      </c>
      <c r="K113" s="378" t="s">
        <v>70</v>
      </c>
      <c r="L113" s="378" t="s">
        <v>79</v>
      </c>
      <c r="M113" s="378">
        <v>20</v>
      </c>
      <c r="N113" s="356">
        <v>63200</v>
      </c>
      <c r="O113" s="28" t="b">
        <f t="shared" si="16"/>
        <v>1</v>
      </c>
    </row>
    <row r="114" spans="2:15" s="28" customFormat="1" ht="16.5" customHeight="1">
      <c r="B114" s="20"/>
      <c r="C114" s="20"/>
      <c r="D114" s="254"/>
      <c r="E114" s="379">
        <v>135080</v>
      </c>
      <c r="F114" s="380" t="s">
        <v>44</v>
      </c>
      <c r="G114" s="381"/>
      <c r="H114" s="382"/>
      <c r="I114" s="383">
        <v>110000</v>
      </c>
      <c r="J114" s="378">
        <v>135080</v>
      </c>
      <c r="K114" s="393" t="s">
        <v>73</v>
      </c>
      <c r="L114" s="378" t="s">
        <v>35</v>
      </c>
      <c r="M114" s="378">
        <v>12</v>
      </c>
      <c r="N114" s="356">
        <v>110000</v>
      </c>
      <c r="O114" s="28" t="b">
        <f t="shared" si="16"/>
        <v>1</v>
      </c>
    </row>
    <row r="115" spans="2:15" s="28" customFormat="1" ht="16.5" customHeight="1">
      <c r="B115" s="20"/>
      <c r="C115" s="20"/>
      <c r="D115" s="254"/>
      <c r="E115" s="379">
        <v>138806</v>
      </c>
      <c r="F115" s="380" t="s">
        <v>50</v>
      </c>
      <c r="G115" s="381"/>
      <c r="H115" s="382"/>
      <c r="I115" s="383">
        <v>148600</v>
      </c>
      <c r="J115" s="384">
        <v>138806</v>
      </c>
      <c r="K115" s="378" t="s">
        <v>72</v>
      </c>
      <c r="L115" s="378" t="s">
        <v>35</v>
      </c>
      <c r="M115" s="378">
        <v>9.94</v>
      </c>
      <c r="N115" s="356">
        <v>148600</v>
      </c>
      <c r="O115" s="28" t="b">
        <f t="shared" si="16"/>
        <v>1</v>
      </c>
    </row>
    <row r="116" spans="2:15" s="28" customFormat="1" ht="16.5" customHeight="1">
      <c r="B116" s="20"/>
      <c r="C116" s="20"/>
      <c r="D116" s="254"/>
      <c r="E116" s="379">
        <v>138827</v>
      </c>
      <c r="F116" s="380" t="s">
        <v>51</v>
      </c>
      <c r="G116" s="381"/>
      <c r="H116" s="382"/>
      <c r="I116" s="383">
        <v>595000</v>
      </c>
      <c r="J116" s="384">
        <v>138827</v>
      </c>
      <c r="K116" s="378" t="s">
        <v>71</v>
      </c>
      <c r="L116" s="378" t="s">
        <v>35</v>
      </c>
      <c r="M116" s="378">
        <v>200</v>
      </c>
      <c r="N116" s="356">
        <v>595000</v>
      </c>
      <c r="O116" s="28" t="b">
        <f t="shared" si="16"/>
        <v>1</v>
      </c>
    </row>
    <row r="117" spans="2:15" s="28" customFormat="1" ht="16.5" customHeight="1">
      <c r="B117" s="20"/>
      <c r="C117" s="20"/>
      <c r="D117" s="254"/>
      <c r="E117" s="379">
        <v>138888</v>
      </c>
      <c r="F117" s="380" t="s">
        <v>102</v>
      </c>
      <c r="G117" s="381"/>
      <c r="H117" s="382"/>
      <c r="I117" s="383">
        <v>233000</v>
      </c>
      <c r="J117" s="384">
        <v>138888</v>
      </c>
      <c r="K117" s="378" t="s">
        <v>70</v>
      </c>
      <c r="L117" s="378" t="s">
        <v>79</v>
      </c>
      <c r="M117" s="378">
        <v>20</v>
      </c>
      <c r="N117" s="356">
        <v>233000</v>
      </c>
      <c r="O117" s="28" t="b">
        <f t="shared" si="16"/>
        <v>1</v>
      </c>
    </row>
    <row r="118" spans="2:15" s="28" customFormat="1" ht="16.5" customHeight="1">
      <c r="B118" s="20"/>
      <c r="C118" s="20"/>
      <c r="D118" s="254"/>
      <c r="E118" s="379">
        <v>138892</v>
      </c>
      <c r="F118" s="380" t="s">
        <v>85</v>
      </c>
      <c r="G118" s="381"/>
      <c r="H118" s="382"/>
      <c r="I118" s="383">
        <v>46500</v>
      </c>
      <c r="J118" s="384">
        <v>138892</v>
      </c>
      <c r="K118" s="378" t="s">
        <v>72</v>
      </c>
      <c r="L118" s="378" t="s">
        <v>35</v>
      </c>
      <c r="M118" s="378">
        <v>16</v>
      </c>
      <c r="N118" s="356">
        <v>46500</v>
      </c>
      <c r="O118" s="28" t="b">
        <f t="shared" si="16"/>
        <v>1</v>
      </c>
    </row>
    <row r="119" spans="2:15" s="28" customFormat="1" ht="16.5" customHeight="1">
      <c r="B119" s="20"/>
      <c r="C119" s="20"/>
      <c r="D119" s="254"/>
      <c r="E119" s="379">
        <v>142227</v>
      </c>
      <c r="F119" s="380" t="s">
        <v>117</v>
      </c>
      <c r="G119" s="381"/>
      <c r="H119" s="382"/>
      <c r="I119" s="383">
        <v>853000</v>
      </c>
      <c r="J119" s="384">
        <v>142227</v>
      </c>
      <c r="K119" s="378" t="s">
        <v>103</v>
      </c>
      <c r="L119" s="378" t="s">
        <v>35</v>
      </c>
      <c r="M119" s="378">
        <v>200</v>
      </c>
      <c r="N119" s="356" t="e">
        <v>#N/A</v>
      </c>
      <c r="O119" s="28" t="e">
        <f t="shared" si="16"/>
        <v>#N/A</v>
      </c>
    </row>
    <row r="120" spans="2:15" s="28" customFormat="1" ht="16.5" customHeight="1">
      <c r="B120" s="20"/>
      <c r="C120" s="20"/>
      <c r="D120" s="254"/>
      <c r="E120" s="379">
        <v>140169</v>
      </c>
      <c r="F120" s="380" t="s">
        <v>84</v>
      </c>
      <c r="G120" s="381"/>
      <c r="H120" s="382"/>
      <c r="I120" s="383">
        <v>62400</v>
      </c>
      <c r="J120" s="384">
        <v>140169</v>
      </c>
      <c r="K120" s="393" t="s">
        <v>73</v>
      </c>
      <c r="L120" s="378" t="s">
        <v>35</v>
      </c>
      <c r="M120" s="378">
        <v>12</v>
      </c>
      <c r="N120" s="356" t="e">
        <v>#N/A</v>
      </c>
      <c r="O120" s="28" t="e">
        <f t="shared" si="16"/>
        <v>#N/A</v>
      </c>
    </row>
    <row r="121" spans="2:15" s="28" customFormat="1" ht="16.5" customHeight="1">
      <c r="B121" s="20"/>
      <c r="C121" s="20"/>
      <c r="D121" s="254"/>
      <c r="E121" s="379">
        <v>140657</v>
      </c>
      <c r="F121" s="380" t="s">
        <v>43</v>
      </c>
      <c r="G121" s="381"/>
      <c r="H121" s="382"/>
      <c r="I121" s="383">
        <v>118000</v>
      </c>
      <c r="J121" s="384">
        <v>140657</v>
      </c>
      <c r="K121" s="378" t="s">
        <v>73</v>
      </c>
      <c r="L121" s="378" t="s">
        <v>79</v>
      </c>
      <c r="M121" s="378">
        <v>12</v>
      </c>
      <c r="N121" s="356">
        <v>118000</v>
      </c>
      <c r="O121" s="28" t="b">
        <f t="shared" si="16"/>
        <v>1</v>
      </c>
    </row>
    <row r="122" spans="2:15" s="28" customFormat="1" ht="16.5" customHeight="1">
      <c r="B122" s="20"/>
      <c r="C122" s="20"/>
      <c r="D122" s="254"/>
      <c r="E122" s="379">
        <v>140660</v>
      </c>
      <c r="F122" s="380" t="s">
        <v>100</v>
      </c>
      <c r="G122" s="381"/>
      <c r="H122" s="382"/>
      <c r="I122" s="383">
        <v>118000</v>
      </c>
      <c r="J122" s="384">
        <v>140660</v>
      </c>
      <c r="K122" s="378" t="s">
        <v>73</v>
      </c>
      <c r="L122" s="378" t="s">
        <v>79</v>
      </c>
      <c r="M122" s="378">
        <v>12</v>
      </c>
      <c r="N122" s="356">
        <v>118000</v>
      </c>
      <c r="O122" s="28" t="b">
        <f t="shared" si="16"/>
        <v>1</v>
      </c>
    </row>
    <row r="123" spans="2:15" s="28" customFormat="1" ht="16.5" customHeight="1">
      <c r="B123" s="20"/>
      <c r="C123" s="20"/>
      <c r="D123" s="254"/>
      <c r="E123" s="379">
        <v>140661</v>
      </c>
      <c r="F123" s="380" t="s">
        <v>106</v>
      </c>
      <c r="G123" s="381"/>
      <c r="H123" s="382"/>
      <c r="I123" s="383">
        <v>1789000</v>
      </c>
      <c r="J123" s="378">
        <v>140661</v>
      </c>
      <c r="K123" s="378" t="s">
        <v>103</v>
      </c>
      <c r="L123" s="378" t="s">
        <v>79</v>
      </c>
      <c r="M123" s="378">
        <v>200</v>
      </c>
      <c r="N123" s="356">
        <v>1789000</v>
      </c>
      <c r="O123" s="28" t="b">
        <f t="shared" si="16"/>
        <v>1</v>
      </c>
    </row>
    <row r="124" spans="2:15" s="28" customFormat="1" ht="16.5" customHeight="1">
      <c r="B124" s="20"/>
      <c r="C124" s="20"/>
      <c r="D124" s="254"/>
      <c r="E124" s="379">
        <v>141593</v>
      </c>
      <c r="F124" s="380" t="s">
        <v>104</v>
      </c>
      <c r="G124" s="381"/>
      <c r="H124" s="382"/>
      <c r="I124" s="383">
        <v>479000</v>
      </c>
      <c r="J124" s="384">
        <v>141593</v>
      </c>
      <c r="K124" s="378" t="s">
        <v>71</v>
      </c>
      <c r="L124" s="378" t="s">
        <v>35</v>
      </c>
      <c r="M124" s="378">
        <v>200</v>
      </c>
      <c r="N124" s="356">
        <v>479000</v>
      </c>
      <c r="O124" s="28" t="b">
        <f t="shared" si="16"/>
        <v>1</v>
      </c>
    </row>
    <row r="125" spans="2:15" s="28" customFormat="1" ht="16.5" customHeight="1">
      <c r="B125" s="20"/>
      <c r="C125" s="20"/>
      <c r="D125" s="254"/>
      <c r="E125" s="379">
        <v>120082</v>
      </c>
      <c r="F125" s="380" t="s">
        <v>97</v>
      </c>
      <c r="G125" s="381"/>
      <c r="H125" s="382"/>
      <c r="I125" s="383">
        <v>605000</v>
      </c>
      <c r="J125" s="384">
        <v>120082</v>
      </c>
      <c r="K125" s="378" t="s">
        <v>70</v>
      </c>
      <c r="L125" s="378" t="s">
        <v>69</v>
      </c>
      <c r="M125" s="378">
        <v>16</v>
      </c>
      <c r="N125" s="356">
        <v>605000</v>
      </c>
      <c r="O125" s="28" t="b">
        <f t="shared" si="16"/>
        <v>1</v>
      </c>
    </row>
    <row r="126" spans="2:15" s="28" customFormat="1" ht="16.5" customHeight="1">
      <c r="B126" s="20"/>
      <c r="C126" s="20"/>
      <c r="D126" s="254"/>
      <c r="E126" s="379">
        <v>120084</v>
      </c>
      <c r="F126" s="380" t="s">
        <v>760</v>
      </c>
      <c r="G126" s="381"/>
      <c r="H126" s="382"/>
      <c r="I126" s="383">
        <v>458000</v>
      </c>
      <c r="J126" s="394">
        <v>120084</v>
      </c>
      <c r="K126" s="393" t="s">
        <v>761</v>
      </c>
      <c r="L126" s="378" t="s">
        <v>69</v>
      </c>
      <c r="M126" s="378">
        <v>22.8</v>
      </c>
      <c r="N126" s="356">
        <v>458000</v>
      </c>
      <c r="O126" s="28" t="b">
        <f t="shared" si="16"/>
        <v>1</v>
      </c>
    </row>
    <row r="127" spans="2:15" s="28" customFormat="1" ht="16.5" customHeight="1">
      <c r="B127" s="20"/>
      <c r="C127" s="20"/>
      <c r="D127" s="254"/>
      <c r="E127" s="379">
        <v>120088</v>
      </c>
      <c r="F127" s="380" t="s">
        <v>118</v>
      </c>
      <c r="G127" s="381"/>
      <c r="H127" s="382"/>
      <c r="I127" s="383">
        <v>4264030</v>
      </c>
      <c r="J127" s="384">
        <v>120088</v>
      </c>
      <c r="K127" s="378" t="s">
        <v>71</v>
      </c>
      <c r="L127" s="378" t="s">
        <v>69</v>
      </c>
      <c r="M127" s="378">
        <v>208</v>
      </c>
      <c r="N127" s="356" t="e">
        <v>#N/A</v>
      </c>
      <c r="O127" s="28" t="e">
        <f t="shared" si="16"/>
        <v>#N/A</v>
      </c>
    </row>
    <row r="128" spans="2:15" s="28" customFormat="1" ht="16.5" customHeight="1">
      <c r="B128" s="20"/>
      <c r="C128" s="20"/>
      <c r="D128" s="254"/>
      <c r="E128" s="379">
        <v>120089</v>
      </c>
      <c r="F128" s="380" t="s">
        <v>762</v>
      </c>
      <c r="G128" s="381"/>
      <c r="H128" s="382"/>
      <c r="I128" s="383">
        <v>380000</v>
      </c>
      <c r="J128" s="384">
        <v>120089</v>
      </c>
      <c r="K128" s="378" t="s">
        <v>761</v>
      </c>
      <c r="L128" s="378" t="s">
        <v>69</v>
      </c>
      <c r="M128" s="378">
        <v>22.8</v>
      </c>
      <c r="N128" s="356">
        <v>380000</v>
      </c>
      <c r="O128" s="28" t="b">
        <f t="shared" si="16"/>
        <v>1</v>
      </c>
    </row>
    <row r="129" spans="2:15" s="28" customFormat="1" ht="16.5" customHeight="1">
      <c r="B129" s="20"/>
      <c r="C129" s="20"/>
      <c r="D129" s="254"/>
      <c r="E129" s="379">
        <v>134601</v>
      </c>
      <c r="F129" s="380" t="s">
        <v>763</v>
      </c>
      <c r="G129" s="381"/>
      <c r="H129" s="382"/>
      <c r="I129" s="383">
        <v>3724000</v>
      </c>
      <c r="J129" s="384">
        <v>134601</v>
      </c>
      <c r="K129" s="378" t="s">
        <v>71</v>
      </c>
      <c r="L129" s="378" t="s">
        <v>69</v>
      </c>
      <c r="M129" s="378">
        <v>200</v>
      </c>
      <c r="N129" s="356">
        <v>3724000</v>
      </c>
      <c r="O129" s="28" t="b">
        <f t="shared" si="16"/>
        <v>1</v>
      </c>
    </row>
    <row r="130" spans="2:15" s="28" customFormat="1" ht="16.5" customHeight="1">
      <c r="B130" s="20"/>
      <c r="C130" s="20"/>
      <c r="D130" s="254"/>
      <c r="E130" s="379">
        <v>134756</v>
      </c>
      <c r="F130" s="380" t="s">
        <v>107</v>
      </c>
      <c r="G130" s="381"/>
      <c r="H130" s="382"/>
      <c r="I130" s="383">
        <v>662000</v>
      </c>
      <c r="J130" s="378">
        <v>134756</v>
      </c>
      <c r="K130" s="378" t="s">
        <v>70</v>
      </c>
      <c r="L130" s="378" t="s">
        <v>69</v>
      </c>
      <c r="M130" s="378">
        <v>16</v>
      </c>
      <c r="N130" s="356">
        <v>662000</v>
      </c>
      <c r="O130" s="28" t="b">
        <f t="shared" si="16"/>
        <v>1</v>
      </c>
    </row>
    <row r="131" spans="2:15" s="28" customFormat="1" ht="16.5" customHeight="1">
      <c r="B131" s="20"/>
      <c r="C131" s="20"/>
      <c r="D131" s="254"/>
      <c r="E131" s="379">
        <v>135390</v>
      </c>
      <c r="F131" s="380" t="s">
        <v>764</v>
      </c>
      <c r="G131" s="381"/>
      <c r="H131" s="382"/>
      <c r="I131" s="383">
        <v>524000</v>
      </c>
      <c r="J131" s="378">
        <v>135390</v>
      </c>
      <c r="K131" s="378" t="s">
        <v>70</v>
      </c>
      <c r="L131" s="378" t="s">
        <v>69</v>
      </c>
      <c r="M131" s="378">
        <v>20</v>
      </c>
      <c r="N131" s="356">
        <v>524000</v>
      </c>
      <c r="O131" s="28" t="b">
        <f t="shared" si="16"/>
        <v>1</v>
      </c>
    </row>
    <row r="132" spans="2:15" s="28" customFormat="1" ht="16.5" customHeight="1">
      <c r="B132" s="20"/>
      <c r="C132" s="20"/>
      <c r="D132" s="254"/>
      <c r="E132" s="379">
        <v>120969</v>
      </c>
      <c r="F132" s="395" t="s">
        <v>254</v>
      </c>
      <c r="G132" s="396"/>
      <c r="H132" s="397"/>
      <c r="I132" s="383">
        <v>235000</v>
      </c>
      <c r="J132" s="398">
        <v>120969</v>
      </c>
      <c r="K132" s="399" t="s">
        <v>70</v>
      </c>
      <c r="L132" s="399" t="s">
        <v>34</v>
      </c>
      <c r="M132" s="399">
        <v>18.899999999999999</v>
      </c>
      <c r="N132" s="356">
        <v>222000</v>
      </c>
      <c r="O132" s="28" t="b">
        <f t="shared" si="16"/>
        <v>0</v>
      </c>
    </row>
    <row r="133" spans="2:15" s="28" customFormat="1" ht="16.5" customHeight="1">
      <c r="B133" s="20"/>
      <c r="C133" s="20"/>
      <c r="D133" s="254"/>
      <c r="E133" s="379">
        <v>121540</v>
      </c>
      <c r="F133" s="395" t="s">
        <v>419</v>
      </c>
      <c r="G133" s="396"/>
      <c r="H133" s="397"/>
      <c r="I133" s="383">
        <v>1684000</v>
      </c>
      <c r="J133" s="398">
        <v>121540</v>
      </c>
      <c r="K133" s="399" t="s">
        <v>71</v>
      </c>
      <c r="L133" s="399" t="s">
        <v>34</v>
      </c>
      <c r="M133" s="399">
        <v>208</v>
      </c>
      <c r="N133" s="356">
        <v>1684000</v>
      </c>
      <c r="O133" s="28" t="b">
        <f t="shared" si="16"/>
        <v>1</v>
      </c>
    </row>
    <row r="134" spans="2:15" s="28" customFormat="1" ht="16.5" customHeight="1">
      <c r="B134" s="20"/>
      <c r="C134" s="20"/>
      <c r="D134" s="254"/>
      <c r="E134" s="379">
        <v>121558</v>
      </c>
      <c r="F134" s="395" t="s">
        <v>255</v>
      </c>
      <c r="G134" s="396"/>
      <c r="H134" s="397"/>
      <c r="I134" s="383">
        <v>311000</v>
      </c>
      <c r="J134" s="398">
        <v>121558</v>
      </c>
      <c r="K134" s="399" t="s">
        <v>70</v>
      </c>
      <c r="L134" s="399" t="s">
        <v>34</v>
      </c>
      <c r="M134" s="399">
        <v>17.251999999999999</v>
      </c>
      <c r="N134" s="356">
        <v>311000</v>
      </c>
      <c r="O134" s="28" t="b">
        <f t="shared" si="16"/>
        <v>1</v>
      </c>
    </row>
    <row r="135" spans="2:15" s="28" customFormat="1" ht="16.5" customHeight="1">
      <c r="B135" s="20"/>
      <c r="C135" s="20"/>
      <c r="D135" s="254"/>
      <c r="E135" s="379">
        <v>121759</v>
      </c>
      <c r="F135" s="395" t="s">
        <v>765</v>
      </c>
      <c r="G135" s="396"/>
      <c r="H135" s="397"/>
      <c r="I135" s="383">
        <v>1230000</v>
      </c>
      <c r="J135" s="399">
        <v>121759</v>
      </c>
      <c r="K135" s="399" t="s">
        <v>71</v>
      </c>
      <c r="L135" s="399" t="s">
        <v>34</v>
      </c>
      <c r="M135" s="399">
        <v>208</v>
      </c>
      <c r="N135" s="356">
        <v>1230000</v>
      </c>
      <c r="O135" s="28" t="b">
        <f t="shared" si="16"/>
        <v>1</v>
      </c>
    </row>
    <row r="136" spans="2:15" s="28" customFormat="1" ht="16.5" customHeight="1">
      <c r="B136" s="20"/>
      <c r="C136" s="20"/>
      <c r="D136" s="254"/>
      <c r="E136" s="379">
        <v>121762</v>
      </c>
      <c r="F136" s="395" t="s">
        <v>434</v>
      </c>
      <c r="G136" s="396"/>
      <c r="H136" s="397"/>
      <c r="I136" s="383">
        <v>1302000</v>
      </c>
      <c r="J136" s="399">
        <v>121762</v>
      </c>
      <c r="K136" s="399" t="s">
        <v>71</v>
      </c>
      <c r="L136" s="399" t="s">
        <v>34</v>
      </c>
      <c r="M136" s="399">
        <v>208</v>
      </c>
      <c r="N136" s="356">
        <v>1302000</v>
      </c>
      <c r="O136" s="28" t="b">
        <f t="shared" si="16"/>
        <v>1</v>
      </c>
    </row>
    <row r="137" spans="2:15" s="28" customFormat="1" ht="16.5" customHeight="1">
      <c r="B137" s="20"/>
      <c r="C137" s="20"/>
      <c r="D137" s="254"/>
      <c r="E137" s="379">
        <v>121764</v>
      </c>
      <c r="F137" s="395" t="s">
        <v>435</v>
      </c>
      <c r="G137" s="396"/>
      <c r="H137" s="397"/>
      <c r="I137" s="383">
        <v>1246000</v>
      </c>
      <c r="J137" s="399">
        <v>121764</v>
      </c>
      <c r="K137" s="399" t="s">
        <v>71</v>
      </c>
      <c r="L137" s="399" t="s">
        <v>34</v>
      </c>
      <c r="M137" s="399">
        <v>208</v>
      </c>
      <c r="N137" s="356">
        <v>1246000</v>
      </c>
      <c r="O137" s="28" t="b">
        <f t="shared" si="16"/>
        <v>1</v>
      </c>
    </row>
    <row r="138" spans="2:15" s="28" customFormat="1" ht="16.5" customHeight="1">
      <c r="B138" s="20"/>
      <c r="C138" s="20"/>
      <c r="D138" s="254"/>
      <c r="E138" s="379">
        <v>121892</v>
      </c>
      <c r="F138" s="395" t="s">
        <v>256</v>
      </c>
      <c r="G138" s="396"/>
      <c r="H138" s="397"/>
      <c r="I138" s="383">
        <v>481000</v>
      </c>
      <c r="J138" s="399">
        <v>121892</v>
      </c>
      <c r="K138" s="399" t="s">
        <v>70</v>
      </c>
      <c r="L138" s="399" t="s">
        <v>34</v>
      </c>
      <c r="M138" s="399">
        <v>18.899999999999999</v>
      </c>
      <c r="N138" s="356">
        <v>481000</v>
      </c>
      <c r="O138" s="28" t="b">
        <f t="shared" si="16"/>
        <v>1</v>
      </c>
    </row>
    <row r="139" spans="2:15" s="28" customFormat="1" ht="16.5" customHeight="1">
      <c r="B139" s="20"/>
      <c r="C139" s="20"/>
      <c r="D139" s="254"/>
      <c r="E139" s="379">
        <v>121902</v>
      </c>
      <c r="F139" s="395" t="s">
        <v>257</v>
      </c>
      <c r="G139" s="396"/>
      <c r="H139" s="397"/>
      <c r="I139" s="383">
        <v>410000</v>
      </c>
      <c r="J139" s="398">
        <v>121902</v>
      </c>
      <c r="K139" s="399" t="s">
        <v>70</v>
      </c>
      <c r="L139" s="399" t="s">
        <v>34</v>
      </c>
      <c r="M139" s="399">
        <v>18.899999999999999</v>
      </c>
      <c r="N139" s="356">
        <v>410000</v>
      </c>
      <c r="O139" s="28" t="b">
        <f t="shared" si="16"/>
        <v>1</v>
      </c>
    </row>
    <row r="140" spans="2:15" s="28" customFormat="1" ht="16.5" customHeight="1">
      <c r="B140" s="20"/>
      <c r="C140" s="20"/>
      <c r="D140" s="254"/>
      <c r="E140" s="379">
        <v>121904</v>
      </c>
      <c r="F140" s="395" t="s">
        <v>258</v>
      </c>
      <c r="G140" s="396"/>
      <c r="H140" s="397"/>
      <c r="I140" s="383">
        <v>430000</v>
      </c>
      <c r="J140" s="398">
        <v>121904</v>
      </c>
      <c r="K140" s="399" t="s">
        <v>70</v>
      </c>
      <c r="L140" s="399" t="s">
        <v>34</v>
      </c>
      <c r="M140" s="399">
        <v>18.899999999999999</v>
      </c>
      <c r="N140" s="356">
        <v>430000</v>
      </c>
      <c r="O140" s="28" t="b">
        <f t="shared" si="16"/>
        <v>1</v>
      </c>
    </row>
    <row r="141" spans="2:15" s="28" customFormat="1" ht="16.5" customHeight="1">
      <c r="B141" s="20"/>
      <c r="C141" s="20"/>
      <c r="D141" s="254"/>
      <c r="E141" s="379">
        <v>121907</v>
      </c>
      <c r="F141" s="395" t="s">
        <v>259</v>
      </c>
      <c r="G141" s="396"/>
      <c r="H141" s="397"/>
      <c r="I141" s="383">
        <v>398000</v>
      </c>
      <c r="J141" s="398">
        <v>121907</v>
      </c>
      <c r="K141" s="399" t="s">
        <v>70</v>
      </c>
      <c r="L141" s="399" t="s">
        <v>34</v>
      </c>
      <c r="M141" s="399">
        <v>18.899999999999999</v>
      </c>
      <c r="N141" s="356">
        <v>398000</v>
      </c>
      <c r="O141" s="28" t="b">
        <f t="shared" si="16"/>
        <v>1</v>
      </c>
    </row>
    <row r="142" spans="2:15" s="28" customFormat="1" ht="16.5" customHeight="1">
      <c r="B142" s="20"/>
      <c r="C142" s="20"/>
      <c r="D142" s="254"/>
      <c r="E142" s="379">
        <v>122135</v>
      </c>
      <c r="F142" s="395" t="s">
        <v>437</v>
      </c>
      <c r="G142" s="396"/>
      <c r="H142" s="397"/>
      <c r="I142" s="383">
        <v>1207000</v>
      </c>
      <c r="J142" s="399">
        <v>122135</v>
      </c>
      <c r="K142" s="399" t="s">
        <v>71</v>
      </c>
      <c r="L142" s="399" t="s">
        <v>34</v>
      </c>
      <c r="M142" s="399">
        <v>208</v>
      </c>
      <c r="N142" s="356">
        <v>1207000</v>
      </c>
      <c r="O142" s="28" t="b">
        <f t="shared" si="16"/>
        <v>1</v>
      </c>
    </row>
    <row r="143" spans="2:15" s="28" customFormat="1" ht="16.5" customHeight="1">
      <c r="B143" s="20"/>
      <c r="C143" s="20"/>
      <c r="D143" s="254"/>
      <c r="E143" s="379">
        <v>122167</v>
      </c>
      <c r="F143" s="395" t="s">
        <v>438</v>
      </c>
      <c r="G143" s="396"/>
      <c r="H143" s="397"/>
      <c r="I143" s="383">
        <v>3124000</v>
      </c>
      <c r="J143" s="398">
        <v>122167</v>
      </c>
      <c r="K143" s="399" t="s">
        <v>71</v>
      </c>
      <c r="L143" s="399" t="s">
        <v>34</v>
      </c>
      <c r="M143" s="399">
        <v>208</v>
      </c>
      <c r="N143" s="356">
        <v>3124000</v>
      </c>
      <c r="O143" s="28" t="b">
        <f t="shared" si="16"/>
        <v>1</v>
      </c>
    </row>
    <row r="144" spans="2:15" s="28" customFormat="1" ht="16.5" customHeight="1">
      <c r="B144" s="20"/>
      <c r="C144" s="20"/>
      <c r="D144" s="254"/>
      <c r="E144" s="379">
        <v>122187</v>
      </c>
      <c r="F144" s="395" t="s">
        <v>439</v>
      </c>
      <c r="G144" s="396"/>
      <c r="H144" s="397"/>
      <c r="I144" s="383">
        <v>2760000</v>
      </c>
      <c r="J144" s="398">
        <v>122187</v>
      </c>
      <c r="K144" s="399" t="s">
        <v>71</v>
      </c>
      <c r="L144" s="399" t="s">
        <v>34</v>
      </c>
      <c r="M144" s="399">
        <v>208</v>
      </c>
      <c r="N144" s="356">
        <v>2760000</v>
      </c>
      <c r="O144" s="28" t="b">
        <f t="shared" si="16"/>
        <v>1</v>
      </c>
    </row>
    <row r="145" spans="2:15" s="28" customFormat="1" ht="16.5" customHeight="1">
      <c r="B145" s="20"/>
      <c r="C145" s="20"/>
      <c r="D145" s="254"/>
      <c r="E145" s="379">
        <v>122612</v>
      </c>
      <c r="F145" s="395" t="s">
        <v>446</v>
      </c>
      <c r="G145" s="396"/>
      <c r="H145" s="397"/>
      <c r="I145" s="383">
        <v>1525000</v>
      </c>
      <c r="J145" s="398">
        <v>122612</v>
      </c>
      <c r="K145" s="399" t="s">
        <v>71</v>
      </c>
      <c r="L145" s="399" t="s">
        <v>34</v>
      </c>
      <c r="M145" s="399">
        <v>208</v>
      </c>
      <c r="N145" s="356">
        <v>1525000</v>
      </c>
      <c r="O145" s="28" t="b">
        <f t="shared" si="16"/>
        <v>1</v>
      </c>
    </row>
    <row r="146" spans="2:15" s="28" customFormat="1" ht="16.5" customHeight="1">
      <c r="B146" s="20"/>
      <c r="C146" s="20"/>
      <c r="D146" s="254"/>
      <c r="E146" s="379">
        <v>122650</v>
      </c>
      <c r="F146" s="395" t="s">
        <v>447</v>
      </c>
      <c r="G146" s="396"/>
      <c r="H146" s="397"/>
      <c r="I146" s="383">
        <v>3190000</v>
      </c>
      <c r="J146" s="398">
        <v>122650</v>
      </c>
      <c r="K146" s="399" t="s">
        <v>71</v>
      </c>
      <c r="L146" s="399" t="s">
        <v>34</v>
      </c>
      <c r="M146" s="399">
        <v>208</v>
      </c>
      <c r="N146" s="356">
        <v>3190000</v>
      </c>
      <c r="O146" s="28" t="b">
        <f t="shared" si="16"/>
        <v>1</v>
      </c>
    </row>
    <row r="147" spans="2:15" s="28" customFormat="1" ht="16.5" customHeight="1">
      <c r="B147" s="20"/>
      <c r="C147" s="20"/>
      <c r="D147" s="254"/>
      <c r="E147" s="379">
        <v>122713</v>
      </c>
      <c r="F147" s="395" t="s">
        <v>67</v>
      </c>
      <c r="G147" s="396"/>
      <c r="H147" s="397"/>
      <c r="I147" s="383">
        <v>106000</v>
      </c>
      <c r="J147" s="399">
        <v>122713</v>
      </c>
      <c r="K147" s="399" t="s">
        <v>70</v>
      </c>
      <c r="L147" s="399" t="s">
        <v>34</v>
      </c>
      <c r="M147" s="399">
        <v>20</v>
      </c>
      <c r="N147" s="356">
        <v>106000</v>
      </c>
      <c r="O147" s="28" t="b">
        <f t="shared" si="16"/>
        <v>1</v>
      </c>
    </row>
    <row r="148" spans="2:15" s="28" customFormat="1" ht="16.5" customHeight="1">
      <c r="B148" s="20"/>
      <c r="C148" s="20"/>
      <c r="D148" s="254"/>
      <c r="E148" s="379">
        <v>122766</v>
      </c>
      <c r="F148" s="395" t="s">
        <v>68</v>
      </c>
      <c r="G148" s="396"/>
      <c r="H148" s="397"/>
      <c r="I148" s="383">
        <v>83600</v>
      </c>
      <c r="J148" s="398">
        <v>122766</v>
      </c>
      <c r="K148" s="399" t="s">
        <v>70</v>
      </c>
      <c r="L148" s="399" t="s">
        <v>34</v>
      </c>
      <c r="M148" s="399">
        <v>20</v>
      </c>
      <c r="N148" s="356">
        <v>83600</v>
      </c>
      <c r="O148" s="28" t="b">
        <f t="shared" si="16"/>
        <v>1</v>
      </c>
    </row>
    <row r="149" spans="2:15" s="28" customFormat="1" ht="16.5" customHeight="1">
      <c r="B149" s="20"/>
      <c r="C149" s="20"/>
      <c r="D149" s="254"/>
      <c r="E149" s="379">
        <v>122821</v>
      </c>
      <c r="F149" s="395" t="s">
        <v>448</v>
      </c>
      <c r="G149" s="396"/>
      <c r="H149" s="397"/>
      <c r="I149" s="383"/>
      <c r="J149" s="398">
        <v>122821</v>
      </c>
      <c r="K149" s="399" t="s">
        <v>71</v>
      </c>
      <c r="L149" s="399" t="s">
        <v>34</v>
      </c>
      <c r="M149" s="399">
        <v>208</v>
      </c>
      <c r="N149" s="356" t="e">
        <v>#N/A</v>
      </c>
      <c r="O149" s="28" t="e">
        <f t="shared" si="16"/>
        <v>#N/A</v>
      </c>
    </row>
    <row r="150" spans="2:15" s="28" customFormat="1" ht="16.5" customHeight="1">
      <c r="B150" s="20"/>
      <c r="C150" s="20"/>
      <c r="D150" s="254"/>
      <c r="E150" s="379">
        <v>122837</v>
      </c>
      <c r="F150" s="395" t="s">
        <v>65</v>
      </c>
      <c r="G150" s="396"/>
      <c r="H150" s="397"/>
      <c r="I150" s="383">
        <v>62800</v>
      </c>
      <c r="J150" s="398">
        <v>122837</v>
      </c>
      <c r="K150" s="399" t="s">
        <v>70</v>
      </c>
      <c r="L150" s="399" t="s">
        <v>34</v>
      </c>
      <c r="M150" s="399">
        <v>20</v>
      </c>
      <c r="N150" s="356">
        <v>62800</v>
      </c>
      <c r="O150" s="28" t="b">
        <f t="shared" si="16"/>
        <v>1</v>
      </c>
    </row>
    <row r="151" spans="2:15" s="28" customFormat="1" ht="16.5" customHeight="1">
      <c r="B151" s="20"/>
      <c r="C151" s="20"/>
      <c r="D151" s="254"/>
      <c r="E151" s="379">
        <v>122842</v>
      </c>
      <c r="F151" s="395" t="s">
        <v>238</v>
      </c>
      <c r="G151" s="396"/>
      <c r="H151" s="397"/>
      <c r="I151" s="383">
        <v>79200</v>
      </c>
      <c r="J151" s="399">
        <v>122842</v>
      </c>
      <c r="K151" s="399" t="s">
        <v>70</v>
      </c>
      <c r="L151" s="399" t="s">
        <v>34</v>
      </c>
      <c r="M151" s="399">
        <v>20</v>
      </c>
      <c r="N151" s="356">
        <v>79200</v>
      </c>
      <c r="O151" s="28" t="b">
        <f t="shared" si="16"/>
        <v>1</v>
      </c>
    </row>
    <row r="152" spans="2:15" s="28" customFormat="1" ht="16.5" customHeight="1">
      <c r="B152" s="20"/>
      <c r="C152" s="20"/>
      <c r="D152" s="254"/>
      <c r="E152" s="379">
        <v>144277</v>
      </c>
      <c r="F152" s="395" t="s">
        <v>232</v>
      </c>
      <c r="G152" s="396"/>
      <c r="H152" s="397"/>
      <c r="I152" s="383">
        <v>46600</v>
      </c>
      <c r="J152" s="398">
        <v>122885</v>
      </c>
      <c r="K152" s="399" t="s">
        <v>70</v>
      </c>
      <c r="L152" s="399" t="s">
        <v>34</v>
      </c>
      <c r="M152" s="399">
        <v>20</v>
      </c>
      <c r="N152" s="356">
        <v>46600</v>
      </c>
      <c r="O152" s="28" t="b">
        <f t="shared" si="16"/>
        <v>1</v>
      </c>
    </row>
    <row r="153" spans="2:15" s="28" customFormat="1" ht="16.5" customHeight="1">
      <c r="B153" s="20"/>
      <c r="C153" s="20"/>
      <c r="D153" s="254"/>
      <c r="E153" s="379">
        <v>123004</v>
      </c>
      <c r="F153" s="395" t="s">
        <v>41</v>
      </c>
      <c r="G153" s="396"/>
      <c r="H153" s="397"/>
      <c r="I153" s="383">
        <v>402000</v>
      </c>
      <c r="J153" s="398">
        <v>123004</v>
      </c>
      <c r="K153" s="399" t="s">
        <v>70</v>
      </c>
      <c r="L153" s="399" t="s">
        <v>34</v>
      </c>
      <c r="M153" s="399">
        <v>18</v>
      </c>
      <c r="N153" s="356">
        <v>402000</v>
      </c>
      <c r="O153" s="28" t="b">
        <f t="shared" si="16"/>
        <v>1</v>
      </c>
    </row>
    <row r="154" spans="2:15" s="28" customFormat="1" ht="16.5" customHeight="1">
      <c r="B154" s="20"/>
      <c r="C154" s="20"/>
      <c r="D154" s="254"/>
      <c r="E154" s="379">
        <v>123291</v>
      </c>
      <c r="F154" s="395" t="s">
        <v>261</v>
      </c>
      <c r="G154" s="396"/>
      <c r="H154" s="397"/>
      <c r="I154" s="383">
        <v>326000</v>
      </c>
      <c r="J154" s="398">
        <v>123291</v>
      </c>
      <c r="K154" s="399" t="s">
        <v>70</v>
      </c>
      <c r="L154" s="399" t="s">
        <v>34</v>
      </c>
      <c r="M154" s="399">
        <v>20</v>
      </c>
      <c r="N154" s="356">
        <v>326000</v>
      </c>
      <c r="O154" s="28" t="b">
        <f t="shared" ref="O154:O217" si="17">I154=N154</f>
        <v>1</v>
      </c>
    </row>
    <row r="155" spans="2:15" s="28" customFormat="1" ht="16.5" customHeight="1">
      <c r="B155" s="20"/>
      <c r="C155" s="20"/>
      <c r="D155" s="254"/>
      <c r="E155" s="379">
        <v>148674</v>
      </c>
      <c r="F155" s="395" t="s">
        <v>262</v>
      </c>
      <c r="G155" s="396"/>
      <c r="H155" s="397"/>
      <c r="I155" s="383">
        <v>66800</v>
      </c>
      <c r="J155" s="398">
        <v>148674</v>
      </c>
      <c r="K155" s="399" t="s">
        <v>70</v>
      </c>
      <c r="L155" s="399" t="s">
        <v>34</v>
      </c>
      <c r="M155" s="399">
        <v>20</v>
      </c>
      <c r="N155" s="356">
        <v>66800</v>
      </c>
      <c r="O155" s="28" t="b">
        <f t="shared" si="17"/>
        <v>1</v>
      </c>
    </row>
    <row r="156" spans="2:15" s="28" customFormat="1" ht="16.5" customHeight="1">
      <c r="B156" s="20"/>
      <c r="C156" s="20"/>
      <c r="D156" s="254"/>
      <c r="E156" s="379">
        <v>148687</v>
      </c>
      <c r="F156" s="395" t="s">
        <v>263</v>
      </c>
      <c r="G156" s="396"/>
      <c r="H156" s="397"/>
      <c r="I156" s="383">
        <v>62700</v>
      </c>
      <c r="J156" s="398">
        <v>148687</v>
      </c>
      <c r="K156" s="399" t="s">
        <v>70</v>
      </c>
      <c r="L156" s="399" t="s">
        <v>34</v>
      </c>
      <c r="M156" s="399">
        <v>20</v>
      </c>
      <c r="N156" s="356">
        <v>62700</v>
      </c>
      <c r="O156" s="28" t="b">
        <f t="shared" si="17"/>
        <v>1</v>
      </c>
    </row>
    <row r="157" spans="2:15" s="28" customFormat="1" ht="16.5" customHeight="1">
      <c r="B157" s="20"/>
      <c r="C157" s="20"/>
      <c r="D157" s="254"/>
      <c r="E157" s="379">
        <v>148663</v>
      </c>
      <c r="F157" s="395" t="s">
        <v>264</v>
      </c>
      <c r="G157" s="396"/>
      <c r="H157" s="397"/>
      <c r="I157" s="383">
        <v>54200</v>
      </c>
      <c r="J157" s="398">
        <v>148663</v>
      </c>
      <c r="K157" s="399" t="s">
        <v>70</v>
      </c>
      <c r="L157" s="399" t="s">
        <v>34</v>
      </c>
      <c r="M157" s="399">
        <v>20</v>
      </c>
      <c r="N157" s="356">
        <v>54200</v>
      </c>
      <c r="O157" s="28" t="b">
        <f t="shared" si="17"/>
        <v>1</v>
      </c>
    </row>
    <row r="158" spans="2:15" s="28" customFormat="1" ht="16.5" customHeight="1">
      <c r="B158" s="20"/>
      <c r="C158" s="20"/>
      <c r="D158" s="254"/>
      <c r="E158" s="379">
        <v>148661</v>
      </c>
      <c r="F158" s="395" t="s">
        <v>235</v>
      </c>
      <c r="G158" s="396"/>
      <c r="H158" s="397"/>
      <c r="I158" s="383">
        <v>63400</v>
      </c>
      <c r="J158" s="398">
        <v>148661</v>
      </c>
      <c r="K158" s="399" t="s">
        <v>70</v>
      </c>
      <c r="L158" s="399" t="s">
        <v>34</v>
      </c>
      <c r="M158" s="399">
        <v>20</v>
      </c>
      <c r="N158" s="356">
        <v>63400</v>
      </c>
      <c r="O158" s="28" t="b">
        <f t="shared" si="17"/>
        <v>1</v>
      </c>
    </row>
    <row r="159" spans="2:15" s="28" customFormat="1" ht="16.5" customHeight="1">
      <c r="B159" s="20"/>
      <c r="C159" s="20"/>
      <c r="D159" s="254"/>
      <c r="E159" s="379">
        <v>148662</v>
      </c>
      <c r="F159" s="395" t="s">
        <v>225</v>
      </c>
      <c r="G159" s="396"/>
      <c r="H159" s="397"/>
      <c r="I159" s="383">
        <v>55400</v>
      </c>
      <c r="J159" s="399">
        <v>148662</v>
      </c>
      <c r="K159" s="399" t="s">
        <v>70</v>
      </c>
      <c r="L159" s="399" t="s">
        <v>34</v>
      </c>
      <c r="M159" s="399">
        <v>20</v>
      </c>
      <c r="N159" s="356">
        <v>55400</v>
      </c>
      <c r="O159" s="28" t="b">
        <f t="shared" si="17"/>
        <v>1</v>
      </c>
    </row>
    <row r="160" spans="2:15" s="28" customFormat="1" ht="16.5" customHeight="1">
      <c r="B160" s="20"/>
      <c r="C160" s="20"/>
      <c r="D160" s="254"/>
      <c r="E160" s="379">
        <v>124528</v>
      </c>
      <c r="F160" s="395" t="s">
        <v>450</v>
      </c>
      <c r="G160" s="396"/>
      <c r="H160" s="397"/>
      <c r="I160" s="383">
        <v>3634000</v>
      </c>
      <c r="J160" s="398">
        <v>124528</v>
      </c>
      <c r="K160" s="399" t="s">
        <v>71</v>
      </c>
      <c r="L160" s="399" t="s">
        <v>34</v>
      </c>
      <c r="M160" s="399">
        <v>208</v>
      </c>
      <c r="N160" s="356">
        <v>3634000</v>
      </c>
      <c r="O160" s="28" t="b">
        <f t="shared" si="17"/>
        <v>1</v>
      </c>
    </row>
    <row r="161" spans="2:15" s="28" customFormat="1" ht="16.5" customHeight="1">
      <c r="B161" s="20"/>
      <c r="C161" s="20"/>
      <c r="D161" s="254"/>
      <c r="E161" s="379">
        <v>126328</v>
      </c>
      <c r="F161" s="395" t="s">
        <v>453</v>
      </c>
      <c r="G161" s="396"/>
      <c r="H161" s="397"/>
      <c r="I161" s="383">
        <v>4056000</v>
      </c>
      <c r="J161" s="399">
        <v>126328</v>
      </c>
      <c r="K161" s="399" t="s">
        <v>71</v>
      </c>
      <c r="L161" s="399" t="s">
        <v>34</v>
      </c>
      <c r="M161" s="399">
        <v>208</v>
      </c>
      <c r="N161" s="356">
        <v>4056000</v>
      </c>
      <c r="O161" s="28" t="b">
        <f t="shared" si="17"/>
        <v>1</v>
      </c>
    </row>
    <row r="162" spans="2:15" s="28" customFormat="1" ht="16.5" customHeight="1">
      <c r="B162" s="20"/>
      <c r="C162" s="20"/>
      <c r="D162" s="254"/>
      <c r="E162" s="379">
        <v>127356</v>
      </c>
      <c r="F162" s="395" t="s">
        <v>265</v>
      </c>
      <c r="G162" s="396"/>
      <c r="H162" s="397"/>
      <c r="I162" s="383">
        <v>337000</v>
      </c>
      <c r="J162" s="398">
        <v>127356</v>
      </c>
      <c r="K162" s="399" t="s">
        <v>70</v>
      </c>
      <c r="L162" s="399" t="s">
        <v>34</v>
      </c>
      <c r="M162" s="399">
        <v>20</v>
      </c>
      <c r="N162" s="356">
        <v>337000</v>
      </c>
      <c r="O162" s="28" t="b">
        <f t="shared" si="17"/>
        <v>1</v>
      </c>
    </row>
    <row r="163" spans="2:15" s="28" customFormat="1" ht="16.5" customHeight="1">
      <c r="B163" s="20"/>
      <c r="C163" s="20"/>
      <c r="D163" s="254"/>
      <c r="E163" s="379">
        <v>128773</v>
      </c>
      <c r="F163" s="395" t="s">
        <v>766</v>
      </c>
      <c r="G163" s="396"/>
      <c r="H163" s="397"/>
      <c r="I163" s="383">
        <v>346000</v>
      </c>
      <c r="J163" s="398">
        <v>128773</v>
      </c>
      <c r="K163" s="399" t="s">
        <v>70</v>
      </c>
      <c r="L163" s="399" t="s">
        <v>34</v>
      </c>
      <c r="M163" s="399">
        <v>18.899999999999999</v>
      </c>
      <c r="N163" s="356">
        <v>346000</v>
      </c>
      <c r="O163" s="28" t="b">
        <f t="shared" si="17"/>
        <v>1</v>
      </c>
    </row>
    <row r="164" spans="2:15" s="28" customFormat="1" ht="16.5" customHeight="1">
      <c r="B164" s="20"/>
      <c r="C164" s="20"/>
      <c r="D164" s="254"/>
      <c r="E164" s="379">
        <v>129351</v>
      </c>
      <c r="F164" s="395" t="s">
        <v>266</v>
      </c>
      <c r="G164" s="396"/>
      <c r="H164" s="397"/>
      <c r="I164" s="383">
        <v>415000</v>
      </c>
      <c r="J164" s="398">
        <v>129351</v>
      </c>
      <c r="K164" s="399" t="s">
        <v>70</v>
      </c>
      <c r="L164" s="399" t="s">
        <v>34</v>
      </c>
      <c r="M164" s="399">
        <v>20</v>
      </c>
      <c r="N164" s="356">
        <v>415000</v>
      </c>
      <c r="O164" s="28" t="b">
        <f t="shared" si="17"/>
        <v>1</v>
      </c>
    </row>
    <row r="165" spans="2:15" s="28" customFormat="1" ht="16.5" customHeight="1">
      <c r="B165" s="20"/>
      <c r="C165" s="20"/>
      <c r="D165" s="254"/>
      <c r="E165" s="379">
        <v>129389</v>
      </c>
      <c r="F165" s="395" t="s">
        <v>459</v>
      </c>
      <c r="G165" s="396"/>
      <c r="H165" s="397"/>
      <c r="I165" s="383">
        <v>3962000</v>
      </c>
      <c r="J165" s="398">
        <v>129389</v>
      </c>
      <c r="K165" s="399" t="s">
        <v>71</v>
      </c>
      <c r="L165" s="399" t="s">
        <v>34</v>
      </c>
      <c r="M165" s="399">
        <v>208</v>
      </c>
      <c r="N165" s="356">
        <v>3962000</v>
      </c>
      <c r="O165" s="28" t="b">
        <f t="shared" si="17"/>
        <v>1</v>
      </c>
    </row>
    <row r="166" spans="2:15" s="28" customFormat="1" ht="16.5" customHeight="1">
      <c r="B166" s="20"/>
      <c r="C166" s="20"/>
      <c r="D166" s="254"/>
      <c r="E166" s="379">
        <v>130938</v>
      </c>
      <c r="F166" s="395" t="s">
        <v>461</v>
      </c>
      <c r="G166" s="396"/>
      <c r="H166" s="397"/>
      <c r="I166" s="383">
        <v>1918000</v>
      </c>
      <c r="J166" s="398">
        <v>130938</v>
      </c>
      <c r="K166" s="399" t="s">
        <v>71</v>
      </c>
      <c r="L166" s="399" t="s">
        <v>34</v>
      </c>
      <c r="M166" s="399">
        <v>181</v>
      </c>
      <c r="N166" s="356">
        <v>1918000</v>
      </c>
      <c r="O166" s="28" t="b">
        <f t="shared" si="17"/>
        <v>1</v>
      </c>
    </row>
    <row r="167" spans="2:15" s="28" customFormat="1" ht="16.5" customHeight="1">
      <c r="B167" s="20"/>
      <c r="C167" s="20"/>
      <c r="D167" s="254"/>
      <c r="E167" s="379">
        <v>130939</v>
      </c>
      <c r="F167" s="395" t="s">
        <v>267</v>
      </c>
      <c r="G167" s="396"/>
      <c r="H167" s="397"/>
      <c r="I167" s="383">
        <v>179000</v>
      </c>
      <c r="J167" s="398">
        <v>130939</v>
      </c>
      <c r="K167" s="399" t="s">
        <v>70</v>
      </c>
      <c r="L167" s="399" t="s">
        <v>34</v>
      </c>
      <c r="M167" s="399">
        <v>15.87</v>
      </c>
      <c r="N167" s="356">
        <v>179000</v>
      </c>
      <c r="O167" s="28" t="b">
        <f t="shared" si="17"/>
        <v>1</v>
      </c>
    </row>
    <row r="168" spans="2:15" s="28" customFormat="1" ht="16.5" customHeight="1">
      <c r="B168" s="20"/>
      <c r="C168" s="20"/>
      <c r="D168" s="254"/>
      <c r="E168" s="379">
        <v>131773</v>
      </c>
      <c r="F168" s="395" t="s">
        <v>462</v>
      </c>
      <c r="G168" s="396"/>
      <c r="H168" s="397"/>
      <c r="I168" s="383"/>
      <c r="J168" s="398">
        <v>131773</v>
      </c>
      <c r="K168" s="399" t="s">
        <v>71</v>
      </c>
      <c r="L168" s="399" t="s">
        <v>34</v>
      </c>
      <c r="M168" s="399">
        <v>208</v>
      </c>
      <c r="N168" s="356" t="e">
        <v>#N/A</v>
      </c>
      <c r="O168" s="28" t="e">
        <f t="shared" si="17"/>
        <v>#N/A</v>
      </c>
    </row>
    <row r="169" spans="2:15" s="28" customFormat="1" ht="16.5" customHeight="1">
      <c r="B169" s="20"/>
      <c r="C169" s="20"/>
      <c r="D169" s="254"/>
      <c r="E169" s="379">
        <v>132528</v>
      </c>
      <c r="F169" s="395" t="s">
        <v>270</v>
      </c>
      <c r="G169" s="396"/>
      <c r="H169" s="397"/>
      <c r="I169" s="383">
        <v>269000</v>
      </c>
      <c r="J169" s="398">
        <v>132528</v>
      </c>
      <c r="K169" s="399" t="s">
        <v>70</v>
      </c>
      <c r="L169" s="399" t="s">
        <v>34</v>
      </c>
      <c r="M169" s="399">
        <v>16</v>
      </c>
      <c r="N169" s="356">
        <v>269000</v>
      </c>
      <c r="O169" s="28" t="b">
        <f t="shared" si="17"/>
        <v>1</v>
      </c>
    </row>
    <row r="170" spans="2:15" s="28" customFormat="1" ht="16.5" customHeight="1">
      <c r="B170" s="20"/>
      <c r="C170" s="20"/>
      <c r="D170" s="254"/>
      <c r="E170" s="379">
        <v>132549</v>
      </c>
      <c r="F170" s="395" t="s">
        <v>463</v>
      </c>
      <c r="G170" s="396"/>
      <c r="H170" s="397"/>
      <c r="I170" s="383">
        <v>3029000</v>
      </c>
      <c r="J170" s="398">
        <v>132549</v>
      </c>
      <c r="K170" s="399" t="s">
        <v>71</v>
      </c>
      <c r="L170" s="399" t="s">
        <v>34</v>
      </c>
      <c r="M170" s="399">
        <v>208</v>
      </c>
      <c r="N170" s="356">
        <v>3029000</v>
      </c>
      <c r="O170" s="28" t="b">
        <f t="shared" si="17"/>
        <v>1</v>
      </c>
    </row>
    <row r="171" spans="2:15" s="28" customFormat="1" ht="16.5" customHeight="1">
      <c r="B171" s="20"/>
      <c r="C171" s="20"/>
      <c r="D171" s="254"/>
      <c r="E171" s="379">
        <v>132550</v>
      </c>
      <c r="F171" s="395" t="s">
        <v>464</v>
      </c>
      <c r="G171" s="396"/>
      <c r="H171" s="397"/>
      <c r="I171" s="383">
        <v>3173000</v>
      </c>
      <c r="J171" s="398">
        <v>132550</v>
      </c>
      <c r="K171" s="399" t="s">
        <v>71</v>
      </c>
      <c r="L171" s="399" t="s">
        <v>34</v>
      </c>
      <c r="M171" s="399">
        <v>208</v>
      </c>
      <c r="N171" s="356">
        <v>3173000</v>
      </c>
      <c r="O171" s="28" t="b">
        <f t="shared" si="17"/>
        <v>1</v>
      </c>
    </row>
    <row r="172" spans="2:15" s="28" customFormat="1" ht="16.5" customHeight="1">
      <c r="B172" s="20"/>
      <c r="C172" s="20"/>
      <c r="D172" s="254"/>
      <c r="E172" s="379">
        <v>132558</v>
      </c>
      <c r="F172" s="395" t="s">
        <v>465</v>
      </c>
      <c r="G172" s="396"/>
      <c r="H172" s="397"/>
      <c r="I172" s="383">
        <v>3541000</v>
      </c>
      <c r="J172" s="398">
        <v>132558</v>
      </c>
      <c r="K172" s="399" t="s">
        <v>71</v>
      </c>
      <c r="L172" s="399" t="s">
        <v>34</v>
      </c>
      <c r="M172" s="399">
        <v>208</v>
      </c>
      <c r="N172" s="356">
        <v>3541000</v>
      </c>
      <c r="O172" s="28" t="b">
        <f t="shared" si="17"/>
        <v>1</v>
      </c>
    </row>
    <row r="173" spans="2:15" s="28" customFormat="1" ht="16.5" customHeight="1">
      <c r="B173" s="20"/>
      <c r="C173" s="20"/>
      <c r="D173" s="254"/>
      <c r="E173" s="379">
        <v>140202</v>
      </c>
      <c r="F173" s="395" t="s">
        <v>377</v>
      </c>
      <c r="G173" s="396"/>
      <c r="H173" s="397"/>
      <c r="I173" s="383">
        <v>352000</v>
      </c>
      <c r="J173" s="398">
        <v>140202</v>
      </c>
      <c r="K173" s="399" t="s">
        <v>70</v>
      </c>
      <c r="L173" s="399" t="s">
        <v>34</v>
      </c>
      <c r="M173" s="399">
        <v>16</v>
      </c>
      <c r="N173" s="356">
        <v>352000</v>
      </c>
      <c r="O173" s="28" t="b">
        <f t="shared" si="17"/>
        <v>1</v>
      </c>
    </row>
    <row r="174" spans="2:15" s="28" customFormat="1" ht="16.5" customHeight="1">
      <c r="B174" s="20"/>
      <c r="C174" s="20"/>
      <c r="D174" s="254"/>
      <c r="E174" s="379">
        <v>140203</v>
      </c>
      <c r="F174" s="395" t="s">
        <v>273</v>
      </c>
      <c r="G174" s="396"/>
      <c r="H174" s="397"/>
      <c r="I174" s="383">
        <v>355000</v>
      </c>
      <c r="J174" s="398">
        <v>140203</v>
      </c>
      <c r="K174" s="399" t="s">
        <v>70</v>
      </c>
      <c r="L174" s="399" t="s">
        <v>34</v>
      </c>
      <c r="M174" s="399">
        <v>16</v>
      </c>
      <c r="N174" s="356">
        <v>355000</v>
      </c>
      <c r="O174" s="28" t="b">
        <f t="shared" si="17"/>
        <v>1</v>
      </c>
    </row>
    <row r="175" spans="2:15" s="28" customFormat="1" ht="16.5" customHeight="1">
      <c r="B175" s="20"/>
      <c r="C175" s="20"/>
      <c r="D175" s="254"/>
      <c r="E175" s="379">
        <v>132575</v>
      </c>
      <c r="F175" s="400" t="s">
        <v>274</v>
      </c>
      <c r="G175" s="401"/>
      <c r="H175" s="402"/>
      <c r="I175" s="383">
        <v>394000</v>
      </c>
      <c r="J175" s="398">
        <v>132575</v>
      </c>
      <c r="K175" s="399" t="s">
        <v>70</v>
      </c>
      <c r="L175" s="399" t="s">
        <v>34</v>
      </c>
      <c r="M175" s="399">
        <v>16</v>
      </c>
      <c r="N175" s="356">
        <v>394000</v>
      </c>
      <c r="O175" s="28" t="b">
        <f t="shared" si="17"/>
        <v>1</v>
      </c>
    </row>
    <row r="176" spans="2:15" s="28" customFormat="1" ht="16.5" customHeight="1">
      <c r="B176" s="20"/>
      <c r="C176" s="20"/>
      <c r="D176" s="254"/>
      <c r="E176" s="379">
        <v>132610</v>
      </c>
      <c r="F176" s="395" t="s">
        <v>466</v>
      </c>
      <c r="G176" s="396"/>
      <c r="H176" s="397"/>
      <c r="I176" s="383">
        <v>3730000</v>
      </c>
      <c r="J176" s="398">
        <v>132610</v>
      </c>
      <c r="K176" s="399" t="s">
        <v>71</v>
      </c>
      <c r="L176" s="399" t="s">
        <v>34</v>
      </c>
      <c r="M176" s="399">
        <v>174</v>
      </c>
      <c r="N176" s="356">
        <v>3730000</v>
      </c>
      <c r="O176" s="28" t="b">
        <f t="shared" si="17"/>
        <v>1</v>
      </c>
    </row>
    <row r="177" spans="2:15" s="28" customFormat="1" ht="16.5" customHeight="1">
      <c r="B177" s="20"/>
      <c r="C177" s="20"/>
      <c r="D177" s="254"/>
      <c r="E177" s="379">
        <v>132611</v>
      </c>
      <c r="F177" s="395" t="s">
        <v>275</v>
      </c>
      <c r="G177" s="396"/>
      <c r="H177" s="397"/>
      <c r="I177" s="383">
        <v>338000</v>
      </c>
      <c r="J177" s="398">
        <v>132611</v>
      </c>
      <c r="K177" s="399" t="s">
        <v>70</v>
      </c>
      <c r="L177" s="399" t="s">
        <v>34</v>
      </c>
      <c r="M177" s="399">
        <v>15.87</v>
      </c>
      <c r="N177" s="356">
        <v>338000</v>
      </c>
      <c r="O177" s="28" t="b">
        <f t="shared" si="17"/>
        <v>1</v>
      </c>
    </row>
    <row r="178" spans="2:15" s="28" customFormat="1" ht="16.5" customHeight="1">
      <c r="B178" s="20"/>
      <c r="C178" s="20"/>
      <c r="D178" s="254"/>
      <c r="E178" s="379">
        <v>140200</v>
      </c>
      <c r="F178" s="395" t="s">
        <v>276</v>
      </c>
      <c r="G178" s="396"/>
      <c r="H178" s="397"/>
      <c r="I178" s="383">
        <v>352000</v>
      </c>
      <c r="J178" s="398">
        <v>132642</v>
      </c>
      <c r="K178" s="399" t="s">
        <v>70</v>
      </c>
      <c r="L178" s="399" t="s">
        <v>34</v>
      </c>
      <c r="M178" s="399">
        <v>16</v>
      </c>
      <c r="N178" s="356">
        <v>351000</v>
      </c>
      <c r="O178" s="28" t="b">
        <f t="shared" si="17"/>
        <v>0</v>
      </c>
    </row>
    <row r="179" spans="2:15" s="28" customFormat="1" ht="16.5" customHeight="1">
      <c r="B179" s="20"/>
      <c r="C179" s="20"/>
      <c r="D179" s="254"/>
      <c r="E179" s="379">
        <v>132796</v>
      </c>
      <c r="F179" s="403" t="s">
        <v>278</v>
      </c>
      <c r="G179" s="404"/>
      <c r="H179" s="405"/>
      <c r="I179" s="383">
        <v>562000</v>
      </c>
      <c r="J179" s="398">
        <v>132796</v>
      </c>
      <c r="K179" s="406" t="s">
        <v>70</v>
      </c>
      <c r="L179" s="406" t="s">
        <v>34</v>
      </c>
      <c r="M179" s="406">
        <v>18</v>
      </c>
      <c r="N179" s="356">
        <v>562000</v>
      </c>
      <c r="O179" s="28" t="b">
        <f t="shared" si="17"/>
        <v>1</v>
      </c>
    </row>
    <row r="180" spans="2:15" s="28" customFormat="1" ht="16.5" customHeight="1">
      <c r="B180" s="20"/>
      <c r="C180" s="20"/>
      <c r="D180" s="254"/>
      <c r="E180" s="379">
        <v>132835</v>
      </c>
      <c r="F180" s="395" t="s">
        <v>474</v>
      </c>
      <c r="G180" s="396"/>
      <c r="H180" s="397"/>
      <c r="I180" s="383">
        <v>3480000</v>
      </c>
      <c r="J180" s="398">
        <v>132835</v>
      </c>
      <c r="K180" s="399" t="s">
        <v>71</v>
      </c>
      <c r="L180" s="399" t="s">
        <v>34</v>
      </c>
      <c r="M180" s="399">
        <v>208</v>
      </c>
      <c r="N180" s="356">
        <v>3480000</v>
      </c>
      <c r="O180" s="28" t="b">
        <f t="shared" si="17"/>
        <v>1</v>
      </c>
    </row>
    <row r="181" spans="2:15" s="28" customFormat="1" ht="16.5" customHeight="1">
      <c r="B181" s="20"/>
      <c r="C181" s="20"/>
      <c r="D181" s="254"/>
      <c r="E181" s="379">
        <v>133450</v>
      </c>
      <c r="F181" s="395" t="s">
        <v>475</v>
      </c>
      <c r="G181" s="396"/>
      <c r="H181" s="397"/>
      <c r="I181" s="383">
        <v>4688000</v>
      </c>
      <c r="J181" s="398">
        <v>133450</v>
      </c>
      <c r="K181" s="399" t="s">
        <v>71</v>
      </c>
      <c r="L181" s="399" t="s">
        <v>34</v>
      </c>
      <c r="M181" s="399">
        <v>208</v>
      </c>
      <c r="N181" s="356">
        <v>4688000</v>
      </c>
      <c r="O181" s="28" t="b">
        <f t="shared" si="17"/>
        <v>1</v>
      </c>
    </row>
    <row r="182" spans="2:15" s="28" customFormat="1" ht="16.5" customHeight="1">
      <c r="B182" s="20"/>
      <c r="C182" s="20"/>
      <c r="D182" s="254"/>
      <c r="E182" s="379">
        <v>134221</v>
      </c>
      <c r="F182" s="400" t="s">
        <v>476</v>
      </c>
      <c r="G182" s="401"/>
      <c r="H182" s="402"/>
      <c r="I182" s="383">
        <v>4412000</v>
      </c>
      <c r="J182" s="407">
        <v>134221</v>
      </c>
      <c r="K182" s="399" t="s">
        <v>71</v>
      </c>
      <c r="L182" s="399" t="s">
        <v>34</v>
      </c>
      <c r="M182" s="399">
        <v>216</v>
      </c>
      <c r="N182" s="356">
        <v>4412000</v>
      </c>
      <c r="O182" s="28" t="b">
        <f t="shared" si="17"/>
        <v>1</v>
      </c>
    </row>
    <row r="183" spans="2:15" s="28" customFormat="1" ht="16.5" customHeight="1">
      <c r="B183" s="20"/>
      <c r="C183" s="20"/>
      <c r="D183" s="254"/>
      <c r="E183" s="379">
        <v>134320</v>
      </c>
      <c r="F183" s="400" t="s">
        <v>477</v>
      </c>
      <c r="G183" s="396"/>
      <c r="H183" s="397"/>
      <c r="I183" s="383">
        <v>3144000</v>
      </c>
      <c r="J183" s="398">
        <v>134320</v>
      </c>
      <c r="K183" s="399" t="s">
        <v>71</v>
      </c>
      <c r="L183" s="399" t="s">
        <v>34</v>
      </c>
      <c r="M183" s="399">
        <v>208</v>
      </c>
      <c r="N183" s="356">
        <v>3144000</v>
      </c>
      <c r="O183" s="28" t="b">
        <f t="shared" si="17"/>
        <v>1</v>
      </c>
    </row>
    <row r="184" spans="2:15" s="28" customFormat="1" ht="16.5" customHeight="1">
      <c r="B184" s="20"/>
      <c r="C184" s="20"/>
      <c r="D184" s="254"/>
      <c r="E184" s="379">
        <v>134445</v>
      </c>
      <c r="F184" s="400" t="s">
        <v>239</v>
      </c>
      <c r="G184" s="396"/>
      <c r="H184" s="397"/>
      <c r="I184" s="383">
        <v>66900</v>
      </c>
      <c r="J184" s="398">
        <v>134445</v>
      </c>
      <c r="K184" s="399" t="s">
        <v>70</v>
      </c>
      <c r="L184" s="399" t="s">
        <v>34</v>
      </c>
      <c r="M184" s="399">
        <v>20</v>
      </c>
      <c r="N184" s="356">
        <v>66900</v>
      </c>
      <c r="O184" s="28" t="b">
        <f t="shared" si="17"/>
        <v>1</v>
      </c>
    </row>
    <row r="185" spans="2:15" s="28" customFormat="1" ht="16.5" customHeight="1">
      <c r="B185" s="20"/>
      <c r="C185" s="20"/>
      <c r="D185" s="254"/>
      <c r="E185" s="379">
        <v>134602</v>
      </c>
      <c r="F185" s="400" t="s">
        <v>481</v>
      </c>
      <c r="G185" s="396"/>
      <c r="H185" s="397"/>
      <c r="I185" s="383">
        <v>3680000</v>
      </c>
      <c r="J185" s="407">
        <v>134602</v>
      </c>
      <c r="K185" s="399" t="s">
        <v>71</v>
      </c>
      <c r="L185" s="399" t="s">
        <v>34</v>
      </c>
      <c r="M185" s="399">
        <v>208</v>
      </c>
      <c r="N185" s="356">
        <v>3680000</v>
      </c>
      <c r="O185" s="28" t="b">
        <f t="shared" si="17"/>
        <v>1</v>
      </c>
    </row>
    <row r="186" spans="2:15" s="28" customFormat="1" ht="16.5" customHeight="1">
      <c r="B186" s="20"/>
      <c r="C186" s="20"/>
      <c r="D186" s="254"/>
      <c r="E186" s="379">
        <v>134604</v>
      </c>
      <c r="F186" s="400" t="s">
        <v>280</v>
      </c>
      <c r="G186" s="396"/>
      <c r="H186" s="397"/>
      <c r="I186" s="383">
        <v>120000</v>
      </c>
      <c r="J186" s="398">
        <v>134604</v>
      </c>
      <c r="K186" s="399" t="s">
        <v>70</v>
      </c>
      <c r="L186" s="399" t="s">
        <v>34</v>
      </c>
      <c r="M186" s="399">
        <v>16</v>
      </c>
      <c r="N186" s="356">
        <v>120000</v>
      </c>
      <c r="O186" s="28" t="b">
        <f t="shared" si="17"/>
        <v>1</v>
      </c>
    </row>
    <row r="187" spans="2:15" s="28" customFormat="1" ht="16.5" customHeight="1">
      <c r="B187" s="20"/>
      <c r="C187" s="20"/>
      <c r="D187" s="254"/>
      <c r="E187" s="379">
        <v>134884</v>
      </c>
      <c r="F187" s="400" t="s">
        <v>281</v>
      </c>
      <c r="G187" s="396"/>
      <c r="H187" s="397"/>
      <c r="I187" s="383">
        <v>80500</v>
      </c>
      <c r="J187" s="407">
        <v>134884</v>
      </c>
      <c r="K187" s="399" t="s">
        <v>70</v>
      </c>
      <c r="L187" s="399" t="s">
        <v>34</v>
      </c>
      <c r="M187" s="399">
        <v>20</v>
      </c>
      <c r="N187" s="356">
        <v>80500</v>
      </c>
      <c r="O187" s="28" t="b">
        <f t="shared" si="17"/>
        <v>1</v>
      </c>
    </row>
    <row r="188" spans="2:15" s="28" customFormat="1" ht="16.5" customHeight="1">
      <c r="B188" s="20"/>
      <c r="C188" s="20"/>
      <c r="D188" s="254"/>
      <c r="E188" s="379">
        <v>134937</v>
      </c>
      <c r="F188" s="400" t="s">
        <v>486</v>
      </c>
      <c r="G188" s="396"/>
      <c r="H188" s="397"/>
      <c r="I188" s="383">
        <v>3079000</v>
      </c>
      <c r="J188" s="407">
        <v>134937</v>
      </c>
      <c r="K188" s="399" t="s">
        <v>71</v>
      </c>
      <c r="L188" s="399" t="s">
        <v>34</v>
      </c>
      <c r="M188" s="399">
        <v>208</v>
      </c>
      <c r="N188" s="356">
        <v>3079000</v>
      </c>
      <c r="O188" s="28" t="b">
        <f t="shared" si="17"/>
        <v>1</v>
      </c>
    </row>
    <row r="189" spans="2:15" s="28" customFormat="1" ht="16.5" customHeight="1">
      <c r="B189" s="20"/>
      <c r="C189" s="20"/>
      <c r="D189" s="254"/>
      <c r="E189" s="379">
        <v>134962</v>
      </c>
      <c r="F189" s="395" t="s">
        <v>47</v>
      </c>
      <c r="G189" s="396"/>
      <c r="H189" s="397"/>
      <c r="I189" s="383">
        <v>364000</v>
      </c>
      <c r="J189" s="398">
        <v>134962</v>
      </c>
      <c r="K189" s="399" t="s">
        <v>70</v>
      </c>
      <c r="L189" s="399" t="s">
        <v>34</v>
      </c>
      <c r="M189" s="399">
        <v>20</v>
      </c>
      <c r="N189" s="356">
        <v>364000</v>
      </c>
      <c r="O189" s="28" t="b">
        <f t="shared" si="17"/>
        <v>1</v>
      </c>
    </row>
    <row r="190" spans="2:15" s="28" customFormat="1" ht="16.5" customHeight="1">
      <c r="B190" s="20"/>
      <c r="C190" s="20"/>
      <c r="D190" s="254"/>
      <c r="E190" s="379">
        <v>134995</v>
      </c>
      <c r="F190" s="395" t="s">
        <v>283</v>
      </c>
      <c r="G190" s="396"/>
      <c r="H190" s="397"/>
      <c r="I190" s="383">
        <v>475000</v>
      </c>
      <c r="J190" s="398">
        <v>134995</v>
      </c>
      <c r="K190" s="399" t="s">
        <v>70</v>
      </c>
      <c r="L190" s="399" t="s">
        <v>34</v>
      </c>
      <c r="M190" s="399">
        <v>16</v>
      </c>
      <c r="N190" s="356">
        <v>475000</v>
      </c>
      <c r="O190" s="28" t="b">
        <f t="shared" si="17"/>
        <v>1</v>
      </c>
    </row>
    <row r="191" spans="2:15" s="28" customFormat="1" ht="16.5" customHeight="1">
      <c r="B191" s="20"/>
      <c r="C191" s="20"/>
      <c r="D191" s="254"/>
      <c r="E191" s="379">
        <v>134997</v>
      </c>
      <c r="F191" s="408" t="s">
        <v>284</v>
      </c>
      <c r="G191" s="409"/>
      <c r="H191" s="410"/>
      <c r="I191" s="383">
        <v>316000</v>
      </c>
      <c r="J191" s="398">
        <v>134997</v>
      </c>
      <c r="K191" s="378" t="s">
        <v>70</v>
      </c>
      <c r="L191" s="378" t="s">
        <v>34</v>
      </c>
      <c r="M191" s="378">
        <v>15.87</v>
      </c>
      <c r="N191" s="356">
        <v>316000</v>
      </c>
      <c r="O191" s="28" t="b">
        <f t="shared" si="17"/>
        <v>1</v>
      </c>
    </row>
    <row r="192" spans="2:15" s="28" customFormat="1" ht="16.5" customHeight="1">
      <c r="B192" s="20"/>
      <c r="C192" s="20"/>
      <c r="D192" s="254"/>
      <c r="E192" s="379">
        <v>134999</v>
      </c>
      <c r="F192" s="395" t="s">
        <v>285</v>
      </c>
      <c r="G192" s="396"/>
      <c r="H192" s="397"/>
      <c r="I192" s="383">
        <v>476000</v>
      </c>
      <c r="J192" s="398">
        <v>134999</v>
      </c>
      <c r="K192" s="399" t="s">
        <v>70</v>
      </c>
      <c r="L192" s="399" t="s">
        <v>34</v>
      </c>
      <c r="M192" s="399">
        <v>15.87</v>
      </c>
      <c r="N192" s="356">
        <v>476000</v>
      </c>
      <c r="O192" s="28" t="b">
        <f t="shared" si="17"/>
        <v>1</v>
      </c>
    </row>
    <row r="193" spans="2:15" s="28" customFormat="1" ht="16.5" customHeight="1">
      <c r="B193" s="20"/>
      <c r="C193" s="20"/>
      <c r="D193" s="254"/>
      <c r="E193" s="379">
        <v>135000</v>
      </c>
      <c r="F193" s="395" t="s">
        <v>487</v>
      </c>
      <c r="G193" s="396"/>
      <c r="H193" s="397"/>
      <c r="I193" s="383">
        <v>2918000</v>
      </c>
      <c r="J193" s="398">
        <v>135000</v>
      </c>
      <c r="K193" s="399" t="s">
        <v>71</v>
      </c>
      <c r="L193" s="399" t="s">
        <v>34</v>
      </c>
      <c r="M193" s="399">
        <v>208</v>
      </c>
      <c r="N193" s="356">
        <v>2918000</v>
      </c>
      <c r="O193" s="28" t="b">
        <f t="shared" si="17"/>
        <v>1</v>
      </c>
    </row>
    <row r="194" spans="2:15" s="28" customFormat="1" ht="16.5" customHeight="1">
      <c r="B194" s="20"/>
      <c r="C194" s="20"/>
      <c r="D194" s="254"/>
      <c r="E194" s="379">
        <v>135002</v>
      </c>
      <c r="F194" s="395" t="s">
        <v>286</v>
      </c>
      <c r="G194" s="396"/>
      <c r="H194" s="397"/>
      <c r="I194" s="383">
        <v>364000</v>
      </c>
      <c r="J194" s="398">
        <v>135002</v>
      </c>
      <c r="K194" s="399" t="s">
        <v>70</v>
      </c>
      <c r="L194" s="399" t="s">
        <v>34</v>
      </c>
      <c r="M194" s="399">
        <v>20</v>
      </c>
      <c r="N194" s="356">
        <v>364000</v>
      </c>
      <c r="O194" s="28" t="b">
        <f t="shared" si="17"/>
        <v>1</v>
      </c>
    </row>
    <row r="195" spans="2:15" s="28" customFormat="1" ht="16.5" customHeight="1">
      <c r="B195" s="20"/>
      <c r="C195" s="20"/>
      <c r="D195" s="254"/>
      <c r="E195" s="379">
        <v>135004</v>
      </c>
      <c r="F195" s="395" t="s">
        <v>287</v>
      </c>
      <c r="G195" s="396"/>
      <c r="H195" s="397"/>
      <c r="I195" s="383">
        <v>300000</v>
      </c>
      <c r="J195" s="398">
        <v>135004</v>
      </c>
      <c r="K195" s="399" t="s">
        <v>70</v>
      </c>
      <c r="L195" s="399" t="s">
        <v>34</v>
      </c>
      <c r="M195" s="399">
        <v>18.899999999999999</v>
      </c>
      <c r="N195" s="356">
        <v>300000</v>
      </c>
      <c r="O195" s="28" t="b">
        <f t="shared" si="17"/>
        <v>1</v>
      </c>
    </row>
    <row r="196" spans="2:15" s="28" customFormat="1" ht="16.5" customHeight="1">
      <c r="B196" s="20"/>
      <c r="C196" s="20"/>
      <c r="D196" s="254"/>
      <c r="E196" s="379">
        <v>135008</v>
      </c>
      <c r="F196" s="395" t="s">
        <v>288</v>
      </c>
      <c r="G196" s="396"/>
      <c r="H196" s="397"/>
      <c r="I196" s="383">
        <v>274000</v>
      </c>
      <c r="J196" s="398">
        <v>135008</v>
      </c>
      <c r="K196" s="399" t="s">
        <v>70</v>
      </c>
      <c r="L196" s="399" t="s">
        <v>34</v>
      </c>
      <c r="M196" s="399">
        <v>20</v>
      </c>
      <c r="N196" s="356">
        <v>274000</v>
      </c>
      <c r="O196" s="28" t="b">
        <f t="shared" si="17"/>
        <v>1</v>
      </c>
    </row>
    <row r="197" spans="2:15" s="28" customFormat="1" ht="16.5" customHeight="1">
      <c r="B197" s="20"/>
      <c r="C197" s="20"/>
      <c r="D197" s="254"/>
      <c r="E197" s="379">
        <v>135010</v>
      </c>
      <c r="F197" s="395" t="s">
        <v>488</v>
      </c>
      <c r="G197" s="396"/>
      <c r="H197" s="397"/>
      <c r="I197" s="383">
        <v>3777000</v>
      </c>
      <c r="J197" s="398">
        <v>135010</v>
      </c>
      <c r="K197" s="399" t="s">
        <v>71</v>
      </c>
      <c r="L197" s="399" t="s">
        <v>34</v>
      </c>
      <c r="M197" s="399">
        <v>174</v>
      </c>
      <c r="N197" s="356">
        <v>3777000</v>
      </c>
      <c r="O197" s="28" t="b">
        <f t="shared" si="17"/>
        <v>1</v>
      </c>
    </row>
    <row r="198" spans="2:15" s="28" customFormat="1" ht="16.5" customHeight="1">
      <c r="B198" s="20"/>
      <c r="C198" s="20"/>
      <c r="D198" s="254"/>
      <c r="E198" s="379">
        <v>135013</v>
      </c>
      <c r="F198" s="395" t="s">
        <v>489</v>
      </c>
      <c r="G198" s="396"/>
      <c r="H198" s="397"/>
      <c r="I198" s="383">
        <v>2922000</v>
      </c>
      <c r="J198" s="398">
        <v>135013</v>
      </c>
      <c r="K198" s="399" t="s">
        <v>71</v>
      </c>
      <c r="L198" s="399" t="s">
        <v>34</v>
      </c>
      <c r="M198" s="399">
        <v>208</v>
      </c>
      <c r="N198" s="356">
        <v>2922000</v>
      </c>
      <c r="O198" s="28" t="b">
        <f t="shared" si="17"/>
        <v>1</v>
      </c>
    </row>
    <row r="199" spans="2:15" s="28" customFormat="1" ht="16.5" customHeight="1">
      <c r="B199" s="20"/>
      <c r="C199" s="20"/>
      <c r="D199" s="254"/>
      <c r="E199" s="379">
        <v>135014</v>
      </c>
      <c r="F199" s="395" t="s">
        <v>490</v>
      </c>
      <c r="G199" s="396"/>
      <c r="H199" s="397"/>
      <c r="I199" s="383">
        <v>3151000</v>
      </c>
      <c r="J199" s="398">
        <v>135014</v>
      </c>
      <c r="K199" s="399" t="s">
        <v>71</v>
      </c>
      <c r="L199" s="399" t="s">
        <v>34</v>
      </c>
      <c r="M199" s="399">
        <v>208</v>
      </c>
      <c r="N199" s="356">
        <v>3151000</v>
      </c>
      <c r="O199" s="28" t="b">
        <f t="shared" si="17"/>
        <v>1</v>
      </c>
    </row>
    <row r="200" spans="2:15" s="28" customFormat="1" ht="16.5" customHeight="1">
      <c r="B200" s="20"/>
      <c r="C200" s="20"/>
      <c r="D200" s="254"/>
      <c r="E200" s="379">
        <v>135016</v>
      </c>
      <c r="F200" s="395" t="s">
        <v>289</v>
      </c>
      <c r="G200" s="396"/>
      <c r="H200" s="397"/>
      <c r="I200" s="383">
        <v>353000</v>
      </c>
      <c r="J200" s="398">
        <v>135016</v>
      </c>
      <c r="K200" s="399" t="s">
        <v>70</v>
      </c>
      <c r="L200" s="399" t="s">
        <v>34</v>
      </c>
      <c r="M200" s="399">
        <v>20</v>
      </c>
      <c r="N200" s="356">
        <v>353000</v>
      </c>
      <c r="O200" s="28" t="b">
        <f t="shared" si="17"/>
        <v>1</v>
      </c>
    </row>
    <row r="201" spans="2:15" s="28" customFormat="1" ht="16.5" customHeight="1">
      <c r="B201" s="20"/>
      <c r="C201" s="20"/>
      <c r="D201" s="254"/>
      <c r="E201" s="379">
        <v>135152</v>
      </c>
      <c r="F201" s="395" t="s">
        <v>290</v>
      </c>
      <c r="G201" s="396"/>
      <c r="H201" s="397"/>
      <c r="I201" s="383">
        <v>327000</v>
      </c>
      <c r="J201" s="398">
        <v>135152</v>
      </c>
      <c r="K201" s="399" t="s">
        <v>70</v>
      </c>
      <c r="L201" s="399" t="s">
        <v>34</v>
      </c>
      <c r="M201" s="399">
        <v>20</v>
      </c>
      <c r="N201" s="356">
        <v>327000</v>
      </c>
      <c r="O201" s="28" t="b">
        <f t="shared" si="17"/>
        <v>1</v>
      </c>
    </row>
    <row r="202" spans="2:15" s="28" customFormat="1" ht="16.5" customHeight="1">
      <c r="B202" s="20"/>
      <c r="C202" s="20"/>
      <c r="D202" s="254"/>
      <c r="E202" s="379">
        <v>135153</v>
      </c>
      <c r="F202" s="395" t="s">
        <v>291</v>
      </c>
      <c r="G202" s="396"/>
      <c r="H202" s="397"/>
      <c r="I202" s="383">
        <v>277000</v>
      </c>
      <c r="J202" s="398">
        <v>135153</v>
      </c>
      <c r="K202" s="399" t="s">
        <v>70</v>
      </c>
      <c r="L202" s="399" t="s">
        <v>34</v>
      </c>
      <c r="M202" s="399">
        <v>20</v>
      </c>
      <c r="N202" s="356">
        <v>277000</v>
      </c>
      <c r="O202" s="28" t="b">
        <f t="shared" si="17"/>
        <v>1</v>
      </c>
    </row>
    <row r="203" spans="2:15" s="28" customFormat="1" ht="16.5" customHeight="1">
      <c r="B203" s="20"/>
      <c r="C203" s="20"/>
      <c r="D203" s="254"/>
      <c r="E203" s="379">
        <v>135179</v>
      </c>
      <c r="F203" s="395" t="s">
        <v>491</v>
      </c>
      <c r="G203" s="396"/>
      <c r="H203" s="397"/>
      <c r="I203" s="383">
        <v>2733000</v>
      </c>
      <c r="J203" s="398">
        <v>135179</v>
      </c>
      <c r="K203" s="399" t="s">
        <v>71</v>
      </c>
      <c r="L203" s="399" t="s">
        <v>34</v>
      </c>
      <c r="M203" s="399">
        <v>208</v>
      </c>
      <c r="N203" s="356">
        <v>2733000</v>
      </c>
      <c r="O203" s="28" t="b">
        <f t="shared" si="17"/>
        <v>1</v>
      </c>
    </row>
    <row r="204" spans="2:15" s="28" customFormat="1" ht="16.5" customHeight="1">
      <c r="B204" s="20"/>
      <c r="C204" s="20"/>
      <c r="D204" s="254"/>
      <c r="E204" s="379">
        <v>135180</v>
      </c>
      <c r="F204" s="395" t="s">
        <v>492</v>
      </c>
      <c r="G204" s="401"/>
      <c r="H204" s="402"/>
      <c r="I204" s="383">
        <v>3124000</v>
      </c>
      <c r="J204" s="398">
        <v>135180</v>
      </c>
      <c r="K204" s="399" t="s">
        <v>71</v>
      </c>
      <c r="L204" s="399" t="s">
        <v>34</v>
      </c>
      <c r="M204" s="399">
        <v>208</v>
      </c>
      <c r="N204" s="356">
        <v>3124000</v>
      </c>
      <c r="O204" s="28" t="b">
        <f t="shared" si="17"/>
        <v>1</v>
      </c>
    </row>
    <row r="205" spans="2:15" s="28" customFormat="1" ht="16.5" customHeight="1">
      <c r="B205" s="20"/>
      <c r="C205" s="20"/>
      <c r="D205" s="254"/>
      <c r="E205" s="379">
        <v>135181</v>
      </c>
      <c r="F205" s="395" t="s">
        <v>292</v>
      </c>
      <c r="G205" s="396"/>
      <c r="H205" s="397"/>
      <c r="I205" s="383">
        <v>269000</v>
      </c>
      <c r="J205" s="398">
        <v>135181</v>
      </c>
      <c r="K205" s="399" t="s">
        <v>70</v>
      </c>
      <c r="L205" s="399" t="s">
        <v>34</v>
      </c>
      <c r="M205" s="399">
        <v>20</v>
      </c>
      <c r="N205" s="356">
        <v>269000</v>
      </c>
      <c r="O205" s="28" t="b">
        <f t="shared" si="17"/>
        <v>1</v>
      </c>
    </row>
    <row r="206" spans="2:15" s="28" customFormat="1" ht="16.5" customHeight="1">
      <c r="B206" s="20"/>
      <c r="C206" s="20"/>
      <c r="D206" s="254"/>
      <c r="E206" s="379">
        <v>135182</v>
      </c>
      <c r="F206" s="395" t="s">
        <v>493</v>
      </c>
      <c r="G206" s="396"/>
      <c r="H206" s="397"/>
      <c r="I206" s="383">
        <v>2995000</v>
      </c>
      <c r="J206" s="398">
        <v>135182</v>
      </c>
      <c r="K206" s="399" t="s">
        <v>71</v>
      </c>
      <c r="L206" s="399" t="s">
        <v>34</v>
      </c>
      <c r="M206" s="399">
        <v>208</v>
      </c>
      <c r="N206" s="356">
        <v>2995000</v>
      </c>
      <c r="O206" s="28" t="b">
        <f t="shared" si="17"/>
        <v>1</v>
      </c>
    </row>
    <row r="207" spans="2:15" s="28" customFormat="1" ht="16.5" customHeight="1">
      <c r="B207" s="20"/>
      <c r="C207" s="20"/>
      <c r="D207" s="254"/>
      <c r="E207" s="379">
        <v>135183</v>
      </c>
      <c r="F207" s="395" t="s">
        <v>293</v>
      </c>
      <c r="G207" s="396"/>
      <c r="H207" s="397"/>
      <c r="I207" s="383">
        <v>302000</v>
      </c>
      <c r="J207" s="398">
        <v>135183</v>
      </c>
      <c r="K207" s="399" t="s">
        <v>70</v>
      </c>
      <c r="L207" s="399" t="s">
        <v>34</v>
      </c>
      <c r="M207" s="399">
        <v>20</v>
      </c>
      <c r="N207" s="356">
        <v>302000</v>
      </c>
      <c r="O207" s="28" t="b">
        <f t="shared" si="17"/>
        <v>1</v>
      </c>
    </row>
    <row r="208" spans="2:15" s="28" customFormat="1" ht="16.5" customHeight="1">
      <c r="B208" s="20"/>
      <c r="C208" s="20"/>
      <c r="D208" s="254"/>
      <c r="E208" s="379">
        <v>135184</v>
      </c>
      <c r="F208" s="395" t="s">
        <v>494</v>
      </c>
      <c r="G208" s="396"/>
      <c r="H208" s="397"/>
      <c r="I208" s="383">
        <v>3255000</v>
      </c>
      <c r="J208" s="398">
        <v>135184</v>
      </c>
      <c r="K208" s="399" t="s">
        <v>71</v>
      </c>
      <c r="L208" s="399" t="s">
        <v>34</v>
      </c>
      <c r="M208" s="399">
        <v>208</v>
      </c>
      <c r="N208" s="356">
        <v>3255000</v>
      </c>
      <c r="O208" s="28" t="b">
        <f t="shared" si="17"/>
        <v>1</v>
      </c>
    </row>
    <row r="209" spans="2:15" s="28" customFormat="1" ht="16.5" customHeight="1">
      <c r="B209" s="20"/>
      <c r="C209" s="20"/>
      <c r="D209" s="254"/>
      <c r="E209" s="379">
        <v>135185</v>
      </c>
      <c r="F209" s="395" t="s">
        <v>495</v>
      </c>
      <c r="G209" s="396"/>
      <c r="H209" s="397"/>
      <c r="I209" s="383">
        <v>3450000</v>
      </c>
      <c r="J209" s="398">
        <v>135185</v>
      </c>
      <c r="K209" s="399" t="s">
        <v>71</v>
      </c>
      <c r="L209" s="399" t="s">
        <v>34</v>
      </c>
      <c r="M209" s="399">
        <v>208</v>
      </c>
      <c r="N209" s="356">
        <v>3450000</v>
      </c>
      <c r="O209" s="28" t="b">
        <f t="shared" si="17"/>
        <v>1</v>
      </c>
    </row>
    <row r="210" spans="2:15" s="28" customFormat="1" ht="16.5" customHeight="1">
      <c r="B210" s="20"/>
      <c r="C210" s="20"/>
      <c r="D210" s="254"/>
      <c r="E210" s="379">
        <v>135186</v>
      </c>
      <c r="F210" s="395" t="s">
        <v>496</v>
      </c>
      <c r="G210" s="396"/>
      <c r="H210" s="397"/>
      <c r="I210" s="383">
        <v>3644000</v>
      </c>
      <c r="J210" s="398">
        <v>135186</v>
      </c>
      <c r="K210" s="399" t="s">
        <v>71</v>
      </c>
      <c r="L210" s="399" t="s">
        <v>34</v>
      </c>
      <c r="M210" s="399">
        <v>208</v>
      </c>
      <c r="N210" s="356">
        <v>3644000</v>
      </c>
      <c r="O210" s="28" t="b">
        <f t="shared" si="17"/>
        <v>1</v>
      </c>
    </row>
    <row r="211" spans="2:15" s="28" customFormat="1" ht="16.5" customHeight="1">
      <c r="B211" s="20"/>
      <c r="C211" s="20"/>
      <c r="D211" s="254"/>
      <c r="E211" s="379">
        <v>135187</v>
      </c>
      <c r="F211" s="395" t="s">
        <v>497</v>
      </c>
      <c r="G211" s="396"/>
      <c r="H211" s="397"/>
      <c r="I211" s="383">
        <v>3124000</v>
      </c>
      <c r="J211" s="398">
        <v>135187</v>
      </c>
      <c r="K211" s="399" t="s">
        <v>71</v>
      </c>
      <c r="L211" s="399" t="s">
        <v>34</v>
      </c>
      <c r="M211" s="399">
        <v>208</v>
      </c>
      <c r="N211" s="356">
        <v>3124000</v>
      </c>
      <c r="O211" s="28" t="b">
        <f t="shared" si="17"/>
        <v>1</v>
      </c>
    </row>
    <row r="212" spans="2:15" s="28" customFormat="1" ht="16.5" customHeight="1">
      <c r="B212" s="20"/>
      <c r="C212" s="20"/>
      <c r="D212" s="254"/>
      <c r="E212" s="379">
        <v>135188</v>
      </c>
      <c r="F212" s="395" t="s">
        <v>294</v>
      </c>
      <c r="G212" s="396"/>
      <c r="H212" s="397"/>
      <c r="I212" s="383">
        <v>315000</v>
      </c>
      <c r="J212" s="398">
        <v>135188</v>
      </c>
      <c r="K212" s="399" t="s">
        <v>70</v>
      </c>
      <c r="L212" s="399" t="s">
        <v>34</v>
      </c>
      <c r="M212" s="399">
        <v>20</v>
      </c>
      <c r="N212" s="356">
        <v>315000</v>
      </c>
      <c r="O212" s="28" t="b">
        <f t="shared" si="17"/>
        <v>1</v>
      </c>
    </row>
    <row r="213" spans="2:15" s="28" customFormat="1" ht="16.5" customHeight="1">
      <c r="B213" s="20"/>
      <c r="C213" s="20"/>
      <c r="D213" s="254"/>
      <c r="E213" s="379">
        <v>135190</v>
      </c>
      <c r="F213" s="395" t="s">
        <v>295</v>
      </c>
      <c r="G213" s="396"/>
      <c r="H213" s="397"/>
      <c r="I213" s="383">
        <v>346000</v>
      </c>
      <c r="J213" s="398">
        <v>135190</v>
      </c>
      <c r="K213" s="399" t="s">
        <v>70</v>
      </c>
      <c r="L213" s="399" t="s">
        <v>34</v>
      </c>
      <c r="M213" s="399">
        <v>20</v>
      </c>
      <c r="N213" s="356">
        <v>346000</v>
      </c>
      <c r="O213" s="28" t="b">
        <f t="shared" si="17"/>
        <v>1</v>
      </c>
    </row>
    <row r="214" spans="2:15" s="28" customFormat="1" ht="16.5" customHeight="1">
      <c r="B214" s="20"/>
      <c r="C214" s="20"/>
      <c r="D214" s="254"/>
      <c r="E214" s="379">
        <v>135249</v>
      </c>
      <c r="F214" s="395" t="s">
        <v>498</v>
      </c>
      <c r="G214" s="401"/>
      <c r="H214" s="402"/>
      <c r="I214" s="383">
        <v>1871000</v>
      </c>
      <c r="J214" s="398">
        <v>135249</v>
      </c>
      <c r="K214" s="399" t="s">
        <v>71</v>
      </c>
      <c r="L214" s="399" t="s">
        <v>34</v>
      </c>
      <c r="M214" s="399">
        <v>180</v>
      </c>
      <c r="N214" s="356">
        <v>1871000</v>
      </c>
      <c r="O214" s="28" t="b">
        <f t="shared" si="17"/>
        <v>1</v>
      </c>
    </row>
    <row r="215" spans="2:15" s="28" customFormat="1" ht="16.5" customHeight="1">
      <c r="B215" s="20"/>
      <c r="C215" s="20"/>
      <c r="D215" s="254"/>
      <c r="E215" s="379">
        <v>135304</v>
      </c>
      <c r="F215" s="395" t="s">
        <v>499</v>
      </c>
      <c r="G215" s="396"/>
      <c r="H215" s="397"/>
      <c r="I215" s="383">
        <v>3473000</v>
      </c>
      <c r="J215" s="398">
        <v>135304</v>
      </c>
      <c r="K215" s="399" t="s">
        <v>71</v>
      </c>
      <c r="L215" s="399" t="s">
        <v>34</v>
      </c>
      <c r="M215" s="399">
        <v>208</v>
      </c>
      <c r="N215" s="356">
        <v>3473000</v>
      </c>
      <c r="O215" s="28" t="b">
        <f t="shared" si="17"/>
        <v>1</v>
      </c>
    </row>
    <row r="216" spans="2:15" s="28" customFormat="1" ht="16.5" customHeight="1">
      <c r="B216" s="20"/>
      <c r="C216" s="20"/>
      <c r="D216" s="254"/>
      <c r="E216" s="379">
        <v>135361</v>
      </c>
      <c r="F216" s="395" t="s">
        <v>296</v>
      </c>
      <c r="G216" s="396"/>
      <c r="H216" s="397"/>
      <c r="I216" s="383">
        <v>317000</v>
      </c>
      <c r="J216" s="398">
        <v>135361</v>
      </c>
      <c r="K216" s="399" t="s">
        <v>70</v>
      </c>
      <c r="L216" s="399" t="s">
        <v>34</v>
      </c>
      <c r="M216" s="399">
        <v>18.899999999999999</v>
      </c>
      <c r="N216" s="356">
        <v>317000</v>
      </c>
      <c r="O216" s="28" t="b">
        <f t="shared" si="17"/>
        <v>1</v>
      </c>
    </row>
    <row r="217" spans="2:15" s="28" customFormat="1" ht="16.5" customHeight="1">
      <c r="B217" s="20"/>
      <c r="C217" s="20"/>
      <c r="D217" s="254"/>
      <c r="E217" s="379">
        <v>135421</v>
      </c>
      <c r="F217" s="395" t="s">
        <v>500</v>
      </c>
      <c r="G217" s="396"/>
      <c r="H217" s="397"/>
      <c r="I217" s="383">
        <v>5049000</v>
      </c>
      <c r="J217" s="398">
        <v>135421</v>
      </c>
      <c r="K217" s="399" t="s">
        <v>71</v>
      </c>
      <c r="L217" s="399" t="s">
        <v>34</v>
      </c>
      <c r="M217" s="399">
        <v>208</v>
      </c>
      <c r="N217" s="356">
        <v>5049000</v>
      </c>
      <c r="O217" s="28" t="b">
        <f t="shared" si="17"/>
        <v>1</v>
      </c>
    </row>
    <row r="218" spans="2:15" s="28" customFormat="1" ht="16.5" customHeight="1">
      <c r="B218" s="20"/>
      <c r="C218" s="20"/>
      <c r="D218" s="254"/>
      <c r="E218" s="379">
        <v>135431</v>
      </c>
      <c r="F218" s="395" t="s">
        <v>501</v>
      </c>
      <c r="G218" s="396"/>
      <c r="H218" s="397"/>
      <c r="I218" s="383">
        <v>3873000</v>
      </c>
      <c r="J218" s="398">
        <v>135431</v>
      </c>
      <c r="K218" s="399" t="s">
        <v>71</v>
      </c>
      <c r="L218" s="399" t="s">
        <v>34</v>
      </c>
      <c r="M218" s="399">
        <v>177</v>
      </c>
      <c r="N218" s="356">
        <v>3873000</v>
      </c>
      <c r="O218" s="28" t="b">
        <f t="shared" ref="O218:O281" si="18">I218=N218</f>
        <v>1</v>
      </c>
    </row>
    <row r="219" spans="2:15" s="28" customFormat="1" ht="16.5" customHeight="1">
      <c r="B219" s="20"/>
      <c r="C219" s="20"/>
      <c r="D219" s="254"/>
      <c r="E219" s="379">
        <v>135432</v>
      </c>
      <c r="F219" s="395" t="s">
        <v>502</v>
      </c>
      <c r="G219" s="396"/>
      <c r="H219" s="397"/>
      <c r="I219" s="383">
        <v>3962000</v>
      </c>
      <c r="J219" s="398">
        <v>135432</v>
      </c>
      <c r="K219" s="399" t="s">
        <v>71</v>
      </c>
      <c r="L219" s="399" t="s">
        <v>34</v>
      </c>
      <c r="M219" s="399">
        <v>177</v>
      </c>
      <c r="N219" s="356">
        <v>3962000</v>
      </c>
      <c r="O219" s="28" t="b">
        <f t="shared" si="18"/>
        <v>1</v>
      </c>
    </row>
    <row r="220" spans="2:15" s="28" customFormat="1" ht="16.5" customHeight="1">
      <c r="B220" s="20"/>
      <c r="C220" s="20"/>
      <c r="D220" s="254"/>
      <c r="E220" s="379">
        <v>135437</v>
      </c>
      <c r="F220" s="395" t="s">
        <v>503</v>
      </c>
      <c r="G220" s="396"/>
      <c r="H220" s="397"/>
      <c r="I220" s="383">
        <v>3634000</v>
      </c>
      <c r="J220" s="398">
        <v>135437</v>
      </c>
      <c r="K220" s="399" t="s">
        <v>71</v>
      </c>
      <c r="L220" s="399" t="s">
        <v>34</v>
      </c>
      <c r="M220" s="399">
        <v>176.9</v>
      </c>
      <c r="N220" s="356">
        <v>3634000</v>
      </c>
      <c r="O220" s="28" t="b">
        <f t="shared" si="18"/>
        <v>1</v>
      </c>
    </row>
    <row r="221" spans="2:15" s="28" customFormat="1" ht="16.5" customHeight="1">
      <c r="B221" s="20"/>
      <c r="C221" s="20"/>
      <c r="D221" s="254"/>
      <c r="E221" s="379">
        <v>135439</v>
      </c>
      <c r="F221" s="395" t="s">
        <v>504</v>
      </c>
      <c r="G221" s="396"/>
      <c r="H221" s="397"/>
      <c r="I221" s="383">
        <v>4035000</v>
      </c>
      <c r="J221" s="398">
        <v>135439</v>
      </c>
      <c r="K221" s="399" t="s">
        <v>71</v>
      </c>
      <c r="L221" s="399" t="s">
        <v>34</v>
      </c>
      <c r="M221" s="399">
        <v>176.9</v>
      </c>
      <c r="N221" s="356">
        <v>4035000</v>
      </c>
      <c r="O221" s="28" t="b">
        <f t="shared" si="18"/>
        <v>1</v>
      </c>
    </row>
    <row r="222" spans="2:15" s="28" customFormat="1" ht="16.5" customHeight="1">
      <c r="B222" s="20"/>
      <c r="C222" s="20"/>
      <c r="D222" s="254"/>
      <c r="E222" s="379">
        <v>135440</v>
      </c>
      <c r="F222" s="395" t="s">
        <v>505</v>
      </c>
      <c r="G222" s="396"/>
      <c r="H222" s="397"/>
      <c r="I222" s="383">
        <v>2915000</v>
      </c>
      <c r="J222" s="398">
        <v>135440</v>
      </c>
      <c r="K222" s="399" t="s">
        <v>71</v>
      </c>
      <c r="L222" s="399" t="s">
        <v>34</v>
      </c>
      <c r="M222" s="399">
        <v>208</v>
      </c>
      <c r="N222" s="356">
        <v>2915000</v>
      </c>
      <c r="O222" s="28" t="b">
        <f t="shared" si="18"/>
        <v>1</v>
      </c>
    </row>
    <row r="223" spans="2:15" s="28" customFormat="1" ht="16.5" customHeight="1">
      <c r="B223" s="20"/>
      <c r="C223" s="20"/>
      <c r="D223" s="254"/>
      <c r="E223" s="379">
        <v>135444</v>
      </c>
      <c r="F223" s="395" t="s">
        <v>507</v>
      </c>
      <c r="G223" s="396"/>
      <c r="H223" s="397"/>
      <c r="I223" s="383">
        <v>4131000</v>
      </c>
      <c r="J223" s="399">
        <v>135444</v>
      </c>
      <c r="K223" s="399" t="s">
        <v>71</v>
      </c>
      <c r="L223" s="399" t="s">
        <v>34</v>
      </c>
      <c r="M223" s="399">
        <v>177</v>
      </c>
      <c r="N223" s="356">
        <v>4131000</v>
      </c>
      <c r="O223" s="28" t="b">
        <f t="shared" si="18"/>
        <v>1</v>
      </c>
    </row>
    <row r="224" spans="2:15" s="28" customFormat="1" ht="16.5" customHeight="1">
      <c r="B224" s="20"/>
      <c r="C224" s="20"/>
      <c r="D224" s="254"/>
      <c r="E224" s="379">
        <v>135448</v>
      </c>
      <c r="F224" s="395" t="s">
        <v>508</v>
      </c>
      <c r="G224" s="396"/>
      <c r="H224" s="397"/>
      <c r="I224" s="383">
        <v>3842000</v>
      </c>
      <c r="J224" s="398">
        <v>135448</v>
      </c>
      <c r="K224" s="399" t="s">
        <v>71</v>
      </c>
      <c r="L224" s="399" t="s">
        <v>34</v>
      </c>
      <c r="M224" s="399">
        <v>177</v>
      </c>
      <c r="N224" s="356">
        <v>3842000</v>
      </c>
      <c r="O224" s="28" t="b">
        <f t="shared" si="18"/>
        <v>1</v>
      </c>
    </row>
    <row r="225" spans="2:15" s="28" customFormat="1" ht="16.5" customHeight="1">
      <c r="B225" s="20"/>
      <c r="C225" s="20"/>
      <c r="D225" s="254"/>
      <c r="E225" s="379">
        <v>135449</v>
      </c>
      <c r="F225" s="395" t="s">
        <v>300</v>
      </c>
      <c r="G225" s="396"/>
      <c r="H225" s="397"/>
      <c r="I225" s="383"/>
      <c r="J225" s="398">
        <v>135449</v>
      </c>
      <c r="K225" s="399" t="s">
        <v>73</v>
      </c>
      <c r="L225" s="399" t="s">
        <v>34</v>
      </c>
      <c r="M225" s="399">
        <v>21.1</v>
      </c>
      <c r="N225" s="356" t="e">
        <v>#N/A</v>
      </c>
      <c r="O225" s="28" t="e">
        <f t="shared" si="18"/>
        <v>#N/A</v>
      </c>
    </row>
    <row r="226" spans="2:15" s="28" customFormat="1" ht="16.5" customHeight="1">
      <c r="B226" s="20"/>
      <c r="C226" s="20"/>
      <c r="D226" s="254"/>
      <c r="E226" s="379">
        <v>135451</v>
      </c>
      <c r="F226" s="395" t="s">
        <v>509</v>
      </c>
      <c r="G226" s="396"/>
      <c r="H226" s="397"/>
      <c r="I226" s="383">
        <v>3847000</v>
      </c>
      <c r="J226" s="398">
        <v>135451</v>
      </c>
      <c r="K226" s="399" t="s">
        <v>71</v>
      </c>
      <c r="L226" s="399" t="s">
        <v>34</v>
      </c>
      <c r="M226" s="399">
        <v>177</v>
      </c>
      <c r="N226" s="356">
        <v>3847000</v>
      </c>
      <c r="O226" s="28" t="b">
        <f t="shared" si="18"/>
        <v>1</v>
      </c>
    </row>
    <row r="227" spans="2:15" s="28" customFormat="1" ht="16.5" customHeight="1">
      <c r="B227" s="20"/>
      <c r="C227" s="20"/>
      <c r="D227" s="254"/>
      <c r="E227" s="379">
        <v>135452</v>
      </c>
      <c r="F227" s="395" t="s">
        <v>510</v>
      </c>
      <c r="G227" s="396"/>
      <c r="H227" s="397"/>
      <c r="I227" s="383">
        <v>2586000</v>
      </c>
      <c r="J227" s="398">
        <v>135452</v>
      </c>
      <c r="K227" s="399" t="s">
        <v>71</v>
      </c>
      <c r="L227" s="399" t="s">
        <v>34</v>
      </c>
      <c r="M227" s="399">
        <v>208</v>
      </c>
      <c r="N227" s="356">
        <v>2586000</v>
      </c>
      <c r="O227" s="28" t="b">
        <f t="shared" si="18"/>
        <v>1</v>
      </c>
    </row>
    <row r="228" spans="2:15" s="28" customFormat="1" ht="16.5" customHeight="1">
      <c r="B228" s="20"/>
      <c r="C228" s="20"/>
      <c r="D228" s="254"/>
      <c r="E228" s="379">
        <v>135453</v>
      </c>
      <c r="F228" s="395" t="s">
        <v>301</v>
      </c>
      <c r="G228" s="396"/>
      <c r="H228" s="397"/>
      <c r="I228" s="383">
        <v>262000</v>
      </c>
      <c r="J228" s="398">
        <v>135453</v>
      </c>
      <c r="K228" s="399" t="s">
        <v>70</v>
      </c>
      <c r="L228" s="399" t="s">
        <v>34</v>
      </c>
      <c r="M228" s="399">
        <v>18.899999999999999</v>
      </c>
      <c r="N228" s="356">
        <v>262000</v>
      </c>
      <c r="O228" s="28" t="b">
        <f t="shared" si="18"/>
        <v>1</v>
      </c>
    </row>
    <row r="229" spans="2:15" s="28" customFormat="1" ht="16.5" customHeight="1">
      <c r="B229" s="20"/>
      <c r="C229" s="20"/>
      <c r="D229" s="254"/>
      <c r="E229" s="379">
        <v>135454</v>
      </c>
      <c r="F229" s="395" t="s">
        <v>511</v>
      </c>
      <c r="G229" s="396"/>
      <c r="H229" s="397"/>
      <c r="I229" s="383">
        <v>2602000</v>
      </c>
      <c r="J229" s="398">
        <v>135454</v>
      </c>
      <c r="K229" s="399" t="s">
        <v>71</v>
      </c>
      <c r="L229" s="399" t="s">
        <v>34</v>
      </c>
      <c r="M229" s="399">
        <v>208</v>
      </c>
      <c r="N229" s="356">
        <v>2602000</v>
      </c>
      <c r="O229" s="28" t="b">
        <f t="shared" si="18"/>
        <v>1</v>
      </c>
    </row>
    <row r="230" spans="2:15" s="28" customFormat="1" ht="16.5" customHeight="1">
      <c r="B230" s="20"/>
      <c r="C230" s="20"/>
      <c r="D230" s="254"/>
      <c r="E230" s="379">
        <v>135455</v>
      </c>
      <c r="F230" s="395" t="s">
        <v>302</v>
      </c>
      <c r="G230" s="396"/>
      <c r="H230" s="397"/>
      <c r="I230" s="383">
        <v>282000</v>
      </c>
      <c r="J230" s="398">
        <v>135455</v>
      </c>
      <c r="K230" s="399" t="s">
        <v>70</v>
      </c>
      <c r="L230" s="399" t="s">
        <v>34</v>
      </c>
      <c r="M230" s="399">
        <v>18.899999999999999</v>
      </c>
      <c r="N230" s="356">
        <v>282000</v>
      </c>
      <c r="O230" s="28" t="b">
        <f t="shared" si="18"/>
        <v>1</v>
      </c>
    </row>
    <row r="231" spans="2:15" s="28" customFormat="1" ht="16.5" customHeight="1">
      <c r="B231" s="20"/>
      <c r="C231" s="20"/>
      <c r="D231" s="254"/>
      <c r="E231" s="379">
        <v>135456</v>
      </c>
      <c r="F231" s="395" t="s">
        <v>512</v>
      </c>
      <c r="G231" s="396"/>
      <c r="H231" s="397"/>
      <c r="I231" s="383">
        <v>2995000</v>
      </c>
      <c r="J231" s="398">
        <v>135456</v>
      </c>
      <c r="K231" s="399" t="s">
        <v>71</v>
      </c>
      <c r="L231" s="399" t="s">
        <v>34</v>
      </c>
      <c r="M231" s="399">
        <v>208</v>
      </c>
      <c r="N231" s="356">
        <v>2995000</v>
      </c>
      <c r="O231" s="28" t="b">
        <f t="shared" si="18"/>
        <v>1</v>
      </c>
    </row>
    <row r="232" spans="2:15" s="28" customFormat="1" ht="16.5" customHeight="1">
      <c r="B232" s="20"/>
      <c r="C232" s="20"/>
      <c r="D232" s="254"/>
      <c r="E232" s="379">
        <v>135457</v>
      </c>
      <c r="F232" s="395" t="s">
        <v>303</v>
      </c>
      <c r="G232" s="396"/>
      <c r="H232" s="397"/>
      <c r="I232" s="383">
        <v>287000</v>
      </c>
      <c r="J232" s="398">
        <v>135457</v>
      </c>
      <c r="K232" s="399" t="s">
        <v>70</v>
      </c>
      <c r="L232" s="399" t="s">
        <v>34</v>
      </c>
      <c r="M232" s="399">
        <v>18.899999999999999</v>
      </c>
      <c r="N232" s="356">
        <v>287000</v>
      </c>
      <c r="O232" s="28" t="b">
        <f t="shared" si="18"/>
        <v>1</v>
      </c>
    </row>
    <row r="233" spans="2:15" s="28" customFormat="1" ht="16.5" customHeight="1">
      <c r="B233" s="20"/>
      <c r="C233" s="20"/>
      <c r="D233" s="254"/>
      <c r="E233" s="379">
        <v>135458</v>
      </c>
      <c r="F233" s="395" t="s">
        <v>420</v>
      </c>
      <c r="G233" s="396"/>
      <c r="H233" s="397"/>
      <c r="I233" s="383">
        <v>2763000</v>
      </c>
      <c r="J233" s="398">
        <v>135458</v>
      </c>
      <c r="K233" s="399" t="s">
        <v>71</v>
      </c>
      <c r="L233" s="399" t="s">
        <v>34</v>
      </c>
      <c r="M233" s="399">
        <v>208</v>
      </c>
      <c r="N233" s="356">
        <v>2763000</v>
      </c>
      <c r="O233" s="28" t="b">
        <f t="shared" si="18"/>
        <v>1</v>
      </c>
    </row>
    <row r="234" spans="2:15" s="28" customFormat="1" ht="16.5" customHeight="1">
      <c r="B234" s="20"/>
      <c r="C234" s="20"/>
      <c r="D234" s="254"/>
      <c r="E234" s="379">
        <v>135460</v>
      </c>
      <c r="F234" s="395" t="s">
        <v>304</v>
      </c>
      <c r="G234" s="396"/>
      <c r="H234" s="397"/>
      <c r="I234" s="383">
        <v>337000</v>
      </c>
      <c r="J234" s="398">
        <v>135460</v>
      </c>
      <c r="K234" s="399" t="s">
        <v>70</v>
      </c>
      <c r="L234" s="399" t="s">
        <v>34</v>
      </c>
      <c r="M234" s="399">
        <v>18.899999999999999</v>
      </c>
      <c r="N234" s="356">
        <v>337000</v>
      </c>
      <c r="O234" s="28" t="b">
        <f t="shared" si="18"/>
        <v>1</v>
      </c>
    </row>
    <row r="235" spans="2:15" s="28" customFormat="1" ht="16.5" customHeight="1">
      <c r="B235" s="20"/>
      <c r="C235" s="20"/>
      <c r="D235" s="254"/>
      <c r="E235" s="379">
        <v>135461</v>
      </c>
      <c r="F235" s="395" t="s">
        <v>513</v>
      </c>
      <c r="G235" s="396"/>
      <c r="H235" s="397"/>
      <c r="I235" s="383">
        <v>3255000</v>
      </c>
      <c r="J235" s="398">
        <v>135461</v>
      </c>
      <c r="K235" s="399" t="s">
        <v>71</v>
      </c>
      <c r="L235" s="399" t="s">
        <v>34</v>
      </c>
      <c r="M235" s="399">
        <v>208</v>
      </c>
      <c r="N235" s="356">
        <v>3255000</v>
      </c>
      <c r="O235" s="28" t="b">
        <f t="shared" si="18"/>
        <v>1</v>
      </c>
    </row>
    <row r="236" spans="2:15" s="28" customFormat="1" ht="16.5" customHeight="1">
      <c r="B236" s="20"/>
      <c r="C236" s="20"/>
      <c r="D236" s="254"/>
      <c r="E236" s="379">
        <v>135462</v>
      </c>
      <c r="F236" s="395" t="s">
        <v>305</v>
      </c>
      <c r="G236" s="396"/>
      <c r="H236" s="397"/>
      <c r="I236" s="383">
        <v>351000</v>
      </c>
      <c r="J236" s="398">
        <v>135462</v>
      </c>
      <c r="K236" s="399" t="s">
        <v>70</v>
      </c>
      <c r="L236" s="399" t="s">
        <v>34</v>
      </c>
      <c r="M236" s="399">
        <v>18.899999999999999</v>
      </c>
      <c r="N236" s="356">
        <v>351000</v>
      </c>
      <c r="O236" s="28" t="b">
        <f t="shared" si="18"/>
        <v>1</v>
      </c>
    </row>
    <row r="237" spans="2:15" s="28" customFormat="1" ht="16.5" customHeight="1">
      <c r="B237" s="20"/>
      <c r="C237" s="20"/>
      <c r="D237" s="254"/>
      <c r="E237" s="379">
        <v>135463</v>
      </c>
      <c r="F237" s="395" t="s">
        <v>514</v>
      </c>
      <c r="G237" s="396"/>
      <c r="H237" s="397"/>
      <c r="I237" s="383">
        <v>3383000</v>
      </c>
      <c r="J237" s="398">
        <v>135463</v>
      </c>
      <c r="K237" s="399" t="s">
        <v>71</v>
      </c>
      <c r="L237" s="399" t="s">
        <v>34</v>
      </c>
      <c r="M237" s="399">
        <v>208</v>
      </c>
      <c r="N237" s="356">
        <v>3383000</v>
      </c>
      <c r="O237" s="28" t="b">
        <f t="shared" si="18"/>
        <v>1</v>
      </c>
    </row>
    <row r="238" spans="2:15" s="28" customFormat="1" ht="16.5" customHeight="1">
      <c r="B238" s="20"/>
      <c r="C238" s="20"/>
      <c r="D238" s="254"/>
      <c r="E238" s="379">
        <v>135464</v>
      </c>
      <c r="F238" s="395" t="s">
        <v>306</v>
      </c>
      <c r="G238" s="396"/>
      <c r="H238" s="397"/>
      <c r="I238" s="383">
        <v>364000</v>
      </c>
      <c r="J238" s="398">
        <v>135464</v>
      </c>
      <c r="K238" s="399" t="s">
        <v>70</v>
      </c>
      <c r="L238" s="399" t="s">
        <v>34</v>
      </c>
      <c r="M238" s="399">
        <v>18.899999999999999</v>
      </c>
      <c r="N238" s="356">
        <v>364000</v>
      </c>
      <c r="O238" s="28" t="b">
        <f t="shared" si="18"/>
        <v>1</v>
      </c>
    </row>
    <row r="239" spans="2:15" s="28" customFormat="1" ht="16.5" customHeight="1">
      <c r="B239" s="20"/>
      <c r="C239" s="20"/>
      <c r="D239" s="254"/>
      <c r="E239" s="379">
        <v>135488</v>
      </c>
      <c r="F239" s="395" t="s">
        <v>240</v>
      </c>
      <c r="G239" s="396"/>
      <c r="H239" s="397"/>
      <c r="I239" s="383">
        <v>47600</v>
      </c>
      <c r="J239" s="398">
        <v>135488</v>
      </c>
      <c r="K239" s="399" t="s">
        <v>70</v>
      </c>
      <c r="L239" s="399" t="s">
        <v>34</v>
      </c>
      <c r="M239" s="399">
        <v>20</v>
      </c>
      <c r="N239" s="356">
        <v>47600</v>
      </c>
      <c r="O239" s="28" t="b">
        <f t="shared" si="18"/>
        <v>1</v>
      </c>
    </row>
    <row r="240" spans="2:15" s="28" customFormat="1" ht="16.5" customHeight="1">
      <c r="B240" s="20"/>
      <c r="C240" s="20"/>
      <c r="D240" s="254"/>
      <c r="E240" s="379">
        <v>148688</v>
      </c>
      <c r="F240" s="395" t="s">
        <v>307</v>
      </c>
      <c r="G240" s="396"/>
      <c r="H240" s="397"/>
      <c r="I240" s="383">
        <v>69500</v>
      </c>
      <c r="J240" s="398">
        <v>148688</v>
      </c>
      <c r="K240" s="399" t="s">
        <v>70</v>
      </c>
      <c r="L240" s="399" t="s">
        <v>34</v>
      </c>
      <c r="M240" s="399">
        <v>20</v>
      </c>
      <c r="N240" s="356">
        <v>69500</v>
      </c>
      <c r="O240" s="28" t="b">
        <f t="shared" si="18"/>
        <v>1</v>
      </c>
    </row>
    <row r="241" spans="2:15" s="28" customFormat="1" ht="16.5" customHeight="1">
      <c r="B241" s="20"/>
      <c r="C241" s="20"/>
      <c r="D241" s="254"/>
      <c r="E241" s="379">
        <v>135627</v>
      </c>
      <c r="F241" s="395" t="s">
        <v>36</v>
      </c>
      <c r="G241" s="396"/>
      <c r="H241" s="397"/>
      <c r="I241" s="383">
        <v>4915000</v>
      </c>
      <c r="J241" s="398">
        <v>135627</v>
      </c>
      <c r="K241" s="399" t="s">
        <v>71</v>
      </c>
      <c r="L241" s="399" t="s">
        <v>34</v>
      </c>
      <c r="M241" s="399">
        <v>175</v>
      </c>
      <c r="N241" s="356">
        <v>4915000</v>
      </c>
      <c r="O241" s="28" t="b">
        <f t="shared" si="18"/>
        <v>1</v>
      </c>
    </row>
    <row r="242" spans="2:15" s="28" customFormat="1" ht="16.5" customHeight="1">
      <c r="B242" s="20"/>
      <c r="C242" s="20"/>
      <c r="D242" s="254"/>
      <c r="E242" s="379">
        <v>135836</v>
      </c>
      <c r="F242" s="395" t="s">
        <v>66</v>
      </c>
      <c r="G242" s="396"/>
      <c r="H242" s="397"/>
      <c r="I242" s="383">
        <v>3321000</v>
      </c>
      <c r="J242" s="398">
        <v>135836</v>
      </c>
      <c r="K242" s="399" t="s">
        <v>71</v>
      </c>
      <c r="L242" s="399" t="s">
        <v>34</v>
      </c>
      <c r="M242" s="399">
        <v>208</v>
      </c>
      <c r="N242" s="356">
        <v>3321000</v>
      </c>
      <c r="O242" s="28" t="b">
        <f t="shared" si="18"/>
        <v>1</v>
      </c>
    </row>
    <row r="243" spans="2:15" s="28" customFormat="1" ht="16.5" customHeight="1">
      <c r="B243" s="20"/>
      <c r="C243" s="20"/>
      <c r="D243" s="254"/>
      <c r="E243" s="379">
        <v>135877</v>
      </c>
      <c r="F243" s="395" t="s">
        <v>308</v>
      </c>
      <c r="G243" s="396"/>
      <c r="H243" s="397"/>
      <c r="I243" s="383">
        <v>474000</v>
      </c>
      <c r="J243" s="398">
        <v>135877</v>
      </c>
      <c r="K243" s="399" t="s">
        <v>70</v>
      </c>
      <c r="L243" s="399" t="s">
        <v>34</v>
      </c>
      <c r="M243" s="399">
        <v>20</v>
      </c>
      <c r="N243" s="356">
        <v>474000</v>
      </c>
      <c r="O243" s="28" t="b">
        <f t="shared" si="18"/>
        <v>1</v>
      </c>
    </row>
    <row r="244" spans="2:15" s="28" customFormat="1" ht="16.5" customHeight="1">
      <c r="B244" s="20"/>
      <c r="C244" s="20"/>
      <c r="D244" s="254"/>
      <c r="E244" s="379">
        <v>135916</v>
      </c>
      <c r="F244" s="395" t="s">
        <v>516</v>
      </c>
      <c r="G244" s="396"/>
      <c r="H244" s="397"/>
      <c r="I244" s="383">
        <v>547000</v>
      </c>
      <c r="J244" s="398">
        <v>135916</v>
      </c>
      <c r="K244" s="399" t="s">
        <v>71</v>
      </c>
      <c r="L244" s="399" t="s">
        <v>34</v>
      </c>
      <c r="M244" s="399">
        <v>200</v>
      </c>
      <c r="N244" s="356">
        <v>547000</v>
      </c>
      <c r="O244" s="28" t="b">
        <f t="shared" si="18"/>
        <v>1</v>
      </c>
    </row>
    <row r="245" spans="2:15" s="28" customFormat="1" ht="16.5" customHeight="1">
      <c r="B245" s="20"/>
      <c r="C245" s="20"/>
      <c r="D245" s="254"/>
      <c r="E245" s="379">
        <v>148680</v>
      </c>
      <c r="F245" s="395" t="s">
        <v>45</v>
      </c>
      <c r="G245" s="396"/>
      <c r="H245" s="397"/>
      <c r="I245" s="383">
        <v>850000</v>
      </c>
      <c r="J245" s="398">
        <v>148680</v>
      </c>
      <c r="K245" s="399" t="s">
        <v>71</v>
      </c>
      <c r="L245" s="399" t="s">
        <v>34</v>
      </c>
      <c r="M245" s="399">
        <v>208</v>
      </c>
      <c r="N245" s="356">
        <v>850000</v>
      </c>
      <c r="O245" s="28" t="b">
        <f t="shared" si="18"/>
        <v>1</v>
      </c>
    </row>
    <row r="246" spans="2:15" s="28" customFormat="1" ht="16.5" customHeight="1">
      <c r="B246" s="20"/>
      <c r="C246" s="20"/>
      <c r="D246" s="254"/>
      <c r="E246" s="379">
        <v>135934</v>
      </c>
      <c r="F246" s="395" t="s">
        <v>309</v>
      </c>
      <c r="G246" s="396"/>
      <c r="H246" s="397"/>
      <c r="I246" s="383">
        <v>183000</v>
      </c>
      <c r="J246" s="398">
        <v>135934</v>
      </c>
      <c r="K246" s="399" t="s">
        <v>70</v>
      </c>
      <c r="L246" s="399" t="s">
        <v>34</v>
      </c>
      <c r="M246" s="399">
        <v>16</v>
      </c>
      <c r="N246" s="356">
        <v>183000</v>
      </c>
      <c r="O246" s="28" t="b">
        <f t="shared" si="18"/>
        <v>1</v>
      </c>
    </row>
    <row r="247" spans="2:15" s="28" customFormat="1" ht="16.5" customHeight="1">
      <c r="B247" s="20"/>
      <c r="C247" s="20"/>
      <c r="D247" s="254"/>
      <c r="E247" s="379">
        <v>135935</v>
      </c>
      <c r="F247" s="395" t="s">
        <v>517</v>
      </c>
      <c r="G247" s="401"/>
      <c r="H247" s="402"/>
      <c r="I247" s="383">
        <v>1871000</v>
      </c>
      <c r="J247" s="398">
        <v>135935</v>
      </c>
      <c r="K247" s="399" t="s">
        <v>71</v>
      </c>
      <c r="L247" s="399" t="s">
        <v>34</v>
      </c>
      <c r="M247" s="399">
        <v>180</v>
      </c>
      <c r="N247" s="356">
        <v>1871000</v>
      </c>
      <c r="O247" s="28" t="b">
        <f t="shared" si="18"/>
        <v>1</v>
      </c>
    </row>
    <row r="248" spans="2:15" s="28" customFormat="1" ht="16.5" customHeight="1">
      <c r="B248" s="20"/>
      <c r="C248" s="20"/>
      <c r="D248" s="254"/>
      <c r="E248" s="379">
        <v>148676</v>
      </c>
      <c r="F248" s="395" t="s">
        <v>520</v>
      </c>
      <c r="G248" s="396"/>
      <c r="H248" s="397"/>
      <c r="I248" s="383">
        <v>645000</v>
      </c>
      <c r="J248" s="398">
        <v>148676</v>
      </c>
      <c r="K248" s="399" t="s">
        <v>71</v>
      </c>
      <c r="L248" s="399" t="s">
        <v>34</v>
      </c>
      <c r="M248" s="399">
        <v>208</v>
      </c>
      <c r="N248" s="356">
        <v>645000</v>
      </c>
      <c r="O248" s="28" t="b">
        <f t="shared" si="18"/>
        <v>1</v>
      </c>
    </row>
    <row r="249" spans="2:15" s="28" customFormat="1" ht="16.5" customHeight="1">
      <c r="B249" s="20"/>
      <c r="C249" s="20"/>
      <c r="D249" s="254"/>
      <c r="E249" s="379">
        <v>136130</v>
      </c>
      <c r="F249" s="395" t="s">
        <v>311</v>
      </c>
      <c r="G249" s="396"/>
      <c r="H249" s="397"/>
      <c r="I249" s="383">
        <v>198000</v>
      </c>
      <c r="J249" s="398">
        <v>136130</v>
      </c>
      <c r="K249" s="399" t="s">
        <v>70</v>
      </c>
      <c r="L249" s="399" t="s">
        <v>34</v>
      </c>
      <c r="M249" s="399">
        <v>16</v>
      </c>
      <c r="N249" s="356">
        <v>198000</v>
      </c>
      <c r="O249" s="28" t="b">
        <f t="shared" si="18"/>
        <v>1</v>
      </c>
    </row>
    <row r="250" spans="2:15" s="28" customFormat="1" ht="16.5" customHeight="1">
      <c r="B250" s="20"/>
      <c r="C250" s="20"/>
      <c r="D250" s="254"/>
      <c r="E250" s="379">
        <v>136131</v>
      </c>
      <c r="F250" s="395" t="s">
        <v>521</v>
      </c>
      <c r="G250" s="396"/>
      <c r="H250" s="397"/>
      <c r="I250" s="383">
        <v>2166000</v>
      </c>
      <c r="J250" s="398">
        <v>136131</v>
      </c>
      <c r="K250" s="399" t="s">
        <v>71</v>
      </c>
      <c r="L250" s="399" t="s">
        <v>34</v>
      </c>
      <c r="M250" s="399">
        <v>180</v>
      </c>
      <c r="N250" s="356">
        <v>2166000</v>
      </c>
      <c r="O250" s="28" t="b">
        <f t="shared" si="18"/>
        <v>1</v>
      </c>
    </row>
    <row r="251" spans="2:15" s="28" customFormat="1" ht="16.5" customHeight="1">
      <c r="B251" s="20"/>
      <c r="C251" s="20"/>
      <c r="D251" s="254"/>
      <c r="E251" s="379">
        <v>136132</v>
      </c>
      <c r="F251" s="395" t="s">
        <v>312</v>
      </c>
      <c r="G251" s="396"/>
      <c r="H251" s="397"/>
      <c r="I251" s="383">
        <v>198000</v>
      </c>
      <c r="J251" s="398">
        <v>136132</v>
      </c>
      <c r="K251" s="399" t="s">
        <v>70</v>
      </c>
      <c r="L251" s="399" t="s">
        <v>34</v>
      </c>
      <c r="M251" s="399">
        <v>16</v>
      </c>
      <c r="N251" s="356">
        <v>198000</v>
      </c>
      <c r="O251" s="28" t="b">
        <f t="shared" si="18"/>
        <v>1</v>
      </c>
    </row>
    <row r="252" spans="2:15" s="28" customFormat="1" ht="16.5" customHeight="1">
      <c r="B252" s="20"/>
      <c r="C252" s="20"/>
      <c r="D252" s="254"/>
      <c r="E252" s="379">
        <v>136133</v>
      </c>
      <c r="F252" s="395" t="s">
        <v>522</v>
      </c>
      <c r="G252" s="396"/>
      <c r="H252" s="397"/>
      <c r="I252" s="383">
        <v>2222000</v>
      </c>
      <c r="J252" s="398">
        <v>136133</v>
      </c>
      <c r="K252" s="399" t="s">
        <v>71</v>
      </c>
      <c r="L252" s="399" t="s">
        <v>34</v>
      </c>
      <c r="M252" s="399">
        <v>180</v>
      </c>
      <c r="N252" s="356">
        <v>2222000</v>
      </c>
      <c r="O252" s="28" t="b">
        <f t="shared" si="18"/>
        <v>1</v>
      </c>
    </row>
    <row r="253" spans="2:15" s="28" customFormat="1" ht="16.5" customHeight="1">
      <c r="B253" s="20"/>
      <c r="C253" s="20"/>
      <c r="D253" s="254"/>
      <c r="E253" s="379">
        <v>136141</v>
      </c>
      <c r="F253" s="395" t="s">
        <v>523</v>
      </c>
      <c r="G253" s="396"/>
      <c r="H253" s="397"/>
      <c r="I253" s="383">
        <v>3527000</v>
      </c>
      <c r="J253" s="398">
        <v>136141</v>
      </c>
      <c r="K253" s="399" t="s">
        <v>71</v>
      </c>
      <c r="L253" s="399" t="s">
        <v>34</v>
      </c>
      <c r="M253" s="399">
        <v>181</v>
      </c>
      <c r="N253" s="356">
        <v>3527000</v>
      </c>
      <c r="O253" s="28" t="b">
        <f t="shared" si="18"/>
        <v>1</v>
      </c>
    </row>
    <row r="254" spans="2:15" s="28" customFormat="1" ht="16.5" customHeight="1">
      <c r="B254" s="20"/>
      <c r="C254" s="20"/>
      <c r="D254" s="254"/>
      <c r="E254" s="379">
        <v>136159</v>
      </c>
      <c r="F254" s="395" t="s">
        <v>525</v>
      </c>
      <c r="G254" s="396"/>
      <c r="H254" s="397"/>
      <c r="I254" s="383">
        <v>4607000</v>
      </c>
      <c r="J254" s="398">
        <v>136159</v>
      </c>
      <c r="K254" s="399" t="s">
        <v>71</v>
      </c>
      <c r="L254" s="399" t="s">
        <v>34</v>
      </c>
      <c r="M254" s="399">
        <v>208</v>
      </c>
      <c r="N254" s="356">
        <v>4607000</v>
      </c>
      <c r="O254" s="28" t="b">
        <f t="shared" si="18"/>
        <v>1</v>
      </c>
    </row>
    <row r="255" spans="2:15" s="28" customFormat="1" ht="16.5" customHeight="1">
      <c r="B255" s="20"/>
      <c r="C255" s="20"/>
      <c r="D255" s="254"/>
      <c r="E255" s="379">
        <v>136174</v>
      </c>
      <c r="F255" s="395" t="s">
        <v>526</v>
      </c>
      <c r="G255" s="396"/>
      <c r="H255" s="397"/>
      <c r="I255" s="383">
        <v>630000</v>
      </c>
      <c r="J255" s="398">
        <v>136174</v>
      </c>
      <c r="K255" s="399" t="s">
        <v>71</v>
      </c>
      <c r="L255" s="399" t="s">
        <v>34</v>
      </c>
      <c r="M255" s="399">
        <v>200</v>
      </c>
      <c r="N255" s="356">
        <v>630000</v>
      </c>
      <c r="O255" s="28" t="b">
        <f t="shared" si="18"/>
        <v>1</v>
      </c>
    </row>
    <row r="256" spans="2:15" s="28" customFormat="1" ht="16.5" customHeight="1">
      <c r="B256" s="20"/>
      <c r="C256" s="20"/>
      <c r="D256" s="254"/>
      <c r="E256" s="379">
        <v>136235</v>
      </c>
      <c r="F256" s="395" t="s">
        <v>739</v>
      </c>
      <c r="G256" s="396"/>
      <c r="H256" s="397"/>
      <c r="I256" s="383">
        <v>858000</v>
      </c>
      <c r="J256" s="398">
        <v>136235</v>
      </c>
      <c r="K256" s="399" t="s">
        <v>71</v>
      </c>
      <c r="L256" s="399" t="s">
        <v>34</v>
      </c>
      <c r="M256" s="399">
        <v>208</v>
      </c>
      <c r="N256" s="356">
        <v>858000</v>
      </c>
      <c r="O256" s="28" t="b">
        <f t="shared" si="18"/>
        <v>1</v>
      </c>
    </row>
    <row r="257" spans="2:15" s="28" customFormat="1" ht="16.5" customHeight="1">
      <c r="B257" s="20"/>
      <c r="C257" s="20"/>
      <c r="D257" s="254"/>
      <c r="E257" s="379">
        <v>148678</v>
      </c>
      <c r="F257" s="395" t="s">
        <v>527</v>
      </c>
      <c r="G257" s="396"/>
      <c r="H257" s="397"/>
      <c r="I257" s="383">
        <v>645000</v>
      </c>
      <c r="J257" s="398">
        <v>148678</v>
      </c>
      <c r="K257" s="399" t="s">
        <v>71</v>
      </c>
      <c r="L257" s="399" t="s">
        <v>34</v>
      </c>
      <c r="M257" s="399">
        <v>208</v>
      </c>
      <c r="N257" s="356">
        <v>645000</v>
      </c>
      <c r="O257" s="28" t="b">
        <f t="shared" si="18"/>
        <v>1</v>
      </c>
    </row>
    <row r="258" spans="2:15" s="28" customFormat="1" ht="16.5" customHeight="1">
      <c r="B258" s="20"/>
      <c r="C258" s="20"/>
      <c r="D258" s="254"/>
      <c r="E258" s="379">
        <v>143561</v>
      </c>
      <c r="F258" s="395" t="s">
        <v>558</v>
      </c>
      <c r="G258" s="396"/>
      <c r="H258" s="397"/>
      <c r="I258" s="383">
        <v>728000</v>
      </c>
      <c r="J258" s="398">
        <v>138959</v>
      </c>
      <c r="K258" s="399" t="s">
        <v>71</v>
      </c>
      <c r="L258" s="399" t="s">
        <v>34</v>
      </c>
      <c r="M258" s="399">
        <v>200</v>
      </c>
      <c r="N258" s="356">
        <v>728000</v>
      </c>
      <c r="O258" s="28" t="b">
        <f t="shared" si="18"/>
        <v>1</v>
      </c>
    </row>
    <row r="259" spans="2:15" s="28" customFormat="1" ht="16.5" customHeight="1">
      <c r="B259" s="20"/>
      <c r="C259" s="20"/>
      <c r="D259" s="254"/>
      <c r="E259" s="379">
        <v>143560</v>
      </c>
      <c r="F259" s="395" t="s">
        <v>559</v>
      </c>
      <c r="G259" s="396"/>
      <c r="H259" s="397"/>
      <c r="I259" s="383">
        <v>728000</v>
      </c>
      <c r="J259" s="398">
        <v>138960</v>
      </c>
      <c r="K259" s="399" t="s">
        <v>71</v>
      </c>
      <c r="L259" s="399" t="s">
        <v>34</v>
      </c>
      <c r="M259" s="399">
        <v>200</v>
      </c>
      <c r="N259" s="356">
        <v>728000</v>
      </c>
      <c r="O259" s="28" t="b">
        <f t="shared" si="18"/>
        <v>1</v>
      </c>
    </row>
    <row r="260" spans="2:15" s="28" customFormat="1" ht="16.5" customHeight="1">
      <c r="B260" s="20"/>
      <c r="C260" s="20"/>
      <c r="D260" s="254"/>
      <c r="E260" s="379">
        <v>141666</v>
      </c>
      <c r="F260" s="395" t="s">
        <v>560</v>
      </c>
      <c r="G260" s="396"/>
      <c r="H260" s="397"/>
      <c r="I260" s="383">
        <v>755000</v>
      </c>
      <c r="J260" s="398">
        <v>138961</v>
      </c>
      <c r="K260" s="399" t="s">
        <v>71</v>
      </c>
      <c r="L260" s="399" t="s">
        <v>34</v>
      </c>
      <c r="M260" s="399">
        <v>200</v>
      </c>
      <c r="N260" s="356">
        <v>755000</v>
      </c>
      <c r="O260" s="28" t="b">
        <f t="shared" si="18"/>
        <v>1</v>
      </c>
    </row>
    <row r="261" spans="2:15" s="28" customFormat="1" ht="16.5" customHeight="1">
      <c r="B261" s="20"/>
      <c r="C261" s="20"/>
      <c r="D261" s="254"/>
      <c r="E261" s="379">
        <v>138963</v>
      </c>
      <c r="F261" s="395" t="s">
        <v>562</v>
      </c>
      <c r="G261" s="396"/>
      <c r="H261" s="397"/>
      <c r="I261" s="383">
        <v>755000</v>
      </c>
      <c r="J261" s="398">
        <v>138963</v>
      </c>
      <c r="K261" s="399" t="s">
        <v>71</v>
      </c>
      <c r="L261" s="399" t="s">
        <v>34</v>
      </c>
      <c r="M261" s="399">
        <v>200</v>
      </c>
      <c r="N261" s="356">
        <v>755000</v>
      </c>
      <c r="O261" s="28" t="b">
        <f t="shared" si="18"/>
        <v>1</v>
      </c>
    </row>
    <row r="262" spans="2:15" s="28" customFormat="1" ht="16.5" customHeight="1">
      <c r="B262" s="20"/>
      <c r="C262" s="20"/>
      <c r="D262" s="254"/>
      <c r="E262" s="379">
        <v>138964</v>
      </c>
      <c r="F262" s="395" t="s">
        <v>315</v>
      </c>
      <c r="G262" s="396"/>
      <c r="H262" s="397"/>
      <c r="I262" s="383">
        <v>79600</v>
      </c>
      <c r="J262" s="398">
        <v>138964</v>
      </c>
      <c r="K262" s="399" t="s">
        <v>70</v>
      </c>
      <c r="L262" s="399" t="s">
        <v>34</v>
      </c>
      <c r="M262" s="399">
        <v>20</v>
      </c>
      <c r="N262" s="356">
        <v>79600</v>
      </c>
      <c r="O262" s="28" t="b">
        <f t="shared" si="18"/>
        <v>1</v>
      </c>
    </row>
    <row r="263" spans="2:15" s="28" customFormat="1" ht="16.5" customHeight="1">
      <c r="B263" s="20"/>
      <c r="C263" s="20"/>
      <c r="D263" s="254"/>
      <c r="E263" s="379">
        <v>136234</v>
      </c>
      <c r="F263" s="395" t="s">
        <v>316</v>
      </c>
      <c r="G263" s="396"/>
      <c r="H263" s="397"/>
      <c r="I263" s="383">
        <v>94600</v>
      </c>
      <c r="J263" s="398">
        <v>138980</v>
      </c>
      <c r="K263" s="399" t="s">
        <v>70</v>
      </c>
      <c r="L263" s="399" t="s">
        <v>34</v>
      </c>
      <c r="M263" s="399">
        <v>20</v>
      </c>
      <c r="N263" s="356">
        <v>94600</v>
      </c>
      <c r="O263" s="28" t="b">
        <f t="shared" si="18"/>
        <v>1</v>
      </c>
    </row>
    <row r="264" spans="2:15" s="28" customFormat="1" ht="16.5" customHeight="1">
      <c r="B264" s="20"/>
      <c r="C264" s="20"/>
      <c r="D264" s="254"/>
      <c r="E264" s="379">
        <v>139023</v>
      </c>
      <c r="F264" s="395" t="s">
        <v>569</v>
      </c>
      <c r="G264" s="396"/>
      <c r="H264" s="397"/>
      <c r="I264" s="383">
        <v>893000</v>
      </c>
      <c r="J264" s="398">
        <v>139023</v>
      </c>
      <c r="K264" s="399" t="s">
        <v>71</v>
      </c>
      <c r="L264" s="399" t="s">
        <v>34</v>
      </c>
      <c r="M264" s="399">
        <v>200</v>
      </c>
      <c r="N264" s="356">
        <v>893000</v>
      </c>
      <c r="O264" s="28" t="b">
        <f t="shared" si="18"/>
        <v>1</v>
      </c>
    </row>
    <row r="265" spans="2:15" s="28" customFormat="1" ht="16.5" customHeight="1">
      <c r="B265" s="20"/>
      <c r="C265" s="20"/>
      <c r="D265" s="254"/>
      <c r="E265" s="379">
        <v>139026</v>
      </c>
      <c r="F265" s="395" t="s">
        <v>571</v>
      </c>
      <c r="G265" s="396"/>
      <c r="H265" s="397"/>
      <c r="I265" s="383">
        <v>670000</v>
      </c>
      <c r="J265" s="398">
        <v>139026</v>
      </c>
      <c r="K265" s="399" t="s">
        <v>71</v>
      </c>
      <c r="L265" s="399" t="s">
        <v>34</v>
      </c>
      <c r="M265" s="399">
        <v>200</v>
      </c>
      <c r="N265" s="356">
        <v>670000</v>
      </c>
      <c r="O265" s="28" t="b">
        <f t="shared" si="18"/>
        <v>1</v>
      </c>
    </row>
    <row r="266" spans="2:15" s="28" customFormat="1" ht="16.5" customHeight="1">
      <c r="B266" s="20"/>
      <c r="C266" s="20"/>
      <c r="D266" s="254"/>
      <c r="E266" s="379">
        <v>139027</v>
      </c>
      <c r="F266" s="395" t="s">
        <v>572</v>
      </c>
      <c r="G266" s="396"/>
      <c r="H266" s="397"/>
      <c r="I266" s="383">
        <v>749000</v>
      </c>
      <c r="J266" s="398">
        <v>139027</v>
      </c>
      <c r="K266" s="399" t="s">
        <v>71</v>
      </c>
      <c r="L266" s="399" t="s">
        <v>34</v>
      </c>
      <c r="M266" s="399">
        <v>200</v>
      </c>
      <c r="N266" s="356">
        <v>749000</v>
      </c>
      <c r="O266" s="28" t="b">
        <f t="shared" si="18"/>
        <v>1</v>
      </c>
    </row>
    <row r="267" spans="2:15" s="28" customFormat="1" ht="16.5" customHeight="1">
      <c r="B267" s="20"/>
      <c r="C267" s="20"/>
      <c r="D267" s="254"/>
      <c r="E267" s="379">
        <v>139028</v>
      </c>
      <c r="F267" s="395" t="s">
        <v>573</v>
      </c>
      <c r="G267" s="396"/>
      <c r="H267" s="397"/>
      <c r="I267" s="383">
        <v>893000</v>
      </c>
      <c r="J267" s="398">
        <v>139028</v>
      </c>
      <c r="K267" s="399" t="s">
        <v>71</v>
      </c>
      <c r="L267" s="399" t="s">
        <v>34</v>
      </c>
      <c r="M267" s="399">
        <v>200</v>
      </c>
      <c r="N267" s="356">
        <v>893000</v>
      </c>
      <c r="O267" s="28" t="b">
        <f t="shared" si="18"/>
        <v>1</v>
      </c>
    </row>
    <row r="268" spans="2:15" s="28" customFormat="1" ht="16.5" customHeight="1">
      <c r="B268" s="20"/>
      <c r="C268" s="20"/>
      <c r="D268" s="254"/>
      <c r="E268" s="379">
        <v>139029</v>
      </c>
      <c r="F268" s="395" t="s">
        <v>574</v>
      </c>
      <c r="G268" s="396"/>
      <c r="H268" s="397"/>
      <c r="I268" s="383">
        <v>535000</v>
      </c>
      <c r="J268" s="398">
        <v>139029</v>
      </c>
      <c r="K268" s="399" t="s">
        <v>71</v>
      </c>
      <c r="L268" s="399" t="s">
        <v>34</v>
      </c>
      <c r="M268" s="399">
        <v>200</v>
      </c>
      <c r="N268" s="356">
        <v>535000</v>
      </c>
      <c r="O268" s="28" t="b">
        <f t="shared" si="18"/>
        <v>1</v>
      </c>
    </row>
    <row r="269" spans="2:15" s="28" customFormat="1" ht="16.5" customHeight="1">
      <c r="B269" s="20"/>
      <c r="C269" s="20"/>
      <c r="D269" s="254"/>
      <c r="E269" s="379">
        <v>139030</v>
      </c>
      <c r="F269" s="395" t="s">
        <v>236</v>
      </c>
      <c r="G269" s="396"/>
      <c r="H269" s="397"/>
      <c r="I269" s="383">
        <v>54500</v>
      </c>
      <c r="J269" s="398">
        <v>139030</v>
      </c>
      <c r="K269" s="399" t="s">
        <v>70</v>
      </c>
      <c r="L269" s="399" t="s">
        <v>34</v>
      </c>
      <c r="M269" s="399">
        <v>20</v>
      </c>
      <c r="N269" s="356">
        <v>54500</v>
      </c>
      <c r="O269" s="28" t="b">
        <f t="shared" si="18"/>
        <v>1</v>
      </c>
    </row>
    <row r="270" spans="2:15" s="28" customFormat="1" ht="16.5" customHeight="1">
      <c r="B270" s="20"/>
      <c r="C270" s="20"/>
      <c r="D270" s="254"/>
      <c r="E270" s="379">
        <v>139032</v>
      </c>
      <c r="F270" s="395" t="s">
        <v>322</v>
      </c>
      <c r="G270" s="396"/>
      <c r="H270" s="397"/>
      <c r="I270" s="383">
        <v>371000</v>
      </c>
      <c r="J270" s="398">
        <v>139032</v>
      </c>
      <c r="K270" s="399" t="s">
        <v>70</v>
      </c>
      <c r="L270" s="399" t="s">
        <v>34</v>
      </c>
      <c r="M270" s="399">
        <v>20</v>
      </c>
      <c r="N270" s="356">
        <v>371000</v>
      </c>
      <c r="O270" s="28" t="b">
        <f t="shared" si="18"/>
        <v>1</v>
      </c>
    </row>
    <row r="271" spans="2:15" s="28" customFormat="1" ht="16.5" customHeight="1">
      <c r="B271" s="20"/>
      <c r="C271" s="20"/>
      <c r="D271" s="254"/>
      <c r="E271" s="379">
        <v>139033</v>
      </c>
      <c r="F271" s="395" t="s">
        <v>323</v>
      </c>
      <c r="G271" s="396"/>
      <c r="H271" s="397"/>
      <c r="I271" s="383">
        <v>392000</v>
      </c>
      <c r="J271" s="398">
        <v>139033</v>
      </c>
      <c r="K271" s="399" t="s">
        <v>70</v>
      </c>
      <c r="L271" s="399" t="s">
        <v>34</v>
      </c>
      <c r="M271" s="399">
        <v>20</v>
      </c>
      <c r="N271" s="356">
        <v>392000</v>
      </c>
      <c r="O271" s="28" t="b">
        <f t="shared" si="18"/>
        <v>1</v>
      </c>
    </row>
    <row r="272" spans="2:15" s="28" customFormat="1" ht="16.5" customHeight="1">
      <c r="B272" s="20"/>
      <c r="C272" s="20"/>
      <c r="D272" s="254"/>
      <c r="E272" s="379">
        <v>139036</v>
      </c>
      <c r="F272" s="395" t="s">
        <v>575</v>
      </c>
      <c r="G272" s="396"/>
      <c r="H272" s="397"/>
      <c r="I272" s="383">
        <v>649000</v>
      </c>
      <c r="J272" s="398">
        <v>139036</v>
      </c>
      <c r="K272" s="399" t="s">
        <v>71</v>
      </c>
      <c r="L272" s="399" t="s">
        <v>34</v>
      </c>
      <c r="M272" s="399">
        <v>200</v>
      </c>
      <c r="N272" s="356">
        <v>649000</v>
      </c>
      <c r="O272" s="28" t="b">
        <f t="shared" si="18"/>
        <v>1</v>
      </c>
    </row>
    <row r="273" spans="2:15" s="28" customFormat="1" ht="16.5" customHeight="1">
      <c r="B273" s="20"/>
      <c r="C273" s="20"/>
      <c r="D273" s="254"/>
      <c r="E273" s="379">
        <v>139037</v>
      </c>
      <c r="F273" s="395" t="s">
        <v>324</v>
      </c>
      <c r="G273" s="396"/>
      <c r="H273" s="397"/>
      <c r="I273" s="383">
        <v>82400</v>
      </c>
      <c r="J273" s="398">
        <v>139037</v>
      </c>
      <c r="K273" s="399" t="s">
        <v>70</v>
      </c>
      <c r="L273" s="399" t="s">
        <v>34</v>
      </c>
      <c r="M273" s="399">
        <v>20</v>
      </c>
      <c r="N273" s="356">
        <v>82400</v>
      </c>
      <c r="O273" s="28" t="b">
        <f t="shared" si="18"/>
        <v>1</v>
      </c>
    </row>
    <row r="274" spans="2:15" s="28" customFormat="1" ht="16.5" customHeight="1">
      <c r="B274" s="20"/>
      <c r="C274" s="20"/>
      <c r="D274" s="254"/>
      <c r="E274" s="379">
        <v>139038</v>
      </c>
      <c r="F274" s="395" t="s">
        <v>576</v>
      </c>
      <c r="G274" s="396"/>
      <c r="H274" s="397"/>
      <c r="I274" s="383">
        <v>746000</v>
      </c>
      <c r="J274" s="398">
        <v>139038</v>
      </c>
      <c r="K274" s="399" t="s">
        <v>71</v>
      </c>
      <c r="L274" s="399" t="s">
        <v>34</v>
      </c>
      <c r="M274" s="399">
        <v>200</v>
      </c>
      <c r="N274" s="356">
        <v>746000</v>
      </c>
      <c r="O274" s="28" t="b">
        <f t="shared" si="18"/>
        <v>1</v>
      </c>
    </row>
    <row r="275" spans="2:15" s="28" customFormat="1" ht="16.5" customHeight="1">
      <c r="B275" s="20"/>
      <c r="C275" s="20"/>
      <c r="D275" s="254"/>
      <c r="E275" s="379">
        <v>139040</v>
      </c>
      <c r="F275" s="395" t="s">
        <v>577</v>
      </c>
      <c r="G275" s="396"/>
      <c r="H275" s="397"/>
      <c r="I275" s="383">
        <v>575000</v>
      </c>
      <c r="J275" s="398">
        <v>139040</v>
      </c>
      <c r="K275" s="399" t="s">
        <v>71</v>
      </c>
      <c r="L275" s="399" t="s">
        <v>34</v>
      </c>
      <c r="M275" s="399">
        <v>200</v>
      </c>
      <c r="N275" s="356">
        <v>575000</v>
      </c>
      <c r="O275" s="28" t="b">
        <f t="shared" si="18"/>
        <v>1</v>
      </c>
    </row>
    <row r="276" spans="2:15" s="28" customFormat="1" ht="16.5" customHeight="1">
      <c r="B276" s="20"/>
      <c r="C276" s="20"/>
      <c r="D276" s="254"/>
      <c r="E276" s="379">
        <v>139041</v>
      </c>
      <c r="F276" s="395" t="s">
        <v>325</v>
      </c>
      <c r="G276" s="396"/>
      <c r="H276" s="397"/>
      <c r="I276" s="383">
        <v>61300</v>
      </c>
      <c r="J276" s="398">
        <v>139041</v>
      </c>
      <c r="K276" s="399" t="s">
        <v>70</v>
      </c>
      <c r="L276" s="399" t="s">
        <v>34</v>
      </c>
      <c r="M276" s="399">
        <v>20</v>
      </c>
      <c r="N276" s="356">
        <v>61300</v>
      </c>
      <c r="O276" s="28" t="b">
        <f t="shared" si="18"/>
        <v>1</v>
      </c>
    </row>
    <row r="277" spans="2:15" s="28" customFormat="1" ht="16.5" customHeight="1">
      <c r="B277" s="20"/>
      <c r="C277" s="20"/>
      <c r="D277" s="254"/>
      <c r="E277" s="379">
        <v>139042</v>
      </c>
      <c r="F277" s="395" t="s">
        <v>578</v>
      </c>
      <c r="G277" s="396"/>
      <c r="H277" s="397"/>
      <c r="I277" s="383">
        <v>575000</v>
      </c>
      <c r="J277" s="398">
        <v>139042</v>
      </c>
      <c r="K277" s="399" t="s">
        <v>71</v>
      </c>
      <c r="L277" s="399" t="s">
        <v>34</v>
      </c>
      <c r="M277" s="399">
        <v>200</v>
      </c>
      <c r="N277" s="356">
        <v>575000</v>
      </c>
      <c r="O277" s="28" t="b">
        <f t="shared" si="18"/>
        <v>1</v>
      </c>
    </row>
    <row r="278" spans="2:15" s="28" customFormat="1" ht="16.5" customHeight="1">
      <c r="B278" s="20"/>
      <c r="C278" s="20"/>
      <c r="D278" s="254"/>
      <c r="E278" s="379">
        <v>139043</v>
      </c>
      <c r="F278" s="395" t="s">
        <v>326</v>
      </c>
      <c r="G278" s="396"/>
      <c r="H278" s="397"/>
      <c r="I278" s="383">
        <v>100000</v>
      </c>
      <c r="J278" s="398">
        <v>139043</v>
      </c>
      <c r="K278" s="399" t="s">
        <v>70</v>
      </c>
      <c r="L278" s="399" t="s">
        <v>34</v>
      </c>
      <c r="M278" s="399">
        <v>20</v>
      </c>
      <c r="N278" s="356">
        <v>100000</v>
      </c>
      <c r="O278" s="28" t="b">
        <f t="shared" si="18"/>
        <v>1</v>
      </c>
    </row>
    <row r="279" spans="2:15" s="28" customFormat="1" ht="16.5" customHeight="1">
      <c r="B279" s="20"/>
      <c r="C279" s="20"/>
      <c r="D279" s="254"/>
      <c r="E279" s="379">
        <v>139044</v>
      </c>
      <c r="F279" s="395" t="s">
        <v>579</v>
      </c>
      <c r="G279" s="396"/>
      <c r="H279" s="397"/>
      <c r="I279" s="383">
        <v>960000</v>
      </c>
      <c r="J279" s="398">
        <v>139044</v>
      </c>
      <c r="K279" s="399" t="s">
        <v>71</v>
      </c>
      <c r="L279" s="399" t="s">
        <v>34</v>
      </c>
      <c r="M279" s="399">
        <v>200</v>
      </c>
      <c r="N279" s="356">
        <v>960000</v>
      </c>
      <c r="O279" s="28" t="b">
        <f t="shared" si="18"/>
        <v>1</v>
      </c>
    </row>
    <row r="280" spans="2:15" s="28" customFormat="1" ht="16.5" customHeight="1">
      <c r="B280" s="20"/>
      <c r="C280" s="20"/>
      <c r="D280" s="254"/>
      <c r="E280" s="379">
        <v>139045</v>
      </c>
      <c r="F280" s="395" t="s">
        <v>327</v>
      </c>
      <c r="G280" s="396"/>
      <c r="H280" s="397"/>
      <c r="I280" s="383">
        <v>100000</v>
      </c>
      <c r="J280" s="398">
        <v>139045</v>
      </c>
      <c r="K280" s="399" t="s">
        <v>70</v>
      </c>
      <c r="L280" s="399" t="s">
        <v>34</v>
      </c>
      <c r="M280" s="399">
        <v>20</v>
      </c>
      <c r="N280" s="356">
        <v>100000</v>
      </c>
      <c r="O280" s="28" t="b">
        <f t="shared" si="18"/>
        <v>1</v>
      </c>
    </row>
    <row r="281" spans="2:15" s="28" customFormat="1" ht="16.5" customHeight="1">
      <c r="B281" s="20"/>
      <c r="C281" s="20"/>
      <c r="D281" s="254"/>
      <c r="E281" s="379">
        <v>139048</v>
      </c>
      <c r="F281" s="395" t="s">
        <v>328</v>
      </c>
      <c r="G281" s="396"/>
      <c r="H281" s="397"/>
      <c r="I281" s="383">
        <v>166000</v>
      </c>
      <c r="J281" s="398">
        <v>139048</v>
      </c>
      <c r="K281" s="399" t="s">
        <v>70</v>
      </c>
      <c r="L281" s="399" t="s">
        <v>34</v>
      </c>
      <c r="M281" s="399">
        <v>20</v>
      </c>
      <c r="N281" s="356">
        <v>166000</v>
      </c>
      <c r="O281" s="28" t="b">
        <f t="shared" si="18"/>
        <v>1</v>
      </c>
    </row>
    <row r="282" spans="2:15" s="28" customFormat="1" ht="16.5" customHeight="1">
      <c r="B282" s="20"/>
      <c r="C282" s="20"/>
      <c r="D282" s="254"/>
      <c r="E282" s="379">
        <v>139049</v>
      </c>
      <c r="F282" s="395" t="s">
        <v>329</v>
      </c>
      <c r="G282" s="396"/>
      <c r="H282" s="397"/>
      <c r="I282" s="383">
        <v>146000</v>
      </c>
      <c r="J282" s="398">
        <v>139049</v>
      </c>
      <c r="K282" s="399" t="s">
        <v>70</v>
      </c>
      <c r="L282" s="399" t="s">
        <v>34</v>
      </c>
      <c r="M282" s="399">
        <v>20</v>
      </c>
      <c r="N282" s="356">
        <v>146000</v>
      </c>
      <c r="O282" s="28" t="b">
        <f t="shared" ref="O282:O345" si="19">I282=N282</f>
        <v>1</v>
      </c>
    </row>
    <row r="283" spans="2:15" s="28" customFormat="1" ht="16.5" customHeight="1">
      <c r="B283" s="20"/>
      <c r="C283" s="20"/>
      <c r="D283" s="254"/>
      <c r="E283" s="379">
        <v>139050</v>
      </c>
      <c r="F283" s="395" t="s">
        <v>330</v>
      </c>
      <c r="G283" s="396"/>
      <c r="H283" s="397"/>
      <c r="I283" s="383"/>
      <c r="J283" s="398">
        <v>139050</v>
      </c>
      <c r="K283" s="399" t="s">
        <v>70</v>
      </c>
      <c r="L283" s="399" t="s">
        <v>34</v>
      </c>
      <c r="M283" s="399">
        <v>20</v>
      </c>
      <c r="N283" s="356" t="e">
        <v>#N/A</v>
      </c>
      <c r="O283" s="28" t="e">
        <f t="shared" si="19"/>
        <v>#N/A</v>
      </c>
    </row>
    <row r="284" spans="2:15" s="28" customFormat="1" ht="16.5" customHeight="1">
      <c r="B284" s="20"/>
      <c r="C284" s="20"/>
      <c r="D284" s="254"/>
      <c r="E284" s="379">
        <v>139051</v>
      </c>
      <c r="F284" s="395" t="s">
        <v>331</v>
      </c>
      <c r="G284" s="396"/>
      <c r="H284" s="397"/>
      <c r="I284" s="383">
        <v>169000</v>
      </c>
      <c r="J284" s="398">
        <v>139051</v>
      </c>
      <c r="K284" s="399" t="s">
        <v>70</v>
      </c>
      <c r="L284" s="399" t="s">
        <v>34</v>
      </c>
      <c r="M284" s="399">
        <v>18.899999999999999</v>
      </c>
      <c r="N284" s="356">
        <v>169000</v>
      </c>
      <c r="O284" s="28" t="b">
        <f t="shared" si="19"/>
        <v>1</v>
      </c>
    </row>
    <row r="285" spans="2:15" s="28" customFormat="1" ht="16.5" customHeight="1">
      <c r="B285" s="20"/>
      <c r="C285" s="20"/>
      <c r="D285" s="254"/>
      <c r="E285" s="379">
        <v>139052</v>
      </c>
      <c r="F285" s="395" t="s">
        <v>582</v>
      </c>
      <c r="G285" s="396"/>
      <c r="H285" s="397"/>
      <c r="I285" s="383"/>
      <c r="J285" s="398">
        <v>139052</v>
      </c>
      <c r="K285" s="399" t="s">
        <v>71</v>
      </c>
      <c r="L285" s="399" t="s">
        <v>34</v>
      </c>
      <c r="M285" s="399">
        <v>200</v>
      </c>
      <c r="N285" s="356" t="e">
        <v>#N/A</v>
      </c>
      <c r="O285" s="28" t="e">
        <f t="shared" si="19"/>
        <v>#N/A</v>
      </c>
    </row>
    <row r="286" spans="2:15" s="28" customFormat="1" ht="16.5" customHeight="1">
      <c r="B286" s="20"/>
      <c r="C286" s="20"/>
      <c r="D286" s="254"/>
      <c r="E286" s="379">
        <v>139057</v>
      </c>
      <c r="F286" s="395" t="s">
        <v>583</v>
      </c>
      <c r="G286" s="396"/>
      <c r="H286" s="397"/>
      <c r="I286" s="383">
        <v>721000</v>
      </c>
      <c r="J286" s="398">
        <v>139057</v>
      </c>
      <c r="K286" s="399" t="s">
        <v>71</v>
      </c>
      <c r="L286" s="399" t="s">
        <v>34</v>
      </c>
      <c r="M286" s="399">
        <v>200</v>
      </c>
      <c r="N286" s="356">
        <v>721000</v>
      </c>
      <c r="O286" s="28" t="b">
        <f t="shared" si="19"/>
        <v>1</v>
      </c>
    </row>
    <row r="287" spans="2:15" s="28" customFormat="1" ht="16.5" customHeight="1">
      <c r="B287" s="20"/>
      <c r="C287" s="20"/>
      <c r="D287" s="254"/>
      <c r="E287" s="379">
        <v>139058</v>
      </c>
      <c r="F287" s="395" t="s">
        <v>584</v>
      </c>
      <c r="G287" s="396"/>
      <c r="H287" s="397"/>
      <c r="I287" s="383">
        <v>893000</v>
      </c>
      <c r="J287" s="398">
        <v>139058</v>
      </c>
      <c r="K287" s="399" t="s">
        <v>71</v>
      </c>
      <c r="L287" s="399" t="s">
        <v>34</v>
      </c>
      <c r="M287" s="399">
        <v>200</v>
      </c>
      <c r="N287" s="356">
        <v>893000</v>
      </c>
      <c r="O287" s="28" t="b">
        <f t="shared" si="19"/>
        <v>1</v>
      </c>
    </row>
    <row r="288" spans="2:15" s="28" customFormat="1" ht="16.5" customHeight="1">
      <c r="B288" s="20"/>
      <c r="C288" s="20"/>
      <c r="D288" s="254"/>
      <c r="E288" s="379">
        <v>139059</v>
      </c>
      <c r="F288" s="395" t="s">
        <v>585</v>
      </c>
      <c r="G288" s="396"/>
      <c r="H288" s="397"/>
      <c r="I288" s="383">
        <v>691000</v>
      </c>
      <c r="J288" s="398">
        <v>139059</v>
      </c>
      <c r="K288" s="399" t="s">
        <v>71</v>
      </c>
      <c r="L288" s="399" t="s">
        <v>34</v>
      </c>
      <c r="M288" s="399">
        <v>200</v>
      </c>
      <c r="N288" s="356">
        <v>691000</v>
      </c>
      <c r="O288" s="28" t="b">
        <f t="shared" si="19"/>
        <v>1</v>
      </c>
    </row>
    <row r="289" spans="2:15" s="28" customFormat="1" ht="16.5" customHeight="1">
      <c r="B289" s="20"/>
      <c r="C289" s="20"/>
      <c r="D289" s="254"/>
      <c r="E289" s="379">
        <v>139061</v>
      </c>
      <c r="F289" s="395" t="s">
        <v>242</v>
      </c>
      <c r="G289" s="396"/>
      <c r="H289" s="397"/>
      <c r="I289" s="383">
        <v>83600</v>
      </c>
      <c r="J289" s="398">
        <v>139061</v>
      </c>
      <c r="K289" s="399" t="s">
        <v>70</v>
      </c>
      <c r="L289" s="399" t="s">
        <v>34</v>
      </c>
      <c r="M289" s="399">
        <v>20</v>
      </c>
      <c r="N289" s="356">
        <v>83600</v>
      </c>
      <c r="O289" s="28" t="b">
        <f t="shared" si="19"/>
        <v>1</v>
      </c>
    </row>
    <row r="290" spans="2:15" s="28" customFormat="1" ht="16.5" customHeight="1">
      <c r="B290" s="20"/>
      <c r="C290" s="20"/>
      <c r="D290" s="254"/>
      <c r="E290" s="379">
        <v>139062</v>
      </c>
      <c r="F290" s="395" t="s">
        <v>586</v>
      </c>
      <c r="G290" s="396"/>
      <c r="H290" s="397"/>
      <c r="I290" s="383">
        <v>687000</v>
      </c>
      <c r="J290" s="398">
        <v>139062</v>
      </c>
      <c r="K290" s="399" t="s">
        <v>71</v>
      </c>
      <c r="L290" s="399" t="s">
        <v>34</v>
      </c>
      <c r="M290" s="399">
        <v>200</v>
      </c>
      <c r="N290" s="356">
        <v>687000</v>
      </c>
      <c r="O290" s="28" t="b">
        <f t="shared" si="19"/>
        <v>1</v>
      </c>
    </row>
    <row r="291" spans="2:15" s="28" customFormat="1" ht="16.5" customHeight="1">
      <c r="B291" s="20"/>
      <c r="C291" s="20"/>
      <c r="D291" s="254"/>
      <c r="E291" s="379">
        <v>139063</v>
      </c>
      <c r="F291" s="395" t="s">
        <v>587</v>
      </c>
      <c r="G291" s="396"/>
      <c r="H291" s="397"/>
      <c r="I291" s="383">
        <v>670000</v>
      </c>
      <c r="J291" s="398">
        <v>139063</v>
      </c>
      <c r="K291" s="399" t="s">
        <v>71</v>
      </c>
      <c r="L291" s="399" t="s">
        <v>34</v>
      </c>
      <c r="M291" s="399">
        <v>200</v>
      </c>
      <c r="N291" s="356">
        <v>670000</v>
      </c>
      <c r="O291" s="28" t="b">
        <f t="shared" si="19"/>
        <v>1</v>
      </c>
    </row>
    <row r="292" spans="2:15" s="28" customFormat="1" ht="16.5" customHeight="1">
      <c r="B292" s="20"/>
      <c r="C292" s="20"/>
      <c r="D292" s="254"/>
      <c r="E292" s="379">
        <v>139064</v>
      </c>
      <c r="F292" s="395" t="s">
        <v>233</v>
      </c>
      <c r="G292" s="396"/>
      <c r="H292" s="397"/>
      <c r="I292" s="383">
        <v>66400</v>
      </c>
      <c r="J292" s="398">
        <v>139064</v>
      </c>
      <c r="K292" s="399" t="s">
        <v>70</v>
      </c>
      <c r="L292" s="399" t="s">
        <v>34</v>
      </c>
      <c r="M292" s="399">
        <v>20</v>
      </c>
      <c r="N292" s="356">
        <v>66400</v>
      </c>
      <c r="O292" s="28" t="b">
        <f t="shared" si="19"/>
        <v>1</v>
      </c>
    </row>
    <row r="293" spans="2:15" s="28" customFormat="1" ht="16.5" customHeight="1">
      <c r="B293" s="20"/>
      <c r="C293" s="20"/>
      <c r="D293" s="254"/>
      <c r="E293" s="379">
        <v>139065</v>
      </c>
      <c r="F293" s="395" t="s">
        <v>588</v>
      </c>
      <c r="G293" s="396"/>
      <c r="H293" s="397"/>
      <c r="I293" s="383">
        <v>685000</v>
      </c>
      <c r="J293" s="398">
        <v>139065</v>
      </c>
      <c r="K293" s="399" t="s">
        <v>71</v>
      </c>
      <c r="L293" s="399" t="s">
        <v>34</v>
      </c>
      <c r="M293" s="399">
        <v>200</v>
      </c>
      <c r="N293" s="356">
        <v>685000</v>
      </c>
      <c r="O293" s="28" t="b">
        <f t="shared" si="19"/>
        <v>1</v>
      </c>
    </row>
    <row r="294" spans="2:15" s="28" customFormat="1" ht="16.5" customHeight="1">
      <c r="B294" s="20"/>
      <c r="C294" s="20"/>
      <c r="D294" s="254"/>
      <c r="E294" s="379">
        <v>139066</v>
      </c>
      <c r="F294" s="395" t="s">
        <v>332</v>
      </c>
      <c r="G294" s="396"/>
      <c r="H294" s="397"/>
      <c r="I294" s="383">
        <v>69100</v>
      </c>
      <c r="J294" s="398">
        <v>139066</v>
      </c>
      <c r="K294" s="399" t="s">
        <v>70</v>
      </c>
      <c r="L294" s="399" t="s">
        <v>34</v>
      </c>
      <c r="M294" s="399">
        <v>20</v>
      </c>
      <c r="N294" s="356">
        <v>69100</v>
      </c>
      <c r="O294" s="28" t="b">
        <f t="shared" si="19"/>
        <v>1</v>
      </c>
    </row>
    <row r="295" spans="2:15" s="28" customFormat="1" ht="16.5" customHeight="1">
      <c r="B295" s="20"/>
      <c r="C295" s="20"/>
      <c r="D295" s="254"/>
      <c r="E295" s="379">
        <v>139067</v>
      </c>
      <c r="F295" s="395" t="s">
        <v>333</v>
      </c>
      <c r="G295" s="396"/>
      <c r="H295" s="397"/>
      <c r="I295" s="383"/>
      <c r="J295" s="398">
        <v>139067</v>
      </c>
      <c r="K295" s="399" t="s">
        <v>70</v>
      </c>
      <c r="L295" s="399" t="s">
        <v>34</v>
      </c>
      <c r="M295" s="399">
        <v>18.899999999999999</v>
      </c>
      <c r="N295" s="356" t="e">
        <v>#N/A</v>
      </c>
      <c r="O295" s="28" t="e">
        <f t="shared" si="19"/>
        <v>#N/A</v>
      </c>
    </row>
    <row r="296" spans="2:15" s="28" customFormat="1" ht="16.5" customHeight="1">
      <c r="B296" s="20"/>
      <c r="C296" s="20"/>
      <c r="D296" s="254"/>
      <c r="E296" s="379">
        <v>139068</v>
      </c>
      <c r="F296" s="395" t="s">
        <v>589</v>
      </c>
      <c r="G296" s="396"/>
      <c r="H296" s="397"/>
      <c r="I296" s="383">
        <v>4688000</v>
      </c>
      <c r="J296" s="398">
        <v>139068</v>
      </c>
      <c r="K296" s="399" t="s">
        <v>71</v>
      </c>
      <c r="L296" s="399" t="s">
        <v>34</v>
      </c>
      <c r="M296" s="399">
        <v>208</v>
      </c>
      <c r="N296" s="356">
        <v>4688000</v>
      </c>
      <c r="O296" s="28" t="b">
        <f t="shared" si="19"/>
        <v>1</v>
      </c>
    </row>
    <row r="297" spans="2:15" s="28" customFormat="1" ht="16.5" customHeight="1">
      <c r="B297" s="20"/>
      <c r="C297" s="20"/>
      <c r="D297" s="254"/>
      <c r="E297" s="379">
        <v>139069</v>
      </c>
      <c r="F297" s="395" t="s">
        <v>334</v>
      </c>
      <c r="G297" s="396"/>
      <c r="H297" s="397"/>
      <c r="I297" s="383">
        <v>296000</v>
      </c>
      <c r="J297" s="398">
        <v>139069</v>
      </c>
      <c r="K297" s="399" t="s">
        <v>70</v>
      </c>
      <c r="L297" s="399" t="s">
        <v>34</v>
      </c>
      <c r="M297" s="399">
        <v>20</v>
      </c>
      <c r="N297" s="356">
        <v>296000</v>
      </c>
      <c r="O297" s="28" t="b">
        <f t="shared" si="19"/>
        <v>1</v>
      </c>
    </row>
    <row r="298" spans="2:15" s="28" customFormat="1" ht="16.5" customHeight="1">
      <c r="B298" s="20"/>
      <c r="C298" s="20"/>
      <c r="D298" s="254"/>
      <c r="E298" s="379">
        <v>139070</v>
      </c>
      <c r="F298" s="395" t="s">
        <v>335</v>
      </c>
      <c r="G298" s="396"/>
      <c r="H298" s="397"/>
      <c r="I298" s="383">
        <v>318000</v>
      </c>
      <c r="J298" s="398">
        <v>139070</v>
      </c>
      <c r="K298" s="399" t="s">
        <v>70</v>
      </c>
      <c r="L298" s="399" t="s">
        <v>34</v>
      </c>
      <c r="M298" s="399">
        <v>20</v>
      </c>
      <c r="N298" s="356">
        <v>318000</v>
      </c>
      <c r="O298" s="28" t="b">
        <f t="shared" si="19"/>
        <v>1</v>
      </c>
    </row>
    <row r="299" spans="2:15" s="28" customFormat="1" ht="16.5" customHeight="1">
      <c r="B299" s="20"/>
      <c r="C299" s="20"/>
      <c r="D299" s="254"/>
      <c r="E299" s="379">
        <v>139071</v>
      </c>
      <c r="F299" s="395" t="s">
        <v>590</v>
      </c>
      <c r="G299" s="396"/>
      <c r="H299" s="397"/>
      <c r="I299" s="383">
        <v>746000</v>
      </c>
      <c r="J299" s="398">
        <v>139071</v>
      </c>
      <c r="K299" s="399" t="s">
        <v>71</v>
      </c>
      <c r="L299" s="399" t="s">
        <v>34</v>
      </c>
      <c r="M299" s="399">
        <v>200</v>
      </c>
      <c r="N299" s="356">
        <v>746000</v>
      </c>
      <c r="O299" s="28" t="b">
        <f t="shared" si="19"/>
        <v>1</v>
      </c>
    </row>
    <row r="300" spans="2:15" s="28" customFormat="1" ht="16.5" customHeight="1">
      <c r="B300" s="20"/>
      <c r="C300" s="20"/>
      <c r="D300" s="254"/>
      <c r="E300" s="379">
        <v>139074</v>
      </c>
      <c r="F300" s="395" t="s">
        <v>591</v>
      </c>
      <c r="G300" s="396"/>
      <c r="H300" s="397"/>
      <c r="I300" s="383">
        <v>746000</v>
      </c>
      <c r="J300" s="398">
        <v>139074</v>
      </c>
      <c r="K300" s="399" t="s">
        <v>71</v>
      </c>
      <c r="L300" s="399" t="s">
        <v>34</v>
      </c>
      <c r="M300" s="399">
        <v>200</v>
      </c>
      <c r="N300" s="356">
        <v>746000</v>
      </c>
      <c r="O300" s="28" t="b">
        <f t="shared" si="19"/>
        <v>1</v>
      </c>
    </row>
    <row r="301" spans="2:15" s="28" customFormat="1" ht="16.5" customHeight="1">
      <c r="B301" s="20"/>
      <c r="C301" s="20"/>
      <c r="D301" s="254"/>
      <c r="E301" s="379">
        <v>139075</v>
      </c>
      <c r="F301" s="395" t="s">
        <v>592</v>
      </c>
      <c r="G301" s="396"/>
      <c r="H301" s="397"/>
      <c r="I301" s="383">
        <v>746000</v>
      </c>
      <c r="J301" s="398">
        <v>139075</v>
      </c>
      <c r="K301" s="399" t="s">
        <v>71</v>
      </c>
      <c r="L301" s="399" t="s">
        <v>34</v>
      </c>
      <c r="M301" s="399">
        <v>200</v>
      </c>
      <c r="N301" s="356">
        <v>746000</v>
      </c>
      <c r="O301" s="28" t="b">
        <f t="shared" si="19"/>
        <v>1</v>
      </c>
    </row>
    <row r="302" spans="2:15" s="28" customFormat="1" ht="16.5" customHeight="1">
      <c r="B302" s="20"/>
      <c r="C302" s="20"/>
      <c r="D302" s="254"/>
      <c r="E302" s="379">
        <v>135303</v>
      </c>
      <c r="F302" s="395" t="s">
        <v>336</v>
      </c>
      <c r="G302" s="396"/>
      <c r="H302" s="397"/>
      <c r="I302" s="383">
        <v>370000</v>
      </c>
      <c r="J302" s="398">
        <v>135303</v>
      </c>
      <c r="K302" s="399" t="s">
        <v>70</v>
      </c>
      <c r="L302" s="399" t="s">
        <v>34</v>
      </c>
      <c r="M302" s="399">
        <v>20</v>
      </c>
      <c r="N302" s="356">
        <v>370000</v>
      </c>
      <c r="O302" s="28" t="b">
        <f t="shared" si="19"/>
        <v>1</v>
      </c>
    </row>
    <row r="303" spans="2:15" s="28" customFormat="1" ht="16.5" customHeight="1">
      <c r="B303" s="20"/>
      <c r="C303" s="20"/>
      <c r="D303" s="254"/>
      <c r="E303" s="379">
        <v>139080</v>
      </c>
      <c r="F303" s="395" t="s">
        <v>337</v>
      </c>
      <c r="G303" s="396"/>
      <c r="H303" s="397"/>
      <c r="I303" s="383">
        <v>300000</v>
      </c>
      <c r="J303" s="398">
        <v>139080</v>
      </c>
      <c r="K303" s="399" t="s">
        <v>70</v>
      </c>
      <c r="L303" s="399" t="s">
        <v>34</v>
      </c>
      <c r="M303" s="399">
        <v>20</v>
      </c>
      <c r="N303" s="356">
        <v>300000</v>
      </c>
      <c r="O303" s="28" t="b">
        <f t="shared" si="19"/>
        <v>1</v>
      </c>
    </row>
    <row r="304" spans="2:15" s="28" customFormat="1" ht="16.5" customHeight="1">
      <c r="B304" s="20"/>
      <c r="C304" s="20"/>
      <c r="D304" s="254"/>
      <c r="E304" s="379">
        <v>139082</v>
      </c>
      <c r="F304" s="395" t="s">
        <v>338</v>
      </c>
      <c r="G304" s="396"/>
      <c r="H304" s="397"/>
      <c r="I304" s="383">
        <v>366000</v>
      </c>
      <c r="J304" s="398">
        <v>139082</v>
      </c>
      <c r="K304" s="399" t="s">
        <v>70</v>
      </c>
      <c r="L304" s="399" t="s">
        <v>34</v>
      </c>
      <c r="M304" s="399">
        <v>20</v>
      </c>
      <c r="N304" s="356">
        <v>366000</v>
      </c>
      <c r="O304" s="28" t="b">
        <f t="shared" si="19"/>
        <v>1</v>
      </c>
    </row>
    <row r="305" spans="2:15" s="28" customFormat="1" ht="16.5" customHeight="1">
      <c r="B305" s="20"/>
      <c r="C305" s="20"/>
      <c r="D305" s="254"/>
      <c r="E305" s="379">
        <v>139084</v>
      </c>
      <c r="F305" s="395" t="s">
        <v>243</v>
      </c>
      <c r="G305" s="401"/>
      <c r="H305" s="402"/>
      <c r="I305" s="383">
        <v>58600</v>
      </c>
      <c r="J305" s="399">
        <v>139084</v>
      </c>
      <c r="K305" s="399" t="s">
        <v>70</v>
      </c>
      <c r="L305" s="399" t="s">
        <v>34</v>
      </c>
      <c r="M305" s="399">
        <v>20</v>
      </c>
      <c r="N305" s="356">
        <v>58600</v>
      </c>
      <c r="O305" s="28" t="b">
        <f t="shared" si="19"/>
        <v>1</v>
      </c>
    </row>
    <row r="306" spans="2:15" s="28" customFormat="1" ht="16.5" customHeight="1">
      <c r="B306" s="20"/>
      <c r="C306" s="20"/>
      <c r="D306" s="254"/>
      <c r="E306" s="379">
        <v>139085</v>
      </c>
      <c r="F306" s="395" t="s">
        <v>593</v>
      </c>
      <c r="G306" s="401"/>
      <c r="H306" s="402"/>
      <c r="I306" s="383">
        <v>535000</v>
      </c>
      <c r="J306" s="398">
        <v>139085</v>
      </c>
      <c r="K306" s="399" t="s">
        <v>71</v>
      </c>
      <c r="L306" s="399" t="s">
        <v>34</v>
      </c>
      <c r="M306" s="399">
        <v>200</v>
      </c>
      <c r="N306" s="356">
        <v>535000</v>
      </c>
      <c r="O306" s="28" t="b">
        <f t="shared" si="19"/>
        <v>1</v>
      </c>
    </row>
    <row r="307" spans="2:15" s="28" customFormat="1" ht="16.5" customHeight="1">
      <c r="B307" s="20"/>
      <c r="C307" s="20"/>
      <c r="D307" s="254"/>
      <c r="E307" s="379">
        <v>139086</v>
      </c>
      <c r="F307" s="395" t="s">
        <v>226</v>
      </c>
      <c r="G307" s="401"/>
      <c r="H307" s="402"/>
      <c r="I307" s="383">
        <v>54500</v>
      </c>
      <c r="J307" s="398">
        <v>139086</v>
      </c>
      <c r="K307" s="399" t="s">
        <v>70</v>
      </c>
      <c r="L307" s="399" t="s">
        <v>34</v>
      </c>
      <c r="M307" s="399">
        <v>20</v>
      </c>
      <c r="N307" s="356">
        <v>54500</v>
      </c>
      <c r="O307" s="28" t="b">
        <f t="shared" si="19"/>
        <v>1</v>
      </c>
    </row>
    <row r="308" spans="2:15" s="28" customFormat="1" ht="16.5" customHeight="1">
      <c r="B308" s="20"/>
      <c r="C308" s="20"/>
      <c r="D308" s="254"/>
      <c r="E308" s="379">
        <v>139087</v>
      </c>
      <c r="F308" s="395" t="s">
        <v>594</v>
      </c>
      <c r="G308" s="401"/>
      <c r="H308" s="402"/>
      <c r="I308" s="383">
        <v>547000</v>
      </c>
      <c r="J308" s="398">
        <v>139087</v>
      </c>
      <c r="K308" s="399" t="s">
        <v>71</v>
      </c>
      <c r="L308" s="399" t="s">
        <v>34</v>
      </c>
      <c r="M308" s="399">
        <v>200</v>
      </c>
      <c r="N308" s="356">
        <v>547000</v>
      </c>
      <c r="O308" s="28" t="b">
        <f t="shared" si="19"/>
        <v>1</v>
      </c>
    </row>
    <row r="309" spans="2:15" s="28" customFormat="1" ht="16.5" customHeight="1">
      <c r="B309" s="20"/>
      <c r="C309" s="20"/>
      <c r="D309" s="254"/>
      <c r="E309" s="379">
        <v>139088</v>
      </c>
      <c r="F309" s="395" t="s">
        <v>234</v>
      </c>
      <c r="G309" s="401"/>
      <c r="H309" s="402"/>
      <c r="I309" s="383">
        <v>58600</v>
      </c>
      <c r="J309" s="398">
        <v>139088</v>
      </c>
      <c r="K309" s="399" t="s">
        <v>70</v>
      </c>
      <c r="L309" s="399" t="s">
        <v>34</v>
      </c>
      <c r="M309" s="399">
        <v>20</v>
      </c>
      <c r="N309" s="356">
        <v>58600</v>
      </c>
      <c r="O309" s="28" t="b">
        <f t="shared" si="19"/>
        <v>1</v>
      </c>
    </row>
    <row r="310" spans="2:15" s="28" customFormat="1" ht="16.5" customHeight="1">
      <c r="B310" s="20"/>
      <c r="C310" s="20"/>
      <c r="D310" s="254"/>
      <c r="E310" s="379">
        <v>139089</v>
      </c>
      <c r="F310" s="395" t="s">
        <v>595</v>
      </c>
      <c r="G310" s="401"/>
      <c r="H310" s="402"/>
      <c r="I310" s="383">
        <v>663000</v>
      </c>
      <c r="J310" s="398">
        <v>139089</v>
      </c>
      <c r="K310" s="399" t="s">
        <v>71</v>
      </c>
      <c r="L310" s="399" t="s">
        <v>34</v>
      </c>
      <c r="M310" s="399">
        <v>200</v>
      </c>
      <c r="N310" s="356">
        <v>663000</v>
      </c>
      <c r="O310" s="28" t="b">
        <f t="shared" si="19"/>
        <v>1</v>
      </c>
    </row>
    <row r="311" spans="2:15" s="28" customFormat="1" ht="16.5" customHeight="1">
      <c r="B311" s="20"/>
      <c r="C311" s="20"/>
      <c r="D311" s="254"/>
      <c r="E311" s="379">
        <v>139090</v>
      </c>
      <c r="F311" s="395" t="s">
        <v>596</v>
      </c>
      <c r="G311" s="396"/>
      <c r="H311" s="397"/>
      <c r="I311" s="383">
        <v>626000</v>
      </c>
      <c r="J311" s="398">
        <v>139090</v>
      </c>
      <c r="K311" s="399" t="s">
        <v>71</v>
      </c>
      <c r="L311" s="399" t="s">
        <v>34</v>
      </c>
      <c r="M311" s="399">
        <v>200</v>
      </c>
      <c r="N311" s="356">
        <v>626000</v>
      </c>
      <c r="O311" s="28" t="b">
        <f t="shared" si="19"/>
        <v>1</v>
      </c>
    </row>
    <row r="312" spans="2:15" s="28" customFormat="1" ht="16.5" customHeight="1">
      <c r="B312" s="20"/>
      <c r="C312" s="20"/>
      <c r="D312" s="254"/>
      <c r="E312" s="379">
        <v>139091</v>
      </c>
      <c r="F312" s="395" t="s">
        <v>597</v>
      </c>
      <c r="G312" s="401"/>
      <c r="H312" s="402"/>
      <c r="I312" s="383">
        <v>508000</v>
      </c>
      <c r="J312" s="399">
        <v>139091</v>
      </c>
      <c r="K312" s="399" t="s">
        <v>71</v>
      </c>
      <c r="L312" s="399" t="s">
        <v>34</v>
      </c>
      <c r="M312" s="399">
        <v>200</v>
      </c>
      <c r="N312" s="356">
        <v>508000</v>
      </c>
      <c r="O312" s="28" t="b">
        <f t="shared" si="19"/>
        <v>1</v>
      </c>
    </row>
    <row r="313" spans="2:15" s="28" customFormat="1" ht="16.5" customHeight="1">
      <c r="B313" s="20"/>
      <c r="C313" s="20"/>
      <c r="D313" s="254"/>
      <c r="E313" s="379">
        <v>139092</v>
      </c>
      <c r="F313" s="395" t="s">
        <v>598</v>
      </c>
      <c r="G313" s="401"/>
      <c r="H313" s="402"/>
      <c r="I313" s="383">
        <v>907000</v>
      </c>
      <c r="J313" s="398">
        <v>139092</v>
      </c>
      <c r="K313" s="399" t="s">
        <v>71</v>
      </c>
      <c r="L313" s="399" t="s">
        <v>34</v>
      </c>
      <c r="M313" s="399">
        <v>200</v>
      </c>
      <c r="N313" s="356">
        <v>907000</v>
      </c>
      <c r="O313" s="28" t="b">
        <f t="shared" si="19"/>
        <v>1</v>
      </c>
    </row>
    <row r="314" spans="2:15" s="28" customFormat="1" ht="16.5" customHeight="1">
      <c r="B314" s="20"/>
      <c r="C314" s="20"/>
      <c r="D314" s="254"/>
      <c r="E314" s="379">
        <v>139094</v>
      </c>
      <c r="F314" s="395" t="s">
        <v>599</v>
      </c>
      <c r="G314" s="401"/>
      <c r="H314" s="402"/>
      <c r="I314" s="383">
        <v>781000</v>
      </c>
      <c r="J314" s="398">
        <v>139094</v>
      </c>
      <c r="K314" s="399" t="s">
        <v>71</v>
      </c>
      <c r="L314" s="399" t="s">
        <v>34</v>
      </c>
      <c r="M314" s="399">
        <v>200</v>
      </c>
      <c r="N314" s="356">
        <v>781000</v>
      </c>
      <c r="O314" s="28" t="b">
        <f t="shared" si="19"/>
        <v>1</v>
      </c>
    </row>
    <row r="315" spans="2:15" s="28" customFormat="1" ht="16.5" customHeight="1">
      <c r="B315" s="20"/>
      <c r="C315" s="20"/>
      <c r="D315" s="254"/>
      <c r="E315" s="379">
        <v>139095</v>
      </c>
      <c r="F315" s="395" t="s">
        <v>600</v>
      </c>
      <c r="G315" s="401"/>
      <c r="H315" s="402"/>
      <c r="I315" s="383">
        <v>843000</v>
      </c>
      <c r="J315" s="398">
        <v>139095</v>
      </c>
      <c r="K315" s="399" t="s">
        <v>71</v>
      </c>
      <c r="L315" s="399" t="s">
        <v>34</v>
      </c>
      <c r="M315" s="399">
        <v>200</v>
      </c>
      <c r="N315" s="356">
        <v>843000</v>
      </c>
      <c r="O315" s="28" t="b">
        <f t="shared" si="19"/>
        <v>1</v>
      </c>
    </row>
    <row r="316" spans="2:15" s="28" customFormat="1" ht="16.5" customHeight="1">
      <c r="B316" s="20"/>
      <c r="C316" s="20"/>
      <c r="D316" s="254"/>
      <c r="E316" s="379">
        <v>139096</v>
      </c>
      <c r="F316" s="395" t="s">
        <v>339</v>
      </c>
      <c r="G316" s="401"/>
      <c r="H316" s="402"/>
      <c r="I316" s="383">
        <v>89700</v>
      </c>
      <c r="J316" s="398">
        <v>139096</v>
      </c>
      <c r="K316" s="399" t="s">
        <v>70</v>
      </c>
      <c r="L316" s="399" t="s">
        <v>34</v>
      </c>
      <c r="M316" s="399">
        <v>20</v>
      </c>
      <c r="N316" s="356">
        <v>89700</v>
      </c>
      <c r="O316" s="28" t="b">
        <f t="shared" si="19"/>
        <v>1</v>
      </c>
    </row>
    <row r="317" spans="2:15" s="28" customFormat="1" ht="16.5" customHeight="1">
      <c r="B317" s="20"/>
      <c r="C317" s="20"/>
      <c r="D317" s="254"/>
      <c r="E317" s="379">
        <v>139097</v>
      </c>
      <c r="F317" s="395" t="s">
        <v>601</v>
      </c>
      <c r="G317" s="401"/>
      <c r="H317" s="402"/>
      <c r="I317" s="383">
        <v>987000</v>
      </c>
      <c r="J317" s="398">
        <v>139097</v>
      </c>
      <c r="K317" s="399" t="s">
        <v>71</v>
      </c>
      <c r="L317" s="399" t="s">
        <v>34</v>
      </c>
      <c r="M317" s="399">
        <v>200</v>
      </c>
      <c r="N317" s="356">
        <v>987000</v>
      </c>
      <c r="O317" s="28" t="b">
        <f t="shared" si="19"/>
        <v>1</v>
      </c>
    </row>
    <row r="318" spans="2:15" s="28" customFormat="1" ht="16.5" customHeight="1">
      <c r="B318" s="20"/>
      <c r="C318" s="20"/>
      <c r="D318" s="254"/>
      <c r="E318" s="379">
        <v>139099</v>
      </c>
      <c r="F318" s="395" t="s">
        <v>602</v>
      </c>
      <c r="G318" s="396"/>
      <c r="H318" s="397"/>
      <c r="I318" s="383">
        <v>637000</v>
      </c>
      <c r="J318" s="398">
        <v>139099</v>
      </c>
      <c r="K318" s="399" t="s">
        <v>71</v>
      </c>
      <c r="L318" s="399" t="s">
        <v>34</v>
      </c>
      <c r="M318" s="399">
        <v>200</v>
      </c>
      <c r="N318" s="356">
        <v>637000</v>
      </c>
      <c r="O318" s="28" t="b">
        <f t="shared" si="19"/>
        <v>1</v>
      </c>
    </row>
    <row r="319" spans="2:15" s="28" customFormat="1" ht="16.5" customHeight="1">
      <c r="B319" s="20"/>
      <c r="C319" s="20"/>
      <c r="D319" s="254"/>
      <c r="E319" s="379">
        <v>139101</v>
      </c>
      <c r="F319" s="395" t="s">
        <v>603</v>
      </c>
      <c r="G319" s="396"/>
      <c r="H319" s="397"/>
      <c r="I319" s="383">
        <v>616000</v>
      </c>
      <c r="J319" s="398">
        <v>139101</v>
      </c>
      <c r="K319" s="399" t="s">
        <v>71</v>
      </c>
      <c r="L319" s="399" t="s">
        <v>34</v>
      </c>
      <c r="M319" s="399">
        <v>200</v>
      </c>
      <c r="N319" s="356">
        <v>616000</v>
      </c>
      <c r="O319" s="28" t="b">
        <f t="shared" si="19"/>
        <v>1</v>
      </c>
    </row>
    <row r="320" spans="2:15" s="28" customFormat="1" ht="16.5" customHeight="1">
      <c r="B320" s="20"/>
      <c r="C320" s="20"/>
      <c r="D320" s="254"/>
      <c r="E320" s="379">
        <v>139103</v>
      </c>
      <c r="F320" s="395" t="s">
        <v>604</v>
      </c>
      <c r="G320" s="396"/>
      <c r="H320" s="397"/>
      <c r="I320" s="383">
        <v>564000</v>
      </c>
      <c r="J320" s="398">
        <v>139103</v>
      </c>
      <c r="K320" s="399" t="s">
        <v>71</v>
      </c>
      <c r="L320" s="399" t="s">
        <v>34</v>
      </c>
      <c r="M320" s="399">
        <v>200</v>
      </c>
      <c r="N320" s="356">
        <v>564000</v>
      </c>
      <c r="O320" s="28" t="b">
        <f t="shared" si="19"/>
        <v>1</v>
      </c>
    </row>
    <row r="321" spans="2:15" s="28" customFormat="1" ht="16.5" customHeight="1">
      <c r="B321" s="20"/>
      <c r="C321" s="20"/>
      <c r="D321" s="254"/>
      <c r="E321" s="379">
        <v>139105</v>
      </c>
      <c r="F321" s="395" t="s">
        <v>605</v>
      </c>
      <c r="G321" s="396"/>
      <c r="H321" s="397"/>
      <c r="I321" s="383">
        <v>628000</v>
      </c>
      <c r="J321" s="398">
        <v>139105</v>
      </c>
      <c r="K321" s="399" t="s">
        <v>71</v>
      </c>
      <c r="L321" s="399" t="s">
        <v>34</v>
      </c>
      <c r="M321" s="399">
        <v>200</v>
      </c>
      <c r="N321" s="356">
        <v>628000</v>
      </c>
      <c r="O321" s="28" t="b">
        <f t="shared" si="19"/>
        <v>1</v>
      </c>
    </row>
    <row r="322" spans="2:15" s="28" customFormat="1" ht="16.5" customHeight="1">
      <c r="B322" s="20"/>
      <c r="C322" s="20"/>
      <c r="D322" s="254"/>
      <c r="E322" s="379">
        <v>139106</v>
      </c>
      <c r="F322" s="395" t="s">
        <v>340</v>
      </c>
      <c r="G322" s="396"/>
      <c r="H322" s="397"/>
      <c r="I322" s="383">
        <v>76400</v>
      </c>
      <c r="J322" s="398">
        <v>139106</v>
      </c>
      <c r="K322" s="399" t="s">
        <v>70</v>
      </c>
      <c r="L322" s="399" t="s">
        <v>34</v>
      </c>
      <c r="M322" s="399">
        <v>20</v>
      </c>
      <c r="N322" s="356">
        <v>76400</v>
      </c>
      <c r="O322" s="28" t="b">
        <f t="shared" si="19"/>
        <v>1</v>
      </c>
    </row>
    <row r="323" spans="2:15" s="28" customFormat="1" ht="16.5" customHeight="1">
      <c r="B323" s="20"/>
      <c r="C323" s="20"/>
      <c r="D323" s="254"/>
      <c r="E323" s="379">
        <v>139107</v>
      </c>
      <c r="F323" s="395" t="s">
        <v>606</v>
      </c>
      <c r="G323" s="396"/>
      <c r="H323" s="397"/>
      <c r="I323" s="383">
        <v>630000</v>
      </c>
      <c r="J323" s="398">
        <v>139107</v>
      </c>
      <c r="K323" s="399" t="s">
        <v>71</v>
      </c>
      <c r="L323" s="399" t="s">
        <v>34</v>
      </c>
      <c r="M323" s="399">
        <v>200</v>
      </c>
      <c r="N323" s="356">
        <v>630000</v>
      </c>
      <c r="O323" s="28" t="b">
        <f t="shared" si="19"/>
        <v>1</v>
      </c>
    </row>
    <row r="324" spans="2:15" s="28" customFormat="1" ht="16.5" customHeight="1">
      <c r="B324" s="20"/>
      <c r="C324" s="20"/>
      <c r="D324" s="254"/>
      <c r="E324" s="379">
        <v>139108</v>
      </c>
      <c r="F324" s="395" t="s">
        <v>341</v>
      </c>
      <c r="G324" s="396"/>
      <c r="H324" s="397"/>
      <c r="I324" s="383" t="e">
        <v>#N/A</v>
      </c>
      <c r="J324" s="398">
        <v>139108</v>
      </c>
      <c r="K324" s="399" t="s">
        <v>70</v>
      </c>
      <c r="L324" s="399" t="s">
        <v>34</v>
      </c>
      <c r="M324" s="399">
        <v>20</v>
      </c>
      <c r="N324" s="356" t="e">
        <v>#N/A</v>
      </c>
      <c r="O324" s="28" t="e">
        <f t="shared" si="19"/>
        <v>#N/A</v>
      </c>
    </row>
    <row r="325" spans="2:15" s="28" customFormat="1" ht="16.5" customHeight="1">
      <c r="B325" s="20"/>
      <c r="C325" s="20"/>
      <c r="D325" s="254"/>
      <c r="E325" s="379">
        <v>139109</v>
      </c>
      <c r="F325" s="395" t="s">
        <v>607</v>
      </c>
      <c r="G325" s="396"/>
      <c r="H325" s="397"/>
      <c r="I325" s="383">
        <v>593000</v>
      </c>
      <c r="J325" s="398">
        <v>139109</v>
      </c>
      <c r="K325" s="399" t="s">
        <v>71</v>
      </c>
      <c r="L325" s="399" t="s">
        <v>34</v>
      </c>
      <c r="M325" s="399">
        <v>200</v>
      </c>
      <c r="N325" s="356">
        <v>593000</v>
      </c>
      <c r="O325" s="28" t="b">
        <f t="shared" si="19"/>
        <v>1</v>
      </c>
    </row>
    <row r="326" spans="2:15" s="28" customFormat="1" ht="16.5" customHeight="1">
      <c r="B326" s="20"/>
      <c r="C326" s="20"/>
      <c r="D326" s="254"/>
      <c r="E326" s="379">
        <v>139110</v>
      </c>
      <c r="F326" s="395" t="s">
        <v>342</v>
      </c>
      <c r="G326" s="396"/>
      <c r="H326" s="397"/>
      <c r="I326" s="383">
        <v>72300</v>
      </c>
      <c r="J326" s="398">
        <v>139110</v>
      </c>
      <c r="K326" s="399" t="s">
        <v>70</v>
      </c>
      <c r="L326" s="399" t="s">
        <v>34</v>
      </c>
      <c r="M326" s="399">
        <v>20</v>
      </c>
      <c r="N326" s="356">
        <v>72300</v>
      </c>
      <c r="O326" s="28" t="b">
        <f t="shared" si="19"/>
        <v>1</v>
      </c>
    </row>
    <row r="327" spans="2:15" s="28" customFormat="1" ht="16.5" customHeight="1">
      <c r="B327" s="20"/>
      <c r="C327" s="20"/>
      <c r="D327" s="254"/>
      <c r="E327" s="379">
        <v>139111</v>
      </c>
      <c r="F327" s="395" t="s">
        <v>608</v>
      </c>
      <c r="G327" s="396"/>
      <c r="H327" s="397"/>
      <c r="I327" s="383">
        <v>654000</v>
      </c>
      <c r="J327" s="398">
        <v>139111</v>
      </c>
      <c r="K327" s="399" t="s">
        <v>71</v>
      </c>
      <c r="L327" s="399" t="s">
        <v>34</v>
      </c>
      <c r="M327" s="399">
        <v>200</v>
      </c>
      <c r="N327" s="356">
        <v>654000</v>
      </c>
      <c r="O327" s="28" t="b">
        <f t="shared" si="19"/>
        <v>1</v>
      </c>
    </row>
    <row r="328" spans="2:15" s="28" customFormat="1" ht="16.5" customHeight="1">
      <c r="B328" s="20"/>
      <c r="C328" s="20"/>
      <c r="D328" s="254"/>
      <c r="E328" s="379">
        <v>139112</v>
      </c>
      <c r="F328" s="395" t="s">
        <v>343</v>
      </c>
      <c r="G328" s="396"/>
      <c r="H328" s="397"/>
      <c r="I328" s="383">
        <v>465000</v>
      </c>
      <c r="J328" s="398">
        <v>139112</v>
      </c>
      <c r="K328" s="399" t="s">
        <v>70</v>
      </c>
      <c r="L328" s="399" t="s">
        <v>34</v>
      </c>
      <c r="M328" s="399">
        <v>20</v>
      </c>
      <c r="N328" s="356">
        <v>465000</v>
      </c>
      <c r="O328" s="28" t="b">
        <f t="shared" si="19"/>
        <v>1</v>
      </c>
    </row>
    <row r="329" spans="2:15" s="28" customFormat="1" ht="16.5" customHeight="1">
      <c r="B329" s="20"/>
      <c r="C329" s="20"/>
      <c r="D329" s="254"/>
      <c r="E329" s="379">
        <v>139113</v>
      </c>
      <c r="F329" s="395" t="s">
        <v>344</v>
      </c>
      <c r="G329" s="396"/>
      <c r="H329" s="397"/>
      <c r="I329" s="383">
        <v>364000</v>
      </c>
      <c r="J329" s="398">
        <v>139113</v>
      </c>
      <c r="K329" s="399" t="s">
        <v>70</v>
      </c>
      <c r="L329" s="399" t="s">
        <v>34</v>
      </c>
      <c r="M329" s="399">
        <v>20</v>
      </c>
      <c r="N329" s="356">
        <v>364000</v>
      </c>
      <c r="O329" s="28" t="b">
        <f t="shared" si="19"/>
        <v>1</v>
      </c>
    </row>
    <row r="330" spans="2:15" s="28" customFormat="1" ht="16.5" customHeight="1">
      <c r="B330" s="20"/>
      <c r="C330" s="20"/>
      <c r="D330" s="254"/>
      <c r="E330" s="379">
        <v>139118</v>
      </c>
      <c r="F330" s="395" t="s">
        <v>609</v>
      </c>
      <c r="G330" s="396"/>
      <c r="H330" s="397"/>
      <c r="I330" s="383">
        <v>952000</v>
      </c>
      <c r="J330" s="398">
        <v>139118</v>
      </c>
      <c r="K330" s="399" t="s">
        <v>71</v>
      </c>
      <c r="L330" s="399" t="s">
        <v>34</v>
      </c>
      <c r="M330" s="399">
        <v>200</v>
      </c>
      <c r="N330" s="356">
        <v>952000</v>
      </c>
      <c r="O330" s="28" t="b">
        <f t="shared" si="19"/>
        <v>1</v>
      </c>
    </row>
    <row r="331" spans="2:15" s="28" customFormat="1" ht="16.5" customHeight="1">
      <c r="B331" s="20"/>
      <c r="C331" s="20"/>
      <c r="D331" s="254"/>
      <c r="E331" s="379">
        <v>139121</v>
      </c>
      <c r="F331" s="395" t="s">
        <v>610</v>
      </c>
      <c r="G331" s="396"/>
      <c r="H331" s="397"/>
      <c r="I331" s="383">
        <v>952000</v>
      </c>
      <c r="J331" s="398">
        <v>139121</v>
      </c>
      <c r="K331" s="399" t="s">
        <v>71</v>
      </c>
      <c r="L331" s="399" t="s">
        <v>34</v>
      </c>
      <c r="M331" s="399">
        <v>200</v>
      </c>
      <c r="N331" s="356">
        <v>952000</v>
      </c>
      <c r="O331" s="28" t="b">
        <f t="shared" si="19"/>
        <v>1</v>
      </c>
    </row>
    <row r="332" spans="2:15" s="28" customFormat="1" ht="16.5" customHeight="1">
      <c r="B332" s="20"/>
      <c r="C332" s="20"/>
      <c r="D332" s="254"/>
      <c r="E332" s="379">
        <v>139123</v>
      </c>
      <c r="F332" s="395" t="s">
        <v>611</v>
      </c>
      <c r="G332" s="396"/>
      <c r="H332" s="397"/>
      <c r="I332" s="383">
        <v>952000</v>
      </c>
      <c r="J332" s="398">
        <v>139123</v>
      </c>
      <c r="K332" s="399" t="s">
        <v>71</v>
      </c>
      <c r="L332" s="399" t="s">
        <v>34</v>
      </c>
      <c r="M332" s="399">
        <v>200</v>
      </c>
      <c r="N332" s="356">
        <v>952000</v>
      </c>
      <c r="O332" s="28" t="b">
        <f t="shared" si="19"/>
        <v>1</v>
      </c>
    </row>
    <row r="333" spans="2:15" s="28" customFormat="1" ht="16.5" customHeight="1">
      <c r="B333" s="20"/>
      <c r="C333" s="20"/>
      <c r="D333" s="254"/>
      <c r="E333" s="379">
        <v>139125</v>
      </c>
      <c r="F333" s="395" t="s">
        <v>612</v>
      </c>
      <c r="G333" s="396"/>
      <c r="H333" s="397"/>
      <c r="I333" s="383">
        <v>618000</v>
      </c>
      <c r="J333" s="398">
        <v>139125</v>
      </c>
      <c r="K333" s="399" t="s">
        <v>71</v>
      </c>
      <c r="L333" s="399" t="s">
        <v>34</v>
      </c>
      <c r="M333" s="399">
        <v>200</v>
      </c>
      <c r="N333" s="356">
        <v>618000</v>
      </c>
      <c r="O333" s="28" t="b">
        <f t="shared" si="19"/>
        <v>1</v>
      </c>
    </row>
    <row r="334" spans="2:15" s="28" customFormat="1" ht="16.5" customHeight="1">
      <c r="B334" s="20"/>
      <c r="C334" s="20"/>
      <c r="D334" s="254"/>
      <c r="E334" s="379">
        <v>139127</v>
      </c>
      <c r="F334" s="395" t="s">
        <v>244</v>
      </c>
      <c r="G334" s="396"/>
      <c r="H334" s="397"/>
      <c r="I334" s="383">
        <v>71000</v>
      </c>
      <c r="J334" s="398">
        <v>139127</v>
      </c>
      <c r="K334" s="399" t="s">
        <v>70</v>
      </c>
      <c r="L334" s="399" t="s">
        <v>34</v>
      </c>
      <c r="M334" s="399">
        <v>20</v>
      </c>
      <c r="N334" s="356">
        <v>71000</v>
      </c>
      <c r="O334" s="28" t="b">
        <f t="shared" si="19"/>
        <v>1</v>
      </c>
    </row>
    <row r="335" spans="2:15" s="28" customFormat="1" ht="16.5" customHeight="1">
      <c r="B335" s="20"/>
      <c r="C335" s="20"/>
      <c r="D335" s="254"/>
      <c r="E335" s="379">
        <v>139128</v>
      </c>
      <c r="F335" s="395" t="s">
        <v>613</v>
      </c>
      <c r="G335" s="396"/>
      <c r="H335" s="397"/>
      <c r="I335" s="383">
        <v>607000</v>
      </c>
      <c r="J335" s="398">
        <v>139128</v>
      </c>
      <c r="K335" s="399" t="s">
        <v>71</v>
      </c>
      <c r="L335" s="399" t="s">
        <v>34</v>
      </c>
      <c r="M335" s="399">
        <v>200</v>
      </c>
      <c r="N335" s="356">
        <v>607000</v>
      </c>
      <c r="O335" s="28" t="b">
        <f t="shared" si="19"/>
        <v>1</v>
      </c>
    </row>
    <row r="336" spans="2:15" s="28" customFormat="1" ht="16.5" customHeight="1">
      <c r="B336" s="20"/>
      <c r="C336" s="20"/>
      <c r="D336" s="254"/>
      <c r="E336" s="379">
        <v>139129</v>
      </c>
      <c r="F336" s="395" t="s">
        <v>245</v>
      </c>
      <c r="G336" s="396"/>
      <c r="H336" s="397"/>
      <c r="I336" s="383">
        <v>69800</v>
      </c>
      <c r="J336" s="398">
        <v>139129</v>
      </c>
      <c r="K336" s="399" t="s">
        <v>70</v>
      </c>
      <c r="L336" s="399" t="s">
        <v>34</v>
      </c>
      <c r="M336" s="399">
        <v>20</v>
      </c>
      <c r="N336" s="356">
        <v>69800</v>
      </c>
      <c r="O336" s="28" t="b">
        <f t="shared" si="19"/>
        <v>1</v>
      </c>
    </row>
    <row r="337" spans="2:15" s="28" customFormat="1" ht="16.5" customHeight="1">
      <c r="B337" s="20"/>
      <c r="C337" s="20"/>
      <c r="D337" s="254"/>
      <c r="E337" s="379">
        <v>139130</v>
      </c>
      <c r="F337" s="395" t="s">
        <v>614</v>
      </c>
      <c r="G337" s="396"/>
      <c r="H337" s="397"/>
      <c r="I337" s="383">
        <v>623000</v>
      </c>
      <c r="J337" s="398">
        <v>139130</v>
      </c>
      <c r="K337" s="399" t="s">
        <v>71</v>
      </c>
      <c r="L337" s="399" t="s">
        <v>34</v>
      </c>
      <c r="M337" s="399">
        <v>200</v>
      </c>
      <c r="N337" s="356">
        <v>623000</v>
      </c>
      <c r="O337" s="28" t="b">
        <f t="shared" si="19"/>
        <v>1</v>
      </c>
    </row>
    <row r="338" spans="2:15" s="28" customFormat="1" ht="16.5" customHeight="1">
      <c r="B338" s="20"/>
      <c r="C338" s="20"/>
      <c r="D338" s="254"/>
      <c r="E338" s="379">
        <v>139131</v>
      </c>
      <c r="F338" s="395" t="s">
        <v>237</v>
      </c>
      <c r="G338" s="396"/>
      <c r="H338" s="397"/>
      <c r="I338" s="383">
        <v>74600</v>
      </c>
      <c r="J338" s="398">
        <v>139131</v>
      </c>
      <c r="K338" s="399" t="s">
        <v>70</v>
      </c>
      <c r="L338" s="399" t="s">
        <v>34</v>
      </c>
      <c r="M338" s="399">
        <v>20</v>
      </c>
      <c r="N338" s="356">
        <v>74600</v>
      </c>
      <c r="O338" s="28" t="b">
        <f t="shared" si="19"/>
        <v>1</v>
      </c>
    </row>
    <row r="339" spans="2:15" s="28" customFormat="1" ht="16.5" customHeight="1">
      <c r="B339" s="20"/>
      <c r="C339" s="20"/>
      <c r="D339" s="254"/>
      <c r="E339" s="379">
        <v>139132</v>
      </c>
      <c r="F339" s="395" t="s">
        <v>615</v>
      </c>
      <c r="G339" s="396"/>
      <c r="H339" s="397"/>
      <c r="I339" s="383">
        <v>623000</v>
      </c>
      <c r="J339" s="398">
        <v>139132</v>
      </c>
      <c r="K339" s="399" t="s">
        <v>71</v>
      </c>
      <c r="L339" s="399" t="s">
        <v>34</v>
      </c>
      <c r="M339" s="399">
        <v>200</v>
      </c>
      <c r="N339" s="356">
        <v>623000</v>
      </c>
      <c r="O339" s="28" t="b">
        <f t="shared" si="19"/>
        <v>1</v>
      </c>
    </row>
    <row r="340" spans="2:15" s="28" customFormat="1" ht="16.5" customHeight="1">
      <c r="B340" s="20"/>
      <c r="C340" s="20"/>
      <c r="D340" s="254"/>
      <c r="E340" s="379">
        <v>139134</v>
      </c>
      <c r="F340" s="395" t="s">
        <v>227</v>
      </c>
      <c r="G340" s="396"/>
      <c r="H340" s="397"/>
      <c r="I340" s="383">
        <v>70900</v>
      </c>
      <c r="J340" s="398">
        <v>139134</v>
      </c>
      <c r="K340" s="399" t="s">
        <v>70</v>
      </c>
      <c r="L340" s="399" t="s">
        <v>34</v>
      </c>
      <c r="M340" s="399">
        <v>20</v>
      </c>
      <c r="N340" s="356">
        <v>70900</v>
      </c>
      <c r="O340" s="28" t="b">
        <f t="shared" si="19"/>
        <v>1</v>
      </c>
    </row>
    <row r="341" spans="2:15" s="28" customFormat="1" ht="16.5" customHeight="1">
      <c r="B341" s="20"/>
      <c r="C341" s="20"/>
      <c r="D341" s="254"/>
      <c r="E341" s="379">
        <v>139135</v>
      </c>
      <c r="F341" s="395" t="s">
        <v>616</v>
      </c>
      <c r="G341" s="396"/>
      <c r="H341" s="397"/>
      <c r="I341" s="383">
        <v>641000</v>
      </c>
      <c r="J341" s="398">
        <v>139135</v>
      </c>
      <c r="K341" s="399" t="s">
        <v>71</v>
      </c>
      <c r="L341" s="399" t="s">
        <v>34</v>
      </c>
      <c r="M341" s="399">
        <v>200</v>
      </c>
      <c r="N341" s="356">
        <v>641000</v>
      </c>
      <c r="O341" s="28" t="b">
        <f t="shared" si="19"/>
        <v>1</v>
      </c>
    </row>
    <row r="342" spans="2:15" s="28" customFormat="1" ht="16.5" customHeight="1">
      <c r="B342" s="20"/>
      <c r="C342" s="20"/>
      <c r="D342" s="254"/>
      <c r="E342" s="379">
        <v>139137</v>
      </c>
      <c r="F342" s="395" t="s">
        <v>246</v>
      </c>
      <c r="G342" s="396"/>
      <c r="H342" s="397"/>
      <c r="I342" s="383">
        <v>80900</v>
      </c>
      <c r="J342" s="398">
        <v>139137</v>
      </c>
      <c r="K342" s="399" t="s">
        <v>70</v>
      </c>
      <c r="L342" s="399" t="s">
        <v>34</v>
      </c>
      <c r="M342" s="399">
        <v>20</v>
      </c>
      <c r="N342" s="356">
        <v>80900</v>
      </c>
      <c r="O342" s="28" t="b">
        <f t="shared" si="19"/>
        <v>1</v>
      </c>
    </row>
    <row r="343" spans="2:15" s="28" customFormat="1" ht="16.5" customHeight="1">
      <c r="B343" s="20"/>
      <c r="C343" s="20"/>
      <c r="D343" s="254"/>
      <c r="E343" s="379">
        <v>139138</v>
      </c>
      <c r="F343" s="395" t="s">
        <v>617</v>
      </c>
      <c r="G343" s="396"/>
      <c r="H343" s="397"/>
      <c r="I343" s="383">
        <v>740000</v>
      </c>
      <c r="J343" s="398">
        <v>139138</v>
      </c>
      <c r="K343" s="399" t="s">
        <v>71</v>
      </c>
      <c r="L343" s="399" t="s">
        <v>34</v>
      </c>
      <c r="M343" s="399">
        <v>200</v>
      </c>
      <c r="N343" s="356">
        <v>740000</v>
      </c>
      <c r="O343" s="28" t="b">
        <f t="shared" si="19"/>
        <v>1</v>
      </c>
    </row>
    <row r="344" spans="2:15" s="28" customFormat="1" ht="16.5" customHeight="1">
      <c r="B344" s="20"/>
      <c r="C344" s="20"/>
      <c r="D344" s="254"/>
      <c r="E344" s="379">
        <v>139139</v>
      </c>
      <c r="F344" s="395" t="s">
        <v>247</v>
      </c>
      <c r="G344" s="396"/>
      <c r="H344" s="397"/>
      <c r="I344" s="383">
        <v>80900</v>
      </c>
      <c r="J344" s="398">
        <v>139139</v>
      </c>
      <c r="K344" s="399" t="s">
        <v>70</v>
      </c>
      <c r="L344" s="399" t="s">
        <v>34</v>
      </c>
      <c r="M344" s="399">
        <v>20</v>
      </c>
      <c r="N344" s="356">
        <v>80900</v>
      </c>
      <c r="O344" s="28" t="b">
        <f t="shared" si="19"/>
        <v>1</v>
      </c>
    </row>
    <row r="345" spans="2:15" s="28" customFormat="1" ht="16.5" customHeight="1">
      <c r="B345" s="20"/>
      <c r="C345" s="20"/>
      <c r="D345" s="254"/>
      <c r="E345" s="379">
        <v>139140</v>
      </c>
      <c r="F345" s="395" t="s">
        <v>618</v>
      </c>
      <c r="G345" s="396"/>
      <c r="H345" s="397"/>
      <c r="I345" s="383">
        <v>750000</v>
      </c>
      <c r="J345" s="398">
        <v>139140</v>
      </c>
      <c r="K345" s="399" t="s">
        <v>71</v>
      </c>
      <c r="L345" s="399" t="s">
        <v>34</v>
      </c>
      <c r="M345" s="399">
        <v>200</v>
      </c>
      <c r="N345" s="356">
        <v>750000</v>
      </c>
      <c r="O345" s="28" t="b">
        <f t="shared" si="19"/>
        <v>1</v>
      </c>
    </row>
    <row r="346" spans="2:15" s="28" customFormat="1" ht="16.5" customHeight="1">
      <c r="B346" s="20"/>
      <c r="C346" s="20"/>
      <c r="D346" s="254"/>
      <c r="E346" s="379">
        <v>139141</v>
      </c>
      <c r="F346" s="395" t="s">
        <v>345</v>
      </c>
      <c r="G346" s="396"/>
      <c r="H346" s="397"/>
      <c r="I346" s="383">
        <v>87100</v>
      </c>
      <c r="J346" s="398">
        <v>139141</v>
      </c>
      <c r="K346" s="399" t="s">
        <v>70</v>
      </c>
      <c r="L346" s="399" t="s">
        <v>34</v>
      </c>
      <c r="M346" s="399">
        <v>20</v>
      </c>
      <c r="N346" s="356">
        <v>87100</v>
      </c>
      <c r="O346" s="28" t="b">
        <f t="shared" ref="O346:O409" si="20">I346=N346</f>
        <v>1</v>
      </c>
    </row>
    <row r="347" spans="2:15" s="28" customFormat="1" ht="16.5" customHeight="1">
      <c r="B347" s="20"/>
      <c r="C347" s="20"/>
      <c r="D347" s="254"/>
      <c r="E347" s="379">
        <v>139142</v>
      </c>
      <c r="F347" s="395" t="s">
        <v>619</v>
      </c>
      <c r="G347" s="396"/>
      <c r="H347" s="397"/>
      <c r="I347" s="383">
        <v>423000</v>
      </c>
      <c r="J347" s="398">
        <v>139142</v>
      </c>
      <c r="K347" s="399" t="s">
        <v>71</v>
      </c>
      <c r="L347" s="399" t="s">
        <v>34</v>
      </c>
      <c r="M347" s="399">
        <v>200</v>
      </c>
      <c r="N347" s="356">
        <v>423000</v>
      </c>
      <c r="O347" s="28" t="b">
        <f t="shared" si="20"/>
        <v>1</v>
      </c>
    </row>
    <row r="348" spans="2:15" s="28" customFormat="1" ht="16.5" customHeight="1">
      <c r="B348" s="20"/>
      <c r="C348" s="20"/>
      <c r="D348" s="254"/>
      <c r="E348" s="379">
        <v>139143</v>
      </c>
      <c r="F348" s="395" t="s">
        <v>248</v>
      </c>
      <c r="G348" s="396"/>
      <c r="H348" s="397"/>
      <c r="I348" s="383">
        <v>44000</v>
      </c>
      <c r="J348" s="398">
        <v>139143</v>
      </c>
      <c r="K348" s="399" t="s">
        <v>70</v>
      </c>
      <c r="L348" s="399" t="s">
        <v>34</v>
      </c>
      <c r="M348" s="399">
        <v>20</v>
      </c>
      <c r="N348" s="356">
        <v>44000</v>
      </c>
      <c r="O348" s="28" t="b">
        <f t="shared" si="20"/>
        <v>1</v>
      </c>
    </row>
    <row r="349" spans="2:15" s="28" customFormat="1" ht="16.5" customHeight="1">
      <c r="B349" s="20"/>
      <c r="C349" s="20"/>
      <c r="D349" s="254"/>
      <c r="E349" s="379">
        <v>139144</v>
      </c>
      <c r="F349" s="395" t="s">
        <v>620</v>
      </c>
      <c r="G349" s="396"/>
      <c r="H349" s="397"/>
      <c r="I349" s="383">
        <v>423000</v>
      </c>
      <c r="J349" s="398">
        <v>139144</v>
      </c>
      <c r="K349" s="399" t="s">
        <v>71</v>
      </c>
      <c r="L349" s="399" t="s">
        <v>34</v>
      </c>
      <c r="M349" s="399">
        <v>200</v>
      </c>
      <c r="N349" s="356">
        <v>423000</v>
      </c>
      <c r="O349" s="28" t="b">
        <f t="shared" si="20"/>
        <v>1</v>
      </c>
    </row>
    <row r="350" spans="2:15" s="28" customFormat="1" ht="16.5" customHeight="1">
      <c r="B350" s="20"/>
      <c r="C350" s="20"/>
      <c r="D350" s="254"/>
      <c r="E350" s="379">
        <v>139145</v>
      </c>
      <c r="F350" s="395" t="s">
        <v>228</v>
      </c>
      <c r="G350" s="396"/>
      <c r="H350" s="397"/>
      <c r="I350" s="383">
        <v>44000</v>
      </c>
      <c r="J350" s="398">
        <v>139145</v>
      </c>
      <c r="K350" s="399" t="s">
        <v>70</v>
      </c>
      <c r="L350" s="399" t="s">
        <v>34</v>
      </c>
      <c r="M350" s="399">
        <v>20</v>
      </c>
      <c r="N350" s="356">
        <v>44000</v>
      </c>
      <c r="O350" s="28" t="b">
        <f t="shared" si="20"/>
        <v>1</v>
      </c>
    </row>
    <row r="351" spans="2:15" s="28" customFormat="1" ht="16.5" customHeight="1">
      <c r="B351" s="20"/>
      <c r="C351" s="20"/>
      <c r="D351" s="254"/>
      <c r="E351" s="379">
        <v>139146</v>
      </c>
      <c r="F351" s="395" t="s">
        <v>621</v>
      </c>
      <c r="G351" s="396"/>
      <c r="H351" s="397"/>
      <c r="I351" s="383">
        <v>455000</v>
      </c>
      <c r="J351" s="398">
        <v>139146</v>
      </c>
      <c r="K351" s="399" t="s">
        <v>71</v>
      </c>
      <c r="L351" s="399" t="s">
        <v>34</v>
      </c>
      <c r="M351" s="399">
        <v>200</v>
      </c>
      <c r="N351" s="356">
        <v>455000</v>
      </c>
      <c r="O351" s="28" t="b">
        <f t="shared" si="20"/>
        <v>1</v>
      </c>
    </row>
    <row r="352" spans="2:15" s="28" customFormat="1" ht="16.5" customHeight="1">
      <c r="B352" s="20"/>
      <c r="C352" s="20"/>
      <c r="D352" s="254"/>
      <c r="E352" s="379">
        <v>139147</v>
      </c>
      <c r="F352" s="395" t="s">
        <v>622</v>
      </c>
      <c r="G352" s="396"/>
      <c r="H352" s="397"/>
      <c r="I352" s="383">
        <v>475000</v>
      </c>
      <c r="J352" s="398">
        <v>139147</v>
      </c>
      <c r="K352" s="399" t="s">
        <v>71</v>
      </c>
      <c r="L352" s="399" t="s">
        <v>34</v>
      </c>
      <c r="M352" s="399">
        <v>200</v>
      </c>
      <c r="N352" s="356">
        <v>475000</v>
      </c>
      <c r="O352" s="28" t="b">
        <f t="shared" si="20"/>
        <v>1</v>
      </c>
    </row>
    <row r="353" spans="2:15" s="28" customFormat="1" ht="16.5" customHeight="1">
      <c r="B353" s="20"/>
      <c r="C353" s="20"/>
      <c r="D353" s="254"/>
      <c r="E353" s="379">
        <v>139148</v>
      </c>
      <c r="F353" s="395" t="s">
        <v>346</v>
      </c>
      <c r="G353" s="396"/>
      <c r="H353" s="397"/>
      <c r="I353" s="383">
        <v>50600</v>
      </c>
      <c r="J353" s="398">
        <v>139148</v>
      </c>
      <c r="K353" s="399" t="s">
        <v>70</v>
      </c>
      <c r="L353" s="399" t="s">
        <v>34</v>
      </c>
      <c r="M353" s="399">
        <v>20</v>
      </c>
      <c r="N353" s="356">
        <v>50600</v>
      </c>
      <c r="O353" s="28" t="b">
        <f t="shared" si="20"/>
        <v>1</v>
      </c>
    </row>
    <row r="354" spans="2:15" s="28" customFormat="1" ht="16.5" customHeight="1">
      <c r="B354" s="20"/>
      <c r="C354" s="20"/>
      <c r="D354" s="254"/>
      <c r="E354" s="379">
        <v>139149</v>
      </c>
      <c r="F354" s="395" t="s">
        <v>623</v>
      </c>
      <c r="G354" s="396"/>
      <c r="H354" s="397"/>
      <c r="I354" s="383">
        <v>539000</v>
      </c>
      <c r="J354" s="398">
        <v>139149</v>
      </c>
      <c r="K354" s="399" t="s">
        <v>71</v>
      </c>
      <c r="L354" s="399" t="s">
        <v>34</v>
      </c>
      <c r="M354" s="399">
        <v>200</v>
      </c>
      <c r="N354" s="356">
        <v>539000</v>
      </c>
      <c r="O354" s="28" t="b">
        <f t="shared" si="20"/>
        <v>1</v>
      </c>
    </row>
    <row r="355" spans="2:15" s="28" customFormat="1" ht="16.5" customHeight="1">
      <c r="B355" s="20"/>
      <c r="C355" s="20"/>
      <c r="D355" s="254"/>
      <c r="E355" s="379">
        <v>139150</v>
      </c>
      <c r="F355" s="395" t="s">
        <v>249</v>
      </c>
      <c r="G355" s="396"/>
      <c r="H355" s="397"/>
      <c r="I355" s="383">
        <v>56700</v>
      </c>
      <c r="J355" s="398">
        <v>139150</v>
      </c>
      <c r="K355" s="399" t="s">
        <v>70</v>
      </c>
      <c r="L355" s="399" t="s">
        <v>34</v>
      </c>
      <c r="M355" s="399">
        <v>20</v>
      </c>
      <c r="N355" s="356">
        <v>56700</v>
      </c>
      <c r="O355" s="28" t="b">
        <f t="shared" si="20"/>
        <v>1</v>
      </c>
    </row>
    <row r="356" spans="2:15" s="28" customFormat="1" ht="16.5" customHeight="1">
      <c r="B356" s="20"/>
      <c r="C356" s="20"/>
      <c r="D356" s="254"/>
      <c r="E356" s="379">
        <v>139151</v>
      </c>
      <c r="F356" s="395" t="s">
        <v>624</v>
      </c>
      <c r="G356" s="396"/>
      <c r="H356" s="397"/>
      <c r="I356" s="383">
        <v>539000</v>
      </c>
      <c r="J356" s="398">
        <v>139151</v>
      </c>
      <c r="K356" s="399" t="s">
        <v>71</v>
      </c>
      <c r="L356" s="399" t="s">
        <v>34</v>
      </c>
      <c r="M356" s="399">
        <v>200</v>
      </c>
      <c r="N356" s="356">
        <v>539000</v>
      </c>
      <c r="O356" s="28" t="b">
        <f t="shared" si="20"/>
        <v>1</v>
      </c>
    </row>
    <row r="357" spans="2:15" s="28" customFormat="1" ht="16.5" customHeight="1">
      <c r="B357" s="20"/>
      <c r="C357" s="20"/>
      <c r="D357" s="254"/>
      <c r="E357" s="379">
        <v>139152</v>
      </c>
      <c r="F357" s="395" t="s">
        <v>250</v>
      </c>
      <c r="G357" s="396"/>
      <c r="H357" s="397"/>
      <c r="I357" s="383">
        <v>56700</v>
      </c>
      <c r="J357" s="398">
        <v>139152</v>
      </c>
      <c r="K357" s="399" t="s">
        <v>70</v>
      </c>
      <c r="L357" s="399" t="s">
        <v>34</v>
      </c>
      <c r="M357" s="399">
        <v>20</v>
      </c>
      <c r="N357" s="356">
        <v>56700</v>
      </c>
      <c r="O357" s="28" t="b">
        <f t="shared" si="20"/>
        <v>1</v>
      </c>
    </row>
    <row r="358" spans="2:15" s="28" customFormat="1" ht="16.5" customHeight="1">
      <c r="B358" s="20"/>
      <c r="C358" s="20"/>
      <c r="D358" s="254"/>
      <c r="E358" s="379">
        <v>139153</v>
      </c>
      <c r="F358" s="395" t="s">
        <v>625</v>
      </c>
      <c r="G358" s="396"/>
      <c r="H358" s="397"/>
      <c r="I358" s="383">
        <v>580000</v>
      </c>
      <c r="J358" s="398">
        <v>139153</v>
      </c>
      <c r="K358" s="399" t="s">
        <v>71</v>
      </c>
      <c r="L358" s="399" t="s">
        <v>34</v>
      </c>
      <c r="M358" s="399">
        <v>200</v>
      </c>
      <c r="N358" s="356">
        <v>580000</v>
      </c>
      <c r="O358" s="28" t="b">
        <f t="shared" si="20"/>
        <v>1</v>
      </c>
    </row>
    <row r="359" spans="2:15" s="28" customFormat="1" ht="16.5" customHeight="1">
      <c r="B359" s="20"/>
      <c r="C359" s="20"/>
      <c r="D359" s="254"/>
      <c r="E359" s="379">
        <v>139154</v>
      </c>
      <c r="F359" s="395" t="s">
        <v>251</v>
      </c>
      <c r="G359" s="396"/>
      <c r="H359" s="397"/>
      <c r="I359" s="383">
        <v>60600</v>
      </c>
      <c r="J359" s="398">
        <v>139154</v>
      </c>
      <c r="K359" s="399" t="s">
        <v>70</v>
      </c>
      <c r="L359" s="399" t="s">
        <v>34</v>
      </c>
      <c r="M359" s="399">
        <v>20</v>
      </c>
      <c r="N359" s="356">
        <v>60600</v>
      </c>
      <c r="O359" s="28" t="b">
        <f t="shared" si="20"/>
        <v>1</v>
      </c>
    </row>
    <row r="360" spans="2:15" s="28" customFormat="1" ht="16.5" customHeight="1">
      <c r="B360" s="20"/>
      <c r="C360" s="20"/>
      <c r="D360" s="254"/>
      <c r="E360" s="379">
        <v>139155</v>
      </c>
      <c r="F360" s="395" t="s">
        <v>626</v>
      </c>
      <c r="G360" s="396"/>
      <c r="H360" s="397"/>
      <c r="I360" s="383">
        <v>610000</v>
      </c>
      <c r="J360" s="398">
        <v>139155</v>
      </c>
      <c r="K360" s="399" t="s">
        <v>71</v>
      </c>
      <c r="L360" s="399" t="s">
        <v>34</v>
      </c>
      <c r="M360" s="399">
        <v>200</v>
      </c>
      <c r="N360" s="356">
        <v>610000</v>
      </c>
      <c r="O360" s="28" t="b">
        <f t="shared" si="20"/>
        <v>1</v>
      </c>
    </row>
    <row r="361" spans="2:15" s="28" customFormat="1" ht="16.5" customHeight="1">
      <c r="B361" s="20"/>
      <c r="C361" s="20"/>
      <c r="D361" s="254"/>
      <c r="E361" s="379">
        <v>139156</v>
      </c>
      <c r="F361" s="395" t="s">
        <v>252</v>
      </c>
      <c r="G361" s="396"/>
      <c r="H361" s="397"/>
      <c r="I361" s="383">
        <v>64600</v>
      </c>
      <c r="J361" s="398">
        <v>139156</v>
      </c>
      <c r="K361" s="399" t="s">
        <v>70</v>
      </c>
      <c r="L361" s="399" t="s">
        <v>34</v>
      </c>
      <c r="M361" s="399">
        <v>20</v>
      </c>
      <c r="N361" s="356">
        <v>64600</v>
      </c>
      <c r="O361" s="28" t="b">
        <f t="shared" si="20"/>
        <v>1</v>
      </c>
    </row>
    <row r="362" spans="2:15" s="28" customFormat="1" ht="16.5" customHeight="1">
      <c r="B362" s="20"/>
      <c r="C362" s="20"/>
      <c r="D362" s="254"/>
      <c r="E362" s="379">
        <v>139158</v>
      </c>
      <c r="F362" s="395" t="s">
        <v>627</v>
      </c>
      <c r="G362" s="396"/>
      <c r="H362" s="397"/>
      <c r="I362" s="383">
        <v>636000</v>
      </c>
      <c r="J362" s="398">
        <v>139158</v>
      </c>
      <c r="K362" s="399" t="s">
        <v>71</v>
      </c>
      <c r="L362" s="399" t="s">
        <v>34</v>
      </c>
      <c r="M362" s="399">
        <v>200</v>
      </c>
      <c r="N362" s="356">
        <v>636000</v>
      </c>
      <c r="O362" s="28" t="b">
        <f t="shared" si="20"/>
        <v>1</v>
      </c>
    </row>
    <row r="363" spans="2:15" s="28" customFormat="1" ht="16.5" customHeight="1">
      <c r="B363" s="20"/>
      <c r="C363" s="20"/>
      <c r="D363" s="254"/>
      <c r="E363" s="379">
        <v>139160</v>
      </c>
      <c r="F363" s="395" t="s">
        <v>628</v>
      </c>
      <c r="G363" s="396"/>
      <c r="H363" s="397"/>
      <c r="I363" s="383">
        <v>683000</v>
      </c>
      <c r="J363" s="398">
        <v>139160</v>
      </c>
      <c r="K363" s="399" t="s">
        <v>71</v>
      </c>
      <c r="L363" s="399" t="s">
        <v>34</v>
      </c>
      <c r="M363" s="399">
        <v>200</v>
      </c>
      <c r="N363" s="356">
        <v>683000</v>
      </c>
      <c r="O363" s="28" t="b">
        <f t="shared" si="20"/>
        <v>1</v>
      </c>
    </row>
    <row r="364" spans="2:15" s="28" customFormat="1" ht="16.5" customHeight="1">
      <c r="B364" s="20"/>
      <c r="C364" s="20"/>
      <c r="D364" s="254"/>
      <c r="E364" s="379">
        <v>139161</v>
      </c>
      <c r="F364" s="395" t="s">
        <v>347</v>
      </c>
      <c r="G364" s="396"/>
      <c r="H364" s="397"/>
      <c r="I364" s="383">
        <v>80500</v>
      </c>
      <c r="J364" s="398">
        <v>139161</v>
      </c>
      <c r="K364" s="399" t="s">
        <v>70</v>
      </c>
      <c r="L364" s="399" t="s">
        <v>34</v>
      </c>
      <c r="M364" s="399">
        <v>20</v>
      </c>
      <c r="N364" s="356">
        <v>80500</v>
      </c>
      <c r="O364" s="28" t="b">
        <f t="shared" si="20"/>
        <v>1</v>
      </c>
    </row>
    <row r="365" spans="2:15" s="28" customFormat="1" ht="16.5" customHeight="1">
      <c r="B365" s="20"/>
      <c r="C365" s="20"/>
      <c r="D365" s="254"/>
      <c r="E365" s="379">
        <v>139163</v>
      </c>
      <c r="F365" s="395" t="s">
        <v>629</v>
      </c>
      <c r="G365" s="396"/>
      <c r="H365" s="397"/>
      <c r="I365" s="383">
        <v>763000</v>
      </c>
      <c r="J365" s="398">
        <v>139163</v>
      </c>
      <c r="K365" s="399" t="s">
        <v>71</v>
      </c>
      <c r="L365" s="399" t="s">
        <v>34</v>
      </c>
      <c r="M365" s="399">
        <v>200</v>
      </c>
      <c r="N365" s="356">
        <v>763000</v>
      </c>
      <c r="O365" s="28" t="b">
        <f t="shared" si="20"/>
        <v>1</v>
      </c>
    </row>
    <row r="366" spans="2:15" s="28" customFormat="1" ht="16.5" customHeight="1">
      <c r="B366" s="20"/>
      <c r="C366" s="20"/>
      <c r="D366" s="254"/>
      <c r="E366" s="379">
        <v>139164</v>
      </c>
      <c r="F366" s="395" t="s">
        <v>348</v>
      </c>
      <c r="G366" s="396"/>
      <c r="H366" s="397"/>
      <c r="I366" s="383">
        <v>80500</v>
      </c>
      <c r="J366" s="398">
        <v>139164</v>
      </c>
      <c r="K366" s="399" t="s">
        <v>70</v>
      </c>
      <c r="L366" s="399" t="s">
        <v>34</v>
      </c>
      <c r="M366" s="399">
        <v>20</v>
      </c>
      <c r="N366" s="356">
        <v>80500</v>
      </c>
      <c r="O366" s="28" t="b">
        <f t="shared" si="20"/>
        <v>1</v>
      </c>
    </row>
    <row r="367" spans="2:15" s="28" customFormat="1" ht="16.5" customHeight="1">
      <c r="B367" s="20"/>
      <c r="C367" s="20"/>
      <c r="D367" s="254"/>
      <c r="E367" s="379">
        <v>139167</v>
      </c>
      <c r="F367" s="395" t="s">
        <v>630</v>
      </c>
      <c r="G367" s="396"/>
      <c r="H367" s="397"/>
      <c r="I367" s="383">
        <v>499000</v>
      </c>
      <c r="J367" s="398">
        <v>139167</v>
      </c>
      <c r="K367" s="399" t="s">
        <v>71</v>
      </c>
      <c r="L367" s="399" t="s">
        <v>34</v>
      </c>
      <c r="M367" s="399">
        <v>200</v>
      </c>
      <c r="N367" s="356">
        <v>499000</v>
      </c>
      <c r="O367" s="28" t="b">
        <f t="shared" si="20"/>
        <v>1</v>
      </c>
    </row>
    <row r="368" spans="2:15" s="28" customFormat="1" ht="16.5" customHeight="1">
      <c r="B368" s="20"/>
      <c r="C368" s="20"/>
      <c r="D368" s="254"/>
      <c r="E368" s="379">
        <v>140145</v>
      </c>
      <c r="F368" s="395" t="s">
        <v>46</v>
      </c>
      <c r="G368" s="396"/>
      <c r="H368" s="397"/>
      <c r="I368" s="383">
        <v>183000</v>
      </c>
      <c r="J368" s="398">
        <v>140145</v>
      </c>
      <c r="K368" s="399" t="s">
        <v>70</v>
      </c>
      <c r="L368" s="399" t="s">
        <v>34</v>
      </c>
      <c r="M368" s="399">
        <v>16</v>
      </c>
      <c r="N368" s="356">
        <v>183000</v>
      </c>
      <c r="O368" s="28" t="b">
        <f t="shared" si="20"/>
        <v>1</v>
      </c>
    </row>
    <row r="369" spans="2:15" s="28" customFormat="1" ht="16.5" customHeight="1">
      <c r="B369" s="20"/>
      <c r="C369" s="20"/>
      <c r="D369" s="254"/>
      <c r="E369" s="379">
        <v>139600</v>
      </c>
      <c r="F369" s="395" t="s">
        <v>767</v>
      </c>
      <c r="G369" s="396"/>
      <c r="H369" s="397"/>
      <c r="I369" s="383">
        <v>482000</v>
      </c>
      <c r="J369" s="398">
        <v>139600</v>
      </c>
      <c r="K369" s="399" t="s">
        <v>70</v>
      </c>
      <c r="L369" s="399" t="s">
        <v>34</v>
      </c>
      <c r="M369" s="399">
        <v>20</v>
      </c>
      <c r="N369" s="356">
        <v>482000</v>
      </c>
      <c r="O369" s="28" t="b">
        <f t="shared" si="20"/>
        <v>1</v>
      </c>
    </row>
    <row r="370" spans="2:15" s="28" customFormat="1" ht="16.5" customHeight="1">
      <c r="B370" s="20"/>
      <c r="C370" s="20"/>
      <c r="D370" s="254"/>
      <c r="E370" s="379">
        <v>139639</v>
      </c>
      <c r="F370" s="395" t="s">
        <v>353</v>
      </c>
      <c r="G370" s="396"/>
      <c r="H370" s="397"/>
      <c r="I370" s="383">
        <v>94100</v>
      </c>
      <c r="J370" s="398">
        <v>139639</v>
      </c>
      <c r="K370" s="399" t="s">
        <v>70</v>
      </c>
      <c r="L370" s="399" t="s">
        <v>34</v>
      </c>
      <c r="M370" s="399">
        <v>20</v>
      </c>
      <c r="N370" s="356">
        <v>94100</v>
      </c>
      <c r="O370" s="28" t="b">
        <f t="shared" si="20"/>
        <v>1</v>
      </c>
    </row>
    <row r="371" spans="2:15" s="28" customFormat="1" ht="16.5" customHeight="1">
      <c r="B371" s="20"/>
      <c r="C371" s="20"/>
      <c r="D371" s="254"/>
      <c r="E371" s="379">
        <v>139643</v>
      </c>
      <c r="F371" s="395" t="s">
        <v>354</v>
      </c>
      <c r="G371" s="396"/>
      <c r="H371" s="397"/>
      <c r="I371" s="383">
        <v>79200</v>
      </c>
      <c r="J371" s="398">
        <v>139643</v>
      </c>
      <c r="K371" s="399" t="s">
        <v>70</v>
      </c>
      <c r="L371" s="399" t="s">
        <v>34</v>
      </c>
      <c r="M371" s="399">
        <v>20</v>
      </c>
      <c r="N371" s="356">
        <v>79200</v>
      </c>
      <c r="O371" s="28" t="b">
        <f t="shared" si="20"/>
        <v>1</v>
      </c>
    </row>
    <row r="372" spans="2:15" s="28" customFormat="1" ht="16.5" customHeight="1">
      <c r="B372" s="20"/>
      <c r="C372" s="20"/>
      <c r="D372" s="254"/>
      <c r="E372" s="379">
        <v>148679</v>
      </c>
      <c r="F372" s="395" t="s">
        <v>421</v>
      </c>
      <c r="G372" s="396"/>
      <c r="H372" s="397"/>
      <c r="I372" s="383">
        <v>645000</v>
      </c>
      <c r="J372" s="398">
        <v>148679</v>
      </c>
      <c r="K372" s="399" t="s">
        <v>71</v>
      </c>
      <c r="L372" s="399" t="s">
        <v>34</v>
      </c>
      <c r="M372" s="399">
        <v>208</v>
      </c>
      <c r="N372" s="356">
        <v>645000</v>
      </c>
      <c r="O372" s="28" t="b">
        <f t="shared" si="20"/>
        <v>1</v>
      </c>
    </row>
    <row r="373" spans="2:15" s="28" customFormat="1" ht="16.5" customHeight="1">
      <c r="B373" s="20"/>
      <c r="C373" s="20"/>
      <c r="D373" s="254"/>
      <c r="E373" s="379">
        <v>141825</v>
      </c>
      <c r="F373" s="395" t="s">
        <v>641</v>
      </c>
      <c r="G373" s="396"/>
      <c r="H373" s="397"/>
      <c r="I373" s="383">
        <v>2660000</v>
      </c>
      <c r="J373" s="398">
        <v>141825</v>
      </c>
      <c r="K373" s="399" t="s">
        <v>71</v>
      </c>
      <c r="L373" s="399" t="s">
        <v>34</v>
      </c>
      <c r="M373" s="399">
        <v>208</v>
      </c>
      <c r="N373" s="356">
        <v>2660000</v>
      </c>
      <c r="O373" s="28" t="b">
        <f t="shared" si="20"/>
        <v>1</v>
      </c>
    </row>
    <row r="374" spans="2:15" s="28" customFormat="1" ht="16.5" customHeight="1">
      <c r="B374" s="20"/>
      <c r="C374" s="20"/>
      <c r="D374" s="254"/>
      <c r="E374" s="379">
        <v>139819</v>
      </c>
      <c r="F374" s="395" t="s">
        <v>642</v>
      </c>
      <c r="G374" s="396"/>
      <c r="H374" s="397"/>
      <c r="I374" s="383">
        <v>2692000</v>
      </c>
      <c r="J374" s="398">
        <v>139819</v>
      </c>
      <c r="K374" s="399" t="s">
        <v>71</v>
      </c>
      <c r="L374" s="399" t="s">
        <v>34</v>
      </c>
      <c r="M374" s="399">
        <v>208</v>
      </c>
      <c r="N374" s="356">
        <v>2692000</v>
      </c>
      <c r="O374" s="28" t="b">
        <f t="shared" si="20"/>
        <v>1</v>
      </c>
    </row>
    <row r="375" spans="2:15" s="28" customFormat="1" ht="16.5" customHeight="1">
      <c r="B375" s="20"/>
      <c r="C375" s="20"/>
      <c r="D375" s="254"/>
      <c r="E375" s="379">
        <v>139821</v>
      </c>
      <c r="F375" s="395" t="s">
        <v>643</v>
      </c>
      <c r="G375" s="396"/>
      <c r="H375" s="397"/>
      <c r="I375" s="383">
        <v>3429000</v>
      </c>
      <c r="J375" s="398">
        <v>139821</v>
      </c>
      <c r="K375" s="399" t="s">
        <v>71</v>
      </c>
      <c r="L375" s="399" t="s">
        <v>34</v>
      </c>
      <c r="M375" s="399">
        <v>208</v>
      </c>
      <c r="N375" s="356">
        <v>3429000</v>
      </c>
      <c r="O375" s="28" t="b">
        <f t="shared" si="20"/>
        <v>1</v>
      </c>
    </row>
    <row r="376" spans="2:15" s="28" customFormat="1" ht="16.5" customHeight="1">
      <c r="B376" s="20"/>
      <c r="C376" s="20"/>
      <c r="D376" s="254"/>
      <c r="E376" s="379">
        <v>143919</v>
      </c>
      <c r="F376" s="395" t="s">
        <v>863</v>
      </c>
      <c r="G376" s="396"/>
      <c r="H376" s="397"/>
      <c r="I376" s="383">
        <v>64000</v>
      </c>
      <c r="J376" s="398">
        <v>143919</v>
      </c>
      <c r="K376" s="399" t="s">
        <v>73</v>
      </c>
      <c r="L376" s="399" t="s">
        <v>34</v>
      </c>
      <c r="M376" s="399">
        <v>4.68</v>
      </c>
      <c r="N376" s="356">
        <v>64000</v>
      </c>
      <c r="O376" s="28" t="b">
        <f t="shared" si="20"/>
        <v>1</v>
      </c>
    </row>
    <row r="377" spans="2:15" s="28" customFormat="1" ht="16.5" customHeight="1">
      <c r="B377" s="20"/>
      <c r="C377" s="20"/>
      <c r="D377" s="254"/>
      <c r="E377" s="379">
        <v>141840</v>
      </c>
      <c r="F377" s="395" t="s">
        <v>358</v>
      </c>
      <c r="G377" s="396"/>
      <c r="H377" s="397"/>
      <c r="I377" s="383">
        <v>270000</v>
      </c>
      <c r="J377" s="398">
        <v>141840</v>
      </c>
      <c r="K377" s="399" t="s">
        <v>70</v>
      </c>
      <c r="L377" s="399" t="s">
        <v>34</v>
      </c>
      <c r="M377" s="399">
        <v>20</v>
      </c>
      <c r="N377" s="356">
        <v>270000</v>
      </c>
      <c r="O377" s="28" t="b">
        <f t="shared" si="20"/>
        <v>1</v>
      </c>
    </row>
    <row r="378" spans="2:15" s="28" customFormat="1" ht="16.5" customHeight="1">
      <c r="B378" s="20"/>
      <c r="C378" s="20"/>
      <c r="D378" s="254"/>
      <c r="E378" s="379">
        <v>139962</v>
      </c>
      <c r="F378" s="395" t="s">
        <v>359</v>
      </c>
      <c r="G378" s="396"/>
      <c r="H378" s="397"/>
      <c r="I378" s="383">
        <v>255000</v>
      </c>
      <c r="J378" s="398">
        <v>139962</v>
      </c>
      <c r="K378" s="399" t="s">
        <v>70</v>
      </c>
      <c r="L378" s="399" t="s">
        <v>34</v>
      </c>
      <c r="M378" s="399">
        <v>20</v>
      </c>
      <c r="N378" s="356">
        <v>255000</v>
      </c>
      <c r="O378" s="28" t="b">
        <f t="shared" si="20"/>
        <v>1</v>
      </c>
    </row>
    <row r="379" spans="2:15" s="28" customFormat="1" ht="16.5" customHeight="1">
      <c r="B379" s="20"/>
      <c r="C379" s="20"/>
      <c r="D379" s="254"/>
      <c r="E379" s="379">
        <v>139963</v>
      </c>
      <c r="F379" s="395" t="s">
        <v>360</v>
      </c>
      <c r="G379" s="396"/>
      <c r="H379" s="397"/>
      <c r="I379" s="383">
        <v>271000</v>
      </c>
      <c r="J379" s="398">
        <v>139963</v>
      </c>
      <c r="K379" s="399" t="s">
        <v>70</v>
      </c>
      <c r="L379" s="399" t="s">
        <v>34</v>
      </c>
      <c r="M379" s="399">
        <v>20</v>
      </c>
      <c r="N379" s="356">
        <v>271000</v>
      </c>
      <c r="O379" s="28" t="b">
        <f t="shared" si="20"/>
        <v>1</v>
      </c>
    </row>
    <row r="380" spans="2:15" s="28" customFormat="1" ht="16.5" customHeight="1">
      <c r="B380" s="20"/>
      <c r="C380" s="20"/>
      <c r="D380" s="254"/>
      <c r="E380" s="379">
        <v>140058</v>
      </c>
      <c r="F380" s="395" t="s">
        <v>645</v>
      </c>
      <c r="G380" s="396"/>
      <c r="H380" s="397"/>
      <c r="I380" s="383">
        <v>520000</v>
      </c>
      <c r="J380" s="398">
        <v>140058</v>
      </c>
      <c r="K380" s="399" t="s">
        <v>71</v>
      </c>
      <c r="L380" s="399" t="s">
        <v>34</v>
      </c>
      <c r="M380" s="399">
        <v>200</v>
      </c>
      <c r="N380" s="356">
        <v>520000</v>
      </c>
      <c r="O380" s="28" t="b">
        <f t="shared" si="20"/>
        <v>1</v>
      </c>
    </row>
    <row r="381" spans="2:15" s="28" customFormat="1" ht="16.5" customHeight="1">
      <c r="B381" s="20"/>
      <c r="C381" s="20"/>
      <c r="D381" s="254"/>
      <c r="E381" s="379">
        <v>140059</v>
      </c>
      <c r="F381" s="395" t="s">
        <v>361</v>
      </c>
      <c r="G381" s="396"/>
      <c r="H381" s="397"/>
      <c r="I381" s="383">
        <v>54000</v>
      </c>
      <c r="J381" s="398">
        <v>140059</v>
      </c>
      <c r="K381" s="399" t="s">
        <v>70</v>
      </c>
      <c r="L381" s="399" t="s">
        <v>34</v>
      </c>
      <c r="M381" s="399">
        <v>20</v>
      </c>
      <c r="N381" s="356">
        <v>54000</v>
      </c>
      <c r="O381" s="28" t="b">
        <f t="shared" si="20"/>
        <v>1</v>
      </c>
    </row>
    <row r="382" spans="2:15" s="28" customFormat="1" ht="16.5" customHeight="1">
      <c r="B382" s="20"/>
      <c r="C382" s="20"/>
      <c r="D382" s="254"/>
      <c r="E382" s="379">
        <v>140107</v>
      </c>
      <c r="F382" s="395" t="s">
        <v>646</v>
      </c>
      <c r="G382" s="396"/>
      <c r="H382" s="397"/>
      <c r="I382" s="383">
        <v>3193000</v>
      </c>
      <c r="J382" s="398">
        <v>140107</v>
      </c>
      <c r="K382" s="399" t="s">
        <v>71</v>
      </c>
      <c r="L382" s="399" t="s">
        <v>34</v>
      </c>
      <c r="M382" s="399">
        <v>193.8</v>
      </c>
      <c r="N382" s="356">
        <v>3193000</v>
      </c>
      <c r="O382" s="28" t="b">
        <f t="shared" si="20"/>
        <v>1</v>
      </c>
    </row>
    <row r="383" spans="2:15" s="28" customFormat="1" ht="16.5" customHeight="1">
      <c r="B383" s="20"/>
      <c r="C383" s="20"/>
      <c r="D383" s="254"/>
      <c r="E383" s="379">
        <v>140108</v>
      </c>
      <c r="F383" s="395" t="s">
        <v>647</v>
      </c>
      <c r="G383" s="396"/>
      <c r="H383" s="397"/>
      <c r="I383" s="383">
        <v>3403000</v>
      </c>
      <c r="J383" s="398">
        <v>140108</v>
      </c>
      <c r="K383" s="399" t="s">
        <v>71</v>
      </c>
      <c r="L383" s="399" t="s">
        <v>34</v>
      </c>
      <c r="M383" s="399">
        <v>193.8</v>
      </c>
      <c r="N383" s="356">
        <v>3403000</v>
      </c>
      <c r="O383" s="28" t="b">
        <f t="shared" si="20"/>
        <v>1</v>
      </c>
    </row>
    <row r="384" spans="2:15" s="28" customFormat="1" ht="16.5" customHeight="1">
      <c r="B384" s="20"/>
      <c r="C384" s="20"/>
      <c r="D384" s="254"/>
      <c r="E384" s="379">
        <v>140109</v>
      </c>
      <c r="F384" s="395" t="s">
        <v>362</v>
      </c>
      <c r="G384" s="396"/>
      <c r="H384" s="397"/>
      <c r="I384" s="383">
        <v>320000</v>
      </c>
      <c r="J384" s="398">
        <v>140109</v>
      </c>
      <c r="K384" s="399" t="s">
        <v>70</v>
      </c>
      <c r="L384" s="399" t="s">
        <v>34</v>
      </c>
      <c r="M384" s="399">
        <v>17.457000000000001</v>
      </c>
      <c r="N384" s="356">
        <v>320000</v>
      </c>
      <c r="O384" s="28" t="b">
        <f t="shared" si="20"/>
        <v>1</v>
      </c>
    </row>
    <row r="385" spans="2:15" s="28" customFormat="1" ht="16.5" customHeight="1">
      <c r="B385" s="20"/>
      <c r="C385" s="20"/>
      <c r="D385" s="254"/>
      <c r="E385" s="379">
        <v>140110</v>
      </c>
      <c r="F385" s="395" t="s">
        <v>648</v>
      </c>
      <c r="G385" s="396"/>
      <c r="H385" s="397"/>
      <c r="I385" s="383">
        <v>3231000</v>
      </c>
      <c r="J385" s="398">
        <v>140110</v>
      </c>
      <c r="K385" s="399" t="s">
        <v>71</v>
      </c>
      <c r="L385" s="399" t="s">
        <v>34</v>
      </c>
      <c r="M385" s="399">
        <v>193.8</v>
      </c>
      <c r="N385" s="356">
        <v>3231000</v>
      </c>
      <c r="O385" s="28" t="b">
        <f t="shared" si="20"/>
        <v>1</v>
      </c>
    </row>
    <row r="386" spans="2:15" s="28" customFormat="1" ht="16.5" customHeight="1">
      <c r="B386" s="20"/>
      <c r="C386" s="20"/>
      <c r="D386" s="254"/>
      <c r="E386" s="379">
        <v>140111</v>
      </c>
      <c r="F386" s="395" t="s">
        <v>363</v>
      </c>
      <c r="G386" s="396"/>
      <c r="H386" s="397"/>
      <c r="I386" s="383">
        <v>326000</v>
      </c>
      <c r="J386" s="398">
        <v>140111</v>
      </c>
      <c r="K386" s="399" t="s">
        <v>70</v>
      </c>
      <c r="L386" s="399" t="s">
        <v>34</v>
      </c>
      <c r="M386" s="399">
        <v>17.329999999999998</v>
      </c>
      <c r="N386" s="356">
        <v>326000</v>
      </c>
      <c r="O386" s="28" t="b">
        <f t="shared" si="20"/>
        <v>1</v>
      </c>
    </row>
    <row r="387" spans="2:15" s="28" customFormat="1" ht="16.5" customHeight="1">
      <c r="B387" s="20"/>
      <c r="C387" s="20"/>
      <c r="D387" s="254"/>
      <c r="E387" s="379">
        <v>140112</v>
      </c>
      <c r="F387" s="395" t="s">
        <v>364</v>
      </c>
      <c r="G387" s="396"/>
      <c r="H387" s="397"/>
      <c r="I387" s="383">
        <v>340000</v>
      </c>
      <c r="J387" s="398">
        <v>140112</v>
      </c>
      <c r="K387" s="399" t="s">
        <v>70</v>
      </c>
      <c r="L387" s="399" t="s">
        <v>34</v>
      </c>
      <c r="M387" s="399">
        <v>17.329999999999998</v>
      </c>
      <c r="N387" s="356">
        <v>340000</v>
      </c>
      <c r="O387" s="28" t="b">
        <f t="shared" si="20"/>
        <v>1</v>
      </c>
    </row>
    <row r="388" spans="2:15" s="28" customFormat="1" ht="16.5" customHeight="1">
      <c r="B388" s="20"/>
      <c r="C388" s="20"/>
      <c r="D388" s="254"/>
      <c r="E388" s="379">
        <v>140139</v>
      </c>
      <c r="F388" s="395" t="s">
        <v>368</v>
      </c>
      <c r="G388" s="396"/>
      <c r="H388" s="397"/>
      <c r="I388" s="383">
        <v>140000</v>
      </c>
      <c r="J388" s="398">
        <v>140139</v>
      </c>
      <c r="K388" s="399" t="s">
        <v>70</v>
      </c>
      <c r="L388" s="399" t="s">
        <v>34</v>
      </c>
      <c r="M388" s="399">
        <v>16</v>
      </c>
      <c r="N388" s="356">
        <v>140000</v>
      </c>
      <c r="O388" s="28" t="b">
        <f t="shared" si="20"/>
        <v>1</v>
      </c>
    </row>
    <row r="389" spans="2:15" s="28" customFormat="1" ht="16.5" customHeight="1">
      <c r="B389" s="20"/>
      <c r="C389" s="20"/>
      <c r="D389" s="254"/>
      <c r="E389" s="379">
        <v>140140</v>
      </c>
      <c r="F389" s="395" t="s">
        <v>369</v>
      </c>
      <c r="G389" s="396"/>
      <c r="H389" s="397"/>
      <c r="I389" s="383">
        <v>120000</v>
      </c>
      <c r="J389" s="398">
        <v>140140</v>
      </c>
      <c r="K389" s="399" t="s">
        <v>70</v>
      </c>
      <c r="L389" s="399" t="s">
        <v>34</v>
      </c>
      <c r="M389" s="399">
        <v>16</v>
      </c>
      <c r="N389" s="356">
        <v>120000</v>
      </c>
      <c r="O389" s="28" t="b">
        <f t="shared" si="20"/>
        <v>1</v>
      </c>
    </row>
    <row r="390" spans="2:15" s="28" customFormat="1" ht="16.5" customHeight="1">
      <c r="B390" s="20"/>
      <c r="C390" s="20"/>
      <c r="D390" s="254"/>
      <c r="E390" s="379">
        <v>140141</v>
      </c>
      <c r="F390" s="395" t="s">
        <v>370</v>
      </c>
      <c r="G390" s="396"/>
      <c r="H390" s="397"/>
      <c r="I390" s="383">
        <v>188000</v>
      </c>
      <c r="J390" s="398">
        <v>140141</v>
      </c>
      <c r="K390" s="399" t="s">
        <v>70</v>
      </c>
      <c r="L390" s="399" t="s">
        <v>34</v>
      </c>
      <c r="M390" s="399">
        <v>16</v>
      </c>
      <c r="N390" s="356">
        <v>188000</v>
      </c>
      <c r="O390" s="28" t="b">
        <f t="shared" si="20"/>
        <v>1</v>
      </c>
    </row>
    <row r="391" spans="2:15" s="28" customFormat="1" ht="16.5" customHeight="1">
      <c r="B391" s="20"/>
      <c r="C391" s="20"/>
      <c r="D391" s="254"/>
      <c r="E391" s="379">
        <v>140142</v>
      </c>
      <c r="F391" s="395" t="s">
        <v>371</v>
      </c>
      <c r="G391" s="396"/>
      <c r="H391" s="397"/>
      <c r="I391" s="383">
        <v>130000</v>
      </c>
      <c r="J391" s="398">
        <v>140142</v>
      </c>
      <c r="K391" s="399" t="s">
        <v>70</v>
      </c>
      <c r="L391" s="399" t="s">
        <v>34</v>
      </c>
      <c r="M391" s="399">
        <v>16</v>
      </c>
      <c r="N391" s="356">
        <v>130000</v>
      </c>
      <c r="O391" s="28" t="b">
        <f t="shared" si="20"/>
        <v>1</v>
      </c>
    </row>
    <row r="392" spans="2:15" s="28" customFormat="1" ht="16.5" customHeight="1">
      <c r="B392" s="20"/>
      <c r="C392" s="20"/>
      <c r="D392" s="254"/>
      <c r="E392" s="379">
        <v>140143</v>
      </c>
      <c r="F392" s="395" t="s">
        <v>372</v>
      </c>
      <c r="G392" s="396"/>
      <c r="H392" s="397"/>
      <c r="I392" s="383">
        <v>203000</v>
      </c>
      <c r="J392" s="398">
        <v>140143</v>
      </c>
      <c r="K392" s="399" t="s">
        <v>70</v>
      </c>
      <c r="L392" s="399" t="s">
        <v>34</v>
      </c>
      <c r="M392" s="399">
        <v>16</v>
      </c>
      <c r="N392" s="356">
        <v>203000</v>
      </c>
      <c r="O392" s="28" t="b">
        <f t="shared" si="20"/>
        <v>1</v>
      </c>
    </row>
    <row r="393" spans="2:15" s="28" customFormat="1" ht="16.5" customHeight="1">
      <c r="B393" s="20"/>
      <c r="C393" s="20"/>
      <c r="D393" s="254"/>
      <c r="E393" s="379">
        <v>140148</v>
      </c>
      <c r="F393" s="395" t="s">
        <v>650</v>
      </c>
      <c r="G393" s="401"/>
      <c r="H393" s="402"/>
      <c r="I393" s="383">
        <v>1484000</v>
      </c>
      <c r="J393" s="398">
        <v>140148</v>
      </c>
      <c r="K393" s="399" t="s">
        <v>71</v>
      </c>
      <c r="L393" s="399" t="s">
        <v>34</v>
      </c>
      <c r="M393" s="399">
        <v>180</v>
      </c>
      <c r="N393" s="356">
        <v>1484000</v>
      </c>
      <c r="O393" s="28" t="b">
        <f t="shared" si="20"/>
        <v>1</v>
      </c>
    </row>
    <row r="394" spans="2:15" s="28" customFormat="1" ht="16.5" customHeight="1">
      <c r="B394" s="20"/>
      <c r="C394" s="20"/>
      <c r="D394" s="254"/>
      <c r="E394" s="379">
        <v>140149</v>
      </c>
      <c r="F394" s="395" t="s">
        <v>651</v>
      </c>
      <c r="G394" s="396"/>
      <c r="H394" s="397"/>
      <c r="I394" s="383">
        <v>1303000</v>
      </c>
      <c r="J394" s="398">
        <v>140149</v>
      </c>
      <c r="K394" s="399" t="s">
        <v>71</v>
      </c>
      <c r="L394" s="399" t="s">
        <v>34</v>
      </c>
      <c r="M394" s="399">
        <v>180</v>
      </c>
      <c r="N394" s="356">
        <v>1303000</v>
      </c>
      <c r="O394" s="28" t="b">
        <f t="shared" si="20"/>
        <v>1</v>
      </c>
    </row>
    <row r="395" spans="2:15" s="28" customFormat="1" ht="16.5" customHeight="1">
      <c r="B395" s="20"/>
      <c r="C395" s="20"/>
      <c r="D395" s="254"/>
      <c r="E395" s="379">
        <v>140150</v>
      </c>
      <c r="F395" s="395" t="s">
        <v>652</v>
      </c>
      <c r="G395" s="396"/>
      <c r="H395" s="397"/>
      <c r="I395" s="383">
        <v>1484000</v>
      </c>
      <c r="J395" s="398">
        <v>140150</v>
      </c>
      <c r="K395" s="399" t="s">
        <v>71</v>
      </c>
      <c r="L395" s="399" t="s">
        <v>34</v>
      </c>
      <c r="M395" s="399">
        <v>180</v>
      </c>
      <c r="N395" s="356">
        <v>1484000</v>
      </c>
      <c r="O395" s="28" t="b">
        <f t="shared" si="20"/>
        <v>1</v>
      </c>
    </row>
    <row r="396" spans="2:15" s="28" customFormat="1" ht="16.5" customHeight="1">
      <c r="B396" s="20"/>
      <c r="C396" s="20"/>
      <c r="D396" s="254"/>
      <c r="E396" s="379">
        <v>140151</v>
      </c>
      <c r="F396" s="395" t="s">
        <v>653</v>
      </c>
      <c r="G396" s="396"/>
      <c r="H396" s="397"/>
      <c r="I396" s="383">
        <v>1568000</v>
      </c>
      <c r="J396" s="398">
        <v>140151</v>
      </c>
      <c r="K396" s="399" t="s">
        <v>71</v>
      </c>
      <c r="L396" s="399" t="s">
        <v>34</v>
      </c>
      <c r="M396" s="399">
        <v>180</v>
      </c>
      <c r="N396" s="356">
        <v>1568000</v>
      </c>
      <c r="O396" s="28" t="b">
        <f t="shared" si="20"/>
        <v>1</v>
      </c>
    </row>
    <row r="397" spans="2:15" s="28" customFormat="1" ht="16.5" customHeight="1">
      <c r="B397" s="20"/>
      <c r="C397" s="20"/>
      <c r="D397" s="254"/>
      <c r="E397" s="379">
        <v>140152</v>
      </c>
      <c r="F397" s="395" t="s">
        <v>654</v>
      </c>
      <c r="G397" s="396"/>
      <c r="H397" s="397"/>
      <c r="I397" s="383">
        <v>2126000</v>
      </c>
      <c r="J397" s="398">
        <v>140152</v>
      </c>
      <c r="K397" s="399" t="s">
        <v>71</v>
      </c>
      <c r="L397" s="399" t="s">
        <v>34</v>
      </c>
      <c r="M397" s="399">
        <v>180</v>
      </c>
      <c r="N397" s="356">
        <v>2126000</v>
      </c>
      <c r="O397" s="28" t="b">
        <f t="shared" si="20"/>
        <v>1</v>
      </c>
    </row>
    <row r="398" spans="2:15" s="28" customFormat="1" ht="16.5" customHeight="1">
      <c r="B398" s="20"/>
      <c r="C398" s="20"/>
      <c r="D398" s="254"/>
      <c r="E398" s="379">
        <v>140153</v>
      </c>
      <c r="F398" s="395" t="s">
        <v>655</v>
      </c>
      <c r="G398" s="396"/>
      <c r="H398" s="397"/>
      <c r="I398" s="383">
        <v>2128000</v>
      </c>
      <c r="J398" s="398">
        <v>140153</v>
      </c>
      <c r="K398" s="399" t="s">
        <v>71</v>
      </c>
      <c r="L398" s="399" t="s">
        <v>34</v>
      </c>
      <c r="M398" s="399">
        <v>180</v>
      </c>
      <c r="N398" s="356">
        <v>2128000</v>
      </c>
      <c r="O398" s="28" t="b">
        <f t="shared" si="20"/>
        <v>1</v>
      </c>
    </row>
    <row r="399" spans="2:15" s="28" customFormat="1" ht="16.5" customHeight="1">
      <c r="B399" s="20"/>
      <c r="C399" s="20"/>
      <c r="D399" s="254"/>
      <c r="E399" s="379">
        <v>140154</v>
      </c>
      <c r="F399" s="395" t="s">
        <v>656</v>
      </c>
      <c r="G399" s="396"/>
      <c r="H399" s="397"/>
      <c r="I399" s="383" t="e">
        <v>#N/A</v>
      </c>
      <c r="J399" s="398">
        <v>140154</v>
      </c>
      <c r="K399" s="399" t="s">
        <v>71</v>
      </c>
      <c r="L399" s="399" t="s">
        <v>34</v>
      </c>
      <c r="M399" s="399">
        <v>180</v>
      </c>
      <c r="N399" s="356" t="e">
        <v>#N/A</v>
      </c>
      <c r="O399" s="28" t="e">
        <f t="shared" si="20"/>
        <v>#N/A</v>
      </c>
    </row>
    <row r="400" spans="2:15" s="28" customFormat="1" ht="16.5" customHeight="1">
      <c r="B400" s="20"/>
      <c r="C400" s="20"/>
      <c r="D400" s="254"/>
      <c r="E400" s="379">
        <v>140204</v>
      </c>
      <c r="F400" s="395" t="s">
        <v>379</v>
      </c>
      <c r="G400" s="396"/>
      <c r="H400" s="397"/>
      <c r="I400" s="383">
        <v>352000</v>
      </c>
      <c r="J400" s="398">
        <v>140204</v>
      </c>
      <c r="K400" s="399" t="s">
        <v>70</v>
      </c>
      <c r="L400" s="399" t="s">
        <v>34</v>
      </c>
      <c r="M400" s="399">
        <v>16</v>
      </c>
      <c r="N400" s="356">
        <v>352000</v>
      </c>
      <c r="O400" s="28" t="b">
        <f t="shared" si="20"/>
        <v>1</v>
      </c>
    </row>
    <row r="401" spans="2:15" s="28" customFormat="1" ht="16.5" customHeight="1">
      <c r="B401" s="20"/>
      <c r="C401" s="20"/>
      <c r="D401" s="254"/>
      <c r="E401" s="379">
        <v>140205</v>
      </c>
      <c r="F401" s="395" t="s">
        <v>380</v>
      </c>
      <c r="G401" s="401"/>
      <c r="H401" s="402"/>
      <c r="I401" s="383">
        <v>355000</v>
      </c>
      <c r="J401" s="398">
        <v>140205</v>
      </c>
      <c r="K401" s="399" t="s">
        <v>70</v>
      </c>
      <c r="L401" s="399" t="s">
        <v>34</v>
      </c>
      <c r="M401" s="399">
        <v>16</v>
      </c>
      <c r="N401" s="356">
        <v>355000</v>
      </c>
      <c r="O401" s="28" t="b">
        <f t="shared" si="20"/>
        <v>1</v>
      </c>
    </row>
    <row r="402" spans="2:15" s="28" customFormat="1" ht="16.5" customHeight="1">
      <c r="B402" s="20"/>
      <c r="C402" s="20"/>
      <c r="D402" s="254"/>
      <c r="E402" s="379">
        <v>140206</v>
      </c>
      <c r="F402" s="395" t="s">
        <v>659</v>
      </c>
      <c r="G402" s="396"/>
      <c r="H402" s="397"/>
      <c r="I402" s="383">
        <v>3685000</v>
      </c>
      <c r="J402" s="398">
        <v>140206</v>
      </c>
      <c r="K402" s="399" t="s">
        <v>71</v>
      </c>
      <c r="L402" s="399" t="s">
        <v>34</v>
      </c>
      <c r="M402" s="399">
        <v>174</v>
      </c>
      <c r="N402" s="356">
        <v>3685000</v>
      </c>
      <c r="O402" s="28" t="b">
        <f t="shared" si="20"/>
        <v>1</v>
      </c>
    </row>
    <row r="403" spans="2:15" s="28" customFormat="1" ht="16.5" customHeight="1">
      <c r="B403" s="20"/>
      <c r="C403" s="20"/>
      <c r="D403" s="254"/>
      <c r="E403" s="379">
        <v>140207</v>
      </c>
      <c r="F403" s="395" t="s">
        <v>660</v>
      </c>
      <c r="G403" s="396"/>
      <c r="H403" s="397"/>
      <c r="I403" s="383">
        <v>3777000</v>
      </c>
      <c r="J403" s="398">
        <v>140207</v>
      </c>
      <c r="K403" s="399" t="s">
        <v>71</v>
      </c>
      <c r="L403" s="399" t="s">
        <v>34</v>
      </c>
      <c r="M403" s="399">
        <v>174</v>
      </c>
      <c r="N403" s="356">
        <v>3777000</v>
      </c>
      <c r="O403" s="28" t="b">
        <f t="shared" si="20"/>
        <v>1</v>
      </c>
    </row>
    <row r="404" spans="2:15" s="28" customFormat="1" ht="16.5" customHeight="1">
      <c r="B404" s="20"/>
      <c r="C404" s="20"/>
      <c r="D404" s="254"/>
      <c r="E404" s="379">
        <v>140208</v>
      </c>
      <c r="F404" s="395" t="s">
        <v>661</v>
      </c>
      <c r="G404" s="396"/>
      <c r="H404" s="397"/>
      <c r="I404" s="383">
        <v>3689000</v>
      </c>
      <c r="J404" s="398">
        <v>140208</v>
      </c>
      <c r="K404" s="399" t="s">
        <v>71</v>
      </c>
      <c r="L404" s="399" t="s">
        <v>34</v>
      </c>
      <c r="M404" s="399">
        <v>174</v>
      </c>
      <c r="N404" s="356">
        <v>3689000</v>
      </c>
      <c r="O404" s="28" t="b">
        <f t="shared" si="20"/>
        <v>1</v>
      </c>
    </row>
    <row r="405" spans="2:15" s="28" customFormat="1" ht="16.5" customHeight="1">
      <c r="B405" s="20"/>
      <c r="C405" s="20"/>
      <c r="D405" s="254"/>
      <c r="E405" s="379">
        <v>140209</v>
      </c>
      <c r="F405" s="395" t="s">
        <v>662</v>
      </c>
      <c r="G405" s="396"/>
      <c r="H405" s="397"/>
      <c r="I405" s="383">
        <v>3730000</v>
      </c>
      <c r="J405" s="398">
        <v>140209</v>
      </c>
      <c r="K405" s="399" t="s">
        <v>71</v>
      </c>
      <c r="L405" s="399" t="s">
        <v>34</v>
      </c>
      <c r="M405" s="399">
        <v>174</v>
      </c>
      <c r="N405" s="356">
        <v>3730000</v>
      </c>
      <c r="O405" s="28" t="b">
        <f t="shared" si="20"/>
        <v>1</v>
      </c>
    </row>
    <row r="406" spans="2:15" s="28" customFormat="1" ht="16.5" customHeight="1">
      <c r="B406" s="20"/>
      <c r="C406" s="20"/>
      <c r="D406" s="254"/>
      <c r="E406" s="379">
        <v>140210</v>
      </c>
      <c r="F406" s="395" t="s">
        <v>663</v>
      </c>
      <c r="G406" s="396"/>
      <c r="H406" s="397"/>
      <c r="I406" s="383">
        <v>3687000</v>
      </c>
      <c r="J406" s="398">
        <v>140210</v>
      </c>
      <c r="K406" s="399" t="s">
        <v>71</v>
      </c>
      <c r="L406" s="399" t="s">
        <v>34</v>
      </c>
      <c r="M406" s="399">
        <v>174</v>
      </c>
      <c r="N406" s="356">
        <v>3687000</v>
      </c>
      <c r="O406" s="28" t="b">
        <f t="shared" si="20"/>
        <v>1</v>
      </c>
    </row>
    <row r="407" spans="2:15" s="28" customFormat="1" ht="16.5" customHeight="1">
      <c r="B407" s="20"/>
      <c r="C407" s="20"/>
      <c r="D407" s="254"/>
      <c r="E407" s="379">
        <v>140211</v>
      </c>
      <c r="F407" s="395" t="s">
        <v>664</v>
      </c>
      <c r="G407" s="396"/>
      <c r="H407" s="397"/>
      <c r="I407" s="383">
        <v>3730000</v>
      </c>
      <c r="J407" s="398">
        <v>140211</v>
      </c>
      <c r="K407" s="399" t="s">
        <v>71</v>
      </c>
      <c r="L407" s="399" t="s">
        <v>34</v>
      </c>
      <c r="M407" s="399">
        <v>174</v>
      </c>
      <c r="N407" s="356">
        <v>3730000</v>
      </c>
      <c r="O407" s="28" t="b">
        <f t="shared" si="20"/>
        <v>1</v>
      </c>
    </row>
    <row r="408" spans="2:15" s="28" customFormat="1" ht="16.5" customHeight="1">
      <c r="B408" s="20"/>
      <c r="C408" s="20"/>
      <c r="D408" s="254"/>
      <c r="E408" s="379">
        <v>140252</v>
      </c>
      <c r="F408" s="395" t="s">
        <v>381</v>
      </c>
      <c r="G408" s="396"/>
      <c r="H408" s="397"/>
      <c r="I408" s="383">
        <v>81000</v>
      </c>
      <c r="J408" s="398">
        <v>140252</v>
      </c>
      <c r="K408" s="399" t="s">
        <v>70</v>
      </c>
      <c r="L408" s="399" t="s">
        <v>34</v>
      </c>
      <c r="M408" s="399">
        <v>16</v>
      </c>
      <c r="N408" s="356">
        <v>81000</v>
      </c>
      <c r="O408" s="28" t="b">
        <f t="shared" si="20"/>
        <v>1</v>
      </c>
    </row>
    <row r="409" spans="2:15" s="28" customFormat="1" ht="16.5" customHeight="1">
      <c r="B409" s="20"/>
      <c r="C409" s="20"/>
      <c r="D409" s="254"/>
      <c r="E409" s="379">
        <v>140254</v>
      </c>
      <c r="F409" s="395" t="s">
        <v>382</v>
      </c>
      <c r="G409" s="396"/>
      <c r="H409" s="397"/>
      <c r="I409" s="383">
        <v>81000</v>
      </c>
      <c r="J409" s="398">
        <v>140254</v>
      </c>
      <c r="K409" s="399" t="s">
        <v>70</v>
      </c>
      <c r="L409" s="399" t="s">
        <v>34</v>
      </c>
      <c r="M409" s="399">
        <v>16</v>
      </c>
      <c r="N409" s="356">
        <v>81000</v>
      </c>
      <c r="O409" s="28" t="b">
        <f t="shared" si="20"/>
        <v>1</v>
      </c>
    </row>
    <row r="410" spans="2:15" s="28" customFormat="1" ht="16.5" customHeight="1">
      <c r="B410" s="20"/>
      <c r="C410" s="20"/>
      <c r="D410" s="254"/>
      <c r="E410" s="379">
        <v>140255</v>
      </c>
      <c r="F410" s="395" t="s">
        <v>383</v>
      </c>
      <c r="G410" s="396"/>
      <c r="H410" s="397"/>
      <c r="I410" s="383">
        <v>81000</v>
      </c>
      <c r="J410" s="398">
        <v>140255</v>
      </c>
      <c r="K410" s="399" t="s">
        <v>70</v>
      </c>
      <c r="L410" s="399" t="s">
        <v>34</v>
      </c>
      <c r="M410" s="399">
        <v>16</v>
      </c>
      <c r="N410" s="356">
        <v>81000</v>
      </c>
      <c r="O410" s="28" t="b">
        <f t="shared" ref="O410:O473" si="21">I410=N410</f>
        <v>1</v>
      </c>
    </row>
    <row r="411" spans="2:15" s="28" customFormat="1" ht="16.5" customHeight="1">
      <c r="B411" s="20"/>
      <c r="C411" s="20"/>
      <c r="D411" s="254"/>
      <c r="E411" s="379">
        <v>140256</v>
      </c>
      <c r="F411" s="395" t="s">
        <v>384</v>
      </c>
      <c r="G411" s="396"/>
      <c r="H411" s="397"/>
      <c r="I411" s="383">
        <v>81000</v>
      </c>
      <c r="J411" s="398">
        <v>140256</v>
      </c>
      <c r="K411" s="399" t="s">
        <v>70</v>
      </c>
      <c r="L411" s="399" t="s">
        <v>34</v>
      </c>
      <c r="M411" s="399">
        <v>16</v>
      </c>
      <c r="N411" s="356">
        <v>81000</v>
      </c>
      <c r="O411" s="28" t="b">
        <f t="shared" si="21"/>
        <v>1</v>
      </c>
    </row>
    <row r="412" spans="2:15" s="28" customFormat="1" ht="16.5" customHeight="1">
      <c r="B412" s="20"/>
      <c r="C412" s="20"/>
      <c r="D412" s="254"/>
      <c r="E412" s="379">
        <v>140257</v>
      </c>
      <c r="F412" s="395" t="s">
        <v>127</v>
      </c>
      <c r="G412" s="396"/>
      <c r="H412" s="397"/>
      <c r="I412" s="383">
        <v>728000</v>
      </c>
      <c r="J412" s="398">
        <v>140257</v>
      </c>
      <c r="K412" s="399" t="s">
        <v>71</v>
      </c>
      <c r="L412" s="399" t="s">
        <v>34</v>
      </c>
      <c r="M412" s="399">
        <v>180</v>
      </c>
      <c r="N412" s="356">
        <v>728000</v>
      </c>
      <c r="O412" s="28" t="b">
        <f t="shared" si="21"/>
        <v>1</v>
      </c>
    </row>
    <row r="413" spans="2:15" s="28" customFormat="1" ht="16.5" customHeight="1">
      <c r="B413" s="20"/>
      <c r="C413" s="20"/>
      <c r="D413" s="254"/>
      <c r="E413" s="379">
        <v>140259</v>
      </c>
      <c r="F413" s="395" t="s">
        <v>665</v>
      </c>
      <c r="G413" s="396"/>
      <c r="H413" s="397"/>
      <c r="I413" s="383">
        <v>728000</v>
      </c>
      <c r="J413" s="398">
        <v>140259</v>
      </c>
      <c r="K413" s="399" t="s">
        <v>71</v>
      </c>
      <c r="L413" s="399" t="s">
        <v>34</v>
      </c>
      <c r="M413" s="399">
        <v>180</v>
      </c>
      <c r="N413" s="356">
        <v>728000</v>
      </c>
      <c r="O413" s="28" t="b">
        <f t="shared" si="21"/>
        <v>1</v>
      </c>
    </row>
    <row r="414" spans="2:15" s="28" customFormat="1" ht="16.5" customHeight="1">
      <c r="B414" s="20"/>
      <c r="C414" s="20"/>
      <c r="D414" s="254"/>
      <c r="E414" s="379">
        <v>140260</v>
      </c>
      <c r="F414" s="395" t="s">
        <v>666</v>
      </c>
      <c r="G414" s="396"/>
      <c r="H414" s="397"/>
      <c r="I414" s="383">
        <v>728000</v>
      </c>
      <c r="J414" s="398">
        <v>140260</v>
      </c>
      <c r="K414" s="399" t="s">
        <v>71</v>
      </c>
      <c r="L414" s="399" t="s">
        <v>34</v>
      </c>
      <c r="M414" s="399">
        <v>180</v>
      </c>
      <c r="N414" s="356">
        <v>728000</v>
      </c>
      <c r="O414" s="28" t="b">
        <f t="shared" si="21"/>
        <v>1</v>
      </c>
    </row>
    <row r="415" spans="2:15" s="28" customFormat="1" ht="16.5" customHeight="1">
      <c r="B415" s="20"/>
      <c r="C415" s="20"/>
      <c r="D415" s="254"/>
      <c r="E415" s="379">
        <v>140261</v>
      </c>
      <c r="F415" s="395" t="s">
        <v>667</v>
      </c>
      <c r="G415" s="396"/>
      <c r="H415" s="397"/>
      <c r="I415" s="383">
        <v>728000</v>
      </c>
      <c r="J415" s="398">
        <v>140261</v>
      </c>
      <c r="K415" s="399" t="s">
        <v>71</v>
      </c>
      <c r="L415" s="399" t="s">
        <v>34</v>
      </c>
      <c r="M415" s="399">
        <v>180</v>
      </c>
      <c r="N415" s="356">
        <v>728000</v>
      </c>
      <c r="O415" s="28" t="b">
        <f t="shared" si="21"/>
        <v>1</v>
      </c>
    </row>
    <row r="416" spans="2:15" s="28" customFormat="1" ht="16.5" customHeight="1">
      <c r="B416" s="20"/>
      <c r="C416" s="20"/>
      <c r="D416" s="254"/>
      <c r="E416" s="379">
        <v>140262</v>
      </c>
      <c r="F416" s="395" t="s">
        <v>668</v>
      </c>
      <c r="G416" s="396"/>
      <c r="H416" s="397"/>
      <c r="I416" s="383">
        <v>728000</v>
      </c>
      <c r="J416" s="398">
        <v>140262</v>
      </c>
      <c r="K416" s="399" t="s">
        <v>71</v>
      </c>
      <c r="L416" s="399" t="s">
        <v>34</v>
      </c>
      <c r="M416" s="399">
        <v>180</v>
      </c>
      <c r="N416" s="356">
        <v>728000</v>
      </c>
      <c r="O416" s="28" t="b">
        <f t="shared" si="21"/>
        <v>1</v>
      </c>
    </row>
    <row r="417" spans="2:15" s="28" customFormat="1" ht="16.5" customHeight="1">
      <c r="B417" s="20"/>
      <c r="C417" s="20"/>
      <c r="D417" s="254"/>
      <c r="E417" s="379">
        <v>140263</v>
      </c>
      <c r="F417" s="395" t="s">
        <v>126</v>
      </c>
      <c r="G417" s="396"/>
      <c r="H417" s="397"/>
      <c r="I417" s="383">
        <v>81000</v>
      </c>
      <c r="J417" s="398">
        <v>140263</v>
      </c>
      <c r="K417" s="399" t="s">
        <v>70</v>
      </c>
      <c r="L417" s="399" t="s">
        <v>34</v>
      </c>
      <c r="M417" s="399">
        <v>16</v>
      </c>
      <c r="N417" s="356">
        <v>81000</v>
      </c>
      <c r="O417" s="28" t="b">
        <f t="shared" si="21"/>
        <v>1</v>
      </c>
    </row>
    <row r="418" spans="2:15" s="28" customFormat="1" ht="16.5" customHeight="1">
      <c r="B418" s="20"/>
      <c r="C418" s="20"/>
      <c r="D418" s="254"/>
      <c r="E418" s="379">
        <v>140355</v>
      </c>
      <c r="F418" s="395" t="s">
        <v>385</v>
      </c>
      <c r="G418" s="396"/>
      <c r="H418" s="397"/>
      <c r="I418" s="383" t="e">
        <v>#N/A</v>
      </c>
      <c r="J418" s="398">
        <v>140355</v>
      </c>
      <c r="K418" s="399" t="s">
        <v>70</v>
      </c>
      <c r="L418" s="399" t="s">
        <v>34</v>
      </c>
      <c r="M418" s="399">
        <v>18</v>
      </c>
      <c r="N418" s="356" t="e">
        <v>#N/A</v>
      </c>
      <c r="O418" s="28" t="e">
        <f t="shared" si="21"/>
        <v>#N/A</v>
      </c>
    </row>
    <row r="419" spans="2:15" s="28" customFormat="1" ht="16.5" customHeight="1">
      <c r="B419" s="20"/>
      <c r="C419" s="20"/>
      <c r="D419" s="254"/>
      <c r="E419" s="379">
        <v>140435</v>
      </c>
      <c r="F419" s="395" t="s">
        <v>89</v>
      </c>
      <c r="G419" s="396"/>
      <c r="H419" s="397"/>
      <c r="I419" s="383">
        <v>395000</v>
      </c>
      <c r="J419" s="398">
        <v>140435</v>
      </c>
      <c r="K419" s="399" t="s">
        <v>70</v>
      </c>
      <c r="L419" s="399" t="s">
        <v>34</v>
      </c>
      <c r="M419" s="399">
        <v>20</v>
      </c>
      <c r="N419" s="356">
        <v>395000</v>
      </c>
      <c r="O419" s="28" t="b">
        <f t="shared" si="21"/>
        <v>1</v>
      </c>
    </row>
    <row r="420" spans="2:15" s="28" customFormat="1" ht="16.5" customHeight="1">
      <c r="B420" s="20"/>
      <c r="C420" s="20"/>
      <c r="D420" s="254"/>
      <c r="E420" s="379">
        <v>140485</v>
      </c>
      <c r="F420" s="395" t="s">
        <v>386</v>
      </c>
      <c r="G420" s="396"/>
      <c r="H420" s="397"/>
      <c r="I420" s="383">
        <v>107000</v>
      </c>
      <c r="J420" s="398">
        <v>140485</v>
      </c>
      <c r="K420" s="399" t="s">
        <v>70</v>
      </c>
      <c r="L420" s="399" t="s">
        <v>34</v>
      </c>
      <c r="M420" s="399">
        <v>20</v>
      </c>
      <c r="N420" s="356">
        <v>107000</v>
      </c>
      <c r="O420" s="28" t="b">
        <f t="shared" si="21"/>
        <v>1</v>
      </c>
    </row>
    <row r="421" spans="2:15" s="28" customFormat="1" ht="16.5" customHeight="1">
      <c r="B421" s="20"/>
      <c r="C421" s="20"/>
      <c r="D421" s="254"/>
      <c r="E421" s="379">
        <v>140499</v>
      </c>
      <c r="F421" s="395" t="s">
        <v>670</v>
      </c>
      <c r="G421" s="396"/>
      <c r="H421" s="397"/>
      <c r="I421" s="383">
        <v>3384000</v>
      </c>
      <c r="J421" s="398">
        <v>140499</v>
      </c>
      <c r="K421" s="399" t="s">
        <v>71</v>
      </c>
      <c r="L421" s="399" t="s">
        <v>34</v>
      </c>
      <c r="M421" s="399">
        <v>208</v>
      </c>
      <c r="N421" s="356">
        <v>3384000</v>
      </c>
      <c r="O421" s="28" t="b">
        <f t="shared" si="21"/>
        <v>1</v>
      </c>
    </row>
    <row r="422" spans="2:15" s="28" customFormat="1" ht="16.5" customHeight="1">
      <c r="B422" s="20"/>
      <c r="C422" s="20"/>
      <c r="D422" s="254"/>
      <c r="E422" s="379">
        <v>140501</v>
      </c>
      <c r="F422" s="395" t="s">
        <v>671</v>
      </c>
      <c r="G422" s="396"/>
      <c r="H422" s="397"/>
      <c r="I422" s="383">
        <v>4442000</v>
      </c>
      <c r="J422" s="398">
        <v>140501</v>
      </c>
      <c r="K422" s="399" t="s">
        <v>71</v>
      </c>
      <c r="L422" s="399" t="s">
        <v>34</v>
      </c>
      <c r="M422" s="399">
        <v>208</v>
      </c>
      <c r="N422" s="356">
        <v>4442000</v>
      </c>
      <c r="O422" s="28" t="b">
        <f t="shared" si="21"/>
        <v>1</v>
      </c>
    </row>
    <row r="423" spans="2:15" s="28" customFormat="1" ht="16.5" customHeight="1">
      <c r="B423" s="20"/>
      <c r="C423" s="20"/>
      <c r="D423" s="254"/>
      <c r="E423" s="379">
        <v>140503</v>
      </c>
      <c r="F423" s="395" t="s">
        <v>672</v>
      </c>
      <c r="G423" s="396"/>
      <c r="H423" s="397"/>
      <c r="I423" s="383">
        <v>4515000</v>
      </c>
      <c r="J423" s="398">
        <v>140503</v>
      </c>
      <c r="K423" s="399" t="s">
        <v>71</v>
      </c>
      <c r="L423" s="399" t="s">
        <v>34</v>
      </c>
      <c r="M423" s="399">
        <v>208</v>
      </c>
      <c r="N423" s="356">
        <v>4515000</v>
      </c>
      <c r="O423" s="28" t="b">
        <f t="shared" si="21"/>
        <v>1</v>
      </c>
    </row>
    <row r="424" spans="2:15" s="28" customFormat="1" ht="16.5" customHeight="1">
      <c r="B424" s="20"/>
      <c r="C424" s="20"/>
      <c r="D424" s="254"/>
      <c r="E424" s="379">
        <v>140541</v>
      </c>
      <c r="F424" s="395" t="s">
        <v>387</v>
      </c>
      <c r="G424" s="396"/>
      <c r="H424" s="397"/>
      <c r="I424" s="383"/>
      <c r="J424" s="398">
        <v>140541</v>
      </c>
      <c r="K424" s="399" t="s">
        <v>70</v>
      </c>
      <c r="L424" s="399" t="s">
        <v>34</v>
      </c>
      <c r="M424" s="399">
        <v>20</v>
      </c>
      <c r="N424" s="356" t="e">
        <v>#N/A</v>
      </c>
      <c r="O424" s="28" t="e">
        <f t="shared" si="21"/>
        <v>#N/A</v>
      </c>
    </row>
    <row r="425" spans="2:15" s="28" customFormat="1" ht="16.5" customHeight="1">
      <c r="B425" s="20"/>
      <c r="C425" s="20"/>
      <c r="D425" s="254"/>
      <c r="E425" s="379">
        <v>140627</v>
      </c>
      <c r="F425" s="395" t="s">
        <v>676</v>
      </c>
      <c r="G425" s="396"/>
      <c r="H425" s="397"/>
      <c r="I425" s="383">
        <v>746000</v>
      </c>
      <c r="J425" s="398">
        <v>140627</v>
      </c>
      <c r="K425" s="399" t="s">
        <v>71</v>
      </c>
      <c r="L425" s="399" t="s">
        <v>34</v>
      </c>
      <c r="M425" s="399">
        <v>200</v>
      </c>
      <c r="N425" s="356">
        <v>746000</v>
      </c>
      <c r="O425" s="28" t="b">
        <f t="shared" si="21"/>
        <v>1</v>
      </c>
    </row>
    <row r="426" spans="2:15" s="28" customFormat="1" ht="16.5" customHeight="1">
      <c r="B426" s="20"/>
      <c r="C426" s="20"/>
      <c r="D426" s="254"/>
      <c r="E426" s="379">
        <v>140629</v>
      </c>
      <c r="F426" s="395" t="s">
        <v>677</v>
      </c>
      <c r="G426" s="396"/>
      <c r="H426" s="397"/>
      <c r="I426" s="383">
        <v>746000</v>
      </c>
      <c r="J426" s="398">
        <v>140629</v>
      </c>
      <c r="K426" s="399" t="s">
        <v>71</v>
      </c>
      <c r="L426" s="399" t="s">
        <v>34</v>
      </c>
      <c r="M426" s="399">
        <v>200</v>
      </c>
      <c r="N426" s="356">
        <v>746000</v>
      </c>
      <c r="O426" s="28" t="b">
        <f t="shared" si="21"/>
        <v>1</v>
      </c>
    </row>
    <row r="427" spans="2:15" s="28" customFormat="1" ht="16.5" customHeight="1">
      <c r="B427" s="20"/>
      <c r="C427" s="20"/>
      <c r="D427" s="254"/>
      <c r="E427" s="379">
        <v>140631</v>
      </c>
      <c r="F427" s="395" t="s">
        <v>678</v>
      </c>
      <c r="G427" s="396"/>
      <c r="H427" s="397"/>
      <c r="I427" s="383">
        <v>746000</v>
      </c>
      <c r="J427" s="398">
        <v>140631</v>
      </c>
      <c r="K427" s="399" t="s">
        <v>71</v>
      </c>
      <c r="L427" s="399" t="s">
        <v>34</v>
      </c>
      <c r="M427" s="399">
        <v>200</v>
      </c>
      <c r="N427" s="356">
        <v>746000</v>
      </c>
      <c r="O427" s="28" t="b">
        <f t="shared" si="21"/>
        <v>1</v>
      </c>
    </row>
    <row r="428" spans="2:15" s="28" customFormat="1" ht="16.5" customHeight="1">
      <c r="B428" s="20"/>
      <c r="C428" s="20"/>
      <c r="D428" s="254"/>
      <c r="E428" s="379">
        <v>140675</v>
      </c>
      <c r="F428" s="395" t="s">
        <v>388</v>
      </c>
      <c r="G428" s="396"/>
      <c r="H428" s="397"/>
      <c r="I428" s="383">
        <v>79200</v>
      </c>
      <c r="J428" s="398">
        <v>140675</v>
      </c>
      <c r="K428" s="399" t="s">
        <v>70</v>
      </c>
      <c r="L428" s="399" t="s">
        <v>34</v>
      </c>
      <c r="M428" s="399">
        <v>20</v>
      </c>
      <c r="N428" s="356">
        <v>79200</v>
      </c>
      <c r="O428" s="28" t="b">
        <f t="shared" si="21"/>
        <v>1</v>
      </c>
    </row>
    <row r="429" spans="2:15" s="28" customFormat="1" ht="16.5" customHeight="1">
      <c r="B429" s="20"/>
      <c r="C429" s="20"/>
      <c r="D429" s="254"/>
      <c r="E429" s="379">
        <v>140676</v>
      </c>
      <c r="F429" s="395" t="s">
        <v>389</v>
      </c>
      <c r="G429" s="396"/>
      <c r="H429" s="397"/>
      <c r="I429" s="383">
        <v>79200</v>
      </c>
      <c r="J429" s="398">
        <v>140676</v>
      </c>
      <c r="K429" s="399" t="s">
        <v>70</v>
      </c>
      <c r="L429" s="399" t="s">
        <v>34</v>
      </c>
      <c r="M429" s="399">
        <v>20</v>
      </c>
      <c r="N429" s="356">
        <v>79200</v>
      </c>
      <c r="O429" s="28" t="b">
        <f t="shared" si="21"/>
        <v>1</v>
      </c>
    </row>
    <row r="430" spans="2:15" s="28" customFormat="1" ht="16.5" customHeight="1">
      <c r="B430" s="20"/>
      <c r="C430" s="20"/>
      <c r="D430" s="254"/>
      <c r="E430" s="379">
        <v>140677</v>
      </c>
      <c r="F430" s="395" t="s">
        <v>390</v>
      </c>
      <c r="G430" s="396"/>
      <c r="H430" s="397"/>
      <c r="I430" s="383">
        <v>79200</v>
      </c>
      <c r="J430" s="398">
        <v>140677</v>
      </c>
      <c r="K430" s="399" t="s">
        <v>70</v>
      </c>
      <c r="L430" s="399" t="s">
        <v>34</v>
      </c>
      <c r="M430" s="399">
        <v>20</v>
      </c>
      <c r="N430" s="356">
        <v>79200</v>
      </c>
      <c r="O430" s="28" t="b">
        <f t="shared" si="21"/>
        <v>1</v>
      </c>
    </row>
    <row r="431" spans="2:15" s="28" customFormat="1" ht="16.5" customHeight="1">
      <c r="B431" s="20"/>
      <c r="C431" s="20"/>
      <c r="D431" s="254"/>
      <c r="E431" s="379">
        <v>140787</v>
      </c>
      <c r="F431" s="395" t="s">
        <v>682</v>
      </c>
      <c r="G431" s="396"/>
      <c r="H431" s="397"/>
      <c r="I431" s="383">
        <v>1151000</v>
      </c>
      <c r="J431" s="398">
        <v>140787</v>
      </c>
      <c r="K431" s="399" t="s">
        <v>71</v>
      </c>
      <c r="L431" s="399" t="s">
        <v>34</v>
      </c>
      <c r="M431" s="399">
        <v>208</v>
      </c>
      <c r="N431" s="356">
        <v>1151000</v>
      </c>
      <c r="O431" s="28" t="b">
        <f t="shared" si="21"/>
        <v>1</v>
      </c>
    </row>
    <row r="432" spans="2:15" s="28" customFormat="1" ht="16.5" customHeight="1">
      <c r="B432" s="20"/>
      <c r="C432" s="20"/>
      <c r="D432" s="254"/>
      <c r="E432" s="379">
        <v>140817</v>
      </c>
      <c r="F432" s="395" t="s">
        <v>122</v>
      </c>
      <c r="G432" s="396"/>
      <c r="H432" s="397"/>
      <c r="I432" s="383" t="e">
        <v>#N/A</v>
      </c>
      <c r="J432" s="398">
        <v>140817</v>
      </c>
      <c r="K432" s="399" t="s">
        <v>71</v>
      </c>
      <c r="L432" s="399" t="s">
        <v>34</v>
      </c>
      <c r="M432" s="399">
        <v>208</v>
      </c>
      <c r="N432" s="356">
        <v>1065000</v>
      </c>
      <c r="O432" s="28" t="e">
        <f t="shared" si="21"/>
        <v>#N/A</v>
      </c>
    </row>
    <row r="433" spans="2:15" s="28" customFormat="1" ht="16.5" customHeight="1">
      <c r="B433" s="20"/>
      <c r="C433" s="20"/>
      <c r="D433" s="254"/>
      <c r="E433" s="379">
        <v>140854</v>
      </c>
      <c r="F433" s="395" t="s">
        <v>756</v>
      </c>
      <c r="G433" s="396"/>
      <c r="H433" s="397"/>
      <c r="I433" s="383">
        <v>287000</v>
      </c>
      <c r="J433" s="398">
        <v>140854</v>
      </c>
      <c r="K433" s="399" t="s">
        <v>70</v>
      </c>
      <c r="L433" s="399" t="s">
        <v>34</v>
      </c>
      <c r="M433" s="399">
        <v>20</v>
      </c>
      <c r="N433" s="356">
        <v>287000</v>
      </c>
      <c r="O433" s="28" t="b">
        <f t="shared" si="21"/>
        <v>1</v>
      </c>
    </row>
    <row r="434" spans="2:15" s="28" customFormat="1" ht="16.5" customHeight="1">
      <c r="B434" s="20"/>
      <c r="C434" s="20"/>
      <c r="D434" s="254"/>
      <c r="E434" s="379">
        <v>141187</v>
      </c>
      <c r="F434" s="395" t="s">
        <v>125</v>
      </c>
      <c r="G434" s="396"/>
      <c r="H434" s="397"/>
      <c r="I434" s="383"/>
      <c r="J434" s="398">
        <v>141187</v>
      </c>
      <c r="K434" s="399" t="s">
        <v>71</v>
      </c>
      <c r="L434" s="399" t="s">
        <v>34</v>
      </c>
      <c r="M434" s="399">
        <v>200</v>
      </c>
      <c r="N434" s="356" t="e">
        <v>#N/A</v>
      </c>
      <c r="O434" s="28" t="e">
        <f t="shared" si="21"/>
        <v>#N/A</v>
      </c>
    </row>
    <row r="435" spans="2:15" s="28" customFormat="1" ht="16.5" customHeight="1">
      <c r="B435" s="20"/>
      <c r="C435" s="20"/>
      <c r="D435" s="254"/>
      <c r="E435" s="379">
        <v>141361</v>
      </c>
      <c r="F435" s="395" t="s">
        <v>391</v>
      </c>
      <c r="G435" s="396"/>
      <c r="H435" s="397"/>
      <c r="I435" s="383">
        <v>476000</v>
      </c>
      <c r="J435" s="398">
        <v>141361</v>
      </c>
      <c r="K435" s="399" t="s">
        <v>70</v>
      </c>
      <c r="L435" s="399" t="s">
        <v>34</v>
      </c>
      <c r="M435" s="399">
        <v>16</v>
      </c>
      <c r="N435" s="356">
        <v>476000</v>
      </c>
      <c r="O435" s="28" t="b">
        <f t="shared" si="21"/>
        <v>1</v>
      </c>
    </row>
    <row r="436" spans="2:15" s="28" customFormat="1" ht="16.5" customHeight="1">
      <c r="B436" s="20"/>
      <c r="C436" s="20"/>
      <c r="D436" s="254"/>
      <c r="E436" s="379">
        <v>141367</v>
      </c>
      <c r="F436" s="395" t="s">
        <v>392</v>
      </c>
      <c r="G436" s="396"/>
      <c r="H436" s="397"/>
      <c r="I436" s="383">
        <v>107000</v>
      </c>
      <c r="J436" s="398">
        <v>141367</v>
      </c>
      <c r="K436" s="399" t="s">
        <v>70</v>
      </c>
      <c r="L436" s="399" t="s">
        <v>34</v>
      </c>
      <c r="M436" s="399">
        <v>20</v>
      </c>
      <c r="N436" s="356">
        <v>107000</v>
      </c>
      <c r="O436" s="28" t="b">
        <f t="shared" si="21"/>
        <v>1</v>
      </c>
    </row>
    <row r="437" spans="2:15" s="28" customFormat="1" ht="16.5" customHeight="1">
      <c r="B437" s="20"/>
      <c r="C437" s="20"/>
      <c r="D437" s="254"/>
      <c r="E437" s="379">
        <v>148677</v>
      </c>
      <c r="F437" s="395" t="s">
        <v>134</v>
      </c>
      <c r="G437" s="396"/>
      <c r="H437" s="397"/>
      <c r="I437" s="383">
        <v>1029000</v>
      </c>
      <c r="J437" s="398">
        <v>148677</v>
      </c>
      <c r="K437" s="399" t="s">
        <v>71</v>
      </c>
      <c r="L437" s="399" t="s">
        <v>34</v>
      </c>
      <c r="M437" s="399">
        <v>200</v>
      </c>
      <c r="N437" s="356">
        <v>1029000</v>
      </c>
      <c r="O437" s="28" t="b">
        <f t="shared" si="21"/>
        <v>1</v>
      </c>
    </row>
    <row r="438" spans="2:15" s="28" customFormat="1" ht="16.5" customHeight="1">
      <c r="B438" s="20"/>
      <c r="C438" s="20"/>
      <c r="D438" s="254"/>
      <c r="E438" s="379">
        <v>141429</v>
      </c>
      <c r="F438" s="395" t="s">
        <v>119</v>
      </c>
      <c r="G438" s="396"/>
      <c r="H438" s="397"/>
      <c r="I438" s="383">
        <v>4915000</v>
      </c>
      <c r="J438" s="398">
        <v>141429</v>
      </c>
      <c r="K438" s="399" t="s">
        <v>71</v>
      </c>
      <c r="L438" s="399" t="s">
        <v>34</v>
      </c>
      <c r="M438" s="399">
        <v>174</v>
      </c>
      <c r="N438" s="356">
        <v>4915000</v>
      </c>
      <c r="O438" s="28" t="b">
        <f t="shared" si="21"/>
        <v>1</v>
      </c>
    </row>
    <row r="439" spans="2:15" s="28" customFormat="1" ht="16.5" customHeight="1">
      <c r="B439" s="20"/>
      <c r="C439" s="20"/>
      <c r="D439" s="254"/>
      <c r="E439" s="379">
        <v>141467</v>
      </c>
      <c r="F439" s="395" t="s">
        <v>393</v>
      </c>
      <c r="G439" s="396"/>
      <c r="H439" s="397"/>
      <c r="I439" s="383">
        <v>233000</v>
      </c>
      <c r="J439" s="398">
        <v>141467</v>
      </c>
      <c r="K439" s="399" t="s">
        <v>70</v>
      </c>
      <c r="L439" s="399" t="s">
        <v>34</v>
      </c>
      <c r="M439" s="399">
        <v>15.87</v>
      </c>
      <c r="N439" s="356">
        <v>233000</v>
      </c>
      <c r="O439" s="28" t="b">
        <f t="shared" si="21"/>
        <v>1</v>
      </c>
    </row>
    <row r="440" spans="2:15" s="28" customFormat="1" ht="16.5" customHeight="1">
      <c r="B440" s="20"/>
      <c r="C440" s="20"/>
      <c r="D440" s="254"/>
      <c r="E440" s="379">
        <v>141468</v>
      </c>
      <c r="F440" s="395" t="s">
        <v>686</v>
      </c>
      <c r="G440" s="396"/>
      <c r="H440" s="397"/>
      <c r="I440" s="383">
        <v>2439000</v>
      </c>
      <c r="J440" s="398">
        <v>141468</v>
      </c>
      <c r="K440" s="399" t="s">
        <v>71</v>
      </c>
      <c r="L440" s="399" t="s">
        <v>34</v>
      </c>
      <c r="M440" s="399">
        <v>180</v>
      </c>
      <c r="N440" s="356">
        <v>2439000</v>
      </c>
      <c r="O440" s="28" t="b">
        <f t="shared" si="21"/>
        <v>1</v>
      </c>
    </row>
    <row r="441" spans="2:15" s="28" customFormat="1" ht="16.5" customHeight="1">
      <c r="B441" s="20"/>
      <c r="C441" s="20"/>
      <c r="D441" s="254"/>
      <c r="E441" s="379">
        <v>141654</v>
      </c>
      <c r="F441" s="395" t="s">
        <v>394</v>
      </c>
      <c r="G441" s="396"/>
      <c r="H441" s="397"/>
      <c r="I441" s="383">
        <v>62700</v>
      </c>
      <c r="J441" s="398">
        <v>141654</v>
      </c>
      <c r="K441" s="399" t="s">
        <v>70</v>
      </c>
      <c r="L441" s="399" t="s">
        <v>34</v>
      </c>
      <c r="M441" s="399">
        <v>20</v>
      </c>
      <c r="N441" s="356">
        <v>62700</v>
      </c>
      <c r="O441" s="28" t="b">
        <f t="shared" si="21"/>
        <v>1</v>
      </c>
    </row>
    <row r="442" spans="2:15" s="28" customFormat="1" ht="16.5" customHeight="1">
      <c r="B442" s="20"/>
      <c r="C442" s="20"/>
      <c r="D442" s="254"/>
      <c r="E442" s="379">
        <v>141655</v>
      </c>
      <c r="F442" s="395" t="s">
        <v>689</v>
      </c>
      <c r="G442" s="396"/>
      <c r="H442" s="397"/>
      <c r="I442" s="383">
        <v>582000</v>
      </c>
      <c r="J442" s="398">
        <v>141655</v>
      </c>
      <c r="K442" s="399" t="s">
        <v>71</v>
      </c>
      <c r="L442" s="399" t="s">
        <v>34</v>
      </c>
      <c r="M442" s="399">
        <v>200</v>
      </c>
      <c r="N442" s="356">
        <v>582000</v>
      </c>
      <c r="O442" s="28" t="b">
        <f t="shared" si="21"/>
        <v>1</v>
      </c>
    </row>
    <row r="443" spans="2:15" s="28" customFormat="1" ht="16.5" customHeight="1">
      <c r="B443" s="20"/>
      <c r="C443" s="20"/>
      <c r="D443" s="254"/>
      <c r="E443" s="379">
        <v>141657</v>
      </c>
      <c r="F443" s="395" t="s">
        <v>395</v>
      </c>
      <c r="G443" s="396"/>
      <c r="H443" s="397"/>
      <c r="I443" s="383">
        <v>62700</v>
      </c>
      <c r="J443" s="398">
        <v>141657</v>
      </c>
      <c r="K443" s="399" t="s">
        <v>70</v>
      </c>
      <c r="L443" s="399" t="s">
        <v>34</v>
      </c>
      <c r="M443" s="399">
        <v>20</v>
      </c>
      <c r="N443" s="356">
        <v>62700</v>
      </c>
      <c r="O443" s="28" t="b">
        <f t="shared" si="21"/>
        <v>1</v>
      </c>
    </row>
    <row r="444" spans="2:15" s="28" customFormat="1" ht="16.5" customHeight="1">
      <c r="B444" s="20"/>
      <c r="C444" s="20"/>
      <c r="D444" s="254"/>
      <c r="E444" s="379">
        <v>141658</v>
      </c>
      <c r="F444" s="395" t="s">
        <v>691</v>
      </c>
      <c r="G444" s="396"/>
      <c r="H444" s="397"/>
      <c r="I444" s="383">
        <v>582000</v>
      </c>
      <c r="J444" s="398">
        <v>141658</v>
      </c>
      <c r="K444" s="399" t="s">
        <v>71</v>
      </c>
      <c r="L444" s="399" t="s">
        <v>34</v>
      </c>
      <c r="M444" s="399">
        <v>200</v>
      </c>
      <c r="N444" s="356">
        <v>582000</v>
      </c>
      <c r="O444" s="28" t="b">
        <f t="shared" si="21"/>
        <v>1</v>
      </c>
    </row>
    <row r="445" spans="2:15" s="28" customFormat="1" ht="16.5" customHeight="1">
      <c r="B445" s="20"/>
      <c r="C445" s="20"/>
      <c r="D445" s="254"/>
      <c r="E445" s="379">
        <v>141666</v>
      </c>
      <c r="F445" s="395" t="s">
        <v>693</v>
      </c>
      <c r="G445" s="396"/>
      <c r="H445" s="397"/>
      <c r="I445" s="383">
        <v>755000</v>
      </c>
      <c r="J445" s="398">
        <v>141666</v>
      </c>
      <c r="K445" s="399" t="s">
        <v>71</v>
      </c>
      <c r="L445" s="399" t="s">
        <v>34</v>
      </c>
      <c r="M445" s="399">
        <v>200</v>
      </c>
      <c r="N445" s="356">
        <v>755000</v>
      </c>
      <c r="O445" s="28" t="b">
        <f t="shared" si="21"/>
        <v>1</v>
      </c>
    </row>
    <row r="446" spans="2:15" s="28" customFormat="1" ht="16.5" customHeight="1">
      <c r="B446" s="20"/>
      <c r="C446" s="20"/>
      <c r="D446" s="254"/>
      <c r="E446" s="379">
        <v>141667</v>
      </c>
      <c r="F446" s="395" t="s">
        <v>694</v>
      </c>
      <c r="G446" s="396"/>
      <c r="H446" s="397"/>
      <c r="I446" s="383">
        <v>755000</v>
      </c>
      <c r="J446" s="398">
        <v>141667</v>
      </c>
      <c r="K446" s="399" t="s">
        <v>71</v>
      </c>
      <c r="L446" s="399" t="s">
        <v>34</v>
      </c>
      <c r="M446" s="399">
        <v>200</v>
      </c>
      <c r="N446" s="356">
        <v>755000</v>
      </c>
      <c r="O446" s="28" t="b">
        <f t="shared" si="21"/>
        <v>1</v>
      </c>
    </row>
    <row r="447" spans="2:15" s="28" customFormat="1" ht="16.5" customHeight="1">
      <c r="B447" s="20"/>
      <c r="C447" s="20"/>
      <c r="D447" s="254"/>
      <c r="E447" s="379">
        <v>141737</v>
      </c>
      <c r="F447" s="395" t="s">
        <v>116</v>
      </c>
      <c r="G447" s="396"/>
      <c r="H447" s="397"/>
      <c r="I447" s="383">
        <v>56300</v>
      </c>
      <c r="J447" s="398">
        <v>141737</v>
      </c>
      <c r="K447" s="399" t="s">
        <v>70</v>
      </c>
      <c r="L447" s="399" t="s">
        <v>34</v>
      </c>
      <c r="M447" s="399">
        <v>20</v>
      </c>
      <c r="N447" s="356">
        <v>56300</v>
      </c>
      <c r="O447" s="28" t="b">
        <f t="shared" si="21"/>
        <v>1</v>
      </c>
    </row>
    <row r="448" spans="2:15" s="28" customFormat="1" ht="16.5" customHeight="1">
      <c r="B448" s="20"/>
      <c r="C448" s="20"/>
      <c r="D448" s="254"/>
      <c r="E448" s="379">
        <v>141738</v>
      </c>
      <c r="F448" s="395" t="s">
        <v>115</v>
      </c>
      <c r="G448" s="396"/>
      <c r="H448" s="397"/>
      <c r="I448" s="383">
        <v>520000</v>
      </c>
      <c r="J448" s="398">
        <v>141738</v>
      </c>
      <c r="K448" s="399" t="s">
        <v>71</v>
      </c>
      <c r="L448" s="399" t="s">
        <v>34</v>
      </c>
      <c r="M448" s="399">
        <v>200</v>
      </c>
      <c r="N448" s="356">
        <v>520000</v>
      </c>
      <c r="O448" s="28" t="b">
        <f t="shared" si="21"/>
        <v>1</v>
      </c>
    </row>
    <row r="449" spans="2:15" s="28" customFormat="1" ht="16.5" customHeight="1">
      <c r="B449" s="20"/>
      <c r="C449" s="20"/>
      <c r="D449" s="254"/>
      <c r="E449" s="379">
        <v>141741</v>
      </c>
      <c r="F449" s="395" t="s">
        <v>114</v>
      </c>
      <c r="G449" s="396"/>
      <c r="H449" s="397"/>
      <c r="I449" s="383">
        <v>53900</v>
      </c>
      <c r="J449" s="398">
        <v>141741</v>
      </c>
      <c r="K449" s="399" t="s">
        <v>70</v>
      </c>
      <c r="L449" s="399" t="s">
        <v>34</v>
      </c>
      <c r="M449" s="399">
        <v>20</v>
      </c>
      <c r="N449" s="356">
        <v>53900</v>
      </c>
      <c r="O449" s="28" t="b">
        <f t="shared" si="21"/>
        <v>1</v>
      </c>
    </row>
    <row r="450" spans="2:15" s="28" customFormat="1" ht="16.5" customHeight="1">
      <c r="B450" s="20"/>
      <c r="C450" s="20"/>
      <c r="D450" s="254"/>
      <c r="E450" s="379">
        <v>141742</v>
      </c>
      <c r="F450" s="395" t="s">
        <v>113</v>
      </c>
      <c r="G450" s="396"/>
      <c r="H450" s="397"/>
      <c r="I450" s="383">
        <v>492000</v>
      </c>
      <c r="J450" s="398">
        <v>141742</v>
      </c>
      <c r="K450" s="399" t="s">
        <v>71</v>
      </c>
      <c r="L450" s="399" t="s">
        <v>34</v>
      </c>
      <c r="M450" s="399">
        <v>200</v>
      </c>
      <c r="N450" s="356">
        <v>492000</v>
      </c>
      <c r="O450" s="28" t="b">
        <f t="shared" si="21"/>
        <v>1</v>
      </c>
    </row>
    <row r="451" spans="2:15" s="28" customFormat="1" ht="16.5" customHeight="1">
      <c r="B451" s="20"/>
      <c r="C451" s="20"/>
      <c r="D451" s="254"/>
      <c r="E451" s="379">
        <v>141745</v>
      </c>
      <c r="F451" s="395" t="s">
        <v>112</v>
      </c>
      <c r="G451" s="396"/>
      <c r="H451" s="397"/>
      <c r="I451" s="383">
        <v>53900</v>
      </c>
      <c r="J451" s="398">
        <v>141745</v>
      </c>
      <c r="K451" s="399" t="s">
        <v>70</v>
      </c>
      <c r="L451" s="399" t="s">
        <v>34</v>
      </c>
      <c r="M451" s="399">
        <v>20</v>
      </c>
      <c r="N451" s="356">
        <v>53900</v>
      </c>
      <c r="O451" s="28" t="b">
        <f t="shared" si="21"/>
        <v>1</v>
      </c>
    </row>
    <row r="452" spans="2:15" s="28" customFormat="1" ht="16.5" customHeight="1">
      <c r="B452" s="20"/>
      <c r="C452" s="20"/>
      <c r="D452" s="254"/>
      <c r="E452" s="379">
        <v>141746</v>
      </c>
      <c r="F452" s="395" t="s">
        <v>111</v>
      </c>
      <c r="G452" s="396"/>
      <c r="H452" s="397"/>
      <c r="I452" s="383">
        <v>492000</v>
      </c>
      <c r="J452" s="398">
        <v>141746</v>
      </c>
      <c r="K452" s="399" t="s">
        <v>71</v>
      </c>
      <c r="L452" s="399" t="s">
        <v>34</v>
      </c>
      <c r="M452" s="399">
        <v>200</v>
      </c>
      <c r="N452" s="356">
        <v>492000</v>
      </c>
      <c r="O452" s="28" t="b">
        <f t="shared" si="21"/>
        <v>1</v>
      </c>
    </row>
    <row r="453" spans="2:15" s="28" customFormat="1" ht="16.5" customHeight="1">
      <c r="B453" s="20"/>
      <c r="C453" s="20"/>
      <c r="D453" s="254"/>
      <c r="E453" s="379">
        <v>141750</v>
      </c>
      <c r="F453" s="395" t="s">
        <v>231</v>
      </c>
      <c r="G453" s="396"/>
      <c r="H453" s="397"/>
      <c r="I453" s="383">
        <v>53900</v>
      </c>
      <c r="J453" s="398">
        <v>141750</v>
      </c>
      <c r="K453" s="399" t="s">
        <v>70</v>
      </c>
      <c r="L453" s="399" t="s">
        <v>34</v>
      </c>
      <c r="M453" s="399">
        <v>20</v>
      </c>
      <c r="N453" s="356">
        <v>53900</v>
      </c>
      <c r="O453" s="28" t="b">
        <f t="shared" si="21"/>
        <v>1</v>
      </c>
    </row>
    <row r="454" spans="2:15" s="28" customFormat="1" ht="16.5" customHeight="1">
      <c r="B454" s="20"/>
      <c r="C454" s="20"/>
      <c r="D454" s="254"/>
      <c r="E454" s="379">
        <v>141751</v>
      </c>
      <c r="F454" s="395" t="s">
        <v>110</v>
      </c>
      <c r="G454" s="396"/>
      <c r="H454" s="397"/>
      <c r="I454" s="383">
        <v>492000</v>
      </c>
      <c r="J454" s="398">
        <v>141751</v>
      </c>
      <c r="K454" s="399" t="s">
        <v>71</v>
      </c>
      <c r="L454" s="399" t="s">
        <v>34</v>
      </c>
      <c r="M454" s="399">
        <v>200</v>
      </c>
      <c r="N454" s="356">
        <v>492000</v>
      </c>
      <c r="O454" s="28" t="b">
        <f t="shared" si="21"/>
        <v>1</v>
      </c>
    </row>
    <row r="455" spans="2:15" s="28" customFormat="1" ht="16.5" customHeight="1">
      <c r="B455" s="20"/>
      <c r="C455" s="20"/>
      <c r="D455" s="254"/>
      <c r="E455" s="379">
        <v>141763</v>
      </c>
      <c r="F455" s="395" t="s">
        <v>396</v>
      </c>
      <c r="G455" s="396"/>
      <c r="H455" s="397"/>
      <c r="I455" s="383">
        <v>79600</v>
      </c>
      <c r="J455" s="398">
        <v>141763</v>
      </c>
      <c r="K455" s="399" t="s">
        <v>70</v>
      </c>
      <c r="L455" s="399" t="s">
        <v>34</v>
      </c>
      <c r="M455" s="399">
        <v>20</v>
      </c>
      <c r="N455" s="356">
        <v>79600</v>
      </c>
      <c r="O455" s="28" t="b">
        <f t="shared" si="21"/>
        <v>1</v>
      </c>
    </row>
    <row r="456" spans="2:15" s="28" customFormat="1" ht="16.5" customHeight="1">
      <c r="B456" s="20"/>
      <c r="C456" s="20"/>
      <c r="D456" s="254"/>
      <c r="E456" s="379">
        <v>142012</v>
      </c>
      <c r="F456" s="395" t="s">
        <v>129</v>
      </c>
      <c r="G456" s="396"/>
      <c r="H456" s="397"/>
      <c r="I456" s="383">
        <v>46900</v>
      </c>
      <c r="J456" s="398">
        <v>142012</v>
      </c>
      <c r="K456" s="399" t="s">
        <v>70</v>
      </c>
      <c r="L456" s="399" t="s">
        <v>34</v>
      </c>
      <c r="M456" s="399">
        <v>20</v>
      </c>
      <c r="N456" s="356">
        <v>46900</v>
      </c>
      <c r="O456" s="28" t="b">
        <f t="shared" si="21"/>
        <v>1</v>
      </c>
    </row>
    <row r="457" spans="2:15" s="28" customFormat="1" ht="16.5" customHeight="1">
      <c r="B457" s="20"/>
      <c r="C457" s="20"/>
      <c r="D457" s="254"/>
      <c r="E457" s="379">
        <v>142028</v>
      </c>
      <c r="F457" s="395" t="s">
        <v>768</v>
      </c>
      <c r="G457" s="396"/>
      <c r="H457" s="397"/>
      <c r="I457" s="383">
        <v>318000</v>
      </c>
      <c r="J457" s="398">
        <v>142028</v>
      </c>
      <c r="K457" s="399" t="s">
        <v>70</v>
      </c>
      <c r="L457" s="399" t="s">
        <v>34</v>
      </c>
      <c r="M457" s="399">
        <v>16</v>
      </c>
      <c r="N457" s="356">
        <v>318000</v>
      </c>
      <c r="O457" s="28" t="b">
        <f t="shared" si="21"/>
        <v>1</v>
      </c>
    </row>
    <row r="458" spans="2:15" s="28" customFormat="1" ht="16.5" customHeight="1">
      <c r="B458" s="20"/>
      <c r="C458" s="20"/>
      <c r="D458" s="254"/>
      <c r="E458" s="379">
        <v>142288</v>
      </c>
      <c r="F458" s="395" t="s">
        <v>121</v>
      </c>
      <c r="G458" s="396"/>
      <c r="H458" s="397"/>
      <c r="I458" s="383">
        <v>6002000</v>
      </c>
      <c r="J458" s="398">
        <v>142288</v>
      </c>
      <c r="K458" s="399" t="s">
        <v>71</v>
      </c>
      <c r="L458" s="399" t="s">
        <v>34</v>
      </c>
      <c r="M458" s="399">
        <v>208</v>
      </c>
      <c r="N458" s="356">
        <v>6002000</v>
      </c>
      <c r="O458" s="28" t="b">
        <f t="shared" si="21"/>
        <v>1</v>
      </c>
    </row>
    <row r="459" spans="2:15" s="28" customFormat="1" ht="16.5" customHeight="1">
      <c r="B459" s="20"/>
      <c r="C459" s="20"/>
      <c r="D459" s="254"/>
      <c r="E459" s="379">
        <v>142411</v>
      </c>
      <c r="F459" s="395" t="s">
        <v>705</v>
      </c>
      <c r="G459" s="396"/>
      <c r="H459" s="397"/>
      <c r="I459" s="383">
        <v>777000</v>
      </c>
      <c r="J459" s="398">
        <v>142411</v>
      </c>
      <c r="K459" s="399" t="s">
        <v>71</v>
      </c>
      <c r="L459" s="399" t="s">
        <v>34</v>
      </c>
      <c r="M459" s="399">
        <v>200</v>
      </c>
      <c r="N459" s="356">
        <v>777000</v>
      </c>
      <c r="O459" s="28" t="b">
        <f t="shared" si="21"/>
        <v>1</v>
      </c>
    </row>
    <row r="460" spans="2:15" s="28" customFormat="1" ht="16.5" customHeight="1">
      <c r="B460" s="20"/>
      <c r="C460" s="20"/>
      <c r="D460" s="254"/>
      <c r="E460" s="379">
        <v>142637</v>
      </c>
      <c r="F460" s="395" t="s">
        <v>707</v>
      </c>
      <c r="G460" s="396"/>
      <c r="H460" s="397"/>
      <c r="I460" s="383">
        <v>4494000</v>
      </c>
      <c r="J460" s="399">
        <v>142637</v>
      </c>
      <c r="K460" s="399" t="s">
        <v>71</v>
      </c>
      <c r="L460" s="399" t="s">
        <v>34</v>
      </c>
      <c r="M460" s="399">
        <v>200</v>
      </c>
      <c r="N460" s="356">
        <v>4494000</v>
      </c>
      <c r="O460" s="28" t="b">
        <f t="shared" si="21"/>
        <v>1</v>
      </c>
    </row>
    <row r="461" spans="2:15" s="28" customFormat="1" ht="16.5" customHeight="1">
      <c r="B461" s="20"/>
      <c r="C461" s="20"/>
      <c r="D461" s="254"/>
      <c r="E461" s="379">
        <v>143560</v>
      </c>
      <c r="F461" s="395" t="s">
        <v>724</v>
      </c>
      <c r="G461" s="396"/>
      <c r="H461" s="397"/>
      <c r="I461" s="383">
        <v>728000</v>
      </c>
      <c r="J461" s="398">
        <v>143560</v>
      </c>
      <c r="K461" s="399" t="s">
        <v>71</v>
      </c>
      <c r="L461" s="399" t="s">
        <v>34</v>
      </c>
      <c r="M461" s="399">
        <v>200</v>
      </c>
      <c r="N461" s="356">
        <v>728000</v>
      </c>
      <c r="O461" s="28" t="b">
        <f t="shared" si="21"/>
        <v>1</v>
      </c>
    </row>
    <row r="462" spans="2:15" s="28" customFormat="1" ht="16.5" customHeight="1">
      <c r="B462" s="20"/>
      <c r="C462" s="20"/>
      <c r="D462" s="254"/>
      <c r="E462" s="379">
        <v>143561</v>
      </c>
      <c r="F462" s="395" t="s">
        <v>725</v>
      </c>
      <c r="G462" s="396"/>
      <c r="H462" s="397"/>
      <c r="I462" s="383">
        <v>728000</v>
      </c>
      <c r="J462" s="398">
        <v>143561</v>
      </c>
      <c r="K462" s="399" t="s">
        <v>71</v>
      </c>
      <c r="L462" s="399" t="s">
        <v>34</v>
      </c>
      <c r="M462" s="399">
        <v>200</v>
      </c>
      <c r="N462" s="356">
        <v>728000</v>
      </c>
      <c r="O462" s="28" t="b">
        <f t="shared" si="21"/>
        <v>1</v>
      </c>
    </row>
    <row r="463" spans="2:15" s="28" customFormat="1" ht="16.5" customHeight="1">
      <c r="B463" s="20"/>
      <c r="C463" s="20"/>
      <c r="D463" s="254"/>
      <c r="E463" s="379">
        <v>143563</v>
      </c>
      <c r="F463" s="395" t="s">
        <v>726</v>
      </c>
      <c r="G463" s="396"/>
      <c r="H463" s="397"/>
      <c r="I463" s="383">
        <v>728000</v>
      </c>
      <c r="J463" s="398">
        <v>143563</v>
      </c>
      <c r="K463" s="399" t="s">
        <v>71</v>
      </c>
      <c r="L463" s="399" t="s">
        <v>34</v>
      </c>
      <c r="M463" s="399">
        <v>200</v>
      </c>
      <c r="N463" s="356">
        <v>728000</v>
      </c>
      <c r="O463" s="28" t="b">
        <f t="shared" si="21"/>
        <v>1</v>
      </c>
    </row>
    <row r="464" spans="2:15" s="28" customFormat="1" ht="16.5" customHeight="1">
      <c r="B464" s="20"/>
      <c r="C464" s="20"/>
      <c r="D464" s="254"/>
      <c r="E464" s="379">
        <v>143982</v>
      </c>
      <c r="F464" s="395" t="s">
        <v>749</v>
      </c>
      <c r="G464" s="396"/>
      <c r="H464" s="397"/>
      <c r="I464" s="383">
        <v>2995000</v>
      </c>
      <c r="J464" s="398">
        <v>143982</v>
      </c>
      <c r="K464" s="399" t="s">
        <v>71</v>
      </c>
      <c r="L464" s="399" t="s">
        <v>34</v>
      </c>
      <c r="M464" s="399">
        <v>208</v>
      </c>
      <c r="N464" s="356">
        <v>2995000</v>
      </c>
      <c r="O464" s="28" t="b">
        <f t="shared" si="21"/>
        <v>1</v>
      </c>
    </row>
    <row r="465" spans="2:15" s="28" customFormat="1" ht="16.5" customHeight="1">
      <c r="B465" s="20"/>
      <c r="C465" s="20"/>
      <c r="D465" s="254"/>
      <c r="E465" s="379">
        <v>143983</v>
      </c>
      <c r="F465" s="395" t="s">
        <v>743</v>
      </c>
      <c r="G465" s="396"/>
      <c r="H465" s="397"/>
      <c r="I465" s="383">
        <v>287000</v>
      </c>
      <c r="J465" s="399">
        <v>143983</v>
      </c>
      <c r="K465" s="399" t="s">
        <v>70</v>
      </c>
      <c r="L465" s="399" t="s">
        <v>34</v>
      </c>
      <c r="M465" s="399">
        <v>20</v>
      </c>
      <c r="N465" s="356">
        <v>287000</v>
      </c>
      <c r="O465" s="28" t="b">
        <f t="shared" si="21"/>
        <v>1</v>
      </c>
    </row>
    <row r="466" spans="2:15" s="28" customFormat="1" ht="16.5" customHeight="1">
      <c r="B466" s="20"/>
      <c r="C466" s="20"/>
      <c r="D466" s="254"/>
      <c r="E466" s="379">
        <v>143985</v>
      </c>
      <c r="F466" s="395" t="s">
        <v>769</v>
      </c>
      <c r="G466" s="396"/>
      <c r="H466" s="397"/>
      <c r="I466" s="383">
        <v>2763000</v>
      </c>
      <c r="J466" s="398">
        <v>143985</v>
      </c>
      <c r="K466" s="399" t="s">
        <v>71</v>
      </c>
      <c r="L466" s="399" t="s">
        <v>34</v>
      </c>
      <c r="M466" s="399">
        <v>208</v>
      </c>
      <c r="N466" s="356">
        <v>2763000</v>
      </c>
      <c r="O466" s="28" t="b">
        <f t="shared" si="21"/>
        <v>1</v>
      </c>
    </row>
    <row r="467" spans="2:15" s="28" customFormat="1" ht="16.5" customHeight="1">
      <c r="B467" s="20"/>
      <c r="C467" s="20"/>
      <c r="D467" s="254"/>
      <c r="E467" s="379">
        <v>143987</v>
      </c>
      <c r="F467" s="395" t="s">
        <v>747</v>
      </c>
      <c r="G467" s="396"/>
      <c r="H467" s="397"/>
      <c r="I467" s="383">
        <v>2938000</v>
      </c>
      <c r="J467" s="398">
        <v>143987</v>
      </c>
      <c r="K467" s="399" t="s">
        <v>71</v>
      </c>
      <c r="L467" s="399" t="s">
        <v>34</v>
      </c>
      <c r="M467" s="399">
        <v>208</v>
      </c>
      <c r="N467" s="356">
        <v>2938000</v>
      </c>
      <c r="O467" s="28" t="b">
        <f t="shared" si="21"/>
        <v>1</v>
      </c>
    </row>
    <row r="468" spans="2:15" s="28" customFormat="1" ht="16.5" customHeight="1">
      <c r="B468" s="20"/>
      <c r="C468" s="20"/>
      <c r="D468" s="254"/>
      <c r="E468" s="379">
        <v>143988</v>
      </c>
      <c r="F468" s="395" t="s">
        <v>742</v>
      </c>
      <c r="G468" s="396"/>
      <c r="H468" s="397"/>
      <c r="I468" s="383">
        <v>289000</v>
      </c>
      <c r="J468" s="398">
        <v>143988</v>
      </c>
      <c r="K468" s="399" t="s">
        <v>70</v>
      </c>
      <c r="L468" s="399" t="s">
        <v>34</v>
      </c>
      <c r="M468" s="399">
        <v>20</v>
      </c>
      <c r="N468" s="356">
        <v>289000</v>
      </c>
      <c r="O468" s="28" t="b">
        <f t="shared" si="21"/>
        <v>1</v>
      </c>
    </row>
    <row r="469" spans="2:15" s="28" customFormat="1" ht="16.5" customHeight="1">
      <c r="B469" s="20"/>
      <c r="C469" s="20"/>
      <c r="D469" s="254"/>
      <c r="E469" s="379">
        <v>143990</v>
      </c>
      <c r="F469" s="395" t="s">
        <v>770</v>
      </c>
      <c r="G469" s="396"/>
      <c r="H469" s="397"/>
      <c r="I469" s="383">
        <v>3124000</v>
      </c>
      <c r="J469" s="398">
        <v>143990</v>
      </c>
      <c r="K469" s="399" t="s">
        <v>71</v>
      </c>
      <c r="L469" s="399" t="s">
        <v>34</v>
      </c>
      <c r="M469" s="399">
        <v>208</v>
      </c>
      <c r="N469" s="356">
        <v>3124000</v>
      </c>
      <c r="O469" s="28" t="b">
        <f t="shared" si="21"/>
        <v>1</v>
      </c>
    </row>
    <row r="470" spans="2:15" s="28" customFormat="1" ht="16.5" customHeight="1">
      <c r="B470" s="20"/>
      <c r="C470" s="20"/>
      <c r="D470" s="254"/>
      <c r="E470" s="379">
        <v>143991</v>
      </c>
      <c r="F470" s="395" t="s">
        <v>771</v>
      </c>
      <c r="G470" s="396"/>
      <c r="H470" s="397"/>
      <c r="I470" s="383">
        <v>337000</v>
      </c>
      <c r="J470" s="398">
        <v>143991</v>
      </c>
      <c r="K470" s="399" t="s">
        <v>70</v>
      </c>
      <c r="L470" s="399" t="s">
        <v>34</v>
      </c>
      <c r="M470" s="399">
        <v>20</v>
      </c>
      <c r="N470" s="356">
        <v>337000</v>
      </c>
      <c r="O470" s="28" t="b">
        <f t="shared" si="21"/>
        <v>1</v>
      </c>
    </row>
    <row r="471" spans="2:15" s="28" customFormat="1" ht="16.5" customHeight="1">
      <c r="B471" s="20"/>
      <c r="C471" s="20"/>
      <c r="D471" s="254"/>
      <c r="E471" s="379">
        <v>143993</v>
      </c>
      <c r="F471" s="395" t="s">
        <v>772</v>
      </c>
      <c r="G471" s="396"/>
      <c r="H471" s="397"/>
      <c r="I471" s="383">
        <v>3255000</v>
      </c>
      <c r="J471" s="399">
        <v>143993</v>
      </c>
      <c r="K471" s="399" t="s">
        <v>71</v>
      </c>
      <c r="L471" s="399" t="s">
        <v>34</v>
      </c>
      <c r="M471" s="399">
        <v>208</v>
      </c>
      <c r="N471" s="356">
        <v>3255000</v>
      </c>
      <c r="O471" s="28" t="b">
        <f t="shared" si="21"/>
        <v>1</v>
      </c>
    </row>
    <row r="472" spans="2:15" s="28" customFormat="1" ht="16.5" customHeight="1">
      <c r="B472" s="20"/>
      <c r="C472" s="20"/>
      <c r="D472" s="254"/>
      <c r="E472" s="379">
        <v>143994</v>
      </c>
      <c r="F472" s="395" t="s">
        <v>773</v>
      </c>
      <c r="G472" s="396"/>
      <c r="H472" s="397"/>
      <c r="I472" s="383">
        <v>351000</v>
      </c>
      <c r="J472" s="398">
        <v>143994</v>
      </c>
      <c r="K472" s="399" t="s">
        <v>70</v>
      </c>
      <c r="L472" s="399" t="s">
        <v>34</v>
      </c>
      <c r="M472" s="399">
        <v>20</v>
      </c>
      <c r="N472" s="356">
        <v>351000</v>
      </c>
      <c r="O472" s="28" t="b">
        <f t="shared" si="21"/>
        <v>1</v>
      </c>
    </row>
    <row r="473" spans="2:15" s="28" customFormat="1" ht="16.5" customHeight="1">
      <c r="B473" s="20"/>
      <c r="C473" s="20"/>
      <c r="D473" s="254"/>
      <c r="E473" s="379">
        <v>144165</v>
      </c>
      <c r="F473" s="395" t="s">
        <v>750</v>
      </c>
      <c r="G473" s="396"/>
      <c r="H473" s="397"/>
      <c r="I473" s="383">
        <v>34300</v>
      </c>
      <c r="J473" s="398">
        <v>144165</v>
      </c>
      <c r="K473" s="399" t="s">
        <v>70</v>
      </c>
      <c r="L473" s="399" t="s">
        <v>34</v>
      </c>
      <c r="M473" s="399">
        <v>20</v>
      </c>
      <c r="N473" s="356">
        <v>34300</v>
      </c>
      <c r="O473" s="28" t="b">
        <f t="shared" si="21"/>
        <v>1</v>
      </c>
    </row>
    <row r="474" spans="2:15" s="28" customFormat="1" ht="16.5" customHeight="1">
      <c r="B474" s="20"/>
      <c r="C474" s="20"/>
      <c r="D474" s="254"/>
      <c r="E474" s="379">
        <v>144166</v>
      </c>
      <c r="F474" s="395" t="s">
        <v>748</v>
      </c>
      <c r="G474" s="396"/>
      <c r="H474" s="397"/>
      <c r="I474" s="383">
        <v>318000</v>
      </c>
      <c r="J474" s="398">
        <v>144166</v>
      </c>
      <c r="K474" s="399" t="s">
        <v>71</v>
      </c>
      <c r="L474" s="399" t="s">
        <v>34</v>
      </c>
      <c r="M474" s="399">
        <v>200</v>
      </c>
      <c r="N474" s="356">
        <v>318000</v>
      </c>
      <c r="O474" s="28" t="b">
        <f t="shared" ref="O474:O503" si="22">I474=N474</f>
        <v>1</v>
      </c>
    </row>
    <row r="475" spans="2:15" s="28" customFormat="1" ht="16.5" customHeight="1">
      <c r="B475" s="20"/>
      <c r="C475" s="20"/>
      <c r="D475" s="254"/>
      <c r="E475" s="379">
        <v>144167</v>
      </c>
      <c r="F475" s="395" t="s">
        <v>745</v>
      </c>
      <c r="G475" s="396"/>
      <c r="H475" s="397"/>
      <c r="I475" s="383">
        <v>34300</v>
      </c>
      <c r="J475" s="398">
        <v>144167</v>
      </c>
      <c r="K475" s="399" t="s">
        <v>70</v>
      </c>
      <c r="L475" s="399" t="s">
        <v>34</v>
      </c>
      <c r="M475" s="399">
        <v>20</v>
      </c>
      <c r="N475" s="356">
        <v>34300</v>
      </c>
      <c r="O475" s="28" t="b">
        <f t="shared" si="22"/>
        <v>1</v>
      </c>
    </row>
    <row r="476" spans="2:15" s="28" customFormat="1" ht="16.5" customHeight="1">
      <c r="B476" s="20"/>
      <c r="C476" s="20"/>
      <c r="D476" s="254"/>
      <c r="E476" s="379">
        <v>144168</v>
      </c>
      <c r="F476" s="395" t="s">
        <v>744</v>
      </c>
      <c r="G476" s="396"/>
      <c r="H476" s="397"/>
      <c r="I476" s="383">
        <v>318000</v>
      </c>
      <c r="J476" s="398">
        <v>144168</v>
      </c>
      <c r="K476" s="399" t="s">
        <v>71</v>
      </c>
      <c r="L476" s="399" t="s">
        <v>34</v>
      </c>
      <c r="M476" s="399">
        <v>200</v>
      </c>
      <c r="N476" s="356">
        <v>318000</v>
      </c>
      <c r="O476" s="28" t="b">
        <f t="shared" si="22"/>
        <v>1</v>
      </c>
    </row>
    <row r="477" spans="2:15" s="28" customFormat="1" ht="16.5" customHeight="1">
      <c r="B477" s="20"/>
      <c r="C477" s="20"/>
      <c r="D477" s="254"/>
      <c r="E477" s="379">
        <v>144169</v>
      </c>
      <c r="F477" s="395" t="s">
        <v>751</v>
      </c>
      <c r="G477" s="396"/>
      <c r="H477" s="397"/>
      <c r="I477" s="383">
        <v>36600</v>
      </c>
      <c r="J477" s="398">
        <v>144169</v>
      </c>
      <c r="K477" s="399" t="s">
        <v>70</v>
      </c>
      <c r="L477" s="399" t="s">
        <v>34</v>
      </c>
      <c r="M477" s="399">
        <v>20</v>
      </c>
      <c r="N477" s="356">
        <v>35300</v>
      </c>
      <c r="O477" s="28" t="b">
        <f t="shared" si="22"/>
        <v>0</v>
      </c>
    </row>
    <row r="478" spans="2:15" s="28" customFormat="1" ht="16.5" customHeight="1">
      <c r="B478" s="20"/>
      <c r="C478" s="20"/>
      <c r="D478" s="254"/>
      <c r="E478" s="379">
        <v>144170</v>
      </c>
      <c r="F478" s="395" t="s">
        <v>752</v>
      </c>
      <c r="G478" s="396"/>
      <c r="H478" s="397"/>
      <c r="I478" s="383">
        <v>338000</v>
      </c>
      <c r="J478" s="398">
        <v>144170</v>
      </c>
      <c r="K478" s="399" t="s">
        <v>71</v>
      </c>
      <c r="L478" s="399" t="s">
        <v>34</v>
      </c>
      <c r="M478" s="399">
        <v>200</v>
      </c>
      <c r="N478" s="356">
        <v>328000</v>
      </c>
      <c r="O478" s="28" t="b">
        <f t="shared" si="22"/>
        <v>0</v>
      </c>
    </row>
    <row r="479" spans="2:15" s="28" customFormat="1" ht="16.5" customHeight="1">
      <c r="B479" s="20"/>
      <c r="C479" s="20"/>
      <c r="D479" s="254"/>
      <c r="E479" s="379">
        <v>138924</v>
      </c>
      <c r="F479" s="395" t="s">
        <v>555</v>
      </c>
      <c r="G479" s="396"/>
      <c r="H479" s="397"/>
      <c r="I479" s="383"/>
      <c r="J479" s="398">
        <v>138924</v>
      </c>
      <c r="K479" s="399" t="s">
        <v>71</v>
      </c>
      <c r="L479" s="399" t="s">
        <v>34</v>
      </c>
      <c r="M479" s="399">
        <v>200</v>
      </c>
      <c r="N479" s="356" t="e">
        <v>#N/A</v>
      </c>
      <c r="O479" s="28" t="e">
        <f t="shared" si="22"/>
        <v>#N/A</v>
      </c>
    </row>
    <row r="480" spans="2:15" s="28" customFormat="1" ht="16.5" customHeight="1">
      <c r="B480" s="20"/>
      <c r="C480" s="20"/>
      <c r="D480" s="254"/>
      <c r="E480" s="379">
        <v>144364</v>
      </c>
      <c r="F480" s="395" t="s">
        <v>780</v>
      </c>
      <c r="G480" s="396"/>
      <c r="H480" s="397"/>
      <c r="I480" s="383">
        <v>713000</v>
      </c>
      <c r="J480" s="398">
        <v>144364</v>
      </c>
      <c r="K480" s="399" t="s">
        <v>71</v>
      </c>
      <c r="L480" s="399" t="s">
        <v>34</v>
      </c>
      <c r="M480" s="399">
        <v>200</v>
      </c>
      <c r="N480" s="356">
        <v>713000</v>
      </c>
      <c r="O480" s="28" t="b">
        <f t="shared" si="22"/>
        <v>1</v>
      </c>
    </row>
    <row r="481" spans="2:15" s="28" customFormat="1" ht="16.5" customHeight="1">
      <c r="B481" s="20"/>
      <c r="C481" s="20"/>
      <c r="D481" s="254"/>
      <c r="E481" s="379">
        <v>136171</v>
      </c>
      <c r="F481" s="395" t="s">
        <v>39</v>
      </c>
      <c r="G481" s="396"/>
      <c r="H481" s="397"/>
      <c r="I481" s="383"/>
      <c r="J481" s="398">
        <v>136171</v>
      </c>
      <c r="K481" s="399" t="s">
        <v>70</v>
      </c>
      <c r="L481" s="399" t="s">
        <v>34</v>
      </c>
      <c r="M481" s="399">
        <v>20</v>
      </c>
      <c r="N481" s="356" t="e">
        <v>#N/A</v>
      </c>
      <c r="O481" s="28" t="e">
        <f t="shared" si="22"/>
        <v>#N/A</v>
      </c>
    </row>
    <row r="482" spans="2:15" s="28" customFormat="1" ht="16.5" customHeight="1">
      <c r="B482" s="20"/>
      <c r="C482" s="20"/>
      <c r="D482" s="254"/>
      <c r="E482" s="379">
        <v>148672</v>
      </c>
      <c r="F482" s="395" t="s">
        <v>779</v>
      </c>
      <c r="G482" s="396"/>
      <c r="H482" s="397"/>
      <c r="I482" s="383">
        <v>76100</v>
      </c>
      <c r="J482" s="398">
        <v>148672</v>
      </c>
      <c r="K482" s="399" t="s">
        <v>70</v>
      </c>
      <c r="L482" s="399" t="s">
        <v>34</v>
      </c>
      <c r="M482" s="399">
        <v>20</v>
      </c>
      <c r="N482" s="356">
        <v>76100</v>
      </c>
      <c r="O482" s="28" t="b">
        <f t="shared" si="22"/>
        <v>1</v>
      </c>
    </row>
    <row r="483" spans="2:15" s="28" customFormat="1" ht="16.5" customHeight="1">
      <c r="B483" s="20"/>
      <c r="C483" s="20"/>
      <c r="D483" s="254"/>
      <c r="E483" s="379">
        <v>144353</v>
      </c>
      <c r="F483" s="395" t="s">
        <v>774</v>
      </c>
      <c r="G483" s="396"/>
      <c r="H483" s="397"/>
      <c r="I483" s="383">
        <v>670000</v>
      </c>
      <c r="J483" s="398">
        <v>144353</v>
      </c>
      <c r="K483" s="399" t="s">
        <v>71</v>
      </c>
      <c r="L483" s="399" t="s">
        <v>34</v>
      </c>
      <c r="M483" s="399">
        <v>200</v>
      </c>
      <c r="N483" s="356">
        <v>670000</v>
      </c>
      <c r="O483" s="28" t="b">
        <f t="shared" si="22"/>
        <v>1</v>
      </c>
    </row>
    <row r="484" spans="2:15" s="28" customFormat="1" ht="16.5" customHeight="1">
      <c r="B484" s="20"/>
      <c r="C484" s="20"/>
      <c r="D484" s="254"/>
      <c r="E484" s="379">
        <v>148668</v>
      </c>
      <c r="F484" s="395" t="s">
        <v>758</v>
      </c>
      <c r="G484" s="396"/>
      <c r="H484" s="397"/>
      <c r="I484" s="383">
        <v>71700</v>
      </c>
      <c r="J484" s="398">
        <v>148668</v>
      </c>
      <c r="K484" s="399" t="s">
        <v>70</v>
      </c>
      <c r="L484" s="399" t="s">
        <v>34</v>
      </c>
      <c r="M484" s="399">
        <v>20</v>
      </c>
      <c r="N484" s="356">
        <v>71700</v>
      </c>
      <c r="O484" s="28" t="b">
        <f t="shared" si="22"/>
        <v>1</v>
      </c>
    </row>
    <row r="485" spans="2:15" s="28" customFormat="1" ht="16.5" customHeight="1">
      <c r="B485" s="20"/>
      <c r="C485" s="20"/>
      <c r="D485" s="254"/>
      <c r="E485" s="379">
        <v>138925</v>
      </c>
      <c r="F485" s="395" t="s">
        <v>556</v>
      </c>
      <c r="G485" s="396"/>
      <c r="H485" s="397"/>
      <c r="I485" s="383"/>
      <c r="J485" s="398">
        <v>138925</v>
      </c>
      <c r="K485" s="399" t="s">
        <v>71</v>
      </c>
      <c r="L485" s="399" t="s">
        <v>34</v>
      </c>
      <c r="M485" s="399">
        <v>200</v>
      </c>
      <c r="N485" s="356" t="e">
        <v>#N/A</v>
      </c>
      <c r="O485" s="28" t="e">
        <f t="shared" si="22"/>
        <v>#N/A</v>
      </c>
    </row>
    <row r="486" spans="2:15" s="28" customFormat="1" ht="16.5" customHeight="1">
      <c r="B486" s="20"/>
      <c r="C486" s="20"/>
      <c r="D486" s="254"/>
      <c r="E486" s="379">
        <v>144367</v>
      </c>
      <c r="F486" s="395" t="s">
        <v>782</v>
      </c>
      <c r="G486" s="396"/>
      <c r="H486" s="397"/>
      <c r="I486" s="383">
        <v>756000</v>
      </c>
      <c r="J486" s="398">
        <v>144367</v>
      </c>
      <c r="K486" s="399" t="s">
        <v>71</v>
      </c>
      <c r="L486" s="399" t="s">
        <v>34</v>
      </c>
      <c r="M486" s="399">
        <v>200</v>
      </c>
      <c r="N486" s="356">
        <v>756000</v>
      </c>
      <c r="O486" s="28" t="b">
        <f t="shared" si="22"/>
        <v>1</v>
      </c>
    </row>
    <row r="487" spans="2:15" s="28" customFormat="1" ht="16.5" customHeight="1">
      <c r="B487" s="20"/>
      <c r="C487" s="20"/>
      <c r="D487" s="254"/>
      <c r="E487" s="379">
        <v>136172</v>
      </c>
      <c r="F487" s="395" t="s">
        <v>38</v>
      </c>
      <c r="G487" s="396"/>
      <c r="H487" s="397"/>
      <c r="I487" s="383"/>
      <c r="J487" s="398">
        <v>136172</v>
      </c>
      <c r="K487" s="399" t="s">
        <v>70</v>
      </c>
      <c r="L487" s="399" t="s">
        <v>34</v>
      </c>
      <c r="M487" s="399">
        <v>20</v>
      </c>
      <c r="N487" s="356" t="e">
        <v>#N/A</v>
      </c>
      <c r="O487" s="28" t="e">
        <f t="shared" si="22"/>
        <v>#N/A</v>
      </c>
    </row>
    <row r="488" spans="2:15" s="28" customFormat="1" ht="16.5" customHeight="1">
      <c r="B488" s="20"/>
      <c r="C488" s="20"/>
      <c r="D488" s="254"/>
      <c r="E488" s="379">
        <v>148673</v>
      </c>
      <c r="F488" s="395" t="s">
        <v>781</v>
      </c>
      <c r="G488" s="396"/>
      <c r="H488" s="397"/>
      <c r="I488" s="383">
        <v>80200</v>
      </c>
      <c r="J488" s="398">
        <v>148673</v>
      </c>
      <c r="K488" s="399" t="s">
        <v>70</v>
      </c>
      <c r="L488" s="399" t="s">
        <v>34</v>
      </c>
      <c r="M488" s="399">
        <v>20</v>
      </c>
      <c r="N488" s="356">
        <v>80200</v>
      </c>
      <c r="O488" s="28" t="b">
        <f t="shared" si="22"/>
        <v>1</v>
      </c>
    </row>
    <row r="489" spans="2:15" s="28" customFormat="1" ht="16.5" customHeight="1">
      <c r="B489" s="20"/>
      <c r="C489" s="20"/>
      <c r="D489" s="254"/>
      <c r="E489" s="379">
        <v>144355</v>
      </c>
      <c r="F489" s="395" t="s">
        <v>775</v>
      </c>
      <c r="G489" s="396"/>
      <c r="H489" s="397"/>
      <c r="I489" s="383">
        <v>670000</v>
      </c>
      <c r="J489" s="398">
        <v>144355</v>
      </c>
      <c r="K489" s="399" t="s">
        <v>71</v>
      </c>
      <c r="L489" s="399" t="s">
        <v>34</v>
      </c>
      <c r="M489" s="399">
        <v>200</v>
      </c>
      <c r="N489" s="356">
        <v>670000</v>
      </c>
      <c r="O489" s="28" t="b">
        <f t="shared" si="22"/>
        <v>1</v>
      </c>
    </row>
    <row r="490" spans="2:15" s="28" customFormat="1" ht="16.5" customHeight="1">
      <c r="B490" s="20"/>
      <c r="C490" s="20"/>
      <c r="D490" s="254"/>
      <c r="E490" s="379">
        <v>148669</v>
      </c>
      <c r="F490" s="395" t="s">
        <v>755</v>
      </c>
      <c r="G490" s="396"/>
      <c r="H490" s="397"/>
      <c r="I490" s="383">
        <v>71700</v>
      </c>
      <c r="J490" s="398">
        <v>148669</v>
      </c>
      <c r="K490" s="399" t="s">
        <v>70</v>
      </c>
      <c r="L490" s="399" t="s">
        <v>34</v>
      </c>
      <c r="M490" s="399">
        <v>20</v>
      </c>
      <c r="N490" s="356">
        <v>71700</v>
      </c>
      <c r="O490" s="28" t="b">
        <f t="shared" si="22"/>
        <v>1</v>
      </c>
    </row>
    <row r="491" spans="2:15" s="28" customFormat="1" ht="16.5" customHeight="1">
      <c r="B491" s="20"/>
      <c r="C491" s="20"/>
      <c r="D491" s="254"/>
      <c r="E491" s="379">
        <v>144358</v>
      </c>
      <c r="F491" s="395" t="s">
        <v>754</v>
      </c>
      <c r="G491" s="396"/>
      <c r="H491" s="397"/>
      <c r="I491" s="383">
        <v>670000</v>
      </c>
      <c r="J491" s="398">
        <v>144358</v>
      </c>
      <c r="K491" s="399" t="s">
        <v>71</v>
      </c>
      <c r="L491" s="399" t="s">
        <v>34</v>
      </c>
      <c r="M491" s="399">
        <v>200</v>
      </c>
      <c r="N491" s="356">
        <v>670000</v>
      </c>
      <c r="O491" s="28" t="b">
        <f t="shared" si="22"/>
        <v>1</v>
      </c>
    </row>
    <row r="492" spans="2:15" s="28" customFormat="1" ht="16.5" customHeight="1">
      <c r="B492" s="20"/>
      <c r="C492" s="20"/>
      <c r="D492" s="254"/>
      <c r="E492" s="379">
        <v>148670</v>
      </c>
      <c r="F492" s="395" t="s">
        <v>776</v>
      </c>
      <c r="G492" s="396"/>
      <c r="H492" s="397"/>
      <c r="I492" s="383">
        <v>71700</v>
      </c>
      <c r="J492" s="398">
        <v>148670</v>
      </c>
      <c r="K492" s="399" t="s">
        <v>70</v>
      </c>
      <c r="L492" s="399" t="s">
        <v>34</v>
      </c>
      <c r="M492" s="399">
        <v>20</v>
      </c>
      <c r="N492" s="356">
        <v>71700</v>
      </c>
      <c r="O492" s="28" t="b">
        <f t="shared" si="22"/>
        <v>1</v>
      </c>
    </row>
    <row r="493" spans="2:15" s="28" customFormat="1" ht="16.5" customHeight="1">
      <c r="B493" s="20"/>
      <c r="C493" s="20"/>
      <c r="D493" s="254"/>
      <c r="E493" s="379">
        <v>144361</v>
      </c>
      <c r="F493" s="395" t="s">
        <v>778</v>
      </c>
      <c r="G493" s="396"/>
      <c r="H493" s="397"/>
      <c r="I493" s="383">
        <v>670000</v>
      </c>
      <c r="J493" s="398">
        <v>144361</v>
      </c>
      <c r="K493" s="399" t="s">
        <v>71</v>
      </c>
      <c r="L493" s="399" t="s">
        <v>34</v>
      </c>
      <c r="M493" s="399">
        <v>200</v>
      </c>
      <c r="N493" s="356">
        <v>670000</v>
      </c>
      <c r="O493" s="28" t="b">
        <f t="shared" si="22"/>
        <v>1</v>
      </c>
    </row>
    <row r="494" spans="2:15" s="28" customFormat="1" ht="16.5" customHeight="1">
      <c r="B494" s="20"/>
      <c r="C494" s="20"/>
      <c r="D494" s="254"/>
      <c r="E494" s="379">
        <v>148671</v>
      </c>
      <c r="F494" s="395" t="s">
        <v>777</v>
      </c>
      <c r="G494" s="396"/>
      <c r="H494" s="397"/>
      <c r="I494" s="383">
        <v>71700</v>
      </c>
      <c r="J494" s="398">
        <v>148671</v>
      </c>
      <c r="K494" s="399" t="s">
        <v>70</v>
      </c>
      <c r="L494" s="399" t="s">
        <v>34</v>
      </c>
      <c r="M494" s="399">
        <v>20</v>
      </c>
      <c r="N494" s="356">
        <v>71700</v>
      </c>
      <c r="O494" s="28" t="b">
        <f t="shared" si="22"/>
        <v>1</v>
      </c>
    </row>
    <row r="495" spans="2:15" s="28" customFormat="1" ht="16.5" customHeight="1">
      <c r="B495" s="20"/>
      <c r="C495" s="20"/>
      <c r="D495" s="254"/>
      <c r="E495" s="379">
        <v>144355</v>
      </c>
      <c r="F495" s="395" t="s">
        <v>775</v>
      </c>
      <c r="G495" s="396"/>
      <c r="H495" s="397"/>
      <c r="I495" s="383">
        <v>670000</v>
      </c>
      <c r="J495" s="398">
        <v>144355</v>
      </c>
      <c r="K495" s="399" t="s">
        <v>71</v>
      </c>
      <c r="L495" s="399" t="s">
        <v>34</v>
      </c>
      <c r="M495" s="399">
        <v>200</v>
      </c>
      <c r="N495" s="356">
        <v>670000</v>
      </c>
      <c r="O495" s="28" t="b">
        <f t="shared" si="22"/>
        <v>1</v>
      </c>
    </row>
    <row r="496" spans="2:15" s="28" customFormat="1" ht="16.5" customHeight="1">
      <c r="B496" s="20"/>
      <c r="C496" s="20"/>
      <c r="D496" s="254"/>
      <c r="E496" s="379">
        <v>148669</v>
      </c>
      <c r="F496" s="395" t="s">
        <v>755</v>
      </c>
      <c r="G496" s="396"/>
      <c r="H496" s="397"/>
      <c r="I496" s="383">
        <v>71700</v>
      </c>
      <c r="J496" s="398">
        <v>148669</v>
      </c>
      <c r="K496" s="399" t="s">
        <v>70</v>
      </c>
      <c r="L496" s="399" t="s">
        <v>34</v>
      </c>
      <c r="M496" s="399">
        <v>20</v>
      </c>
      <c r="N496" s="356">
        <v>71700</v>
      </c>
      <c r="O496" s="28" t="b">
        <f t="shared" si="22"/>
        <v>1</v>
      </c>
    </row>
    <row r="497" spans="2:22" s="28" customFormat="1" ht="16.5" customHeight="1">
      <c r="B497" s="20"/>
      <c r="C497" s="20"/>
      <c r="D497" s="254"/>
      <c r="E497" s="379">
        <v>144358</v>
      </c>
      <c r="F497" s="395" t="s">
        <v>754</v>
      </c>
      <c r="G497" s="396"/>
      <c r="H497" s="397"/>
      <c r="I497" s="383">
        <v>670000</v>
      </c>
      <c r="J497" s="398">
        <v>144358</v>
      </c>
      <c r="K497" s="399" t="s">
        <v>71</v>
      </c>
      <c r="L497" s="399" t="s">
        <v>34</v>
      </c>
      <c r="M497" s="399">
        <v>200</v>
      </c>
      <c r="N497" s="356">
        <v>670000</v>
      </c>
      <c r="O497" s="28" t="b">
        <f t="shared" si="22"/>
        <v>1</v>
      </c>
    </row>
    <row r="498" spans="2:22" s="28" customFormat="1" ht="16.5" customHeight="1">
      <c r="B498" s="20"/>
      <c r="C498" s="20"/>
      <c r="D498" s="254"/>
      <c r="E498" s="379">
        <v>148670</v>
      </c>
      <c r="F498" s="395" t="s">
        <v>776</v>
      </c>
      <c r="G498" s="396"/>
      <c r="H498" s="397"/>
      <c r="I498" s="383">
        <v>71700</v>
      </c>
      <c r="J498" s="398">
        <v>148670</v>
      </c>
      <c r="K498" s="399" t="s">
        <v>70</v>
      </c>
      <c r="L498" s="399" t="s">
        <v>34</v>
      </c>
      <c r="M498" s="399">
        <v>20</v>
      </c>
      <c r="N498" s="356">
        <v>71700</v>
      </c>
      <c r="O498" s="28" t="b">
        <f t="shared" si="22"/>
        <v>1</v>
      </c>
    </row>
    <row r="499" spans="2:22" s="28" customFormat="1" ht="16.5" customHeight="1">
      <c r="B499" s="20"/>
      <c r="C499" s="20"/>
      <c r="D499" s="254"/>
      <c r="E499" s="379">
        <v>144361</v>
      </c>
      <c r="F499" s="395" t="s">
        <v>778</v>
      </c>
      <c r="G499" s="396"/>
      <c r="H499" s="397"/>
      <c r="I499" s="383">
        <v>670000</v>
      </c>
      <c r="J499" s="398">
        <v>144361</v>
      </c>
      <c r="K499" s="399" t="s">
        <v>71</v>
      </c>
      <c r="L499" s="399" t="s">
        <v>34</v>
      </c>
      <c r="M499" s="399">
        <v>200</v>
      </c>
      <c r="N499" s="356">
        <v>670000</v>
      </c>
      <c r="O499" s="28" t="b">
        <f t="shared" si="22"/>
        <v>1</v>
      </c>
    </row>
    <row r="500" spans="2:22" s="28" customFormat="1" ht="16.5" customHeight="1">
      <c r="B500" s="20"/>
      <c r="C500" s="20"/>
      <c r="D500" s="254"/>
      <c r="E500" s="379">
        <v>148671</v>
      </c>
      <c r="F500" s="395" t="s">
        <v>777</v>
      </c>
      <c r="G500" s="396"/>
      <c r="H500" s="397"/>
      <c r="I500" s="383">
        <v>71700</v>
      </c>
      <c r="J500" s="398">
        <v>148671</v>
      </c>
      <c r="K500" s="399" t="s">
        <v>70</v>
      </c>
      <c r="L500" s="399" t="s">
        <v>34</v>
      </c>
      <c r="M500" s="399">
        <v>20</v>
      </c>
      <c r="N500" s="356">
        <v>71700</v>
      </c>
      <c r="O500" s="28" t="b">
        <f t="shared" si="22"/>
        <v>1</v>
      </c>
    </row>
    <row r="501" spans="2:22" s="28" customFormat="1" ht="16.5" customHeight="1">
      <c r="B501" s="20"/>
      <c r="C501" s="20"/>
      <c r="D501" s="254"/>
      <c r="E501" s="379">
        <v>144270</v>
      </c>
      <c r="F501" s="395" t="s">
        <v>843</v>
      </c>
      <c r="G501" s="396"/>
      <c r="H501" s="397"/>
      <c r="I501" s="383">
        <v>1005000</v>
      </c>
      <c r="J501" s="398">
        <v>144270</v>
      </c>
      <c r="K501" s="399" t="s">
        <v>71</v>
      </c>
      <c r="L501" s="399" t="s">
        <v>34</v>
      </c>
      <c r="M501" s="399">
        <v>200</v>
      </c>
      <c r="N501" s="356">
        <v>1005000</v>
      </c>
      <c r="O501" s="28" t="b">
        <f t="shared" si="22"/>
        <v>1</v>
      </c>
    </row>
    <row r="502" spans="2:22" s="28" customFormat="1" ht="16.5" customHeight="1">
      <c r="B502" s="20"/>
      <c r="C502" s="20"/>
      <c r="D502" s="254"/>
      <c r="E502" s="379">
        <v>135441</v>
      </c>
      <c r="F502" s="395" t="s">
        <v>298</v>
      </c>
      <c r="G502" s="396"/>
      <c r="H502" s="397"/>
      <c r="I502" s="383">
        <v>287000</v>
      </c>
      <c r="J502" s="398">
        <v>135441</v>
      </c>
      <c r="K502" s="399" t="s">
        <v>70</v>
      </c>
      <c r="L502" s="399" t="s">
        <v>34</v>
      </c>
      <c r="M502" s="399">
        <v>20</v>
      </c>
      <c r="N502" s="356">
        <v>287000</v>
      </c>
      <c r="O502" s="28" t="b">
        <f t="shared" si="22"/>
        <v>1</v>
      </c>
    </row>
    <row r="503" spans="2:22" s="28" customFormat="1" ht="16.5" customHeight="1">
      <c r="B503" s="20"/>
      <c r="C503" s="20"/>
      <c r="D503" s="254"/>
      <c r="E503" s="379">
        <v>128430</v>
      </c>
      <c r="F503" s="395" t="s">
        <v>847</v>
      </c>
      <c r="G503" s="396"/>
      <c r="H503" s="397"/>
      <c r="I503" s="383">
        <v>1800000</v>
      </c>
      <c r="J503" s="398">
        <v>128430</v>
      </c>
      <c r="K503" s="399" t="s">
        <v>71</v>
      </c>
      <c r="L503" s="399" t="s">
        <v>34</v>
      </c>
      <c r="M503" s="399">
        <v>181</v>
      </c>
      <c r="N503" s="356">
        <v>1800000</v>
      </c>
      <c r="O503" s="28" t="b">
        <f t="shared" si="22"/>
        <v>1</v>
      </c>
    </row>
    <row r="504" spans="2:22" s="28" customFormat="1" ht="16.5" customHeight="1">
      <c r="B504" s="20"/>
      <c r="C504" s="20"/>
      <c r="D504" s="254"/>
      <c r="E504" s="379">
        <v>141257</v>
      </c>
      <c r="F504" s="395" t="s">
        <v>856</v>
      </c>
      <c r="G504" s="396"/>
      <c r="H504" s="397"/>
      <c r="I504" s="383">
        <v>85932</v>
      </c>
      <c r="J504" s="398">
        <v>141257</v>
      </c>
      <c r="K504" s="378" t="s">
        <v>73</v>
      </c>
      <c r="L504" s="378" t="s">
        <v>35</v>
      </c>
      <c r="M504" s="399">
        <v>12</v>
      </c>
      <c r="N504" s="356" t="e">
        <v>#N/A</v>
      </c>
      <c r="V504" s="100"/>
    </row>
    <row r="505" spans="2:22" s="28" customFormat="1" ht="16.5" customHeight="1">
      <c r="B505" s="20"/>
      <c r="C505" s="20"/>
      <c r="D505" s="456"/>
      <c r="E505" s="411">
        <v>147122</v>
      </c>
      <c r="F505" s="395" t="s">
        <v>868</v>
      </c>
      <c r="G505" s="396"/>
      <c r="H505" s="397"/>
      <c r="I505" s="383">
        <v>52152</v>
      </c>
      <c r="J505" s="398">
        <v>147122</v>
      </c>
      <c r="K505" s="378" t="s">
        <v>73</v>
      </c>
      <c r="L505" s="399" t="s">
        <v>872</v>
      </c>
      <c r="M505" s="399">
        <v>12</v>
      </c>
      <c r="N505" s="356" t="e">
        <v>#N/A</v>
      </c>
      <c r="V505" s="100"/>
    </row>
    <row r="506" spans="2:22" s="28" customFormat="1" ht="16.5" customHeight="1">
      <c r="B506" s="20"/>
      <c r="C506" s="20"/>
      <c r="D506" s="254"/>
      <c r="E506" s="411">
        <v>140901</v>
      </c>
      <c r="F506" s="395" t="s">
        <v>98</v>
      </c>
      <c r="G506" s="396"/>
      <c r="H506" s="397"/>
      <c r="I506" s="383">
        <f>VLOOKUP(E506,'[1]Table 1'!$A$6:$C$21,3,0)</f>
        <v>88308</v>
      </c>
      <c r="J506" s="398">
        <v>140901</v>
      </c>
      <c r="K506" s="378" t="s">
        <v>73</v>
      </c>
      <c r="L506" s="399" t="s">
        <v>872</v>
      </c>
      <c r="M506" s="399">
        <v>20</v>
      </c>
      <c r="N506" s="356" t="e">
        <v>#N/A</v>
      </c>
      <c r="V506" s="100"/>
    </row>
    <row r="507" spans="2:22" s="28" customFormat="1" ht="16.5" customHeight="1">
      <c r="B507" s="20"/>
      <c r="C507" s="20"/>
      <c r="D507" s="254"/>
      <c r="E507" s="411">
        <v>140904</v>
      </c>
      <c r="F507" s="395" t="s">
        <v>859</v>
      </c>
      <c r="G507" s="396"/>
      <c r="H507" s="397"/>
      <c r="I507" s="383">
        <f>VLOOKUP(E507,'[1]Table 1'!$A$6:$C$21,3,0)</f>
        <v>96792</v>
      </c>
      <c r="J507" s="398">
        <v>140904</v>
      </c>
      <c r="K507" s="378" t="s">
        <v>73</v>
      </c>
      <c r="L507" s="399" t="s">
        <v>872</v>
      </c>
      <c r="M507" s="399">
        <v>20</v>
      </c>
      <c r="N507" s="356" t="e">
        <v>#N/A</v>
      </c>
      <c r="V507" s="100"/>
    </row>
    <row r="508" spans="2:22" s="28" customFormat="1" ht="16.5" customHeight="1">
      <c r="B508" s="20"/>
      <c r="C508" s="20"/>
      <c r="D508" s="457"/>
      <c r="E508" s="411">
        <v>147379</v>
      </c>
      <c r="F508" s="395" t="s">
        <v>862</v>
      </c>
      <c r="G508" s="396"/>
      <c r="H508" s="397"/>
      <c r="I508" s="383">
        <v>39024</v>
      </c>
      <c r="J508" s="398">
        <v>147379</v>
      </c>
      <c r="K508" s="378" t="s">
        <v>73</v>
      </c>
      <c r="L508" s="399" t="s">
        <v>872</v>
      </c>
      <c r="M508" s="399">
        <v>12</v>
      </c>
      <c r="N508" s="356"/>
      <c r="V508" s="100"/>
    </row>
    <row r="509" spans="2:22" s="28" customFormat="1" ht="16.5" customHeight="1">
      <c r="B509" s="20"/>
      <c r="C509" s="20"/>
      <c r="D509" s="255"/>
      <c r="E509" s="411">
        <v>138583</v>
      </c>
      <c r="F509" s="395" t="s">
        <v>740</v>
      </c>
      <c r="G509" s="396"/>
      <c r="H509" s="397"/>
      <c r="I509" s="383">
        <f>VLOOKUP(E509,'[1]Table 1'!$A$6:$C$21,3,0)</f>
        <v>44600</v>
      </c>
      <c r="J509" s="398">
        <v>138583</v>
      </c>
      <c r="K509" s="378" t="s">
        <v>73</v>
      </c>
      <c r="L509" s="399" t="s">
        <v>872</v>
      </c>
      <c r="M509" s="399">
        <v>12</v>
      </c>
      <c r="N509" s="356"/>
      <c r="V509" s="100"/>
    </row>
    <row r="510" spans="2:22" s="28" customFormat="1" ht="16.5" customHeight="1">
      <c r="B510" s="20"/>
      <c r="C510" s="20"/>
      <c r="D510" s="255"/>
      <c r="E510" s="411">
        <v>140876</v>
      </c>
      <c r="F510" s="395" t="s">
        <v>105</v>
      </c>
      <c r="G510" s="396"/>
      <c r="H510" s="397"/>
      <c r="I510" s="383">
        <f>VLOOKUP(E510,'[1]Table 1'!$A$6:$C$21,3,0)</f>
        <v>529893</v>
      </c>
      <c r="J510" s="398">
        <v>140876</v>
      </c>
      <c r="K510" s="399" t="s">
        <v>70</v>
      </c>
      <c r="L510" s="399" t="s">
        <v>872</v>
      </c>
      <c r="M510" s="399">
        <v>20</v>
      </c>
      <c r="N510" s="356"/>
      <c r="V510" s="100"/>
    </row>
    <row r="511" spans="2:22" s="28" customFormat="1" ht="16.5" customHeight="1">
      <c r="B511" s="20"/>
      <c r="C511" s="20"/>
      <c r="D511" s="255"/>
      <c r="E511" s="411">
        <v>140877</v>
      </c>
      <c r="F511" s="395" t="s">
        <v>99</v>
      </c>
      <c r="G511" s="396"/>
      <c r="H511" s="397"/>
      <c r="I511" s="383">
        <f>VLOOKUP(E511,'[1]Table 1'!$A$6:$C$21,3,0)</f>
        <v>80739</v>
      </c>
      <c r="J511" s="398">
        <v>140877</v>
      </c>
      <c r="K511" s="399" t="s">
        <v>70</v>
      </c>
      <c r="L511" s="399" t="s">
        <v>872</v>
      </c>
      <c r="M511" s="399">
        <v>20</v>
      </c>
      <c r="N511" s="356"/>
      <c r="V511" s="100"/>
    </row>
    <row r="512" spans="2:22" s="28" customFormat="1" ht="16.5" customHeight="1">
      <c r="B512" s="20"/>
      <c r="C512" s="20"/>
      <c r="D512" s="255"/>
      <c r="E512" s="411">
        <v>140878</v>
      </c>
      <c r="F512" s="395" t="s">
        <v>860</v>
      </c>
      <c r="G512" s="396"/>
      <c r="H512" s="397"/>
      <c r="I512" s="383">
        <f>VLOOKUP(E512,'[1]Table 1'!$A$6:$C$21,3,0)</f>
        <v>121830</v>
      </c>
      <c r="J512" s="398">
        <v>140878</v>
      </c>
      <c r="K512" s="399" t="s">
        <v>70</v>
      </c>
      <c r="L512" s="399" t="s">
        <v>872</v>
      </c>
      <c r="M512" s="399">
        <v>20</v>
      </c>
      <c r="N512" s="356"/>
      <c r="V512" s="100"/>
    </row>
    <row r="513" spans="2:24" s="28" customFormat="1" ht="16.5" customHeight="1">
      <c r="B513" s="20"/>
      <c r="C513" s="20"/>
      <c r="D513" s="255"/>
      <c r="E513" s="411">
        <v>140922</v>
      </c>
      <c r="F513" s="395" t="s">
        <v>94</v>
      </c>
      <c r="G513" s="396"/>
      <c r="H513" s="397"/>
      <c r="I513" s="383">
        <f>VLOOKUP(E513,'[1]Table 1'!$A$6:$C$21,3,0)</f>
        <v>210521</v>
      </c>
      <c r="J513" s="398">
        <v>140922</v>
      </c>
      <c r="K513" s="399" t="s">
        <v>70</v>
      </c>
      <c r="L513" s="399" t="s">
        <v>872</v>
      </c>
      <c r="M513" s="399">
        <v>20</v>
      </c>
      <c r="N513" s="356"/>
      <c r="V513" s="100"/>
    </row>
    <row r="514" spans="2:24" s="28" customFormat="1" ht="16.5" customHeight="1">
      <c r="B514" s="20"/>
      <c r="C514" s="20"/>
      <c r="D514" s="255"/>
      <c r="E514" s="411">
        <v>140902</v>
      </c>
      <c r="F514" s="395" t="s">
        <v>95</v>
      </c>
      <c r="G514" s="396"/>
      <c r="H514" s="397"/>
      <c r="I514" s="383">
        <f>VLOOKUP(E514,'[1]Table 1'!$A$6:$C$21,3,0)</f>
        <v>870316</v>
      </c>
      <c r="J514" s="398">
        <v>140902</v>
      </c>
      <c r="K514" s="399" t="s">
        <v>71</v>
      </c>
      <c r="L514" s="399" t="s">
        <v>872</v>
      </c>
      <c r="M514" s="399">
        <v>200</v>
      </c>
      <c r="N514" s="356"/>
      <c r="V514" s="100"/>
    </row>
    <row r="515" spans="2:24" s="28" customFormat="1" ht="16.5" customHeight="1">
      <c r="B515" s="20"/>
      <c r="C515" s="20"/>
      <c r="D515" s="255"/>
      <c r="E515" s="411">
        <v>140905</v>
      </c>
      <c r="F515" s="395" t="s">
        <v>96</v>
      </c>
      <c r="G515" s="396"/>
      <c r="H515" s="397"/>
      <c r="I515" s="383">
        <f>VLOOKUP(E515,'[1]Table 1'!$A$6:$C$21,3,0)</f>
        <v>874413</v>
      </c>
      <c r="J515" s="398">
        <v>140905</v>
      </c>
      <c r="K515" s="399" t="s">
        <v>71</v>
      </c>
      <c r="L515" s="399" t="s">
        <v>872</v>
      </c>
      <c r="M515" s="399">
        <v>200</v>
      </c>
      <c r="N515" s="356"/>
      <c r="V515" s="100"/>
    </row>
    <row r="516" spans="2:24" s="28" customFormat="1" ht="16.5" customHeight="1">
      <c r="B516" s="20"/>
      <c r="C516" s="20"/>
      <c r="D516" s="457"/>
      <c r="E516" s="411">
        <v>147284</v>
      </c>
      <c r="F516" s="395" t="s">
        <v>837</v>
      </c>
      <c r="G516" s="396"/>
      <c r="H516" s="397"/>
      <c r="I516" s="383">
        <v>553204</v>
      </c>
      <c r="J516" s="398">
        <v>147284</v>
      </c>
      <c r="K516" s="399" t="s">
        <v>71</v>
      </c>
      <c r="L516" s="399" t="s">
        <v>872</v>
      </c>
      <c r="M516" s="399">
        <v>208</v>
      </c>
      <c r="N516" s="356"/>
      <c r="V516" s="100"/>
    </row>
    <row r="517" spans="2:24" s="28" customFormat="1" ht="16.5" customHeight="1">
      <c r="B517" s="20"/>
      <c r="C517" s="20"/>
      <c r="D517" s="456"/>
      <c r="E517" s="411">
        <v>147391</v>
      </c>
      <c r="F517" s="395" t="s">
        <v>838</v>
      </c>
      <c r="G517" s="396"/>
      <c r="H517" s="397"/>
      <c r="I517" s="383">
        <v>545241</v>
      </c>
      <c r="J517" s="398">
        <v>147391</v>
      </c>
      <c r="K517" s="399" t="s">
        <v>71</v>
      </c>
      <c r="L517" s="399" t="s">
        <v>872</v>
      </c>
      <c r="M517" s="399">
        <v>208</v>
      </c>
      <c r="N517" s="356"/>
      <c r="V517" s="100"/>
    </row>
    <row r="518" spans="2:24" s="28" customFormat="1" ht="16.5" customHeight="1">
      <c r="B518" s="20"/>
      <c r="C518" s="20"/>
      <c r="D518" s="254"/>
      <c r="E518" s="411">
        <v>144515</v>
      </c>
      <c r="F518" s="395" t="s">
        <v>839</v>
      </c>
      <c r="G518" s="396"/>
      <c r="H518" s="397"/>
      <c r="I518" s="383">
        <v>631617</v>
      </c>
      <c r="J518" s="398">
        <v>144515</v>
      </c>
      <c r="K518" s="399" t="s">
        <v>71</v>
      </c>
      <c r="L518" s="399" t="s">
        <v>872</v>
      </c>
      <c r="M518" s="399">
        <v>208</v>
      </c>
      <c r="N518" s="356"/>
      <c r="V518" s="100"/>
    </row>
    <row r="519" spans="2:24" s="28" customFormat="1" ht="16.5" customHeight="1">
      <c r="B519" s="20"/>
      <c r="C519" s="20"/>
      <c r="D519" s="456"/>
      <c r="E519" s="411">
        <v>147370</v>
      </c>
      <c r="F519" s="395" t="s">
        <v>839</v>
      </c>
      <c r="G519" s="396"/>
      <c r="H519" s="397"/>
      <c r="I519" s="383">
        <v>550550</v>
      </c>
      <c r="J519" s="398">
        <v>147370</v>
      </c>
      <c r="K519" s="399" t="s">
        <v>71</v>
      </c>
      <c r="L519" s="399" t="s">
        <v>872</v>
      </c>
      <c r="M519" s="399">
        <v>208</v>
      </c>
      <c r="N519" s="356"/>
      <c r="V519" s="100"/>
    </row>
    <row r="520" spans="2:24" s="28" customFormat="1" ht="16.5" customHeight="1">
      <c r="B520" s="20"/>
      <c r="C520" s="20"/>
      <c r="D520" s="254"/>
      <c r="E520" s="411">
        <v>140597</v>
      </c>
      <c r="F520" s="395" t="s">
        <v>869</v>
      </c>
      <c r="G520" s="396"/>
      <c r="H520" s="397"/>
      <c r="I520" s="383">
        <v>124000</v>
      </c>
      <c r="J520" s="398">
        <v>140597</v>
      </c>
      <c r="K520" s="378" t="s">
        <v>73</v>
      </c>
      <c r="L520" s="399" t="s">
        <v>872</v>
      </c>
      <c r="M520" s="399">
        <v>12</v>
      </c>
      <c r="N520" s="356"/>
      <c r="V520" s="100"/>
    </row>
    <row r="521" spans="2:24" s="28" customFormat="1" ht="16.5" customHeight="1">
      <c r="B521" s="20"/>
      <c r="C521" s="20"/>
      <c r="D521" s="254"/>
      <c r="E521" s="411">
        <v>147279</v>
      </c>
      <c r="F521" s="395" t="s">
        <v>870</v>
      </c>
      <c r="G521" s="396"/>
      <c r="H521" s="397"/>
      <c r="I521" s="383">
        <f>VLOOKUP(E521,'[1]Table 1'!$A$6:$C$21,3,0)</f>
        <v>50796</v>
      </c>
      <c r="J521" s="398">
        <v>147279</v>
      </c>
      <c r="K521" s="378" t="s">
        <v>73</v>
      </c>
      <c r="L521" s="399" t="s">
        <v>872</v>
      </c>
      <c r="M521" s="399">
        <v>12</v>
      </c>
      <c r="N521" s="356"/>
      <c r="V521" s="100"/>
    </row>
    <row r="522" spans="2:24" s="28" customFormat="1" ht="16.5" customHeight="1">
      <c r="B522" s="20"/>
      <c r="C522" s="20"/>
      <c r="D522" s="254"/>
      <c r="E522" s="411">
        <v>141257</v>
      </c>
      <c r="F522" s="395" t="s">
        <v>871</v>
      </c>
      <c r="G522" s="396"/>
      <c r="H522" s="397"/>
      <c r="I522" s="383">
        <f>VLOOKUP(E522,'[1]Table 1'!$A$6:$C$21,3,0)</f>
        <v>82344</v>
      </c>
      <c r="J522" s="398">
        <v>141257</v>
      </c>
      <c r="K522" s="378" t="s">
        <v>73</v>
      </c>
      <c r="L522" s="399" t="s">
        <v>872</v>
      </c>
      <c r="M522" s="399">
        <v>12</v>
      </c>
      <c r="N522" s="356"/>
      <c r="V522" s="100"/>
    </row>
    <row r="523" spans="2:24" s="28" customFormat="1" ht="16.5" customHeight="1">
      <c r="B523" s="20"/>
      <c r="C523" s="20"/>
      <c r="D523" s="254"/>
      <c r="E523" s="379">
        <v>140909</v>
      </c>
      <c r="F523" s="395" t="s">
        <v>862</v>
      </c>
      <c r="G523" s="396"/>
      <c r="H523" s="397"/>
      <c r="I523" s="383">
        <v>45528</v>
      </c>
      <c r="J523" s="379">
        <v>140909</v>
      </c>
      <c r="K523" s="378" t="s">
        <v>73</v>
      </c>
      <c r="L523" s="399" t="s">
        <v>872</v>
      </c>
      <c r="M523" s="399">
        <v>12</v>
      </c>
      <c r="N523" s="356"/>
      <c r="V523" s="100"/>
    </row>
    <row r="524" spans="2:24" s="28" customFormat="1" ht="16.5" customHeight="1">
      <c r="B524" s="20"/>
      <c r="C524" s="20"/>
      <c r="D524" s="448"/>
      <c r="E524" s="32">
        <v>148006</v>
      </c>
      <c r="F524" s="37" t="s">
        <v>900</v>
      </c>
      <c r="G524" s="34"/>
      <c r="H524" s="35"/>
      <c r="I524" s="62">
        <v>2142400</v>
      </c>
      <c r="J524" s="33">
        <v>135477</v>
      </c>
      <c r="K524" s="32" t="s">
        <v>71</v>
      </c>
      <c r="L524" s="32" t="s">
        <v>35</v>
      </c>
      <c r="M524" s="32">
        <v>208</v>
      </c>
      <c r="N524" s="356"/>
      <c r="R524" s="43"/>
      <c r="S524" s="43"/>
      <c r="T524" s="43"/>
      <c r="U524" s="449"/>
      <c r="V524" s="449"/>
      <c r="W524" s="43"/>
      <c r="X524" s="42"/>
    </row>
    <row r="525" spans="2:24" s="28" customFormat="1" ht="16.5" customHeight="1">
      <c r="B525" s="20"/>
      <c r="C525" s="20"/>
      <c r="D525" s="456"/>
      <c r="E525" s="411">
        <v>147966</v>
      </c>
      <c r="F525" s="395" t="s">
        <v>870</v>
      </c>
      <c r="G525" s="396"/>
      <c r="H525" s="397"/>
      <c r="I525" s="383">
        <v>51084</v>
      </c>
      <c r="J525" s="398">
        <v>147279</v>
      </c>
      <c r="K525" s="378" t="s">
        <v>73</v>
      </c>
      <c r="L525" s="399" t="s">
        <v>872</v>
      </c>
      <c r="M525" s="399">
        <v>12</v>
      </c>
      <c r="N525" s="356"/>
      <c r="V525" s="100"/>
    </row>
    <row r="526" spans="2:24" s="28" customFormat="1" ht="16.5" customHeight="1">
      <c r="B526" s="20"/>
      <c r="C526" s="20"/>
      <c r="D526" s="456"/>
      <c r="E526" s="379">
        <v>147829</v>
      </c>
      <c r="F526" s="395" t="s">
        <v>913</v>
      </c>
      <c r="G526" s="396"/>
      <c r="H526" s="397"/>
      <c r="I526" s="383">
        <v>85572</v>
      </c>
      <c r="J526" s="398">
        <v>147829</v>
      </c>
      <c r="K526" s="378" t="s">
        <v>73</v>
      </c>
      <c r="L526" s="399" t="s">
        <v>872</v>
      </c>
      <c r="M526" s="399">
        <v>12</v>
      </c>
      <c r="N526" s="356"/>
      <c r="V526" s="100"/>
    </row>
    <row r="527" spans="2:24" s="28" customFormat="1" ht="16.5" customHeight="1">
      <c r="B527" s="20"/>
      <c r="C527" s="20"/>
      <c r="D527" s="254"/>
      <c r="E527" s="379">
        <v>142722</v>
      </c>
      <c r="F527" s="395" t="s">
        <v>921</v>
      </c>
      <c r="G527" s="396"/>
      <c r="H527" s="397"/>
      <c r="I527" s="383">
        <v>430000</v>
      </c>
      <c r="J527" s="398">
        <v>142722</v>
      </c>
      <c r="K527" s="32" t="s">
        <v>71</v>
      </c>
      <c r="L527" s="399" t="s">
        <v>922</v>
      </c>
      <c r="M527" s="399">
        <v>200</v>
      </c>
      <c r="N527" s="356"/>
      <c r="V527" s="100"/>
    </row>
    <row r="528" spans="2:24" s="28" customFormat="1" ht="16.5" customHeight="1">
      <c r="B528" s="20"/>
      <c r="C528" s="20"/>
      <c r="D528" s="254"/>
      <c r="E528" s="379">
        <v>144652</v>
      </c>
      <c r="F528" s="395" t="s">
        <v>953</v>
      </c>
      <c r="G528" s="396"/>
      <c r="H528" s="397"/>
      <c r="I528" s="383">
        <v>420000</v>
      </c>
      <c r="J528" s="398">
        <v>144652</v>
      </c>
      <c r="K528" s="399" t="s">
        <v>70</v>
      </c>
      <c r="L528" s="399" t="s">
        <v>922</v>
      </c>
      <c r="M528" s="399">
        <v>16</v>
      </c>
      <c r="N528" s="356"/>
      <c r="V528" s="100"/>
    </row>
    <row r="529" spans="2:23" s="28" customFormat="1" ht="16.5" customHeight="1">
      <c r="B529" s="20"/>
      <c r="C529" s="20"/>
      <c r="D529" s="254"/>
      <c r="E529" s="379"/>
      <c r="F529" s="395"/>
      <c r="G529" s="396"/>
      <c r="H529" s="397"/>
      <c r="I529" s="383"/>
      <c r="J529" s="398"/>
      <c r="K529" s="399"/>
      <c r="L529" s="399"/>
      <c r="M529" s="399"/>
      <c r="N529" s="356"/>
      <c r="V529" s="100"/>
    </row>
    <row r="530" spans="2:23" s="28" customFormat="1" ht="16.5" customHeight="1">
      <c r="B530" s="20"/>
      <c r="C530" s="20"/>
      <c r="D530" s="254"/>
      <c r="E530" s="379"/>
      <c r="F530" s="395"/>
      <c r="G530" s="396"/>
      <c r="H530" s="397"/>
      <c r="I530" s="383"/>
      <c r="J530" s="398"/>
      <c r="K530" s="399"/>
      <c r="L530" s="399"/>
      <c r="M530" s="399"/>
      <c r="N530" s="356"/>
      <c r="V530" s="100"/>
    </row>
    <row r="531" spans="2:23" s="28" customFormat="1" ht="16.5" customHeight="1">
      <c r="B531" s="20"/>
      <c r="C531" s="20"/>
      <c r="D531" s="448"/>
      <c r="E531" s="282">
        <v>122916</v>
      </c>
      <c r="F531" s="37" t="s">
        <v>54</v>
      </c>
      <c r="G531" s="518"/>
      <c r="H531" s="519"/>
      <c r="I531" s="325">
        <v>140000</v>
      </c>
      <c r="J531" s="33">
        <v>122916</v>
      </c>
      <c r="K531" s="32" t="s">
        <v>72</v>
      </c>
      <c r="L531" s="32" t="s">
        <v>0</v>
      </c>
      <c r="M531" s="32">
        <v>12</v>
      </c>
      <c r="N531" s="356">
        <f>VLOOKUP(E531,'[2]Price list'!$A$2:$F$145,6,0)</f>
        <v>140000</v>
      </c>
      <c r="O531" s="28" t="b">
        <f t="shared" ref="O531:O549" si="23">I531=N531</f>
        <v>1</v>
      </c>
      <c r="U531" s="449"/>
      <c r="V531" s="449"/>
      <c r="W531" s="43"/>
    </row>
    <row r="532" spans="2:23" s="28" customFormat="1" ht="16.5" customHeight="1">
      <c r="B532" s="20"/>
      <c r="C532" s="20"/>
      <c r="D532" s="448"/>
      <c r="E532" s="32">
        <v>123205</v>
      </c>
      <c r="F532" s="37" t="s">
        <v>49</v>
      </c>
      <c r="G532" s="452"/>
      <c r="H532" s="453"/>
      <c r="I532" s="325">
        <v>60300</v>
      </c>
      <c r="J532" s="33">
        <v>123205</v>
      </c>
      <c r="K532" s="32" t="s">
        <v>73</v>
      </c>
      <c r="L532" s="32" t="s">
        <v>35</v>
      </c>
      <c r="M532" s="32">
        <v>6</v>
      </c>
      <c r="N532" s="356">
        <f>VLOOKUP(E532,'[2]Price list'!$A$2:$F$145,6,0)</f>
        <v>60300</v>
      </c>
      <c r="O532" s="28" t="b">
        <f t="shared" si="23"/>
        <v>1</v>
      </c>
      <c r="U532" s="449"/>
      <c r="V532" s="449"/>
      <c r="W532" s="43"/>
    </row>
    <row r="533" spans="2:23" s="28" customFormat="1" ht="16.5" customHeight="1">
      <c r="B533" s="20"/>
      <c r="C533" s="20"/>
      <c r="D533" s="448"/>
      <c r="E533" s="32">
        <v>124065</v>
      </c>
      <c r="F533" s="520" t="s">
        <v>449</v>
      </c>
      <c r="G533" s="518"/>
      <c r="H533" s="519"/>
      <c r="I533" s="325">
        <v>1011000</v>
      </c>
      <c r="J533" s="32">
        <v>124065</v>
      </c>
      <c r="K533" s="32" t="s">
        <v>71</v>
      </c>
      <c r="L533" s="32" t="s">
        <v>0</v>
      </c>
      <c r="M533" s="32">
        <v>208</v>
      </c>
      <c r="N533" s="356">
        <f>VLOOKUP(E533,'[2]Price list'!$A$2:$F$145,6,0)</f>
        <v>1011000</v>
      </c>
      <c r="O533" s="28" t="b">
        <f t="shared" si="23"/>
        <v>1</v>
      </c>
      <c r="U533" s="449"/>
      <c r="V533" s="449"/>
      <c r="W533" s="43"/>
    </row>
    <row r="534" spans="2:23" s="28" customFormat="1" ht="16.5" customHeight="1">
      <c r="B534" s="20"/>
      <c r="C534" s="20"/>
      <c r="D534" s="448"/>
      <c r="E534" s="32">
        <v>124476</v>
      </c>
      <c r="F534" s="37" t="s">
        <v>52</v>
      </c>
      <c r="G534" s="452"/>
      <c r="H534" s="453"/>
      <c r="I534" s="325">
        <v>63200</v>
      </c>
      <c r="J534" s="33">
        <v>124476</v>
      </c>
      <c r="K534" s="32" t="s">
        <v>70</v>
      </c>
      <c r="L534" s="32" t="s">
        <v>35</v>
      </c>
      <c r="M534" s="32">
        <v>20</v>
      </c>
      <c r="N534" s="356">
        <f>VLOOKUP(E534,'[2]Price list'!$A$2:$F$145,6,0)</f>
        <v>63200</v>
      </c>
      <c r="O534" s="28" t="b">
        <f t="shared" si="23"/>
        <v>1</v>
      </c>
      <c r="R534" s="43"/>
      <c r="S534" s="43"/>
      <c r="T534" s="43"/>
      <c r="U534" s="449"/>
      <c r="V534" s="449"/>
      <c r="W534" s="43"/>
    </row>
    <row r="535" spans="2:23" s="28" customFormat="1" ht="16.5" customHeight="1">
      <c r="B535" s="20"/>
      <c r="C535" s="20"/>
      <c r="D535" s="448"/>
      <c r="E535" s="32">
        <v>128872</v>
      </c>
      <c r="F535" s="37" t="s">
        <v>956</v>
      </c>
      <c r="G535" s="452"/>
      <c r="H535" s="453"/>
      <c r="I535" s="325">
        <v>0</v>
      </c>
      <c r="J535" s="33">
        <v>128872</v>
      </c>
      <c r="K535" s="32" t="s">
        <v>70</v>
      </c>
      <c r="L535" s="32" t="s">
        <v>0</v>
      </c>
      <c r="M535" s="32">
        <v>20</v>
      </c>
      <c r="N535" s="356" t="e">
        <f>VLOOKUP(E535,'[2]Price list'!$A$2:$F$145,6,0)</f>
        <v>#N/A</v>
      </c>
      <c r="O535" s="28" t="e">
        <f t="shared" si="23"/>
        <v>#N/A</v>
      </c>
      <c r="R535" s="43"/>
      <c r="S535" s="43"/>
      <c r="T535" s="43"/>
      <c r="U535" s="449"/>
      <c r="V535" s="449"/>
      <c r="W535" s="43"/>
    </row>
    <row r="536" spans="2:23" s="28" customFormat="1" ht="16.5" customHeight="1">
      <c r="B536" s="20"/>
      <c r="C536" s="20"/>
      <c r="D536" s="448"/>
      <c r="E536" s="32">
        <v>129171</v>
      </c>
      <c r="F536" s="37" t="s">
        <v>58</v>
      </c>
      <c r="G536" s="452"/>
      <c r="H536" s="453"/>
      <c r="I536" s="325">
        <v>59700</v>
      </c>
      <c r="J536" s="33">
        <v>129171</v>
      </c>
      <c r="K536" s="32" t="s">
        <v>70</v>
      </c>
      <c r="L536" s="32" t="s">
        <v>0</v>
      </c>
      <c r="M536" s="32">
        <v>20</v>
      </c>
      <c r="N536" s="356">
        <f>VLOOKUP(E536,'[2]Price list'!$A$2:$F$145,6,0)</f>
        <v>59700</v>
      </c>
      <c r="O536" s="28" t="b">
        <f t="shared" si="23"/>
        <v>1</v>
      </c>
      <c r="R536" s="43"/>
      <c r="S536" s="43"/>
      <c r="T536" s="43"/>
      <c r="U536" s="449"/>
      <c r="V536" s="449"/>
      <c r="W536" s="43"/>
    </row>
    <row r="537" spans="2:23" s="28" customFormat="1" ht="16.5" customHeight="1">
      <c r="B537" s="20"/>
      <c r="C537" s="20"/>
      <c r="D537" s="448"/>
      <c r="E537" s="32">
        <v>129174</v>
      </c>
      <c r="F537" s="37" t="s">
        <v>60</v>
      </c>
      <c r="G537" s="452"/>
      <c r="H537" s="453"/>
      <c r="I537" s="325">
        <v>70200</v>
      </c>
      <c r="J537" s="33">
        <v>129174</v>
      </c>
      <c r="K537" s="32" t="s">
        <v>70</v>
      </c>
      <c r="L537" s="32" t="s">
        <v>0</v>
      </c>
      <c r="M537" s="32">
        <v>20</v>
      </c>
      <c r="N537" s="356">
        <f>VLOOKUP(E537,'[2]Price list'!$A$2:$F$145,6,0)</f>
        <v>70200</v>
      </c>
      <c r="O537" s="28" t="b">
        <f t="shared" si="23"/>
        <v>1</v>
      </c>
      <c r="R537" s="43"/>
      <c r="S537" s="43"/>
      <c r="T537" s="43"/>
      <c r="U537" s="449"/>
      <c r="V537" s="449"/>
      <c r="W537" s="43"/>
    </row>
    <row r="538" spans="2:23" s="28" customFormat="1" ht="16.5" customHeight="1">
      <c r="B538" s="20"/>
      <c r="C538" s="20"/>
      <c r="D538" s="448"/>
      <c r="E538" s="32">
        <v>134989</v>
      </c>
      <c r="F538" s="37" t="s">
        <v>42</v>
      </c>
      <c r="G538" s="452"/>
      <c r="H538" s="453"/>
      <c r="I538" s="325">
        <v>90900</v>
      </c>
      <c r="J538" s="33">
        <v>134989</v>
      </c>
      <c r="K538" s="32" t="s">
        <v>70</v>
      </c>
      <c r="L538" s="32" t="s">
        <v>0</v>
      </c>
      <c r="M538" s="32">
        <v>20</v>
      </c>
      <c r="N538" s="356" t="e">
        <f>VLOOKUP(E538,'[2]Price list'!$A$2:$F$145,6,0)</f>
        <v>#N/A</v>
      </c>
      <c r="O538" s="28" t="e">
        <f t="shared" si="23"/>
        <v>#N/A</v>
      </c>
      <c r="R538" s="43"/>
      <c r="S538" s="43"/>
      <c r="T538" s="43"/>
      <c r="U538" s="449"/>
      <c r="V538" s="449"/>
      <c r="W538" s="43"/>
    </row>
    <row r="539" spans="2:23" s="28" customFormat="1" ht="16.5" customHeight="1">
      <c r="B539" s="20"/>
      <c r="C539" s="20"/>
      <c r="D539" s="448"/>
      <c r="E539" s="32">
        <v>135080</v>
      </c>
      <c r="F539" s="37" t="s">
        <v>44</v>
      </c>
      <c r="G539" s="452"/>
      <c r="H539" s="453"/>
      <c r="I539" s="325">
        <v>110000</v>
      </c>
      <c r="J539" s="33">
        <v>135080</v>
      </c>
      <c r="K539" s="32" t="s">
        <v>73</v>
      </c>
      <c r="L539" s="32" t="s">
        <v>35</v>
      </c>
      <c r="M539" s="32">
        <v>12</v>
      </c>
      <c r="N539" s="356">
        <f>VLOOKUP(E539,'[2]Price list'!$A$2:$F$145,6,0)</f>
        <v>110000</v>
      </c>
      <c r="O539" s="28" t="b">
        <f t="shared" si="23"/>
        <v>1</v>
      </c>
      <c r="R539" s="43"/>
      <c r="S539" s="43"/>
      <c r="T539" s="43"/>
      <c r="U539" s="449"/>
      <c r="V539" s="449"/>
      <c r="W539" s="43"/>
    </row>
    <row r="540" spans="2:23" s="28" customFormat="1" ht="16.5" customHeight="1">
      <c r="B540" s="20"/>
      <c r="C540" s="20"/>
      <c r="D540" s="448"/>
      <c r="E540" s="32">
        <v>135123</v>
      </c>
      <c r="F540" s="37" t="s">
        <v>957</v>
      </c>
      <c r="G540" s="452"/>
      <c r="H540" s="453"/>
      <c r="I540" s="325">
        <v>0</v>
      </c>
      <c r="J540" s="33">
        <v>135123</v>
      </c>
      <c r="K540" s="32" t="s">
        <v>70</v>
      </c>
      <c r="L540" s="32" t="s">
        <v>35</v>
      </c>
      <c r="M540" s="32">
        <v>20</v>
      </c>
      <c r="N540" s="356" t="e">
        <f>VLOOKUP(E540,'[2]Price list'!$A$2:$F$145,6,0)</f>
        <v>#N/A</v>
      </c>
      <c r="O540" s="28" t="e">
        <f t="shared" si="23"/>
        <v>#N/A</v>
      </c>
      <c r="R540" s="43"/>
      <c r="S540" s="43"/>
      <c r="T540" s="43"/>
      <c r="U540" s="449"/>
      <c r="V540" s="449"/>
      <c r="W540" s="43"/>
    </row>
    <row r="541" spans="2:23" s="28" customFormat="1" ht="16.5" customHeight="1">
      <c r="B541" s="20"/>
      <c r="C541" s="20"/>
      <c r="D541" s="448"/>
      <c r="E541" s="32">
        <v>135691</v>
      </c>
      <c r="F541" s="37" t="s">
        <v>62</v>
      </c>
      <c r="G541" s="452"/>
      <c r="H541" s="453"/>
      <c r="I541" s="325">
        <v>91100</v>
      </c>
      <c r="J541" s="33">
        <v>135691</v>
      </c>
      <c r="K541" s="32" t="s">
        <v>70</v>
      </c>
      <c r="L541" s="32" t="s">
        <v>0</v>
      </c>
      <c r="M541" s="32">
        <v>20</v>
      </c>
      <c r="N541" s="356">
        <f>VLOOKUP(E541,'[2]Price list'!$A$2:$F$145,6,0)</f>
        <v>91100</v>
      </c>
      <c r="O541" s="28" t="b">
        <f t="shared" si="23"/>
        <v>1</v>
      </c>
      <c r="R541" s="43"/>
      <c r="S541" s="43"/>
      <c r="T541" s="43"/>
      <c r="U541" s="449"/>
      <c r="V541" s="449"/>
      <c r="W541" s="43"/>
    </row>
    <row r="542" spans="2:23" s="28" customFormat="1" ht="16.5" customHeight="1">
      <c r="B542" s="20"/>
      <c r="C542" s="20"/>
      <c r="D542" s="448"/>
      <c r="E542" s="32">
        <v>138806</v>
      </c>
      <c r="F542" s="37" t="s">
        <v>50</v>
      </c>
      <c r="G542" s="452"/>
      <c r="H542" s="453"/>
      <c r="I542" s="325">
        <v>148600</v>
      </c>
      <c r="J542" s="33">
        <v>138806</v>
      </c>
      <c r="K542" s="32" t="s">
        <v>72</v>
      </c>
      <c r="L542" s="32" t="s">
        <v>35</v>
      </c>
      <c r="M542" s="32">
        <v>9.94</v>
      </c>
      <c r="N542" s="356">
        <f>VLOOKUP(E542,'[2]Price list'!$A$2:$F$145,6,0)</f>
        <v>148600</v>
      </c>
      <c r="O542" s="28" t="b">
        <f t="shared" si="23"/>
        <v>1</v>
      </c>
      <c r="R542" s="43"/>
      <c r="S542" s="43"/>
      <c r="T542" s="43"/>
      <c r="U542" s="449"/>
      <c r="V542" s="449"/>
      <c r="W542" s="43"/>
    </row>
    <row r="543" spans="2:23" s="28" customFormat="1" ht="16.5" customHeight="1">
      <c r="B543" s="20"/>
      <c r="C543" s="20"/>
      <c r="D543" s="448"/>
      <c r="E543" s="32">
        <v>138814</v>
      </c>
      <c r="F543" s="37" t="s">
        <v>535</v>
      </c>
      <c r="G543" s="452"/>
      <c r="H543" s="453"/>
      <c r="I543" s="325">
        <v>0</v>
      </c>
      <c r="J543" s="33">
        <v>138814</v>
      </c>
      <c r="K543" s="32" t="s">
        <v>71</v>
      </c>
      <c r="L543" s="32" t="s">
        <v>35</v>
      </c>
      <c r="M543" s="32">
        <v>200</v>
      </c>
      <c r="N543" s="356" t="e">
        <f>VLOOKUP(E543,'[2]Price list'!$A$2:$F$145,6,0)</f>
        <v>#N/A</v>
      </c>
      <c r="O543" s="28" t="e">
        <f t="shared" si="23"/>
        <v>#N/A</v>
      </c>
      <c r="R543" s="43"/>
      <c r="S543" s="43"/>
      <c r="T543" s="43"/>
      <c r="U543" s="449"/>
      <c r="V543" s="449"/>
      <c r="W543" s="43"/>
    </row>
    <row r="544" spans="2:23" s="28" customFormat="1" ht="16.5" customHeight="1">
      <c r="B544" s="20"/>
      <c r="C544" s="20"/>
      <c r="D544" s="448"/>
      <c r="E544" s="32">
        <v>138815</v>
      </c>
      <c r="F544" s="37" t="s">
        <v>958</v>
      </c>
      <c r="G544" s="452"/>
      <c r="H544" s="453"/>
      <c r="I544" s="325">
        <v>0</v>
      </c>
      <c r="J544" s="33">
        <v>138815</v>
      </c>
      <c r="K544" s="32" t="s">
        <v>70</v>
      </c>
      <c r="L544" s="32" t="s">
        <v>35</v>
      </c>
      <c r="M544" s="32">
        <v>20</v>
      </c>
      <c r="N544" s="356" t="e">
        <f>VLOOKUP(E544,'[2]Price list'!$A$2:$F$145,6,0)</f>
        <v>#N/A</v>
      </c>
      <c r="O544" s="28" t="e">
        <f t="shared" si="23"/>
        <v>#N/A</v>
      </c>
      <c r="R544" s="43"/>
      <c r="S544" s="43"/>
      <c r="T544" s="43"/>
      <c r="U544" s="449"/>
      <c r="V544" s="449"/>
      <c r="W544" s="43"/>
    </row>
    <row r="545" spans="2:23" s="28" customFormat="1" ht="16.5" customHeight="1">
      <c r="B545" s="20"/>
      <c r="C545" s="20"/>
      <c r="D545" s="448"/>
      <c r="E545" s="32">
        <v>138816</v>
      </c>
      <c r="F545" s="37" t="s">
        <v>173</v>
      </c>
      <c r="G545" s="452"/>
      <c r="H545" s="453"/>
      <c r="I545" s="325">
        <v>0</v>
      </c>
      <c r="J545" s="33">
        <v>138816</v>
      </c>
      <c r="K545" s="32" t="s">
        <v>72</v>
      </c>
      <c r="L545" s="32" t="s">
        <v>35</v>
      </c>
      <c r="M545" s="32">
        <v>12</v>
      </c>
      <c r="N545" s="356" t="e">
        <f>VLOOKUP(E545,'[2]Price list'!$A$2:$F$145,6,0)</f>
        <v>#N/A</v>
      </c>
      <c r="O545" s="28" t="e">
        <f t="shared" si="23"/>
        <v>#N/A</v>
      </c>
      <c r="R545" s="43"/>
      <c r="S545" s="43"/>
      <c r="T545" s="43"/>
      <c r="U545" s="449"/>
      <c r="V545" s="449"/>
      <c r="W545" s="43"/>
    </row>
    <row r="546" spans="2:23" s="28" customFormat="1" ht="16.5" customHeight="1">
      <c r="B546" s="20"/>
      <c r="C546" s="20"/>
      <c r="D546" s="448"/>
      <c r="E546" s="32">
        <v>147643</v>
      </c>
      <c r="F546" s="37" t="s">
        <v>959</v>
      </c>
      <c r="G546" s="452"/>
      <c r="H546" s="453"/>
      <c r="I546" s="325">
        <v>666000</v>
      </c>
      <c r="J546" s="33">
        <v>17643</v>
      </c>
      <c r="K546" s="32" t="s">
        <v>960</v>
      </c>
      <c r="L546" s="32" t="s">
        <v>961</v>
      </c>
      <c r="M546" s="32">
        <v>200</v>
      </c>
      <c r="N546" s="356" t="e">
        <f>VLOOKUP(E546,'[2]Price list'!$A$2:$F$145,6,0)</f>
        <v>#N/A</v>
      </c>
      <c r="O546" s="28" t="e">
        <f t="shared" si="23"/>
        <v>#N/A</v>
      </c>
      <c r="R546" s="43"/>
      <c r="S546" s="43"/>
      <c r="T546" s="43"/>
      <c r="U546" s="449"/>
      <c r="V546" s="449"/>
      <c r="W546" s="43"/>
    </row>
    <row r="547" spans="2:23" s="28" customFormat="1" ht="16.5" customHeight="1">
      <c r="B547" s="20"/>
      <c r="C547" s="20"/>
      <c r="D547" s="448"/>
      <c r="E547" s="32">
        <v>138827</v>
      </c>
      <c r="F547" s="37" t="s">
        <v>51</v>
      </c>
      <c r="G547" s="452"/>
      <c r="H547" s="453"/>
      <c r="I547" s="325">
        <v>595000</v>
      </c>
      <c r="J547" s="33">
        <v>138827</v>
      </c>
      <c r="K547" s="32" t="s">
        <v>71</v>
      </c>
      <c r="L547" s="32" t="s">
        <v>35</v>
      </c>
      <c r="M547" s="32">
        <v>200</v>
      </c>
      <c r="N547" s="356">
        <f>VLOOKUP(E547,'[2]Price list'!$A$2:$F$145,6,0)</f>
        <v>595000</v>
      </c>
      <c r="O547" s="28" t="b">
        <f t="shared" si="23"/>
        <v>1</v>
      </c>
      <c r="R547" s="43"/>
      <c r="S547" s="43"/>
      <c r="T547" s="43"/>
      <c r="U547" s="449"/>
      <c r="V547" s="449"/>
      <c r="W547" s="43"/>
    </row>
    <row r="548" spans="2:23" s="28" customFormat="1" ht="16.5" customHeight="1">
      <c r="B548" s="20"/>
      <c r="C548" s="20"/>
      <c r="D548" s="448"/>
      <c r="E548" s="32">
        <v>138832</v>
      </c>
      <c r="F548" s="37" t="s">
        <v>166</v>
      </c>
      <c r="G548" s="452"/>
      <c r="H548" s="453"/>
      <c r="I548" s="325">
        <v>70800</v>
      </c>
      <c r="J548" s="33">
        <v>138832</v>
      </c>
      <c r="K548" s="32" t="s">
        <v>70</v>
      </c>
      <c r="L548" s="32" t="s">
        <v>0</v>
      </c>
      <c r="M548" s="32">
        <v>20</v>
      </c>
      <c r="N548" s="356">
        <f>VLOOKUP(E548,'[2]Price list'!$A$2:$F$145,6,0)</f>
        <v>70800</v>
      </c>
      <c r="O548" s="28" t="b">
        <f t="shared" si="23"/>
        <v>1</v>
      </c>
      <c r="R548" s="43"/>
      <c r="S548" s="43"/>
      <c r="T548" s="43"/>
      <c r="U548" s="449"/>
      <c r="V548" s="449"/>
      <c r="W548" s="43"/>
    </row>
    <row r="549" spans="2:23" s="28" customFormat="1" ht="16.5" customHeight="1">
      <c r="B549" s="20"/>
      <c r="C549" s="20"/>
      <c r="D549" s="448"/>
      <c r="E549" s="32">
        <v>138833</v>
      </c>
      <c r="F549" s="37" t="s">
        <v>179</v>
      </c>
      <c r="G549" s="452"/>
      <c r="H549" s="453"/>
      <c r="I549" s="325">
        <v>48800</v>
      </c>
      <c r="J549" s="32">
        <v>138833</v>
      </c>
      <c r="K549" s="39" t="s">
        <v>73</v>
      </c>
      <c r="L549" s="32" t="s">
        <v>35</v>
      </c>
      <c r="M549" s="32">
        <v>12</v>
      </c>
      <c r="N549" s="356">
        <f>VLOOKUP(E549,'[2]Price list'!$A$2:$F$145,6,0)</f>
        <v>48800</v>
      </c>
      <c r="O549" s="28" t="b">
        <f t="shared" si="23"/>
        <v>1</v>
      </c>
      <c r="R549" s="43"/>
      <c r="S549" s="43"/>
      <c r="T549" s="43"/>
      <c r="U549" s="449"/>
      <c r="V549" s="449"/>
      <c r="W549" s="43"/>
    </row>
    <row r="550" spans="2:23" s="28" customFormat="1" ht="16.5" customHeight="1">
      <c r="B550" s="20"/>
      <c r="C550" s="20"/>
      <c r="D550" s="448"/>
      <c r="E550" s="32">
        <v>120645</v>
      </c>
      <c r="F550" s="37" t="s">
        <v>53</v>
      </c>
      <c r="G550" s="452"/>
      <c r="H550" s="453"/>
      <c r="I550" s="325">
        <v>2213000</v>
      </c>
      <c r="J550" s="38">
        <v>120645</v>
      </c>
      <c r="K550" s="39" t="s">
        <v>71</v>
      </c>
      <c r="L550" s="32" t="s">
        <v>0</v>
      </c>
      <c r="M550" s="32">
        <v>200</v>
      </c>
      <c r="N550" s="356">
        <f>VLOOKUP(E550,'[2]Price list'!$A$2:$F$145,6,0)</f>
        <v>2213000</v>
      </c>
      <c r="O550" s="28" t="b">
        <f>I550=N550</f>
        <v>1</v>
      </c>
      <c r="U550" s="449"/>
      <c r="V550" s="449"/>
      <c r="W550" s="43"/>
    </row>
    <row r="551" spans="2:23" s="28" customFormat="1" ht="16.5" customHeight="1">
      <c r="B551" s="20"/>
      <c r="C551" s="20"/>
      <c r="D551" s="448"/>
      <c r="E551" s="282">
        <v>122916</v>
      </c>
      <c r="F551" s="37" t="s">
        <v>54</v>
      </c>
      <c r="G551" s="518"/>
      <c r="H551" s="519"/>
      <c r="I551" s="325">
        <v>140000</v>
      </c>
      <c r="J551" s="33">
        <v>122916</v>
      </c>
      <c r="K551" s="32" t="s">
        <v>72</v>
      </c>
      <c r="L551" s="32" t="s">
        <v>0</v>
      </c>
      <c r="M551" s="32">
        <v>12</v>
      </c>
      <c r="N551" s="356">
        <f>VLOOKUP(E551,'[2]Price list'!$A$2:$F$145,6,0)</f>
        <v>140000</v>
      </c>
      <c r="O551" s="28" t="b">
        <f t="shared" ref="O551:O617" si="24">I551=N551</f>
        <v>1</v>
      </c>
      <c r="U551" s="449"/>
      <c r="V551" s="449"/>
      <c r="W551" s="43"/>
    </row>
    <row r="552" spans="2:23" s="28" customFormat="1" ht="16.5" customHeight="1">
      <c r="B552" s="20"/>
      <c r="C552" s="20"/>
      <c r="D552" s="448"/>
      <c r="E552" s="32">
        <v>123205</v>
      </c>
      <c r="F552" s="37" t="s">
        <v>49</v>
      </c>
      <c r="G552" s="452"/>
      <c r="H552" s="453"/>
      <c r="I552" s="325">
        <v>60300</v>
      </c>
      <c r="J552" s="33">
        <v>123205</v>
      </c>
      <c r="K552" s="32" t="s">
        <v>73</v>
      </c>
      <c r="L552" s="32" t="s">
        <v>35</v>
      </c>
      <c r="M552" s="32">
        <v>6</v>
      </c>
      <c r="N552" s="356">
        <f>VLOOKUP(E552,'[2]Price list'!$A$2:$F$145,6,0)</f>
        <v>60300</v>
      </c>
      <c r="O552" s="28" t="b">
        <f t="shared" si="24"/>
        <v>1</v>
      </c>
      <c r="U552" s="449"/>
      <c r="V552" s="449"/>
      <c r="W552" s="43"/>
    </row>
    <row r="553" spans="2:23" s="28" customFormat="1" ht="16.5" customHeight="1">
      <c r="B553" s="20"/>
      <c r="C553" s="20"/>
      <c r="D553" s="448"/>
      <c r="E553" s="32">
        <v>124065</v>
      </c>
      <c r="F553" s="520" t="s">
        <v>449</v>
      </c>
      <c r="G553" s="518"/>
      <c r="H553" s="519"/>
      <c r="I553" s="325">
        <v>1011000</v>
      </c>
      <c r="J553" s="32">
        <v>124065</v>
      </c>
      <c r="K553" s="32" t="s">
        <v>71</v>
      </c>
      <c r="L553" s="32" t="s">
        <v>0</v>
      </c>
      <c r="M553" s="32">
        <v>208</v>
      </c>
      <c r="N553" s="356">
        <f>VLOOKUP(E553,'[2]Price list'!$A$2:$F$145,6,0)</f>
        <v>1011000</v>
      </c>
      <c r="O553" s="28" t="b">
        <f t="shared" si="24"/>
        <v>1</v>
      </c>
      <c r="U553" s="449"/>
      <c r="V553" s="449"/>
      <c r="W553" s="43"/>
    </row>
    <row r="554" spans="2:23" s="28" customFormat="1" ht="16.5" customHeight="1">
      <c r="B554" s="20"/>
      <c r="C554" s="20"/>
      <c r="D554" s="448"/>
      <c r="E554" s="32">
        <v>124476</v>
      </c>
      <c r="F554" s="37" t="s">
        <v>52</v>
      </c>
      <c r="G554" s="452"/>
      <c r="H554" s="453"/>
      <c r="I554" s="325">
        <v>63200</v>
      </c>
      <c r="J554" s="33">
        <v>124476</v>
      </c>
      <c r="K554" s="32" t="s">
        <v>70</v>
      </c>
      <c r="L554" s="32" t="s">
        <v>35</v>
      </c>
      <c r="M554" s="32">
        <v>20</v>
      </c>
      <c r="N554" s="356">
        <f>VLOOKUP(E554,'[2]Price list'!$A$2:$F$145,6,0)</f>
        <v>63200</v>
      </c>
      <c r="O554" s="28" t="b">
        <f t="shared" si="24"/>
        <v>1</v>
      </c>
      <c r="R554" s="43"/>
      <c r="S554" s="43"/>
      <c r="T554" s="43"/>
      <c r="U554" s="449"/>
      <c r="V554" s="449"/>
      <c r="W554" s="43"/>
    </row>
    <row r="555" spans="2:23" s="28" customFormat="1" ht="16.5" customHeight="1">
      <c r="B555" s="20"/>
      <c r="C555" s="20"/>
      <c r="D555" s="448"/>
      <c r="E555" s="32">
        <v>128872</v>
      </c>
      <c r="F555" s="37" t="s">
        <v>956</v>
      </c>
      <c r="G555" s="452"/>
      <c r="H555" s="453"/>
      <c r="I555" s="325">
        <v>0</v>
      </c>
      <c r="J555" s="33">
        <v>128872</v>
      </c>
      <c r="K555" s="32" t="s">
        <v>70</v>
      </c>
      <c r="L555" s="32" t="s">
        <v>0</v>
      </c>
      <c r="M555" s="32">
        <v>20</v>
      </c>
      <c r="N555" s="356" t="e">
        <f>VLOOKUP(E555,'[2]Price list'!$A$2:$F$145,6,0)</f>
        <v>#N/A</v>
      </c>
      <c r="O555" s="28" t="e">
        <f t="shared" si="24"/>
        <v>#N/A</v>
      </c>
      <c r="R555" s="43"/>
      <c r="S555" s="43"/>
      <c r="T555" s="43"/>
      <c r="U555" s="449"/>
      <c r="V555" s="449"/>
      <c r="W555" s="43"/>
    </row>
    <row r="556" spans="2:23" s="28" customFormat="1" ht="16.5" customHeight="1">
      <c r="B556" s="20"/>
      <c r="C556" s="20"/>
      <c r="D556" s="448"/>
      <c r="E556" s="32">
        <v>129171</v>
      </c>
      <c r="F556" s="37" t="s">
        <v>58</v>
      </c>
      <c r="G556" s="452"/>
      <c r="H556" s="453"/>
      <c r="I556" s="325">
        <v>59700</v>
      </c>
      <c r="J556" s="33">
        <v>129171</v>
      </c>
      <c r="K556" s="32" t="s">
        <v>70</v>
      </c>
      <c r="L556" s="32" t="s">
        <v>0</v>
      </c>
      <c r="M556" s="32">
        <v>20</v>
      </c>
      <c r="N556" s="356">
        <f>VLOOKUP(E556,'[2]Price list'!$A$2:$F$145,6,0)</f>
        <v>59700</v>
      </c>
      <c r="O556" s="28" t="b">
        <f t="shared" si="24"/>
        <v>1</v>
      </c>
      <c r="R556" s="43"/>
      <c r="S556" s="43"/>
      <c r="T556" s="43"/>
      <c r="U556" s="449"/>
      <c r="V556" s="449"/>
      <c r="W556" s="43"/>
    </row>
    <row r="557" spans="2:23" s="28" customFormat="1" ht="16.5" customHeight="1">
      <c r="B557" s="20"/>
      <c r="C557" s="20"/>
      <c r="D557" s="448"/>
      <c r="E557" s="32">
        <v>129174</v>
      </c>
      <c r="F557" s="37" t="s">
        <v>60</v>
      </c>
      <c r="G557" s="452"/>
      <c r="H557" s="453"/>
      <c r="I557" s="325">
        <v>70200</v>
      </c>
      <c r="J557" s="33">
        <v>129174</v>
      </c>
      <c r="K557" s="32" t="s">
        <v>70</v>
      </c>
      <c r="L557" s="32" t="s">
        <v>0</v>
      </c>
      <c r="M557" s="32">
        <v>20</v>
      </c>
      <c r="N557" s="356">
        <f>VLOOKUP(E557,'[2]Price list'!$A$2:$F$145,6,0)</f>
        <v>70200</v>
      </c>
      <c r="O557" s="28" t="b">
        <f t="shared" si="24"/>
        <v>1</v>
      </c>
      <c r="R557" s="43"/>
      <c r="S557" s="43"/>
      <c r="T557" s="43"/>
      <c r="U557" s="449"/>
      <c r="V557" s="449"/>
      <c r="W557" s="43"/>
    </row>
    <row r="558" spans="2:23" s="28" customFormat="1" ht="16.5" customHeight="1">
      <c r="B558" s="20"/>
      <c r="C558" s="20"/>
      <c r="D558" s="448"/>
      <c r="E558" s="32">
        <v>134989</v>
      </c>
      <c r="F558" s="37" t="s">
        <v>42</v>
      </c>
      <c r="G558" s="452"/>
      <c r="H558" s="453"/>
      <c r="I558" s="325">
        <v>90900</v>
      </c>
      <c r="J558" s="33">
        <v>134989</v>
      </c>
      <c r="K558" s="32" t="s">
        <v>70</v>
      </c>
      <c r="L558" s="32" t="s">
        <v>0</v>
      </c>
      <c r="M558" s="32">
        <v>20</v>
      </c>
      <c r="N558" s="356" t="e">
        <f>VLOOKUP(E558,'[2]Price list'!$A$2:$F$145,6,0)</f>
        <v>#N/A</v>
      </c>
      <c r="O558" s="28" t="e">
        <f t="shared" si="24"/>
        <v>#N/A</v>
      </c>
      <c r="R558" s="43"/>
      <c r="S558" s="43"/>
      <c r="T558" s="43"/>
      <c r="U558" s="449"/>
      <c r="V558" s="449"/>
      <c r="W558" s="43"/>
    </row>
    <row r="559" spans="2:23" s="28" customFormat="1" ht="16.5" customHeight="1">
      <c r="B559" s="20"/>
      <c r="C559" s="20"/>
      <c r="D559" s="448"/>
      <c r="E559" s="32">
        <v>135080</v>
      </c>
      <c r="F559" s="37" t="s">
        <v>44</v>
      </c>
      <c r="G559" s="452"/>
      <c r="H559" s="453"/>
      <c r="I559" s="325">
        <v>110000</v>
      </c>
      <c r="J559" s="33">
        <v>135080</v>
      </c>
      <c r="K559" s="32" t="s">
        <v>73</v>
      </c>
      <c r="L559" s="32" t="s">
        <v>35</v>
      </c>
      <c r="M559" s="32">
        <v>12</v>
      </c>
      <c r="N559" s="356">
        <f>VLOOKUP(E559,'[2]Price list'!$A$2:$F$145,6,0)</f>
        <v>110000</v>
      </c>
      <c r="O559" s="28" t="b">
        <f t="shared" si="24"/>
        <v>1</v>
      </c>
      <c r="R559" s="43"/>
      <c r="S559" s="43"/>
      <c r="T559" s="43"/>
      <c r="U559" s="449"/>
      <c r="V559" s="449"/>
      <c r="W559" s="43"/>
    </row>
    <row r="560" spans="2:23" s="28" customFormat="1" ht="16.5" customHeight="1">
      <c r="B560" s="20"/>
      <c r="C560" s="20"/>
      <c r="D560" s="448"/>
      <c r="E560" s="32">
        <v>135123</v>
      </c>
      <c r="F560" s="37" t="s">
        <v>957</v>
      </c>
      <c r="G560" s="452"/>
      <c r="H560" s="453"/>
      <c r="I560" s="325">
        <v>0</v>
      </c>
      <c r="J560" s="33">
        <v>135123</v>
      </c>
      <c r="K560" s="32" t="s">
        <v>70</v>
      </c>
      <c r="L560" s="32" t="s">
        <v>35</v>
      </c>
      <c r="M560" s="32">
        <v>20</v>
      </c>
      <c r="N560" s="356" t="e">
        <f>VLOOKUP(E560,'[2]Price list'!$A$2:$F$145,6,0)</f>
        <v>#N/A</v>
      </c>
      <c r="O560" s="28" t="e">
        <f t="shared" si="24"/>
        <v>#N/A</v>
      </c>
      <c r="R560" s="43"/>
      <c r="S560" s="43"/>
      <c r="T560" s="43"/>
      <c r="U560" s="449"/>
      <c r="V560" s="449"/>
      <c r="W560" s="43"/>
    </row>
    <row r="561" spans="2:23" s="28" customFormat="1" ht="16.5" customHeight="1">
      <c r="B561" s="20"/>
      <c r="C561" s="20"/>
      <c r="D561" s="448"/>
      <c r="E561" s="32">
        <v>135691</v>
      </c>
      <c r="F561" s="37" t="s">
        <v>62</v>
      </c>
      <c r="G561" s="452"/>
      <c r="H561" s="453"/>
      <c r="I561" s="325">
        <v>91100</v>
      </c>
      <c r="J561" s="33">
        <v>135691</v>
      </c>
      <c r="K561" s="32" t="s">
        <v>70</v>
      </c>
      <c r="L561" s="32" t="s">
        <v>0</v>
      </c>
      <c r="M561" s="32">
        <v>20</v>
      </c>
      <c r="N561" s="356">
        <f>VLOOKUP(E561,'[2]Price list'!$A$2:$F$145,6,0)</f>
        <v>91100</v>
      </c>
      <c r="O561" s="28" t="b">
        <f t="shared" si="24"/>
        <v>1</v>
      </c>
      <c r="R561" s="43"/>
      <c r="S561" s="43"/>
      <c r="T561" s="43"/>
      <c r="U561" s="449"/>
      <c r="V561" s="449"/>
      <c r="W561" s="43"/>
    </row>
    <row r="562" spans="2:23" s="28" customFormat="1" ht="16.5" customHeight="1">
      <c r="B562" s="20"/>
      <c r="C562" s="20"/>
      <c r="D562" s="448"/>
      <c r="E562" s="32">
        <v>138806</v>
      </c>
      <c r="F562" s="37" t="s">
        <v>50</v>
      </c>
      <c r="G562" s="452"/>
      <c r="H562" s="453"/>
      <c r="I562" s="325">
        <v>148600</v>
      </c>
      <c r="J562" s="33">
        <v>138806</v>
      </c>
      <c r="K562" s="32" t="s">
        <v>72</v>
      </c>
      <c r="L562" s="32" t="s">
        <v>35</v>
      </c>
      <c r="M562" s="32">
        <v>9.94</v>
      </c>
      <c r="N562" s="356">
        <f>VLOOKUP(E562,'[2]Price list'!$A$2:$F$145,6,0)</f>
        <v>148600</v>
      </c>
      <c r="O562" s="28" t="b">
        <f t="shared" si="24"/>
        <v>1</v>
      </c>
      <c r="R562" s="43"/>
      <c r="S562" s="43"/>
      <c r="T562" s="43"/>
      <c r="U562" s="449"/>
      <c r="V562" s="449"/>
      <c r="W562" s="43"/>
    </row>
    <row r="563" spans="2:23" s="28" customFormat="1" ht="16.5" customHeight="1">
      <c r="B563" s="20"/>
      <c r="C563" s="20"/>
      <c r="D563" s="448"/>
      <c r="E563" s="32">
        <v>138814</v>
      </c>
      <c r="F563" s="37" t="s">
        <v>535</v>
      </c>
      <c r="G563" s="452"/>
      <c r="H563" s="453"/>
      <c r="I563" s="325">
        <v>0</v>
      </c>
      <c r="J563" s="33">
        <v>138814</v>
      </c>
      <c r="K563" s="32" t="s">
        <v>71</v>
      </c>
      <c r="L563" s="32" t="s">
        <v>35</v>
      </c>
      <c r="M563" s="32">
        <v>200</v>
      </c>
      <c r="N563" s="356" t="e">
        <f>VLOOKUP(E563,'[2]Price list'!$A$2:$F$145,6,0)</f>
        <v>#N/A</v>
      </c>
      <c r="O563" s="28" t="e">
        <f t="shared" si="24"/>
        <v>#N/A</v>
      </c>
      <c r="R563" s="43"/>
      <c r="S563" s="43"/>
      <c r="T563" s="43"/>
      <c r="U563" s="449"/>
      <c r="V563" s="449"/>
      <c r="W563" s="43"/>
    </row>
    <row r="564" spans="2:23" s="28" customFormat="1" ht="16.5" customHeight="1">
      <c r="B564" s="20"/>
      <c r="C564" s="20"/>
      <c r="D564" s="448"/>
      <c r="E564" s="32">
        <v>138815</v>
      </c>
      <c r="F564" s="37" t="s">
        <v>958</v>
      </c>
      <c r="G564" s="452"/>
      <c r="H564" s="453"/>
      <c r="I564" s="325">
        <v>0</v>
      </c>
      <c r="J564" s="33">
        <v>138815</v>
      </c>
      <c r="K564" s="32" t="s">
        <v>70</v>
      </c>
      <c r="L564" s="32" t="s">
        <v>35</v>
      </c>
      <c r="M564" s="32">
        <v>20</v>
      </c>
      <c r="N564" s="356" t="e">
        <f>VLOOKUP(E564,'[2]Price list'!$A$2:$F$145,6,0)</f>
        <v>#N/A</v>
      </c>
      <c r="O564" s="28" t="e">
        <f t="shared" si="24"/>
        <v>#N/A</v>
      </c>
      <c r="R564" s="43"/>
      <c r="S564" s="43"/>
      <c r="T564" s="43"/>
      <c r="U564" s="449"/>
      <c r="V564" s="449"/>
      <c r="W564" s="43"/>
    </row>
    <row r="565" spans="2:23" s="28" customFormat="1" ht="16.5" customHeight="1">
      <c r="B565" s="20"/>
      <c r="C565" s="20"/>
      <c r="D565" s="448"/>
      <c r="E565" s="32">
        <v>138816</v>
      </c>
      <c r="F565" s="37" t="s">
        <v>173</v>
      </c>
      <c r="G565" s="452"/>
      <c r="H565" s="453"/>
      <c r="I565" s="325">
        <v>0</v>
      </c>
      <c r="J565" s="33">
        <v>138816</v>
      </c>
      <c r="K565" s="32" t="s">
        <v>72</v>
      </c>
      <c r="L565" s="32" t="s">
        <v>35</v>
      </c>
      <c r="M565" s="32">
        <v>12</v>
      </c>
      <c r="N565" s="356" t="e">
        <f>VLOOKUP(E565,'[2]Price list'!$A$2:$F$145,6,0)</f>
        <v>#N/A</v>
      </c>
      <c r="O565" s="28" t="e">
        <f t="shared" si="24"/>
        <v>#N/A</v>
      </c>
      <c r="R565" s="43"/>
      <c r="S565" s="43"/>
      <c r="T565" s="43"/>
      <c r="U565" s="449"/>
      <c r="V565" s="449"/>
      <c r="W565" s="43"/>
    </row>
    <row r="566" spans="2:23" s="28" customFormat="1" ht="16.5" customHeight="1">
      <c r="B566" s="20"/>
      <c r="C566" s="20"/>
      <c r="D566" s="448"/>
      <c r="E566" s="32">
        <v>147643</v>
      </c>
      <c r="F566" s="37" t="s">
        <v>959</v>
      </c>
      <c r="G566" s="452"/>
      <c r="H566" s="453"/>
      <c r="I566" s="325">
        <v>666000</v>
      </c>
      <c r="J566" s="33">
        <v>17643</v>
      </c>
      <c r="K566" s="32" t="s">
        <v>103</v>
      </c>
      <c r="L566" s="32" t="s">
        <v>920</v>
      </c>
      <c r="M566" s="32">
        <v>200</v>
      </c>
      <c r="N566" s="356" t="e">
        <f>VLOOKUP(E566,'[2]Price list'!$A$2:$F$145,6,0)</f>
        <v>#N/A</v>
      </c>
      <c r="O566" s="28" t="e">
        <f t="shared" si="24"/>
        <v>#N/A</v>
      </c>
      <c r="R566" s="43"/>
      <c r="S566" s="43"/>
      <c r="T566" s="43"/>
      <c r="U566" s="449"/>
      <c r="V566" s="449"/>
      <c r="W566" s="43"/>
    </row>
    <row r="567" spans="2:23" s="28" customFormat="1" ht="16.5" customHeight="1">
      <c r="B567" s="20"/>
      <c r="C567" s="20"/>
      <c r="D567" s="448"/>
      <c r="E567" s="32">
        <v>138827</v>
      </c>
      <c r="F567" s="37" t="s">
        <v>51</v>
      </c>
      <c r="G567" s="452"/>
      <c r="H567" s="453"/>
      <c r="I567" s="325">
        <v>595000</v>
      </c>
      <c r="J567" s="33">
        <v>138827</v>
      </c>
      <c r="K567" s="32" t="s">
        <v>71</v>
      </c>
      <c r="L567" s="32" t="s">
        <v>35</v>
      </c>
      <c r="M567" s="32">
        <v>200</v>
      </c>
      <c r="N567" s="356">
        <f>VLOOKUP(E567,'[2]Price list'!$A$2:$F$145,6,0)</f>
        <v>595000</v>
      </c>
      <c r="O567" s="28" t="b">
        <f t="shared" si="24"/>
        <v>1</v>
      </c>
      <c r="R567" s="43"/>
      <c r="S567" s="43"/>
      <c r="T567" s="43"/>
      <c r="U567" s="449"/>
      <c r="V567" s="449"/>
      <c r="W567" s="43"/>
    </row>
    <row r="568" spans="2:23" s="28" customFormat="1" ht="16.5" customHeight="1">
      <c r="B568" s="20"/>
      <c r="C568" s="20"/>
      <c r="D568" s="448"/>
      <c r="E568" s="32">
        <v>138832</v>
      </c>
      <c r="F568" s="37" t="s">
        <v>166</v>
      </c>
      <c r="G568" s="452"/>
      <c r="H568" s="453"/>
      <c r="I568" s="325">
        <v>70800</v>
      </c>
      <c r="J568" s="33">
        <v>138832</v>
      </c>
      <c r="K568" s="32" t="s">
        <v>70</v>
      </c>
      <c r="L568" s="32" t="s">
        <v>0</v>
      </c>
      <c r="M568" s="32">
        <v>20</v>
      </c>
      <c r="N568" s="356">
        <f>VLOOKUP(E568,'[2]Price list'!$A$2:$F$145,6,0)</f>
        <v>70800</v>
      </c>
      <c r="O568" s="28" t="b">
        <f t="shared" si="24"/>
        <v>1</v>
      </c>
      <c r="R568" s="43"/>
      <c r="S568" s="43"/>
      <c r="T568" s="43"/>
      <c r="U568" s="449"/>
      <c r="V568" s="449"/>
      <c r="W568" s="43"/>
    </row>
    <row r="569" spans="2:23" s="28" customFormat="1" ht="16.5" customHeight="1">
      <c r="B569" s="20"/>
      <c r="C569" s="20"/>
      <c r="D569" s="448"/>
      <c r="E569" s="32">
        <v>138833</v>
      </c>
      <c r="F569" s="37" t="s">
        <v>179</v>
      </c>
      <c r="G569" s="452"/>
      <c r="H569" s="453"/>
      <c r="I569" s="325">
        <v>48800</v>
      </c>
      <c r="J569" s="32">
        <v>138833</v>
      </c>
      <c r="K569" s="39" t="s">
        <v>73</v>
      </c>
      <c r="L569" s="32" t="s">
        <v>35</v>
      </c>
      <c r="M569" s="32">
        <v>12</v>
      </c>
      <c r="N569" s="356">
        <f>VLOOKUP(E569,'[2]Price list'!$A$2:$F$145,6,0)</f>
        <v>48800</v>
      </c>
      <c r="O569" s="28" t="b">
        <f t="shared" si="24"/>
        <v>1</v>
      </c>
      <c r="R569" s="43"/>
      <c r="S569" s="43"/>
      <c r="T569" s="43"/>
      <c r="U569" s="449"/>
      <c r="V569" s="449"/>
      <c r="W569" s="43"/>
    </row>
    <row r="570" spans="2:23" s="28" customFormat="1" ht="16.5" customHeight="1">
      <c r="B570" s="20"/>
      <c r="C570" s="20"/>
      <c r="D570" s="448"/>
      <c r="E570" s="32">
        <v>138838</v>
      </c>
      <c r="F570" s="37" t="s">
        <v>40</v>
      </c>
      <c r="G570" s="452"/>
      <c r="H570" s="453"/>
      <c r="I570" s="325">
        <v>615000</v>
      </c>
      <c r="J570" s="33">
        <v>138838</v>
      </c>
      <c r="K570" s="32" t="s">
        <v>71</v>
      </c>
      <c r="L570" s="32" t="s">
        <v>0</v>
      </c>
      <c r="M570" s="32">
        <v>200</v>
      </c>
      <c r="N570" s="356">
        <f>VLOOKUP(E570,'[2]Price list'!$A$2:$F$145,6,0)</f>
        <v>615000</v>
      </c>
      <c r="O570" s="28" t="b">
        <f t="shared" si="24"/>
        <v>1</v>
      </c>
      <c r="R570" s="43"/>
      <c r="S570" s="43"/>
      <c r="T570" s="43"/>
      <c r="U570" s="449"/>
      <c r="V570" s="449"/>
      <c r="W570" s="43"/>
    </row>
    <row r="571" spans="2:23" s="28" customFormat="1" ht="16.5" customHeight="1">
      <c r="B571" s="20"/>
      <c r="C571" s="20"/>
      <c r="D571" s="448"/>
      <c r="E571" s="32">
        <v>138840</v>
      </c>
      <c r="F571" s="37" t="s">
        <v>137</v>
      </c>
      <c r="G571" s="452"/>
      <c r="H571" s="453"/>
      <c r="I571" s="325">
        <v>65600</v>
      </c>
      <c r="J571" s="33">
        <v>138840</v>
      </c>
      <c r="K571" s="32" t="s">
        <v>70</v>
      </c>
      <c r="L571" s="32" t="s">
        <v>0</v>
      </c>
      <c r="M571" s="32">
        <v>20</v>
      </c>
      <c r="N571" s="356">
        <f>VLOOKUP(E571,'[2]Price list'!$A$2:$F$145,6,0)</f>
        <v>65600</v>
      </c>
      <c r="O571" s="28" t="b">
        <f t="shared" si="24"/>
        <v>1</v>
      </c>
      <c r="R571" s="43"/>
      <c r="S571" s="43"/>
      <c r="T571" s="43"/>
      <c r="U571" s="449"/>
      <c r="V571" s="449"/>
      <c r="W571" s="43"/>
    </row>
    <row r="572" spans="2:23" s="28" customFormat="1" ht="16.5" customHeight="1">
      <c r="B572" s="20"/>
      <c r="C572" s="20"/>
      <c r="D572" s="448"/>
      <c r="E572" s="32">
        <v>138851</v>
      </c>
      <c r="F572" s="37" t="s">
        <v>48</v>
      </c>
      <c r="G572" s="452"/>
      <c r="H572" s="453"/>
      <c r="I572" s="325">
        <v>1193000</v>
      </c>
      <c r="J572" s="33">
        <v>138851</v>
      </c>
      <c r="K572" s="32" t="s">
        <v>71</v>
      </c>
      <c r="L572" s="32" t="s">
        <v>0</v>
      </c>
      <c r="M572" s="32">
        <v>208</v>
      </c>
      <c r="N572" s="356">
        <f>VLOOKUP(E572,'[2]Price list'!$A$2:$F$145,6,0)</f>
        <v>1193000</v>
      </c>
      <c r="O572" s="28" t="b">
        <f t="shared" si="24"/>
        <v>1</v>
      </c>
      <c r="R572" s="43"/>
      <c r="S572" s="43"/>
      <c r="T572" s="43"/>
      <c r="U572" s="449"/>
      <c r="V572" s="449"/>
      <c r="W572" s="43"/>
    </row>
    <row r="573" spans="2:23" s="28" customFormat="1" ht="16.5" customHeight="1">
      <c r="B573" s="20"/>
      <c r="C573" s="20"/>
      <c r="D573" s="448"/>
      <c r="E573" s="32">
        <v>138865</v>
      </c>
      <c r="F573" s="37" t="s">
        <v>962</v>
      </c>
      <c r="G573" s="452"/>
      <c r="H573" s="453"/>
      <c r="I573" s="325">
        <v>0</v>
      </c>
      <c r="J573" s="33">
        <v>138865</v>
      </c>
      <c r="K573" s="32" t="s">
        <v>70</v>
      </c>
      <c r="L573" s="32" t="s">
        <v>0</v>
      </c>
      <c r="M573" s="32">
        <v>20</v>
      </c>
      <c r="N573" s="356" t="e">
        <f>VLOOKUP(E573,'[2]Price list'!$A$2:$F$145,6,0)</f>
        <v>#N/A</v>
      </c>
      <c r="O573" s="28" t="e">
        <f t="shared" si="24"/>
        <v>#N/A</v>
      </c>
      <c r="R573" s="43"/>
      <c r="S573" s="43"/>
      <c r="T573" s="43"/>
      <c r="U573" s="449"/>
      <c r="V573" s="449"/>
      <c r="W573" s="43"/>
    </row>
    <row r="574" spans="2:23" s="28" customFormat="1" ht="16.5" customHeight="1">
      <c r="B574" s="20"/>
      <c r="C574" s="20"/>
      <c r="D574" s="448"/>
      <c r="E574" s="32">
        <v>138882</v>
      </c>
      <c r="F574" s="37" t="s">
        <v>963</v>
      </c>
      <c r="G574" s="452"/>
      <c r="H574" s="453"/>
      <c r="I574" s="325">
        <v>0</v>
      </c>
      <c r="J574" s="33">
        <v>138882</v>
      </c>
      <c r="K574" s="32" t="s">
        <v>71</v>
      </c>
      <c r="L574" s="32" t="s">
        <v>0</v>
      </c>
      <c r="M574" s="32">
        <v>200</v>
      </c>
      <c r="N574" s="356" t="e">
        <f>VLOOKUP(E574,'[2]Price list'!$A$2:$F$145,6,0)</f>
        <v>#N/A</v>
      </c>
      <c r="O574" s="28" t="e">
        <f t="shared" si="24"/>
        <v>#N/A</v>
      </c>
      <c r="R574" s="43"/>
      <c r="S574" s="43"/>
      <c r="T574" s="43"/>
      <c r="U574" s="449"/>
      <c r="V574" s="449"/>
      <c r="W574" s="43"/>
    </row>
    <row r="575" spans="2:23" s="28" customFormat="1" ht="16.5" customHeight="1">
      <c r="B575" s="20"/>
      <c r="C575" s="20"/>
      <c r="D575" s="448"/>
      <c r="E575" s="32">
        <v>138884</v>
      </c>
      <c r="F575" s="37" t="s">
        <v>964</v>
      </c>
      <c r="G575" s="452"/>
      <c r="H575" s="453"/>
      <c r="I575" s="325">
        <v>0</v>
      </c>
      <c r="J575" s="33">
        <v>138884</v>
      </c>
      <c r="K575" s="32" t="s">
        <v>72</v>
      </c>
      <c r="L575" s="32" t="s">
        <v>0</v>
      </c>
      <c r="M575" s="32">
        <v>16</v>
      </c>
      <c r="N575" s="356" t="e">
        <f>VLOOKUP(E575,'[2]Price list'!$A$2:$F$145,6,0)</f>
        <v>#N/A</v>
      </c>
      <c r="O575" s="28" t="e">
        <f t="shared" si="24"/>
        <v>#N/A</v>
      </c>
      <c r="R575" s="43"/>
      <c r="S575" s="43"/>
      <c r="T575" s="43"/>
      <c r="U575" s="449"/>
      <c r="V575" s="449"/>
      <c r="W575" s="43"/>
    </row>
    <row r="576" spans="2:23" s="28" customFormat="1" ht="16.5" customHeight="1">
      <c r="B576" s="20"/>
      <c r="C576" s="20"/>
      <c r="D576" s="448"/>
      <c r="E576" s="32">
        <v>123302</v>
      </c>
      <c r="F576" s="37" t="s">
        <v>205</v>
      </c>
      <c r="G576" s="452"/>
      <c r="H576" s="453"/>
      <c r="I576" s="325">
        <v>233000</v>
      </c>
      <c r="J576" s="33">
        <v>138888</v>
      </c>
      <c r="K576" s="32" t="s">
        <v>70</v>
      </c>
      <c r="L576" s="32" t="s">
        <v>35</v>
      </c>
      <c r="M576" s="32">
        <v>20</v>
      </c>
      <c r="N576" s="356" t="e">
        <f>VLOOKUP(E576,'[2]Price list'!$A$2:$F$145,6,0)</f>
        <v>#N/A</v>
      </c>
      <c r="O576" s="28" t="e">
        <f t="shared" si="24"/>
        <v>#N/A</v>
      </c>
      <c r="R576" s="43"/>
      <c r="S576" s="43"/>
      <c r="T576" s="43"/>
      <c r="U576" s="449"/>
      <c r="V576" s="449"/>
      <c r="W576" s="43"/>
    </row>
    <row r="577" spans="2:23" s="28" customFormat="1" ht="16.5" customHeight="1">
      <c r="B577" s="20"/>
      <c r="C577" s="20"/>
      <c r="D577" s="448"/>
      <c r="E577" s="32">
        <v>138889</v>
      </c>
      <c r="F577" s="37" t="s">
        <v>55</v>
      </c>
      <c r="G577" s="452"/>
      <c r="H577" s="453"/>
      <c r="I577" s="325">
        <v>520000</v>
      </c>
      <c r="J577" s="33">
        <v>138889</v>
      </c>
      <c r="K577" s="32" t="s">
        <v>71</v>
      </c>
      <c r="L577" s="32" t="s">
        <v>0</v>
      </c>
      <c r="M577" s="32">
        <v>200</v>
      </c>
      <c r="N577" s="356">
        <f>VLOOKUP(E577,'[2]Price list'!$A$2:$F$145,6,0)</f>
        <v>520000</v>
      </c>
      <c r="O577" s="28" t="b">
        <f t="shared" si="24"/>
        <v>1</v>
      </c>
      <c r="R577" s="43"/>
      <c r="S577" s="43"/>
      <c r="T577" s="43"/>
      <c r="U577" s="449"/>
      <c r="V577" s="449"/>
      <c r="W577" s="43"/>
    </row>
    <row r="578" spans="2:23" s="28" customFormat="1" ht="16.5" customHeight="1">
      <c r="B578" s="20"/>
      <c r="C578" s="20"/>
      <c r="D578" s="448"/>
      <c r="E578" s="32">
        <v>138890</v>
      </c>
      <c r="F578" s="37" t="s">
        <v>56</v>
      </c>
      <c r="G578" s="452"/>
      <c r="H578" s="453"/>
      <c r="I578" s="325">
        <v>54000</v>
      </c>
      <c r="J578" s="33">
        <v>138890</v>
      </c>
      <c r="K578" s="32" t="s">
        <v>70</v>
      </c>
      <c r="L578" s="32" t="s">
        <v>0</v>
      </c>
      <c r="M578" s="32">
        <v>20</v>
      </c>
      <c r="N578" s="356">
        <f>VLOOKUP(E578,'[2]Price list'!$A$2:$F$145,6,0)</f>
        <v>54000</v>
      </c>
      <c r="O578" s="28" t="b">
        <f t="shared" si="24"/>
        <v>1</v>
      </c>
      <c r="R578" s="43"/>
      <c r="S578" s="43"/>
      <c r="T578" s="43"/>
      <c r="U578" s="449"/>
      <c r="V578" s="449"/>
      <c r="W578" s="43"/>
    </row>
    <row r="579" spans="2:23" s="28" customFormat="1" ht="16.5" customHeight="1">
      <c r="B579" s="20"/>
      <c r="C579" s="20"/>
      <c r="D579" s="448"/>
      <c r="E579" s="32">
        <v>138892</v>
      </c>
      <c r="F579" s="37" t="s">
        <v>965</v>
      </c>
      <c r="G579" s="452"/>
      <c r="H579" s="453"/>
      <c r="I579" s="325">
        <v>46500</v>
      </c>
      <c r="J579" s="33">
        <v>138892</v>
      </c>
      <c r="K579" s="32" t="s">
        <v>72</v>
      </c>
      <c r="L579" s="32" t="s">
        <v>35</v>
      </c>
      <c r="M579" s="32">
        <v>16</v>
      </c>
      <c r="N579" s="356">
        <f>VLOOKUP(E579,'[2]Price list'!$A$2:$F$145,6,0)</f>
        <v>46500</v>
      </c>
      <c r="O579" s="28" t="b">
        <f t="shared" si="24"/>
        <v>1</v>
      </c>
      <c r="R579" s="43"/>
      <c r="S579" s="43"/>
      <c r="T579" s="43"/>
      <c r="U579" s="449"/>
      <c r="V579" s="449"/>
      <c r="W579" s="43"/>
    </row>
    <row r="580" spans="2:23" s="28" customFormat="1" ht="16.5" customHeight="1">
      <c r="B580" s="20"/>
      <c r="C580" s="20"/>
      <c r="D580" s="448"/>
      <c r="E580" s="32">
        <v>138893</v>
      </c>
      <c r="F580" s="37" t="s">
        <v>57</v>
      </c>
      <c r="G580" s="452"/>
      <c r="H580" s="453"/>
      <c r="I580" s="325">
        <v>552000</v>
      </c>
      <c r="J580" s="33">
        <v>138893</v>
      </c>
      <c r="K580" s="32" t="s">
        <v>71</v>
      </c>
      <c r="L580" s="32" t="s">
        <v>0</v>
      </c>
      <c r="M580" s="32">
        <v>200</v>
      </c>
      <c r="N580" s="356">
        <f>VLOOKUP(E580,'[2]Price list'!$A$2:$F$145,6,0)</f>
        <v>552000</v>
      </c>
      <c r="O580" s="28" t="b">
        <f t="shared" si="24"/>
        <v>1</v>
      </c>
      <c r="R580" s="43"/>
      <c r="S580" s="43"/>
      <c r="T580" s="43"/>
      <c r="U580" s="449"/>
      <c r="V580" s="449"/>
      <c r="W580" s="43"/>
    </row>
    <row r="581" spans="2:23" s="28" customFormat="1" ht="16.5" customHeight="1">
      <c r="B581" s="20"/>
      <c r="C581" s="20"/>
      <c r="D581" s="448"/>
      <c r="E581" s="32">
        <v>138895</v>
      </c>
      <c r="F581" s="37" t="s">
        <v>59</v>
      </c>
      <c r="G581" s="452"/>
      <c r="H581" s="453"/>
      <c r="I581" s="325">
        <v>662000</v>
      </c>
      <c r="J581" s="33">
        <v>138895</v>
      </c>
      <c r="K581" s="32" t="s">
        <v>71</v>
      </c>
      <c r="L581" s="32" t="s">
        <v>0</v>
      </c>
      <c r="M581" s="32">
        <v>200</v>
      </c>
      <c r="N581" s="356">
        <f>VLOOKUP(E581,'[2]Price list'!$A$2:$F$145,6,0)</f>
        <v>662000</v>
      </c>
      <c r="O581" s="28" t="b">
        <f t="shared" si="24"/>
        <v>1</v>
      </c>
      <c r="R581" s="43"/>
      <c r="S581" s="43"/>
      <c r="T581" s="43"/>
      <c r="U581" s="449"/>
      <c r="V581" s="449"/>
      <c r="W581" s="43"/>
    </row>
    <row r="582" spans="2:23" s="28" customFormat="1" ht="16.5" customHeight="1">
      <c r="B582" s="20"/>
      <c r="C582" s="20"/>
      <c r="D582" s="448"/>
      <c r="E582" s="32">
        <v>138897</v>
      </c>
      <c r="F582" s="37" t="s">
        <v>61</v>
      </c>
      <c r="G582" s="452"/>
      <c r="H582" s="453"/>
      <c r="I582" s="325">
        <v>885000</v>
      </c>
      <c r="J582" s="33">
        <v>138897</v>
      </c>
      <c r="K582" s="32" t="s">
        <v>71</v>
      </c>
      <c r="L582" s="32" t="s">
        <v>0</v>
      </c>
      <c r="M582" s="32">
        <v>200</v>
      </c>
      <c r="N582" s="356">
        <f>VLOOKUP(E582,'[2]Price list'!$A$2:$F$145,6,0)</f>
        <v>885000</v>
      </c>
      <c r="O582" s="28" t="b">
        <f t="shared" si="24"/>
        <v>1</v>
      </c>
      <c r="R582" s="43"/>
      <c r="S582" s="43"/>
      <c r="T582" s="43"/>
      <c r="U582" s="449"/>
      <c r="V582" s="449"/>
      <c r="W582" s="43"/>
    </row>
    <row r="583" spans="2:23" s="28" customFormat="1" ht="16.5" customHeight="1">
      <c r="B583" s="20"/>
      <c r="C583" s="20"/>
      <c r="D583" s="448"/>
      <c r="E583" s="32">
        <v>138898</v>
      </c>
      <c r="F583" s="37" t="s">
        <v>63</v>
      </c>
      <c r="G583" s="452"/>
      <c r="H583" s="453"/>
      <c r="I583" s="325">
        <v>755000</v>
      </c>
      <c r="J583" s="33">
        <v>138898</v>
      </c>
      <c r="K583" s="32" t="s">
        <v>71</v>
      </c>
      <c r="L583" s="32" t="s">
        <v>0</v>
      </c>
      <c r="M583" s="32">
        <v>200</v>
      </c>
      <c r="N583" s="356">
        <f>VLOOKUP(E583,'[2]Price list'!$A$2:$F$145,6,0)</f>
        <v>755000</v>
      </c>
      <c r="O583" s="28" t="b">
        <f t="shared" si="24"/>
        <v>1</v>
      </c>
      <c r="R583" s="43"/>
      <c r="S583" s="43"/>
      <c r="T583" s="43"/>
      <c r="U583" s="449"/>
      <c r="V583" s="449"/>
      <c r="W583" s="43"/>
    </row>
    <row r="584" spans="2:23" s="28" customFormat="1" ht="16.5" customHeight="1">
      <c r="B584" s="20"/>
      <c r="C584" s="20"/>
      <c r="D584" s="448"/>
      <c r="E584" s="32">
        <v>138899</v>
      </c>
      <c r="F584" s="37" t="s">
        <v>64</v>
      </c>
      <c r="G584" s="452"/>
      <c r="H584" s="453"/>
      <c r="I584" s="325">
        <v>78100</v>
      </c>
      <c r="J584" s="33">
        <v>138899</v>
      </c>
      <c r="K584" s="32" t="s">
        <v>70</v>
      </c>
      <c r="L584" s="32" t="s">
        <v>0</v>
      </c>
      <c r="M584" s="32">
        <v>20</v>
      </c>
      <c r="N584" s="356">
        <f>VLOOKUP(E584,'[2]Price list'!$A$2:$F$145,6,0)</f>
        <v>78100</v>
      </c>
      <c r="O584" s="28" t="b">
        <f t="shared" si="24"/>
        <v>1</v>
      </c>
      <c r="R584" s="43"/>
      <c r="S584" s="43"/>
      <c r="T584" s="43"/>
      <c r="U584" s="449"/>
      <c r="V584" s="449"/>
      <c r="W584" s="43"/>
    </row>
    <row r="585" spans="2:23" s="28" customFormat="1" ht="16.5" customHeight="1">
      <c r="B585" s="20"/>
      <c r="C585" s="20"/>
      <c r="D585" s="448"/>
      <c r="E585" s="32">
        <v>138900</v>
      </c>
      <c r="F585" s="37" t="s">
        <v>550</v>
      </c>
      <c r="G585" s="452"/>
      <c r="H585" s="453"/>
      <c r="I585" s="325">
        <v>0</v>
      </c>
      <c r="J585" s="32">
        <v>138900</v>
      </c>
      <c r="K585" s="32" t="s">
        <v>71</v>
      </c>
      <c r="L585" s="32" t="s">
        <v>0</v>
      </c>
      <c r="M585" s="32">
        <v>200</v>
      </c>
      <c r="N585" s="356" t="e">
        <f>VLOOKUP(E585,'[2]Price list'!$A$2:$F$145,6,0)</f>
        <v>#N/A</v>
      </c>
      <c r="O585" s="28" t="e">
        <f t="shared" si="24"/>
        <v>#N/A</v>
      </c>
      <c r="R585" s="43"/>
      <c r="S585" s="43"/>
      <c r="T585" s="43"/>
      <c r="U585" s="449"/>
      <c r="V585" s="449"/>
      <c r="W585" s="43"/>
    </row>
    <row r="586" spans="2:23" s="28" customFormat="1" ht="16.5" customHeight="1">
      <c r="B586" s="20"/>
      <c r="C586" s="20"/>
      <c r="D586" s="448"/>
      <c r="E586" s="32">
        <v>138901</v>
      </c>
      <c r="F586" s="37" t="s">
        <v>966</v>
      </c>
      <c r="G586" s="452"/>
      <c r="H586" s="453"/>
      <c r="I586" s="325">
        <v>0</v>
      </c>
      <c r="J586" s="33">
        <v>138901</v>
      </c>
      <c r="K586" s="32" t="s">
        <v>70</v>
      </c>
      <c r="L586" s="32" t="s">
        <v>0</v>
      </c>
      <c r="M586" s="32">
        <v>20</v>
      </c>
      <c r="N586" s="356" t="e">
        <f>VLOOKUP(E586,'[2]Price list'!$A$2:$F$145,6,0)</f>
        <v>#N/A</v>
      </c>
      <c r="O586" s="28" t="e">
        <f t="shared" si="24"/>
        <v>#N/A</v>
      </c>
      <c r="R586" s="43"/>
      <c r="S586" s="43"/>
      <c r="T586" s="43"/>
      <c r="U586" s="449"/>
      <c r="V586" s="449"/>
      <c r="W586" s="43"/>
    </row>
    <row r="587" spans="2:23" s="28" customFormat="1" ht="16.5" customHeight="1">
      <c r="B587" s="20"/>
      <c r="C587" s="20"/>
      <c r="D587" s="448"/>
      <c r="E587" s="32">
        <v>138904</v>
      </c>
      <c r="F587" s="37" t="s">
        <v>967</v>
      </c>
      <c r="G587" s="452"/>
      <c r="H587" s="453"/>
      <c r="I587" s="325">
        <v>0</v>
      </c>
      <c r="J587" s="33">
        <v>138904</v>
      </c>
      <c r="K587" s="32" t="s">
        <v>72</v>
      </c>
      <c r="L587" s="32" t="s">
        <v>0</v>
      </c>
      <c r="M587" s="32">
        <v>18</v>
      </c>
      <c r="N587" s="356" t="e">
        <f>VLOOKUP(E587,'[2]Price list'!$A$2:$F$145,6,0)</f>
        <v>#N/A</v>
      </c>
      <c r="O587" s="28" t="e">
        <f t="shared" si="24"/>
        <v>#N/A</v>
      </c>
      <c r="R587" s="43"/>
      <c r="S587" s="43"/>
      <c r="T587" s="43"/>
      <c r="U587" s="449"/>
      <c r="V587" s="449"/>
      <c r="W587" s="43"/>
    </row>
    <row r="588" spans="2:23" s="28" customFormat="1" ht="16.5" customHeight="1">
      <c r="B588" s="20"/>
      <c r="C588" s="20"/>
      <c r="D588" s="448"/>
      <c r="E588" s="32">
        <v>139641</v>
      </c>
      <c r="F588" s="37" t="s">
        <v>90</v>
      </c>
      <c r="G588" s="518"/>
      <c r="H588" s="519"/>
      <c r="I588" s="325">
        <v>43600</v>
      </c>
      <c r="J588" s="33">
        <v>139641</v>
      </c>
      <c r="K588" s="32" t="s">
        <v>73</v>
      </c>
      <c r="L588" s="32" t="s">
        <v>0</v>
      </c>
      <c r="M588" s="32">
        <v>12</v>
      </c>
      <c r="N588" s="356">
        <f>VLOOKUP(E588,'[2]Price list'!$A$2:$F$145,6,0)</f>
        <v>43600</v>
      </c>
      <c r="O588" s="28" t="b">
        <f t="shared" si="24"/>
        <v>1</v>
      </c>
      <c r="R588" s="43"/>
      <c r="S588" s="43"/>
      <c r="T588" s="43"/>
      <c r="U588" s="449"/>
      <c r="V588" s="449"/>
      <c r="W588" s="43"/>
    </row>
    <row r="589" spans="2:23" s="28" customFormat="1" ht="16.5" customHeight="1">
      <c r="B589" s="20"/>
      <c r="C589" s="20"/>
      <c r="D589" s="448"/>
      <c r="E589" s="32">
        <v>139737</v>
      </c>
      <c r="F589" s="37" t="s">
        <v>640</v>
      </c>
      <c r="G589" s="452"/>
      <c r="H589" s="453"/>
      <c r="I589" s="325">
        <v>559000</v>
      </c>
      <c r="J589" s="32">
        <v>139737</v>
      </c>
      <c r="K589" s="32" t="s">
        <v>71</v>
      </c>
      <c r="L589" s="32" t="s">
        <v>0</v>
      </c>
      <c r="M589" s="32">
        <v>200</v>
      </c>
      <c r="N589" s="356">
        <f>VLOOKUP(E589,'[2]Price list'!$A$2:$F$145,6,0)</f>
        <v>559000</v>
      </c>
      <c r="O589" s="28" t="b">
        <f t="shared" si="24"/>
        <v>1</v>
      </c>
      <c r="R589" s="43"/>
      <c r="S589" s="43"/>
      <c r="T589" s="43"/>
      <c r="U589" s="449"/>
      <c r="V589" s="449"/>
      <c r="W589" s="43"/>
    </row>
    <row r="590" spans="2:23" s="28" customFormat="1" ht="16.5" customHeight="1">
      <c r="B590" s="20"/>
      <c r="C590" s="20"/>
      <c r="D590" s="448"/>
      <c r="E590" s="32">
        <v>139877</v>
      </c>
      <c r="F590" s="520" t="s">
        <v>968</v>
      </c>
      <c r="G590" s="452"/>
      <c r="H590" s="453"/>
      <c r="I590" s="325">
        <v>0</v>
      </c>
      <c r="J590" s="32">
        <v>139877</v>
      </c>
      <c r="K590" s="39" t="s">
        <v>71</v>
      </c>
      <c r="L590" s="32" t="s">
        <v>0</v>
      </c>
      <c r="M590" s="32">
        <v>200</v>
      </c>
      <c r="N590" s="356" t="e">
        <f>VLOOKUP(E590,'[2]Price list'!$A$2:$F$145,6,0)</f>
        <v>#N/A</v>
      </c>
      <c r="O590" s="28" t="e">
        <f t="shared" si="24"/>
        <v>#N/A</v>
      </c>
      <c r="R590" s="43"/>
      <c r="S590" s="43"/>
      <c r="T590" s="43"/>
      <c r="U590" s="449"/>
      <c r="V590" s="449"/>
      <c r="W590" s="43"/>
    </row>
    <row r="591" spans="2:23" s="28" customFormat="1" ht="16.5" customHeight="1">
      <c r="B591" s="20"/>
      <c r="C591" s="20"/>
      <c r="D591" s="448"/>
      <c r="E591" s="32">
        <v>139878</v>
      </c>
      <c r="F591" s="37" t="s">
        <v>969</v>
      </c>
      <c r="G591" s="452"/>
      <c r="H591" s="453"/>
      <c r="I591" s="325">
        <v>0</v>
      </c>
      <c r="J591" s="32">
        <v>139878</v>
      </c>
      <c r="K591" s="32" t="s">
        <v>72</v>
      </c>
      <c r="L591" s="32" t="s">
        <v>917</v>
      </c>
      <c r="M591" s="32">
        <v>18</v>
      </c>
      <c r="N591" s="356" t="e">
        <f>VLOOKUP(E591,'[2]Price list'!$A$2:$F$145,6,0)</f>
        <v>#N/A</v>
      </c>
      <c r="O591" s="28" t="e">
        <f t="shared" si="24"/>
        <v>#N/A</v>
      </c>
      <c r="R591" s="43"/>
      <c r="S591" s="43"/>
      <c r="T591" s="43"/>
      <c r="U591" s="449"/>
      <c r="V591" s="449"/>
      <c r="W591" s="43"/>
    </row>
    <row r="592" spans="2:23" s="28" customFormat="1" ht="16.5" customHeight="1">
      <c r="B592" s="20"/>
      <c r="C592" s="20"/>
      <c r="D592" s="448"/>
      <c r="E592" s="32">
        <v>139881</v>
      </c>
      <c r="F592" s="37" t="s">
        <v>101</v>
      </c>
      <c r="G592" s="452"/>
      <c r="H592" s="453"/>
      <c r="I592" s="325">
        <v>771000</v>
      </c>
      <c r="J592" s="32">
        <v>139881</v>
      </c>
      <c r="K592" s="32" t="s">
        <v>71</v>
      </c>
      <c r="L592" s="32" t="s">
        <v>917</v>
      </c>
      <c r="M592" s="32">
        <v>200</v>
      </c>
      <c r="N592" s="356">
        <f>VLOOKUP(E592,'[2]Price list'!$A$2:$F$145,6,0)</f>
        <v>771000</v>
      </c>
      <c r="O592" s="28" t="b">
        <f t="shared" si="24"/>
        <v>1</v>
      </c>
      <c r="R592" s="43"/>
      <c r="S592" s="43"/>
      <c r="T592" s="43"/>
      <c r="U592" s="449"/>
      <c r="V592" s="449"/>
      <c r="W592" s="43"/>
    </row>
    <row r="593" spans="2:24" s="28" customFormat="1" ht="16.5" customHeight="1">
      <c r="B593" s="20"/>
      <c r="C593" s="20"/>
      <c r="D593" s="448"/>
      <c r="E593" s="32">
        <v>139882</v>
      </c>
      <c r="F593" s="37" t="s">
        <v>214</v>
      </c>
      <c r="G593" s="452"/>
      <c r="H593" s="453"/>
      <c r="I593" s="325">
        <v>54200</v>
      </c>
      <c r="J593" s="33">
        <v>139882</v>
      </c>
      <c r="K593" s="32" t="s">
        <v>72</v>
      </c>
      <c r="L593" s="32" t="s">
        <v>917</v>
      </c>
      <c r="M593" s="32">
        <v>12</v>
      </c>
      <c r="N593" s="356">
        <f>VLOOKUP(E593,'[2]Price list'!$A$2:$F$145,6,0)</f>
        <v>54200</v>
      </c>
      <c r="O593" s="28" t="b">
        <f t="shared" si="24"/>
        <v>1</v>
      </c>
      <c r="R593" s="43"/>
      <c r="S593" s="43"/>
      <c r="T593" s="43"/>
      <c r="U593" s="449"/>
      <c r="V593" s="449"/>
      <c r="W593" s="43"/>
    </row>
    <row r="594" spans="2:24" s="28" customFormat="1" ht="16.5" customHeight="1">
      <c r="B594" s="20"/>
      <c r="C594" s="20"/>
      <c r="D594" s="448"/>
      <c r="E594" s="32">
        <v>139883</v>
      </c>
      <c r="F594" s="37" t="s">
        <v>197</v>
      </c>
      <c r="G594" s="452"/>
      <c r="H594" s="453"/>
      <c r="I594" s="325">
        <v>72100</v>
      </c>
      <c r="J594" s="33">
        <v>139883</v>
      </c>
      <c r="K594" s="32" t="s">
        <v>72</v>
      </c>
      <c r="L594" s="32" t="s">
        <v>917</v>
      </c>
      <c r="M594" s="32">
        <v>18</v>
      </c>
      <c r="N594" s="356">
        <f>VLOOKUP(E594,'[2]Price list'!$A$2:$F$145,6,0)</f>
        <v>72100</v>
      </c>
      <c r="O594" s="28" t="b">
        <f t="shared" si="24"/>
        <v>1</v>
      </c>
      <c r="R594" s="43"/>
      <c r="S594" s="43"/>
      <c r="T594" s="43"/>
      <c r="U594" s="449"/>
      <c r="V594" s="449"/>
      <c r="W594" s="43"/>
    </row>
    <row r="595" spans="2:24" s="28" customFormat="1" ht="16.5" customHeight="1">
      <c r="B595" s="20"/>
      <c r="C595" s="20"/>
      <c r="D595" s="448"/>
      <c r="E595" s="32">
        <v>140136</v>
      </c>
      <c r="F595" s="37" t="s">
        <v>649</v>
      </c>
      <c r="G595" s="452"/>
      <c r="H595" s="453"/>
      <c r="I595" s="325">
        <v>0</v>
      </c>
      <c r="J595" s="33">
        <v>140136</v>
      </c>
      <c r="K595" s="32" t="s">
        <v>71</v>
      </c>
      <c r="L595" s="32" t="s">
        <v>35</v>
      </c>
      <c r="M595" s="32">
        <v>200</v>
      </c>
      <c r="N595" s="356" t="e">
        <f>VLOOKUP(E595,'[2]Price list'!$A$2:$F$145,6,0)</f>
        <v>#N/A</v>
      </c>
      <c r="O595" s="28" t="e">
        <f t="shared" si="24"/>
        <v>#N/A</v>
      </c>
      <c r="R595" s="43"/>
      <c r="S595" s="43"/>
      <c r="T595" s="43"/>
      <c r="U595" s="449"/>
      <c r="V595" s="449"/>
      <c r="W595" s="43"/>
    </row>
    <row r="596" spans="2:24" s="28" customFormat="1" ht="16.5" customHeight="1">
      <c r="B596" s="20"/>
      <c r="C596" s="20"/>
      <c r="D596" s="448"/>
      <c r="E596" s="32">
        <v>140169</v>
      </c>
      <c r="F596" s="37" t="s">
        <v>970</v>
      </c>
      <c r="G596" s="452"/>
      <c r="H596" s="453"/>
      <c r="I596" s="325">
        <v>0</v>
      </c>
      <c r="J596" s="33">
        <v>140169</v>
      </c>
      <c r="K596" s="32" t="s">
        <v>73</v>
      </c>
      <c r="L596" s="32" t="s">
        <v>35</v>
      </c>
      <c r="M596" s="32">
        <v>12</v>
      </c>
      <c r="N596" s="356" t="e">
        <f>VLOOKUP(E596,'[2]Price list'!$A$2:$F$145,6,0)</f>
        <v>#N/A</v>
      </c>
      <c r="O596" s="28" t="e">
        <f t="shared" si="24"/>
        <v>#N/A</v>
      </c>
      <c r="R596" s="43"/>
      <c r="S596" s="43"/>
      <c r="T596" s="43"/>
      <c r="U596" s="449"/>
      <c r="V596" s="449"/>
      <c r="W596" s="43"/>
    </row>
    <row r="597" spans="2:24" s="28" customFormat="1" ht="16.5" customHeight="1">
      <c r="B597" s="20"/>
      <c r="C597" s="20"/>
      <c r="D597" s="448"/>
      <c r="E597" s="32">
        <v>146509</v>
      </c>
      <c r="F597" s="37" t="s">
        <v>971</v>
      </c>
      <c r="G597" s="452"/>
      <c r="H597" s="453"/>
      <c r="I597" s="325">
        <v>2212000</v>
      </c>
      <c r="J597" s="33">
        <v>146509</v>
      </c>
      <c r="K597" s="32" t="s">
        <v>71</v>
      </c>
      <c r="L597" s="32" t="s">
        <v>0</v>
      </c>
      <c r="M597" s="32">
        <v>208</v>
      </c>
      <c r="N597" s="356" t="e">
        <f>VLOOKUP(E597,'[2]Price list'!$A$2:$F$145,6,0)</f>
        <v>#N/A</v>
      </c>
      <c r="O597" s="28" t="e">
        <f t="shared" si="24"/>
        <v>#N/A</v>
      </c>
      <c r="R597" s="43"/>
      <c r="S597" s="43"/>
      <c r="T597" s="43"/>
      <c r="U597" s="449"/>
      <c r="V597" s="449"/>
      <c r="W597" s="43"/>
    </row>
    <row r="598" spans="2:24" s="28" customFormat="1" ht="16.5" customHeight="1">
      <c r="B598" s="20"/>
      <c r="C598" s="20"/>
      <c r="D598" s="448"/>
      <c r="E598" s="32">
        <v>140557</v>
      </c>
      <c r="F598" s="37" t="s">
        <v>972</v>
      </c>
      <c r="G598" s="452"/>
      <c r="H598" s="453"/>
      <c r="I598" s="325">
        <v>0</v>
      </c>
      <c r="J598" s="33">
        <v>140557</v>
      </c>
      <c r="K598" s="32" t="s">
        <v>71</v>
      </c>
      <c r="L598" s="32" t="s">
        <v>0</v>
      </c>
      <c r="M598" s="32">
        <v>208</v>
      </c>
      <c r="N598" s="356" t="e">
        <f>VLOOKUP(E598,'[2]Price list'!$A$2:$F$145,6,0)</f>
        <v>#N/A</v>
      </c>
      <c r="O598" s="28" t="e">
        <f t="shared" si="24"/>
        <v>#N/A</v>
      </c>
      <c r="R598" s="43"/>
      <c r="S598" s="43"/>
      <c r="T598" s="43"/>
      <c r="U598" s="449"/>
      <c r="V598" s="449"/>
      <c r="W598" s="43"/>
    </row>
    <row r="599" spans="2:24" s="28" customFormat="1" ht="16.5" customHeight="1">
      <c r="B599" s="20"/>
      <c r="C599" s="20"/>
      <c r="D599" s="448"/>
      <c r="E599" s="32">
        <v>146510</v>
      </c>
      <c r="F599" s="37" t="s">
        <v>973</v>
      </c>
      <c r="G599" s="452"/>
      <c r="H599" s="453"/>
      <c r="I599" s="325">
        <v>233000</v>
      </c>
      <c r="J599" s="33">
        <v>146510</v>
      </c>
      <c r="K599" s="32" t="s">
        <v>70</v>
      </c>
      <c r="L599" s="32" t="s">
        <v>0</v>
      </c>
      <c r="M599" s="32">
        <v>20</v>
      </c>
      <c r="N599" s="356" t="e">
        <f>VLOOKUP(E599,'[2]Price list'!$A$2:$F$145,6,0)</f>
        <v>#N/A</v>
      </c>
      <c r="O599" s="28" t="e">
        <f t="shared" si="24"/>
        <v>#N/A</v>
      </c>
      <c r="R599" s="43"/>
      <c r="S599" s="43"/>
      <c r="T599" s="43"/>
      <c r="U599" s="449"/>
      <c r="V599" s="449"/>
      <c r="W599" s="43"/>
    </row>
    <row r="600" spans="2:24" s="28" customFormat="1" ht="16.5" customHeight="1">
      <c r="B600" s="20"/>
      <c r="C600" s="20"/>
      <c r="D600" s="448"/>
      <c r="E600" s="32">
        <v>140564</v>
      </c>
      <c r="F600" s="520" t="s">
        <v>218</v>
      </c>
      <c r="G600" s="452"/>
      <c r="H600" s="453"/>
      <c r="I600" s="325">
        <v>213000</v>
      </c>
      <c r="J600" s="32">
        <v>140564</v>
      </c>
      <c r="K600" s="32" t="s">
        <v>70</v>
      </c>
      <c r="L600" s="32" t="s">
        <v>0</v>
      </c>
      <c r="M600" s="32">
        <v>15.8</v>
      </c>
      <c r="N600" s="356">
        <f>VLOOKUP(E600,'[2]Price list'!$A$2:$F$145,6,0)</f>
        <v>213000</v>
      </c>
      <c r="O600" s="28" t="b">
        <f t="shared" si="24"/>
        <v>1</v>
      </c>
      <c r="R600" s="43"/>
      <c r="S600" s="43"/>
      <c r="T600" s="43"/>
      <c r="U600" s="449"/>
      <c r="V600" s="449"/>
      <c r="W600" s="43"/>
    </row>
    <row r="601" spans="2:24" s="28" customFormat="1" ht="16.5" customHeight="1">
      <c r="B601" s="20"/>
      <c r="C601" s="20"/>
      <c r="D601" s="448"/>
      <c r="E601" s="32">
        <v>140585</v>
      </c>
      <c r="F601" s="520" t="s">
        <v>675</v>
      </c>
      <c r="G601" s="452"/>
      <c r="H601" s="453"/>
      <c r="I601" s="325">
        <v>2081000</v>
      </c>
      <c r="J601" s="32">
        <v>140585</v>
      </c>
      <c r="K601" s="39" t="s">
        <v>71</v>
      </c>
      <c r="L601" s="32" t="s">
        <v>0</v>
      </c>
      <c r="M601" s="32">
        <v>170</v>
      </c>
      <c r="N601" s="356">
        <f>VLOOKUP(E601,'[2]Price list'!$A$2:$F$145,6,0)</f>
        <v>2081000</v>
      </c>
      <c r="O601" s="28" t="b">
        <f t="shared" si="24"/>
        <v>1</v>
      </c>
      <c r="R601" s="43"/>
      <c r="S601" s="43"/>
      <c r="T601" s="43"/>
      <c r="U601" s="449"/>
      <c r="V601" s="449"/>
      <c r="W601" s="43"/>
    </row>
    <row r="602" spans="2:24" s="28" customFormat="1" ht="16.5" customHeight="1">
      <c r="B602" s="20"/>
      <c r="C602" s="20"/>
      <c r="D602" s="448"/>
      <c r="E602" s="32">
        <v>140657</v>
      </c>
      <c r="F602" s="37" t="s">
        <v>43</v>
      </c>
      <c r="G602" s="452"/>
      <c r="H602" s="453"/>
      <c r="I602" s="325">
        <v>118000</v>
      </c>
      <c r="J602" s="33">
        <v>140657</v>
      </c>
      <c r="K602" s="32" t="s">
        <v>73</v>
      </c>
      <c r="L602" s="32" t="s">
        <v>35</v>
      </c>
      <c r="M602" s="32">
        <v>12</v>
      </c>
      <c r="N602" s="356" t="e">
        <f>VLOOKUP(E602,'[2]Price list'!$A$2:$F$145,6,0)</f>
        <v>#N/A</v>
      </c>
      <c r="O602" s="28" t="e">
        <f t="shared" si="24"/>
        <v>#N/A</v>
      </c>
      <c r="R602" s="43"/>
      <c r="S602" s="43"/>
      <c r="T602" s="43"/>
      <c r="U602" s="449"/>
      <c r="V602" s="449"/>
      <c r="W602" s="43"/>
    </row>
    <row r="603" spans="2:24" s="28" customFormat="1" ht="16.5" customHeight="1">
      <c r="B603" s="20"/>
      <c r="C603" s="20"/>
      <c r="D603" s="448"/>
      <c r="E603" s="32">
        <v>140658</v>
      </c>
      <c r="F603" s="520" t="s">
        <v>679</v>
      </c>
      <c r="G603" s="452"/>
      <c r="H603" s="453"/>
      <c r="I603" s="325">
        <v>0</v>
      </c>
      <c r="J603" s="32">
        <v>140658</v>
      </c>
      <c r="K603" s="32" t="s">
        <v>71</v>
      </c>
      <c r="L603" s="32" t="s">
        <v>35</v>
      </c>
      <c r="M603" s="32">
        <v>200</v>
      </c>
      <c r="N603" s="356" t="e">
        <f>VLOOKUP(E603,'[2]Price list'!$A$2:$F$145,6,0)</f>
        <v>#N/A</v>
      </c>
      <c r="O603" s="28" t="e">
        <f t="shared" si="24"/>
        <v>#N/A</v>
      </c>
      <c r="R603" s="43"/>
      <c r="S603" s="43"/>
      <c r="T603" s="43"/>
      <c r="U603" s="449"/>
      <c r="V603" s="449"/>
      <c r="W603" s="43"/>
    </row>
    <row r="604" spans="2:24" s="28" customFormat="1" ht="16.5" customHeight="1">
      <c r="B604" s="20"/>
      <c r="C604" s="20"/>
      <c r="D604" s="448"/>
      <c r="E604" s="32">
        <v>140660</v>
      </c>
      <c r="F604" s="37" t="s">
        <v>974</v>
      </c>
      <c r="G604" s="452"/>
      <c r="H604" s="453"/>
      <c r="I604" s="325">
        <v>118000</v>
      </c>
      <c r="J604" s="33">
        <v>140660</v>
      </c>
      <c r="K604" s="32" t="s">
        <v>73</v>
      </c>
      <c r="L604" s="32" t="s">
        <v>35</v>
      </c>
      <c r="M604" s="32">
        <v>12</v>
      </c>
      <c r="N604" s="356" t="e">
        <f>VLOOKUP(E604,'[2]Price list'!$A$2:$F$145,6,0)</f>
        <v>#N/A</v>
      </c>
      <c r="O604" s="28" t="e">
        <f t="shared" si="24"/>
        <v>#N/A</v>
      </c>
      <c r="R604" s="43"/>
      <c r="S604" s="43"/>
      <c r="T604" s="43"/>
      <c r="U604" s="449"/>
      <c r="V604" s="449"/>
      <c r="W604" s="43"/>
      <c r="X604" s="42"/>
    </row>
    <row r="605" spans="2:24" s="28" customFormat="1" ht="16.5" customHeight="1">
      <c r="B605" s="20"/>
      <c r="C605" s="20"/>
      <c r="D605" s="448"/>
      <c r="E605" s="32">
        <v>146255</v>
      </c>
      <c r="F605" s="37" t="s">
        <v>106</v>
      </c>
      <c r="G605" s="452"/>
      <c r="H605" s="453"/>
      <c r="I605" s="325">
        <v>1789000</v>
      </c>
      <c r="J605" s="32">
        <v>146255</v>
      </c>
      <c r="K605" s="32" t="s">
        <v>71</v>
      </c>
      <c r="L605" s="32" t="s">
        <v>35</v>
      </c>
      <c r="M605" s="32">
        <v>208</v>
      </c>
      <c r="N605" s="356">
        <f>VLOOKUP(E605,'[2]Price list'!$A$2:$F$145,6,0)</f>
        <v>1789000</v>
      </c>
      <c r="O605" s="28" t="b">
        <f t="shared" si="24"/>
        <v>1</v>
      </c>
      <c r="R605" s="43"/>
      <c r="S605" s="43"/>
      <c r="T605" s="43"/>
      <c r="U605" s="449"/>
      <c r="V605" s="449"/>
      <c r="W605" s="43"/>
      <c r="X605" s="42"/>
    </row>
    <row r="606" spans="2:24" s="28" customFormat="1" ht="16.5" customHeight="1">
      <c r="B606" s="20"/>
      <c r="C606" s="20"/>
      <c r="D606" s="448"/>
      <c r="E606" s="32">
        <v>140668</v>
      </c>
      <c r="F606" s="37" t="s">
        <v>975</v>
      </c>
      <c r="G606" s="452"/>
      <c r="H606" s="453"/>
      <c r="I606" s="325">
        <v>0</v>
      </c>
      <c r="J606" s="33">
        <v>140668</v>
      </c>
      <c r="K606" s="32" t="s">
        <v>73</v>
      </c>
      <c r="L606" s="32" t="s">
        <v>0</v>
      </c>
      <c r="M606" s="32">
        <v>16</v>
      </c>
      <c r="N606" s="356" t="e">
        <f>VLOOKUP(E606,'[2]Price list'!$A$2:$F$145,6,0)</f>
        <v>#N/A</v>
      </c>
      <c r="O606" s="28" t="e">
        <f t="shared" si="24"/>
        <v>#N/A</v>
      </c>
      <c r="R606" s="43"/>
      <c r="S606" s="43"/>
      <c r="T606" s="43"/>
      <c r="U606" s="449"/>
      <c r="V606" s="449"/>
      <c r="W606" s="43"/>
    </row>
    <row r="607" spans="2:24" s="28" customFormat="1" ht="16.5" customHeight="1">
      <c r="B607" s="20"/>
      <c r="C607" s="20"/>
      <c r="D607" s="448"/>
      <c r="E607" s="32">
        <v>140669</v>
      </c>
      <c r="F607" s="37" t="s">
        <v>198</v>
      </c>
      <c r="G607" s="518"/>
      <c r="H607" s="519"/>
      <c r="I607" s="325">
        <v>0</v>
      </c>
      <c r="J607" s="33">
        <v>140669</v>
      </c>
      <c r="K607" s="32" t="s">
        <v>70</v>
      </c>
      <c r="L607" s="32" t="s">
        <v>0</v>
      </c>
      <c r="M607" s="32">
        <v>20</v>
      </c>
      <c r="N607" s="356" t="e">
        <f>VLOOKUP(E607,'[2]Price list'!$A$2:$F$145,6,0)</f>
        <v>#N/A</v>
      </c>
      <c r="O607" s="28" t="e">
        <f t="shared" si="24"/>
        <v>#N/A</v>
      </c>
      <c r="R607" s="43"/>
      <c r="S607" s="43"/>
      <c r="T607" s="43"/>
      <c r="U607" s="449"/>
      <c r="V607" s="449"/>
      <c r="W607" s="43"/>
    </row>
    <row r="608" spans="2:24" s="28" customFormat="1" ht="16.5" customHeight="1">
      <c r="B608" s="20"/>
      <c r="C608" s="20"/>
      <c r="D608" s="448"/>
      <c r="E608" s="32">
        <v>140670</v>
      </c>
      <c r="F608" s="37" t="s">
        <v>681</v>
      </c>
      <c r="G608" s="452"/>
      <c r="H608" s="453"/>
      <c r="I608" s="325">
        <v>0</v>
      </c>
      <c r="J608" s="33">
        <v>140670</v>
      </c>
      <c r="K608" s="32" t="s">
        <v>71</v>
      </c>
      <c r="L608" s="32" t="s">
        <v>0</v>
      </c>
      <c r="M608" s="32">
        <v>200</v>
      </c>
      <c r="N608" s="356" t="e">
        <f>VLOOKUP(E608,'[2]Price list'!$A$2:$F$145,6,0)</f>
        <v>#N/A</v>
      </c>
      <c r="O608" s="28" t="e">
        <f t="shared" si="24"/>
        <v>#N/A</v>
      </c>
      <c r="R608" s="43"/>
      <c r="S608" s="43"/>
      <c r="T608" s="43"/>
      <c r="U608" s="449"/>
      <c r="V608" s="449"/>
      <c r="W608" s="43"/>
    </row>
    <row r="609" spans="2:24" s="28" customFormat="1" ht="16.5" customHeight="1">
      <c r="B609" s="20"/>
      <c r="C609" s="20"/>
      <c r="D609" s="448"/>
      <c r="E609" s="32">
        <v>140727</v>
      </c>
      <c r="F609" s="37" t="s">
        <v>182</v>
      </c>
      <c r="G609" s="452"/>
      <c r="H609" s="453"/>
      <c r="I609" s="325">
        <v>0</v>
      </c>
      <c r="J609" s="33">
        <v>140727</v>
      </c>
      <c r="K609" s="32" t="s">
        <v>73</v>
      </c>
      <c r="L609" s="32" t="s">
        <v>35</v>
      </c>
      <c r="M609" s="32">
        <v>12</v>
      </c>
      <c r="N609" s="356" t="e">
        <f>VLOOKUP(E609,'[2]Price list'!$A$2:$F$145,6,0)</f>
        <v>#N/A</v>
      </c>
      <c r="O609" s="28" t="e">
        <f t="shared" si="24"/>
        <v>#N/A</v>
      </c>
      <c r="R609" s="43"/>
      <c r="S609" s="43"/>
      <c r="T609" s="43"/>
      <c r="U609" s="449"/>
      <c r="V609" s="449"/>
      <c r="W609" s="43"/>
    </row>
    <row r="610" spans="2:24" s="28" customFormat="1" ht="16.5" customHeight="1">
      <c r="B610" s="20"/>
      <c r="C610" s="20"/>
      <c r="D610" s="448"/>
      <c r="E610" s="32">
        <v>141441</v>
      </c>
      <c r="F610" s="37" t="s">
        <v>183</v>
      </c>
      <c r="G610" s="452"/>
      <c r="H610" s="453"/>
      <c r="I610" s="325">
        <v>106000</v>
      </c>
      <c r="J610" s="33">
        <v>141441</v>
      </c>
      <c r="K610" s="32" t="s">
        <v>73</v>
      </c>
      <c r="L610" s="32" t="s">
        <v>976</v>
      </c>
      <c r="M610" s="32">
        <v>12</v>
      </c>
      <c r="N610" s="356">
        <f>VLOOKUP(E610,'[2]Price list'!$A$2:$F$145,6,0)</f>
        <v>106000</v>
      </c>
      <c r="O610" s="28" t="b">
        <f t="shared" si="24"/>
        <v>1</v>
      </c>
      <c r="R610" s="43"/>
      <c r="S610" s="43"/>
      <c r="T610" s="43"/>
      <c r="U610" s="449"/>
      <c r="V610" s="449"/>
      <c r="W610" s="43"/>
    </row>
    <row r="611" spans="2:24" s="28" customFormat="1" ht="16.5" customHeight="1">
      <c r="B611" s="20"/>
      <c r="C611" s="20"/>
      <c r="D611" s="448"/>
      <c r="E611" s="32">
        <v>141592</v>
      </c>
      <c r="F611" s="37" t="s">
        <v>165</v>
      </c>
      <c r="G611" s="452"/>
      <c r="H611" s="453"/>
      <c r="I611" s="325">
        <v>41300</v>
      </c>
      <c r="J611" s="33">
        <v>141592</v>
      </c>
      <c r="K611" s="32" t="s">
        <v>73</v>
      </c>
      <c r="L611" s="32" t="s">
        <v>977</v>
      </c>
      <c r="M611" s="32">
        <v>16</v>
      </c>
      <c r="N611" s="356" t="e">
        <f>VLOOKUP(E611,'[2]Price list'!$A$2:$F$145,6,0)</f>
        <v>#N/A</v>
      </c>
      <c r="O611" s="28" t="e">
        <f t="shared" si="24"/>
        <v>#N/A</v>
      </c>
      <c r="R611" s="43"/>
      <c r="S611" s="43"/>
      <c r="T611" s="43"/>
      <c r="U611" s="449"/>
      <c r="V611" s="449"/>
      <c r="W611" s="43"/>
    </row>
    <row r="612" spans="2:24" s="28" customFormat="1" ht="16.5" customHeight="1">
      <c r="B612" s="20"/>
      <c r="C612" s="20"/>
      <c r="D612" s="448"/>
      <c r="E612" s="32">
        <v>141593</v>
      </c>
      <c r="F612" s="37" t="s">
        <v>978</v>
      </c>
      <c r="G612" s="452"/>
      <c r="H612" s="453"/>
      <c r="I612" s="325">
        <v>456000</v>
      </c>
      <c r="J612" s="33">
        <v>141593</v>
      </c>
      <c r="K612" s="32" t="s">
        <v>71</v>
      </c>
      <c r="L612" s="32" t="s">
        <v>35</v>
      </c>
      <c r="M612" s="32">
        <v>200</v>
      </c>
      <c r="N612" s="356" t="e">
        <f>VLOOKUP(E612,'[2]Price list'!$A$2:$F$145,6,0)</f>
        <v>#N/A</v>
      </c>
      <c r="O612" s="28" t="e">
        <f t="shared" si="24"/>
        <v>#N/A</v>
      </c>
      <c r="R612" s="43"/>
      <c r="S612" s="43"/>
      <c r="T612" s="43"/>
      <c r="U612" s="449"/>
      <c r="V612" s="449"/>
      <c r="W612" s="43"/>
    </row>
    <row r="613" spans="2:24" s="28" customFormat="1" ht="16.5" customHeight="1">
      <c r="B613" s="20"/>
      <c r="C613" s="20"/>
      <c r="D613" s="448"/>
      <c r="E613" s="32">
        <v>141665</v>
      </c>
      <c r="F613" s="37" t="s">
        <v>692</v>
      </c>
      <c r="G613" s="452"/>
      <c r="H613" s="453"/>
      <c r="I613" s="325">
        <v>0</v>
      </c>
      <c r="J613" s="32">
        <v>141665</v>
      </c>
      <c r="K613" s="32" t="s">
        <v>71</v>
      </c>
      <c r="L613" s="32" t="s">
        <v>35</v>
      </c>
      <c r="M613" s="32">
        <v>200</v>
      </c>
      <c r="N613" s="356" t="e">
        <f>VLOOKUP(E613,'[2]Price list'!$A$2:$F$145,6,0)</f>
        <v>#N/A</v>
      </c>
      <c r="O613" s="28" t="e">
        <f t="shared" si="24"/>
        <v>#N/A</v>
      </c>
      <c r="R613" s="43"/>
      <c r="S613" s="43"/>
      <c r="T613" s="43"/>
      <c r="U613" s="449"/>
      <c r="V613" s="449"/>
      <c r="W613" s="43"/>
    </row>
    <row r="614" spans="2:24" s="28" customFormat="1" ht="16.5" customHeight="1">
      <c r="B614" s="20"/>
      <c r="C614" s="20"/>
      <c r="D614" s="448"/>
      <c r="E614" s="32">
        <v>141765</v>
      </c>
      <c r="F614" s="37" t="s">
        <v>184</v>
      </c>
      <c r="G614" s="452"/>
      <c r="H614" s="453"/>
      <c r="I614" s="325">
        <v>64300</v>
      </c>
      <c r="J614" s="32">
        <v>141765</v>
      </c>
      <c r="K614" s="32" t="s">
        <v>72</v>
      </c>
      <c r="L614" s="32" t="s">
        <v>977</v>
      </c>
      <c r="M614" s="32">
        <v>6</v>
      </c>
      <c r="N614" s="356">
        <f>VLOOKUP(E614,'[2]Price list'!$A$2:$F$145,6,0)</f>
        <v>64300</v>
      </c>
      <c r="O614" s="28" t="b">
        <f t="shared" si="24"/>
        <v>1</v>
      </c>
      <c r="R614" s="43"/>
      <c r="S614" s="43"/>
      <c r="T614" s="43"/>
      <c r="U614" s="449"/>
      <c r="V614" s="449"/>
      <c r="W614" s="43"/>
    </row>
    <row r="615" spans="2:24" s="28" customFormat="1" ht="16.5" customHeight="1">
      <c r="B615" s="20"/>
      <c r="C615" s="20"/>
      <c r="D615" s="448"/>
      <c r="E615" s="32">
        <v>147705</v>
      </c>
      <c r="F615" s="37" t="s">
        <v>979</v>
      </c>
      <c r="G615" s="452"/>
      <c r="H615" s="453"/>
      <c r="I615" s="325">
        <v>136000</v>
      </c>
      <c r="J615" s="32">
        <v>147705</v>
      </c>
      <c r="K615" s="32" t="s">
        <v>980</v>
      </c>
      <c r="L615" s="32" t="s">
        <v>977</v>
      </c>
      <c r="M615" s="32">
        <v>12</v>
      </c>
      <c r="N615" s="356">
        <v>136000</v>
      </c>
      <c r="O615" s="28" t="b">
        <f t="shared" si="24"/>
        <v>1</v>
      </c>
      <c r="R615" s="43"/>
      <c r="S615" s="43"/>
      <c r="T615" s="43"/>
      <c r="U615" s="449"/>
      <c r="V615" s="449"/>
      <c r="W615" s="43"/>
    </row>
    <row r="616" spans="2:24" s="28" customFormat="1" ht="16.5" customHeight="1">
      <c r="B616" s="20"/>
      <c r="C616" s="20"/>
      <c r="D616" s="448"/>
      <c r="E616" s="32">
        <v>148326</v>
      </c>
      <c r="F616" s="37" t="s">
        <v>979</v>
      </c>
      <c r="G616" s="452"/>
      <c r="H616" s="453"/>
      <c r="I616" s="325">
        <v>136000</v>
      </c>
      <c r="J616" s="32">
        <v>148326</v>
      </c>
      <c r="K616" s="32" t="s">
        <v>981</v>
      </c>
      <c r="L616" s="32" t="s">
        <v>977</v>
      </c>
      <c r="M616" s="32">
        <v>12</v>
      </c>
      <c r="N616" s="356">
        <v>136000</v>
      </c>
      <c r="O616" s="28" t="b">
        <f t="shared" si="24"/>
        <v>1</v>
      </c>
      <c r="R616" s="43"/>
      <c r="S616" s="43"/>
      <c r="T616" s="43"/>
      <c r="U616" s="449"/>
      <c r="V616" s="449"/>
      <c r="W616" s="43"/>
    </row>
    <row r="617" spans="2:24" s="28" customFormat="1" ht="16.5" customHeight="1">
      <c r="B617" s="20"/>
      <c r="C617" s="20"/>
      <c r="D617" s="448"/>
      <c r="E617" s="32">
        <v>142039</v>
      </c>
      <c r="F617" s="37" t="s">
        <v>982</v>
      </c>
      <c r="G617" s="452"/>
      <c r="H617" s="453"/>
      <c r="I617" s="325">
        <v>60100</v>
      </c>
      <c r="J617" s="33">
        <v>142039</v>
      </c>
      <c r="K617" s="32" t="s">
        <v>73</v>
      </c>
      <c r="L617" s="32" t="s">
        <v>35</v>
      </c>
      <c r="M617" s="32">
        <v>12</v>
      </c>
      <c r="N617" s="356">
        <f>VLOOKUP(E617,'[2]Price list'!$A$2:$F$145,6,0)</f>
        <v>60100</v>
      </c>
      <c r="O617" s="28" t="b">
        <f t="shared" si="24"/>
        <v>1</v>
      </c>
      <c r="R617" s="43"/>
      <c r="S617" s="43"/>
      <c r="T617" s="43"/>
      <c r="U617" s="449"/>
      <c r="V617" s="449"/>
      <c r="W617" s="43"/>
    </row>
    <row r="618" spans="2:24" s="28" customFormat="1" ht="16.5" customHeight="1">
      <c r="B618" s="20"/>
      <c r="C618" s="20"/>
      <c r="D618" s="448"/>
      <c r="E618" s="32">
        <v>142150</v>
      </c>
      <c r="F618" s="520" t="s">
        <v>700</v>
      </c>
      <c r="G618" s="452"/>
      <c r="H618" s="453"/>
      <c r="I618" s="325">
        <v>2081000</v>
      </c>
      <c r="J618" s="32">
        <v>142150</v>
      </c>
      <c r="K618" s="32" t="s">
        <v>71</v>
      </c>
      <c r="L618" s="32" t="s">
        <v>35</v>
      </c>
      <c r="M618" s="32">
        <v>208</v>
      </c>
      <c r="N618" s="356">
        <f>VLOOKUP(E618,'[2]Price list'!$A$2:$F$145,6,0)</f>
        <v>2081000</v>
      </c>
      <c r="O618" s="28" t="b">
        <f t="shared" ref="O618:O681" si="25">I618=N618</f>
        <v>1</v>
      </c>
      <c r="R618" s="43"/>
      <c r="S618" s="43"/>
      <c r="T618" s="43"/>
      <c r="U618" s="449"/>
      <c r="V618" s="449"/>
      <c r="W618" s="43"/>
    </row>
    <row r="619" spans="2:24" s="28" customFormat="1" ht="16.5" customHeight="1">
      <c r="B619" s="20"/>
      <c r="C619" s="20"/>
      <c r="D619" s="448"/>
      <c r="E619" s="32">
        <v>142223</v>
      </c>
      <c r="F619" s="520" t="s">
        <v>701</v>
      </c>
      <c r="G619" s="452"/>
      <c r="H619" s="453"/>
      <c r="I619" s="325">
        <v>0</v>
      </c>
      <c r="J619" s="32">
        <v>142223</v>
      </c>
      <c r="K619" s="32" t="s">
        <v>71</v>
      </c>
      <c r="L619" s="32" t="s">
        <v>35</v>
      </c>
      <c r="M619" s="32">
        <v>208</v>
      </c>
      <c r="N619" s="356" t="e">
        <f>VLOOKUP(E619,'[2]Price list'!$A$2:$F$145,6,0)</f>
        <v>#N/A</v>
      </c>
      <c r="O619" s="28" t="e">
        <f t="shared" si="25"/>
        <v>#N/A</v>
      </c>
      <c r="R619" s="43"/>
      <c r="S619" s="43"/>
      <c r="T619" s="43"/>
      <c r="U619" s="449"/>
      <c r="V619" s="449"/>
      <c r="W619" s="43"/>
      <c r="X619" s="42"/>
    </row>
    <row r="620" spans="2:24" s="28" customFormat="1" ht="16.5" customHeight="1">
      <c r="B620" s="20"/>
      <c r="C620" s="20"/>
      <c r="D620" s="448"/>
      <c r="E620" s="32">
        <v>142226</v>
      </c>
      <c r="F620" s="37" t="s">
        <v>219</v>
      </c>
      <c r="G620" s="452"/>
      <c r="H620" s="453"/>
      <c r="I620" s="325">
        <v>97000</v>
      </c>
      <c r="J620" s="33">
        <v>142226</v>
      </c>
      <c r="K620" s="32" t="s">
        <v>70</v>
      </c>
      <c r="L620" s="32" t="s">
        <v>0</v>
      </c>
      <c r="M620" s="32">
        <v>20</v>
      </c>
      <c r="N620" s="356">
        <f>VLOOKUP(E620,'[2]Price list'!$A$2:$F$145,6,0)</f>
        <v>97000</v>
      </c>
      <c r="O620" s="28" t="b">
        <f t="shared" si="25"/>
        <v>1</v>
      </c>
      <c r="R620" s="43"/>
      <c r="S620" s="43"/>
      <c r="T620" s="43"/>
      <c r="U620" s="449"/>
      <c r="V620" s="449"/>
      <c r="W620" s="43"/>
    </row>
    <row r="621" spans="2:24" s="28" customFormat="1" ht="16.5" customHeight="1">
      <c r="B621" s="20"/>
      <c r="C621" s="20"/>
      <c r="D621" s="448"/>
      <c r="E621" s="32">
        <v>142227</v>
      </c>
      <c r="F621" s="37" t="s">
        <v>702</v>
      </c>
      <c r="G621" s="452"/>
      <c r="H621" s="453"/>
      <c r="I621" s="325">
        <v>0</v>
      </c>
      <c r="J621" s="32">
        <v>142227</v>
      </c>
      <c r="K621" s="32" t="s">
        <v>71</v>
      </c>
      <c r="L621" s="32" t="s">
        <v>0</v>
      </c>
      <c r="M621" s="32">
        <v>200</v>
      </c>
      <c r="N621" s="356" t="e">
        <f>VLOOKUP(E621,'[2]Price list'!$A$2:$F$145,6,0)</f>
        <v>#N/A</v>
      </c>
      <c r="O621" s="28" t="e">
        <f t="shared" si="25"/>
        <v>#N/A</v>
      </c>
      <c r="R621" s="43"/>
      <c r="S621" s="43"/>
      <c r="T621" s="43"/>
      <c r="U621" s="449"/>
      <c r="V621" s="449"/>
      <c r="W621" s="43"/>
    </row>
    <row r="622" spans="2:24" s="28" customFormat="1" ht="16.5" customHeight="1">
      <c r="B622" s="20"/>
      <c r="C622" s="20"/>
      <c r="D622" s="448"/>
      <c r="E622" s="32">
        <v>142231</v>
      </c>
      <c r="F622" s="37" t="s">
        <v>703</v>
      </c>
      <c r="G622" s="452"/>
      <c r="H622" s="453"/>
      <c r="I622" s="325">
        <v>0</v>
      </c>
      <c r="J622" s="32">
        <v>142231</v>
      </c>
      <c r="K622" s="32" t="s">
        <v>71</v>
      </c>
      <c r="L622" s="32" t="s">
        <v>35</v>
      </c>
      <c r="M622" s="32">
        <v>200</v>
      </c>
      <c r="N622" s="356" t="e">
        <f>VLOOKUP(E622,'[2]Price list'!$A$2:$F$145,6,0)</f>
        <v>#N/A</v>
      </c>
      <c r="O622" s="28" t="e">
        <f t="shared" si="25"/>
        <v>#N/A</v>
      </c>
      <c r="R622" s="43"/>
      <c r="S622" s="43"/>
      <c r="T622" s="43"/>
      <c r="U622" s="449"/>
      <c r="V622" s="449"/>
      <c r="W622" s="43"/>
    </row>
    <row r="623" spans="2:24" s="28" customFormat="1" ht="16.5" customHeight="1">
      <c r="B623" s="20"/>
      <c r="C623" s="20"/>
      <c r="D623" s="448"/>
      <c r="E623" s="32">
        <v>142741</v>
      </c>
      <c r="F623" s="37" t="s">
        <v>983</v>
      </c>
      <c r="G623" s="452"/>
      <c r="H623" s="453"/>
      <c r="I623" s="325">
        <v>124000</v>
      </c>
      <c r="J623" s="33">
        <v>142741</v>
      </c>
      <c r="K623" s="32" t="s">
        <v>73</v>
      </c>
      <c r="L623" s="32" t="s">
        <v>35</v>
      </c>
      <c r="M623" s="32">
        <v>12</v>
      </c>
      <c r="N623" s="356" t="e">
        <f>VLOOKUP(E623,'[2]Price list'!$A$2:$F$145,6,0)</f>
        <v>#N/A</v>
      </c>
      <c r="O623" s="28" t="e">
        <f t="shared" si="25"/>
        <v>#N/A</v>
      </c>
      <c r="R623" s="43"/>
      <c r="S623" s="43"/>
      <c r="T623" s="43"/>
      <c r="U623" s="449"/>
      <c r="V623" s="449"/>
      <c r="W623" s="43"/>
    </row>
    <row r="624" spans="2:24" s="28" customFormat="1" ht="16.5" customHeight="1">
      <c r="B624" s="20"/>
      <c r="C624" s="20"/>
      <c r="D624" s="448"/>
      <c r="E624" s="32">
        <v>146257</v>
      </c>
      <c r="F624" s="37" t="s">
        <v>984</v>
      </c>
      <c r="G624" s="452"/>
      <c r="H624" s="453"/>
      <c r="I624" s="325">
        <v>1789000</v>
      </c>
      <c r="J624" s="33">
        <v>146257</v>
      </c>
      <c r="K624" s="32" t="s">
        <v>71</v>
      </c>
      <c r="L624" s="32" t="s">
        <v>35</v>
      </c>
      <c r="M624" s="32">
        <v>200</v>
      </c>
      <c r="N624" s="356" t="e">
        <f>VLOOKUP(E624,'[2]Price list'!$A$2:$F$145,6,0)</f>
        <v>#N/A</v>
      </c>
      <c r="O624" s="28" t="e">
        <f t="shared" si="25"/>
        <v>#N/A</v>
      </c>
      <c r="R624" s="43"/>
      <c r="S624" s="43"/>
      <c r="T624" s="43"/>
      <c r="U624" s="449"/>
      <c r="V624" s="449"/>
      <c r="W624" s="43"/>
      <c r="X624" s="42"/>
    </row>
    <row r="625" spans="2:24" s="28" customFormat="1" ht="16.5" customHeight="1">
      <c r="B625" s="20"/>
      <c r="C625" s="20"/>
      <c r="D625" s="448"/>
      <c r="E625" s="32">
        <v>146256</v>
      </c>
      <c r="F625" s="37" t="s">
        <v>985</v>
      </c>
      <c r="G625" s="452"/>
      <c r="H625" s="453"/>
      <c r="I625" s="325">
        <v>118000</v>
      </c>
      <c r="J625" s="33">
        <v>142956</v>
      </c>
      <c r="K625" s="32" t="s">
        <v>73</v>
      </c>
      <c r="L625" s="32" t="s">
        <v>35</v>
      </c>
      <c r="M625" s="32">
        <v>12</v>
      </c>
      <c r="N625" s="356" t="e">
        <f>VLOOKUP(E625,'[2]Price list'!$A$2:$F$145,6,0)</f>
        <v>#N/A</v>
      </c>
      <c r="O625" s="28" t="e">
        <f t="shared" si="25"/>
        <v>#N/A</v>
      </c>
      <c r="R625" s="43"/>
      <c r="S625" s="43"/>
      <c r="T625" s="43"/>
      <c r="U625" s="449"/>
      <c r="V625" s="449"/>
      <c r="W625" s="43"/>
      <c r="X625" s="42"/>
    </row>
    <row r="626" spans="2:24" s="28" customFormat="1" ht="16.5" customHeight="1">
      <c r="B626" s="20"/>
      <c r="C626" s="20"/>
      <c r="D626" s="448"/>
      <c r="E626" s="32">
        <v>146236</v>
      </c>
      <c r="F626" s="37" t="s">
        <v>986</v>
      </c>
      <c r="G626" s="452"/>
      <c r="H626" s="453"/>
      <c r="I626" s="325">
        <v>124000</v>
      </c>
      <c r="J626" s="33">
        <v>142741</v>
      </c>
      <c r="K626" s="32" t="s">
        <v>73</v>
      </c>
      <c r="L626" s="32" t="s">
        <v>35</v>
      </c>
      <c r="M626" s="32">
        <v>12</v>
      </c>
      <c r="N626" s="356" t="e">
        <f>VLOOKUP(E626,'[2]Price list'!$A$2:$F$145,6,0)</f>
        <v>#N/A</v>
      </c>
      <c r="O626" s="28" t="e">
        <f t="shared" si="25"/>
        <v>#N/A</v>
      </c>
      <c r="R626" s="43"/>
      <c r="S626" s="43"/>
      <c r="T626" s="43"/>
      <c r="U626" s="449"/>
      <c r="V626" s="449"/>
      <c r="W626" s="43"/>
    </row>
    <row r="627" spans="2:24" s="28" customFormat="1" ht="16.5" customHeight="1">
      <c r="B627" s="20"/>
      <c r="C627" s="20"/>
      <c r="D627" s="448"/>
      <c r="E627" s="32">
        <v>143003</v>
      </c>
      <c r="F627" s="37" t="s">
        <v>132</v>
      </c>
      <c r="G627" s="452"/>
      <c r="H627" s="453"/>
      <c r="I627" s="325">
        <v>150000</v>
      </c>
      <c r="J627" s="33">
        <v>143003</v>
      </c>
      <c r="K627" s="32" t="s">
        <v>70</v>
      </c>
      <c r="L627" s="32" t="s">
        <v>0</v>
      </c>
      <c r="M627" s="32">
        <v>20</v>
      </c>
      <c r="N627" s="356">
        <f>VLOOKUP(E627,'[2]Price list'!$A$2:$F$145,6,0)</f>
        <v>150000</v>
      </c>
      <c r="O627" s="28" t="b">
        <f t="shared" si="25"/>
        <v>1</v>
      </c>
      <c r="R627" s="43"/>
      <c r="S627" s="43"/>
      <c r="T627" s="43"/>
      <c r="U627" s="449"/>
      <c r="V627" s="449"/>
      <c r="W627" s="43"/>
    </row>
    <row r="628" spans="2:24" s="28" customFormat="1" ht="16.5" customHeight="1">
      <c r="B628" s="20"/>
      <c r="C628" s="20"/>
      <c r="D628" s="448"/>
      <c r="E628" s="32">
        <v>143066</v>
      </c>
      <c r="F628" s="37" t="s">
        <v>987</v>
      </c>
      <c r="G628" s="452"/>
      <c r="H628" s="453"/>
      <c r="I628" s="325">
        <v>107100</v>
      </c>
      <c r="J628" s="33">
        <v>143066</v>
      </c>
      <c r="K628" s="32" t="s">
        <v>73</v>
      </c>
      <c r="L628" s="32" t="s">
        <v>35</v>
      </c>
      <c r="M628" s="32">
        <v>12</v>
      </c>
      <c r="N628" s="356" t="e">
        <f>VLOOKUP(E628,'[2]Price list'!$A$2:$F$145,6,0)</f>
        <v>#N/A</v>
      </c>
      <c r="O628" s="28" t="e">
        <f t="shared" si="25"/>
        <v>#N/A</v>
      </c>
      <c r="R628" s="43"/>
      <c r="S628" s="43"/>
      <c r="T628" s="43"/>
      <c r="U628" s="449"/>
      <c r="V628" s="449"/>
      <c r="W628" s="43"/>
      <c r="X628" s="42"/>
    </row>
    <row r="629" spans="2:24" s="28" customFormat="1" ht="16.5" customHeight="1">
      <c r="B629" s="20"/>
      <c r="C629" s="20"/>
      <c r="D629" s="448"/>
      <c r="E629" s="32">
        <v>143067</v>
      </c>
      <c r="F629" s="37" t="s">
        <v>988</v>
      </c>
      <c r="G629" s="452"/>
      <c r="H629" s="453"/>
      <c r="I629" s="325">
        <v>107100</v>
      </c>
      <c r="J629" s="33">
        <v>143067</v>
      </c>
      <c r="K629" s="32" t="s">
        <v>73</v>
      </c>
      <c r="L629" s="32" t="s">
        <v>35</v>
      </c>
      <c r="M629" s="32">
        <v>12</v>
      </c>
      <c r="N629" s="356" t="e">
        <f>VLOOKUP(E629,'[2]Price list'!$A$2:$F$145,6,0)</f>
        <v>#N/A</v>
      </c>
      <c r="O629" s="28" t="e">
        <f t="shared" si="25"/>
        <v>#N/A</v>
      </c>
      <c r="R629" s="43"/>
      <c r="S629" s="43"/>
      <c r="T629" s="43"/>
      <c r="U629" s="449"/>
      <c r="V629" s="449"/>
      <c r="W629" s="43"/>
    </row>
    <row r="630" spans="2:24" s="28" customFormat="1" ht="16.5" customHeight="1">
      <c r="B630" s="20"/>
      <c r="C630" s="20"/>
      <c r="D630" s="448"/>
      <c r="E630" s="32">
        <v>143449</v>
      </c>
      <c r="F630" s="37" t="s">
        <v>989</v>
      </c>
      <c r="G630" s="452"/>
      <c r="H630" s="453"/>
      <c r="I630" s="325">
        <v>100700</v>
      </c>
      <c r="J630" s="33">
        <v>143449</v>
      </c>
      <c r="K630" s="32" t="s">
        <v>73</v>
      </c>
      <c r="L630" s="32" t="s">
        <v>35</v>
      </c>
      <c r="M630" s="32">
        <v>12</v>
      </c>
      <c r="N630" s="356" t="e">
        <f>VLOOKUP(E630,'[2]Price list'!$A$2:$F$145,6,0)</f>
        <v>#N/A</v>
      </c>
      <c r="O630" s="28" t="e">
        <f t="shared" si="25"/>
        <v>#N/A</v>
      </c>
      <c r="R630" s="43"/>
      <c r="S630" s="43"/>
      <c r="T630" s="43"/>
      <c r="U630" s="449"/>
      <c r="V630" s="449"/>
      <c r="W630" s="43"/>
      <c r="X630" s="42"/>
    </row>
    <row r="631" spans="2:24" s="28" customFormat="1" ht="16.5" customHeight="1">
      <c r="B631" s="20"/>
      <c r="C631" s="20"/>
      <c r="D631" s="448"/>
      <c r="E631" s="32">
        <v>143128</v>
      </c>
      <c r="F631" s="520" t="s">
        <v>709</v>
      </c>
      <c r="G631" s="452"/>
      <c r="H631" s="453"/>
      <c r="I631" s="325">
        <v>2081000</v>
      </c>
      <c r="J631" s="32">
        <v>143128</v>
      </c>
      <c r="K631" s="32" t="s">
        <v>71</v>
      </c>
      <c r="L631" s="32" t="s">
        <v>35</v>
      </c>
      <c r="M631" s="32">
        <v>208</v>
      </c>
      <c r="N631" s="356">
        <f>VLOOKUP(E631,'[2]Price list'!$A$2:$F$145,6,0)</f>
        <v>2081000</v>
      </c>
      <c r="O631" s="28" t="b">
        <f t="shared" si="25"/>
        <v>1</v>
      </c>
      <c r="R631" s="43"/>
      <c r="S631" s="43"/>
      <c r="T631" s="43"/>
      <c r="U631" s="449"/>
      <c r="V631" s="449"/>
      <c r="W631" s="43"/>
    </row>
    <row r="632" spans="2:24" s="28" customFormat="1" ht="16.5" customHeight="1">
      <c r="B632" s="20"/>
      <c r="C632" s="20"/>
      <c r="D632" s="448"/>
      <c r="E632" s="32">
        <v>143192</v>
      </c>
      <c r="F632" s="37" t="s">
        <v>710</v>
      </c>
      <c r="G632" s="452"/>
      <c r="H632" s="453"/>
      <c r="I632" s="325">
        <v>908000</v>
      </c>
      <c r="J632" s="33">
        <v>143192</v>
      </c>
      <c r="K632" s="32" t="s">
        <v>71</v>
      </c>
      <c r="L632" s="32" t="s">
        <v>35</v>
      </c>
      <c r="M632" s="32">
        <v>200</v>
      </c>
      <c r="N632" s="356">
        <f>VLOOKUP(E632,'[2]Price list'!$A$2:$F$145,6,0)</f>
        <v>908000</v>
      </c>
      <c r="O632" s="28" t="b">
        <f t="shared" si="25"/>
        <v>1</v>
      </c>
      <c r="R632" s="43"/>
      <c r="S632" s="43"/>
      <c r="T632" s="43"/>
      <c r="U632" s="449"/>
      <c r="V632" s="449"/>
      <c r="W632" s="43"/>
    </row>
    <row r="633" spans="2:24" s="28" customFormat="1" ht="16.5" customHeight="1">
      <c r="B633" s="20"/>
      <c r="C633" s="20"/>
      <c r="D633" s="448"/>
      <c r="E633" s="32">
        <v>143194</v>
      </c>
      <c r="F633" s="37" t="s">
        <v>711</v>
      </c>
      <c r="G633" s="452"/>
      <c r="H633" s="453"/>
      <c r="I633" s="325">
        <v>755000</v>
      </c>
      <c r="J633" s="33">
        <v>143194</v>
      </c>
      <c r="K633" s="32" t="s">
        <v>71</v>
      </c>
      <c r="L633" s="32" t="s">
        <v>35</v>
      </c>
      <c r="M633" s="32">
        <v>200</v>
      </c>
      <c r="N633" s="356">
        <f>VLOOKUP(E633,'[2]Price list'!$A$2:$F$145,6,0)</f>
        <v>755000</v>
      </c>
      <c r="O633" s="28" t="b">
        <f t="shared" si="25"/>
        <v>1</v>
      </c>
      <c r="R633" s="43"/>
      <c r="S633" s="43"/>
      <c r="T633" s="43"/>
      <c r="U633" s="449"/>
      <c r="V633" s="449"/>
      <c r="W633" s="43"/>
    </row>
    <row r="634" spans="2:24" s="28" customFormat="1" ht="16.5" customHeight="1">
      <c r="B634" s="20"/>
      <c r="C634" s="20"/>
      <c r="D634" s="448"/>
      <c r="E634" s="32">
        <v>143195</v>
      </c>
      <c r="F634" s="37" t="s">
        <v>712</v>
      </c>
      <c r="G634" s="452"/>
      <c r="H634" s="453"/>
      <c r="I634" s="325">
        <v>755000</v>
      </c>
      <c r="J634" s="33">
        <v>143195</v>
      </c>
      <c r="K634" s="32" t="s">
        <v>71</v>
      </c>
      <c r="L634" s="32" t="s">
        <v>35</v>
      </c>
      <c r="M634" s="32">
        <v>200</v>
      </c>
      <c r="N634" s="356">
        <f>VLOOKUP(E634,'[2]Price list'!$A$2:$F$145,6,0)</f>
        <v>755000</v>
      </c>
      <c r="O634" s="28" t="b">
        <f t="shared" si="25"/>
        <v>1</v>
      </c>
      <c r="R634" s="43"/>
      <c r="S634" s="43"/>
      <c r="T634" s="43"/>
      <c r="U634" s="449"/>
      <c r="V634" s="449"/>
      <c r="W634" s="43"/>
    </row>
    <row r="635" spans="2:24" s="28" customFormat="1" ht="16.5" customHeight="1">
      <c r="B635" s="20"/>
      <c r="C635" s="20"/>
      <c r="D635" s="448"/>
      <c r="E635" s="32">
        <v>143196</v>
      </c>
      <c r="F635" s="37" t="s">
        <v>713</v>
      </c>
      <c r="G635" s="452"/>
      <c r="H635" s="453"/>
      <c r="I635" s="325">
        <v>646000</v>
      </c>
      <c r="J635" s="33">
        <v>143196</v>
      </c>
      <c r="K635" s="32" t="s">
        <v>71</v>
      </c>
      <c r="L635" s="32" t="s">
        <v>35</v>
      </c>
      <c r="M635" s="32">
        <v>200</v>
      </c>
      <c r="N635" s="356">
        <f>VLOOKUP(E635,'[2]Price list'!$A$2:$F$145,6,0)</f>
        <v>646000</v>
      </c>
      <c r="O635" s="28" t="b">
        <f t="shared" si="25"/>
        <v>1</v>
      </c>
      <c r="R635" s="43"/>
      <c r="S635" s="43"/>
      <c r="T635" s="43"/>
      <c r="U635" s="449"/>
      <c r="V635" s="449"/>
      <c r="W635" s="43"/>
    </row>
    <row r="636" spans="2:24" s="28" customFormat="1" ht="16.5" customHeight="1">
      <c r="B636" s="20"/>
      <c r="C636" s="20"/>
      <c r="D636" s="448"/>
      <c r="E636" s="32">
        <v>143197</v>
      </c>
      <c r="F636" s="37" t="s">
        <v>714</v>
      </c>
      <c r="G636" s="452"/>
      <c r="H636" s="453"/>
      <c r="I636" s="325">
        <v>684000</v>
      </c>
      <c r="J636" s="33">
        <v>143197</v>
      </c>
      <c r="K636" s="32" t="s">
        <v>71</v>
      </c>
      <c r="L636" s="32" t="s">
        <v>35</v>
      </c>
      <c r="M636" s="32">
        <v>200</v>
      </c>
      <c r="N636" s="356">
        <f>VLOOKUP(E636,'[2]Price list'!$A$2:$F$145,6,0)</f>
        <v>684000</v>
      </c>
      <c r="O636" s="28" t="b">
        <f t="shared" si="25"/>
        <v>1</v>
      </c>
      <c r="R636" s="43"/>
      <c r="S636" s="43"/>
      <c r="T636" s="43"/>
      <c r="U636" s="449"/>
      <c r="V636" s="449"/>
      <c r="W636" s="43"/>
    </row>
    <row r="637" spans="2:24" s="28" customFormat="1" ht="16.5" customHeight="1">
      <c r="B637" s="20"/>
      <c r="C637" s="20"/>
      <c r="D637" s="448"/>
      <c r="E637" s="32">
        <v>143201</v>
      </c>
      <c r="F637" s="37" t="s">
        <v>715</v>
      </c>
      <c r="G637" s="452"/>
      <c r="H637" s="453"/>
      <c r="I637" s="325">
        <v>512000</v>
      </c>
      <c r="J637" s="33">
        <v>143201</v>
      </c>
      <c r="K637" s="32" t="s">
        <v>71</v>
      </c>
      <c r="L637" s="32" t="s">
        <v>35</v>
      </c>
      <c r="M637" s="32">
        <v>200</v>
      </c>
      <c r="N637" s="356">
        <f>VLOOKUP(E637,'[2]Price list'!$A$2:$F$145,6,0)</f>
        <v>512000</v>
      </c>
      <c r="O637" s="28" t="b">
        <f t="shared" si="25"/>
        <v>1</v>
      </c>
      <c r="R637" s="43"/>
      <c r="S637" s="43"/>
      <c r="T637" s="43"/>
      <c r="U637" s="449"/>
      <c r="V637" s="449"/>
      <c r="W637" s="43"/>
    </row>
    <row r="638" spans="2:24" s="28" customFormat="1" ht="16.5" customHeight="1">
      <c r="B638" s="20"/>
      <c r="C638" s="20"/>
      <c r="D638" s="448"/>
      <c r="E638" s="32">
        <v>143202</v>
      </c>
      <c r="F638" s="37" t="s">
        <v>716</v>
      </c>
      <c r="G638" s="452"/>
      <c r="H638" s="453"/>
      <c r="I638" s="325">
        <v>512000</v>
      </c>
      <c r="J638" s="33">
        <v>143202</v>
      </c>
      <c r="K638" s="32" t="s">
        <v>71</v>
      </c>
      <c r="L638" s="32" t="s">
        <v>35</v>
      </c>
      <c r="M638" s="32">
        <v>200</v>
      </c>
      <c r="N638" s="356">
        <f>VLOOKUP(E638,'[2]Price list'!$A$2:$F$145,6,0)</f>
        <v>512000</v>
      </c>
      <c r="O638" s="28" t="b">
        <f t="shared" si="25"/>
        <v>1</v>
      </c>
      <c r="R638" s="43"/>
      <c r="S638" s="43"/>
      <c r="T638" s="43"/>
      <c r="U638" s="449"/>
      <c r="V638" s="449"/>
      <c r="W638" s="43"/>
    </row>
    <row r="639" spans="2:24" s="28" customFormat="1" ht="16.5" customHeight="1">
      <c r="B639" s="20"/>
      <c r="C639" s="20"/>
      <c r="D639" s="448"/>
      <c r="E639" s="32">
        <v>143203</v>
      </c>
      <c r="F639" s="37" t="s">
        <v>717</v>
      </c>
      <c r="G639" s="452"/>
      <c r="H639" s="453"/>
      <c r="I639" s="325">
        <v>538000</v>
      </c>
      <c r="J639" s="33">
        <v>143203</v>
      </c>
      <c r="K639" s="32" t="s">
        <v>71</v>
      </c>
      <c r="L639" s="32" t="s">
        <v>35</v>
      </c>
      <c r="M639" s="32">
        <v>200</v>
      </c>
      <c r="N639" s="356">
        <f>VLOOKUP(E639,'[2]Price list'!$A$2:$F$145,6,0)</f>
        <v>538000</v>
      </c>
      <c r="O639" s="28" t="b">
        <f t="shared" si="25"/>
        <v>1</v>
      </c>
      <c r="R639" s="43"/>
      <c r="S639" s="43"/>
      <c r="T639" s="43"/>
      <c r="U639" s="449"/>
      <c r="V639" s="449"/>
      <c r="W639" s="43"/>
    </row>
    <row r="640" spans="2:24" s="28" customFormat="1" ht="16.5" customHeight="1">
      <c r="B640" s="20"/>
      <c r="C640" s="20"/>
      <c r="D640" s="448"/>
      <c r="E640" s="32">
        <v>143206</v>
      </c>
      <c r="F640" s="37" t="s">
        <v>718</v>
      </c>
      <c r="G640" s="452"/>
      <c r="H640" s="453"/>
      <c r="I640" s="325">
        <v>496000</v>
      </c>
      <c r="J640" s="33">
        <v>143206</v>
      </c>
      <c r="K640" s="32" t="s">
        <v>71</v>
      </c>
      <c r="L640" s="32" t="s">
        <v>35</v>
      </c>
      <c r="M640" s="32">
        <v>200</v>
      </c>
      <c r="N640" s="356">
        <f>VLOOKUP(E640,'[2]Price list'!$A$2:$F$145,6,0)</f>
        <v>522000</v>
      </c>
      <c r="O640" s="28" t="b">
        <f t="shared" si="25"/>
        <v>0</v>
      </c>
      <c r="R640" s="43"/>
      <c r="S640" s="43"/>
      <c r="T640" s="43"/>
      <c r="U640" s="449"/>
      <c r="V640" s="449"/>
      <c r="W640" s="43"/>
    </row>
    <row r="641" spans="2:23" s="28" customFormat="1" ht="16.5" customHeight="1">
      <c r="B641" s="20"/>
      <c r="C641" s="20"/>
      <c r="D641" s="448"/>
      <c r="E641" s="32">
        <v>143207</v>
      </c>
      <c r="F641" s="37" t="s">
        <v>915</v>
      </c>
      <c r="G641" s="452"/>
      <c r="H641" s="453"/>
      <c r="I641" s="325">
        <v>50300</v>
      </c>
      <c r="J641" s="33">
        <v>143207</v>
      </c>
      <c r="K641" s="32" t="s">
        <v>73</v>
      </c>
      <c r="L641" s="32" t="s">
        <v>35</v>
      </c>
      <c r="M641" s="32">
        <v>12</v>
      </c>
      <c r="N641" s="356">
        <f>VLOOKUP(E641,'[2]Price list'!$A$2:$F$145,6,0)</f>
        <v>50300</v>
      </c>
      <c r="O641" s="28" t="b">
        <f t="shared" si="25"/>
        <v>1</v>
      </c>
      <c r="R641" s="43"/>
      <c r="S641" s="43"/>
      <c r="T641" s="43"/>
      <c r="U641" s="449"/>
      <c r="V641" s="449"/>
      <c r="W641" s="43"/>
    </row>
    <row r="642" spans="2:23" s="28" customFormat="1" ht="16.5" customHeight="1">
      <c r="B642" s="20"/>
      <c r="C642" s="20"/>
      <c r="D642" s="448"/>
      <c r="E642" s="32">
        <v>143209</v>
      </c>
      <c r="F642" s="37" t="s">
        <v>990</v>
      </c>
      <c r="G642" s="452"/>
      <c r="H642" s="453"/>
      <c r="I642" s="325">
        <v>50300</v>
      </c>
      <c r="J642" s="33">
        <v>143209</v>
      </c>
      <c r="K642" s="32" t="s">
        <v>73</v>
      </c>
      <c r="L642" s="32" t="s">
        <v>35</v>
      </c>
      <c r="M642" s="32">
        <v>12</v>
      </c>
      <c r="N642" s="356">
        <f>VLOOKUP(E642,'[2]Price list'!$A$2:$F$145,6,0)</f>
        <v>50300</v>
      </c>
      <c r="O642" s="28" t="b">
        <f t="shared" si="25"/>
        <v>1</v>
      </c>
      <c r="R642" s="43"/>
      <c r="S642" s="43"/>
      <c r="T642" s="43"/>
      <c r="U642" s="449"/>
      <c r="V642" s="449"/>
      <c r="W642" s="43"/>
    </row>
    <row r="643" spans="2:23" s="28" customFormat="1" ht="16.5" customHeight="1">
      <c r="B643" s="20"/>
      <c r="C643" s="20"/>
      <c r="D643" s="448"/>
      <c r="E643" s="32">
        <v>143210</v>
      </c>
      <c r="F643" s="37" t="s">
        <v>901</v>
      </c>
      <c r="G643" s="452"/>
      <c r="H643" s="453"/>
      <c r="I643" s="325">
        <v>45300</v>
      </c>
      <c r="J643" s="33">
        <v>143210</v>
      </c>
      <c r="K643" s="32" t="s">
        <v>73</v>
      </c>
      <c r="L643" s="32" t="s">
        <v>35</v>
      </c>
      <c r="M643" s="32">
        <v>12</v>
      </c>
      <c r="N643" s="356">
        <f>VLOOKUP(E643,'[2]Price list'!$A$2:$F$145,6,0)</f>
        <v>45300</v>
      </c>
      <c r="O643" s="28" t="b">
        <f t="shared" si="25"/>
        <v>1</v>
      </c>
      <c r="R643" s="43"/>
      <c r="S643" s="43"/>
      <c r="T643" s="43"/>
      <c r="U643" s="449"/>
      <c r="V643" s="449"/>
      <c r="W643" s="43"/>
    </row>
    <row r="644" spans="2:23" s="28" customFormat="1" ht="16.5" customHeight="1">
      <c r="B644" s="20"/>
      <c r="C644" s="20"/>
      <c r="D644" s="448"/>
      <c r="E644" s="32">
        <v>143211</v>
      </c>
      <c r="F644" s="37" t="s">
        <v>169</v>
      </c>
      <c r="G644" s="452"/>
      <c r="H644" s="453"/>
      <c r="I644" s="325">
        <v>48100</v>
      </c>
      <c r="J644" s="33">
        <v>143211</v>
      </c>
      <c r="K644" s="32" t="s">
        <v>72</v>
      </c>
      <c r="L644" s="32" t="s">
        <v>35</v>
      </c>
      <c r="M644" s="32">
        <v>12</v>
      </c>
      <c r="N644" s="356">
        <f>VLOOKUP(E644,'[2]Price list'!$A$2:$F$145,6,0)</f>
        <v>48100</v>
      </c>
      <c r="O644" s="28" t="b">
        <f t="shared" si="25"/>
        <v>1</v>
      </c>
      <c r="R644" s="43"/>
      <c r="S644" s="43"/>
      <c r="T644" s="43"/>
      <c r="U644" s="449"/>
      <c r="V644" s="449"/>
      <c r="W644" s="43"/>
    </row>
    <row r="645" spans="2:23" s="28" customFormat="1" ht="16.5" customHeight="1">
      <c r="B645" s="20"/>
      <c r="C645" s="20"/>
      <c r="D645" s="448"/>
      <c r="E645" s="32">
        <v>143212</v>
      </c>
      <c r="F645" s="37" t="s">
        <v>991</v>
      </c>
      <c r="G645" s="452"/>
      <c r="H645" s="453"/>
      <c r="I645" s="325">
        <v>37700</v>
      </c>
      <c r="J645" s="33">
        <v>143212</v>
      </c>
      <c r="K645" s="32" t="s">
        <v>73</v>
      </c>
      <c r="L645" s="32" t="s">
        <v>35</v>
      </c>
      <c r="M645" s="32">
        <v>12</v>
      </c>
      <c r="N645" s="356">
        <f>VLOOKUP(E645,'[2]Price list'!$A$2:$F$145,6,0)</f>
        <v>37700</v>
      </c>
      <c r="O645" s="28" t="b">
        <f t="shared" si="25"/>
        <v>1</v>
      </c>
      <c r="R645" s="43"/>
      <c r="S645" s="43"/>
      <c r="T645" s="43"/>
      <c r="U645" s="449"/>
      <c r="V645" s="449"/>
      <c r="W645" s="43"/>
    </row>
    <row r="646" spans="2:23" s="28" customFormat="1" ht="16.5" customHeight="1">
      <c r="B646" s="20"/>
      <c r="C646" s="20"/>
      <c r="D646" s="448"/>
      <c r="E646" s="32">
        <v>143215</v>
      </c>
      <c r="F646" s="37" t="s">
        <v>992</v>
      </c>
      <c r="G646" s="452"/>
      <c r="H646" s="453"/>
      <c r="I646" s="325">
        <v>0</v>
      </c>
      <c r="J646" s="33">
        <v>143215</v>
      </c>
      <c r="K646" s="32" t="s">
        <v>73</v>
      </c>
      <c r="L646" s="32" t="s">
        <v>35</v>
      </c>
      <c r="M646" s="32">
        <v>16</v>
      </c>
      <c r="N646" s="356" t="e">
        <f>VLOOKUP(E646,'[2]Price list'!$A$2:$F$145,6,0)</f>
        <v>#N/A</v>
      </c>
      <c r="O646" s="28" t="e">
        <f t="shared" si="25"/>
        <v>#N/A</v>
      </c>
      <c r="R646" s="43"/>
      <c r="S646" s="43"/>
      <c r="T646" s="43"/>
      <c r="U646" s="449"/>
      <c r="V646" s="449"/>
      <c r="W646" s="43"/>
    </row>
    <row r="647" spans="2:23" s="28" customFormat="1" ht="16.5" customHeight="1">
      <c r="B647" s="20"/>
      <c r="C647" s="20"/>
      <c r="D647" s="448"/>
      <c r="E647" s="32">
        <v>143216</v>
      </c>
      <c r="F647" s="37" t="s">
        <v>993</v>
      </c>
      <c r="G647" s="452"/>
      <c r="H647" s="453"/>
      <c r="I647" s="325">
        <v>0</v>
      </c>
      <c r="J647" s="33">
        <v>143216</v>
      </c>
      <c r="K647" s="32" t="s">
        <v>73</v>
      </c>
      <c r="L647" s="32" t="s">
        <v>35</v>
      </c>
      <c r="M647" s="32">
        <v>16</v>
      </c>
      <c r="N647" s="356" t="e">
        <f>VLOOKUP(E647,'[2]Price list'!$A$2:$F$145,6,0)</f>
        <v>#N/A</v>
      </c>
      <c r="O647" s="28" t="e">
        <f t="shared" si="25"/>
        <v>#N/A</v>
      </c>
      <c r="R647" s="43"/>
      <c r="S647" s="43"/>
      <c r="T647" s="43"/>
      <c r="U647" s="449"/>
      <c r="V647" s="449"/>
      <c r="W647" s="43"/>
    </row>
    <row r="648" spans="2:23" s="28" customFormat="1" ht="16.5" customHeight="1">
      <c r="B648" s="20"/>
      <c r="C648" s="20"/>
      <c r="D648" s="448"/>
      <c r="E648" s="32">
        <v>143217</v>
      </c>
      <c r="F648" s="37" t="s">
        <v>994</v>
      </c>
      <c r="G648" s="452"/>
      <c r="H648" s="453"/>
      <c r="I648" s="325">
        <v>0</v>
      </c>
      <c r="J648" s="33">
        <v>143217</v>
      </c>
      <c r="K648" s="32" t="s">
        <v>73</v>
      </c>
      <c r="L648" s="32" t="s">
        <v>35</v>
      </c>
      <c r="M648" s="32">
        <v>16</v>
      </c>
      <c r="N648" s="356" t="e">
        <f>VLOOKUP(E648,'[2]Price list'!$A$2:$F$145,6,0)</f>
        <v>#N/A</v>
      </c>
      <c r="O648" s="28" t="e">
        <f t="shared" si="25"/>
        <v>#N/A</v>
      </c>
      <c r="R648" s="43"/>
      <c r="S648" s="43"/>
      <c r="T648" s="43"/>
      <c r="U648" s="449"/>
      <c r="V648" s="449"/>
      <c r="W648" s="43"/>
    </row>
    <row r="649" spans="2:23" s="28" customFormat="1" ht="16.5" customHeight="1">
      <c r="B649" s="20"/>
      <c r="C649" s="20"/>
      <c r="D649" s="448"/>
      <c r="E649" s="32">
        <v>143218</v>
      </c>
      <c r="F649" s="37" t="s">
        <v>995</v>
      </c>
      <c r="G649" s="452"/>
      <c r="H649" s="453"/>
      <c r="I649" s="325">
        <v>0</v>
      </c>
      <c r="J649" s="33">
        <v>143218</v>
      </c>
      <c r="K649" s="32" t="s">
        <v>72</v>
      </c>
      <c r="L649" s="32" t="s">
        <v>35</v>
      </c>
      <c r="M649" s="32">
        <v>16</v>
      </c>
      <c r="N649" s="356" t="e">
        <f>VLOOKUP(E649,'[2]Price list'!$A$2:$F$145,6,0)</f>
        <v>#N/A</v>
      </c>
      <c r="O649" s="28" t="e">
        <f t="shared" si="25"/>
        <v>#N/A</v>
      </c>
      <c r="R649" s="43"/>
      <c r="S649" s="43"/>
      <c r="T649" s="43"/>
      <c r="U649" s="449"/>
      <c r="V649" s="449"/>
      <c r="W649" s="43"/>
    </row>
    <row r="650" spans="2:23" s="28" customFormat="1" ht="16.5" customHeight="1">
      <c r="B650" s="20"/>
      <c r="C650" s="20"/>
      <c r="D650" s="448"/>
      <c r="E650" s="32">
        <v>143219</v>
      </c>
      <c r="F650" s="37" t="s">
        <v>996</v>
      </c>
      <c r="G650" s="452"/>
      <c r="H650" s="453"/>
      <c r="I650" s="325">
        <v>45700</v>
      </c>
      <c r="J650" s="33">
        <v>143219</v>
      </c>
      <c r="K650" s="32" t="s">
        <v>73</v>
      </c>
      <c r="L650" s="32" t="s">
        <v>35</v>
      </c>
      <c r="M650" s="32">
        <v>16</v>
      </c>
      <c r="N650" s="356">
        <f>VLOOKUP(E650,'[2]Price list'!$A$2:$F$145,6,0)</f>
        <v>45700</v>
      </c>
      <c r="O650" s="28" t="b">
        <f t="shared" si="25"/>
        <v>1</v>
      </c>
      <c r="R650" s="43"/>
      <c r="S650" s="43"/>
      <c r="T650" s="43"/>
      <c r="U650" s="449"/>
      <c r="V650" s="449"/>
      <c r="W650" s="43"/>
    </row>
    <row r="651" spans="2:23" s="28" customFormat="1" ht="16.5" customHeight="1">
      <c r="B651" s="20"/>
      <c r="C651" s="20"/>
      <c r="D651" s="448"/>
      <c r="E651" s="32">
        <v>148160</v>
      </c>
      <c r="F651" s="37" t="s">
        <v>164</v>
      </c>
      <c r="G651" s="452"/>
      <c r="H651" s="453"/>
      <c r="I651" s="325">
        <v>45700</v>
      </c>
      <c r="J651" s="33">
        <v>143221</v>
      </c>
      <c r="K651" s="32" t="s">
        <v>72</v>
      </c>
      <c r="L651" s="32" t="s">
        <v>35</v>
      </c>
      <c r="M651" s="32">
        <v>16</v>
      </c>
      <c r="N651" s="356" t="e">
        <f>VLOOKUP(E651,'[2]Price list'!$A$2:$F$145,6,0)</f>
        <v>#N/A</v>
      </c>
      <c r="O651" s="28" t="e">
        <f t="shared" si="25"/>
        <v>#N/A</v>
      </c>
      <c r="R651" s="43"/>
      <c r="S651" s="43"/>
      <c r="T651" s="43"/>
      <c r="U651" s="449"/>
      <c r="V651" s="449"/>
      <c r="W651" s="43"/>
    </row>
    <row r="652" spans="2:23" s="28" customFormat="1" ht="16.5" customHeight="1">
      <c r="B652" s="20"/>
      <c r="C652" s="20"/>
      <c r="D652" s="448"/>
      <c r="E652" s="32">
        <v>143223</v>
      </c>
      <c r="F652" s="37" t="s">
        <v>997</v>
      </c>
      <c r="G652" s="452"/>
      <c r="H652" s="453"/>
      <c r="I652" s="325">
        <v>0</v>
      </c>
      <c r="J652" s="33">
        <v>143223</v>
      </c>
      <c r="K652" s="32" t="s">
        <v>73</v>
      </c>
      <c r="L652" s="32" t="s">
        <v>35</v>
      </c>
      <c r="M652" s="32">
        <v>16</v>
      </c>
      <c r="N652" s="356" t="e">
        <f>VLOOKUP(E652,'[2]Price list'!$A$2:$F$145,6,0)</f>
        <v>#N/A</v>
      </c>
      <c r="O652" s="28" t="e">
        <f t="shared" si="25"/>
        <v>#N/A</v>
      </c>
      <c r="R652" s="43"/>
      <c r="S652" s="43"/>
      <c r="T652" s="43"/>
      <c r="U652" s="449"/>
      <c r="V652" s="449"/>
      <c r="W652" s="43"/>
    </row>
    <row r="653" spans="2:23" s="28" customFormat="1" ht="16.5" customHeight="1">
      <c r="B653" s="20"/>
      <c r="C653" s="20"/>
      <c r="D653" s="448"/>
      <c r="E653" s="32">
        <v>143227</v>
      </c>
      <c r="F653" s="37" t="s">
        <v>224</v>
      </c>
      <c r="G653" s="452"/>
      <c r="H653" s="453"/>
      <c r="I653" s="325">
        <v>139100</v>
      </c>
      <c r="J653" s="33">
        <v>143227</v>
      </c>
      <c r="K653" s="32" t="s">
        <v>73</v>
      </c>
      <c r="L653" s="32" t="s">
        <v>998</v>
      </c>
      <c r="M653" s="32">
        <v>16</v>
      </c>
      <c r="N653" s="356">
        <f>VLOOKUP(E653,'[2]Price list'!$A$2:$F$145,6,0)</f>
        <v>139100</v>
      </c>
      <c r="O653" s="28" t="b">
        <f t="shared" si="25"/>
        <v>1</v>
      </c>
      <c r="R653" s="43"/>
      <c r="S653" s="43"/>
      <c r="T653" s="43"/>
      <c r="U653" s="449"/>
      <c r="V653" s="449"/>
      <c r="W653" s="43"/>
    </row>
    <row r="654" spans="2:23" s="28" customFormat="1" ht="16.5" customHeight="1">
      <c r="B654" s="20"/>
      <c r="C654" s="20"/>
      <c r="D654" s="448"/>
      <c r="E654" s="32">
        <v>147928</v>
      </c>
      <c r="F654" s="37" t="s">
        <v>221</v>
      </c>
      <c r="G654" s="452"/>
      <c r="H654" s="453"/>
      <c r="I654" s="325">
        <v>131000</v>
      </c>
      <c r="J654" s="33">
        <v>147928</v>
      </c>
      <c r="K654" s="32" t="s">
        <v>70</v>
      </c>
      <c r="L654" s="32" t="s">
        <v>998</v>
      </c>
      <c r="M654" s="32">
        <v>20</v>
      </c>
      <c r="N654" s="356" t="e">
        <f>VLOOKUP(E654,'[2]Price list'!$A$2:$F$145,6,0)</f>
        <v>#N/A</v>
      </c>
      <c r="O654" s="28" t="e">
        <f t="shared" si="25"/>
        <v>#N/A</v>
      </c>
      <c r="R654" s="43"/>
      <c r="S654" s="43"/>
      <c r="T654" s="43"/>
      <c r="U654" s="449"/>
      <c r="V654" s="449"/>
      <c r="W654" s="43"/>
    </row>
    <row r="655" spans="2:23" s="28" customFormat="1" ht="16.5" customHeight="1">
      <c r="B655" s="20"/>
      <c r="C655" s="20"/>
      <c r="D655" s="448"/>
      <c r="E655" s="32">
        <v>147929</v>
      </c>
      <c r="F655" s="37" t="s">
        <v>720</v>
      </c>
      <c r="G655" s="452"/>
      <c r="H655" s="453"/>
      <c r="I655" s="325">
        <v>1300000</v>
      </c>
      <c r="J655" s="33">
        <v>143229</v>
      </c>
      <c r="K655" s="32" t="s">
        <v>71</v>
      </c>
      <c r="L655" s="32" t="s">
        <v>998</v>
      </c>
      <c r="M655" s="32">
        <v>208</v>
      </c>
      <c r="N655" s="356" t="e">
        <f>VLOOKUP(E655,'[2]Price list'!$A$2:$F$145,6,0)</f>
        <v>#N/A</v>
      </c>
      <c r="O655" s="28" t="e">
        <f t="shared" si="25"/>
        <v>#N/A</v>
      </c>
      <c r="R655" s="43"/>
      <c r="S655" s="43"/>
      <c r="T655" s="43"/>
      <c r="U655" s="449"/>
      <c r="V655" s="449"/>
      <c r="W655" s="43"/>
    </row>
    <row r="656" spans="2:23" s="28" customFormat="1" ht="16.5" customHeight="1">
      <c r="B656" s="20"/>
      <c r="C656" s="20"/>
      <c r="D656" s="448"/>
      <c r="E656" s="32">
        <v>143230</v>
      </c>
      <c r="F656" s="37" t="s">
        <v>203</v>
      </c>
      <c r="G656" s="452"/>
      <c r="H656" s="453"/>
      <c r="I656" s="325">
        <v>82700</v>
      </c>
      <c r="J656" s="33">
        <v>143230</v>
      </c>
      <c r="K656" s="32" t="s">
        <v>73</v>
      </c>
      <c r="L656" s="32" t="s">
        <v>998</v>
      </c>
      <c r="M656" s="32">
        <v>16</v>
      </c>
      <c r="N656" s="356">
        <f>VLOOKUP(E656,'[2]Price list'!$A$2:$F$145,6,0)</f>
        <v>82700</v>
      </c>
      <c r="O656" s="28" t="b">
        <f t="shared" si="25"/>
        <v>1</v>
      </c>
      <c r="R656" s="43"/>
      <c r="S656" s="43"/>
      <c r="T656" s="43"/>
      <c r="U656" s="449"/>
      <c r="V656" s="449"/>
      <c r="W656" s="43"/>
    </row>
    <row r="657" spans="2:23" s="28" customFormat="1" ht="16.5" customHeight="1">
      <c r="B657" s="20"/>
      <c r="C657" s="20"/>
      <c r="D657" s="448"/>
      <c r="E657" s="32">
        <v>143231</v>
      </c>
      <c r="F657" s="37" t="s">
        <v>199</v>
      </c>
      <c r="G657" s="452"/>
      <c r="H657" s="453"/>
      <c r="I657" s="325">
        <v>100200</v>
      </c>
      <c r="J657" s="33">
        <v>143231</v>
      </c>
      <c r="K657" s="32" t="s">
        <v>70</v>
      </c>
      <c r="L657" s="32" t="s">
        <v>998</v>
      </c>
      <c r="M657" s="32">
        <v>20</v>
      </c>
      <c r="N657" s="356">
        <f>VLOOKUP(E657,'[2]Price list'!$A$2:$F$145,6,0)</f>
        <v>100200</v>
      </c>
      <c r="O657" s="28" t="b">
        <f t="shared" si="25"/>
        <v>1</v>
      </c>
      <c r="R657" s="43"/>
      <c r="S657" s="43"/>
      <c r="T657" s="43"/>
      <c r="U657" s="449"/>
      <c r="V657" s="449"/>
      <c r="W657" s="43"/>
    </row>
    <row r="658" spans="2:23" s="28" customFormat="1" ht="16.5" customHeight="1">
      <c r="B658" s="20"/>
      <c r="C658" s="20"/>
      <c r="D658" s="448"/>
      <c r="E658" s="32">
        <v>143232</v>
      </c>
      <c r="F658" s="37" t="s">
        <v>721</v>
      </c>
      <c r="G658" s="452"/>
      <c r="H658" s="453"/>
      <c r="I658" s="325">
        <v>969000</v>
      </c>
      <c r="J658" s="33">
        <v>143232</v>
      </c>
      <c r="K658" s="32" t="s">
        <v>71</v>
      </c>
      <c r="L658" s="32" t="s">
        <v>998</v>
      </c>
      <c r="M658" s="32">
        <v>200</v>
      </c>
      <c r="N658" s="356">
        <f>VLOOKUP(E658,'[2]Price list'!$A$2:$F$145,6,0)</f>
        <v>969000</v>
      </c>
      <c r="O658" s="28" t="b">
        <f t="shared" si="25"/>
        <v>1</v>
      </c>
      <c r="R658" s="43"/>
      <c r="S658" s="43"/>
      <c r="T658" s="43"/>
      <c r="U658" s="449"/>
      <c r="V658" s="449"/>
      <c r="W658" s="43"/>
    </row>
    <row r="659" spans="2:23" s="28" customFormat="1" ht="16.5" customHeight="1">
      <c r="B659" s="20"/>
      <c r="C659" s="20"/>
      <c r="D659" s="448"/>
      <c r="E659" s="32">
        <v>143233</v>
      </c>
      <c r="F659" s="37" t="s">
        <v>222</v>
      </c>
      <c r="G659" s="452"/>
      <c r="H659" s="453"/>
      <c r="I659" s="325">
        <v>66100</v>
      </c>
      <c r="J659" s="33">
        <v>143233</v>
      </c>
      <c r="K659" s="32" t="s">
        <v>73</v>
      </c>
      <c r="L659" s="32" t="s">
        <v>998</v>
      </c>
      <c r="M659" s="32">
        <v>16</v>
      </c>
      <c r="N659" s="356">
        <f>VLOOKUP(E659,'[2]Price list'!$A$2:$F$145,6,0)</f>
        <v>66100</v>
      </c>
      <c r="O659" s="28" t="b">
        <f t="shared" si="25"/>
        <v>1</v>
      </c>
      <c r="R659" s="43"/>
      <c r="S659" s="43"/>
      <c r="T659" s="43"/>
      <c r="U659" s="449"/>
      <c r="V659" s="449"/>
      <c r="W659" s="43"/>
    </row>
    <row r="660" spans="2:23" s="28" customFormat="1" ht="16.5" customHeight="1">
      <c r="B660" s="20"/>
      <c r="C660" s="20"/>
      <c r="D660" s="448"/>
      <c r="E660" s="32">
        <v>143234</v>
      </c>
      <c r="F660" s="37" t="s">
        <v>200</v>
      </c>
      <c r="G660" s="452"/>
      <c r="H660" s="453"/>
      <c r="I660" s="325">
        <v>76500</v>
      </c>
      <c r="J660" s="33">
        <v>143234</v>
      </c>
      <c r="K660" s="32" t="s">
        <v>70</v>
      </c>
      <c r="L660" s="32" t="s">
        <v>998</v>
      </c>
      <c r="M660" s="32">
        <v>20</v>
      </c>
      <c r="N660" s="356">
        <f>VLOOKUP(E660,'[2]Price list'!$A$2:$F$145,6,0)</f>
        <v>76500</v>
      </c>
      <c r="O660" s="28" t="b">
        <f t="shared" si="25"/>
        <v>1</v>
      </c>
      <c r="R660" s="43"/>
      <c r="S660" s="43"/>
      <c r="T660" s="43"/>
      <c r="U660" s="449"/>
      <c r="V660" s="449"/>
      <c r="W660" s="43"/>
    </row>
    <row r="661" spans="2:23" s="28" customFormat="1" ht="16.5" customHeight="1">
      <c r="B661" s="20"/>
      <c r="C661" s="20"/>
      <c r="D661" s="448"/>
      <c r="E661" s="32">
        <v>143235</v>
      </c>
      <c r="F661" s="37" t="s">
        <v>722</v>
      </c>
      <c r="G661" s="452"/>
      <c r="H661" s="453"/>
      <c r="I661" s="325">
        <v>728000</v>
      </c>
      <c r="J661" s="33">
        <v>143235</v>
      </c>
      <c r="K661" s="32" t="s">
        <v>71</v>
      </c>
      <c r="L661" s="32" t="s">
        <v>998</v>
      </c>
      <c r="M661" s="32">
        <v>200</v>
      </c>
      <c r="N661" s="356">
        <f>VLOOKUP(E661,'[2]Price list'!$A$2:$F$145,6,0)</f>
        <v>728000</v>
      </c>
      <c r="O661" s="28" t="b">
        <f t="shared" si="25"/>
        <v>1</v>
      </c>
      <c r="R661" s="43"/>
      <c r="S661" s="43"/>
      <c r="T661" s="43"/>
      <c r="U661" s="449"/>
      <c r="V661" s="449"/>
      <c r="W661" s="43"/>
    </row>
    <row r="662" spans="2:23" s="28" customFormat="1" ht="16.5" customHeight="1">
      <c r="B662" s="20"/>
      <c r="C662" s="20"/>
      <c r="D662" s="448"/>
      <c r="E662" s="32">
        <v>143236</v>
      </c>
      <c r="F662" s="37" t="s">
        <v>223</v>
      </c>
      <c r="G662" s="452"/>
      <c r="H662" s="453"/>
      <c r="I662" s="325">
        <v>49200</v>
      </c>
      <c r="J662" s="33">
        <v>143236</v>
      </c>
      <c r="K662" s="32" t="s">
        <v>73</v>
      </c>
      <c r="L662" s="32" t="s">
        <v>998</v>
      </c>
      <c r="M662" s="32">
        <v>16</v>
      </c>
      <c r="N662" s="356">
        <f>VLOOKUP(E662,'[2]Price list'!$A$2:$F$145,6,0)</f>
        <v>49200</v>
      </c>
      <c r="O662" s="28" t="b">
        <f t="shared" si="25"/>
        <v>1</v>
      </c>
      <c r="R662" s="43"/>
      <c r="S662" s="43"/>
      <c r="T662" s="43"/>
      <c r="U662" s="449"/>
      <c r="V662" s="449"/>
      <c r="W662" s="43"/>
    </row>
    <row r="663" spans="2:23" s="28" customFormat="1" ht="16.5" customHeight="1">
      <c r="B663" s="20"/>
      <c r="C663" s="20"/>
      <c r="D663" s="448"/>
      <c r="E663" s="32">
        <v>143237</v>
      </c>
      <c r="F663" s="37" t="s">
        <v>206</v>
      </c>
      <c r="G663" s="452"/>
      <c r="H663" s="453"/>
      <c r="I663" s="325">
        <v>58400</v>
      </c>
      <c r="J663" s="33">
        <v>143237</v>
      </c>
      <c r="K663" s="32" t="s">
        <v>70</v>
      </c>
      <c r="L663" s="32" t="s">
        <v>998</v>
      </c>
      <c r="M663" s="32">
        <v>20</v>
      </c>
      <c r="N663" s="356">
        <f>VLOOKUP(E663,'[2]Price list'!$A$2:$F$145,6,0)</f>
        <v>58400</v>
      </c>
      <c r="O663" s="28" t="b">
        <f t="shared" si="25"/>
        <v>1</v>
      </c>
      <c r="R663" s="43"/>
      <c r="S663" s="43"/>
      <c r="T663" s="43"/>
      <c r="U663" s="449"/>
      <c r="V663" s="449"/>
      <c r="W663" s="43"/>
    </row>
    <row r="664" spans="2:23" s="28" customFormat="1" ht="16.5" customHeight="1">
      <c r="B664" s="20"/>
      <c r="C664" s="20"/>
      <c r="D664" s="448"/>
      <c r="E664" s="32">
        <v>143238</v>
      </c>
      <c r="F664" s="37" t="s">
        <v>723</v>
      </c>
      <c r="G664" s="452"/>
      <c r="H664" s="453"/>
      <c r="I664" s="325">
        <v>549000</v>
      </c>
      <c r="J664" s="33">
        <v>143238</v>
      </c>
      <c r="K664" s="32" t="s">
        <v>71</v>
      </c>
      <c r="L664" s="32" t="s">
        <v>998</v>
      </c>
      <c r="M664" s="32">
        <v>200</v>
      </c>
      <c r="N664" s="356">
        <f>VLOOKUP(E664,'[2]Price list'!$A$2:$F$145,6,0)</f>
        <v>549000</v>
      </c>
      <c r="O664" s="28" t="b">
        <f t="shared" si="25"/>
        <v>1</v>
      </c>
      <c r="R664" s="43"/>
      <c r="S664" s="43"/>
      <c r="T664" s="43"/>
      <c r="U664" s="449"/>
      <c r="V664" s="449"/>
      <c r="W664" s="43"/>
    </row>
    <row r="665" spans="2:23" s="28" customFormat="1" ht="16.5" customHeight="1">
      <c r="B665" s="20"/>
      <c r="C665" s="20"/>
      <c r="D665" s="448"/>
      <c r="E665" s="32">
        <v>143240</v>
      </c>
      <c r="F665" s="520" t="s">
        <v>746</v>
      </c>
      <c r="G665" s="518"/>
      <c r="H665" s="519"/>
      <c r="I665" s="325">
        <v>107800</v>
      </c>
      <c r="J665" s="32">
        <v>143240</v>
      </c>
      <c r="K665" s="32" t="s">
        <v>73</v>
      </c>
      <c r="L665" s="32" t="s">
        <v>998</v>
      </c>
      <c r="M665" s="32">
        <v>16</v>
      </c>
      <c r="N665" s="356">
        <f>VLOOKUP(E665,'[2]Price list'!$A$2:$F$145,6,0)</f>
        <v>107800</v>
      </c>
      <c r="O665" s="28" t="b">
        <f t="shared" si="25"/>
        <v>1</v>
      </c>
      <c r="R665" s="43"/>
      <c r="S665" s="43"/>
      <c r="T665" s="43"/>
      <c r="U665" s="449"/>
      <c r="V665" s="449"/>
      <c r="W665" s="43"/>
    </row>
    <row r="666" spans="2:23" s="28" customFormat="1" ht="16.5" customHeight="1">
      <c r="B666" s="20"/>
      <c r="C666" s="20"/>
      <c r="D666" s="448"/>
      <c r="E666" s="32">
        <v>143241</v>
      </c>
      <c r="F666" s="37" t="s">
        <v>999</v>
      </c>
      <c r="G666" s="452"/>
      <c r="H666" s="453"/>
      <c r="I666" s="325">
        <v>131000</v>
      </c>
      <c r="J666" s="32">
        <v>143241</v>
      </c>
      <c r="K666" s="32" t="s">
        <v>70</v>
      </c>
      <c r="L666" s="32" t="s">
        <v>998</v>
      </c>
      <c r="M666" s="32">
        <v>20</v>
      </c>
      <c r="N666" s="356">
        <f>VLOOKUP(E666,'[2]Price list'!$A$2:$F$145,6,0)</f>
        <v>131000</v>
      </c>
      <c r="O666" s="28" t="b">
        <f t="shared" si="25"/>
        <v>1</v>
      </c>
      <c r="R666" s="43"/>
      <c r="S666" s="43"/>
      <c r="T666" s="43"/>
      <c r="U666" s="449"/>
      <c r="V666" s="449"/>
      <c r="W666" s="43"/>
    </row>
    <row r="667" spans="2:23" s="28" customFormat="1" ht="16.5" customHeight="1">
      <c r="B667" s="20"/>
      <c r="C667" s="20"/>
      <c r="D667" s="448"/>
      <c r="E667" s="32">
        <v>143242</v>
      </c>
      <c r="F667" s="37" t="s">
        <v>1000</v>
      </c>
      <c r="G667" s="452"/>
      <c r="H667" s="453"/>
      <c r="I667" s="325">
        <v>1300000</v>
      </c>
      <c r="J667" s="32">
        <v>143242</v>
      </c>
      <c r="K667" s="32" t="s">
        <v>71</v>
      </c>
      <c r="L667" s="32" t="s">
        <v>998</v>
      </c>
      <c r="M667" s="32">
        <v>200</v>
      </c>
      <c r="N667" s="356">
        <f>VLOOKUP(E667,'[2]Price list'!$A$2:$F$145,6,0)</f>
        <v>1300000</v>
      </c>
      <c r="O667" s="28" t="b">
        <f t="shared" si="25"/>
        <v>1</v>
      </c>
      <c r="R667" s="43"/>
      <c r="S667" s="43"/>
      <c r="T667" s="43"/>
      <c r="U667" s="449"/>
      <c r="V667" s="449"/>
      <c r="W667" s="43"/>
    </row>
    <row r="668" spans="2:23" s="28" customFormat="1" ht="16.5" customHeight="1">
      <c r="B668" s="20"/>
      <c r="C668" s="20"/>
      <c r="D668" s="448"/>
      <c r="E668" s="32">
        <v>143248</v>
      </c>
      <c r="F668" s="37" t="s">
        <v>211</v>
      </c>
      <c r="G668" s="452"/>
      <c r="H668" s="453"/>
      <c r="I668" s="325">
        <v>59400</v>
      </c>
      <c r="J668" s="33">
        <v>128857</v>
      </c>
      <c r="K668" s="32" t="s">
        <v>70</v>
      </c>
      <c r="L668" s="32" t="s">
        <v>0</v>
      </c>
      <c r="M668" s="32">
        <v>20</v>
      </c>
      <c r="N668" s="356">
        <f>VLOOKUP(E668,'[2]Price list'!$A$2:$F$145,6,0)</f>
        <v>59400</v>
      </c>
      <c r="O668" s="28" t="b">
        <f t="shared" si="25"/>
        <v>1</v>
      </c>
      <c r="R668" s="43"/>
      <c r="S668" s="43"/>
      <c r="T668" s="43"/>
      <c r="U668" s="449"/>
      <c r="V668" s="449"/>
      <c r="W668" s="43"/>
    </row>
    <row r="669" spans="2:23" s="28" customFormat="1" ht="16.5" customHeight="1">
      <c r="B669" s="20"/>
      <c r="C669" s="20"/>
      <c r="D669" s="448"/>
      <c r="E669" s="32">
        <v>143249</v>
      </c>
      <c r="F669" s="37" t="s">
        <v>212</v>
      </c>
      <c r="G669" s="452"/>
      <c r="H669" s="453"/>
      <c r="I669" s="325">
        <v>59400</v>
      </c>
      <c r="J669" s="33">
        <v>143249</v>
      </c>
      <c r="K669" s="32" t="s">
        <v>70</v>
      </c>
      <c r="L669" s="32" t="s">
        <v>0</v>
      </c>
      <c r="M669" s="32">
        <v>20</v>
      </c>
      <c r="N669" s="356">
        <f>VLOOKUP(E669,'[2]Price list'!$A$2:$F$145,6,0)</f>
        <v>59400</v>
      </c>
      <c r="O669" s="28" t="b">
        <f t="shared" si="25"/>
        <v>1</v>
      </c>
      <c r="R669" s="43"/>
      <c r="S669" s="43"/>
      <c r="T669" s="43"/>
      <c r="U669" s="449"/>
      <c r="V669" s="449"/>
      <c r="W669" s="43"/>
    </row>
    <row r="670" spans="2:23" s="28" customFormat="1" ht="16.5" customHeight="1">
      <c r="B670" s="20"/>
      <c r="C670" s="20"/>
      <c r="D670" s="448"/>
      <c r="E670" s="32">
        <v>143250</v>
      </c>
      <c r="F670" s="37" t="s">
        <v>136</v>
      </c>
      <c r="G670" s="452"/>
      <c r="H670" s="453"/>
      <c r="I670" s="325">
        <v>581000</v>
      </c>
      <c r="J670" s="32">
        <v>143250</v>
      </c>
      <c r="K670" s="32" t="s">
        <v>71</v>
      </c>
      <c r="L670" s="32" t="s">
        <v>0</v>
      </c>
      <c r="M670" s="32">
        <v>200</v>
      </c>
      <c r="N670" s="356">
        <f>VLOOKUP(E670,'[2]Price list'!$A$2:$F$145,6,0)</f>
        <v>581000</v>
      </c>
      <c r="O670" s="28" t="b">
        <f t="shared" si="25"/>
        <v>1</v>
      </c>
      <c r="R670" s="43"/>
      <c r="S670" s="43"/>
      <c r="T670" s="43"/>
      <c r="U670" s="449"/>
      <c r="V670" s="449"/>
      <c r="W670" s="43"/>
    </row>
    <row r="671" spans="2:23" s="28" customFormat="1" ht="16.5" customHeight="1">
      <c r="B671" s="20"/>
      <c r="C671" s="20"/>
      <c r="D671" s="448"/>
      <c r="E671" s="32">
        <v>143251</v>
      </c>
      <c r="F671" s="37" t="s">
        <v>135</v>
      </c>
      <c r="G671" s="452"/>
      <c r="H671" s="453"/>
      <c r="I671" s="325">
        <v>581000</v>
      </c>
      <c r="J671" s="33">
        <v>143251</v>
      </c>
      <c r="K671" s="32" t="s">
        <v>71</v>
      </c>
      <c r="L671" s="32" t="s">
        <v>0</v>
      </c>
      <c r="M671" s="32">
        <v>200</v>
      </c>
      <c r="N671" s="356">
        <f>VLOOKUP(E671,'[2]Price list'!$A$2:$F$145,6,0)</f>
        <v>581000</v>
      </c>
      <c r="O671" s="28" t="b">
        <f t="shared" si="25"/>
        <v>1</v>
      </c>
      <c r="R671" s="43"/>
      <c r="S671" s="43"/>
      <c r="T671" s="43"/>
      <c r="U671" s="449"/>
      <c r="V671" s="449"/>
      <c r="W671" s="43"/>
    </row>
    <row r="672" spans="2:23" s="28" customFormat="1" ht="16.5" customHeight="1">
      <c r="B672" s="20"/>
      <c r="C672" s="20"/>
      <c r="D672" s="448"/>
      <c r="E672" s="32">
        <v>143314</v>
      </c>
      <c r="F672" s="37" t="s">
        <v>1001</v>
      </c>
      <c r="G672" s="452"/>
      <c r="H672" s="453"/>
      <c r="I672" s="325">
        <v>63300</v>
      </c>
      <c r="J672" s="32">
        <v>143314</v>
      </c>
      <c r="K672" s="32" t="s">
        <v>73</v>
      </c>
      <c r="L672" s="32" t="s">
        <v>35</v>
      </c>
      <c r="M672" s="32">
        <v>12</v>
      </c>
      <c r="N672" s="356">
        <f>VLOOKUP(E672,'[2]Price list'!$A$2:$F$145,6,0)</f>
        <v>63300</v>
      </c>
      <c r="O672" s="28" t="b">
        <f t="shared" si="25"/>
        <v>1</v>
      </c>
      <c r="R672" s="43"/>
      <c r="S672" s="43"/>
      <c r="T672" s="43"/>
      <c r="U672" s="449"/>
      <c r="V672" s="449"/>
      <c r="W672" s="43"/>
    </row>
    <row r="673" spans="2:23" s="28" customFormat="1" ht="16.5" customHeight="1">
      <c r="B673" s="20"/>
      <c r="C673" s="20"/>
      <c r="D673" s="448"/>
      <c r="E673" s="32">
        <v>143330</v>
      </c>
      <c r="F673" s="520" t="s">
        <v>1002</v>
      </c>
      <c r="G673" s="452"/>
      <c r="H673" s="453"/>
      <c r="I673" s="325">
        <v>82700</v>
      </c>
      <c r="J673" s="32">
        <v>143330</v>
      </c>
      <c r="K673" s="32" t="s">
        <v>73</v>
      </c>
      <c r="L673" s="32" t="s">
        <v>0</v>
      </c>
      <c r="M673" s="32">
        <v>16</v>
      </c>
      <c r="N673" s="356">
        <f>VLOOKUP(E673,'[2]Price list'!$A$2:$F$145,6,0)</f>
        <v>82700</v>
      </c>
      <c r="O673" s="28" t="b">
        <f t="shared" si="25"/>
        <v>1</v>
      </c>
      <c r="R673" s="43"/>
      <c r="S673" s="43"/>
      <c r="T673" s="43"/>
      <c r="U673" s="449"/>
      <c r="V673" s="449"/>
      <c r="W673" s="43"/>
    </row>
    <row r="674" spans="2:23" s="28" customFormat="1" ht="16.5" customHeight="1">
      <c r="B674" s="20"/>
      <c r="C674" s="20"/>
      <c r="D674" s="448"/>
      <c r="E674" s="32">
        <v>143331</v>
      </c>
      <c r="F674" s="37" t="s">
        <v>1003</v>
      </c>
      <c r="G674" s="452"/>
      <c r="H674" s="453"/>
      <c r="I674" s="325">
        <v>100200</v>
      </c>
      <c r="J674" s="32">
        <v>143331</v>
      </c>
      <c r="K674" s="32" t="s">
        <v>70</v>
      </c>
      <c r="L674" s="32" t="s">
        <v>0</v>
      </c>
      <c r="M674" s="32">
        <v>20</v>
      </c>
      <c r="N674" s="356">
        <f>VLOOKUP(E674,'[2]Price list'!$A$2:$F$145,6,0)</f>
        <v>100200</v>
      </c>
      <c r="O674" s="28" t="b">
        <f t="shared" si="25"/>
        <v>1</v>
      </c>
      <c r="R674" s="43"/>
      <c r="S674" s="43"/>
      <c r="T674" s="43"/>
      <c r="U674" s="449"/>
      <c r="V674" s="449"/>
      <c r="W674" s="43"/>
    </row>
    <row r="675" spans="2:23" s="28" customFormat="1" ht="16.5" customHeight="1">
      <c r="B675" s="20"/>
      <c r="C675" s="20"/>
      <c r="D675" s="448"/>
      <c r="E675" s="32">
        <v>143332</v>
      </c>
      <c r="F675" s="37" t="s">
        <v>1004</v>
      </c>
      <c r="G675" s="518"/>
      <c r="H675" s="519"/>
      <c r="I675" s="325">
        <v>969000</v>
      </c>
      <c r="J675" s="32">
        <v>143332</v>
      </c>
      <c r="K675" s="32" t="s">
        <v>71</v>
      </c>
      <c r="L675" s="32" t="s">
        <v>0</v>
      </c>
      <c r="M675" s="32">
        <v>200</v>
      </c>
      <c r="N675" s="356">
        <f>VLOOKUP(E675,'[2]Price list'!$A$2:$F$145,6,0)</f>
        <v>969000</v>
      </c>
      <c r="O675" s="28" t="b">
        <f t="shared" si="25"/>
        <v>1</v>
      </c>
      <c r="R675" s="43"/>
      <c r="S675" s="43"/>
      <c r="T675" s="43"/>
      <c r="U675" s="449"/>
      <c r="V675" s="449"/>
      <c r="W675" s="43"/>
    </row>
    <row r="676" spans="2:23" s="28" customFormat="1" ht="16.5" customHeight="1">
      <c r="B676" s="20"/>
      <c r="C676" s="20"/>
      <c r="D676" s="448"/>
      <c r="E676" s="32">
        <v>143334</v>
      </c>
      <c r="F676" s="37" t="s">
        <v>204</v>
      </c>
      <c r="G676" s="452"/>
      <c r="H676" s="453"/>
      <c r="I676" s="325">
        <v>0</v>
      </c>
      <c r="J676" s="33">
        <v>143334</v>
      </c>
      <c r="K676" s="32" t="s">
        <v>73</v>
      </c>
      <c r="L676" s="32" t="s">
        <v>998</v>
      </c>
      <c r="M676" s="32">
        <v>16</v>
      </c>
      <c r="N676" s="356" t="e">
        <f>VLOOKUP(E676,'[2]Price list'!$A$2:$F$145,6,0)</f>
        <v>#N/A</v>
      </c>
      <c r="O676" s="28" t="e">
        <f t="shared" si="25"/>
        <v>#N/A</v>
      </c>
      <c r="R676" s="43"/>
      <c r="S676" s="43"/>
      <c r="T676" s="43"/>
      <c r="U676" s="449"/>
      <c r="V676" s="449"/>
      <c r="W676" s="43"/>
    </row>
    <row r="677" spans="2:23" s="28" customFormat="1" ht="16.5" customHeight="1">
      <c r="B677" s="20"/>
      <c r="C677" s="20"/>
      <c r="D677" s="448"/>
      <c r="E677" s="32">
        <v>144508</v>
      </c>
      <c r="F677" s="37" t="s">
        <v>1005</v>
      </c>
      <c r="G677" s="452"/>
      <c r="H677" s="453"/>
      <c r="I677" s="325">
        <v>620000</v>
      </c>
      <c r="J677" s="33">
        <v>144508</v>
      </c>
      <c r="K677" s="32" t="s">
        <v>71</v>
      </c>
      <c r="L677" s="32" t="s">
        <v>998</v>
      </c>
      <c r="M677" s="32">
        <v>200</v>
      </c>
      <c r="N677" s="356">
        <f>VLOOKUP(E677,'[2]Price list'!$A$2:$F$145,6,0)</f>
        <v>620000</v>
      </c>
      <c r="O677" s="28" t="b">
        <f t="shared" si="25"/>
        <v>1</v>
      </c>
      <c r="R677" s="43"/>
      <c r="S677" s="43"/>
      <c r="T677" s="43"/>
      <c r="U677" s="449"/>
      <c r="V677" s="449"/>
      <c r="W677" s="43"/>
    </row>
    <row r="678" spans="2:23" s="28" customFormat="1" ht="16.5" customHeight="1">
      <c r="B678" s="20"/>
      <c r="C678" s="20"/>
      <c r="D678" s="448"/>
      <c r="E678" s="32">
        <v>144507</v>
      </c>
      <c r="F678" s="37" t="s">
        <v>940</v>
      </c>
      <c r="G678" s="452"/>
      <c r="H678" s="453"/>
      <c r="I678" s="325">
        <v>65600</v>
      </c>
      <c r="J678" s="33">
        <v>144507</v>
      </c>
      <c r="K678" s="32" t="s">
        <v>70</v>
      </c>
      <c r="L678" s="32" t="s">
        <v>998</v>
      </c>
      <c r="M678" s="32">
        <v>20</v>
      </c>
      <c r="N678" s="356">
        <f>VLOOKUP(E678,'[2]Price list'!$A$2:$F$145,6,0)</f>
        <v>65600</v>
      </c>
      <c r="O678" s="28" t="b">
        <f t="shared" si="25"/>
        <v>1</v>
      </c>
      <c r="R678" s="43"/>
      <c r="S678" s="43"/>
      <c r="T678" s="43"/>
      <c r="U678" s="449"/>
      <c r="V678" s="449"/>
      <c r="W678" s="43"/>
    </row>
    <row r="679" spans="2:23" s="28" customFormat="1" ht="16.5" customHeight="1">
      <c r="B679" s="20"/>
      <c r="C679" s="20"/>
      <c r="D679" s="448"/>
      <c r="E679" s="32">
        <v>143396</v>
      </c>
      <c r="F679" s="37" t="s">
        <v>157</v>
      </c>
      <c r="G679" s="452"/>
      <c r="H679" s="453"/>
      <c r="I679" s="325">
        <v>60500</v>
      </c>
      <c r="J679" s="33">
        <v>143396</v>
      </c>
      <c r="K679" s="32" t="s">
        <v>73</v>
      </c>
      <c r="L679" s="32" t="s">
        <v>977</v>
      </c>
      <c r="M679" s="32">
        <v>18</v>
      </c>
      <c r="N679" s="356">
        <f>VLOOKUP(E679,'[2]Price list'!$A$2:$F$145,6,0)</f>
        <v>60500</v>
      </c>
      <c r="O679" s="28" t="b">
        <f t="shared" si="25"/>
        <v>1</v>
      </c>
      <c r="R679" s="43"/>
      <c r="S679" s="43"/>
      <c r="T679" s="43"/>
      <c r="U679" s="449"/>
      <c r="V679" s="449"/>
      <c r="W679" s="43"/>
    </row>
    <row r="680" spans="2:23" s="28" customFormat="1" ht="16.5" customHeight="1">
      <c r="B680" s="20"/>
      <c r="C680" s="20"/>
      <c r="D680" s="448"/>
      <c r="E680" s="32">
        <v>143397</v>
      </c>
      <c r="F680" s="37" t="s">
        <v>172</v>
      </c>
      <c r="G680" s="452"/>
      <c r="H680" s="453"/>
      <c r="I680" s="325">
        <v>64200</v>
      </c>
      <c r="J680" s="33">
        <v>143397</v>
      </c>
      <c r="K680" s="32" t="s">
        <v>73</v>
      </c>
      <c r="L680" s="32" t="s">
        <v>977</v>
      </c>
      <c r="M680" s="32">
        <v>18</v>
      </c>
      <c r="N680" s="356">
        <f>VLOOKUP(E680,'[2]Price list'!$A$2:$F$145,6,0)</f>
        <v>64200</v>
      </c>
      <c r="O680" s="28" t="b">
        <f t="shared" si="25"/>
        <v>1</v>
      </c>
      <c r="R680" s="43"/>
      <c r="S680" s="43"/>
      <c r="T680" s="43"/>
      <c r="U680" s="449"/>
      <c r="V680" s="449"/>
      <c r="W680" s="43"/>
    </row>
    <row r="681" spans="2:23" s="28" customFormat="1" ht="16.5" customHeight="1">
      <c r="B681" s="20"/>
      <c r="C681" s="20"/>
      <c r="D681" s="448"/>
      <c r="E681" s="32">
        <v>143398</v>
      </c>
      <c r="F681" s="37" t="s">
        <v>160</v>
      </c>
      <c r="G681" s="452"/>
      <c r="H681" s="453"/>
      <c r="I681" s="325">
        <v>47800</v>
      </c>
      <c r="J681" s="33">
        <v>143398</v>
      </c>
      <c r="K681" s="32" t="s">
        <v>73</v>
      </c>
      <c r="L681" s="32" t="s">
        <v>35</v>
      </c>
      <c r="M681" s="32">
        <v>18</v>
      </c>
      <c r="N681" s="356">
        <f>VLOOKUP(E681,'[2]Price list'!$A$2:$F$145,6,0)</f>
        <v>50800</v>
      </c>
      <c r="O681" s="28" t="b">
        <f t="shared" si="25"/>
        <v>0</v>
      </c>
      <c r="R681" s="43"/>
      <c r="S681" s="43"/>
      <c r="T681" s="43"/>
      <c r="U681" s="449"/>
      <c r="V681" s="449"/>
      <c r="W681" s="43"/>
    </row>
    <row r="682" spans="2:23" s="28" customFormat="1" ht="16.5" customHeight="1">
      <c r="B682" s="20"/>
      <c r="C682" s="20"/>
      <c r="D682" s="448"/>
      <c r="E682" s="32">
        <v>143487</v>
      </c>
      <c r="F682" s="37" t="s">
        <v>1006</v>
      </c>
      <c r="G682" s="452"/>
      <c r="H682" s="453"/>
      <c r="I682" s="325">
        <v>124000</v>
      </c>
      <c r="J682" s="33">
        <v>143487</v>
      </c>
      <c r="K682" s="32" t="s">
        <v>73</v>
      </c>
      <c r="L682" s="32" t="s">
        <v>977</v>
      </c>
      <c r="M682" s="32">
        <v>12</v>
      </c>
      <c r="N682" s="356">
        <f>VLOOKUP(E682,'[2]Price list'!$A$2:$F$145,6,0)</f>
        <v>124000</v>
      </c>
      <c r="O682" s="28" t="b">
        <f t="shared" ref="O682:O723" si="26">I682=N682</f>
        <v>1</v>
      </c>
      <c r="R682" s="43"/>
      <c r="S682" s="43"/>
      <c r="T682" s="43"/>
      <c r="U682" s="449"/>
      <c r="V682" s="449"/>
      <c r="W682" s="43"/>
    </row>
    <row r="683" spans="2:23" s="28" customFormat="1" ht="16.5" customHeight="1">
      <c r="B683" s="20"/>
      <c r="C683" s="20"/>
      <c r="D683" s="448"/>
      <c r="E683" s="32">
        <v>143518</v>
      </c>
      <c r="F683" s="37" t="s">
        <v>1007</v>
      </c>
      <c r="G683" s="452"/>
      <c r="H683" s="453"/>
      <c r="I683" s="325">
        <v>124000</v>
      </c>
      <c r="J683" s="32">
        <v>143518</v>
      </c>
      <c r="K683" s="32" t="s">
        <v>73</v>
      </c>
      <c r="L683" s="32" t="s">
        <v>35</v>
      </c>
      <c r="M683" s="32">
        <v>12</v>
      </c>
      <c r="N683" s="356" t="e">
        <f>VLOOKUP(E683,'[2]Price list'!$A$2:$F$145,6,0)</f>
        <v>#N/A</v>
      </c>
      <c r="O683" s="28" t="e">
        <f t="shared" si="26"/>
        <v>#N/A</v>
      </c>
      <c r="R683" s="43"/>
      <c r="S683" s="43"/>
      <c r="T683" s="43"/>
      <c r="U683" s="449"/>
      <c r="V683" s="449"/>
      <c r="W683" s="43"/>
    </row>
    <row r="684" spans="2:23" s="28" customFormat="1" ht="16.5" customHeight="1">
      <c r="B684" s="20"/>
      <c r="C684" s="20"/>
      <c r="D684" s="448"/>
      <c r="E684" s="32">
        <v>143533</v>
      </c>
      <c r="F684" s="37" t="s">
        <v>188</v>
      </c>
      <c r="G684" s="452"/>
      <c r="H684" s="453"/>
      <c r="I684" s="325">
        <v>124000</v>
      </c>
      <c r="J684" s="32">
        <v>143533</v>
      </c>
      <c r="K684" s="32" t="s">
        <v>73</v>
      </c>
      <c r="L684" s="32" t="s">
        <v>35</v>
      </c>
      <c r="M684" s="32">
        <v>12</v>
      </c>
      <c r="N684" s="356">
        <f>VLOOKUP(E684,'[2]Price list'!$A$2:$F$145,6,0)</f>
        <v>124000</v>
      </c>
      <c r="O684" s="28" t="b">
        <f t="shared" si="26"/>
        <v>1</v>
      </c>
      <c r="R684" s="43"/>
      <c r="S684" s="43"/>
      <c r="T684" s="43"/>
      <c r="U684" s="449"/>
      <c r="V684" s="449"/>
      <c r="W684" s="43"/>
    </row>
    <row r="685" spans="2:23" s="28" customFormat="1" ht="16.5" customHeight="1">
      <c r="B685" s="20"/>
      <c r="C685" s="20"/>
      <c r="D685" s="448"/>
      <c r="E685" s="32">
        <v>143534</v>
      </c>
      <c r="F685" s="37" t="s">
        <v>180</v>
      </c>
      <c r="G685" s="452"/>
      <c r="H685" s="453"/>
      <c r="I685" s="325">
        <v>124000</v>
      </c>
      <c r="J685" s="33">
        <v>143534</v>
      </c>
      <c r="K685" s="32" t="s">
        <v>73</v>
      </c>
      <c r="L685" s="32" t="s">
        <v>35</v>
      </c>
      <c r="M685" s="32">
        <v>12</v>
      </c>
      <c r="N685" s="356">
        <f>VLOOKUP(E685,'[2]Price list'!$A$2:$F$145,6,0)</f>
        <v>124000</v>
      </c>
      <c r="O685" s="28" t="b">
        <f t="shared" si="26"/>
        <v>1</v>
      </c>
      <c r="R685" s="43"/>
      <c r="S685" s="43"/>
      <c r="T685" s="43"/>
      <c r="U685" s="449"/>
      <c r="V685" s="449"/>
      <c r="W685" s="43"/>
    </row>
    <row r="686" spans="2:23" s="28" customFormat="1" ht="16.5" customHeight="1">
      <c r="B686" s="20"/>
      <c r="C686" s="20"/>
      <c r="D686" s="448"/>
      <c r="E686" s="32">
        <v>147392</v>
      </c>
      <c r="F686" s="37" t="s">
        <v>1008</v>
      </c>
      <c r="G686" s="452"/>
      <c r="H686" s="453"/>
      <c r="I686" s="325">
        <v>124000</v>
      </c>
      <c r="J686" s="33">
        <v>143535</v>
      </c>
      <c r="K686" s="32" t="s">
        <v>73</v>
      </c>
      <c r="L686" s="32" t="s">
        <v>35</v>
      </c>
      <c r="M686" s="32">
        <v>12</v>
      </c>
      <c r="N686" s="356" t="e">
        <f>VLOOKUP(E686,'[2]Price list'!$A$2:$F$145,6,0)</f>
        <v>#N/A</v>
      </c>
      <c r="O686" s="28" t="e">
        <f t="shared" si="26"/>
        <v>#N/A</v>
      </c>
      <c r="R686" s="43"/>
      <c r="S686" s="43"/>
      <c r="T686" s="43"/>
      <c r="U686" s="449"/>
      <c r="V686" s="449"/>
      <c r="W686" s="43"/>
    </row>
    <row r="687" spans="2:23" s="28" customFormat="1" ht="16.5" customHeight="1">
      <c r="B687" s="20"/>
      <c r="C687" s="20"/>
      <c r="D687" s="448"/>
      <c r="E687" s="32">
        <v>144620</v>
      </c>
      <c r="F687" s="37" t="s">
        <v>1009</v>
      </c>
      <c r="G687" s="452"/>
      <c r="H687" s="453"/>
      <c r="I687" s="325">
        <v>50300</v>
      </c>
      <c r="J687" s="32">
        <v>144620</v>
      </c>
      <c r="K687" s="32" t="s">
        <v>73</v>
      </c>
      <c r="L687" s="32" t="s">
        <v>35</v>
      </c>
      <c r="M687" s="32">
        <v>12</v>
      </c>
      <c r="N687" s="356">
        <f>VLOOKUP(E687,'[2]Price list'!$A$2:$F$145,6,0)</f>
        <v>50300</v>
      </c>
      <c r="O687" s="28" t="b">
        <f t="shared" si="26"/>
        <v>1</v>
      </c>
      <c r="R687" s="43"/>
      <c r="S687" s="43"/>
      <c r="T687" s="43"/>
      <c r="U687" s="449"/>
      <c r="V687" s="449"/>
      <c r="W687" s="43"/>
    </row>
    <row r="688" spans="2:23" s="28" customFormat="1" ht="16.5" customHeight="1">
      <c r="B688" s="20"/>
      <c r="C688" s="20"/>
      <c r="D688" s="448"/>
      <c r="E688" s="32">
        <v>143789</v>
      </c>
      <c r="F688" s="37" t="s">
        <v>727</v>
      </c>
      <c r="G688" s="452"/>
      <c r="H688" s="453"/>
      <c r="I688" s="325">
        <v>0</v>
      </c>
      <c r="J688" s="32">
        <v>143789</v>
      </c>
      <c r="K688" s="32" t="s">
        <v>71</v>
      </c>
      <c r="L688" s="32" t="s">
        <v>0</v>
      </c>
      <c r="M688" s="32">
        <v>200</v>
      </c>
      <c r="N688" s="356" t="e">
        <f>VLOOKUP(E688,'[2]Price list'!$A$2:$F$145,6,0)</f>
        <v>#N/A</v>
      </c>
      <c r="O688" s="28" t="e">
        <f t="shared" si="26"/>
        <v>#N/A</v>
      </c>
      <c r="R688" s="43"/>
      <c r="S688" s="43"/>
      <c r="T688" s="43"/>
      <c r="U688" s="449"/>
      <c r="V688" s="449"/>
      <c r="W688" s="43"/>
    </row>
    <row r="689" spans="2:23" s="28" customFormat="1" ht="16.5" customHeight="1">
      <c r="B689" s="20"/>
      <c r="C689" s="20"/>
      <c r="D689" s="448"/>
      <c r="E689" s="32">
        <v>143891</v>
      </c>
      <c r="F689" s="37" t="s">
        <v>1010</v>
      </c>
      <c r="G689" s="452"/>
      <c r="H689" s="453"/>
      <c r="I689" s="325">
        <v>70100</v>
      </c>
      <c r="J689" s="32">
        <v>143891</v>
      </c>
      <c r="K689" s="32" t="s">
        <v>72</v>
      </c>
      <c r="L689" s="32" t="s">
        <v>35</v>
      </c>
      <c r="M689" s="32">
        <v>12</v>
      </c>
      <c r="N689" s="356">
        <f>VLOOKUP(E689,'[2]Price list'!$A$2:$F$145,6,0)</f>
        <v>70100</v>
      </c>
      <c r="O689" s="28" t="b">
        <f t="shared" si="26"/>
        <v>1</v>
      </c>
      <c r="R689" s="43"/>
      <c r="S689" s="43"/>
      <c r="T689" s="43"/>
      <c r="U689" s="449"/>
      <c r="V689" s="449"/>
      <c r="W689" s="43"/>
    </row>
    <row r="690" spans="2:23" s="28" customFormat="1" ht="16.5" customHeight="1">
      <c r="B690" s="20"/>
      <c r="C690" s="20"/>
      <c r="D690" s="448"/>
      <c r="E690" s="32">
        <v>143892</v>
      </c>
      <c r="F690" s="37" t="s">
        <v>1011</v>
      </c>
      <c r="G690" s="452"/>
      <c r="H690" s="453"/>
      <c r="I690" s="325">
        <v>1067000</v>
      </c>
      <c r="J690" s="33">
        <v>143892</v>
      </c>
      <c r="K690" s="32" t="s">
        <v>71</v>
      </c>
      <c r="L690" s="32" t="s">
        <v>35</v>
      </c>
      <c r="M690" s="32">
        <v>200</v>
      </c>
      <c r="N690" s="356">
        <f>VLOOKUP(E690,'[2]Price list'!$A$2:$F$145,6,0)</f>
        <v>1067000</v>
      </c>
      <c r="O690" s="28" t="b">
        <f t="shared" si="26"/>
        <v>1</v>
      </c>
      <c r="R690" s="43"/>
      <c r="S690" s="43"/>
      <c r="T690" s="43"/>
      <c r="U690" s="449"/>
      <c r="V690" s="449"/>
      <c r="W690" s="43"/>
    </row>
    <row r="691" spans="2:23" s="28" customFormat="1" ht="16.5" customHeight="1">
      <c r="B691" s="20"/>
      <c r="C691" s="20"/>
      <c r="D691" s="448"/>
      <c r="E691" s="32">
        <v>143901</v>
      </c>
      <c r="F691" s="37" t="s">
        <v>1012</v>
      </c>
      <c r="G691" s="452"/>
      <c r="H691" s="453"/>
      <c r="I691" s="325">
        <v>728000</v>
      </c>
      <c r="J691" s="32">
        <v>143901</v>
      </c>
      <c r="K691" s="32" t="s">
        <v>71</v>
      </c>
      <c r="L691" s="32" t="s">
        <v>1013</v>
      </c>
      <c r="M691" s="32">
        <v>200</v>
      </c>
      <c r="N691" s="356">
        <f>VLOOKUP(E691,'[2]Price list'!$A$2:$F$145,6,0)</f>
        <v>728000</v>
      </c>
      <c r="O691" s="28" t="b">
        <f t="shared" si="26"/>
        <v>1</v>
      </c>
      <c r="R691" s="43"/>
      <c r="S691" s="43"/>
      <c r="T691" s="43"/>
      <c r="U691" s="449"/>
      <c r="V691" s="449"/>
      <c r="W691" s="43"/>
    </row>
    <row r="692" spans="2:23" s="28" customFormat="1" ht="16.5" customHeight="1">
      <c r="B692" s="20"/>
      <c r="C692" s="20"/>
      <c r="D692" s="448"/>
      <c r="E692" s="32">
        <v>143902</v>
      </c>
      <c r="F692" s="37" t="s">
        <v>916</v>
      </c>
      <c r="G692" s="452"/>
      <c r="H692" s="453"/>
      <c r="I692" s="325">
        <v>76500</v>
      </c>
      <c r="J692" s="32">
        <v>143902</v>
      </c>
      <c r="K692" s="32" t="s">
        <v>70</v>
      </c>
      <c r="L692" s="32" t="s">
        <v>1013</v>
      </c>
      <c r="M692" s="32">
        <v>20</v>
      </c>
      <c r="N692" s="356">
        <f>VLOOKUP(E692,'[2]Price list'!$A$2:$F$145,6,0)</f>
        <v>76500</v>
      </c>
      <c r="O692" s="28" t="b">
        <f t="shared" si="26"/>
        <v>1</v>
      </c>
      <c r="R692" s="43"/>
      <c r="S692" s="43"/>
      <c r="T692" s="43"/>
      <c r="U692" s="449"/>
      <c r="V692" s="449"/>
      <c r="W692" s="43"/>
    </row>
    <row r="693" spans="2:23" s="28" customFormat="1" ht="16.5" customHeight="1">
      <c r="B693" s="20"/>
      <c r="C693" s="20"/>
      <c r="D693" s="448"/>
      <c r="E693" s="32">
        <v>143903</v>
      </c>
      <c r="F693" s="37" t="s">
        <v>918</v>
      </c>
      <c r="G693" s="452"/>
      <c r="H693" s="453"/>
      <c r="I693" s="325">
        <v>66100</v>
      </c>
      <c r="J693" s="32">
        <v>143903</v>
      </c>
      <c r="K693" s="32" t="s">
        <v>73</v>
      </c>
      <c r="L693" s="32" t="s">
        <v>1013</v>
      </c>
      <c r="M693" s="32">
        <v>16</v>
      </c>
      <c r="N693" s="356">
        <f>VLOOKUP(E693,'[2]Price list'!$A$2:$F$145,6,0)</f>
        <v>66100</v>
      </c>
      <c r="O693" s="28" t="b">
        <f t="shared" si="26"/>
        <v>1</v>
      </c>
      <c r="R693" s="43"/>
      <c r="S693" s="43"/>
      <c r="T693" s="43"/>
      <c r="U693" s="449"/>
      <c r="V693" s="449"/>
      <c r="W693" s="43"/>
    </row>
    <row r="694" spans="2:23" s="28" customFormat="1" ht="16.5" customHeight="1">
      <c r="B694" s="20"/>
      <c r="C694" s="20"/>
      <c r="D694" s="448"/>
      <c r="E694" s="32">
        <v>144160</v>
      </c>
      <c r="F694" s="37" t="s">
        <v>1014</v>
      </c>
      <c r="G694" s="452"/>
      <c r="H694" s="453"/>
      <c r="I694" s="325">
        <v>124000</v>
      </c>
      <c r="J694" s="33">
        <v>144160</v>
      </c>
      <c r="K694" s="32" t="s">
        <v>72</v>
      </c>
      <c r="L694" s="32" t="s">
        <v>35</v>
      </c>
      <c r="M694" s="32">
        <v>12</v>
      </c>
      <c r="N694" s="356" t="e">
        <f>VLOOKUP(E694,'[2]Price list'!$A$2:$F$145,6,0)</f>
        <v>#N/A</v>
      </c>
      <c r="O694" s="28" t="e">
        <f t="shared" si="26"/>
        <v>#N/A</v>
      </c>
      <c r="R694" s="43"/>
      <c r="S694" s="43"/>
      <c r="T694" s="43"/>
      <c r="U694" s="449"/>
      <c r="V694" s="449"/>
      <c r="W694" s="43"/>
    </row>
    <row r="695" spans="2:23" s="28" customFormat="1" ht="16.5" customHeight="1">
      <c r="B695" s="20"/>
      <c r="C695" s="20"/>
      <c r="D695" s="448"/>
      <c r="E695" s="32">
        <v>144185</v>
      </c>
      <c r="F695" s="37" t="s">
        <v>1015</v>
      </c>
      <c r="G695" s="452"/>
      <c r="H695" s="453"/>
      <c r="I695" s="325">
        <v>119000</v>
      </c>
      <c r="J695" s="33">
        <v>144185</v>
      </c>
      <c r="K695" s="32" t="s">
        <v>70</v>
      </c>
      <c r="L695" s="32" t="s">
        <v>1016</v>
      </c>
      <c r="M695" s="32">
        <v>20</v>
      </c>
      <c r="N695" s="356">
        <f>VLOOKUP(E695,'[2]Price list'!$A$2:$F$145,6,0)</f>
        <v>119000</v>
      </c>
      <c r="O695" s="28" t="b">
        <f t="shared" si="26"/>
        <v>1</v>
      </c>
      <c r="R695" s="43"/>
      <c r="S695" s="43"/>
      <c r="T695" s="43"/>
      <c r="U695" s="449"/>
      <c r="V695" s="449"/>
      <c r="W695" s="43"/>
    </row>
    <row r="696" spans="2:23" s="28" customFormat="1" ht="16.5" customHeight="1">
      <c r="B696" s="20"/>
      <c r="C696" s="20"/>
      <c r="D696" s="448"/>
      <c r="E696" s="32">
        <v>147643</v>
      </c>
      <c r="F696" s="520" t="s">
        <v>959</v>
      </c>
      <c r="G696" s="452"/>
      <c r="H696" s="453"/>
      <c r="I696" s="325">
        <v>666000</v>
      </c>
      <c r="J696" s="32">
        <v>144186</v>
      </c>
      <c r="K696" s="32" t="s">
        <v>71</v>
      </c>
      <c r="L696" s="32" t="s">
        <v>35</v>
      </c>
      <c r="M696" s="32">
        <v>200</v>
      </c>
      <c r="N696" s="356" t="e">
        <f>VLOOKUP(E696,'[2]Price list'!$A$2:$F$145,6,0)</f>
        <v>#N/A</v>
      </c>
      <c r="O696" s="28" t="e">
        <f t="shared" si="26"/>
        <v>#N/A</v>
      </c>
      <c r="R696" s="43"/>
      <c r="S696" s="43"/>
      <c r="T696" s="43"/>
      <c r="U696" s="449"/>
      <c r="V696" s="449"/>
      <c r="W696" s="43"/>
    </row>
    <row r="697" spans="2:23" s="28" customFormat="1" ht="16.5" customHeight="1">
      <c r="B697" s="20"/>
      <c r="C697" s="20"/>
      <c r="D697" s="448"/>
      <c r="E697" s="32">
        <v>147644</v>
      </c>
      <c r="F697" s="37" t="s">
        <v>1017</v>
      </c>
      <c r="G697" s="452"/>
      <c r="H697" s="453"/>
      <c r="I697" s="325">
        <v>69000</v>
      </c>
      <c r="J697" s="32">
        <v>144187</v>
      </c>
      <c r="K697" s="32" t="s">
        <v>70</v>
      </c>
      <c r="L697" s="32" t="s">
        <v>35</v>
      </c>
      <c r="M697" s="32">
        <v>20</v>
      </c>
      <c r="N697" s="356" t="e">
        <f>VLOOKUP(E697,'[2]Price list'!$A$2:$F$145,6,0)</f>
        <v>#N/A</v>
      </c>
      <c r="O697" s="28" t="e">
        <f t="shared" si="26"/>
        <v>#N/A</v>
      </c>
      <c r="R697" s="43"/>
      <c r="S697" s="43"/>
      <c r="T697" s="43"/>
      <c r="U697" s="449"/>
      <c r="V697" s="449"/>
      <c r="W697" s="43"/>
    </row>
    <row r="698" spans="2:23" s="28" customFormat="1" ht="16.5" customHeight="1">
      <c r="B698" s="20"/>
      <c r="C698" s="20"/>
      <c r="D698" s="448"/>
      <c r="E698" s="32">
        <v>147645</v>
      </c>
      <c r="F698" s="520" t="s">
        <v>1018</v>
      </c>
      <c r="G698" s="452"/>
      <c r="H698" s="453"/>
      <c r="I698" s="325">
        <v>47600</v>
      </c>
      <c r="J698" s="32">
        <v>144188</v>
      </c>
      <c r="K698" s="32" t="s">
        <v>72</v>
      </c>
      <c r="L698" s="32" t="s">
        <v>35</v>
      </c>
      <c r="M698" s="32">
        <v>12</v>
      </c>
      <c r="N698" s="356" t="e">
        <f>VLOOKUP(E698,'[2]Price list'!$A$2:$F$145,6,0)</f>
        <v>#N/A</v>
      </c>
      <c r="O698" s="28" t="e">
        <f t="shared" si="26"/>
        <v>#N/A</v>
      </c>
      <c r="R698" s="43"/>
      <c r="S698" s="43"/>
      <c r="T698" s="43"/>
      <c r="U698" s="449"/>
      <c r="V698" s="449"/>
      <c r="W698" s="43"/>
    </row>
    <row r="699" spans="2:23" s="28" customFormat="1" ht="16.5" customHeight="1">
      <c r="B699" s="20"/>
      <c r="C699" s="20"/>
      <c r="D699" s="448"/>
      <c r="E699" s="32">
        <v>144208</v>
      </c>
      <c r="F699" s="37" t="s">
        <v>1019</v>
      </c>
      <c r="G699" s="518"/>
      <c r="H699" s="519"/>
      <c r="I699" s="325">
        <v>78900</v>
      </c>
      <c r="J699" s="32">
        <v>144208</v>
      </c>
      <c r="K699" s="32" t="s">
        <v>72</v>
      </c>
      <c r="L699" s="32" t="s">
        <v>35</v>
      </c>
      <c r="M699" s="32">
        <v>12</v>
      </c>
      <c r="N699" s="356">
        <f>VLOOKUP(E699,'[2]Price list'!$A$2:$F$145,6,0)</f>
        <v>78900</v>
      </c>
      <c r="O699" s="28" t="b">
        <f t="shared" si="26"/>
        <v>1</v>
      </c>
      <c r="R699" s="43"/>
      <c r="S699" s="43"/>
      <c r="T699" s="43"/>
      <c r="U699" s="449"/>
      <c r="V699" s="449"/>
      <c r="W699" s="43"/>
    </row>
    <row r="700" spans="2:23" s="28" customFormat="1" ht="16.5" customHeight="1">
      <c r="B700" s="20"/>
      <c r="C700" s="20"/>
      <c r="D700" s="448"/>
      <c r="E700" s="32">
        <v>148675</v>
      </c>
      <c r="F700" s="37" t="s">
        <v>1020</v>
      </c>
      <c r="G700" s="452"/>
      <c r="H700" s="453"/>
      <c r="I700" s="325">
        <v>1067000</v>
      </c>
      <c r="J700" s="33">
        <v>148675</v>
      </c>
      <c r="K700" s="32" t="s">
        <v>71</v>
      </c>
      <c r="L700" s="32" t="s">
        <v>35</v>
      </c>
      <c r="M700" s="32">
        <v>200</v>
      </c>
      <c r="N700" s="356" t="e">
        <f>VLOOKUP(E700,'[2]Price list'!$A$2:$F$145,6,0)</f>
        <v>#N/A</v>
      </c>
      <c r="O700" s="28" t="e">
        <f t="shared" si="26"/>
        <v>#N/A</v>
      </c>
      <c r="R700" s="43"/>
      <c r="S700" s="43"/>
      <c r="T700" s="43"/>
      <c r="U700" s="449"/>
      <c r="V700" s="449"/>
      <c r="W700" s="43"/>
    </row>
    <row r="701" spans="2:23" s="28" customFormat="1" ht="16.5" customHeight="1">
      <c r="B701" s="20"/>
      <c r="C701" s="20"/>
      <c r="D701" s="448"/>
      <c r="E701" s="32">
        <v>144220</v>
      </c>
      <c r="F701" s="37" t="s">
        <v>935</v>
      </c>
      <c r="G701" s="452"/>
      <c r="H701" s="453"/>
      <c r="I701" s="325">
        <v>70100</v>
      </c>
      <c r="J701" s="33">
        <v>144220</v>
      </c>
      <c r="K701" s="32" t="s">
        <v>72</v>
      </c>
      <c r="L701" s="32" t="s">
        <v>35</v>
      </c>
      <c r="M701" s="32">
        <v>12</v>
      </c>
      <c r="N701" s="356">
        <f>VLOOKUP(E701,'[2]Price list'!$A$2:$F$145,6,0)</f>
        <v>70100</v>
      </c>
      <c r="O701" s="28" t="b">
        <f t="shared" si="26"/>
        <v>1</v>
      </c>
      <c r="R701" s="43"/>
      <c r="S701" s="43"/>
      <c r="T701" s="43"/>
      <c r="U701" s="449"/>
      <c r="V701" s="449"/>
      <c r="W701" s="43"/>
    </row>
    <row r="702" spans="2:23" s="28" customFormat="1" ht="16.5" customHeight="1">
      <c r="B702" s="20"/>
      <c r="C702" s="20"/>
      <c r="D702" s="448"/>
      <c r="E702" s="32">
        <v>148286</v>
      </c>
      <c r="F702" s="458" t="s">
        <v>914</v>
      </c>
      <c r="G702" s="452"/>
      <c r="H702" s="453"/>
      <c r="I702" s="325">
        <v>66500</v>
      </c>
      <c r="J702" s="33">
        <v>144255</v>
      </c>
      <c r="K702" s="32" t="s">
        <v>72</v>
      </c>
      <c r="L702" s="32" t="s">
        <v>35</v>
      </c>
      <c r="M702" s="32">
        <v>12</v>
      </c>
      <c r="N702" s="356" t="e">
        <f>VLOOKUP(E702,'[2]Price list'!$A$2:$F$145,6,0)</f>
        <v>#N/A</v>
      </c>
      <c r="O702" s="28" t="e">
        <f t="shared" si="26"/>
        <v>#N/A</v>
      </c>
      <c r="R702" s="43"/>
      <c r="S702" s="43"/>
      <c r="T702" s="43"/>
      <c r="U702" s="449"/>
      <c r="V702" s="449"/>
      <c r="W702" s="43"/>
    </row>
    <row r="703" spans="2:23" s="28" customFormat="1" ht="16.5" customHeight="1">
      <c r="B703" s="20"/>
      <c r="C703" s="20"/>
      <c r="D703" s="448"/>
      <c r="E703" s="32">
        <v>148287</v>
      </c>
      <c r="F703" s="37" t="s">
        <v>1021</v>
      </c>
      <c r="G703" s="452"/>
      <c r="H703" s="453"/>
      <c r="I703" s="325">
        <v>1021000</v>
      </c>
      <c r="J703" s="33">
        <v>144256</v>
      </c>
      <c r="K703" s="32" t="s">
        <v>71</v>
      </c>
      <c r="L703" s="32" t="s">
        <v>35</v>
      </c>
      <c r="M703" s="32">
        <v>200</v>
      </c>
      <c r="N703" s="356" t="e">
        <f>VLOOKUP(E703,'[2]Price list'!$A$2:$F$145,6,0)</f>
        <v>#N/A</v>
      </c>
      <c r="O703" s="28" t="e">
        <f t="shared" si="26"/>
        <v>#N/A</v>
      </c>
      <c r="R703" s="43"/>
      <c r="S703" s="43"/>
      <c r="T703" s="43"/>
      <c r="U703" s="449"/>
      <c r="V703" s="449"/>
      <c r="W703" s="43"/>
    </row>
    <row r="704" spans="2:23" s="28" customFormat="1" ht="16.5" customHeight="1">
      <c r="B704" s="20"/>
      <c r="C704" s="20"/>
      <c r="D704" s="448"/>
      <c r="E704" s="32">
        <v>144531</v>
      </c>
      <c r="F704" s="37" t="s">
        <v>941</v>
      </c>
      <c r="G704" s="452"/>
      <c r="H704" s="453"/>
      <c r="I704" s="325">
        <v>55200</v>
      </c>
      <c r="J704" s="33">
        <v>144531</v>
      </c>
      <c r="K704" s="32" t="s">
        <v>70</v>
      </c>
      <c r="L704" s="32" t="s">
        <v>1013</v>
      </c>
      <c r="M704" s="32">
        <v>20</v>
      </c>
      <c r="N704" s="356">
        <f>VLOOKUP(E704,'[2]Price list'!$A$2:$F$145,6,0)</f>
        <v>55200</v>
      </c>
      <c r="O704" s="28" t="b">
        <f t="shared" si="26"/>
        <v>1</v>
      </c>
      <c r="R704" s="43"/>
      <c r="S704" s="43"/>
      <c r="T704" s="43"/>
      <c r="U704" s="449"/>
      <c r="V704" s="449"/>
      <c r="W704" s="43"/>
    </row>
    <row r="705" spans="2:24" s="28" customFormat="1" ht="16.5" customHeight="1">
      <c r="B705" s="20"/>
      <c r="C705" s="20"/>
      <c r="D705" s="448"/>
      <c r="E705" s="32">
        <v>144532</v>
      </c>
      <c r="F705" s="37" t="s">
        <v>1022</v>
      </c>
      <c r="G705" s="452"/>
      <c r="H705" s="453"/>
      <c r="I705" s="325">
        <v>520000</v>
      </c>
      <c r="J705" s="33">
        <v>144532</v>
      </c>
      <c r="K705" s="32" t="s">
        <v>71</v>
      </c>
      <c r="L705" s="32" t="s">
        <v>1013</v>
      </c>
      <c r="M705" s="32">
        <v>200</v>
      </c>
      <c r="N705" s="356">
        <f>VLOOKUP(E705,'[2]Price list'!$A$2:$F$145,6,0)</f>
        <v>520000</v>
      </c>
      <c r="O705" s="28" t="b">
        <f t="shared" si="26"/>
        <v>1</v>
      </c>
      <c r="R705" s="43"/>
      <c r="S705" s="43"/>
      <c r="T705" s="43"/>
      <c r="U705" s="449"/>
      <c r="V705" s="449"/>
      <c r="W705" s="43"/>
    </row>
    <row r="706" spans="2:24" s="28" customFormat="1" ht="16.5" customHeight="1">
      <c r="B706" s="20"/>
      <c r="C706" s="20"/>
      <c r="D706" s="448"/>
      <c r="E706" s="32">
        <v>144506</v>
      </c>
      <c r="F706" s="37" t="s">
        <v>934</v>
      </c>
      <c r="G706" s="452"/>
      <c r="H706" s="453"/>
      <c r="I706" s="325">
        <v>55500</v>
      </c>
      <c r="J706" s="33">
        <v>144506</v>
      </c>
      <c r="K706" s="32" t="s">
        <v>72</v>
      </c>
      <c r="L706" s="32" t="s">
        <v>0</v>
      </c>
      <c r="M706" s="32">
        <v>16</v>
      </c>
      <c r="N706" s="356">
        <f>VLOOKUP(E706,'[2]Price list'!$A$2:$F$145,6,0)</f>
        <v>55500</v>
      </c>
      <c r="O706" s="28" t="b">
        <f t="shared" si="26"/>
        <v>1</v>
      </c>
      <c r="R706" s="43"/>
      <c r="S706" s="43"/>
      <c r="T706" s="43"/>
      <c r="U706" s="449"/>
      <c r="V706" s="449"/>
      <c r="W706" s="43"/>
    </row>
    <row r="707" spans="2:24" s="28" customFormat="1" ht="16.5" customHeight="1">
      <c r="B707" s="20"/>
      <c r="C707" s="20"/>
      <c r="D707" s="448"/>
      <c r="E707" s="32">
        <v>144508</v>
      </c>
      <c r="F707" s="37" t="s">
        <v>1005</v>
      </c>
      <c r="G707" s="452"/>
      <c r="H707" s="453"/>
      <c r="I707" s="325">
        <v>620000</v>
      </c>
      <c r="J707" s="33">
        <v>144508</v>
      </c>
      <c r="K707" s="32" t="s">
        <v>71</v>
      </c>
      <c r="L707" s="32" t="s">
        <v>0</v>
      </c>
      <c r="M707" s="32">
        <v>200</v>
      </c>
      <c r="N707" s="356">
        <f>VLOOKUP(E707,'[2]Price list'!$A$2:$F$145,6,0)</f>
        <v>620000</v>
      </c>
      <c r="O707" s="28" t="b">
        <f t="shared" si="26"/>
        <v>1</v>
      </c>
      <c r="R707" s="43"/>
      <c r="S707" s="43"/>
      <c r="T707" s="43"/>
      <c r="U707" s="449"/>
      <c r="V707" s="449"/>
      <c r="W707" s="43"/>
    </row>
    <row r="708" spans="2:24" s="28" customFormat="1" ht="16.5" customHeight="1">
      <c r="B708" s="20"/>
      <c r="C708" s="20"/>
      <c r="D708" s="448"/>
      <c r="E708" s="32">
        <v>144507</v>
      </c>
      <c r="F708" s="37" t="s">
        <v>940</v>
      </c>
      <c r="G708" s="452"/>
      <c r="H708" s="453"/>
      <c r="I708" s="325">
        <v>65600</v>
      </c>
      <c r="J708" s="33">
        <v>144507</v>
      </c>
      <c r="K708" s="32" t="s">
        <v>70</v>
      </c>
      <c r="L708" s="32" t="s">
        <v>0</v>
      </c>
      <c r="M708" s="32">
        <v>20</v>
      </c>
      <c r="N708" s="356">
        <f>VLOOKUP(E708,'[2]Price list'!$A$2:$F$145,6,0)</f>
        <v>65600</v>
      </c>
      <c r="O708" s="28" t="b">
        <f t="shared" si="26"/>
        <v>1</v>
      </c>
      <c r="R708" s="43"/>
      <c r="S708" s="43"/>
      <c r="T708" s="43"/>
      <c r="U708" s="449"/>
      <c r="V708" s="449"/>
      <c r="W708" s="43"/>
    </row>
    <row r="709" spans="2:24" s="28" customFormat="1" ht="16.5" customHeight="1">
      <c r="B709" s="20"/>
      <c r="C709" s="20"/>
      <c r="D709" s="448"/>
      <c r="E709" s="32">
        <v>141874</v>
      </c>
      <c r="F709" s="37" t="s">
        <v>1023</v>
      </c>
      <c r="G709" s="452"/>
      <c r="H709" s="453"/>
      <c r="I709" s="325">
        <v>200000</v>
      </c>
      <c r="J709" s="32">
        <v>141874</v>
      </c>
      <c r="K709" s="32" t="s">
        <v>70</v>
      </c>
      <c r="L709" s="32" t="s">
        <v>1013</v>
      </c>
      <c r="M709" s="32">
        <v>20</v>
      </c>
      <c r="N709" s="356">
        <f>VLOOKUP(E709,'[2]Price list'!$A$2:$F$145,6,0)</f>
        <v>200000</v>
      </c>
      <c r="O709" s="28" t="b">
        <f t="shared" si="26"/>
        <v>1</v>
      </c>
      <c r="R709" s="43"/>
      <c r="S709" s="43"/>
      <c r="T709" s="43"/>
      <c r="U709" s="449"/>
      <c r="V709" s="449"/>
      <c r="W709" s="43"/>
    </row>
    <row r="710" spans="2:24" s="28" customFormat="1" ht="16.5" customHeight="1">
      <c r="B710" s="20"/>
      <c r="C710" s="20"/>
      <c r="D710" s="448"/>
      <c r="E710" s="32">
        <v>145476</v>
      </c>
      <c r="F710" s="37" t="s">
        <v>1024</v>
      </c>
      <c r="G710" s="452"/>
      <c r="H710" s="453"/>
      <c r="I710" s="62">
        <v>50300</v>
      </c>
      <c r="J710" s="32">
        <v>145476</v>
      </c>
      <c r="K710" s="32" t="s">
        <v>72</v>
      </c>
      <c r="L710" s="32" t="s">
        <v>35</v>
      </c>
      <c r="M710" s="32">
        <v>12</v>
      </c>
      <c r="N710" s="356">
        <f>VLOOKUP(E710,'[2]Price list'!$A$2:$F$145,6,0)</f>
        <v>50300</v>
      </c>
      <c r="O710" s="28" t="b">
        <f t="shared" si="26"/>
        <v>1</v>
      </c>
      <c r="R710" s="43"/>
      <c r="S710" s="43"/>
      <c r="T710" s="43"/>
      <c r="U710" s="449"/>
      <c r="V710" s="449"/>
      <c r="W710" s="43"/>
    </row>
    <row r="711" spans="2:24" s="28" customFormat="1" ht="16.5" customHeight="1">
      <c r="B711" s="20"/>
      <c r="C711" s="20"/>
      <c r="D711" s="448"/>
      <c r="E711" s="32">
        <v>145477</v>
      </c>
      <c r="F711" s="37" t="s">
        <v>1025</v>
      </c>
      <c r="G711" s="452"/>
      <c r="H711" s="453"/>
      <c r="I711" s="325">
        <v>755000</v>
      </c>
      <c r="J711" s="32">
        <v>145477</v>
      </c>
      <c r="K711" s="32" t="s">
        <v>71</v>
      </c>
      <c r="L711" s="32" t="s">
        <v>35</v>
      </c>
      <c r="M711" s="32">
        <v>200</v>
      </c>
      <c r="N711" s="356">
        <f>VLOOKUP(E711,'[2]Price list'!$A$2:$F$145,6,0)</f>
        <v>755000</v>
      </c>
      <c r="O711" s="28" t="b">
        <f t="shared" si="26"/>
        <v>1</v>
      </c>
      <c r="R711" s="43"/>
      <c r="S711" s="43"/>
      <c r="T711" s="43"/>
      <c r="U711" s="449"/>
      <c r="V711" s="449"/>
      <c r="W711" s="43"/>
    </row>
    <row r="712" spans="2:24" s="28" customFormat="1" ht="16.5" customHeight="1">
      <c r="B712" s="20"/>
      <c r="C712" s="20"/>
      <c r="D712" s="448"/>
      <c r="E712" s="32">
        <v>145419</v>
      </c>
      <c r="F712" s="37" t="s">
        <v>1026</v>
      </c>
      <c r="G712" s="452"/>
      <c r="H712" s="453"/>
      <c r="I712" s="325">
        <v>44500</v>
      </c>
      <c r="J712" s="32">
        <v>145419</v>
      </c>
      <c r="K712" s="32" t="s">
        <v>73</v>
      </c>
      <c r="L712" s="32" t="s">
        <v>0</v>
      </c>
      <c r="M712" s="32">
        <v>16</v>
      </c>
      <c r="N712" s="356">
        <f>VLOOKUP(E712,'[2]Price list'!$A$2:$F$145,6,0)</f>
        <v>45900</v>
      </c>
      <c r="O712" s="28" t="b">
        <f t="shared" si="26"/>
        <v>0</v>
      </c>
      <c r="R712" s="43"/>
      <c r="S712" s="43"/>
      <c r="T712" s="43"/>
      <c r="U712" s="449"/>
      <c r="V712" s="449"/>
      <c r="W712" s="43"/>
    </row>
    <row r="713" spans="2:24" s="28" customFormat="1" ht="16.5" customHeight="1">
      <c r="B713" s="20"/>
      <c r="C713" s="20"/>
      <c r="D713" s="448"/>
      <c r="E713" s="32">
        <v>143222</v>
      </c>
      <c r="F713" s="37" t="s">
        <v>1027</v>
      </c>
      <c r="G713" s="452"/>
      <c r="H713" s="453"/>
      <c r="I713" s="325">
        <v>48000</v>
      </c>
      <c r="J713" s="33">
        <v>143222</v>
      </c>
      <c r="K713" s="32" t="s">
        <v>73</v>
      </c>
      <c r="L713" s="32" t="s">
        <v>35</v>
      </c>
      <c r="M713" s="32">
        <v>16</v>
      </c>
      <c r="N713" s="356">
        <f>VLOOKUP(E713,'[2]Price list'!$A$2:$F$145,6,0)</f>
        <v>48000</v>
      </c>
      <c r="O713" s="28" t="b">
        <f t="shared" si="26"/>
        <v>1</v>
      </c>
      <c r="R713" s="43"/>
      <c r="S713" s="43"/>
      <c r="T713" s="43"/>
      <c r="U713" s="449"/>
      <c r="V713" s="449"/>
      <c r="W713" s="43"/>
    </row>
    <row r="714" spans="2:24" s="28" customFormat="1" ht="16.5" customHeight="1">
      <c r="B714" s="20"/>
      <c r="C714" s="20"/>
      <c r="D714" s="448"/>
      <c r="E714" s="32">
        <v>145991</v>
      </c>
      <c r="F714" s="37" t="s">
        <v>1028</v>
      </c>
      <c r="G714" s="452"/>
      <c r="H714" s="453"/>
      <c r="I714" s="325">
        <v>34300</v>
      </c>
      <c r="J714" s="33">
        <v>145991</v>
      </c>
      <c r="K714" s="32" t="s">
        <v>70</v>
      </c>
      <c r="L714" s="32" t="s">
        <v>34</v>
      </c>
      <c r="M714" s="32">
        <v>20</v>
      </c>
      <c r="N714" s="356">
        <f>VLOOKUP(E714,'[2]Price list'!$A$2:$F$145,6,0)</f>
        <v>34200</v>
      </c>
      <c r="O714" s="28" t="b">
        <f t="shared" si="26"/>
        <v>0</v>
      </c>
      <c r="R714" s="43"/>
      <c r="S714" s="43"/>
      <c r="T714" s="43"/>
      <c r="U714" s="449"/>
      <c r="V714" s="449"/>
      <c r="W714" s="43"/>
    </row>
    <row r="715" spans="2:24" s="28" customFormat="1" ht="16.5" customHeight="1">
      <c r="B715" s="20"/>
      <c r="C715" s="20"/>
      <c r="D715" s="448"/>
      <c r="E715" s="32">
        <v>146012</v>
      </c>
      <c r="F715" s="37" t="s">
        <v>1029</v>
      </c>
      <c r="G715" s="452"/>
      <c r="H715" s="453"/>
      <c r="I715" s="62">
        <v>41300</v>
      </c>
      <c r="J715" s="32">
        <v>146012</v>
      </c>
      <c r="K715" s="32" t="s">
        <v>73</v>
      </c>
      <c r="L715" s="32" t="s">
        <v>35</v>
      </c>
      <c r="M715" s="32">
        <v>16</v>
      </c>
      <c r="N715" s="356">
        <f>VLOOKUP(E715,'[2]Price list'!$A$2:$F$145,6,0)</f>
        <v>41300</v>
      </c>
      <c r="O715" s="28" t="b">
        <f t="shared" si="26"/>
        <v>1</v>
      </c>
      <c r="R715" s="43"/>
      <c r="S715" s="43"/>
      <c r="T715" s="43"/>
      <c r="U715" s="449"/>
      <c r="V715" s="449"/>
      <c r="W715" s="43"/>
    </row>
    <row r="716" spans="2:24" s="28" customFormat="1" ht="16.5" customHeight="1">
      <c r="B716" s="20"/>
      <c r="C716" s="20"/>
      <c r="D716" s="448"/>
      <c r="E716" s="32">
        <v>148162</v>
      </c>
      <c r="F716" s="37" t="s">
        <v>1030</v>
      </c>
      <c r="G716" s="452"/>
      <c r="H716" s="453"/>
      <c r="I716" s="325">
        <v>456000</v>
      </c>
      <c r="J716" s="32">
        <v>148162</v>
      </c>
      <c r="K716" s="32" t="s">
        <v>71</v>
      </c>
      <c r="L716" s="32" t="s">
        <v>35</v>
      </c>
      <c r="M716" s="32">
        <v>200</v>
      </c>
      <c r="N716" s="356" t="e">
        <f>VLOOKUP(E716,'[2]Price list'!$A$2:$F$145,6,0)</f>
        <v>#N/A</v>
      </c>
      <c r="O716" s="28" t="e">
        <f t="shared" si="26"/>
        <v>#N/A</v>
      </c>
      <c r="R716" s="43"/>
      <c r="S716" s="43"/>
      <c r="T716" s="43"/>
      <c r="U716" s="449"/>
      <c r="V716" s="449"/>
      <c r="W716" s="43"/>
    </row>
    <row r="717" spans="2:24" s="28" customFormat="1" ht="16.5" customHeight="1">
      <c r="B717" s="20"/>
      <c r="C717" s="20"/>
      <c r="D717" s="448"/>
      <c r="E717" s="282">
        <v>145921</v>
      </c>
      <c r="F717" s="37" t="s">
        <v>988</v>
      </c>
      <c r="G717" s="452"/>
      <c r="H717" s="453"/>
      <c r="I717" s="62">
        <v>118000</v>
      </c>
      <c r="J717" s="282">
        <v>145921</v>
      </c>
      <c r="K717" s="32" t="s">
        <v>73</v>
      </c>
      <c r="L717" s="32" t="s">
        <v>35</v>
      </c>
      <c r="M717" s="32">
        <v>12</v>
      </c>
      <c r="N717" s="356" t="e">
        <f>VLOOKUP(E717,'[2]Price list'!$A$2:$F$145,6,0)</f>
        <v>#N/A</v>
      </c>
      <c r="O717" s="28" t="e">
        <f t="shared" si="26"/>
        <v>#N/A</v>
      </c>
      <c r="R717" s="43"/>
      <c r="S717" s="43"/>
      <c r="T717" s="43"/>
      <c r="U717" s="449"/>
      <c r="V717" s="449"/>
      <c r="W717" s="43"/>
    </row>
    <row r="718" spans="2:24" s="28" customFormat="1" ht="16.5" customHeight="1">
      <c r="B718" s="20"/>
      <c r="C718" s="20"/>
      <c r="D718" s="448"/>
      <c r="E718" s="32">
        <v>145920</v>
      </c>
      <c r="F718" s="37" t="s">
        <v>1031</v>
      </c>
      <c r="G718" s="452"/>
      <c r="H718" s="453"/>
      <c r="I718" s="62">
        <v>118000</v>
      </c>
      <c r="J718" s="32">
        <v>145920</v>
      </c>
      <c r="K718" s="32" t="s">
        <v>73</v>
      </c>
      <c r="L718" s="32" t="s">
        <v>35</v>
      </c>
      <c r="M718" s="32">
        <v>12</v>
      </c>
      <c r="N718" s="356" t="e">
        <f>VLOOKUP(E718,'[2]Price list'!$A$2:$F$145,6,0)</f>
        <v>#N/A</v>
      </c>
      <c r="O718" s="28" t="e">
        <f t="shared" si="26"/>
        <v>#N/A</v>
      </c>
      <c r="R718" s="43"/>
      <c r="S718" s="43"/>
      <c r="T718" s="43"/>
      <c r="U718" s="449"/>
      <c r="V718" s="449"/>
      <c r="W718" s="43"/>
      <c r="X718" s="42"/>
    </row>
    <row r="719" spans="2:24" s="28" customFormat="1" ht="16.5" customHeight="1">
      <c r="B719" s="20"/>
      <c r="C719" s="20"/>
      <c r="D719" s="448"/>
      <c r="E719" s="32">
        <v>146254</v>
      </c>
      <c r="F719" s="37" t="s">
        <v>167</v>
      </c>
      <c r="G719" s="452"/>
      <c r="H719" s="453"/>
      <c r="I719" s="62">
        <v>118000</v>
      </c>
      <c r="J719" s="33">
        <v>146254</v>
      </c>
      <c r="K719" s="32" t="s">
        <v>73</v>
      </c>
      <c r="L719" s="32" t="s">
        <v>35</v>
      </c>
      <c r="M719" s="32">
        <v>12</v>
      </c>
      <c r="N719" s="356">
        <f>VLOOKUP(E719,'[2]Price list'!$A$2:$F$145,6,0)</f>
        <v>118000</v>
      </c>
      <c r="O719" s="28" t="b">
        <f t="shared" si="26"/>
        <v>1</v>
      </c>
      <c r="R719" s="43"/>
      <c r="S719" s="43"/>
      <c r="T719" s="43"/>
      <c r="U719" s="449"/>
      <c r="V719" s="449"/>
      <c r="W719" s="43"/>
      <c r="X719" s="42"/>
    </row>
    <row r="720" spans="2:24" s="28" customFormat="1" ht="16.5" customHeight="1">
      <c r="B720" s="20"/>
      <c r="C720" s="20"/>
      <c r="D720" s="448"/>
      <c r="E720" s="32">
        <v>146235</v>
      </c>
      <c r="F720" s="37" t="s">
        <v>1032</v>
      </c>
      <c r="G720" s="452"/>
      <c r="H720" s="453"/>
      <c r="I720" s="62">
        <v>124000</v>
      </c>
      <c r="J720" s="33">
        <v>146235</v>
      </c>
      <c r="K720" s="32" t="s">
        <v>73</v>
      </c>
      <c r="L720" s="32" t="s">
        <v>35</v>
      </c>
      <c r="M720" s="32">
        <v>12</v>
      </c>
      <c r="N720" s="356">
        <f>VLOOKUP(E720,'[2]Price list'!$A$2:$F$145,6,0)</f>
        <v>124000</v>
      </c>
      <c r="O720" s="28" t="b">
        <f t="shared" si="26"/>
        <v>1</v>
      </c>
      <c r="R720" s="43"/>
      <c r="S720" s="43"/>
      <c r="T720" s="43"/>
      <c r="U720" s="449"/>
      <c r="V720" s="449"/>
      <c r="W720" s="43"/>
    </row>
    <row r="721" spans="2:24" s="28" customFormat="1" ht="16.5" customHeight="1">
      <c r="B721" s="20"/>
      <c r="C721" s="20"/>
      <c r="D721" s="448"/>
      <c r="E721" s="32">
        <v>146272</v>
      </c>
      <c r="F721" s="37" t="s">
        <v>1033</v>
      </c>
      <c r="G721" s="452"/>
      <c r="H721" s="453"/>
      <c r="I721" s="62">
        <v>118000</v>
      </c>
      <c r="J721" s="33">
        <v>146272</v>
      </c>
      <c r="K721" s="32" t="s">
        <v>73</v>
      </c>
      <c r="L721" s="32" t="s">
        <v>35</v>
      </c>
      <c r="M721" s="32">
        <v>12</v>
      </c>
      <c r="N721" s="356" t="e">
        <f>VLOOKUP(E721,'[2]Price list'!$A$2:$F$145,6,0)</f>
        <v>#N/A</v>
      </c>
      <c r="O721" s="28" t="e">
        <f t="shared" si="26"/>
        <v>#N/A</v>
      </c>
      <c r="R721" s="43"/>
      <c r="S721" s="43"/>
      <c r="T721" s="43"/>
      <c r="U721" s="449"/>
      <c r="V721" s="449"/>
      <c r="W721" s="43"/>
      <c r="X721" s="42"/>
    </row>
    <row r="722" spans="2:24" s="28" customFormat="1" ht="16.5" customHeight="1">
      <c r="B722" s="20"/>
      <c r="C722" s="20"/>
      <c r="D722" s="448"/>
      <c r="E722" s="32">
        <v>148681</v>
      </c>
      <c r="F722" s="37" t="s">
        <v>1034</v>
      </c>
      <c r="G722" s="452"/>
      <c r="H722" s="453"/>
      <c r="I722" s="325">
        <v>65400</v>
      </c>
      <c r="J722" s="33">
        <v>148681</v>
      </c>
      <c r="K722" s="32" t="s">
        <v>70</v>
      </c>
      <c r="L722" s="32" t="s">
        <v>0</v>
      </c>
      <c r="M722" s="32">
        <v>20</v>
      </c>
      <c r="N722" s="356" t="e">
        <f>VLOOKUP(E722,'[2]Price list'!$A$2:$F$145,6,0)</f>
        <v>#N/A</v>
      </c>
      <c r="O722" s="28" t="e">
        <f t="shared" si="26"/>
        <v>#N/A</v>
      </c>
      <c r="R722" s="43"/>
      <c r="S722" s="43"/>
      <c r="T722" s="43"/>
      <c r="U722" s="449"/>
      <c r="V722" s="449"/>
      <c r="W722" s="43"/>
    </row>
    <row r="723" spans="2:24" s="28" customFormat="1" ht="16.5" customHeight="1">
      <c r="B723" s="20"/>
      <c r="C723" s="20"/>
      <c r="D723" s="448"/>
      <c r="E723" s="32">
        <v>146703</v>
      </c>
      <c r="F723" s="37" t="s">
        <v>1035</v>
      </c>
      <c r="G723" s="452"/>
      <c r="H723" s="453"/>
      <c r="I723" s="325">
        <v>635000</v>
      </c>
      <c r="J723" s="33">
        <v>146703</v>
      </c>
      <c r="K723" s="32" t="s">
        <v>1036</v>
      </c>
      <c r="L723" s="32" t="s">
        <v>0</v>
      </c>
      <c r="M723" s="32">
        <v>200</v>
      </c>
      <c r="N723" s="356">
        <f>VLOOKUP(E723,'[2]Price list'!$A$2:$F$145,6,0)</f>
        <v>635000</v>
      </c>
      <c r="O723" s="28" t="b">
        <f t="shared" si="26"/>
        <v>1</v>
      </c>
      <c r="R723" s="43"/>
      <c r="S723" s="43"/>
      <c r="T723" s="43"/>
      <c r="U723" s="449"/>
      <c r="V723" s="449"/>
      <c r="W723" s="43"/>
    </row>
    <row r="724" spans="2:24" s="28" customFormat="1" ht="16.5" customHeight="1">
      <c r="B724" s="20"/>
      <c r="C724" s="20"/>
      <c r="D724" s="448"/>
      <c r="E724" s="32">
        <v>147644</v>
      </c>
      <c r="F724" s="37" t="s">
        <v>1037</v>
      </c>
      <c r="G724" s="452"/>
      <c r="H724" s="453"/>
      <c r="I724" s="62">
        <v>69000</v>
      </c>
      <c r="J724" s="33">
        <v>147644</v>
      </c>
      <c r="K724" s="32" t="s">
        <v>1038</v>
      </c>
      <c r="L724" s="32" t="s">
        <v>0</v>
      </c>
      <c r="M724" s="32">
        <v>20</v>
      </c>
      <c r="N724" s="356"/>
      <c r="R724" s="43"/>
      <c r="S724" s="43"/>
      <c r="T724" s="43"/>
      <c r="U724" s="449"/>
      <c r="V724" s="449"/>
      <c r="W724" s="43"/>
      <c r="X724" s="42"/>
    </row>
    <row r="725" spans="2:24" s="28" customFormat="1" ht="16.5" customHeight="1">
      <c r="B725" s="20"/>
      <c r="C725" s="20"/>
      <c r="D725" s="448"/>
      <c r="E725" s="32">
        <v>146718</v>
      </c>
      <c r="F725" s="37" t="s">
        <v>1039</v>
      </c>
      <c r="G725" s="452"/>
      <c r="H725" s="453"/>
      <c r="I725" s="62">
        <v>131000</v>
      </c>
      <c r="J725" s="32">
        <v>146718</v>
      </c>
      <c r="K725" s="421" t="s">
        <v>70</v>
      </c>
      <c r="L725" s="32" t="s">
        <v>35</v>
      </c>
      <c r="M725" s="32">
        <v>20</v>
      </c>
      <c r="N725" s="356"/>
      <c r="R725" s="43"/>
      <c r="S725" s="43"/>
      <c r="T725" s="43"/>
      <c r="U725" s="449"/>
      <c r="V725" s="449"/>
      <c r="W725" s="43"/>
      <c r="X725" s="42"/>
    </row>
    <row r="726" spans="2:24" s="28" customFormat="1" ht="16.5" customHeight="1">
      <c r="B726" s="20"/>
      <c r="C726" s="20"/>
      <c r="D726" s="448"/>
      <c r="E726" s="521">
        <v>147963</v>
      </c>
      <c r="F726" s="522" t="s">
        <v>1040</v>
      </c>
      <c r="G726" s="452"/>
      <c r="H726" s="453"/>
      <c r="I726" s="523">
        <v>60100</v>
      </c>
      <c r="J726" s="521">
        <v>147963</v>
      </c>
      <c r="K726" s="32" t="s">
        <v>73</v>
      </c>
      <c r="L726" s="32" t="s">
        <v>35</v>
      </c>
      <c r="M726" s="32">
        <v>12</v>
      </c>
      <c r="N726" s="356"/>
      <c r="R726" s="43"/>
      <c r="S726" s="43"/>
      <c r="T726" s="43"/>
      <c r="U726" s="449"/>
      <c r="V726" s="449"/>
      <c r="W726" s="43"/>
      <c r="X726" s="42"/>
    </row>
    <row r="727" spans="2:24" s="28" customFormat="1" ht="16.5" customHeight="1">
      <c r="B727" s="20"/>
      <c r="C727" s="20"/>
      <c r="D727" s="448"/>
      <c r="E727" s="524">
        <v>147384</v>
      </c>
      <c r="F727" s="522" t="s">
        <v>1041</v>
      </c>
      <c r="G727" s="452"/>
      <c r="H727" s="453"/>
      <c r="I727" s="325">
        <v>124000</v>
      </c>
      <c r="J727" s="524">
        <v>147384</v>
      </c>
      <c r="K727" s="525" t="s">
        <v>73</v>
      </c>
      <c r="L727" s="32" t="s">
        <v>35</v>
      </c>
      <c r="M727" s="32">
        <v>12</v>
      </c>
      <c r="N727" s="356"/>
      <c r="R727" s="43"/>
      <c r="S727" s="43"/>
      <c r="T727" s="43"/>
      <c r="U727" s="449"/>
      <c r="V727" s="449"/>
      <c r="W727" s="43"/>
      <c r="X727" s="42"/>
    </row>
    <row r="728" spans="2:24" s="28" customFormat="1" ht="16.5" customHeight="1">
      <c r="B728" s="20"/>
      <c r="C728" s="20"/>
      <c r="D728" s="448"/>
      <c r="E728" s="32">
        <v>135477</v>
      </c>
      <c r="F728" s="37" t="s">
        <v>900</v>
      </c>
      <c r="G728" s="452"/>
      <c r="H728" s="453"/>
      <c r="I728" s="62">
        <v>2142400</v>
      </c>
      <c r="J728" s="33">
        <v>135477</v>
      </c>
      <c r="K728" s="32" t="s">
        <v>71</v>
      </c>
      <c r="L728" s="32" t="s">
        <v>35</v>
      </c>
      <c r="M728" s="32">
        <v>208</v>
      </c>
      <c r="N728" s="356"/>
      <c r="R728" s="43"/>
      <c r="S728" s="43"/>
      <c r="T728" s="43"/>
      <c r="U728" s="449"/>
      <c r="V728" s="449"/>
      <c r="W728" s="43"/>
      <c r="X728" s="42"/>
    </row>
    <row r="729" spans="2:24" s="28" customFormat="1" ht="16.5" customHeight="1">
      <c r="B729" s="20"/>
      <c r="C729" s="20"/>
      <c r="D729" s="448"/>
      <c r="E729" s="526">
        <v>138813</v>
      </c>
      <c r="F729" s="622" t="s">
        <v>1042</v>
      </c>
      <c r="G729" s="623"/>
      <c r="H729" s="624"/>
      <c r="I729" s="527">
        <v>76700</v>
      </c>
      <c r="J729" s="526">
        <v>138813</v>
      </c>
      <c r="K729" s="525" t="s">
        <v>73</v>
      </c>
      <c r="L729" s="32"/>
      <c r="M729" s="32">
        <v>12</v>
      </c>
      <c r="N729" s="356"/>
      <c r="R729" s="43"/>
      <c r="S729" s="43"/>
      <c r="T729" s="43"/>
      <c r="U729" s="449"/>
      <c r="V729" s="449"/>
      <c r="W729" s="43"/>
      <c r="X729" s="42"/>
    </row>
    <row r="730" spans="2:24" s="28" customFormat="1" ht="16.5" customHeight="1">
      <c r="B730" s="20"/>
      <c r="C730" s="20"/>
      <c r="D730" s="448"/>
      <c r="E730" s="32">
        <v>146719</v>
      </c>
      <c r="F730" s="37" t="s">
        <v>1043</v>
      </c>
      <c r="G730" s="452"/>
      <c r="H730" s="453"/>
      <c r="I730" s="62">
        <v>107800</v>
      </c>
      <c r="J730" s="33">
        <v>146719</v>
      </c>
      <c r="K730" s="525" t="s">
        <v>73</v>
      </c>
      <c r="L730" s="32" t="s">
        <v>35</v>
      </c>
      <c r="M730" s="32">
        <v>12</v>
      </c>
      <c r="N730" s="356"/>
      <c r="R730" s="43"/>
      <c r="S730" s="43"/>
      <c r="T730" s="43"/>
      <c r="U730" s="449"/>
      <c r="V730" s="449"/>
      <c r="W730" s="43"/>
      <c r="X730" s="42"/>
    </row>
    <row r="731" spans="2:24" s="28" customFormat="1" ht="16.5" customHeight="1">
      <c r="B731" s="20"/>
      <c r="C731" s="20"/>
      <c r="D731" s="448"/>
      <c r="E731" s="32">
        <v>147999</v>
      </c>
      <c r="F731" s="37" t="s">
        <v>1044</v>
      </c>
      <c r="G731" s="452"/>
      <c r="H731" s="453"/>
      <c r="I731" s="325">
        <v>1960000</v>
      </c>
      <c r="J731" s="33">
        <v>147999</v>
      </c>
      <c r="K731" s="32" t="s">
        <v>71</v>
      </c>
      <c r="L731" s="32" t="s">
        <v>35</v>
      </c>
      <c r="M731" s="32">
        <v>200</v>
      </c>
      <c r="N731" s="356"/>
      <c r="Q731" s="28">
        <v>1960000</v>
      </c>
      <c r="R731" s="43"/>
      <c r="S731" s="43"/>
      <c r="T731" s="43"/>
      <c r="U731" s="449"/>
      <c r="V731" s="449"/>
      <c r="W731" s="43"/>
      <c r="X731" s="42"/>
    </row>
    <row r="732" spans="2:24" s="28" customFormat="1" ht="16.5" customHeight="1">
      <c r="B732" s="20"/>
      <c r="C732" s="20"/>
      <c r="D732" s="448"/>
      <c r="E732" s="32">
        <v>147988</v>
      </c>
      <c r="F732" s="37" t="s">
        <v>1045</v>
      </c>
      <c r="G732" s="452"/>
      <c r="H732" s="453"/>
      <c r="I732" s="62">
        <v>100200</v>
      </c>
      <c r="J732" s="32">
        <v>147988</v>
      </c>
      <c r="K732" s="421" t="s">
        <v>70</v>
      </c>
      <c r="L732" s="32" t="s">
        <v>0</v>
      </c>
      <c r="M732" s="32">
        <v>20</v>
      </c>
      <c r="N732" s="356"/>
      <c r="R732" s="43"/>
      <c r="S732" s="43"/>
      <c r="T732" s="43"/>
      <c r="U732" s="449"/>
      <c r="V732" s="449"/>
      <c r="W732" s="43"/>
      <c r="X732" s="42"/>
    </row>
    <row r="733" spans="2:24" s="28" customFormat="1" ht="16.5" customHeight="1">
      <c r="B733" s="20"/>
      <c r="C733" s="20"/>
      <c r="D733" s="448"/>
      <c r="E733" s="32">
        <v>147987</v>
      </c>
      <c r="F733" s="37" t="s">
        <v>1046</v>
      </c>
      <c r="G733" s="452"/>
      <c r="H733" s="453"/>
      <c r="I733" s="62">
        <v>969000</v>
      </c>
      <c r="J733" s="32">
        <v>147987</v>
      </c>
      <c r="K733" s="32" t="s">
        <v>71</v>
      </c>
      <c r="L733" s="32" t="s">
        <v>0</v>
      </c>
      <c r="M733" s="32">
        <v>200</v>
      </c>
      <c r="N733" s="356"/>
      <c r="R733" s="43"/>
      <c r="S733" s="43"/>
      <c r="T733" s="43"/>
      <c r="U733" s="449"/>
      <c r="V733" s="449"/>
      <c r="W733" s="43"/>
      <c r="X733" s="42"/>
    </row>
    <row r="734" spans="2:24" s="28" customFormat="1" ht="16.5" customHeight="1">
      <c r="B734" s="20"/>
      <c r="C734" s="20"/>
      <c r="D734" s="448"/>
      <c r="E734" s="32">
        <v>147989</v>
      </c>
      <c r="F734" s="37" t="s">
        <v>1047</v>
      </c>
      <c r="G734" s="452"/>
      <c r="H734" s="453"/>
      <c r="I734" s="62">
        <v>82700</v>
      </c>
      <c r="J734" s="32">
        <v>147989</v>
      </c>
      <c r="K734" s="32" t="s">
        <v>73</v>
      </c>
      <c r="L734" s="32" t="s">
        <v>0</v>
      </c>
      <c r="M734" s="32">
        <v>16</v>
      </c>
      <c r="N734" s="356"/>
      <c r="R734" s="43"/>
      <c r="S734" s="43"/>
      <c r="T734" s="43"/>
      <c r="U734" s="449"/>
      <c r="V734" s="449"/>
      <c r="W734" s="43"/>
      <c r="X734" s="42"/>
    </row>
    <row r="735" spans="2:24" s="28" customFormat="1" ht="16.5" customHeight="1">
      <c r="B735" s="20"/>
      <c r="C735" s="20"/>
      <c r="D735" s="448"/>
      <c r="E735" s="32">
        <v>147958</v>
      </c>
      <c r="F735" s="37" t="s">
        <v>1048</v>
      </c>
      <c r="G735" s="452"/>
      <c r="H735" s="453"/>
      <c r="I735" s="62">
        <v>124000</v>
      </c>
      <c r="J735" s="32">
        <v>143958</v>
      </c>
      <c r="K735" s="32" t="s">
        <v>73</v>
      </c>
      <c r="L735" s="32" t="s">
        <v>976</v>
      </c>
      <c r="M735" s="32">
        <v>12</v>
      </c>
      <c r="N735" s="356"/>
      <c r="R735" s="43"/>
      <c r="S735" s="43"/>
      <c r="T735" s="43"/>
      <c r="U735" s="449"/>
      <c r="V735" s="449"/>
      <c r="W735" s="43"/>
      <c r="X735" s="42"/>
    </row>
    <row r="736" spans="2:24" s="28" customFormat="1" ht="16.5" customHeight="1">
      <c r="B736" s="20"/>
      <c r="C736" s="20"/>
      <c r="D736" s="448"/>
      <c r="E736" s="32">
        <v>147961</v>
      </c>
      <c r="F736" s="37" t="s">
        <v>1049</v>
      </c>
      <c r="G736" s="452"/>
      <c r="H736" s="453"/>
      <c r="I736" s="62">
        <v>124000</v>
      </c>
      <c r="J736" s="33">
        <v>147961</v>
      </c>
      <c r="K736" s="32" t="s">
        <v>73</v>
      </c>
      <c r="L736" s="32" t="s">
        <v>976</v>
      </c>
      <c r="M736" s="32">
        <v>12</v>
      </c>
      <c r="N736" s="356"/>
      <c r="R736" s="43"/>
      <c r="S736" s="43"/>
      <c r="T736" s="43"/>
      <c r="U736" s="449"/>
      <c r="V736" s="449"/>
      <c r="W736" s="43"/>
      <c r="X736" s="42"/>
    </row>
    <row r="737" spans="2:24" s="28" customFormat="1" ht="16.5" customHeight="1">
      <c r="B737" s="20"/>
      <c r="C737" s="20"/>
      <c r="D737" s="448"/>
      <c r="E737" s="32">
        <v>148159</v>
      </c>
      <c r="F737" s="37" t="s">
        <v>716</v>
      </c>
      <c r="G737" s="452"/>
      <c r="H737" s="453"/>
      <c r="I737" s="325">
        <v>512000</v>
      </c>
      <c r="J737" s="33">
        <v>148159</v>
      </c>
      <c r="K737" s="32" t="s">
        <v>71</v>
      </c>
      <c r="L737" s="32" t="s">
        <v>35</v>
      </c>
      <c r="M737" s="32">
        <v>200</v>
      </c>
      <c r="N737" s="356" t="e">
        <f>VLOOKUP(E737,'[2]Price list'!$A$2:$F$145,6,0)</f>
        <v>#N/A</v>
      </c>
      <c r="O737" s="28" t="e">
        <f t="shared" ref="O737:O738" si="27">I737=N737</f>
        <v>#N/A</v>
      </c>
      <c r="R737" s="43"/>
      <c r="S737" s="43"/>
      <c r="T737" s="43"/>
      <c r="U737" s="449"/>
      <c r="V737" s="449"/>
      <c r="W737" s="43"/>
    </row>
    <row r="738" spans="2:24" s="28" customFormat="1" ht="16.5" customHeight="1">
      <c r="B738" s="20"/>
      <c r="C738" s="20"/>
      <c r="D738" s="448"/>
      <c r="E738" s="32">
        <v>144619</v>
      </c>
      <c r="F738" s="37" t="s">
        <v>1050</v>
      </c>
      <c r="G738" s="452"/>
      <c r="H738" s="453"/>
      <c r="I738" s="325">
        <v>755000</v>
      </c>
      <c r="J738" s="33">
        <v>144619</v>
      </c>
      <c r="K738" s="32" t="s">
        <v>71</v>
      </c>
      <c r="L738" s="32" t="s">
        <v>35</v>
      </c>
      <c r="M738" s="32">
        <v>200</v>
      </c>
      <c r="N738" s="356">
        <f>VLOOKUP(E738,'[2]Price list'!$A$2:$F$145,6,0)</f>
        <v>755000</v>
      </c>
      <c r="O738" s="28" t="b">
        <f t="shared" si="27"/>
        <v>1</v>
      </c>
      <c r="R738" s="43"/>
      <c r="S738" s="43"/>
      <c r="T738" s="43"/>
      <c r="U738" s="449"/>
      <c r="V738" s="449"/>
      <c r="W738" s="43"/>
    </row>
    <row r="739" spans="2:24" s="28" customFormat="1" ht="16.5" customHeight="1">
      <c r="B739" s="20"/>
      <c r="C739" s="20"/>
      <c r="D739" s="448"/>
      <c r="E739" s="526">
        <v>147917</v>
      </c>
      <c r="F739" s="622" t="s">
        <v>1051</v>
      </c>
      <c r="G739" s="623"/>
      <c r="H739" s="624"/>
      <c r="I739" s="527">
        <v>76700</v>
      </c>
      <c r="J739" s="526">
        <v>147917</v>
      </c>
      <c r="K739" s="525" t="s">
        <v>73</v>
      </c>
      <c r="L739" s="32"/>
      <c r="M739" s="32">
        <v>12</v>
      </c>
      <c r="N739" s="356"/>
      <c r="R739" s="43"/>
      <c r="S739" s="43"/>
      <c r="T739" s="43"/>
      <c r="U739" s="449"/>
      <c r="V739" s="449"/>
      <c r="W739" s="43"/>
      <c r="X739" s="42"/>
    </row>
    <row r="740" spans="2:24" s="28" customFormat="1" ht="16.5" customHeight="1">
      <c r="B740" s="20"/>
      <c r="C740" s="20"/>
      <c r="D740" s="448"/>
      <c r="E740" s="524">
        <v>140382</v>
      </c>
      <c r="F740" s="522" t="s">
        <v>669</v>
      </c>
      <c r="G740" s="452"/>
      <c r="H740" s="453"/>
      <c r="I740" s="62">
        <v>2212000</v>
      </c>
      <c r="J740" s="33">
        <v>140382</v>
      </c>
      <c r="K740" s="32" t="s">
        <v>71</v>
      </c>
      <c r="L740" s="32" t="s">
        <v>0</v>
      </c>
      <c r="M740" s="32">
        <v>200</v>
      </c>
      <c r="N740" s="356"/>
      <c r="R740" s="43"/>
      <c r="S740" s="43"/>
      <c r="T740" s="43"/>
      <c r="U740" s="449"/>
      <c r="V740" s="449"/>
      <c r="W740" s="43"/>
      <c r="X740" s="42"/>
    </row>
    <row r="741" spans="2:24" s="28" customFormat="1" ht="16.5" customHeight="1">
      <c r="B741" s="20"/>
      <c r="C741" s="20"/>
      <c r="D741" s="448"/>
      <c r="E741" s="32">
        <v>148382</v>
      </c>
      <c r="F741" s="37" t="s">
        <v>1052</v>
      </c>
      <c r="G741" s="452"/>
      <c r="H741" s="453"/>
      <c r="I741" s="62">
        <v>74310</v>
      </c>
      <c r="J741" s="33">
        <v>148382</v>
      </c>
      <c r="K741" s="32" t="s">
        <v>73</v>
      </c>
      <c r="L741" s="32" t="s">
        <v>35</v>
      </c>
      <c r="M741" s="32">
        <v>12</v>
      </c>
      <c r="N741" s="356"/>
      <c r="R741" s="43"/>
      <c r="S741" s="43"/>
      <c r="T741" s="43"/>
      <c r="U741" s="449"/>
      <c r="V741" s="449"/>
      <c r="W741" s="43"/>
      <c r="X741" s="42"/>
    </row>
    <row r="742" spans="2:24" s="28" customFormat="1" ht="16.5" customHeight="1">
      <c r="B742" s="20"/>
      <c r="C742" s="20"/>
      <c r="D742" s="448"/>
      <c r="E742" s="32">
        <v>148383</v>
      </c>
      <c r="F742" s="37" t="s">
        <v>1053</v>
      </c>
      <c r="G742" s="452"/>
      <c r="H742" s="453"/>
      <c r="I742" s="62">
        <v>50300</v>
      </c>
      <c r="J742" s="33">
        <v>148383</v>
      </c>
      <c r="K742" s="32" t="s">
        <v>73</v>
      </c>
      <c r="L742" s="32" t="s">
        <v>35</v>
      </c>
      <c r="M742" s="32">
        <v>12</v>
      </c>
      <c r="N742" s="356"/>
      <c r="R742" s="43"/>
      <c r="S742" s="43"/>
      <c r="T742" s="43"/>
      <c r="U742" s="449"/>
      <c r="V742" s="449"/>
      <c r="W742" s="43"/>
      <c r="X742" s="42"/>
    </row>
    <row r="743" spans="2:24" s="28" customFormat="1" ht="16.5" customHeight="1">
      <c r="B743" s="20"/>
      <c r="C743" s="20"/>
      <c r="D743" s="448"/>
      <c r="E743" s="32">
        <v>148384</v>
      </c>
      <c r="F743" s="37" t="s">
        <v>1054</v>
      </c>
      <c r="G743" s="452"/>
      <c r="H743" s="453"/>
      <c r="I743" s="62">
        <v>50300</v>
      </c>
      <c r="J743" s="33">
        <v>148384</v>
      </c>
      <c r="K743" s="32" t="s">
        <v>73</v>
      </c>
      <c r="L743" s="32" t="s">
        <v>35</v>
      </c>
      <c r="M743" s="32">
        <v>12</v>
      </c>
      <c r="N743" s="356"/>
      <c r="R743" s="43"/>
      <c r="S743" s="43"/>
      <c r="T743" s="43"/>
      <c r="U743" s="449"/>
      <c r="V743" s="449"/>
      <c r="W743" s="43"/>
      <c r="X743" s="42"/>
    </row>
    <row r="744" spans="2:24" s="28" customFormat="1" ht="16.5" customHeight="1">
      <c r="B744" s="20"/>
      <c r="C744" s="20"/>
      <c r="D744" s="448"/>
      <c r="E744" s="32">
        <v>148385</v>
      </c>
      <c r="F744" s="37" t="s">
        <v>1055</v>
      </c>
      <c r="G744" s="452"/>
      <c r="H744" s="453"/>
      <c r="I744" s="325">
        <v>50300</v>
      </c>
      <c r="J744" s="33">
        <v>148385</v>
      </c>
      <c r="K744" s="32" t="s">
        <v>73</v>
      </c>
      <c r="L744" s="32" t="s">
        <v>35</v>
      </c>
      <c r="M744" s="32">
        <v>12</v>
      </c>
      <c r="N744" s="356"/>
      <c r="R744" s="43"/>
      <c r="S744" s="43"/>
      <c r="T744" s="43"/>
      <c r="U744" s="449"/>
      <c r="V744" s="449"/>
      <c r="W744" s="43"/>
      <c r="X744" s="42"/>
    </row>
    <row r="745" spans="2:24" s="28" customFormat="1" ht="16.5" customHeight="1">
      <c r="B745" s="20"/>
      <c r="C745" s="20"/>
      <c r="D745" s="448"/>
      <c r="E745" s="32"/>
      <c r="F745" s="37"/>
      <c r="G745" s="452"/>
      <c r="H745" s="453"/>
      <c r="I745" s="325"/>
      <c r="J745" s="33"/>
      <c r="K745" s="32"/>
      <c r="L745" s="32"/>
      <c r="M745" s="32"/>
      <c r="N745" s="356"/>
      <c r="R745" s="43"/>
      <c r="S745" s="43"/>
      <c r="T745" s="43"/>
      <c r="U745" s="449"/>
      <c r="V745" s="449"/>
      <c r="W745" s="43"/>
      <c r="X745" s="42"/>
    </row>
    <row r="746" spans="2:24" s="28" customFormat="1" ht="16.5" customHeight="1">
      <c r="B746" s="20"/>
      <c r="C746" s="20"/>
      <c r="D746" s="448"/>
      <c r="E746" s="32"/>
      <c r="F746" s="37"/>
      <c r="G746" s="452"/>
      <c r="H746" s="453"/>
      <c r="I746" s="325"/>
      <c r="J746" s="33"/>
      <c r="K746" s="32"/>
      <c r="L746" s="32"/>
      <c r="M746" s="32"/>
      <c r="N746" s="356"/>
      <c r="R746" s="43"/>
      <c r="S746" s="43"/>
      <c r="T746" s="43"/>
      <c r="U746" s="449"/>
      <c r="V746" s="449"/>
      <c r="W746" s="43"/>
      <c r="X746" s="42"/>
    </row>
    <row r="747" spans="2:24" s="28" customFormat="1" ht="16.5" customHeight="1">
      <c r="B747" s="20"/>
      <c r="C747" s="20"/>
      <c r="D747" s="448"/>
      <c r="E747" s="32"/>
      <c r="F747" s="37"/>
      <c r="G747" s="452"/>
      <c r="H747" s="453"/>
      <c r="I747" s="325"/>
      <c r="J747" s="33"/>
      <c r="K747" s="32"/>
      <c r="L747" s="32"/>
      <c r="M747" s="32"/>
      <c r="N747" s="356"/>
      <c r="R747" s="43"/>
      <c r="S747" s="43"/>
      <c r="T747" s="43"/>
      <c r="U747" s="449"/>
      <c r="V747" s="449"/>
      <c r="W747" s="43"/>
      <c r="X747" s="42"/>
    </row>
    <row r="748" spans="2:24" s="28" customFormat="1" ht="16.5" customHeight="1">
      <c r="B748" s="20"/>
      <c r="C748" s="20"/>
      <c r="D748" s="448"/>
      <c r="E748" s="32"/>
      <c r="F748" s="37"/>
      <c r="G748" s="452"/>
      <c r="H748" s="453"/>
      <c r="I748" s="62"/>
      <c r="J748" s="33"/>
      <c r="K748" s="32"/>
      <c r="L748" s="32"/>
      <c r="M748" s="32"/>
      <c r="N748" s="356"/>
      <c r="R748" s="43"/>
      <c r="S748" s="43"/>
      <c r="T748" s="43"/>
      <c r="U748" s="449"/>
      <c r="V748" s="449"/>
      <c r="W748" s="43"/>
      <c r="X748" s="42"/>
    </row>
    <row r="749" spans="2:24" s="28" customFormat="1" ht="16.5" customHeight="1">
      <c r="B749" s="20"/>
      <c r="C749" s="20"/>
      <c r="D749" s="448"/>
      <c r="E749" s="32"/>
      <c r="F749" s="37"/>
      <c r="G749" s="518"/>
      <c r="H749" s="519"/>
      <c r="I749" s="62"/>
      <c r="J749" s="33"/>
      <c r="K749" s="32"/>
      <c r="L749" s="32"/>
      <c r="M749" s="32"/>
      <c r="N749" s="356"/>
      <c r="R749" s="43"/>
      <c r="S749" s="43"/>
      <c r="T749" s="43"/>
      <c r="U749" s="449"/>
      <c r="V749" s="449"/>
      <c r="W749" s="43"/>
      <c r="X749" s="42"/>
    </row>
    <row r="750" spans="2:24" s="28" customFormat="1" ht="16.5" customHeight="1">
      <c r="B750" s="20"/>
      <c r="C750" s="20"/>
      <c r="D750" s="448"/>
      <c r="E750" s="32"/>
      <c r="F750" s="37"/>
      <c r="G750" s="518"/>
      <c r="H750" s="519"/>
      <c r="I750" s="325"/>
      <c r="J750" s="33"/>
      <c r="K750" s="32"/>
      <c r="L750" s="32"/>
      <c r="M750" s="32"/>
      <c r="N750" s="356"/>
      <c r="R750" s="43"/>
      <c r="S750" s="43"/>
      <c r="T750" s="43"/>
      <c r="U750" s="449"/>
      <c r="V750" s="449"/>
      <c r="W750" s="43"/>
      <c r="X750" s="42"/>
    </row>
    <row r="751" spans="2:24" s="28" customFormat="1" ht="16.5" customHeight="1">
      <c r="B751" s="20"/>
      <c r="C751" s="20"/>
      <c r="D751" s="448"/>
      <c r="E751" s="32"/>
      <c r="F751" s="37"/>
      <c r="G751" s="452"/>
      <c r="H751" s="453"/>
      <c r="I751" s="325"/>
      <c r="J751" s="32"/>
      <c r="K751" s="32"/>
      <c r="L751" s="32"/>
      <c r="M751" s="32"/>
      <c r="N751" s="356"/>
      <c r="R751" s="43"/>
      <c r="S751" s="43"/>
      <c r="T751" s="43"/>
      <c r="U751" s="449"/>
      <c r="V751" s="449"/>
      <c r="W751" s="43"/>
      <c r="X751" s="42"/>
    </row>
    <row r="752" spans="2:24" s="28" customFormat="1" ht="16.5" customHeight="1">
      <c r="B752" s="20"/>
      <c r="C752" s="20"/>
      <c r="D752" s="448"/>
      <c r="E752" s="32"/>
      <c r="F752" s="37"/>
      <c r="G752" s="452"/>
      <c r="H752" s="453"/>
      <c r="I752" s="62"/>
      <c r="J752" s="33"/>
      <c r="K752" s="32"/>
      <c r="L752" s="32"/>
      <c r="M752" s="32"/>
      <c r="N752" s="356"/>
      <c r="R752" s="43"/>
      <c r="S752" s="43"/>
      <c r="T752" s="43"/>
      <c r="U752" s="449"/>
      <c r="V752" s="449"/>
      <c r="W752" s="43"/>
      <c r="X752" s="42"/>
    </row>
    <row r="753" spans="2:24" s="28" customFormat="1" ht="16.5" customHeight="1">
      <c r="B753" s="20"/>
      <c r="C753" s="20"/>
      <c r="D753" s="448"/>
      <c r="E753" s="32"/>
      <c r="F753" s="37"/>
      <c r="G753" s="452"/>
      <c r="H753" s="453"/>
      <c r="I753" s="62"/>
      <c r="J753" s="32"/>
      <c r="K753" s="32"/>
      <c r="L753" s="32"/>
      <c r="M753" s="32"/>
      <c r="N753" s="356"/>
      <c r="R753" s="43"/>
      <c r="S753" s="43"/>
      <c r="T753" s="43"/>
      <c r="U753" s="449"/>
      <c r="V753" s="449"/>
      <c r="W753" s="43"/>
      <c r="X753" s="42"/>
    </row>
    <row r="754" spans="2:24" s="28" customFormat="1" ht="16.5" customHeight="1">
      <c r="B754" s="20"/>
      <c r="C754" s="20"/>
      <c r="D754" s="448"/>
      <c r="E754" s="32"/>
      <c r="F754" s="37"/>
      <c r="G754" s="452"/>
      <c r="H754" s="453"/>
      <c r="I754" s="62"/>
      <c r="J754" s="33"/>
      <c r="K754" s="32"/>
      <c r="L754" s="32"/>
      <c r="M754" s="32"/>
      <c r="N754" s="356"/>
      <c r="R754" s="43"/>
      <c r="S754" s="43"/>
      <c r="T754" s="43"/>
      <c r="U754" s="449"/>
      <c r="V754" s="449"/>
      <c r="W754" s="43"/>
      <c r="X754" s="42"/>
    </row>
  </sheetData>
  <protectedRanges>
    <protectedRange sqref="M74:O77 M53:O65 M67:O72" name="범위10_1_1"/>
    <protectedRange sqref="L8" name="범위11_1"/>
    <protectedRange sqref="L8" name="범위4_1"/>
    <protectedRange sqref="D9" name="범위13_1_1"/>
    <protectedRange sqref="G8:H8" name="범위15_1_1"/>
    <protectedRange sqref="E37:E38 G74:G77 D74:E76 D53:E71 G53:G72" name="범위8_1_1_2_1_1_1"/>
    <protectedRange sqref="H68:H72 I75:J77 I71:K72 H74:H77 I74:K74 H53:K67 J74:K77" name="범위9_1_1_1_1_2"/>
    <protectedRange sqref="G7:H7" name="범위15_1_1_1"/>
    <protectedRange sqref="L9" name="범위16_1_1_1_1_1_1_1_1_1_1_1_1_1"/>
    <protectedRange sqref="D35" name="범위23_1_1_1_2_1_1"/>
    <protectedRange sqref="D35" name="범위1_3_1_1_1_1_2_1_1"/>
    <protectedRange sqref="C12:C34" name="범위1_3_1_2_1"/>
    <protectedRange sqref="C12:C34" name="범위1_3_1_2_2"/>
    <protectedRange sqref="D89:D472 D479:D489" name="범위5_1_2_1_2_1_2_1_1"/>
    <protectedRange sqref="M116 M114" name="범위26_2_1_2_1_8_1_2_1"/>
    <protectedRange sqref="G118:H118 G116:H116 G114:H114" name="범위6_1_1_1_2_1_9_2_1_1"/>
    <protectedRange sqref="F116" name="범위1_1_2_1_1"/>
    <protectedRange sqref="M117 M115 M90:M112 M120:M131" name="범위26_2_1_2_1_1_7_1_1_1"/>
    <protectedRange sqref="G117:H117 G128:H131 G105:H105 I89:I90 G90:H90 G115:H115 G91:I104 G107:H110 G120:H125 I105:I472 I479:I489" name="범위6_1_1_1_2_1_2_8_2_1"/>
    <protectedRange sqref="F128 F131" name="범위1_3_1_1_2_1"/>
    <protectedRange sqref="G111:H112" name="범위6_1_1_1_2_1_1_1_1_2_1_1"/>
    <protectedRange sqref="M119" name="범위26_2_1_2_1_1_1_1_1_1_1"/>
    <protectedRange sqref="G119:H119" name="범위6_1_1_1_2_1_2_1_1_1_1_1"/>
    <protectedRange sqref="M118" name="범위26_2_1_2_1_19_1_1_2_1_1"/>
    <protectedRange sqref="M113" name="범위26_2_1_2_1_1_4_1_2_1_1"/>
    <protectedRange sqref="G113:H113" name="범위6_1_1_1_2_1_2_4_1_2_1_1"/>
    <protectedRange sqref="M89" name="범위26_2_1_2_1_1_3_1_1_1_1"/>
    <protectedRange sqref="G89:H89" name="범위6_1_1_1_2_1_2_2_1_1_1_1"/>
    <protectedRange sqref="F89" name="범위1_3_3_1_1_1_1"/>
    <protectedRange sqref="M436 M406:M408 M416:M418" name="범위26_2_1_2_1_8_2_1_1_1"/>
    <protectedRange sqref="G406:H408 G416:H418 G422:H436" name="범위6_1_1_1_2_1_9_1_1_1_1"/>
    <protectedRange sqref="F416:F418" name="범위1_1_1_1_1_1"/>
    <protectedRange sqref="F436" name="범위1_4_2_1_1_1_1"/>
    <protectedRange sqref="M419:M421 M437:M442 M446:M472 M409:M413 M487:M489 M314:M404 M132:M312" name="범위26_2_1_2_1_1_7_3_1_1_1"/>
    <protectedRange sqref="G158:H160 G167:H167 G391:H393 G165:H165 G176:H177 G462:H462 G240:H241 G380:H382 G249:H249 G271:H271 G264:H264 G262:H262 G273:H273 G266:H266 G277:H277 G487:H489 G233:H234 G345:H345 G335:H343 G355:H355 G385:H389 G410:H413 G315:H316 G291:H312 G318:H320 G322:H332 G347:H352 G419:H421 G446:H454 G456:H460 G465:H472 G223:H230 G132:H144 G279:H286 G214:H219 G437:H442 G146:H153 G364:H375" name="범위6_1_1_1_2_1_2_8_1_2_1_1"/>
    <protectedRange sqref="G461:H461" name="범위6_1_1_1_1_1_1_1_1_1_1_1_1"/>
    <protectedRange sqref="F301:F302 F197:F199 F246:F248 F189:F191 F318 F364 F344:F345 F413 F312 F385 F291 F147:F148 F236:F239 F274:F278 F419 F267:F272 F151:F153 F250:F265" name="범위1_3_1_3_1_1_1"/>
    <protectedRange sqref="G394:H394 G396:H404" name="범위6_1_1_1_2_1_1_1_1_1_1_1_1"/>
    <protectedRange sqref="F373" name="범위1_2_1_1_1_1_1_1"/>
    <protectedRange sqref="F362" name="범위1_5_1_1_1_1_1_1"/>
    <protectedRange sqref="M422:M435" name="범위26_2_1_2_1_19_1_1_1_1_1_1"/>
    <protectedRange sqref="M405" name="범위26_2_1_2_1_1_4_1_1_1_1_1"/>
    <protectedRange sqref="G405:H405" name="범위6_1_1_1_2_1_2_4_1_1_1_1_1"/>
    <protectedRange sqref="G409:H409" name="범위6_1_1_1_2_1_2_5_1_1_1_1_1"/>
    <protectedRange sqref="M486" name="범위26_2_1_2_1_1_2_1_1_1_1_1"/>
    <protectedRange sqref="M414:M415" name="범위26_2_1_2_1_3_1_1_1_1_1"/>
    <protectedRange sqref="G414:H415" name="범위6_1_1_1_2_1_3_1_1_1_1_1"/>
    <protectedRange sqref="F414:F415" name="범위1_2_2_1_1_1_1"/>
    <protectedRange sqref="M443:M445" name="범위26_2_1_2_1_1_5_1_1_1_1_1"/>
    <protectedRange sqref="G443:H445" name="범위6_1_1_1_2_1_2_3_1_1_1_1_1"/>
    <protectedRange sqref="M313" name="범위26_2_1_2_1_1_6_1_1_1_1_1"/>
    <protectedRange sqref="G313:H313" name="범위6_1_1_1_2_1_2_6_1_1_1_1_1"/>
    <protectedRange sqref="G486:H486" name="범위6_1_1_1_2_1_4_1_1_1_1_1"/>
    <protectedRange sqref="F486" name="범위1_5_2_1_1_1_1"/>
    <protectedRange sqref="M479" name="범위26_2_1_2_1_1_8_1_1_1"/>
    <protectedRange sqref="G479:H479" name="범위6_1_1_1_2_1_2_8_1_1_1_1_1"/>
    <protectedRange sqref="F479" name="범위1_3_1_1_1_1_1_1"/>
    <protectedRange sqref="M480" name="범위26_2_1_2_1_8_1_1_2_1_1"/>
    <protectedRange sqref="M481" name="범위26_2_1_2_1_1_7_2_1_1_1_1_1"/>
    <protectedRange sqref="F482:F485" name="범위1_2_1_1_1_1"/>
    <protectedRange sqref="M485 M482" name="범위26_2_1_2_1_8_1_1_1_1_1_1"/>
    <protectedRange sqref="M483:M484" name="범위26_2_1_2_1_1_7_2_2_1_1_1"/>
    <protectedRange sqref="D12:D34" name="범위23_1_1_1_2_1_1_1_2_1_1_1"/>
    <protectedRange sqref="D12:D34" name="범위1_3_1_1_1_1_2_1_1_1_2_1_1_1"/>
    <protectedRange sqref="G73 D73:E73" name="범위8_1_1_2_1_1_1_1"/>
    <protectedRange sqref="H73:K73" name="범위9_1_1_1_1_2_1"/>
    <protectedRange sqref="D72:E72" name="범위8_1_1_2_1_1_1_2"/>
    <protectedRange sqref="D473:D478" name="범위5_1_2_1_2_1_2_1_1_1"/>
    <protectedRange sqref="I473:I478" name="범위6_1_1_1_2_1_2_8_2_1_1"/>
    <protectedRange sqref="M473:M474 M476" name="범위26_2_1_2_1_1_7_3_1_1_1_1"/>
    <protectedRange sqref="G473:H473 G476:H476" name="범위6_1_1_1_2_1_2_8_1_2_1_1_1"/>
    <protectedRange sqref="M475" name="범위26_2_1_2_1_1_2_1_1_1_1_1_1"/>
    <protectedRange sqref="F475" name="범위1_3_2_1_1_1_1_1_1"/>
    <protectedRange sqref="G478:H478" name="범위6_1_1_1_2_1_2_1_2_1_1_1_1"/>
    <protectedRange sqref="M477:M478" name="범위26_2_1_2_1_1_7_2_1_2_1_1_1"/>
    <protectedRange sqref="D81" name="범위5_1_2_1_2_1_2_1_1_2"/>
    <protectedRange sqref="I81" name="범위6_1_1_1_2_1_2_8_2_1_2"/>
    <protectedRange sqref="M81" name="범위26_2_1_2_1_1_7_3_1_1_1_2"/>
    <protectedRange sqref="D82:D83" name="범위5_1_2_1_2_1_2_1_1_1_1"/>
    <protectedRange sqref="I82:I83" name="범위6_1_1_1_2_1_2_8_2_1_1_2"/>
    <protectedRange sqref="M82:M83" name="범위26_2_1_2_1_1_7_3_1_1_1_1_1"/>
    <protectedRange sqref="F82:F83" name="범위1_3_1_3_1_1_1_1"/>
    <protectedRange sqref="D84:D88" name="범위5_1_2_1_2_1_2_1_1_2_1"/>
    <protectedRange sqref="I84:I88" name="범위6_1_1_1_2_1_2_8_2_1_2_1"/>
    <protectedRange sqref="M84:M88" name="범위26_2_1_2_1_1_7_3_1_1_1_2_1"/>
    <protectedRange sqref="G84:H88" name="범위6_1_1_1_2_1_2_8_1_2_1_1_2"/>
    <protectedRange sqref="D495:D496" name="범위5_1_2_1_2_1_2_1_2"/>
    <protectedRange sqref="D490:D494" name="범위5_1_2_1_2_1_2_1_1_3"/>
    <protectedRange sqref="D528:D530" name="범위5_1_3_2_1_1_1"/>
    <protectedRange sqref="M495:M496" name="범위26_2_1_2_1_1_7_3_2_1_1"/>
    <protectedRange sqref="G495:H496" name="범위6_1_1_1_2_1_2_8_1_3_1"/>
    <protectedRange sqref="I490:I496 I528:I530" name="범위6_1_1_1_2_1_2_8_2_1_4"/>
    <protectedRange sqref="M490:M491" name="범위26_2_1_2_1_1_7_3_1_1_1_3"/>
    <protectedRange sqref="G490:H491" name="범위6_1_1_1_2_1_2_8_1_2_1_1_3"/>
    <protectedRange sqref="G493:H493" name="범위6_1_1_1_2_1_2_1_2_1_1_1_2"/>
    <protectedRange sqref="M492:M493" name="범위26_2_1_2_1_1_7_2_1_2_1_1_2"/>
    <protectedRange sqref="M494" name="범위26_2_1_2_1_1_8_1_1_1_1"/>
    <protectedRange sqref="G494:H494" name="범위6_1_1_1_2_1_2_8_1_1_1_1_1_1"/>
    <protectedRange sqref="F494" name="범위1_3_1_1_1_1_1_1_1"/>
    <protectedRange sqref="F528:F530" name="범위1_2_1_2_1_1_1"/>
    <protectedRange sqref="M528:M530" name="범위26_2_1_2_1_1_7_2_2_2_1_1_1"/>
    <protectedRange sqref="D502" name="범위5_1_3_2_1_3"/>
    <protectedRange sqref="D497:D501" name="범위5_1_2_1_2_1_2_1_3"/>
    <protectedRange sqref="D503:D504 D527" name="범위5_1_3_2_1_1_3"/>
    <protectedRange sqref="I501" name="범위6_1_1_1_2_1_2_8_3_2"/>
    <protectedRange sqref="G501:H501" name="범위6_1_1_1_2_1_9_1_2_2"/>
    <protectedRange sqref="M497" name="범위26_2_1_2_1_1_7_3_2_1_2"/>
    <protectedRange sqref="G497:H497" name="범위6_1_1_1_2_1_2_8_1_3_2"/>
    <protectedRange sqref="M501" name="범위26_2_1_2_1_19_1_1_1_2_2"/>
    <protectedRange sqref="G499:H499" name="범위6_1_1_1_2_1_2_1_2_2_2"/>
    <protectedRange sqref="M498:M499" name="범위26_2_1_2_1_1_7_2_1_3_2"/>
    <protectedRange sqref="M500" name="범위26_2_1_2_1_1_8_2_2"/>
    <protectedRange sqref="G500:H500" name="범위6_1_1_1_2_1_2_8_1_1_2_1_2"/>
    <protectedRange sqref="F500" name="범위1_3_1_1_1_2_2"/>
    <protectedRange sqref="I497:I500 I502:I504 I527" name="범위6_1_1_1_2_1_2_8_2_1_5"/>
    <protectedRange sqref="G502:H502" name="범위6_1_1_1_2_1_9_1_1_1_1_2"/>
    <protectedRange sqref="M502" name="범위26_2_1_2_1_19_1_1_1_1_1_1_2"/>
    <protectedRange sqref="F503:F504 F527" name="범위1_2_1_2_1_1_3"/>
    <protectedRange sqref="M503:M504 M527" name="범위26_2_1_2_1_1_7_2_2_2_1_1_3"/>
    <protectedRange sqref="D506:D523 D526" name="범위5_1_3_2_1_1_1_3"/>
    <protectedRange sqref="I506:I523 I526" name="범위6_1_1_1_2_1_2_8_2_1_1_4"/>
    <protectedRange sqref="F506:F523 F526" name="범위1_2_1_2_1_1_1_3"/>
    <protectedRange sqref="M506:M523" name="범위26_2_1_2_1_1_7_2_2_2_1_1_1_3"/>
    <protectedRange sqref="D524" name="범위5_1_2_1_2_1_2"/>
    <protectedRange sqref="M524" name="범위26_2_1_2_1_1_2"/>
    <protectedRange sqref="G524:I524" name="범위6_1_1_1_2_1_1_1_2"/>
    <protectedRange sqref="D525" name="범위5_1_3_2_1_1_1_1_2"/>
    <protectedRange sqref="I525" name="범위6_1_1_1_2_1_2_8_2_1_1_1_2"/>
    <protectedRange sqref="F525" name="범위1_2_1_2_1_1_1_1_2"/>
    <protectedRange sqref="M525:M526" name="범위26_2_1_2_1_1_7_2_2_2_1_1_1_1_2"/>
    <protectedRange sqref="D505" name="범위5_1_3_2_1_1_1_1"/>
    <protectedRange sqref="I505" name="범위6_1_1_1_2_1_2_8_2_1_1_1"/>
    <protectedRange sqref="F505" name="범위1_2_1_2_1_1_1_1"/>
    <protectedRange sqref="M505" name="범위26_2_1_2_1_1_7_2_2_2_1_1_1_1"/>
    <protectedRange sqref="M745" name="범위26_2_1_2_1"/>
    <protectedRange sqref="G754:H754 G745:H746" name="범위6_1_1_1_2_1"/>
    <protectedRange sqref="D715:D736 D706:D712 D740 D745:D754" name="범위5_1_2_1_2_1"/>
    <protectedRange sqref="D714" name="범위5_1_2_1_2"/>
    <protectedRange sqref="F754" name="범위1"/>
    <protectedRange sqref="M747:M750 M753:M754 M706:M708 M710:M712 M715:M719 M721 M724:M725 M727:M736 M740" name="범위26_2_1_2_1_1"/>
    <protectedRange sqref="G715:H717 G706:H706 G710:H712 G748:I750" name="범위6_1_1_1_2_1_2"/>
    <protectedRange sqref="G718:H718 G720:H721 G728:I731 G724:H727 G733:I734 G732:H732 G735:H736 G740:I740" name="범위6_1_1_1_2_1_1_1"/>
    <protectedRange sqref="M746" name="범위26_2_1_2_1_1_4"/>
    <protectedRange sqref="G747:H747" name="범위6_1_1_1_2_1_2_5"/>
    <protectedRange sqref="M752" name="범위26_2_1_2_1_3"/>
    <protectedRange sqref="G752:H753" name="범위6_1_1_1_2_1_3"/>
    <protectedRange sqref="F752:F753" name="범위1_2"/>
    <protectedRange sqref="M751" name="범위26_2_1_2_1_1_8"/>
    <protectedRange sqref="G751:I751" name="범위6_1_1_1_2_1_2_8"/>
    <protectedRange sqref="F751" name="범위1_3_1"/>
    <protectedRange sqref="D713 D737:D738 D704:D705 D531:D701" name="범위5_1_2_1_2_1_1"/>
    <protectedRange sqref="M559:M563 M713 M720 M565:M569 M726 M539:M543 M545:M557 M531:M537 M737:M738 M704:M705 M572:M701" name="범위26_2_1_2_1_1_10_1"/>
    <protectedRange sqref="G641:H643 G648:H649 G657:H658 G553:H557 G607:H615 G694:H698 G704:H705 G559:H564 G572:H576 G579:H594 G628:H629 G596:H605 I551:I564 G631:H636 I631:I701 G630:I630 I713 I722:I723 G566:H569 I566:I615 G565:I565 G533:H537 G539:H544 G545:I550 I531:I544 I737 G738:I738 I704:I708 G617:H626 I617:I629 G616:I616" name="범위6_1_1_1_2_1_2_10"/>
    <protectedRange sqref="F677:F679 F669:F671 F590:F591 F556 F553 F602:F604 F634:F636 F629:F631 F536 F533 F738" name="범위1_3_4_1"/>
    <protectedRange sqref="M564 M544" name="범위26_2_1_2_1_3_2"/>
    <protectedRange sqref="M558 M722:M723 M538" name="범위26_2_1_2_1_1_3_2"/>
    <protectedRange sqref="G558:H558 G722:H723 G538:H538" name="범위6_1_1_1_2_1_2_2_2"/>
    <protectedRange sqref="F558 F722:F723 F538" name="범위1_3_3_2"/>
    <protectedRange sqref="M570:M571" name="범위26_2_1_2_1_1_7_2"/>
    <protectedRange sqref="G570:H571" name="범위6_1_1_1_2_1_2_7_2"/>
    <protectedRange sqref="G709:H709" name="범위6_1_1_1_2_1_2_2"/>
    <protectedRange sqref="M709 M714" name="범위26_2_1_2_1_1_10"/>
    <protectedRange sqref="D739" name="범위5_1_2_1_2_1_2_1"/>
    <protectedRange sqref="M739" name="범위26_2_1_2_1_1_3"/>
    <protectedRange sqref="G739:I739" name="범위6_1_1_1_2_1_1_1_1"/>
    <protectedRange sqref="D741:D744" name="범위5_1_2_1_2_1_2_3_1"/>
    <protectedRange sqref="M741:M744" name="범위26_2_1_2_1_1_3_4_1"/>
    <protectedRange sqref="G743:I743 G741:H742 G744:H744" name="범위6_1_1_1_2_1_1_1_1_3_1"/>
    <protectedRange sqref="D702:D703" name="범위5_1_2_1_2_1_1_1"/>
    <protectedRange sqref="M702:M703" name="범위26_2_1_2_1_1_10_1_1"/>
    <protectedRange sqref="G702:I703" name="범위6_1_1_1_2_1_2_10_1"/>
  </protectedRanges>
  <autoFilter ref="A80:Z80" xr:uid="{00000000-0009-0000-0000-000006000000}"/>
  <mergeCells count="25">
    <mergeCell ref="F729:H729"/>
    <mergeCell ref="F739:H739"/>
    <mergeCell ref="B49:E50"/>
    <mergeCell ref="D79:E79"/>
    <mergeCell ref="L10:P10"/>
    <mergeCell ref="G11:I11"/>
    <mergeCell ref="R11:S11"/>
    <mergeCell ref="I36:I37"/>
    <mergeCell ref="M36:M37"/>
    <mergeCell ref="O36:P36"/>
    <mergeCell ref="O37:P37"/>
    <mergeCell ref="B9:C9"/>
    <mergeCell ref="D9:I9"/>
    <mergeCell ref="M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</mergeCells>
  <phoneticPr fontId="16" type="noConversion"/>
  <conditionalFormatting sqref="F16 F12">
    <cfRule type="duplicateValues" dxfId="7" priority="136"/>
  </conditionalFormatting>
  <conditionalFormatting sqref="F17 F13:F15 F19:F32">
    <cfRule type="duplicateValues" dxfId="6" priority="4"/>
  </conditionalFormatting>
  <conditionalFormatting sqref="F81:F88">
    <cfRule type="duplicateValues" dxfId="5" priority="2"/>
  </conditionalFormatting>
  <conditionalFormatting sqref="F89:F489 F34:F80 F1:F11 F543:F1048576">
    <cfRule type="duplicateValues" dxfId="4" priority="3"/>
  </conditionalFormatting>
  <dataValidations count="11">
    <dataValidation type="list" allowBlank="1" showInputMessage="1" showErrorMessage="1" sqref="D524" xr:uid="{00000000-0002-0000-0600-000000000000}">
      <formula1>$D$55:$D$79</formula1>
    </dataValidation>
    <dataValidation type="list" allowBlank="1" showInputMessage="1" showErrorMessage="1" sqref="D35" xr:uid="{00000000-0002-0000-0600-000001000000}">
      <formula1>$D$57:$D$77</formula1>
    </dataValidation>
    <dataValidation type="list" allowBlank="1" showInputMessage="1" showErrorMessage="1" sqref="L8:M8" xr:uid="{00000000-0002-0000-0600-000002000000}">
      <formula1>$M$57:$M$77</formula1>
    </dataValidation>
    <dataValidation type="list" allowBlank="1" showInputMessage="1" showErrorMessage="1" sqref="L9" xr:uid="{00000000-0002-0000-0600-000003000000}">
      <formula1>$G$53:$G$77</formula1>
    </dataValidation>
    <dataValidation type="list" allowBlank="1" showInputMessage="1" showErrorMessage="1" sqref="D12:D34" xr:uid="{00000000-0002-0000-0600-000004000000}">
      <formula1>$D$53:$D$77</formula1>
    </dataValidation>
    <dataValidation type="list" allowBlank="1" showInputMessage="1" showErrorMessage="1" sqref="F235 F220:F222 F178:F179 F184:F188" xr:uid="{00000000-0002-0000-0600-000005000000}">
      <formula1>$A$3:$A$348</formula1>
    </dataValidation>
    <dataValidation type="list" allowBlank="1" showInputMessage="1" showErrorMessage="1" sqref="F699:F701 F537 F592 F665:F668 F659:F660 F557" xr:uid="{00000000-0002-0000-0600-000006000000}">
      <formula1>$A$3:$A$575</formula1>
    </dataValidation>
    <dataValidation type="list" allowBlank="1" showInputMessage="1" showErrorMessage="1" sqref="D702:D703" xr:uid="{00000000-0002-0000-0600-000007000000}">
      <formula1>$D$59:$D$130</formula1>
    </dataValidation>
    <dataValidation type="list" allowBlank="1" showInputMessage="1" showErrorMessage="1" sqref="D741:D744" xr:uid="{00000000-0002-0000-0600-000008000000}">
      <formula1>$D$54:$D$76</formula1>
    </dataValidation>
    <dataValidation type="list" allowBlank="1" showInputMessage="1" showErrorMessage="1" sqref="D706:D712 D714:D736 D739:D740 D745:D754" xr:uid="{00000000-0002-0000-0600-000009000000}">
      <formula1>$D$54:$D$77</formula1>
    </dataValidation>
    <dataValidation type="list" allowBlank="1" showInputMessage="1" showErrorMessage="1" sqref="D713 D531:D701 D737:D738 D704:D705" xr:uid="{00000000-0002-0000-0600-00000A000000}">
      <formula1>$D$59:$D$129</formula1>
    </dataValidation>
  </dataValidations>
  <printOptions horizontalCentered="1"/>
  <pageMargins left="7.874015748031496E-2" right="7.874015748031496E-2" top="0.3" bottom="0.28999999999999998" header="0.27559055118110237" footer="0.23622047244094491"/>
  <pageSetup paperSize="9" scale="7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12"/>
    <pageSetUpPr fitToPage="1"/>
  </sheetPr>
  <dimension ref="A1:Z747"/>
  <sheetViews>
    <sheetView topLeftCell="A124" zoomScale="80" zoomScaleNormal="80" workbookViewId="0">
      <selection activeCell="I139" sqref="I139"/>
    </sheetView>
  </sheetViews>
  <sheetFormatPr defaultRowHeight="13.5"/>
  <cols>
    <col min="1" max="1" width="1.21875" customWidth="1"/>
    <col min="2" max="2" width="4.6640625" style="1" customWidth="1"/>
    <col min="3" max="3" width="11.21875" style="1" customWidth="1"/>
    <col min="4" max="4" width="17.88671875" customWidth="1"/>
    <col min="5" max="6" width="10.109375" style="1" customWidth="1"/>
    <col min="7" max="7" width="13.88671875" customWidth="1"/>
    <col min="8" max="8" width="14.21875" customWidth="1"/>
    <col min="9" max="9" width="9.5546875" style="12" customWidth="1"/>
    <col min="10" max="10" width="8.6640625" style="15" customWidth="1"/>
    <col min="11" max="11" width="8.6640625" style="1" customWidth="1"/>
    <col min="12" max="12" width="7.77734375" customWidth="1"/>
    <col min="13" max="13" width="8.6640625" customWidth="1"/>
    <col min="14" max="14" width="12.109375" customWidth="1"/>
    <col min="15" max="15" width="13.33203125" customWidth="1"/>
    <col min="16" max="16" width="13.109375" customWidth="1"/>
    <col min="17" max="17" width="5.33203125" customWidth="1"/>
    <col min="18" max="18" width="7.44140625" bestFit="1" customWidth="1"/>
    <col min="19" max="19" width="4.88671875" bestFit="1" customWidth="1"/>
    <col min="20" max="20" width="1.44140625" customWidth="1"/>
    <col min="21" max="21" width="11.44140625" style="42" customWidth="1"/>
    <col min="22" max="22" width="7.88671875" style="105" bestFit="1" customWidth="1"/>
    <col min="23" max="23" width="6.109375" style="21" customWidth="1"/>
    <col min="24" max="24" width="11.6640625" style="21" customWidth="1"/>
    <col min="25" max="26" width="8.44140625" style="43" customWidth="1"/>
  </cols>
  <sheetData>
    <row r="1" spans="1:26" ht="14.25" customHeight="1" thickBot="1">
      <c r="A1" s="5"/>
      <c r="B1" s="6"/>
      <c r="C1" s="6"/>
      <c r="D1" s="5"/>
      <c r="E1" s="6"/>
      <c r="F1" s="97"/>
      <c r="G1" s="7"/>
      <c r="H1" s="7"/>
      <c r="I1" s="9"/>
      <c r="J1" s="17"/>
      <c r="K1" s="7"/>
      <c r="L1" s="7"/>
      <c r="M1" s="5"/>
      <c r="N1" s="5"/>
      <c r="O1" s="5"/>
      <c r="P1" s="5"/>
    </row>
    <row r="2" spans="1:26" s="43" customFormat="1" ht="18" customHeight="1">
      <c r="A2" s="4"/>
      <c r="B2" s="572" t="s">
        <v>1</v>
      </c>
      <c r="C2" s="573"/>
      <c r="D2" s="573"/>
      <c r="E2" s="574"/>
      <c r="F2" s="578"/>
      <c r="G2" s="579"/>
      <c r="H2" s="579"/>
      <c r="I2" s="579"/>
      <c r="J2" s="579"/>
      <c r="K2" s="579"/>
      <c r="L2" s="579"/>
      <c r="M2" s="102" t="s">
        <v>2</v>
      </c>
      <c r="N2" s="102"/>
      <c r="O2" s="101"/>
      <c r="P2" s="101"/>
      <c r="U2" s="42"/>
      <c r="V2" s="105"/>
      <c r="W2" s="21"/>
      <c r="X2" s="21"/>
    </row>
    <row r="3" spans="1:26" s="43" customFormat="1" ht="16.5" customHeight="1" thickBot="1">
      <c r="A3" s="4"/>
      <c r="B3" s="575"/>
      <c r="C3" s="576"/>
      <c r="D3" s="576"/>
      <c r="E3" s="577"/>
      <c r="F3" s="579"/>
      <c r="G3" s="579"/>
      <c r="H3" s="579"/>
      <c r="I3" s="579"/>
      <c r="J3" s="579"/>
      <c r="K3" s="579"/>
      <c r="L3" s="579"/>
      <c r="M3" s="103" t="s">
        <v>416</v>
      </c>
      <c r="N3" s="100"/>
      <c r="O3" s="4"/>
      <c r="P3" s="4"/>
      <c r="U3" s="42"/>
      <c r="V3" s="105"/>
      <c r="W3" s="21"/>
      <c r="X3" s="21"/>
    </row>
    <row r="4" spans="1:26" s="43" customFormat="1" ht="16.5" customHeight="1">
      <c r="A4" s="4"/>
      <c r="B4" s="112"/>
      <c r="C4" s="112"/>
      <c r="D4" s="4"/>
      <c r="E4" s="112"/>
      <c r="F4" s="579"/>
      <c r="G4" s="579"/>
      <c r="H4" s="579"/>
      <c r="I4" s="579"/>
      <c r="J4" s="579"/>
      <c r="K4" s="579"/>
      <c r="L4" s="579"/>
      <c r="M4" s="103" t="s">
        <v>3</v>
      </c>
      <c r="N4" s="100"/>
      <c r="O4" s="4"/>
      <c r="P4" s="4"/>
      <c r="U4" s="42"/>
      <c r="V4" s="105"/>
      <c r="W4" s="21"/>
      <c r="X4" s="21"/>
    </row>
    <row r="5" spans="1:26" s="43" customFormat="1" ht="16.5" customHeight="1">
      <c r="A5" s="4"/>
      <c r="B5" s="112"/>
      <c r="C5" s="112"/>
      <c r="D5" s="4"/>
      <c r="E5" s="112"/>
      <c r="F5" s="350"/>
      <c r="G5" s="113"/>
      <c r="H5" s="113"/>
      <c r="I5" s="114"/>
      <c r="J5" s="115"/>
      <c r="K5" s="113"/>
      <c r="L5" s="113"/>
      <c r="M5" s="103" t="s">
        <v>4</v>
      </c>
      <c r="N5" s="100"/>
      <c r="O5" s="4"/>
      <c r="P5" s="4"/>
      <c r="U5" s="42"/>
      <c r="V5" s="105"/>
      <c r="W5" s="21"/>
      <c r="X5" s="21"/>
    </row>
    <row r="6" spans="1:26" s="43" customFormat="1" ht="9" customHeight="1" thickBot="1">
      <c r="A6" s="4"/>
      <c r="B6" s="112"/>
      <c r="C6" s="112"/>
      <c r="D6" s="4"/>
      <c r="E6" s="112"/>
      <c r="F6" s="116"/>
      <c r="G6" s="4"/>
      <c r="H6" s="4"/>
      <c r="I6" s="117"/>
      <c r="J6" s="118"/>
      <c r="K6" s="112"/>
      <c r="L6" s="4"/>
      <c r="M6" s="4"/>
      <c r="N6" s="4"/>
      <c r="O6" s="4"/>
      <c r="P6" s="4"/>
      <c r="U6" s="42"/>
      <c r="V6" s="105"/>
      <c r="W6" s="21"/>
      <c r="X6" s="21"/>
    </row>
    <row r="7" spans="1:26" s="28" customFormat="1" ht="25.5" customHeight="1" thickTop="1">
      <c r="A7" s="100"/>
      <c r="B7" s="580" t="s">
        <v>5</v>
      </c>
      <c r="C7" s="581"/>
      <c r="D7" s="582" t="s">
        <v>6</v>
      </c>
      <c r="E7" s="583"/>
      <c r="F7" s="119" t="s">
        <v>7</v>
      </c>
      <c r="G7" s="584" t="s">
        <v>75</v>
      </c>
      <c r="H7" s="585"/>
      <c r="I7" s="586"/>
      <c r="J7" s="120"/>
      <c r="K7" s="121" t="s">
        <v>8</v>
      </c>
      <c r="L7" s="587">
        <f ca="1">TODAY()</f>
        <v>45981</v>
      </c>
      <c r="M7" s="588"/>
      <c r="N7" s="122" t="s">
        <v>9</v>
      </c>
      <c r="O7" s="123">
        <f ca="1">TODAY()+1</f>
        <v>45982</v>
      </c>
      <c r="P7" s="124"/>
      <c r="U7" s="29"/>
      <c r="V7" s="105"/>
      <c r="W7" s="20"/>
      <c r="X7" s="20"/>
    </row>
    <row r="8" spans="1:26" s="28" customFormat="1" ht="25.5" customHeight="1">
      <c r="A8" s="100"/>
      <c r="B8" s="589" t="s">
        <v>10</v>
      </c>
      <c r="C8" s="590"/>
      <c r="D8" s="591" t="s">
        <v>11</v>
      </c>
      <c r="E8" s="592"/>
      <c r="F8" s="125" t="s">
        <v>12</v>
      </c>
      <c r="G8" s="592" t="s">
        <v>13</v>
      </c>
      <c r="H8" s="592"/>
      <c r="I8" s="593"/>
      <c r="J8" s="120"/>
      <c r="K8" s="126" t="s">
        <v>14</v>
      </c>
      <c r="L8" s="594" t="s">
        <v>91</v>
      </c>
      <c r="M8" s="595"/>
      <c r="N8" s="358" t="s">
        <v>15</v>
      </c>
      <c r="O8" s="596" t="s">
        <v>92</v>
      </c>
      <c r="P8" s="597"/>
      <c r="U8" s="29"/>
      <c r="V8" s="105"/>
      <c r="W8" s="20"/>
      <c r="X8" s="20"/>
    </row>
    <row r="9" spans="1:26" s="28" customFormat="1" ht="25.5" customHeight="1" thickBot="1">
      <c r="A9" s="100"/>
      <c r="B9" s="564" t="s">
        <v>16</v>
      </c>
      <c r="C9" s="565"/>
      <c r="D9" s="566"/>
      <c r="E9" s="567"/>
      <c r="F9" s="567"/>
      <c r="G9" s="567"/>
      <c r="H9" s="567"/>
      <c r="I9" s="568"/>
      <c r="J9" s="120"/>
      <c r="K9" s="128" t="s">
        <v>17</v>
      </c>
      <c r="L9" s="129" t="s">
        <v>844</v>
      </c>
      <c r="M9" s="569" t="str">
        <f>IF($L9&lt;&gt;0,VLOOKUP($L9,$G$45:$K$70,2,FALSE),"")</f>
        <v>경기도 화성시 향남읍 구문천1길 43-9</v>
      </c>
      <c r="N9" s="570"/>
      <c r="O9" s="570"/>
      <c r="P9" s="571"/>
      <c r="U9" s="44"/>
      <c r="V9" s="105"/>
      <c r="W9" s="20"/>
      <c r="X9" s="20"/>
    </row>
    <row r="10" spans="1:26" ht="18" customHeight="1" thickBot="1">
      <c r="A10" s="5"/>
      <c r="B10" s="6"/>
      <c r="C10" s="6"/>
      <c r="D10" s="5"/>
      <c r="E10" s="6"/>
      <c r="F10" s="6"/>
      <c r="G10" s="5"/>
      <c r="H10" s="5"/>
      <c r="I10" s="11"/>
      <c r="J10" s="14"/>
      <c r="K10" s="6"/>
      <c r="L10" s="606"/>
      <c r="M10" s="606"/>
      <c r="N10" s="606"/>
      <c r="O10" s="606"/>
      <c r="P10" s="606"/>
    </row>
    <row r="11" spans="1:26" s="28" customFormat="1" ht="27" customHeight="1" thickTop="1">
      <c r="A11" s="100"/>
      <c r="B11" s="371" t="s">
        <v>415</v>
      </c>
      <c r="C11" s="368" t="s">
        <v>88</v>
      </c>
      <c r="D11" s="368" t="s">
        <v>408</v>
      </c>
      <c r="E11" s="368" t="s">
        <v>409</v>
      </c>
      <c r="F11" s="369" t="s">
        <v>109</v>
      </c>
      <c r="G11" s="607" t="s">
        <v>108</v>
      </c>
      <c r="H11" s="608"/>
      <c r="I11" s="609"/>
      <c r="J11" s="377" t="s">
        <v>410</v>
      </c>
      <c r="K11" s="368" t="s">
        <v>405</v>
      </c>
      <c r="L11" s="368" t="s">
        <v>406</v>
      </c>
      <c r="M11" s="368" t="s">
        <v>411</v>
      </c>
      <c r="N11" s="368" t="s">
        <v>407</v>
      </c>
      <c r="O11" s="368" t="s">
        <v>412</v>
      </c>
      <c r="P11" s="370" t="s">
        <v>93</v>
      </c>
      <c r="R11" s="610" t="s">
        <v>398</v>
      </c>
      <c r="S11" s="611"/>
      <c r="U11" s="327" t="s">
        <v>399</v>
      </c>
      <c r="V11" s="98" t="s">
        <v>402</v>
      </c>
      <c r="W11" s="98" t="s">
        <v>403</v>
      </c>
      <c r="X11" s="98" t="s">
        <v>404</v>
      </c>
      <c r="Y11" s="98" t="s">
        <v>400</v>
      </c>
      <c r="Z11" s="99" t="s">
        <v>401</v>
      </c>
    </row>
    <row r="12" spans="1:26" s="28" customFormat="1" ht="24.95" customHeight="1">
      <c r="B12" s="221">
        <v>1</v>
      </c>
      <c r="C12" s="364"/>
      <c r="D12" s="82" t="s">
        <v>1062</v>
      </c>
      <c r="E12" s="85">
        <f t="shared" ref="E12:E19" si="0">IF($D12&lt;&gt;0,VLOOKUP($D12,$D$45:$E$71,2,FALSE),"")</f>
        <v>233943</v>
      </c>
      <c r="F12" s="446">
        <v>136174</v>
      </c>
      <c r="G12" s="224" t="str">
        <f>IF($F12&lt;&gt;0,VLOOKUP($F12,$E$73:$M$729,2,FALSE),"")</f>
        <v>PEGASUS 805, 200LT, DR</v>
      </c>
      <c r="H12" s="341"/>
      <c r="I12" s="342"/>
      <c r="J12" s="84" t="str">
        <f>IF($F12&lt;&gt;0,VLOOKUP($F12,$E$73:$M$729,7,FALSE),"")</f>
        <v>DRUM</v>
      </c>
      <c r="K12" s="85" t="str">
        <f>IF($F12&lt;&gt;0,VLOOKUP($F12,$E$73:$M$729,8,FALSE),"")</f>
        <v>IND</v>
      </c>
      <c r="L12" s="326">
        <v>50</v>
      </c>
      <c r="M12" s="87">
        <f>IF($L12&lt;&gt;0,VLOOKUP($F12,$E$73:$M$729,9,FALSE)*$L12,"")</f>
        <v>10000</v>
      </c>
      <c r="N12" s="88">
        <v>585000</v>
      </c>
      <c r="O12" s="89">
        <f t="shared" ref="O12:O14" si="1">IF(L12&lt;&gt;0,$L12*$N12,"")</f>
        <v>29250000</v>
      </c>
      <c r="P12" s="450"/>
      <c r="R12" s="75" t="str">
        <f>VLOOKUP(F12,'파레트 제품 리스트'!$B:$F,4,0)</f>
        <v>DRUM</v>
      </c>
      <c r="S12" s="76">
        <f>VLOOKUP(F12,'파레트 제품 리스트'!$B:$F,5,0)</f>
        <v>1</v>
      </c>
      <c r="U12" s="328">
        <f>O12*1.1</f>
        <v>32175000.000000004</v>
      </c>
      <c r="V12" s="367"/>
      <c r="W12" s="78"/>
      <c r="X12" s="78"/>
      <c r="Y12" s="79"/>
      <c r="Z12" s="80"/>
    </row>
    <row r="13" spans="1:26" s="28" customFormat="1" ht="24.95" customHeight="1">
      <c r="B13" s="221">
        <v>2</v>
      </c>
      <c r="C13" s="364"/>
      <c r="D13" s="82" t="s">
        <v>1062</v>
      </c>
      <c r="E13" s="85">
        <f t="shared" si="0"/>
        <v>233943</v>
      </c>
      <c r="F13" s="510">
        <v>148676</v>
      </c>
      <c r="G13" s="224" t="str">
        <f t="shared" ref="G13:G19" si="2">IF($F13&lt;&gt;0,VLOOKUP($F13,$E$73:$M$529,2,FALSE),"")</f>
        <v>MOBIL DTE 732 M-DR208L</v>
      </c>
      <c r="H13" s="225"/>
      <c r="I13" s="226"/>
      <c r="J13" s="84" t="str">
        <f t="shared" ref="J13:J19" si="3">IF($F13&lt;&gt;0,VLOOKUP($F13,$E$73:$M$529,7,FALSE),"")</f>
        <v>DRUM</v>
      </c>
      <c r="K13" s="85" t="str">
        <f t="shared" ref="K13:K19" si="4">IF($F13&lt;&gt;0,VLOOKUP($F13,$E$73:$M$529,8,FALSE),"")</f>
        <v>IND</v>
      </c>
      <c r="L13" s="86"/>
      <c r="M13" s="87" t="str">
        <f t="shared" ref="M13:M19" si="5">IF($L13&lt;&gt;0,VLOOKUP($F13,$E$73:$M$529,9,FALSE)*$L13,"")</f>
        <v/>
      </c>
      <c r="N13" s="88">
        <v>530000</v>
      </c>
      <c r="O13" s="89" t="str">
        <f t="shared" si="1"/>
        <v/>
      </c>
      <c r="P13" s="450"/>
      <c r="R13" s="75" t="str">
        <f>VLOOKUP(F13,'파레트 제품 리스트'!$B:$F,4,0)</f>
        <v>DRUM</v>
      </c>
      <c r="S13" s="76">
        <f>VLOOKUP(F13,'파레트 제품 리스트'!$B:$F,5,0)</f>
        <v>1</v>
      </c>
      <c r="U13" s="328" t="e">
        <f t="shared" ref="U13:U16" si="6">O13*1.1</f>
        <v>#VALUE!</v>
      </c>
      <c r="V13" s="367" t="e">
        <f>VLOOKUP(F13,미출!$D:$F,3,0)</f>
        <v>#N/A</v>
      </c>
      <c r="W13" s="78">
        <f>COUNTIF($F$11:$F$11,F13)</f>
        <v>0</v>
      </c>
      <c r="X13" s="78" t="e">
        <f>VLOOKUP(F13,#REF!,7,0)</f>
        <v>#REF!</v>
      </c>
      <c r="Y13" s="79"/>
      <c r="Z13" s="80" t="b">
        <f>N13=Y13</f>
        <v>0</v>
      </c>
    </row>
    <row r="14" spans="1:26" s="28" customFormat="1" ht="24.95" customHeight="1">
      <c r="B14" s="221">
        <v>3</v>
      </c>
      <c r="C14" s="364"/>
      <c r="D14" s="82"/>
      <c r="E14" s="85" t="str">
        <f t="shared" si="0"/>
        <v/>
      </c>
      <c r="F14" s="446"/>
      <c r="G14" s="224" t="str">
        <f t="shared" si="2"/>
        <v/>
      </c>
      <c r="H14" s="341"/>
      <c r="I14" s="342"/>
      <c r="J14" s="84" t="str">
        <f t="shared" si="3"/>
        <v/>
      </c>
      <c r="K14" s="85" t="str">
        <f t="shared" si="4"/>
        <v/>
      </c>
      <c r="L14" s="326"/>
      <c r="M14" s="87" t="str">
        <f t="shared" si="5"/>
        <v/>
      </c>
      <c r="N14" s="88" t="str">
        <f>IF($F14&lt;&gt;0,VLOOKUP($F14,$E$53:$L$537,5,FALSE),"")</f>
        <v/>
      </c>
      <c r="O14" s="89" t="str">
        <f t="shared" si="1"/>
        <v/>
      </c>
      <c r="P14" s="450"/>
      <c r="R14" s="75" t="e">
        <f>VLOOKUP(F14,'파레트 제품 리스트'!$B:$F,4,0)</f>
        <v>#N/A</v>
      </c>
      <c r="S14" s="76" t="e">
        <f>VLOOKUP(F14,'파레트 제품 리스트'!$B:$F,5,0)</f>
        <v>#N/A</v>
      </c>
      <c r="U14" s="328" t="e">
        <f t="shared" si="6"/>
        <v>#VALUE!</v>
      </c>
      <c r="V14" s="367"/>
      <c r="W14" s="78"/>
      <c r="X14" s="78"/>
      <c r="Y14" s="79"/>
      <c r="Z14" s="80"/>
    </row>
    <row r="15" spans="1:26" s="28" customFormat="1" ht="24.95" customHeight="1">
      <c r="B15" s="221">
        <v>4</v>
      </c>
      <c r="C15" s="364"/>
      <c r="D15" s="82"/>
      <c r="E15" s="85" t="str">
        <f t="shared" si="0"/>
        <v/>
      </c>
      <c r="F15" s="446"/>
      <c r="G15" s="224" t="str">
        <f t="shared" si="2"/>
        <v/>
      </c>
      <c r="H15" s="341"/>
      <c r="I15" s="342"/>
      <c r="J15" s="84" t="str">
        <f t="shared" si="3"/>
        <v/>
      </c>
      <c r="K15" s="85" t="str">
        <f t="shared" si="4"/>
        <v/>
      </c>
      <c r="L15" s="326"/>
      <c r="M15" s="87" t="str">
        <f t="shared" si="5"/>
        <v/>
      </c>
      <c r="N15" s="88" t="str">
        <f t="shared" ref="N15:N22" si="7">IF($F15&lt;&gt;0,VLOOKUP($F15,$E$53:$L$537,5,FALSE),"")</f>
        <v/>
      </c>
      <c r="O15" s="89" t="str">
        <f>IF(L15&lt;&gt;0,$L15*$N15,"")</f>
        <v/>
      </c>
      <c r="P15" s="450"/>
      <c r="R15" s="75" t="e">
        <f>VLOOKUP(F15,'파레트 제품 리스트'!$B:$F,4,0)</f>
        <v>#N/A</v>
      </c>
      <c r="S15" s="76" t="e">
        <f>VLOOKUP(F15,'파레트 제품 리스트'!$B:$F,5,0)</f>
        <v>#N/A</v>
      </c>
      <c r="U15" s="328" t="e">
        <f t="shared" si="6"/>
        <v>#VALUE!</v>
      </c>
      <c r="V15" s="367"/>
      <c r="W15" s="78"/>
      <c r="X15" s="78"/>
      <c r="Y15" s="79"/>
      <c r="Z15" s="80"/>
    </row>
    <row r="16" spans="1:26" s="28" customFormat="1" ht="24.95" customHeight="1">
      <c r="B16" s="221">
        <v>5</v>
      </c>
      <c r="C16" s="364"/>
      <c r="D16" s="82"/>
      <c r="E16" s="85" t="str">
        <f t="shared" si="0"/>
        <v/>
      </c>
      <c r="F16" s="446"/>
      <c r="G16" s="224" t="str">
        <f t="shared" si="2"/>
        <v/>
      </c>
      <c r="H16" s="341"/>
      <c r="I16" s="342"/>
      <c r="J16" s="84" t="str">
        <f t="shared" si="3"/>
        <v/>
      </c>
      <c r="K16" s="85" t="str">
        <f t="shared" si="4"/>
        <v/>
      </c>
      <c r="L16" s="326"/>
      <c r="M16" s="87" t="str">
        <f t="shared" si="5"/>
        <v/>
      </c>
      <c r="N16" s="88" t="str">
        <f t="shared" si="7"/>
        <v/>
      </c>
      <c r="O16" s="89" t="str">
        <f>IF(L16&lt;&gt;0,$L16*$N16,"")</f>
        <v/>
      </c>
      <c r="P16" s="450"/>
      <c r="R16" s="75" t="e">
        <f>VLOOKUP(F16,'파레트 제품 리스트'!$B:$F,4,0)</f>
        <v>#N/A</v>
      </c>
      <c r="S16" s="76" t="e">
        <f>VLOOKUP(F16,'파레트 제품 리스트'!$B:$F,5,0)</f>
        <v>#N/A</v>
      </c>
      <c r="U16" s="328" t="e">
        <f t="shared" si="6"/>
        <v>#VALUE!</v>
      </c>
      <c r="V16" s="367"/>
      <c r="W16" s="78"/>
      <c r="X16" s="78"/>
      <c r="Y16" s="79"/>
      <c r="Z16" s="80"/>
    </row>
    <row r="17" spans="1:26" s="28" customFormat="1" ht="24.95" customHeight="1">
      <c r="B17" s="221">
        <v>6</v>
      </c>
      <c r="C17" s="364"/>
      <c r="D17" s="82"/>
      <c r="E17" s="85" t="str">
        <f t="shared" si="0"/>
        <v/>
      </c>
      <c r="F17" s="446"/>
      <c r="G17" s="224" t="str">
        <f t="shared" si="2"/>
        <v/>
      </c>
      <c r="H17" s="341"/>
      <c r="I17" s="342"/>
      <c r="J17" s="343" t="str">
        <f t="shared" si="3"/>
        <v/>
      </c>
      <c r="K17" s="339" t="str">
        <f t="shared" si="4"/>
        <v/>
      </c>
      <c r="L17" s="326"/>
      <c r="M17" s="87" t="str">
        <f t="shared" si="5"/>
        <v/>
      </c>
      <c r="N17" s="88" t="str">
        <f t="shared" si="7"/>
        <v/>
      </c>
      <c r="O17" s="89" t="str">
        <f t="shared" ref="O17:O27" si="8">IF(L17&lt;&gt;0,$L17*$N17,"")</f>
        <v/>
      </c>
      <c r="P17" s="450"/>
      <c r="R17" s="75" t="e">
        <f>VLOOKUP(F17,'파레트 제품 리스트'!$B:$F,4,0)</f>
        <v>#N/A</v>
      </c>
      <c r="S17" s="76" t="e">
        <f>VLOOKUP(F17,'파레트 제품 리스트'!$B:$F,5,0)</f>
        <v>#N/A</v>
      </c>
      <c r="U17" s="328" t="e">
        <f t="shared" ref="U17:U26" si="9">O17*1.1</f>
        <v>#VALUE!</v>
      </c>
      <c r="V17" s="367"/>
      <c r="W17" s="78"/>
      <c r="X17" s="78"/>
      <c r="Y17" s="79"/>
      <c r="Z17" s="80"/>
    </row>
    <row r="18" spans="1:26" s="28" customFormat="1" ht="24.95" customHeight="1">
      <c r="B18" s="221">
        <v>7</v>
      </c>
      <c r="C18" s="364"/>
      <c r="D18" s="82"/>
      <c r="E18" s="85" t="str">
        <f t="shared" si="0"/>
        <v/>
      </c>
      <c r="F18" s="446"/>
      <c r="G18" s="224" t="str">
        <f t="shared" si="2"/>
        <v/>
      </c>
      <c r="H18" s="341"/>
      <c r="I18" s="342"/>
      <c r="J18" s="343" t="str">
        <f t="shared" si="3"/>
        <v/>
      </c>
      <c r="K18" s="339" t="str">
        <f t="shared" si="4"/>
        <v/>
      </c>
      <c r="L18" s="326"/>
      <c r="M18" s="87" t="str">
        <f t="shared" si="5"/>
        <v/>
      </c>
      <c r="N18" s="88" t="str">
        <f t="shared" si="7"/>
        <v/>
      </c>
      <c r="O18" s="89" t="str">
        <f t="shared" si="8"/>
        <v/>
      </c>
      <c r="P18" s="450"/>
      <c r="R18" s="75" t="e">
        <f>VLOOKUP(F18,'파레트 제품 리스트'!$B:$F,4,0)</f>
        <v>#N/A</v>
      </c>
      <c r="S18" s="76" t="e">
        <f>VLOOKUP(F18,'파레트 제품 리스트'!$B:$F,5,0)</f>
        <v>#N/A</v>
      </c>
      <c r="U18" s="328" t="e">
        <f t="shared" si="9"/>
        <v>#VALUE!</v>
      </c>
      <c r="V18" s="367"/>
      <c r="W18" s="78"/>
      <c r="X18" s="78"/>
      <c r="Y18" s="79"/>
      <c r="Z18" s="80"/>
    </row>
    <row r="19" spans="1:26" s="28" customFormat="1" ht="24.95" customHeight="1">
      <c r="B19" s="221">
        <v>8</v>
      </c>
      <c r="C19" s="364"/>
      <c r="D19" s="82"/>
      <c r="E19" s="85" t="str">
        <f t="shared" si="0"/>
        <v/>
      </c>
      <c r="F19" s="446"/>
      <c r="G19" s="224" t="str">
        <f t="shared" si="2"/>
        <v/>
      </c>
      <c r="H19" s="341"/>
      <c r="I19" s="342"/>
      <c r="J19" s="343" t="str">
        <f t="shared" si="3"/>
        <v/>
      </c>
      <c r="K19" s="339" t="str">
        <f t="shared" si="4"/>
        <v/>
      </c>
      <c r="L19" s="326"/>
      <c r="M19" s="87" t="str">
        <f t="shared" si="5"/>
        <v/>
      </c>
      <c r="N19" s="88" t="str">
        <f t="shared" si="7"/>
        <v/>
      </c>
      <c r="O19" s="89" t="str">
        <f t="shared" si="8"/>
        <v/>
      </c>
      <c r="P19" s="450"/>
      <c r="R19" s="75" t="e">
        <f>VLOOKUP(F19,'파레트 제품 리스트'!$B:$F,4,0)</f>
        <v>#N/A</v>
      </c>
      <c r="S19" s="76" t="e">
        <f>VLOOKUP(F19,'파레트 제품 리스트'!$B:$F,5,0)</f>
        <v>#N/A</v>
      </c>
      <c r="U19" s="328" t="e">
        <f t="shared" si="9"/>
        <v>#VALUE!</v>
      </c>
      <c r="V19" s="367"/>
      <c r="W19" s="78"/>
      <c r="X19" s="78"/>
      <c r="Y19" s="79"/>
      <c r="Z19" s="80"/>
    </row>
    <row r="20" spans="1:26" s="28" customFormat="1" ht="24.95" customHeight="1">
      <c r="B20" s="221">
        <v>9</v>
      </c>
      <c r="C20" s="364"/>
      <c r="D20" s="82"/>
      <c r="E20" s="85"/>
      <c r="F20" s="446"/>
      <c r="G20" s="224"/>
      <c r="H20" s="341"/>
      <c r="I20" s="342"/>
      <c r="J20" s="343"/>
      <c r="K20" s="339"/>
      <c r="L20" s="326"/>
      <c r="M20" s="87"/>
      <c r="N20" s="88" t="str">
        <f t="shared" si="7"/>
        <v/>
      </c>
      <c r="O20" s="89"/>
      <c r="P20" s="450"/>
      <c r="R20" s="75" t="e">
        <f>VLOOKUP(F20,'파레트 제품 리스트'!$B:$F,4,0)</f>
        <v>#N/A</v>
      </c>
      <c r="S20" s="76" t="e">
        <f>VLOOKUP(F20,'파레트 제품 리스트'!$B:$F,5,0)</f>
        <v>#N/A</v>
      </c>
      <c r="U20" s="328">
        <f t="shared" si="9"/>
        <v>0</v>
      </c>
      <c r="V20" s="367"/>
      <c r="W20" s="78"/>
      <c r="X20" s="78"/>
      <c r="Y20" s="79"/>
      <c r="Z20" s="80"/>
    </row>
    <row r="21" spans="1:26" s="28" customFormat="1" ht="24.95" customHeight="1">
      <c r="B21" s="221">
        <v>10</v>
      </c>
      <c r="C21" s="364"/>
      <c r="D21" s="82"/>
      <c r="E21" s="85"/>
      <c r="F21" s="446"/>
      <c r="G21" s="224"/>
      <c r="H21" s="341"/>
      <c r="I21" s="342"/>
      <c r="J21" s="343"/>
      <c r="K21" s="339"/>
      <c r="L21" s="326"/>
      <c r="M21" s="87"/>
      <c r="N21" s="88" t="str">
        <f t="shared" si="7"/>
        <v/>
      </c>
      <c r="O21" s="89"/>
      <c r="P21" s="450"/>
      <c r="R21" s="75" t="e">
        <f>VLOOKUP(F21,'파레트 제품 리스트'!$B:$F,4,0)</f>
        <v>#N/A</v>
      </c>
      <c r="S21" s="76" t="e">
        <f>VLOOKUP(F21,'파레트 제품 리스트'!$B:$F,5,0)</f>
        <v>#N/A</v>
      </c>
      <c r="U21" s="328">
        <f t="shared" si="9"/>
        <v>0</v>
      </c>
      <c r="V21" s="367"/>
      <c r="W21" s="78"/>
      <c r="X21" s="78"/>
      <c r="Y21" s="79"/>
      <c r="Z21" s="80"/>
    </row>
    <row r="22" spans="1:26" s="28" customFormat="1" ht="24.95" customHeight="1">
      <c r="B22" s="221">
        <v>11</v>
      </c>
      <c r="C22" s="364"/>
      <c r="D22" s="82"/>
      <c r="E22" s="85"/>
      <c r="F22" s="446"/>
      <c r="G22" s="224"/>
      <c r="H22" s="341"/>
      <c r="I22" s="342"/>
      <c r="J22" s="343"/>
      <c r="K22" s="339"/>
      <c r="L22" s="326"/>
      <c r="M22" s="87"/>
      <c r="N22" s="88" t="str">
        <f t="shared" si="7"/>
        <v/>
      </c>
      <c r="O22" s="89"/>
      <c r="P22" s="450"/>
      <c r="R22" s="75" t="e">
        <f>VLOOKUP(F22,'파레트 제품 리스트'!$B:$F,4,0)</f>
        <v>#N/A</v>
      </c>
      <c r="S22" s="76" t="e">
        <f>VLOOKUP(F22,'파레트 제품 리스트'!$B:$F,5,0)</f>
        <v>#N/A</v>
      </c>
      <c r="U22" s="328">
        <f t="shared" si="9"/>
        <v>0</v>
      </c>
      <c r="V22" s="367"/>
      <c r="W22" s="78"/>
      <c r="X22" s="78"/>
      <c r="Y22" s="79"/>
      <c r="Z22" s="80"/>
    </row>
    <row r="23" spans="1:26" s="28" customFormat="1" ht="24.95" customHeight="1">
      <c r="B23" s="221">
        <v>12</v>
      </c>
      <c r="C23" s="364"/>
      <c r="D23" s="82"/>
      <c r="E23" s="85"/>
      <c r="F23" s="446"/>
      <c r="G23" s="224"/>
      <c r="H23" s="341"/>
      <c r="I23" s="342"/>
      <c r="J23" s="343"/>
      <c r="K23" s="339"/>
      <c r="L23" s="326"/>
      <c r="M23" s="87"/>
      <c r="N23" s="88"/>
      <c r="O23" s="89"/>
      <c r="P23" s="450"/>
      <c r="R23" s="75" t="e">
        <f>VLOOKUP(F23,'파레트 제품 리스트'!$B:$F,4,0)</f>
        <v>#N/A</v>
      </c>
      <c r="S23" s="76" t="e">
        <f>VLOOKUP(F23,'파레트 제품 리스트'!$B:$F,5,0)</f>
        <v>#N/A</v>
      </c>
      <c r="U23" s="328">
        <f t="shared" si="9"/>
        <v>0</v>
      </c>
      <c r="V23" s="367"/>
      <c r="W23" s="78"/>
      <c r="X23" s="78"/>
      <c r="Y23" s="79"/>
      <c r="Z23" s="80"/>
    </row>
    <row r="24" spans="1:26" s="28" customFormat="1" ht="24.95" customHeight="1">
      <c r="B24" s="221">
        <v>13</v>
      </c>
      <c r="C24" s="364"/>
      <c r="D24" s="82"/>
      <c r="E24" s="85"/>
      <c r="F24" s="446"/>
      <c r="G24" s="224"/>
      <c r="H24" s="341"/>
      <c r="I24" s="342"/>
      <c r="J24" s="343"/>
      <c r="K24" s="339"/>
      <c r="L24" s="326"/>
      <c r="M24" s="87"/>
      <c r="N24" s="88"/>
      <c r="O24" s="89"/>
      <c r="P24" s="450"/>
      <c r="R24" s="75" t="e">
        <f>VLOOKUP(F24,'파레트 제품 리스트'!$B:$F,4,0)</f>
        <v>#N/A</v>
      </c>
      <c r="S24" s="76" t="e">
        <f>VLOOKUP(F24,'파레트 제품 리스트'!$B:$F,5,0)</f>
        <v>#N/A</v>
      </c>
      <c r="U24" s="328">
        <f t="shared" si="9"/>
        <v>0</v>
      </c>
      <c r="V24" s="367"/>
      <c r="W24" s="78"/>
      <c r="X24" s="78"/>
      <c r="Y24" s="79"/>
      <c r="Z24" s="80"/>
    </row>
    <row r="25" spans="1:26" s="28" customFormat="1" ht="24.95" customHeight="1">
      <c r="B25" s="221">
        <v>14</v>
      </c>
      <c r="C25" s="364"/>
      <c r="D25" s="82"/>
      <c r="E25" s="85" t="str">
        <f>IF($D25&lt;&gt;0,VLOOKUP($D25,$D$45:$E$71,2,FALSE),"")</f>
        <v/>
      </c>
      <c r="F25" s="446"/>
      <c r="G25" s="224" t="str">
        <f>IF($F25&lt;&gt;0,VLOOKUP($F25,$E$73:$M$529,2,FALSE),"")</f>
        <v/>
      </c>
      <c r="H25" s="341"/>
      <c r="I25" s="342"/>
      <c r="J25" s="343" t="str">
        <f>IF($F25&lt;&gt;0,VLOOKUP($F25,$E$73:$M$529,7,FALSE),"")</f>
        <v/>
      </c>
      <c r="K25" s="339" t="str">
        <f>IF($F25&lt;&gt;0,VLOOKUP($F25,$E$73:$M$529,8,FALSE),"")</f>
        <v/>
      </c>
      <c r="L25" s="326"/>
      <c r="M25" s="87" t="str">
        <f>IF($L25&lt;&gt;0,VLOOKUP($F25,$E$73:$M$529,9,FALSE)*$L25,"")</f>
        <v/>
      </c>
      <c r="N25" s="88"/>
      <c r="O25" s="89" t="str">
        <f t="shared" si="8"/>
        <v/>
      </c>
      <c r="P25" s="450"/>
      <c r="R25" s="75" t="e">
        <f>VLOOKUP(F25,'파레트 제품 리스트'!$B:$F,4,0)</f>
        <v>#N/A</v>
      </c>
      <c r="S25" s="76" t="e">
        <f>VLOOKUP(F25,'파레트 제품 리스트'!$B:$F,5,0)</f>
        <v>#N/A</v>
      </c>
      <c r="U25" s="328" t="e">
        <f t="shared" si="9"/>
        <v>#VALUE!</v>
      </c>
      <c r="V25" s="367" t="e">
        <f>VLOOKUP(F25,미출!$D:$F,3,0)</f>
        <v>#N/A</v>
      </c>
      <c r="W25" s="78">
        <f>COUNTIF($F$11:$F$11,F25)</f>
        <v>0</v>
      </c>
      <c r="X25" s="78" t="e">
        <f>VLOOKUP(F25,#REF!,7,0)</f>
        <v>#REF!</v>
      </c>
      <c r="Y25" s="79"/>
      <c r="Z25" s="80" t="b">
        <f t="shared" ref="Z25:Z26" si="10">N25=Y25</f>
        <v>1</v>
      </c>
    </row>
    <row r="26" spans="1:26" s="28" customFormat="1" ht="24.95" customHeight="1" thickBot="1">
      <c r="B26" s="355"/>
      <c r="C26" s="435"/>
      <c r="D26" s="90"/>
      <c r="E26" s="92" t="str">
        <f>IF($D26&lt;&gt;0,VLOOKUP($D26,$D$45:$E$70,2,FALSE),"")</f>
        <v/>
      </c>
      <c r="F26" s="513"/>
      <c r="G26" s="227" t="str">
        <f>IF($F26&lt;&gt;0,VLOOKUP($F26,$E$73:$M$538,2,FALSE),"")</f>
        <v/>
      </c>
      <c r="H26" s="228"/>
      <c r="I26" s="229"/>
      <c r="J26" s="91" t="str">
        <f>IF($F26&lt;&gt;0,VLOOKUP($F26,$E$73:$M$538,7,FALSE),"")</f>
        <v/>
      </c>
      <c r="K26" s="92" t="str">
        <f>IF($F26&lt;&gt;0,VLOOKUP($F26,$E$73:$M$538,8,FALSE),"")</f>
        <v/>
      </c>
      <c r="L26" s="512"/>
      <c r="M26" s="94" t="str">
        <f>IF($L26&lt;&gt;0,VLOOKUP($F26,$E$73:$M$521,9,FALSE)*$L26,"")</f>
        <v/>
      </c>
      <c r="N26" s="95" t="str">
        <f>IF($F26&lt;&gt;0,VLOOKUP($F26,$E$53:$L$537,5,FALSE),"")</f>
        <v/>
      </c>
      <c r="O26" s="96" t="str">
        <f t="shared" si="8"/>
        <v/>
      </c>
      <c r="P26" s="451"/>
      <c r="R26" s="75" t="e">
        <f>VLOOKUP(F26,'파레트 제품 리스트'!$B:$F,4,0)</f>
        <v>#N/A</v>
      </c>
      <c r="S26" s="76" t="e">
        <f>VLOOKUP(F26,'파레트 제품 리스트'!$B:$F,5,0)</f>
        <v>#N/A</v>
      </c>
      <c r="U26" s="328" t="e">
        <f t="shared" si="9"/>
        <v>#VALUE!</v>
      </c>
      <c r="V26" s="367" t="e">
        <f>VLOOKUP(F26,미출!$D:$F,3,0)</f>
        <v>#N/A</v>
      </c>
      <c r="W26" s="78">
        <f>COUNTIF($F$11:$F$11,F26)</f>
        <v>0</v>
      </c>
      <c r="X26" s="78" t="e">
        <f>VLOOKUP(F26,#REF!,7,0)</f>
        <v>#REF!</v>
      </c>
      <c r="Y26" s="79"/>
      <c r="Z26" s="80" t="b">
        <f t="shared" si="10"/>
        <v>1</v>
      </c>
    </row>
    <row r="27" spans="1:26" s="43" customFormat="1" ht="12" customHeight="1" thickTop="1" thickBot="1">
      <c r="A27" s="4"/>
      <c r="B27" s="105"/>
      <c r="C27" s="105"/>
      <c r="D27" s="130"/>
      <c r="E27" s="105"/>
      <c r="F27" s="372"/>
      <c r="G27" s="373"/>
      <c r="H27" s="373"/>
      <c r="I27" s="374"/>
      <c r="J27" s="375" t="str">
        <f>IF($F27&lt;&gt;0,VLOOKUP($F27,$E$82:$M$451,7,FALSE),"")</f>
        <v/>
      </c>
      <c r="K27" s="372" t="str">
        <f>IF($F27&lt;&gt;0,VLOOKUP($F27,$E$82:$M$451,8,FALSE),"")</f>
        <v/>
      </c>
      <c r="L27" s="376"/>
      <c r="M27" s="376" t="str">
        <f>IF($L27&lt;&gt;0,VLOOKUP($F27,$E$82:$M$451,9,FALSE)*$L27,"")</f>
        <v/>
      </c>
      <c r="N27" s="100" t="str">
        <f>IF($F27&lt;&gt;0,VLOOKUP($F27,$E$82:$M$451,5,FALSE),"")</f>
        <v/>
      </c>
      <c r="O27" s="100" t="str">
        <f t="shared" si="8"/>
        <v/>
      </c>
      <c r="P27" s="100"/>
      <c r="U27" s="55"/>
      <c r="V27" s="105"/>
      <c r="W27" s="20"/>
      <c r="X27" s="78"/>
    </row>
    <row r="28" spans="1:26" s="43" customFormat="1" ht="18" customHeight="1" thickBot="1">
      <c r="A28" s="4"/>
      <c r="B28" s="105"/>
      <c r="C28" s="105"/>
      <c r="D28" s="100"/>
      <c r="E28" s="105"/>
      <c r="F28" s="105"/>
      <c r="G28" s="100"/>
      <c r="H28" s="100"/>
      <c r="I28" s="612" t="s">
        <v>18</v>
      </c>
      <c r="J28" s="106" t="s">
        <v>413</v>
      </c>
      <c r="K28" s="107">
        <f>SUM(M12:M26)</f>
        <v>10000</v>
      </c>
      <c r="L28" s="100"/>
      <c r="M28" s="614" t="s">
        <v>19</v>
      </c>
      <c r="N28" s="108" t="s">
        <v>20</v>
      </c>
      <c r="O28" s="616">
        <f>SUM(O12:O27)</f>
        <v>29250000</v>
      </c>
      <c r="P28" s="617"/>
      <c r="U28" s="55"/>
      <c r="V28" s="105"/>
      <c r="W28" s="20"/>
      <c r="X28" s="21"/>
    </row>
    <row r="29" spans="1:26" s="43" customFormat="1" ht="18" customHeight="1" thickBot="1">
      <c r="A29" s="4"/>
      <c r="B29" s="105"/>
      <c r="C29" s="105"/>
      <c r="D29" s="100"/>
      <c r="E29"/>
      <c r="F29" s="105"/>
      <c r="G29" s="100"/>
      <c r="H29" s="100"/>
      <c r="I29" s="613"/>
      <c r="J29" s="109" t="s">
        <v>414</v>
      </c>
      <c r="K29" s="110">
        <f>$K$28/200</f>
        <v>50</v>
      </c>
      <c r="L29" s="100"/>
      <c r="M29" s="615"/>
      <c r="N29" s="111" t="s">
        <v>21</v>
      </c>
      <c r="O29" s="618">
        <f>O28*1.1</f>
        <v>32175000.000000004</v>
      </c>
      <c r="P29" s="619"/>
      <c r="U29" s="55"/>
      <c r="V29" s="105"/>
      <c r="W29" s="20"/>
      <c r="X29" s="21"/>
    </row>
    <row r="30" spans="1:26" s="43" customFormat="1" ht="16.5" customHeight="1">
      <c r="B30" s="21"/>
      <c r="C30" s="21"/>
      <c r="E30"/>
      <c r="F30" s="21"/>
      <c r="I30" s="42"/>
      <c r="J30" s="61"/>
      <c r="K30" s="21"/>
      <c r="U30" s="42"/>
      <c r="V30" s="105"/>
      <c r="W30" s="21"/>
      <c r="X30" s="21"/>
    </row>
    <row r="31" spans="1:26" ht="16.5" customHeight="1">
      <c r="K31" s="58"/>
      <c r="S31" s="43"/>
    </row>
    <row r="32" spans="1:26" ht="16.5" customHeight="1">
      <c r="A32" s="43"/>
      <c r="L32" s="362" t="e">
        <f>#REF!+#REF!+#REF!+#REF!</f>
        <v>#REF!</v>
      </c>
      <c r="P32" s="12"/>
      <c r="S32" s="43"/>
    </row>
    <row r="33" spans="1:26" ht="16.5" customHeight="1">
      <c r="L33" s="362" t="e">
        <f>+#REF!+#REF!+#REF!+#REF!</f>
        <v>#REF!</v>
      </c>
      <c r="P33" s="12"/>
    </row>
    <row r="34" spans="1:26" ht="16.5" customHeight="1">
      <c r="L34" s="363" t="e">
        <f>L33-L32</f>
        <v>#REF!</v>
      </c>
      <c r="P34" s="12"/>
      <c r="Y34"/>
    </row>
    <row r="35" spans="1:26" ht="16.5" customHeight="1">
      <c r="L35" s="1"/>
    </row>
    <row r="36" spans="1:26" ht="16.5" customHeight="1"/>
    <row r="37" spans="1:26" ht="16.5" customHeight="1"/>
    <row r="38" spans="1:26" ht="16.5" customHeight="1"/>
    <row r="39" spans="1:26" ht="16.5" customHeight="1"/>
    <row r="40" spans="1:26" s="3" customFormat="1" ht="16.5" customHeight="1" thickBot="1">
      <c r="B40" s="2"/>
      <c r="C40" s="2"/>
      <c r="E40" s="2"/>
      <c r="F40" s="2"/>
      <c r="I40" s="13"/>
      <c r="J40" s="16"/>
      <c r="K40" s="2"/>
      <c r="U40" s="45"/>
      <c r="V40" s="366"/>
      <c r="W40" s="56"/>
      <c r="X40" s="56"/>
      <c r="Y40" s="81"/>
      <c r="Z40" s="81"/>
    </row>
    <row r="41" spans="1:26" s="43" customFormat="1" ht="13.5" customHeight="1">
      <c r="A41"/>
      <c r="B41" s="598" t="s">
        <v>22</v>
      </c>
      <c r="C41" s="599"/>
      <c r="D41" s="599"/>
      <c r="E41" s="600"/>
      <c r="F41" s="1"/>
      <c r="G41"/>
      <c r="H41"/>
      <c r="I41" s="12"/>
      <c r="J41" s="15"/>
      <c r="K41" s="1"/>
      <c r="L41"/>
      <c r="M41"/>
      <c r="N41"/>
      <c r="O41"/>
      <c r="P41"/>
      <c r="Q41"/>
      <c r="R41"/>
      <c r="S41"/>
      <c r="T41"/>
      <c r="U41" s="42"/>
      <c r="V41" s="105"/>
      <c r="W41" s="21"/>
      <c r="X41" s="21"/>
    </row>
    <row r="42" spans="1:26" s="43" customFormat="1" ht="14.25" customHeight="1" thickBot="1">
      <c r="A42"/>
      <c r="B42" s="601"/>
      <c r="C42" s="602"/>
      <c r="D42" s="602"/>
      <c r="E42" s="603"/>
      <c r="F42" s="1"/>
      <c r="G42"/>
      <c r="H42"/>
      <c r="I42" s="12"/>
      <c r="J42" s="15"/>
      <c r="K42" s="1"/>
      <c r="L42"/>
      <c r="M42"/>
      <c r="N42"/>
      <c r="O42"/>
      <c r="P42"/>
      <c r="Q42"/>
      <c r="R42"/>
      <c r="S42"/>
      <c r="T42"/>
      <c r="U42" s="42"/>
      <c r="V42" s="105"/>
      <c r="W42" s="21"/>
      <c r="X42" s="21"/>
    </row>
    <row r="43" spans="1:26" s="43" customFormat="1" ht="14.25" customHeight="1">
      <c r="A43"/>
      <c r="B43" s="269"/>
      <c r="C43" s="269"/>
      <c r="D43" s="269"/>
      <c r="E43" s="269"/>
      <c r="F43" s="1"/>
      <c r="G43"/>
      <c r="H43"/>
      <c r="I43" s="260"/>
      <c r="J43" s="261"/>
      <c r="K43" s="1"/>
      <c r="L43"/>
      <c r="M43"/>
      <c r="N43"/>
      <c r="O43"/>
      <c r="P43"/>
      <c r="Q43"/>
      <c r="R43"/>
      <c r="S43"/>
      <c r="T43"/>
      <c r="U43" s="285"/>
      <c r="V43" s="105"/>
      <c r="W43" s="21"/>
      <c r="X43" s="21"/>
    </row>
    <row r="44" spans="1:26" s="43" customFormat="1" ht="14.25" customHeight="1">
      <c r="A44"/>
      <c r="B44" s="269"/>
      <c r="C44" s="269"/>
      <c r="D44" s="259" t="s">
        <v>76</v>
      </c>
      <c r="E44" s="259" t="s">
        <v>23</v>
      </c>
      <c r="F44" s="1"/>
      <c r="G44" s="280" t="s">
        <v>77</v>
      </c>
      <c r="H44" s="286" t="s">
        <v>16</v>
      </c>
      <c r="I44" s="232"/>
      <c r="J44" s="232"/>
      <c r="K44" s="233"/>
      <c r="L44"/>
      <c r="M44" s="274" t="s">
        <v>14</v>
      </c>
      <c r="N44" s="259" t="s">
        <v>15</v>
      </c>
      <c r="O44" s="259"/>
      <c r="P44"/>
      <c r="Q44"/>
      <c r="R44"/>
      <c r="S44"/>
      <c r="T44"/>
      <c r="U44" s="285"/>
      <c r="V44" s="105"/>
      <c r="W44" s="21"/>
      <c r="X44" s="21"/>
    </row>
    <row r="45" spans="1:26" s="43" customFormat="1">
      <c r="A45"/>
      <c r="B45" s="1"/>
      <c r="C45" s="1"/>
      <c r="D45" s="281" t="s">
        <v>955</v>
      </c>
      <c r="E45" s="282">
        <v>194667</v>
      </c>
      <c r="F45" s="1"/>
      <c r="G45" s="281" t="s">
        <v>845</v>
      </c>
      <c r="H45" s="284" t="s">
        <v>792</v>
      </c>
      <c r="I45" s="275"/>
      <c r="J45" s="276"/>
      <c r="K45" s="254"/>
      <c r="L45" s="28"/>
      <c r="M45" s="255"/>
      <c r="N45" s="255"/>
      <c r="O45" s="255"/>
      <c r="P45"/>
      <c r="Q45"/>
      <c r="R45"/>
      <c r="S45"/>
      <c r="T45"/>
      <c r="U45" s="42"/>
      <c r="V45" s="105"/>
      <c r="W45" s="21"/>
      <c r="X45" s="21"/>
    </row>
    <row r="46" spans="1:26" s="28" customFormat="1" ht="13.5" customHeight="1">
      <c r="B46" s="21"/>
      <c r="C46" s="21"/>
      <c r="D46" s="281" t="s">
        <v>753</v>
      </c>
      <c r="E46" s="282">
        <v>200584</v>
      </c>
      <c r="F46" s="20"/>
      <c r="G46" s="281" t="s">
        <v>801</v>
      </c>
      <c r="H46" s="284" t="s">
        <v>792</v>
      </c>
      <c r="I46" s="275"/>
      <c r="J46" s="276"/>
      <c r="K46" s="254"/>
      <c r="M46" s="255"/>
      <c r="N46" s="255"/>
      <c r="O46" s="255"/>
      <c r="U46" s="29"/>
      <c r="V46" s="105"/>
      <c r="W46" s="20"/>
      <c r="X46" s="20"/>
    </row>
    <row r="47" spans="1:26" s="28" customFormat="1" ht="13.5" customHeight="1">
      <c r="B47" s="21"/>
      <c r="C47" s="21"/>
      <c r="D47" s="281" t="s">
        <v>26</v>
      </c>
      <c r="E47" s="282">
        <v>194729</v>
      </c>
      <c r="F47" s="20"/>
      <c r="G47" s="281" t="s">
        <v>794</v>
      </c>
      <c r="H47" s="284" t="s">
        <v>792</v>
      </c>
      <c r="I47" s="275"/>
      <c r="J47" s="276"/>
      <c r="K47" s="254"/>
      <c r="M47" s="255"/>
      <c r="N47" s="255"/>
      <c r="O47" s="255"/>
      <c r="U47" s="29"/>
      <c r="V47" s="105"/>
      <c r="W47" s="20"/>
      <c r="X47" s="20"/>
    </row>
    <row r="48" spans="1:26" s="28" customFormat="1" ht="13.5" customHeight="1">
      <c r="B48" s="21"/>
      <c r="C48" s="21"/>
      <c r="D48" s="281" t="s">
        <v>817</v>
      </c>
      <c r="E48" s="282">
        <v>194638</v>
      </c>
      <c r="F48" s="20"/>
      <c r="G48" s="281" t="s">
        <v>807</v>
      </c>
      <c r="H48" s="284" t="s">
        <v>792</v>
      </c>
      <c r="I48" s="275"/>
      <c r="J48" s="276"/>
      <c r="K48" s="254"/>
      <c r="M48" s="255"/>
      <c r="N48" s="255"/>
      <c r="O48" s="255"/>
      <c r="U48" s="29"/>
      <c r="V48" s="105"/>
      <c r="W48" s="20"/>
      <c r="X48" s="20"/>
    </row>
    <row r="49" spans="2:24" s="28" customFormat="1" ht="13.5" customHeight="1">
      <c r="B49" s="21"/>
      <c r="C49" s="21"/>
      <c r="D49" s="281" t="s">
        <v>759</v>
      </c>
      <c r="E49" s="282">
        <v>202724</v>
      </c>
      <c r="F49" s="20"/>
      <c r="G49" s="281" t="s">
        <v>799</v>
      </c>
      <c r="H49" s="284" t="s">
        <v>792</v>
      </c>
      <c r="I49" s="275"/>
      <c r="J49" s="276"/>
      <c r="K49" s="254"/>
      <c r="M49" s="255"/>
      <c r="N49" s="255"/>
      <c r="O49" s="255"/>
      <c r="U49" s="29"/>
      <c r="V49" s="105"/>
      <c r="W49" s="20"/>
      <c r="X49" s="20"/>
    </row>
    <row r="50" spans="2:24" s="28" customFormat="1" ht="13.5" customHeight="1">
      <c r="B50" s="21"/>
      <c r="C50" s="21"/>
      <c r="D50" s="283" t="s">
        <v>785</v>
      </c>
      <c r="E50" s="282">
        <v>203805</v>
      </c>
      <c r="F50" s="20"/>
      <c r="G50" s="281" t="s">
        <v>800</v>
      </c>
      <c r="H50" s="284" t="s">
        <v>792</v>
      </c>
      <c r="I50" s="275"/>
      <c r="J50" s="276"/>
      <c r="K50" s="254"/>
      <c r="M50" s="255"/>
      <c r="N50" s="255"/>
      <c r="O50" s="255"/>
      <c r="U50" s="29"/>
      <c r="V50" s="105"/>
      <c r="W50" s="20"/>
      <c r="X50" s="20"/>
    </row>
    <row r="51" spans="2:24" s="28" customFormat="1" ht="13.5" customHeight="1">
      <c r="B51" s="21"/>
      <c r="C51" s="21"/>
      <c r="D51" s="281" t="s">
        <v>788</v>
      </c>
      <c r="E51" s="282">
        <v>215691</v>
      </c>
      <c r="F51" s="20"/>
      <c r="G51" s="281" t="s">
        <v>805</v>
      </c>
      <c r="H51" s="284" t="s">
        <v>792</v>
      </c>
      <c r="I51" s="275"/>
      <c r="J51" s="276"/>
      <c r="K51" s="254"/>
      <c r="M51" s="255"/>
      <c r="N51" s="255"/>
      <c r="O51" s="255"/>
      <c r="U51" s="29"/>
      <c r="V51" s="105"/>
      <c r="W51" s="20"/>
      <c r="X51" s="20"/>
    </row>
    <row r="52" spans="2:24" s="28" customFormat="1" ht="13.5" customHeight="1">
      <c r="B52" s="21"/>
      <c r="C52" s="21"/>
      <c r="D52" s="281" t="s">
        <v>814</v>
      </c>
      <c r="E52" s="282">
        <v>208008</v>
      </c>
      <c r="F52" s="20"/>
      <c r="G52" s="281" t="s">
        <v>808</v>
      </c>
      <c r="H52" s="284" t="s">
        <v>792</v>
      </c>
      <c r="I52" s="275"/>
      <c r="J52" s="276"/>
      <c r="K52" s="254"/>
      <c r="M52" s="255"/>
      <c r="N52" s="255"/>
      <c r="O52" s="255"/>
      <c r="U52" s="29"/>
      <c r="V52" s="105"/>
      <c r="W52" s="20"/>
      <c r="X52" s="20"/>
    </row>
    <row r="53" spans="2:24" s="28" customFormat="1" ht="13.5" customHeight="1">
      <c r="B53" s="21"/>
      <c r="C53" s="21"/>
      <c r="D53" s="281" t="s">
        <v>815</v>
      </c>
      <c r="E53" s="282">
        <v>207998</v>
      </c>
      <c r="F53" s="20"/>
      <c r="G53" s="281" t="s">
        <v>802</v>
      </c>
      <c r="H53" s="284" t="s">
        <v>792</v>
      </c>
      <c r="I53" s="275"/>
      <c r="J53" s="276"/>
      <c r="K53" s="254"/>
      <c r="M53" s="255"/>
      <c r="N53" s="255"/>
      <c r="O53" s="255"/>
      <c r="R53" s="28" t="s">
        <v>861</v>
      </c>
      <c r="U53" s="29"/>
      <c r="V53" s="105"/>
      <c r="W53" s="20"/>
      <c r="X53" s="20"/>
    </row>
    <row r="54" spans="2:24" s="28" customFormat="1" ht="13.5" customHeight="1">
      <c r="B54" s="21"/>
      <c r="C54" s="21"/>
      <c r="D54" s="281" t="s">
        <v>813</v>
      </c>
      <c r="E54" s="282">
        <v>194819</v>
      </c>
      <c r="F54" s="20"/>
      <c r="G54" s="281" t="s">
        <v>74</v>
      </c>
      <c r="H54" s="284" t="s">
        <v>818</v>
      </c>
      <c r="I54" s="275"/>
      <c r="J54" s="276"/>
      <c r="K54" s="254"/>
      <c r="M54" s="255"/>
      <c r="N54" s="255"/>
      <c r="O54" s="255"/>
      <c r="U54" s="29"/>
      <c r="V54" s="105"/>
      <c r="W54" s="20"/>
      <c r="X54" s="20"/>
    </row>
    <row r="55" spans="2:24" s="28" customFormat="1" ht="13.5" customHeight="1">
      <c r="B55" s="21"/>
      <c r="C55" s="21"/>
      <c r="D55" s="283" t="s">
        <v>816</v>
      </c>
      <c r="E55" s="282">
        <v>229113</v>
      </c>
      <c r="F55" s="20"/>
      <c r="G55" s="281" t="s">
        <v>809</v>
      </c>
      <c r="H55" s="284" t="s">
        <v>792</v>
      </c>
      <c r="I55" s="275"/>
      <c r="J55" s="276"/>
      <c r="K55" s="254"/>
      <c r="M55" s="255"/>
      <c r="N55" s="255"/>
      <c r="O55" s="255"/>
      <c r="U55" s="29"/>
      <c r="V55" s="105"/>
      <c r="W55" s="20"/>
      <c r="X55" s="20"/>
    </row>
    <row r="56" spans="2:24" s="28" customFormat="1" ht="13.5" customHeight="1">
      <c r="B56" s="21"/>
      <c r="C56" s="21"/>
      <c r="D56" s="281" t="s">
        <v>812</v>
      </c>
      <c r="E56" s="282">
        <v>237074</v>
      </c>
      <c r="F56" s="20"/>
      <c r="G56" s="281" t="s">
        <v>811</v>
      </c>
      <c r="H56" s="284" t="s">
        <v>819</v>
      </c>
      <c r="I56" s="275"/>
      <c r="J56" s="276"/>
      <c r="K56" s="254"/>
      <c r="M56" s="255"/>
      <c r="N56" s="255"/>
      <c r="O56" s="255"/>
      <c r="U56" s="29"/>
      <c r="V56" s="105"/>
      <c r="W56" s="20"/>
      <c r="X56" s="20"/>
    </row>
    <row r="57" spans="2:24" s="28" customFormat="1" ht="13.5" customHeight="1">
      <c r="B57" s="21"/>
      <c r="C57" s="21"/>
      <c r="D57" s="281" t="s">
        <v>833</v>
      </c>
      <c r="E57" s="282">
        <v>231778</v>
      </c>
      <c r="F57" s="20"/>
      <c r="G57" s="281" t="s">
        <v>810</v>
      </c>
      <c r="H57" s="284" t="s">
        <v>792</v>
      </c>
      <c r="I57" s="275"/>
      <c r="J57" s="276"/>
      <c r="K57" s="254"/>
      <c r="M57" s="255"/>
      <c r="N57" s="255"/>
      <c r="O57" s="255"/>
      <c r="U57" s="29"/>
      <c r="V57" s="105"/>
      <c r="W57" s="20"/>
      <c r="X57" s="20"/>
    </row>
    <row r="58" spans="2:24" s="28" customFormat="1" ht="13.5" customHeight="1">
      <c r="B58" s="21"/>
      <c r="C58" s="21"/>
      <c r="D58" s="283" t="s">
        <v>894</v>
      </c>
      <c r="E58" s="282">
        <v>272022</v>
      </c>
      <c r="F58" s="20"/>
      <c r="G58" s="281"/>
      <c r="H58" s="284"/>
      <c r="I58" s="275"/>
      <c r="J58" s="276"/>
      <c r="K58" s="254"/>
      <c r="M58" s="283"/>
      <c r="N58" s="283"/>
      <c r="O58" s="283"/>
      <c r="U58" s="29"/>
      <c r="V58" s="105"/>
      <c r="W58" s="20"/>
      <c r="X58" s="20"/>
    </row>
    <row r="59" spans="2:24" s="28" customFormat="1" ht="13.5" customHeight="1">
      <c r="B59" s="21"/>
      <c r="C59" s="21"/>
      <c r="D59" s="283" t="s">
        <v>832</v>
      </c>
      <c r="E59" s="282">
        <v>211914</v>
      </c>
      <c r="F59" s="20"/>
      <c r="G59" s="281"/>
      <c r="H59" s="284"/>
      <c r="I59" s="275"/>
      <c r="J59" s="276"/>
      <c r="K59" s="254"/>
      <c r="M59" s="255"/>
      <c r="N59" s="255"/>
      <c r="O59" s="255"/>
      <c r="U59" s="29"/>
      <c r="V59" s="105"/>
      <c r="W59" s="20"/>
      <c r="X59" s="20"/>
    </row>
    <row r="60" spans="2:24" s="28" customFormat="1" ht="13.5" customHeight="1">
      <c r="B60" s="21"/>
      <c r="C60" s="21"/>
      <c r="D60" s="283" t="s">
        <v>840</v>
      </c>
      <c r="E60" s="282">
        <v>238419</v>
      </c>
      <c r="F60" s="20"/>
      <c r="G60" s="281" t="s">
        <v>841</v>
      </c>
      <c r="H60" s="284" t="s">
        <v>842</v>
      </c>
      <c r="I60" s="277"/>
      <c r="J60" s="278"/>
      <c r="K60" s="20"/>
      <c r="M60" s="255"/>
      <c r="N60" s="255"/>
      <c r="O60" s="255"/>
      <c r="U60" s="29"/>
      <c r="V60" s="105"/>
      <c r="W60" s="20"/>
      <c r="X60" s="20"/>
    </row>
    <row r="61" spans="2:24" s="28" customFormat="1" ht="13.5" customHeight="1">
      <c r="B61" s="21"/>
      <c r="C61" s="21"/>
      <c r="D61" s="436" t="s">
        <v>897</v>
      </c>
      <c r="E61" s="20">
        <v>273231</v>
      </c>
      <c r="F61" s="20"/>
      <c r="G61" s="281"/>
      <c r="H61" s="284"/>
      <c r="I61" s="277"/>
      <c r="J61" s="278"/>
      <c r="K61" s="20"/>
      <c r="M61" s="255"/>
      <c r="N61" s="255"/>
      <c r="O61" s="255"/>
      <c r="U61" s="29"/>
      <c r="V61" s="105"/>
      <c r="W61" s="20"/>
      <c r="X61" s="20"/>
    </row>
    <row r="62" spans="2:24" s="28" customFormat="1" ht="13.5" customHeight="1">
      <c r="B62" s="21"/>
      <c r="C62" s="21"/>
      <c r="D62" s="436" t="s">
        <v>951</v>
      </c>
      <c r="E62" s="20">
        <v>278724</v>
      </c>
      <c r="F62" s="20"/>
      <c r="G62" s="281"/>
      <c r="H62" s="284"/>
      <c r="I62" s="277"/>
      <c r="J62" s="278"/>
      <c r="K62" s="20"/>
      <c r="M62" s="255"/>
      <c r="N62" s="255"/>
      <c r="O62" s="255"/>
      <c r="U62" s="29"/>
      <c r="V62" s="105"/>
      <c r="W62" s="20"/>
      <c r="X62" s="20"/>
    </row>
    <row r="63" spans="2:24" s="28" customFormat="1" ht="13.5" customHeight="1">
      <c r="B63" s="21"/>
      <c r="C63" s="21"/>
      <c r="D63" s="283" t="s">
        <v>884</v>
      </c>
      <c r="E63" s="282">
        <v>272022</v>
      </c>
      <c r="F63" s="20"/>
      <c r="G63" s="281"/>
      <c r="H63" s="284"/>
      <c r="I63" s="275"/>
      <c r="J63" s="276"/>
      <c r="K63" s="254"/>
      <c r="M63" s="255"/>
      <c r="N63" s="255"/>
      <c r="O63" s="255"/>
      <c r="U63" s="29"/>
      <c r="V63" s="105"/>
      <c r="W63" s="20"/>
      <c r="X63" s="20"/>
    </row>
    <row r="64" spans="2:24" s="28" customFormat="1" ht="13.5" customHeight="1">
      <c r="B64" s="21"/>
      <c r="C64" s="21"/>
      <c r="D64" s="281" t="s">
        <v>898</v>
      </c>
      <c r="E64" s="282">
        <v>273458</v>
      </c>
      <c r="F64" s="20"/>
      <c r="G64" s="43"/>
      <c r="H64" s="440"/>
      <c r="I64" s="441"/>
      <c r="J64" s="442"/>
      <c r="K64" s="443"/>
      <c r="M64" s="443"/>
      <c r="N64" s="443"/>
      <c r="O64" s="443"/>
      <c r="U64" s="29"/>
      <c r="V64" s="105"/>
      <c r="W64" s="20"/>
      <c r="X64" s="20"/>
    </row>
    <row r="65" spans="1:24" s="28" customFormat="1" ht="13.5" customHeight="1">
      <c r="B65" s="21"/>
      <c r="C65" s="21"/>
      <c r="D65" s="436" t="s">
        <v>952</v>
      </c>
      <c r="E65" s="20">
        <v>239950</v>
      </c>
      <c r="F65" s="20"/>
      <c r="G65" s="43"/>
      <c r="H65" s="440"/>
      <c r="I65" s="441"/>
      <c r="J65" s="442"/>
      <c r="K65" s="443"/>
      <c r="U65" s="29"/>
      <c r="V65" s="105"/>
      <c r="W65" s="20"/>
      <c r="X65" s="20"/>
    </row>
    <row r="66" spans="1:24" s="28" customFormat="1" ht="13.5" customHeight="1">
      <c r="B66" s="21"/>
      <c r="C66" s="21"/>
      <c r="D66" s="281" t="s">
        <v>898</v>
      </c>
      <c r="E66" s="282">
        <v>273458</v>
      </c>
      <c r="F66" s="20"/>
      <c r="G66" s="281"/>
      <c r="H66" s="284"/>
      <c r="I66" s="437"/>
      <c r="J66" s="444"/>
      <c r="K66" s="255"/>
      <c r="M66" s="255"/>
      <c r="N66" s="255"/>
      <c r="O66" s="255"/>
      <c r="U66" s="29"/>
      <c r="V66" s="105"/>
      <c r="W66" s="20"/>
      <c r="X66" s="20"/>
    </row>
    <row r="67" spans="1:24" s="28" customFormat="1" ht="13.5" customHeight="1">
      <c r="B67" s="21"/>
      <c r="C67" s="21"/>
      <c r="D67" s="281" t="s">
        <v>896</v>
      </c>
      <c r="E67" s="282">
        <v>273459</v>
      </c>
      <c r="F67" s="20"/>
      <c r="G67" s="281"/>
      <c r="H67" s="284"/>
      <c r="I67" s="275"/>
      <c r="J67" s="279"/>
      <c r="K67" s="254"/>
      <c r="M67" s="255"/>
      <c r="N67" s="255"/>
      <c r="O67" s="255"/>
      <c r="U67" s="29"/>
      <c r="V67" s="105"/>
      <c r="W67" s="20"/>
      <c r="X67" s="20"/>
    </row>
    <row r="68" spans="1:24" s="28" customFormat="1" ht="13.5" customHeight="1">
      <c r="B68" s="21"/>
      <c r="C68" s="21"/>
      <c r="D68" s="514" t="s">
        <v>954</v>
      </c>
      <c r="E68" s="20">
        <v>279329</v>
      </c>
      <c r="F68" s="20"/>
      <c r="G68" s="281"/>
      <c r="H68" s="284"/>
      <c r="I68" s="437"/>
      <c r="J68" s="438"/>
      <c r="K68" s="255"/>
      <c r="M68" s="255"/>
      <c r="N68" s="255"/>
      <c r="O68" s="255"/>
      <c r="U68" s="29"/>
      <c r="V68" s="105"/>
      <c r="W68" s="20"/>
      <c r="X68" s="20"/>
    </row>
    <row r="69" spans="1:24" s="28" customFormat="1" ht="13.5" customHeight="1">
      <c r="B69" s="21"/>
      <c r="C69" s="21"/>
      <c r="D69" s="514" t="s">
        <v>1061</v>
      </c>
      <c r="E69" s="20">
        <v>233943</v>
      </c>
      <c r="F69" s="20"/>
      <c r="G69" s="281"/>
      <c r="H69" s="284"/>
      <c r="I69" s="437"/>
      <c r="J69" s="438"/>
      <c r="K69" s="255"/>
      <c r="M69" s="255"/>
      <c r="N69" s="255"/>
      <c r="O69" s="255"/>
      <c r="U69" s="29"/>
      <c r="V69" s="105"/>
      <c r="W69" s="20"/>
      <c r="X69" s="20"/>
    </row>
    <row r="70" spans="1:24" s="28" customFormat="1" ht="13.5" customHeight="1">
      <c r="B70" s="21"/>
      <c r="C70" s="21"/>
      <c r="D70" s="436" t="s">
        <v>1057</v>
      </c>
      <c r="E70" s="1">
        <v>222604</v>
      </c>
      <c r="F70" s="20"/>
      <c r="G70" s="281"/>
      <c r="H70" s="284"/>
      <c r="I70" s="437"/>
      <c r="J70" s="438"/>
      <c r="K70" s="255"/>
      <c r="M70" s="255"/>
      <c r="N70" s="255"/>
      <c r="O70" s="255"/>
      <c r="U70" s="29"/>
      <c r="V70" s="105"/>
      <c r="W70" s="20"/>
      <c r="X70" s="20"/>
    </row>
    <row r="71" spans="1:24" s="43" customFormat="1" ht="14.25" thickBot="1">
      <c r="A71"/>
      <c r="B71" s="1"/>
      <c r="C71" s="1"/>
      <c r="D71"/>
      <c r="E71" s="1"/>
      <c r="F71" s="1"/>
      <c r="G71"/>
      <c r="H71"/>
      <c r="I71" s="260"/>
      <c r="J71" s="261"/>
      <c r="K71" s="1"/>
      <c r="L71"/>
      <c r="M71"/>
      <c r="N71"/>
      <c r="O71"/>
      <c r="P71"/>
      <c r="Q71"/>
      <c r="R71"/>
      <c r="S71"/>
      <c r="T71"/>
      <c r="U71" s="42"/>
      <c r="V71" s="100"/>
    </row>
    <row r="72" spans="1:24" s="43" customFormat="1" ht="18" customHeight="1" thickBot="1">
      <c r="A72"/>
      <c r="B72" s="1"/>
      <c r="C72" s="1"/>
      <c r="D72" s="604"/>
      <c r="E72" s="605"/>
      <c r="F72" s="1"/>
      <c r="G72"/>
      <c r="H72"/>
      <c r="I72" s="12"/>
      <c r="J72" s="15"/>
      <c r="K72" s="1"/>
      <c r="L72"/>
      <c r="M72"/>
      <c r="N72"/>
      <c r="O72"/>
      <c r="P72"/>
      <c r="Q72"/>
      <c r="R72"/>
      <c r="S72"/>
      <c r="T72"/>
      <c r="U72" s="42"/>
      <c r="V72" s="100"/>
    </row>
    <row r="73" spans="1:24" s="28" customFormat="1" ht="16.5" customHeight="1">
      <c r="D73" s="329" t="s">
        <v>27</v>
      </c>
      <c r="E73" s="330" t="s">
        <v>23</v>
      </c>
      <c r="F73" s="331" t="s">
        <v>28</v>
      </c>
      <c r="G73" s="332" t="s">
        <v>28</v>
      </c>
      <c r="H73" s="332" t="s">
        <v>28</v>
      </c>
      <c r="I73" s="333" t="s">
        <v>29</v>
      </c>
      <c r="J73" s="334" t="s">
        <v>30</v>
      </c>
      <c r="K73" s="335" t="s">
        <v>31</v>
      </c>
      <c r="L73" s="335" t="s">
        <v>32</v>
      </c>
      <c r="M73" s="335" t="s">
        <v>33</v>
      </c>
      <c r="U73" s="29"/>
      <c r="V73" s="100"/>
    </row>
    <row r="74" spans="1:24" s="28" customFormat="1" ht="16.5" customHeight="1">
      <c r="B74" s="20"/>
      <c r="C74" s="20"/>
      <c r="D74" s="255"/>
      <c r="E74" s="379">
        <v>135916</v>
      </c>
      <c r="F74" s="395" t="s">
        <v>516</v>
      </c>
      <c r="G74" s="460"/>
      <c r="H74" s="461"/>
      <c r="I74" s="462">
        <v>520000</v>
      </c>
      <c r="J74" s="398">
        <v>135916</v>
      </c>
      <c r="K74" s="399" t="s">
        <v>71</v>
      </c>
      <c r="L74" s="399" t="s">
        <v>34</v>
      </c>
      <c r="M74" s="399">
        <v>200</v>
      </c>
      <c r="N74" s="356">
        <v>547000</v>
      </c>
      <c r="O74" s="28" t="b">
        <v>1</v>
      </c>
    </row>
    <row r="75" spans="1:24" s="28" customFormat="1" ht="16.5" customHeight="1">
      <c r="B75" s="20"/>
      <c r="C75" s="20"/>
      <c r="D75" s="255"/>
      <c r="E75" s="379">
        <v>139029</v>
      </c>
      <c r="F75" s="395" t="s">
        <v>574</v>
      </c>
      <c r="G75" s="460"/>
      <c r="H75" s="461"/>
      <c r="I75" s="462">
        <v>508000</v>
      </c>
      <c r="J75" s="398">
        <v>139029</v>
      </c>
      <c r="K75" s="399" t="s">
        <v>71</v>
      </c>
      <c r="L75" s="399" t="s">
        <v>34</v>
      </c>
      <c r="M75" s="399">
        <v>200</v>
      </c>
      <c r="N75" s="356">
        <v>535000</v>
      </c>
      <c r="O75" s="28" t="b">
        <v>1</v>
      </c>
    </row>
    <row r="76" spans="1:24" s="28" customFormat="1" ht="16.5" customHeight="1">
      <c r="B76" s="20"/>
      <c r="C76" s="20"/>
      <c r="D76" s="255"/>
      <c r="E76" s="379">
        <v>139030</v>
      </c>
      <c r="F76" s="395" t="s">
        <v>236</v>
      </c>
      <c r="G76" s="460"/>
      <c r="H76" s="461"/>
      <c r="I76" s="462">
        <v>54300</v>
      </c>
      <c r="J76" s="398">
        <v>139030</v>
      </c>
      <c r="K76" s="399" t="s">
        <v>70</v>
      </c>
      <c r="L76" s="399" t="s">
        <v>34</v>
      </c>
      <c r="M76" s="399">
        <v>20</v>
      </c>
      <c r="N76" s="356">
        <v>54500</v>
      </c>
      <c r="O76" s="28" t="b">
        <v>1</v>
      </c>
    </row>
    <row r="77" spans="1:24" s="28" customFormat="1" ht="16.5" customHeight="1">
      <c r="B77" s="20"/>
      <c r="C77" s="20"/>
      <c r="D77" s="255"/>
      <c r="E77" s="379">
        <v>139084</v>
      </c>
      <c r="F77" s="395" t="s">
        <v>243</v>
      </c>
      <c r="G77" s="463"/>
      <c r="H77" s="464"/>
      <c r="I77" s="462">
        <v>55700</v>
      </c>
      <c r="J77" s="399">
        <v>139084</v>
      </c>
      <c r="K77" s="399" t="s">
        <v>70</v>
      </c>
      <c r="L77" s="399" t="s">
        <v>34</v>
      </c>
      <c r="M77" s="399">
        <v>20</v>
      </c>
      <c r="N77" s="356">
        <v>58600</v>
      </c>
      <c r="O77" s="28" t="b">
        <v>1</v>
      </c>
    </row>
    <row r="78" spans="1:24" s="28" customFormat="1" ht="16.5" customHeight="1">
      <c r="B78" s="20"/>
      <c r="C78" s="20"/>
      <c r="D78" s="255"/>
      <c r="E78" s="379">
        <v>139085</v>
      </c>
      <c r="F78" s="395" t="s">
        <v>593</v>
      </c>
      <c r="G78" s="463"/>
      <c r="H78" s="464"/>
      <c r="I78" s="462">
        <v>508000</v>
      </c>
      <c r="J78" s="398">
        <v>139085</v>
      </c>
      <c r="K78" s="399" t="s">
        <v>71</v>
      </c>
      <c r="L78" s="399" t="s">
        <v>34</v>
      </c>
      <c r="M78" s="399">
        <v>200</v>
      </c>
      <c r="N78" s="356">
        <v>535000</v>
      </c>
      <c r="O78" s="28" t="b">
        <v>1</v>
      </c>
    </row>
    <row r="79" spans="1:24" s="28" customFormat="1" ht="16.5" customHeight="1">
      <c r="B79" s="20"/>
      <c r="C79" s="20"/>
      <c r="D79" s="255"/>
      <c r="E79" s="379">
        <v>139086</v>
      </c>
      <c r="F79" s="395" t="s">
        <v>226</v>
      </c>
      <c r="G79" s="463"/>
      <c r="H79" s="464"/>
      <c r="I79" s="462">
        <v>54300</v>
      </c>
      <c r="J79" s="398">
        <v>139086</v>
      </c>
      <c r="K79" s="399" t="s">
        <v>70</v>
      </c>
      <c r="L79" s="399" t="s">
        <v>34</v>
      </c>
      <c r="M79" s="399">
        <v>20</v>
      </c>
      <c r="N79" s="356">
        <v>54500</v>
      </c>
      <c r="O79" s="28" t="b">
        <v>1</v>
      </c>
    </row>
    <row r="80" spans="1:24" s="28" customFormat="1" ht="16.5" customHeight="1">
      <c r="B80" s="20"/>
      <c r="C80" s="20"/>
      <c r="D80" s="255"/>
      <c r="E80" s="379">
        <v>139087</v>
      </c>
      <c r="F80" s="395" t="s">
        <v>594</v>
      </c>
      <c r="G80" s="463"/>
      <c r="H80" s="464"/>
      <c r="I80" s="462">
        <v>520000</v>
      </c>
      <c r="J80" s="398">
        <v>139087</v>
      </c>
      <c r="K80" s="399" t="s">
        <v>71</v>
      </c>
      <c r="L80" s="399" t="s">
        <v>34</v>
      </c>
      <c r="M80" s="399">
        <v>200</v>
      </c>
      <c r="N80" s="356">
        <v>547000</v>
      </c>
      <c r="O80" s="28" t="b">
        <v>1</v>
      </c>
    </row>
    <row r="81" spans="2:15" s="28" customFormat="1" ht="16.5" customHeight="1">
      <c r="B81" s="20"/>
      <c r="C81" s="20"/>
      <c r="D81" s="255"/>
      <c r="E81" s="379">
        <v>139088</v>
      </c>
      <c r="F81" s="395" t="s">
        <v>234</v>
      </c>
      <c r="G81" s="463"/>
      <c r="H81" s="464"/>
      <c r="I81" s="462">
        <v>55700</v>
      </c>
      <c r="J81" s="398">
        <v>139088</v>
      </c>
      <c r="K81" s="399" t="s">
        <v>70</v>
      </c>
      <c r="L81" s="399" t="s">
        <v>34</v>
      </c>
      <c r="M81" s="399">
        <v>20</v>
      </c>
      <c r="N81" s="356">
        <v>58600</v>
      </c>
      <c r="O81" s="28" t="b">
        <v>1</v>
      </c>
    </row>
    <row r="82" spans="2:15" s="28" customFormat="1" ht="16.5" customHeight="1">
      <c r="B82" s="20"/>
      <c r="C82" s="20"/>
      <c r="D82" s="254"/>
      <c r="E82" s="379">
        <v>120645</v>
      </c>
      <c r="F82" s="380" t="s">
        <v>53</v>
      </c>
      <c r="G82" s="381"/>
      <c r="H82" s="382"/>
      <c r="I82" s="383">
        <v>2213000</v>
      </c>
      <c r="J82" s="384">
        <v>120645</v>
      </c>
      <c r="K82" s="378" t="s">
        <v>71</v>
      </c>
      <c r="L82" s="378" t="s">
        <v>78</v>
      </c>
      <c r="M82" s="378">
        <v>200</v>
      </c>
      <c r="N82" s="356">
        <v>2213000</v>
      </c>
      <c r="O82" s="28" t="b">
        <f>I82=N82</f>
        <v>1</v>
      </c>
    </row>
    <row r="83" spans="2:15" s="28" customFormat="1" ht="16.5" customHeight="1">
      <c r="B83" s="20"/>
      <c r="C83" s="20"/>
      <c r="D83" s="254"/>
      <c r="E83" s="379">
        <v>122916</v>
      </c>
      <c r="F83" s="380" t="s">
        <v>54</v>
      </c>
      <c r="G83" s="381"/>
      <c r="H83" s="382"/>
      <c r="I83" s="383">
        <v>140000</v>
      </c>
      <c r="J83" s="384">
        <v>122916</v>
      </c>
      <c r="K83" s="378" t="s">
        <v>72</v>
      </c>
      <c r="L83" s="378" t="s">
        <v>78</v>
      </c>
      <c r="M83" s="378">
        <v>12</v>
      </c>
      <c r="N83" s="356">
        <v>140000</v>
      </c>
      <c r="O83" s="28" t="b">
        <f t="shared" ref="O83:O146" si="11">I83=N83</f>
        <v>1</v>
      </c>
    </row>
    <row r="84" spans="2:15" s="28" customFormat="1" ht="16.5" customHeight="1">
      <c r="B84" s="20"/>
      <c r="C84" s="20"/>
      <c r="D84" s="254"/>
      <c r="E84" s="379">
        <v>129171</v>
      </c>
      <c r="F84" s="380" t="s">
        <v>58</v>
      </c>
      <c r="G84" s="381"/>
      <c r="H84" s="382"/>
      <c r="I84" s="383">
        <v>59700</v>
      </c>
      <c r="J84" s="384">
        <v>129171</v>
      </c>
      <c r="K84" s="378" t="s">
        <v>70</v>
      </c>
      <c r="L84" s="378" t="s">
        <v>0</v>
      </c>
      <c r="M84" s="378">
        <v>20</v>
      </c>
      <c r="N84" s="356">
        <v>59700</v>
      </c>
      <c r="O84" s="28" t="b">
        <f t="shared" si="11"/>
        <v>1</v>
      </c>
    </row>
    <row r="85" spans="2:15" s="28" customFormat="1" ht="16.5" customHeight="1">
      <c r="B85" s="20"/>
      <c r="C85" s="20"/>
      <c r="D85" s="254"/>
      <c r="E85" s="379">
        <v>129174</v>
      </c>
      <c r="F85" s="380" t="s">
        <v>60</v>
      </c>
      <c r="G85" s="381"/>
      <c r="H85" s="382"/>
      <c r="I85" s="383">
        <v>70200</v>
      </c>
      <c r="J85" s="384">
        <v>129174</v>
      </c>
      <c r="K85" s="378" t="s">
        <v>70</v>
      </c>
      <c r="L85" s="378" t="s">
        <v>0</v>
      </c>
      <c r="M85" s="378">
        <v>20</v>
      </c>
      <c r="N85" s="356">
        <v>70200</v>
      </c>
      <c r="O85" s="28" t="b">
        <f t="shared" si="11"/>
        <v>1</v>
      </c>
    </row>
    <row r="86" spans="2:15" s="28" customFormat="1" ht="16.5" customHeight="1">
      <c r="B86" s="20"/>
      <c r="C86" s="20"/>
      <c r="D86" s="254"/>
      <c r="E86" s="379">
        <v>134989</v>
      </c>
      <c r="F86" s="380" t="s">
        <v>42</v>
      </c>
      <c r="G86" s="381"/>
      <c r="H86" s="382"/>
      <c r="I86" s="383">
        <v>90900</v>
      </c>
      <c r="J86" s="384">
        <v>134989</v>
      </c>
      <c r="K86" s="378" t="s">
        <v>70</v>
      </c>
      <c r="L86" s="378" t="s">
        <v>0</v>
      </c>
      <c r="M86" s="378">
        <v>20</v>
      </c>
      <c r="N86" s="356">
        <v>90900</v>
      </c>
      <c r="O86" s="28" t="b">
        <f t="shared" si="11"/>
        <v>1</v>
      </c>
    </row>
    <row r="87" spans="2:15" s="28" customFormat="1" ht="16.5" customHeight="1">
      <c r="B87" s="20"/>
      <c r="C87" s="20"/>
      <c r="D87" s="254"/>
      <c r="E87" s="379">
        <v>135691</v>
      </c>
      <c r="F87" s="380" t="s">
        <v>62</v>
      </c>
      <c r="G87" s="381"/>
      <c r="H87" s="382"/>
      <c r="I87" s="383">
        <v>91100</v>
      </c>
      <c r="J87" s="384">
        <v>135691</v>
      </c>
      <c r="K87" s="378" t="s">
        <v>70</v>
      </c>
      <c r="L87" s="378" t="s">
        <v>0</v>
      </c>
      <c r="M87" s="378">
        <v>20</v>
      </c>
      <c r="N87" s="356">
        <v>91100</v>
      </c>
      <c r="O87" s="28" t="b">
        <f t="shared" si="11"/>
        <v>1</v>
      </c>
    </row>
    <row r="88" spans="2:15" s="28" customFormat="1" ht="16.5" customHeight="1">
      <c r="B88" s="20"/>
      <c r="C88" s="20"/>
      <c r="D88" s="254"/>
      <c r="E88" s="379">
        <v>138838</v>
      </c>
      <c r="F88" s="380" t="s">
        <v>40</v>
      </c>
      <c r="G88" s="381"/>
      <c r="H88" s="382"/>
      <c r="I88" s="383">
        <v>615000</v>
      </c>
      <c r="J88" s="384">
        <v>138838</v>
      </c>
      <c r="K88" s="378" t="s">
        <v>71</v>
      </c>
      <c r="L88" s="378" t="s">
        <v>0</v>
      </c>
      <c r="M88" s="378">
        <v>200</v>
      </c>
      <c r="N88" s="356">
        <v>615000</v>
      </c>
      <c r="O88" s="28" t="b">
        <f t="shared" si="11"/>
        <v>1</v>
      </c>
    </row>
    <row r="89" spans="2:15" s="28" customFormat="1" ht="16.5" customHeight="1">
      <c r="B89" s="20"/>
      <c r="C89" s="20"/>
      <c r="D89" s="254"/>
      <c r="E89" s="379">
        <v>138840</v>
      </c>
      <c r="F89" s="380" t="s">
        <v>87</v>
      </c>
      <c r="G89" s="381"/>
      <c r="H89" s="382"/>
      <c r="I89" s="383">
        <v>65600</v>
      </c>
      <c r="J89" s="384">
        <v>138840</v>
      </c>
      <c r="K89" s="378" t="s">
        <v>70</v>
      </c>
      <c r="L89" s="378" t="s">
        <v>0</v>
      </c>
      <c r="M89" s="378">
        <v>20</v>
      </c>
      <c r="N89" s="356">
        <v>65600</v>
      </c>
      <c r="O89" s="28" t="b">
        <f t="shared" si="11"/>
        <v>1</v>
      </c>
    </row>
    <row r="90" spans="2:15" s="28" customFormat="1" ht="16.5" customHeight="1">
      <c r="B90" s="20"/>
      <c r="C90" s="20"/>
      <c r="D90" s="254"/>
      <c r="E90" s="379">
        <v>138851</v>
      </c>
      <c r="F90" s="380" t="s">
        <v>48</v>
      </c>
      <c r="G90" s="381"/>
      <c r="H90" s="382"/>
      <c r="I90" s="383">
        <v>1193000</v>
      </c>
      <c r="J90" s="384">
        <v>138851</v>
      </c>
      <c r="K90" s="378" t="s">
        <v>71</v>
      </c>
      <c r="L90" s="378" t="s">
        <v>0</v>
      </c>
      <c r="M90" s="378">
        <v>208</v>
      </c>
      <c r="N90" s="356">
        <v>1193000</v>
      </c>
      <c r="O90" s="28" t="b">
        <f t="shared" si="11"/>
        <v>1</v>
      </c>
    </row>
    <row r="91" spans="2:15" s="28" customFormat="1" ht="16.5" customHeight="1">
      <c r="B91" s="20"/>
      <c r="C91" s="20"/>
      <c r="D91" s="254"/>
      <c r="E91" s="379">
        <v>138889</v>
      </c>
      <c r="F91" s="380" t="s">
        <v>55</v>
      </c>
      <c r="G91" s="381"/>
      <c r="H91" s="382"/>
      <c r="I91" s="383">
        <v>520000</v>
      </c>
      <c r="J91" s="384">
        <v>138889</v>
      </c>
      <c r="K91" s="378" t="s">
        <v>71</v>
      </c>
      <c r="L91" s="378" t="s">
        <v>0</v>
      </c>
      <c r="M91" s="378">
        <v>200</v>
      </c>
      <c r="N91" s="356">
        <v>520000</v>
      </c>
      <c r="O91" s="28" t="b">
        <f t="shared" si="11"/>
        <v>1</v>
      </c>
    </row>
    <row r="92" spans="2:15" s="28" customFormat="1" ht="16.5" customHeight="1">
      <c r="B92" s="20"/>
      <c r="C92" s="20"/>
      <c r="D92" s="254"/>
      <c r="E92" s="379">
        <v>138890</v>
      </c>
      <c r="F92" s="380" t="s">
        <v>56</v>
      </c>
      <c r="G92" s="381"/>
      <c r="H92" s="382"/>
      <c r="I92" s="383">
        <v>54000</v>
      </c>
      <c r="J92" s="384">
        <v>138890</v>
      </c>
      <c r="K92" s="378" t="s">
        <v>70</v>
      </c>
      <c r="L92" s="378" t="s">
        <v>0</v>
      </c>
      <c r="M92" s="378">
        <v>20</v>
      </c>
      <c r="N92" s="356">
        <v>54000</v>
      </c>
      <c r="O92" s="28" t="b">
        <f t="shared" si="11"/>
        <v>1</v>
      </c>
    </row>
    <row r="93" spans="2:15" s="28" customFormat="1" ht="16.5" customHeight="1">
      <c r="B93" s="20"/>
      <c r="C93" s="20"/>
      <c r="D93" s="254"/>
      <c r="E93" s="379">
        <v>138893</v>
      </c>
      <c r="F93" s="380" t="s">
        <v>57</v>
      </c>
      <c r="G93" s="381"/>
      <c r="H93" s="382"/>
      <c r="I93" s="383">
        <v>552000</v>
      </c>
      <c r="J93" s="384">
        <v>138893</v>
      </c>
      <c r="K93" s="378" t="s">
        <v>71</v>
      </c>
      <c r="L93" s="378" t="s">
        <v>0</v>
      </c>
      <c r="M93" s="378">
        <v>200</v>
      </c>
      <c r="N93" s="356">
        <v>552000</v>
      </c>
      <c r="O93" s="28" t="b">
        <f t="shared" si="11"/>
        <v>1</v>
      </c>
    </row>
    <row r="94" spans="2:15" s="28" customFormat="1" ht="16.5" customHeight="1">
      <c r="B94" s="20"/>
      <c r="C94" s="20"/>
      <c r="D94" s="254"/>
      <c r="E94" s="379">
        <v>138895</v>
      </c>
      <c r="F94" s="380" t="s">
        <v>59</v>
      </c>
      <c r="G94" s="381"/>
      <c r="H94" s="382"/>
      <c r="I94" s="383">
        <v>662000</v>
      </c>
      <c r="J94" s="384">
        <v>138895</v>
      </c>
      <c r="K94" s="378" t="s">
        <v>71</v>
      </c>
      <c r="L94" s="378" t="s">
        <v>0</v>
      </c>
      <c r="M94" s="378">
        <v>200</v>
      </c>
      <c r="N94" s="356">
        <v>662000</v>
      </c>
      <c r="O94" s="28" t="b">
        <f t="shared" si="11"/>
        <v>1</v>
      </c>
    </row>
    <row r="95" spans="2:15" s="28" customFormat="1" ht="16.5" customHeight="1">
      <c r="B95" s="20"/>
      <c r="C95" s="20"/>
      <c r="D95" s="254"/>
      <c r="E95" s="379">
        <v>138897</v>
      </c>
      <c r="F95" s="380" t="s">
        <v>61</v>
      </c>
      <c r="G95" s="381"/>
      <c r="H95" s="382"/>
      <c r="I95" s="383">
        <v>885000</v>
      </c>
      <c r="J95" s="384">
        <v>138897</v>
      </c>
      <c r="K95" s="378" t="s">
        <v>71</v>
      </c>
      <c r="L95" s="378" t="s">
        <v>0</v>
      </c>
      <c r="M95" s="378">
        <v>200</v>
      </c>
      <c r="N95" s="356">
        <v>885000</v>
      </c>
      <c r="O95" s="28" t="b">
        <f t="shared" si="11"/>
        <v>1</v>
      </c>
    </row>
    <row r="96" spans="2:15" s="28" customFormat="1" ht="16.5" customHeight="1">
      <c r="B96" s="20"/>
      <c r="C96" s="20"/>
      <c r="D96" s="254"/>
      <c r="E96" s="379">
        <v>138898</v>
      </c>
      <c r="F96" s="380" t="s">
        <v>63</v>
      </c>
      <c r="G96" s="381"/>
      <c r="H96" s="382"/>
      <c r="I96" s="383">
        <v>755000</v>
      </c>
      <c r="J96" s="384">
        <v>138898</v>
      </c>
      <c r="K96" s="378" t="s">
        <v>71</v>
      </c>
      <c r="L96" s="378" t="s">
        <v>0</v>
      </c>
      <c r="M96" s="378">
        <v>200</v>
      </c>
      <c r="N96" s="356">
        <v>755000</v>
      </c>
      <c r="O96" s="28" t="b">
        <f t="shared" si="11"/>
        <v>1</v>
      </c>
    </row>
    <row r="97" spans="2:15" s="28" customFormat="1" ht="16.5" customHeight="1">
      <c r="B97" s="20"/>
      <c r="C97" s="20"/>
      <c r="D97" s="254"/>
      <c r="E97" s="379">
        <v>138899</v>
      </c>
      <c r="F97" s="380" t="s">
        <v>64</v>
      </c>
      <c r="G97" s="381"/>
      <c r="H97" s="382"/>
      <c r="I97" s="383">
        <v>78100</v>
      </c>
      <c r="J97" s="384">
        <v>138899</v>
      </c>
      <c r="K97" s="378" t="s">
        <v>70</v>
      </c>
      <c r="L97" s="378" t="s">
        <v>0</v>
      </c>
      <c r="M97" s="378">
        <v>20</v>
      </c>
      <c r="N97" s="356">
        <v>78100</v>
      </c>
      <c r="O97" s="28" t="b">
        <f t="shared" si="11"/>
        <v>1</v>
      </c>
    </row>
    <row r="98" spans="2:15" s="28" customFormat="1" ht="16.5" customHeight="1">
      <c r="B98" s="20"/>
      <c r="C98" s="20"/>
      <c r="D98" s="254"/>
      <c r="E98" s="379">
        <v>139641</v>
      </c>
      <c r="F98" s="380" t="s">
        <v>90</v>
      </c>
      <c r="G98" s="381"/>
      <c r="H98" s="382"/>
      <c r="I98" s="383">
        <v>43600</v>
      </c>
      <c r="J98" s="384">
        <v>139641</v>
      </c>
      <c r="K98" s="378" t="s">
        <v>73</v>
      </c>
      <c r="L98" s="378" t="s">
        <v>0</v>
      </c>
      <c r="M98" s="378">
        <v>12</v>
      </c>
      <c r="N98" s="356">
        <v>43600</v>
      </c>
      <c r="O98" s="28" t="b">
        <f t="shared" si="11"/>
        <v>1</v>
      </c>
    </row>
    <row r="99" spans="2:15" s="28" customFormat="1" ht="16.5" customHeight="1">
      <c r="B99" s="20"/>
      <c r="C99" s="20"/>
      <c r="D99" s="254"/>
      <c r="E99" s="379">
        <v>139881</v>
      </c>
      <c r="F99" s="385" t="s">
        <v>101</v>
      </c>
      <c r="G99" s="386"/>
      <c r="H99" s="387"/>
      <c r="I99" s="383">
        <v>771000</v>
      </c>
      <c r="J99" s="384">
        <v>139881</v>
      </c>
      <c r="K99" s="378" t="s">
        <v>71</v>
      </c>
      <c r="L99" s="378" t="s">
        <v>78</v>
      </c>
      <c r="M99" s="378">
        <v>200</v>
      </c>
      <c r="N99" s="356">
        <v>771000</v>
      </c>
      <c r="O99" s="28" t="b">
        <f t="shared" si="11"/>
        <v>1</v>
      </c>
    </row>
    <row r="100" spans="2:15" s="28" customFormat="1" ht="16.5" customHeight="1">
      <c r="B100" s="20"/>
      <c r="C100" s="20"/>
      <c r="D100" s="254"/>
      <c r="E100" s="379">
        <v>140382</v>
      </c>
      <c r="F100" s="380" t="s">
        <v>83</v>
      </c>
      <c r="G100" s="381"/>
      <c r="H100" s="382"/>
      <c r="I100" s="383">
        <v>2212000</v>
      </c>
      <c r="J100" s="384">
        <v>140382</v>
      </c>
      <c r="K100" s="378" t="s">
        <v>71</v>
      </c>
      <c r="L100" s="378" t="s">
        <v>0</v>
      </c>
      <c r="M100" s="378">
        <v>208</v>
      </c>
      <c r="N100" s="356">
        <v>2212000</v>
      </c>
      <c r="O100" s="28" t="b">
        <f t="shared" si="11"/>
        <v>1</v>
      </c>
    </row>
    <row r="101" spans="2:15" s="28" customFormat="1" ht="16.5" customHeight="1">
      <c r="B101" s="20"/>
      <c r="C101" s="20"/>
      <c r="D101" s="254"/>
      <c r="E101" s="379">
        <v>140563</v>
      </c>
      <c r="F101" s="388" t="s">
        <v>124</v>
      </c>
      <c r="G101" s="389"/>
      <c r="H101" s="390"/>
      <c r="I101" s="383">
        <v>216000</v>
      </c>
      <c r="J101" s="391">
        <v>140563</v>
      </c>
      <c r="K101" s="392" t="s">
        <v>70</v>
      </c>
      <c r="L101" s="392" t="s">
        <v>0</v>
      </c>
      <c r="M101" s="392">
        <v>16</v>
      </c>
      <c r="N101" s="356">
        <v>216000</v>
      </c>
      <c r="O101" s="28" t="b">
        <f t="shared" si="11"/>
        <v>1</v>
      </c>
    </row>
    <row r="102" spans="2:15" s="28" customFormat="1" ht="16.5" customHeight="1">
      <c r="B102" s="20"/>
      <c r="C102" s="20"/>
      <c r="D102" s="254"/>
      <c r="E102" s="379">
        <v>143003</v>
      </c>
      <c r="F102" s="380" t="s">
        <v>132</v>
      </c>
      <c r="G102" s="381"/>
      <c r="H102" s="382"/>
      <c r="I102" s="383">
        <v>150000</v>
      </c>
      <c r="J102" s="384">
        <v>143003</v>
      </c>
      <c r="K102" s="378" t="s">
        <v>70</v>
      </c>
      <c r="L102" s="378" t="s">
        <v>0</v>
      </c>
      <c r="M102" s="378">
        <v>20</v>
      </c>
      <c r="N102" s="356">
        <v>150000</v>
      </c>
      <c r="O102" s="28" t="b">
        <f t="shared" si="11"/>
        <v>1</v>
      </c>
    </row>
    <row r="103" spans="2:15" s="28" customFormat="1" ht="16.5" customHeight="1">
      <c r="B103" s="20"/>
      <c r="C103" s="20"/>
      <c r="D103" s="254"/>
      <c r="E103" s="379">
        <v>143240</v>
      </c>
      <c r="F103" s="380" t="s">
        <v>746</v>
      </c>
      <c r="G103" s="381"/>
      <c r="H103" s="382"/>
      <c r="I103" s="383">
        <v>107800</v>
      </c>
      <c r="J103" s="384">
        <v>143240</v>
      </c>
      <c r="K103" s="378" t="s">
        <v>73</v>
      </c>
      <c r="L103" s="378" t="s">
        <v>0</v>
      </c>
      <c r="M103" s="378">
        <v>16</v>
      </c>
      <c r="N103" s="356">
        <v>107800</v>
      </c>
      <c r="O103" s="28" t="b">
        <f t="shared" si="11"/>
        <v>1</v>
      </c>
    </row>
    <row r="104" spans="2:15" s="28" customFormat="1" ht="16.5" customHeight="1">
      <c r="B104" s="20"/>
      <c r="C104" s="20"/>
      <c r="D104" s="254"/>
      <c r="E104" s="379">
        <v>138583</v>
      </c>
      <c r="F104" s="380" t="s">
        <v>740</v>
      </c>
      <c r="G104" s="381"/>
      <c r="H104" s="382"/>
      <c r="I104" s="383">
        <v>44600</v>
      </c>
      <c r="J104" s="378">
        <v>138583</v>
      </c>
      <c r="K104" s="378" t="s">
        <v>73</v>
      </c>
      <c r="L104" s="378" t="s">
        <v>741</v>
      </c>
      <c r="M104" s="378">
        <v>12</v>
      </c>
      <c r="N104" s="356" t="e">
        <v>#N/A</v>
      </c>
      <c r="O104" s="28" t="e">
        <f t="shared" si="11"/>
        <v>#N/A</v>
      </c>
    </row>
    <row r="105" spans="2:15" s="28" customFormat="1" ht="16.5" customHeight="1">
      <c r="B105" s="20"/>
      <c r="C105" s="20"/>
      <c r="D105" s="254"/>
      <c r="E105" s="379">
        <v>123205</v>
      </c>
      <c r="F105" s="380" t="s">
        <v>49</v>
      </c>
      <c r="G105" s="381"/>
      <c r="H105" s="382"/>
      <c r="I105" s="383">
        <v>60300</v>
      </c>
      <c r="J105" s="384">
        <v>123205</v>
      </c>
      <c r="K105" s="393" t="s">
        <v>73</v>
      </c>
      <c r="L105" s="378" t="s">
        <v>35</v>
      </c>
      <c r="M105" s="378">
        <v>6</v>
      </c>
      <c r="N105" s="356">
        <v>60300</v>
      </c>
      <c r="O105" s="28" t="b">
        <f t="shared" si="11"/>
        <v>1</v>
      </c>
    </row>
    <row r="106" spans="2:15" s="28" customFormat="1" ht="16.5" customHeight="1">
      <c r="B106" s="20"/>
      <c r="C106" s="20"/>
      <c r="D106" s="254"/>
      <c r="E106" s="379">
        <v>124476</v>
      </c>
      <c r="F106" s="380" t="s">
        <v>52</v>
      </c>
      <c r="G106" s="381"/>
      <c r="H106" s="382"/>
      <c r="I106" s="383">
        <v>63200</v>
      </c>
      <c r="J106" s="384">
        <v>124476</v>
      </c>
      <c r="K106" s="378" t="s">
        <v>70</v>
      </c>
      <c r="L106" s="378" t="s">
        <v>79</v>
      </c>
      <c r="M106" s="378">
        <v>20</v>
      </c>
      <c r="N106" s="356">
        <v>63200</v>
      </c>
      <c r="O106" s="28" t="b">
        <f t="shared" si="11"/>
        <v>1</v>
      </c>
    </row>
    <row r="107" spans="2:15" s="28" customFormat="1" ht="16.5" customHeight="1">
      <c r="B107" s="20"/>
      <c r="C107" s="20"/>
      <c r="D107" s="254"/>
      <c r="E107" s="379">
        <v>135080</v>
      </c>
      <c r="F107" s="380" t="s">
        <v>44</v>
      </c>
      <c r="G107" s="381"/>
      <c r="H107" s="382"/>
      <c r="I107" s="383">
        <v>110000</v>
      </c>
      <c r="J107" s="378">
        <v>135080</v>
      </c>
      <c r="K107" s="393" t="s">
        <v>73</v>
      </c>
      <c r="L107" s="378" t="s">
        <v>35</v>
      </c>
      <c r="M107" s="378">
        <v>12</v>
      </c>
      <c r="N107" s="356">
        <v>110000</v>
      </c>
      <c r="O107" s="28" t="b">
        <f t="shared" si="11"/>
        <v>1</v>
      </c>
    </row>
    <row r="108" spans="2:15" s="28" customFormat="1" ht="16.5" customHeight="1">
      <c r="B108" s="20"/>
      <c r="C108" s="20"/>
      <c r="D108" s="254"/>
      <c r="E108" s="379">
        <v>138806</v>
      </c>
      <c r="F108" s="380" t="s">
        <v>50</v>
      </c>
      <c r="G108" s="381"/>
      <c r="H108" s="382"/>
      <c r="I108" s="383">
        <v>148600</v>
      </c>
      <c r="J108" s="384">
        <v>138806</v>
      </c>
      <c r="K108" s="378" t="s">
        <v>72</v>
      </c>
      <c r="L108" s="378" t="s">
        <v>35</v>
      </c>
      <c r="M108" s="378">
        <v>9.94</v>
      </c>
      <c r="N108" s="356">
        <v>148600</v>
      </c>
      <c r="O108" s="28" t="b">
        <f t="shared" si="11"/>
        <v>1</v>
      </c>
    </row>
    <row r="109" spans="2:15" s="28" customFormat="1" ht="16.5" customHeight="1">
      <c r="B109" s="20"/>
      <c r="C109" s="20"/>
      <c r="D109" s="254"/>
      <c r="E109" s="379">
        <v>138827</v>
      </c>
      <c r="F109" s="380" t="s">
        <v>51</v>
      </c>
      <c r="G109" s="381"/>
      <c r="H109" s="382"/>
      <c r="I109" s="383">
        <v>595000</v>
      </c>
      <c r="J109" s="384">
        <v>138827</v>
      </c>
      <c r="K109" s="378" t="s">
        <v>71</v>
      </c>
      <c r="L109" s="378" t="s">
        <v>35</v>
      </c>
      <c r="M109" s="378">
        <v>200</v>
      </c>
      <c r="N109" s="356">
        <v>595000</v>
      </c>
      <c r="O109" s="28" t="b">
        <f t="shared" si="11"/>
        <v>1</v>
      </c>
    </row>
    <row r="110" spans="2:15" s="28" customFormat="1" ht="16.5" customHeight="1">
      <c r="B110" s="20"/>
      <c r="C110" s="20"/>
      <c r="D110" s="254"/>
      <c r="E110" s="379">
        <v>138888</v>
      </c>
      <c r="F110" s="380" t="s">
        <v>102</v>
      </c>
      <c r="G110" s="381"/>
      <c r="H110" s="382"/>
      <c r="I110" s="383">
        <v>233000</v>
      </c>
      <c r="J110" s="384">
        <v>138888</v>
      </c>
      <c r="K110" s="378" t="s">
        <v>70</v>
      </c>
      <c r="L110" s="378" t="s">
        <v>79</v>
      </c>
      <c r="M110" s="378">
        <v>20</v>
      </c>
      <c r="N110" s="356">
        <v>233000</v>
      </c>
      <c r="O110" s="28" t="b">
        <f t="shared" si="11"/>
        <v>1</v>
      </c>
    </row>
    <row r="111" spans="2:15" s="28" customFormat="1" ht="16.5" customHeight="1">
      <c r="B111" s="20"/>
      <c r="C111" s="20"/>
      <c r="D111" s="254"/>
      <c r="E111" s="379">
        <v>138892</v>
      </c>
      <c r="F111" s="380" t="s">
        <v>85</v>
      </c>
      <c r="G111" s="381"/>
      <c r="H111" s="382"/>
      <c r="I111" s="383">
        <v>46500</v>
      </c>
      <c r="J111" s="384">
        <v>138892</v>
      </c>
      <c r="K111" s="378" t="s">
        <v>72</v>
      </c>
      <c r="L111" s="378" t="s">
        <v>35</v>
      </c>
      <c r="M111" s="378">
        <v>16</v>
      </c>
      <c r="N111" s="356">
        <v>46500</v>
      </c>
      <c r="O111" s="28" t="b">
        <f t="shared" si="11"/>
        <v>1</v>
      </c>
    </row>
    <row r="112" spans="2:15" s="28" customFormat="1" ht="16.5" customHeight="1">
      <c r="B112" s="20"/>
      <c r="C112" s="20"/>
      <c r="D112" s="254"/>
      <c r="E112" s="379">
        <v>142227</v>
      </c>
      <c r="F112" s="380" t="s">
        <v>117</v>
      </c>
      <c r="G112" s="381"/>
      <c r="H112" s="382"/>
      <c r="I112" s="383">
        <v>853000</v>
      </c>
      <c r="J112" s="384">
        <v>142227</v>
      </c>
      <c r="K112" s="378" t="s">
        <v>103</v>
      </c>
      <c r="L112" s="378" t="s">
        <v>35</v>
      </c>
      <c r="M112" s="378">
        <v>200</v>
      </c>
      <c r="N112" s="356" t="e">
        <v>#N/A</v>
      </c>
      <c r="O112" s="28" t="e">
        <f t="shared" si="11"/>
        <v>#N/A</v>
      </c>
    </row>
    <row r="113" spans="2:15" s="28" customFormat="1" ht="16.5" customHeight="1">
      <c r="B113" s="20"/>
      <c r="C113" s="20"/>
      <c r="D113" s="254"/>
      <c r="E113" s="379">
        <v>140169</v>
      </c>
      <c r="F113" s="380" t="s">
        <v>84</v>
      </c>
      <c r="G113" s="381"/>
      <c r="H113" s="382"/>
      <c r="I113" s="383">
        <v>62400</v>
      </c>
      <c r="J113" s="384">
        <v>140169</v>
      </c>
      <c r="K113" s="393" t="s">
        <v>73</v>
      </c>
      <c r="L113" s="378" t="s">
        <v>35</v>
      </c>
      <c r="M113" s="378">
        <v>12</v>
      </c>
      <c r="N113" s="356" t="e">
        <v>#N/A</v>
      </c>
      <c r="O113" s="28" t="e">
        <f t="shared" si="11"/>
        <v>#N/A</v>
      </c>
    </row>
    <row r="114" spans="2:15" s="28" customFormat="1" ht="16.5" customHeight="1">
      <c r="B114" s="20"/>
      <c r="C114" s="20"/>
      <c r="D114" s="254"/>
      <c r="E114" s="379">
        <v>140657</v>
      </c>
      <c r="F114" s="380" t="s">
        <v>43</v>
      </c>
      <c r="G114" s="381"/>
      <c r="H114" s="382"/>
      <c r="I114" s="383">
        <v>118000</v>
      </c>
      <c r="J114" s="384">
        <v>140657</v>
      </c>
      <c r="K114" s="378" t="s">
        <v>73</v>
      </c>
      <c r="L114" s="378" t="s">
        <v>79</v>
      </c>
      <c r="M114" s="378">
        <v>12</v>
      </c>
      <c r="N114" s="356">
        <v>118000</v>
      </c>
      <c r="O114" s="28" t="b">
        <f t="shared" si="11"/>
        <v>1</v>
      </c>
    </row>
    <row r="115" spans="2:15" s="28" customFormat="1" ht="16.5" customHeight="1">
      <c r="B115" s="20"/>
      <c r="C115" s="20"/>
      <c r="D115" s="254"/>
      <c r="E115" s="379">
        <v>140660</v>
      </c>
      <c r="F115" s="380" t="s">
        <v>100</v>
      </c>
      <c r="G115" s="381"/>
      <c r="H115" s="382"/>
      <c r="I115" s="383">
        <v>118000</v>
      </c>
      <c r="J115" s="384">
        <v>140660</v>
      </c>
      <c r="K115" s="378" t="s">
        <v>73</v>
      </c>
      <c r="L115" s="378" t="s">
        <v>79</v>
      </c>
      <c r="M115" s="378">
        <v>12</v>
      </c>
      <c r="N115" s="356">
        <v>118000</v>
      </c>
      <c r="O115" s="28" t="b">
        <f t="shared" si="11"/>
        <v>1</v>
      </c>
    </row>
    <row r="116" spans="2:15" s="28" customFormat="1" ht="16.5" customHeight="1">
      <c r="B116" s="20"/>
      <c r="C116" s="20"/>
      <c r="D116" s="254"/>
      <c r="E116" s="379">
        <v>140661</v>
      </c>
      <c r="F116" s="380" t="s">
        <v>106</v>
      </c>
      <c r="G116" s="381"/>
      <c r="H116" s="382"/>
      <c r="I116" s="383">
        <v>1789000</v>
      </c>
      <c r="J116" s="378">
        <v>140661</v>
      </c>
      <c r="K116" s="378" t="s">
        <v>103</v>
      </c>
      <c r="L116" s="378" t="s">
        <v>79</v>
      </c>
      <c r="M116" s="378">
        <v>200</v>
      </c>
      <c r="N116" s="356">
        <v>1789000</v>
      </c>
      <c r="O116" s="28" t="b">
        <f t="shared" si="11"/>
        <v>1</v>
      </c>
    </row>
    <row r="117" spans="2:15" s="28" customFormat="1" ht="16.5" customHeight="1">
      <c r="B117" s="20"/>
      <c r="C117" s="20"/>
      <c r="D117" s="254"/>
      <c r="E117" s="379">
        <v>141593</v>
      </c>
      <c r="F117" s="380" t="s">
        <v>104</v>
      </c>
      <c r="G117" s="381"/>
      <c r="H117" s="382"/>
      <c r="I117" s="383">
        <v>479000</v>
      </c>
      <c r="J117" s="384">
        <v>141593</v>
      </c>
      <c r="K117" s="378" t="s">
        <v>71</v>
      </c>
      <c r="L117" s="378" t="s">
        <v>35</v>
      </c>
      <c r="M117" s="378">
        <v>200</v>
      </c>
      <c r="N117" s="356">
        <v>479000</v>
      </c>
      <c r="O117" s="28" t="b">
        <f t="shared" si="11"/>
        <v>1</v>
      </c>
    </row>
    <row r="118" spans="2:15" s="28" customFormat="1" ht="16.5" customHeight="1">
      <c r="B118" s="20"/>
      <c r="C118" s="20"/>
      <c r="D118" s="254"/>
      <c r="E118" s="379">
        <v>120082</v>
      </c>
      <c r="F118" s="380" t="s">
        <v>97</v>
      </c>
      <c r="G118" s="381"/>
      <c r="H118" s="382"/>
      <c r="I118" s="383">
        <v>605000</v>
      </c>
      <c r="J118" s="384">
        <v>120082</v>
      </c>
      <c r="K118" s="378" t="s">
        <v>70</v>
      </c>
      <c r="L118" s="378" t="s">
        <v>69</v>
      </c>
      <c r="M118" s="378">
        <v>16</v>
      </c>
      <c r="N118" s="356">
        <v>605000</v>
      </c>
      <c r="O118" s="28" t="b">
        <f t="shared" si="11"/>
        <v>1</v>
      </c>
    </row>
    <row r="119" spans="2:15" s="28" customFormat="1" ht="16.5" customHeight="1">
      <c r="B119" s="20"/>
      <c r="C119" s="20"/>
      <c r="D119" s="254"/>
      <c r="E119" s="379">
        <v>120084</v>
      </c>
      <c r="F119" s="380" t="s">
        <v>760</v>
      </c>
      <c r="G119" s="381"/>
      <c r="H119" s="382"/>
      <c r="I119" s="383">
        <v>458000</v>
      </c>
      <c r="J119" s="394">
        <v>120084</v>
      </c>
      <c r="K119" s="393" t="s">
        <v>761</v>
      </c>
      <c r="L119" s="378" t="s">
        <v>69</v>
      </c>
      <c r="M119" s="378">
        <v>22.8</v>
      </c>
      <c r="N119" s="356">
        <v>458000</v>
      </c>
      <c r="O119" s="28" t="b">
        <f t="shared" si="11"/>
        <v>1</v>
      </c>
    </row>
    <row r="120" spans="2:15" s="28" customFormat="1" ht="16.5" customHeight="1">
      <c r="B120" s="20"/>
      <c r="C120" s="20"/>
      <c r="D120" s="254"/>
      <c r="E120" s="379">
        <v>120088</v>
      </c>
      <c r="F120" s="380" t="s">
        <v>118</v>
      </c>
      <c r="G120" s="381"/>
      <c r="H120" s="382"/>
      <c r="I120" s="383">
        <v>4264030</v>
      </c>
      <c r="J120" s="384">
        <v>120088</v>
      </c>
      <c r="K120" s="378" t="s">
        <v>71</v>
      </c>
      <c r="L120" s="378" t="s">
        <v>69</v>
      </c>
      <c r="M120" s="378">
        <v>208</v>
      </c>
      <c r="N120" s="356" t="e">
        <v>#N/A</v>
      </c>
      <c r="O120" s="28" t="e">
        <f t="shared" si="11"/>
        <v>#N/A</v>
      </c>
    </row>
    <row r="121" spans="2:15" s="28" customFormat="1" ht="16.5" customHeight="1">
      <c r="B121" s="20"/>
      <c r="C121" s="20"/>
      <c r="D121" s="254"/>
      <c r="E121" s="379">
        <v>120089</v>
      </c>
      <c r="F121" s="380" t="s">
        <v>762</v>
      </c>
      <c r="G121" s="381"/>
      <c r="H121" s="382"/>
      <c r="I121" s="383">
        <v>380000</v>
      </c>
      <c r="J121" s="384">
        <v>120089</v>
      </c>
      <c r="K121" s="378" t="s">
        <v>761</v>
      </c>
      <c r="L121" s="378" t="s">
        <v>69</v>
      </c>
      <c r="M121" s="378">
        <v>22.8</v>
      </c>
      <c r="N121" s="356">
        <v>380000</v>
      </c>
      <c r="O121" s="28" t="b">
        <f t="shared" si="11"/>
        <v>1</v>
      </c>
    </row>
    <row r="122" spans="2:15" s="28" customFormat="1" ht="16.5" customHeight="1">
      <c r="B122" s="20"/>
      <c r="C122" s="20"/>
      <c r="D122" s="254"/>
      <c r="E122" s="379">
        <v>134601</v>
      </c>
      <c r="F122" s="380" t="s">
        <v>763</v>
      </c>
      <c r="G122" s="381"/>
      <c r="H122" s="382"/>
      <c r="I122" s="383">
        <v>3724000</v>
      </c>
      <c r="J122" s="384">
        <v>134601</v>
      </c>
      <c r="K122" s="378" t="s">
        <v>71</v>
      </c>
      <c r="L122" s="378" t="s">
        <v>69</v>
      </c>
      <c r="M122" s="378">
        <v>200</v>
      </c>
      <c r="N122" s="356">
        <v>3724000</v>
      </c>
      <c r="O122" s="28" t="b">
        <f t="shared" si="11"/>
        <v>1</v>
      </c>
    </row>
    <row r="123" spans="2:15" s="28" customFormat="1" ht="16.5" customHeight="1">
      <c r="B123" s="20"/>
      <c r="C123" s="20"/>
      <c r="D123" s="254"/>
      <c r="E123" s="379">
        <v>134756</v>
      </c>
      <c r="F123" s="380" t="s">
        <v>107</v>
      </c>
      <c r="G123" s="381"/>
      <c r="H123" s="382"/>
      <c r="I123" s="383">
        <v>662000</v>
      </c>
      <c r="J123" s="378">
        <v>134756</v>
      </c>
      <c r="K123" s="378" t="s">
        <v>70</v>
      </c>
      <c r="L123" s="378" t="s">
        <v>69</v>
      </c>
      <c r="M123" s="378">
        <v>16</v>
      </c>
      <c r="N123" s="356">
        <v>662000</v>
      </c>
      <c r="O123" s="28" t="b">
        <f t="shared" si="11"/>
        <v>1</v>
      </c>
    </row>
    <row r="124" spans="2:15" s="28" customFormat="1" ht="16.5" customHeight="1">
      <c r="B124" s="20"/>
      <c r="C124" s="20"/>
      <c r="D124" s="254"/>
      <c r="E124" s="379">
        <v>135390</v>
      </c>
      <c r="F124" s="380" t="s">
        <v>764</v>
      </c>
      <c r="G124" s="381"/>
      <c r="H124" s="382"/>
      <c r="I124" s="383">
        <v>524000</v>
      </c>
      <c r="J124" s="378">
        <v>135390</v>
      </c>
      <c r="K124" s="378" t="s">
        <v>70</v>
      </c>
      <c r="L124" s="378" t="s">
        <v>69</v>
      </c>
      <c r="M124" s="378">
        <v>20</v>
      </c>
      <c r="N124" s="356">
        <v>524000</v>
      </c>
      <c r="O124" s="28" t="b">
        <f t="shared" si="11"/>
        <v>1</v>
      </c>
    </row>
    <row r="125" spans="2:15" s="28" customFormat="1" ht="16.5" customHeight="1">
      <c r="B125" s="20"/>
      <c r="C125" s="20"/>
      <c r="D125" s="254"/>
      <c r="E125" s="379">
        <v>120969</v>
      </c>
      <c r="F125" s="395" t="s">
        <v>254</v>
      </c>
      <c r="G125" s="396"/>
      <c r="H125" s="397"/>
      <c r="I125" s="383">
        <v>235000</v>
      </c>
      <c r="J125" s="398">
        <v>120969</v>
      </c>
      <c r="K125" s="399" t="s">
        <v>70</v>
      </c>
      <c r="L125" s="399" t="s">
        <v>34</v>
      </c>
      <c r="M125" s="399">
        <v>18.899999999999999</v>
      </c>
      <c r="N125" s="356">
        <v>222000</v>
      </c>
      <c r="O125" s="28" t="b">
        <f t="shared" si="11"/>
        <v>0</v>
      </c>
    </row>
    <row r="126" spans="2:15" s="28" customFormat="1" ht="16.5" customHeight="1">
      <c r="B126" s="20"/>
      <c r="C126" s="20"/>
      <c r="D126" s="254"/>
      <c r="E126" s="379">
        <v>121540</v>
      </c>
      <c r="F126" s="395" t="s">
        <v>419</v>
      </c>
      <c r="G126" s="396"/>
      <c r="H126" s="397"/>
      <c r="I126" s="383">
        <v>1684000</v>
      </c>
      <c r="J126" s="398">
        <v>121540</v>
      </c>
      <c r="K126" s="399" t="s">
        <v>71</v>
      </c>
      <c r="L126" s="399" t="s">
        <v>34</v>
      </c>
      <c r="M126" s="399">
        <v>208</v>
      </c>
      <c r="N126" s="356">
        <v>1684000</v>
      </c>
      <c r="O126" s="28" t="b">
        <f t="shared" si="11"/>
        <v>1</v>
      </c>
    </row>
    <row r="127" spans="2:15" s="28" customFormat="1" ht="16.5" customHeight="1">
      <c r="B127" s="20"/>
      <c r="C127" s="20"/>
      <c r="D127" s="254"/>
      <c r="E127" s="379">
        <v>121558</v>
      </c>
      <c r="F127" s="395" t="s">
        <v>255</v>
      </c>
      <c r="G127" s="396"/>
      <c r="H127" s="397"/>
      <c r="I127" s="383">
        <v>311000</v>
      </c>
      <c r="J127" s="398">
        <v>121558</v>
      </c>
      <c r="K127" s="399" t="s">
        <v>70</v>
      </c>
      <c r="L127" s="399" t="s">
        <v>34</v>
      </c>
      <c r="M127" s="399">
        <v>17.251999999999999</v>
      </c>
      <c r="N127" s="356">
        <v>311000</v>
      </c>
      <c r="O127" s="28" t="b">
        <f t="shared" si="11"/>
        <v>1</v>
      </c>
    </row>
    <row r="128" spans="2:15" s="28" customFormat="1" ht="16.5" customHeight="1">
      <c r="B128" s="20"/>
      <c r="C128" s="20"/>
      <c r="D128" s="254"/>
      <c r="E128" s="379">
        <v>121759</v>
      </c>
      <c r="F128" s="395" t="s">
        <v>765</v>
      </c>
      <c r="G128" s="396"/>
      <c r="H128" s="397"/>
      <c r="I128" s="383">
        <v>1230000</v>
      </c>
      <c r="J128" s="399">
        <v>121759</v>
      </c>
      <c r="K128" s="399" t="s">
        <v>71</v>
      </c>
      <c r="L128" s="399" t="s">
        <v>34</v>
      </c>
      <c r="M128" s="399">
        <v>208</v>
      </c>
      <c r="N128" s="356">
        <v>1230000</v>
      </c>
      <c r="O128" s="28" t="b">
        <f t="shared" si="11"/>
        <v>1</v>
      </c>
    </row>
    <row r="129" spans="2:15" s="28" customFormat="1" ht="16.5" customHeight="1">
      <c r="B129" s="20"/>
      <c r="C129" s="20"/>
      <c r="D129" s="254"/>
      <c r="E129" s="379">
        <v>121762</v>
      </c>
      <c r="F129" s="395" t="s">
        <v>434</v>
      </c>
      <c r="G129" s="396"/>
      <c r="H129" s="397"/>
      <c r="I129" s="383">
        <v>1302000</v>
      </c>
      <c r="J129" s="399">
        <v>121762</v>
      </c>
      <c r="K129" s="399" t="s">
        <v>71</v>
      </c>
      <c r="L129" s="399" t="s">
        <v>34</v>
      </c>
      <c r="M129" s="399">
        <v>208</v>
      </c>
      <c r="N129" s="356">
        <v>1302000</v>
      </c>
      <c r="O129" s="28" t="b">
        <f t="shared" si="11"/>
        <v>1</v>
      </c>
    </row>
    <row r="130" spans="2:15" s="28" customFormat="1" ht="16.5" customHeight="1">
      <c r="B130" s="20"/>
      <c r="C130" s="20"/>
      <c r="D130" s="254"/>
      <c r="E130" s="379">
        <v>121764</v>
      </c>
      <c r="F130" s="395" t="s">
        <v>435</v>
      </c>
      <c r="G130" s="396"/>
      <c r="H130" s="397"/>
      <c r="I130" s="383">
        <v>1246000</v>
      </c>
      <c r="J130" s="399">
        <v>121764</v>
      </c>
      <c r="K130" s="399" t="s">
        <v>71</v>
      </c>
      <c r="L130" s="399" t="s">
        <v>34</v>
      </c>
      <c r="M130" s="399">
        <v>208</v>
      </c>
      <c r="N130" s="356">
        <v>1246000</v>
      </c>
      <c r="O130" s="28" t="b">
        <f t="shared" si="11"/>
        <v>1</v>
      </c>
    </row>
    <row r="131" spans="2:15" s="28" customFormat="1" ht="16.5" customHeight="1">
      <c r="B131" s="20"/>
      <c r="C131" s="20"/>
      <c r="D131" s="254"/>
      <c r="E131" s="379">
        <v>121892</v>
      </c>
      <c r="F131" s="395" t="s">
        <v>256</v>
      </c>
      <c r="G131" s="396"/>
      <c r="H131" s="397"/>
      <c r="I131" s="383">
        <v>481000</v>
      </c>
      <c r="J131" s="399">
        <v>121892</v>
      </c>
      <c r="K131" s="399" t="s">
        <v>70</v>
      </c>
      <c r="L131" s="399" t="s">
        <v>34</v>
      </c>
      <c r="M131" s="399">
        <v>18.899999999999999</v>
      </c>
      <c r="N131" s="356">
        <v>481000</v>
      </c>
      <c r="O131" s="28" t="b">
        <f t="shared" si="11"/>
        <v>1</v>
      </c>
    </row>
    <row r="132" spans="2:15" s="28" customFormat="1" ht="16.5" customHeight="1">
      <c r="B132" s="20"/>
      <c r="C132" s="20"/>
      <c r="D132" s="254"/>
      <c r="E132" s="379">
        <v>121902</v>
      </c>
      <c r="F132" s="395" t="s">
        <v>257</v>
      </c>
      <c r="G132" s="396"/>
      <c r="H132" s="397"/>
      <c r="I132" s="383">
        <v>410000</v>
      </c>
      <c r="J132" s="398">
        <v>121902</v>
      </c>
      <c r="K132" s="399" t="s">
        <v>70</v>
      </c>
      <c r="L132" s="399" t="s">
        <v>34</v>
      </c>
      <c r="M132" s="399">
        <v>18.899999999999999</v>
      </c>
      <c r="N132" s="356">
        <v>410000</v>
      </c>
      <c r="O132" s="28" t="b">
        <f t="shared" si="11"/>
        <v>1</v>
      </c>
    </row>
    <row r="133" spans="2:15" s="28" customFormat="1" ht="16.5" customHeight="1">
      <c r="B133" s="20"/>
      <c r="C133" s="20"/>
      <c r="D133" s="254"/>
      <c r="E133" s="379">
        <v>121904</v>
      </c>
      <c r="F133" s="395" t="s">
        <v>258</v>
      </c>
      <c r="G133" s="396"/>
      <c r="H133" s="397"/>
      <c r="I133" s="383">
        <v>430000</v>
      </c>
      <c r="J133" s="398">
        <v>121904</v>
      </c>
      <c r="K133" s="399" t="s">
        <v>70</v>
      </c>
      <c r="L133" s="399" t="s">
        <v>34</v>
      </c>
      <c r="M133" s="399">
        <v>18.899999999999999</v>
      </c>
      <c r="N133" s="356">
        <v>430000</v>
      </c>
      <c r="O133" s="28" t="b">
        <f t="shared" si="11"/>
        <v>1</v>
      </c>
    </row>
    <row r="134" spans="2:15" s="28" customFormat="1" ht="16.5" customHeight="1">
      <c r="B134" s="20"/>
      <c r="C134" s="20"/>
      <c r="D134" s="254"/>
      <c r="E134" s="379">
        <v>121907</v>
      </c>
      <c r="F134" s="395" t="s">
        <v>259</v>
      </c>
      <c r="G134" s="396"/>
      <c r="H134" s="397"/>
      <c r="I134" s="383">
        <v>398000</v>
      </c>
      <c r="J134" s="398">
        <v>121907</v>
      </c>
      <c r="K134" s="399" t="s">
        <v>70</v>
      </c>
      <c r="L134" s="399" t="s">
        <v>34</v>
      </c>
      <c r="M134" s="399">
        <v>18.899999999999999</v>
      </c>
      <c r="N134" s="356">
        <v>398000</v>
      </c>
      <c r="O134" s="28" t="b">
        <f t="shared" si="11"/>
        <v>1</v>
      </c>
    </row>
    <row r="135" spans="2:15" s="28" customFormat="1" ht="16.5" customHeight="1">
      <c r="B135" s="20"/>
      <c r="C135" s="20"/>
      <c r="D135" s="254"/>
      <c r="E135" s="379">
        <v>122135</v>
      </c>
      <c r="F135" s="395" t="s">
        <v>437</v>
      </c>
      <c r="G135" s="396"/>
      <c r="H135" s="397"/>
      <c r="I135" s="383">
        <v>1207000</v>
      </c>
      <c r="J135" s="399">
        <v>122135</v>
      </c>
      <c r="K135" s="399" t="s">
        <v>71</v>
      </c>
      <c r="L135" s="399" t="s">
        <v>34</v>
      </c>
      <c r="M135" s="399">
        <v>208</v>
      </c>
      <c r="N135" s="356">
        <v>1207000</v>
      </c>
      <c r="O135" s="28" t="b">
        <f t="shared" si="11"/>
        <v>1</v>
      </c>
    </row>
    <row r="136" spans="2:15" s="28" customFormat="1" ht="16.5" customHeight="1">
      <c r="B136" s="20"/>
      <c r="C136" s="20"/>
      <c r="D136" s="254"/>
      <c r="E136" s="379">
        <v>122167</v>
      </c>
      <c r="F136" s="395" t="s">
        <v>438</v>
      </c>
      <c r="G136" s="396"/>
      <c r="H136" s="397"/>
      <c r="I136" s="383">
        <v>3124000</v>
      </c>
      <c r="J136" s="398">
        <v>122167</v>
      </c>
      <c r="K136" s="399" t="s">
        <v>71</v>
      </c>
      <c r="L136" s="399" t="s">
        <v>34</v>
      </c>
      <c r="M136" s="399">
        <v>208</v>
      </c>
      <c r="N136" s="356">
        <v>3124000</v>
      </c>
      <c r="O136" s="28" t="b">
        <f t="shared" si="11"/>
        <v>1</v>
      </c>
    </row>
    <row r="137" spans="2:15" s="28" customFormat="1" ht="16.5" customHeight="1">
      <c r="B137" s="20"/>
      <c r="C137" s="20"/>
      <c r="D137" s="254"/>
      <c r="E137" s="379">
        <v>122187</v>
      </c>
      <c r="F137" s="395" t="s">
        <v>439</v>
      </c>
      <c r="G137" s="396"/>
      <c r="H137" s="397"/>
      <c r="I137" s="383">
        <v>2760000</v>
      </c>
      <c r="J137" s="398">
        <v>122187</v>
      </c>
      <c r="K137" s="399" t="s">
        <v>71</v>
      </c>
      <c r="L137" s="399" t="s">
        <v>34</v>
      </c>
      <c r="M137" s="399">
        <v>208</v>
      </c>
      <c r="N137" s="356">
        <v>2760000</v>
      </c>
      <c r="O137" s="28" t="b">
        <f t="shared" si="11"/>
        <v>1</v>
      </c>
    </row>
    <row r="138" spans="2:15" s="28" customFormat="1" ht="16.5" customHeight="1">
      <c r="B138" s="20"/>
      <c r="C138" s="20"/>
      <c r="D138" s="254"/>
      <c r="E138" s="379">
        <v>122612</v>
      </c>
      <c r="F138" s="395" t="s">
        <v>446</v>
      </c>
      <c r="G138" s="396"/>
      <c r="H138" s="397"/>
      <c r="I138" s="383">
        <v>1525000</v>
      </c>
      <c r="J138" s="398">
        <v>122612</v>
      </c>
      <c r="K138" s="399" t="s">
        <v>71</v>
      </c>
      <c r="L138" s="399" t="s">
        <v>34</v>
      </c>
      <c r="M138" s="399">
        <v>208</v>
      </c>
      <c r="N138" s="356">
        <v>1525000</v>
      </c>
      <c r="O138" s="28" t="b">
        <f t="shared" si="11"/>
        <v>1</v>
      </c>
    </row>
    <row r="139" spans="2:15" s="28" customFormat="1" ht="16.5" customHeight="1">
      <c r="B139" s="20"/>
      <c r="C139" s="20"/>
      <c r="D139" s="254"/>
      <c r="E139" s="379">
        <v>122650</v>
      </c>
      <c r="F139" s="395" t="s">
        <v>447</v>
      </c>
      <c r="G139" s="396"/>
      <c r="H139" s="397"/>
      <c r="I139" s="383">
        <v>3190000</v>
      </c>
      <c r="J139" s="398">
        <v>122650</v>
      </c>
      <c r="K139" s="399" t="s">
        <v>71</v>
      </c>
      <c r="L139" s="399" t="s">
        <v>34</v>
      </c>
      <c r="M139" s="399">
        <v>208</v>
      </c>
      <c r="N139" s="356">
        <v>3190000</v>
      </c>
      <c r="O139" s="28" t="b">
        <f t="shared" si="11"/>
        <v>1</v>
      </c>
    </row>
    <row r="140" spans="2:15" s="28" customFormat="1" ht="16.5" customHeight="1">
      <c r="B140" s="20"/>
      <c r="C140" s="20"/>
      <c r="D140" s="254"/>
      <c r="E140" s="379">
        <v>122713</v>
      </c>
      <c r="F140" s="395" t="s">
        <v>67</v>
      </c>
      <c r="G140" s="396"/>
      <c r="H140" s="397"/>
      <c r="I140" s="383">
        <v>106000</v>
      </c>
      <c r="J140" s="399">
        <v>122713</v>
      </c>
      <c r="K140" s="399" t="s">
        <v>70</v>
      </c>
      <c r="L140" s="399" t="s">
        <v>34</v>
      </c>
      <c r="M140" s="399">
        <v>20</v>
      </c>
      <c r="N140" s="356">
        <v>106000</v>
      </c>
      <c r="O140" s="28" t="b">
        <f t="shared" si="11"/>
        <v>1</v>
      </c>
    </row>
    <row r="141" spans="2:15" s="28" customFormat="1" ht="16.5" customHeight="1">
      <c r="B141" s="20"/>
      <c r="C141" s="20"/>
      <c r="D141" s="254"/>
      <c r="E141" s="379">
        <v>122766</v>
      </c>
      <c r="F141" s="395" t="s">
        <v>68</v>
      </c>
      <c r="G141" s="396"/>
      <c r="H141" s="397"/>
      <c r="I141" s="383">
        <v>83600</v>
      </c>
      <c r="J141" s="398">
        <v>122766</v>
      </c>
      <c r="K141" s="399" t="s">
        <v>70</v>
      </c>
      <c r="L141" s="399" t="s">
        <v>34</v>
      </c>
      <c r="M141" s="399">
        <v>20</v>
      </c>
      <c r="N141" s="356">
        <v>83600</v>
      </c>
      <c r="O141" s="28" t="b">
        <f t="shared" si="11"/>
        <v>1</v>
      </c>
    </row>
    <row r="142" spans="2:15" s="28" customFormat="1" ht="16.5" customHeight="1">
      <c r="B142" s="20"/>
      <c r="C142" s="20"/>
      <c r="D142" s="254"/>
      <c r="E142" s="379">
        <v>122821</v>
      </c>
      <c r="F142" s="395" t="s">
        <v>448</v>
      </c>
      <c r="G142" s="396"/>
      <c r="H142" s="397"/>
      <c r="I142" s="383"/>
      <c r="J142" s="398">
        <v>122821</v>
      </c>
      <c r="K142" s="399" t="s">
        <v>71</v>
      </c>
      <c r="L142" s="399" t="s">
        <v>34</v>
      </c>
      <c r="M142" s="399">
        <v>208</v>
      </c>
      <c r="N142" s="356" t="e">
        <v>#N/A</v>
      </c>
      <c r="O142" s="28" t="e">
        <f t="shared" si="11"/>
        <v>#N/A</v>
      </c>
    </row>
    <row r="143" spans="2:15" s="28" customFormat="1" ht="16.5" customHeight="1">
      <c r="B143" s="20"/>
      <c r="C143" s="20"/>
      <c r="D143" s="254"/>
      <c r="E143" s="379">
        <v>122837</v>
      </c>
      <c r="F143" s="395" t="s">
        <v>65</v>
      </c>
      <c r="G143" s="396"/>
      <c r="H143" s="397"/>
      <c r="I143" s="383">
        <v>62800</v>
      </c>
      <c r="J143" s="398">
        <v>122837</v>
      </c>
      <c r="K143" s="399" t="s">
        <v>70</v>
      </c>
      <c r="L143" s="399" t="s">
        <v>34</v>
      </c>
      <c r="M143" s="399">
        <v>20</v>
      </c>
      <c r="N143" s="356">
        <v>62800</v>
      </c>
      <c r="O143" s="28" t="b">
        <f t="shared" si="11"/>
        <v>1</v>
      </c>
    </row>
    <row r="144" spans="2:15" s="28" customFormat="1" ht="16.5" customHeight="1">
      <c r="B144" s="20"/>
      <c r="C144" s="20"/>
      <c r="D144" s="254"/>
      <c r="E144" s="379">
        <v>122842</v>
      </c>
      <c r="F144" s="395" t="s">
        <v>238</v>
      </c>
      <c r="G144" s="396"/>
      <c r="H144" s="397"/>
      <c r="I144" s="383">
        <v>79200</v>
      </c>
      <c r="J144" s="399">
        <v>122842</v>
      </c>
      <c r="K144" s="399" t="s">
        <v>70</v>
      </c>
      <c r="L144" s="399" t="s">
        <v>34</v>
      </c>
      <c r="M144" s="399">
        <v>20</v>
      </c>
      <c r="N144" s="356">
        <v>79200</v>
      </c>
      <c r="O144" s="28" t="b">
        <f t="shared" si="11"/>
        <v>1</v>
      </c>
    </row>
    <row r="145" spans="2:15" s="28" customFormat="1" ht="16.5" customHeight="1">
      <c r="B145" s="20"/>
      <c r="C145" s="20"/>
      <c r="D145" s="254"/>
      <c r="E145" s="379">
        <v>144277</v>
      </c>
      <c r="F145" s="395" t="s">
        <v>232</v>
      </c>
      <c r="G145" s="396"/>
      <c r="H145" s="397"/>
      <c r="I145" s="383">
        <v>46600</v>
      </c>
      <c r="J145" s="398">
        <v>122885</v>
      </c>
      <c r="K145" s="399" t="s">
        <v>70</v>
      </c>
      <c r="L145" s="399" t="s">
        <v>34</v>
      </c>
      <c r="M145" s="399">
        <v>20</v>
      </c>
      <c r="N145" s="356">
        <v>46600</v>
      </c>
      <c r="O145" s="28" t="b">
        <f t="shared" si="11"/>
        <v>1</v>
      </c>
    </row>
    <row r="146" spans="2:15" s="28" customFormat="1" ht="16.5" customHeight="1">
      <c r="B146" s="20"/>
      <c r="C146" s="20"/>
      <c r="D146" s="254"/>
      <c r="E146" s="379">
        <v>123004</v>
      </c>
      <c r="F146" s="395" t="s">
        <v>41</v>
      </c>
      <c r="G146" s="396"/>
      <c r="H146" s="397"/>
      <c r="I146" s="383">
        <v>402000</v>
      </c>
      <c r="J146" s="398">
        <v>123004</v>
      </c>
      <c r="K146" s="399" t="s">
        <v>70</v>
      </c>
      <c r="L146" s="399" t="s">
        <v>34</v>
      </c>
      <c r="M146" s="399">
        <v>18</v>
      </c>
      <c r="N146" s="356">
        <v>402000</v>
      </c>
      <c r="O146" s="28" t="b">
        <f t="shared" si="11"/>
        <v>1</v>
      </c>
    </row>
    <row r="147" spans="2:15" s="28" customFormat="1" ht="16.5" customHeight="1">
      <c r="B147" s="20"/>
      <c r="C147" s="20"/>
      <c r="D147" s="254"/>
      <c r="E147" s="379">
        <v>123291</v>
      </c>
      <c r="F147" s="395" t="s">
        <v>261</v>
      </c>
      <c r="G147" s="396"/>
      <c r="H147" s="397"/>
      <c r="I147" s="383">
        <v>326000</v>
      </c>
      <c r="J147" s="398">
        <v>123291</v>
      </c>
      <c r="K147" s="399" t="s">
        <v>70</v>
      </c>
      <c r="L147" s="399" t="s">
        <v>34</v>
      </c>
      <c r="M147" s="399">
        <v>20</v>
      </c>
      <c r="N147" s="356">
        <v>326000</v>
      </c>
      <c r="O147" s="28" t="b">
        <f t="shared" ref="O147:O210" si="12">I147=N147</f>
        <v>1</v>
      </c>
    </row>
    <row r="148" spans="2:15" s="28" customFormat="1" ht="16.5" customHeight="1">
      <c r="B148" s="20"/>
      <c r="C148" s="20"/>
      <c r="D148" s="254"/>
      <c r="E148" s="379">
        <v>148674</v>
      </c>
      <c r="F148" s="395" t="s">
        <v>262</v>
      </c>
      <c r="G148" s="396"/>
      <c r="H148" s="397"/>
      <c r="I148" s="383">
        <v>66800</v>
      </c>
      <c r="J148" s="398">
        <v>148674</v>
      </c>
      <c r="K148" s="399" t="s">
        <v>70</v>
      </c>
      <c r="L148" s="399" t="s">
        <v>34</v>
      </c>
      <c r="M148" s="399">
        <v>20</v>
      </c>
      <c r="N148" s="356">
        <v>66800</v>
      </c>
      <c r="O148" s="28" t="b">
        <f t="shared" si="12"/>
        <v>1</v>
      </c>
    </row>
    <row r="149" spans="2:15" s="28" customFormat="1" ht="16.5" customHeight="1">
      <c r="B149" s="20"/>
      <c r="C149" s="20"/>
      <c r="D149" s="254"/>
      <c r="E149" s="379">
        <v>148687</v>
      </c>
      <c r="F149" s="395" t="s">
        <v>263</v>
      </c>
      <c r="G149" s="396"/>
      <c r="H149" s="397"/>
      <c r="I149" s="383">
        <v>62700</v>
      </c>
      <c r="J149" s="398">
        <v>148687</v>
      </c>
      <c r="K149" s="399" t="s">
        <v>70</v>
      </c>
      <c r="L149" s="399" t="s">
        <v>34</v>
      </c>
      <c r="M149" s="399">
        <v>20</v>
      </c>
      <c r="N149" s="356">
        <v>62700</v>
      </c>
      <c r="O149" s="28" t="b">
        <f t="shared" si="12"/>
        <v>1</v>
      </c>
    </row>
    <row r="150" spans="2:15" s="28" customFormat="1" ht="16.5" customHeight="1">
      <c r="B150" s="20"/>
      <c r="C150" s="20"/>
      <c r="D150" s="254"/>
      <c r="E150" s="379">
        <v>148663</v>
      </c>
      <c r="F150" s="395" t="s">
        <v>264</v>
      </c>
      <c r="G150" s="396"/>
      <c r="H150" s="397"/>
      <c r="I150" s="383">
        <v>54200</v>
      </c>
      <c r="J150" s="398">
        <v>148663</v>
      </c>
      <c r="K150" s="399" t="s">
        <v>70</v>
      </c>
      <c r="L150" s="399" t="s">
        <v>34</v>
      </c>
      <c r="M150" s="399">
        <v>20</v>
      </c>
      <c r="N150" s="356">
        <v>54200</v>
      </c>
      <c r="O150" s="28" t="b">
        <f t="shared" si="12"/>
        <v>1</v>
      </c>
    </row>
    <row r="151" spans="2:15" s="28" customFormat="1" ht="16.5" customHeight="1">
      <c r="B151" s="20"/>
      <c r="C151" s="20"/>
      <c r="D151" s="254"/>
      <c r="E151" s="379">
        <v>148661</v>
      </c>
      <c r="F151" s="395" t="s">
        <v>235</v>
      </c>
      <c r="G151" s="396"/>
      <c r="H151" s="397"/>
      <c r="I151" s="383">
        <v>63400</v>
      </c>
      <c r="J151" s="398">
        <v>148661</v>
      </c>
      <c r="K151" s="399" t="s">
        <v>70</v>
      </c>
      <c r="L151" s="399" t="s">
        <v>34</v>
      </c>
      <c r="M151" s="399">
        <v>20</v>
      </c>
      <c r="N151" s="356">
        <v>63400</v>
      </c>
      <c r="O151" s="28" t="b">
        <f t="shared" si="12"/>
        <v>1</v>
      </c>
    </row>
    <row r="152" spans="2:15" s="28" customFormat="1" ht="16.5" customHeight="1">
      <c r="B152" s="20"/>
      <c r="C152" s="20"/>
      <c r="D152" s="254"/>
      <c r="E152" s="379">
        <v>148662</v>
      </c>
      <c r="F152" s="395" t="s">
        <v>225</v>
      </c>
      <c r="G152" s="396"/>
      <c r="H152" s="397"/>
      <c r="I152" s="383">
        <v>55400</v>
      </c>
      <c r="J152" s="399">
        <v>148662</v>
      </c>
      <c r="K152" s="399" t="s">
        <v>70</v>
      </c>
      <c r="L152" s="399" t="s">
        <v>34</v>
      </c>
      <c r="M152" s="399">
        <v>20</v>
      </c>
      <c r="N152" s="356">
        <v>55400</v>
      </c>
      <c r="O152" s="28" t="b">
        <f t="shared" si="12"/>
        <v>1</v>
      </c>
    </row>
    <row r="153" spans="2:15" s="28" customFormat="1" ht="16.5" customHeight="1">
      <c r="B153" s="20"/>
      <c r="C153" s="20"/>
      <c r="D153" s="254"/>
      <c r="E153" s="379">
        <v>124528</v>
      </c>
      <c r="F153" s="395" t="s">
        <v>450</v>
      </c>
      <c r="G153" s="396"/>
      <c r="H153" s="397"/>
      <c r="I153" s="383">
        <v>3634000</v>
      </c>
      <c r="J153" s="398">
        <v>124528</v>
      </c>
      <c r="K153" s="399" t="s">
        <v>71</v>
      </c>
      <c r="L153" s="399" t="s">
        <v>34</v>
      </c>
      <c r="M153" s="399">
        <v>208</v>
      </c>
      <c r="N153" s="356">
        <v>3634000</v>
      </c>
      <c r="O153" s="28" t="b">
        <f t="shared" si="12"/>
        <v>1</v>
      </c>
    </row>
    <row r="154" spans="2:15" s="28" customFormat="1" ht="16.5" customHeight="1">
      <c r="B154" s="20"/>
      <c r="C154" s="20"/>
      <c r="D154" s="254"/>
      <c r="E154" s="379">
        <v>126328</v>
      </c>
      <c r="F154" s="395" t="s">
        <v>453</v>
      </c>
      <c r="G154" s="396"/>
      <c r="H154" s="397"/>
      <c r="I154" s="383">
        <v>4056000</v>
      </c>
      <c r="J154" s="399">
        <v>126328</v>
      </c>
      <c r="K154" s="399" t="s">
        <v>71</v>
      </c>
      <c r="L154" s="399" t="s">
        <v>34</v>
      </c>
      <c r="M154" s="399">
        <v>208</v>
      </c>
      <c r="N154" s="356">
        <v>4056000</v>
      </c>
      <c r="O154" s="28" t="b">
        <f t="shared" si="12"/>
        <v>1</v>
      </c>
    </row>
    <row r="155" spans="2:15" s="28" customFormat="1" ht="16.5" customHeight="1">
      <c r="B155" s="20"/>
      <c r="C155" s="20"/>
      <c r="D155" s="254"/>
      <c r="E155" s="379">
        <v>127356</v>
      </c>
      <c r="F155" s="395" t="s">
        <v>265</v>
      </c>
      <c r="G155" s="396"/>
      <c r="H155" s="397"/>
      <c r="I155" s="383">
        <v>337000</v>
      </c>
      <c r="J155" s="398">
        <v>127356</v>
      </c>
      <c r="K155" s="399" t="s">
        <v>70</v>
      </c>
      <c r="L155" s="399" t="s">
        <v>34</v>
      </c>
      <c r="M155" s="399">
        <v>20</v>
      </c>
      <c r="N155" s="356">
        <v>337000</v>
      </c>
      <c r="O155" s="28" t="b">
        <f t="shared" si="12"/>
        <v>1</v>
      </c>
    </row>
    <row r="156" spans="2:15" s="28" customFormat="1" ht="16.5" customHeight="1">
      <c r="B156" s="20"/>
      <c r="C156" s="20"/>
      <c r="D156" s="254"/>
      <c r="E156" s="379">
        <v>128773</v>
      </c>
      <c r="F156" s="395" t="s">
        <v>766</v>
      </c>
      <c r="G156" s="396"/>
      <c r="H156" s="397"/>
      <c r="I156" s="383">
        <v>346000</v>
      </c>
      <c r="J156" s="398">
        <v>128773</v>
      </c>
      <c r="K156" s="399" t="s">
        <v>70</v>
      </c>
      <c r="L156" s="399" t="s">
        <v>34</v>
      </c>
      <c r="M156" s="399">
        <v>18.899999999999999</v>
      </c>
      <c r="N156" s="356">
        <v>346000</v>
      </c>
      <c r="O156" s="28" t="b">
        <f t="shared" si="12"/>
        <v>1</v>
      </c>
    </row>
    <row r="157" spans="2:15" s="28" customFormat="1" ht="16.5" customHeight="1">
      <c r="B157" s="20"/>
      <c r="C157" s="20"/>
      <c r="D157" s="254"/>
      <c r="E157" s="379">
        <v>129351</v>
      </c>
      <c r="F157" s="395" t="s">
        <v>266</v>
      </c>
      <c r="G157" s="396"/>
      <c r="H157" s="397"/>
      <c r="I157" s="383">
        <v>415000</v>
      </c>
      <c r="J157" s="398">
        <v>129351</v>
      </c>
      <c r="K157" s="399" t="s">
        <v>70</v>
      </c>
      <c r="L157" s="399" t="s">
        <v>34</v>
      </c>
      <c r="M157" s="399">
        <v>20</v>
      </c>
      <c r="N157" s="356">
        <v>415000</v>
      </c>
      <c r="O157" s="28" t="b">
        <f t="shared" si="12"/>
        <v>1</v>
      </c>
    </row>
    <row r="158" spans="2:15" s="28" customFormat="1" ht="16.5" customHeight="1">
      <c r="B158" s="20"/>
      <c r="C158" s="20"/>
      <c r="D158" s="254"/>
      <c r="E158" s="379">
        <v>129389</v>
      </c>
      <c r="F158" s="395" t="s">
        <v>459</v>
      </c>
      <c r="G158" s="396"/>
      <c r="H158" s="397"/>
      <c r="I158" s="383">
        <v>3962000</v>
      </c>
      <c r="J158" s="398">
        <v>129389</v>
      </c>
      <c r="K158" s="399" t="s">
        <v>71</v>
      </c>
      <c r="L158" s="399" t="s">
        <v>34</v>
      </c>
      <c r="M158" s="399">
        <v>208</v>
      </c>
      <c r="N158" s="356">
        <v>3962000</v>
      </c>
      <c r="O158" s="28" t="b">
        <f t="shared" si="12"/>
        <v>1</v>
      </c>
    </row>
    <row r="159" spans="2:15" s="28" customFormat="1" ht="16.5" customHeight="1">
      <c r="B159" s="20"/>
      <c r="C159" s="20"/>
      <c r="D159" s="254"/>
      <c r="E159" s="379">
        <v>130938</v>
      </c>
      <c r="F159" s="395" t="s">
        <v>461</v>
      </c>
      <c r="G159" s="396"/>
      <c r="H159" s="397"/>
      <c r="I159" s="383">
        <v>1918000</v>
      </c>
      <c r="J159" s="398">
        <v>130938</v>
      </c>
      <c r="K159" s="399" t="s">
        <v>71</v>
      </c>
      <c r="L159" s="399" t="s">
        <v>34</v>
      </c>
      <c r="M159" s="399">
        <v>181</v>
      </c>
      <c r="N159" s="356">
        <v>1918000</v>
      </c>
      <c r="O159" s="28" t="b">
        <f t="shared" si="12"/>
        <v>1</v>
      </c>
    </row>
    <row r="160" spans="2:15" s="28" customFormat="1" ht="16.5" customHeight="1">
      <c r="B160" s="20"/>
      <c r="C160" s="20"/>
      <c r="D160" s="254"/>
      <c r="E160" s="379">
        <v>130939</v>
      </c>
      <c r="F160" s="395" t="s">
        <v>267</v>
      </c>
      <c r="G160" s="396"/>
      <c r="H160" s="397"/>
      <c r="I160" s="383">
        <v>179000</v>
      </c>
      <c r="J160" s="398">
        <v>130939</v>
      </c>
      <c r="K160" s="399" t="s">
        <v>70</v>
      </c>
      <c r="L160" s="399" t="s">
        <v>34</v>
      </c>
      <c r="M160" s="399">
        <v>15.87</v>
      </c>
      <c r="N160" s="356">
        <v>179000</v>
      </c>
      <c r="O160" s="28" t="b">
        <f t="shared" si="12"/>
        <v>1</v>
      </c>
    </row>
    <row r="161" spans="2:15" s="28" customFormat="1" ht="16.5" customHeight="1">
      <c r="B161" s="20"/>
      <c r="C161" s="20"/>
      <c r="D161" s="254"/>
      <c r="E161" s="379">
        <v>131773</v>
      </c>
      <c r="F161" s="395" t="s">
        <v>462</v>
      </c>
      <c r="G161" s="396"/>
      <c r="H161" s="397"/>
      <c r="I161" s="383"/>
      <c r="J161" s="398">
        <v>131773</v>
      </c>
      <c r="K161" s="399" t="s">
        <v>71</v>
      </c>
      <c r="L161" s="399" t="s">
        <v>34</v>
      </c>
      <c r="M161" s="399">
        <v>208</v>
      </c>
      <c r="N161" s="356" t="e">
        <v>#N/A</v>
      </c>
      <c r="O161" s="28" t="e">
        <f t="shared" si="12"/>
        <v>#N/A</v>
      </c>
    </row>
    <row r="162" spans="2:15" s="28" customFormat="1" ht="16.5" customHeight="1">
      <c r="B162" s="20"/>
      <c r="C162" s="20"/>
      <c r="D162" s="254"/>
      <c r="E162" s="379">
        <v>132528</v>
      </c>
      <c r="F162" s="395" t="s">
        <v>270</v>
      </c>
      <c r="G162" s="396"/>
      <c r="H162" s="397"/>
      <c r="I162" s="383">
        <v>269000</v>
      </c>
      <c r="J162" s="398">
        <v>132528</v>
      </c>
      <c r="K162" s="399" t="s">
        <v>70</v>
      </c>
      <c r="L162" s="399" t="s">
        <v>34</v>
      </c>
      <c r="M162" s="399">
        <v>16</v>
      </c>
      <c r="N162" s="356">
        <v>269000</v>
      </c>
      <c r="O162" s="28" t="b">
        <f t="shared" si="12"/>
        <v>1</v>
      </c>
    </row>
    <row r="163" spans="2:15" s="28" customFormat="1" ht="16.5" customHeight="1">
      <c r="B163" s="20"/>
      <c r="C163" s="20"/>
      <c r="D163" s="254"/>
      <c r="E163" s="379">
        <v>132549</v>
      </c>
      <c r="F163" s="395" t="s">
        <v>463</v>
      </c>
      <c r="G163" s="396"/>
      <c r="H163" s="397"/>
      <c r="I163" s="383">
        <v>3029000</v>
      </c>
      <c r="J163" s="398">
        <v>132549</v>
      </c>
      <c r="K163" s="399" t="s">
        <v>71</v>
      </c>
      <c r="L163" s="399" t="s">
        <v>34</v>
      </c>
      <c r="M163" s="399">
        <v>208</v>
      </c>
      <c r="N163" s="356">
        <v>3029000</v>
      </c>
      <c r="O163" s="28" t="b">
        <f t="shared" si="12"/>
        <v>1</v>
      </c>
    </row>
    <row r="164" spans="2:15" s="28" customFormat="1" ht="16.5" customHeight="1">
      <c r="B164" s="20"/>
      <c r="C164" s="20"/>
      <c r="D164" s="254"/>
      <c r="E164" s="379">
        <v>132550</v>
      </c>
      <c r="F164" s="395" t="s">
        <v>464</v>
      </c>
      <c r="G164" s="396"/>
      <c r="H164" s="397"/>
      <c r="I164" s="383">
        <v>3173000</v>
      </c>
      <c r="J164" s="398">
        <v>132550</v>
      </c>
      <c r="K164" s="399" t="s">
        <v>71</v>
      </c>
      <c r="L164" s="399" t="s">
        <v>34</v>
      </c>
      <c r="M164" s="399">
        <v>208</v>
      </c>
      <c r="N164" s="356">
        <v>3173000</v>
      </c>
      <c r="O164" s="28" t="b">
        <f t="shared" si="12"/>
        <v>1</v>
      </c>
    </row>
    <row r="165" spans="2:15" s="28" customFormat="1" ht="16.5" customHeight="1">
      <c r="B165" s="20"/>
      <c r="C165" s="20"/>
      <c r="D165" s="254"/>
      <c r="E165" s="379">
        <v>132558</v>
      </c>
      <c r="F165" s="395" t="s">
        <v>465</v>
      </c>
      <c r="G165" s="396"/>
      <c r="H165" s="397"/>
      <c r="I165" s="383">
        <v>3541000</v>
      </c>
      <c r="J165" s="398">
        <v>132558</v>
      </c>
      <c r="K165" s="399" t="s">
        <v>71</v>
      </c>
      <c r="L165" s="399" t="s">
        <v>34</v>
      </c>
      <c r="M165" s="399">
        <v>208</v>
      </c>
      <c r="N165" s="356">
        <v>3541000</v>
      </c>
      <c r="O165" s="28" t="b">
        <f t="shared" si="12"/>
        <v>1</v>
      </c>
    </row>
    <row r="166" spans="2:15" s="28" customFormat="1" ht="16.5" customHeight="1">
      <c r="B166" s="20"/>
      <c r="C166" s="20"/>
      <c r="D166" s="254"/>
      <c r="E166" s="379">
        <v>140202</v>
      </c>
      <c r="F166" s="395" t="s">
        <v>377</v>
      </c>
      <c r="G166" s="396"/>
      <c r="H166" s="397"/>
      <c r="I166" s="383">
        <v>352000</v>
      </c>
      <c r="J166" s="398">
        <v>140202</v>
      </c>
      <c r="K166" s="399" t="s">
        <v>70</v>
      </c>
      <c r="L166" s="399" t="s">
        <v>34</v>
      </c>
      <c r="M166" s="399">
        <v>16</v>
      </c>
      <c r="N166" s="356">
        <v>352000</v>
      </c>
      <c r="O166" s="28" t="b">
        <f t="shared" si="12"/>
        <v>1</v>
      </c>
    </row>
    <row r="167" spans="2:15" s="28" customFormat="1" ht="16.5" customHeight="1">
      <c r="B167" s="20"/>
      <c r="C167" s="20"/>
      <c r="D167" s="254"/>
      <c r="E167" s="379">
        <v>140203</v>
      </c>
      <c r="F167" s="395" t="s">
        <v>273</v>
      </c>
      <c r="G167" s="396"/>
      <c r="H167" s="397"/>
      <c r="I167" s="383">
        <v>355000</v>
      </c>
      <c r="J167" s="398">
        <v>140203</v>
      </c>
      <c r="K167" s="399" t="s">
        <v>70</v>
      </c>
      <c r="L167" s="399" t="s">
        <v>34</v>
      </c>
      <c r="M167" s="399">
        <v>16</v>
      </c>
      <c r="N167" s="356">
        <v>355000</v>
      </c>
      <c r="O167" s="28" t="b">
        <f t="shared" si="12"/>
        <v>1</v>
      </c>
    </row>
    <row r="168" spans="2:15" s="28" customFormat="1" ht="16.5" customHeight="1">
      <c r="B168" s="20"/>
      <c r="C168" s="20"/>
      <c r="D168" s="254"/>
      <c r="E168" s="379">
        <v>132575</v>
      </c>
      <c r="F168" s="400" t="s">
        <v>274</v>
      </c>
      <c r="G168" s="401"/>
      <c r="H168" s="402"/>
      <c r="I168" s="383">
        <v>394000</v>
      </c>
      <c r="J168" s="398">
        <v>132575</v>
      </c>
      <c r="K168" s="399" t="s">
        <v>70</v>
      </c>
      <c r="L168" s="399" t="s">
        <v>34</v>
      </c>
      <c r="M168" s="399">
        <v>16</v>
      </c>
      <c r="N168" s="356">
        <v>394000</v>
      </c>
      <c r="O168" s="28" t="b">
        <f t="shared" si="12"/>
        <v>1</v>
      </c>
    </row>
    <row r="169" spans="2:15" s="28" customFormat="1" ht="16.5" customHeight="1">
      <c r="B169" s="20"/>
      <c r="C169" s="20"/>
      <c r="D169" s="254"/>
      <c r="E169" s="379">
        <v>132610</v>
      </c>
      <c r="F169" s="395" t="s">
        <v>466</v>
      </c>
      <c r="G169" s="396"/>
      <c r="H169" s="397"/>
      <c r="I169" s="383">
        <v>3730000</v>
      </c>
      <c r="J169" s="398">
        <v>132610</v>
      </c>
      <c r="K169" s="399" t="s">
        <v>71</v>
      </c>
      <c r="L169" s="399" t="s">
        <v>34</v>
      </c>
      <c r="M169" s="399">
        <v>174</v>
      </c>
      <c r="N169" s="356">
        <v>3730000</v>
      </c>
      <c r="O169" s="28" t="b">
        <f t="shared" si="12"/>
        <v>1</v>
      </c>
    </row>
    <row r="170" spans="2:15" s="28" customFormat="1" ht="16.5" customHeight="1">
      <c r="B170" s="20"/>
      <c r="C170" s="20"/>
      <c r="D170" s="254"/>
      <c r="E170" s="379">
        <v>132611</v>
      </c>
      <c r="F170" s="395" t="s">
        <v>275</v>
      </c>
      <c r="G170" s="396"/>
      <c r="H170" s="397"/>
      <c r="I170" s="383">
        <v>338000</v>
      </c>
      <c r="J170" s="398">
        <v>132611</v>
      </c>
      <c r="K170" s="399" t="s">
        <v>70</v>
      </c>
      <c r="L170" s="399" t="s">
        <v>34</v>
      </c>
      <c r="M170" s="399">
        <v>15.87</v>
      </c>
      <c r="N170" s="356">
        <v>338000</v>
      </c>
      <c r="O170" s="28" t="b">
        <f t="shared" si="12"/>
        <v>1</v>
      </c>
    </row>
    <row r="171" spans="2:15" s="28" customFormat="1" ht="16.5" customHeight="1">
      <c r="B171" s="20"/>
      <c r="C171" s="20"/>
      <c r="D171" s="254"/>
      <c r="E171" s="379">
        <v>140200</v>
      </c>
      <c r="F171" s="395" t="s">
        <v>276</v>
      </c>
      <c r="G171" s="396"/>
      <c r="H171" s="397"/>
      <c r="I171" s="383">
        <v>352000</v>
      </c>
      <c r="J171" s="398">
        <v>132642</v>
      </c>
      <c r="K171" s="399" t="s">
        <v>70</v>
      </c>
      <c r="L171" s="399" t="s">
        <v>34</v>
      </c>
      <c r="M171" s="399">
        <v>16</v>
      </c>
      <c r="N171" s="356">
        <v>351000</v>
      </c>
      <c r="O171" s="28" t="b">
        <f t="shared" si="12"/>
        <v>0</v>
      </c>
    </row>
    <row r="172" spans="2:15" s="28" customFormat="1" ht="16.5" customHeight="1">
      <c r="B172" s="20"/>
      <c r="C172" s="20"/>
      <c r="D172" s="254"/>
      <c r="E172" s="379">
        <v>132796</v>
      </c>
      <c r="F172" s="403" t="s">
        <v>278</v>
      </c>
      <c r="G172" s="404"/>
      <c r="H172" s="405"/>
      <c r="I172" s="383">
        <v>562000</v>
      </c>
      <c r="J172" s="398">
        <v>132796</v>
      </c>
      <c r="K172" s="406" t="s">
        <v>70</v>
      </c>
      <c r="L172" s="406" t="s">
        <v>34</v>
      </c>
      <c r="M172" s="406">
        <v>18</v>
      </c>
      <c r="N172" s="356">
        <v>562000</v>
      </c>
      <c r="O172" s="28" t="b">
        <f t="shared" si="12"/>
        <v>1</v>
      </c>
    </row>
    <row r="173" spans="2:15" s="28" customFormat="1" ht="16.5" customHeight="1">
      <c r="B173" s="20"/>
      <c r="C173" s="20"/>
      <c r="D173" s="254"/>
      <c r="E173" s="379">
        <v>132835</v>
      </c>
      <c r="F173" s="395" t="s">
        <v>474</v>
      </c>
      <c r="G173" s="396"/>
      <c r="H173" s="397"/>
      <c r="I173" s="383">
        <v>3480000</v>
      </c>
      <c r="J173" s="398">
        <v>132835</v>
      </c>
      <c r="K173" s="399" t="s">
        <v>71</v>
      </c>
      <c r="L173" s="399" t="s">
        <v>34</v>
      </c>
      <c r="M173" s="399">
        <v>208</v>
      </c>
      <c r="N173" s="356">
        <v>3480000</v>
      </c>
      <c r="O173" s="28" t="b">
        <f t="shared" si="12"/>
        <v>1</v>
      </c>
    </row>
    <row r="174" spans="2:15" s="28" customFormat="1" ht="16.5" customHeight="1">
      <c r="B174" s="20"/>
      <c r="C174" s="20"/>
      <c r="D174" s="254"/>
      <c r="E174" s="379">
        <v>133450</v>
      </c>
      <c r="F174" s="395" t="s">
        <v>475</v>
      </c>
      <c r="G174" s="396"/>
      <c r="H174" s="397"/>
      <c r="I174" s="383">
        <v>4688000</v>
      </c>
      <c r="J174" s="398">
        <v>133450</v>
      </c>
      <c r="K174" s="399" t="s">
        <v>71</v>
      </c>
      <c r="L174" s="399" t="s">
        <v>34</v>
      </c>
      <c r="M174" s="399">
        <v>208</v>
      </c>
      <c r="N174" s="356">
        <v>4688000</v>
      </c>
      <c r="O174" s="28" t="b">
        <f t="shared" si="12"/>
        <v>1</v>
      </c>
    </row>
    <row r="175" spans="2:15" s="28" customFormat="1" ht="16.5" customHeight="1">
      <c r="B175" s="20"/>
      <c r="C175" s="20"/>
      <c r="D175" s="254"/>
      <c r="E175" s="379">
        <v>134221</v>
      </c>
      <c r="F175" s="400" t="s">
        <v>476</v>
      </c>
      <c r="G175" s="401"/>
      <c r="H175" s="402"/>
      <c r="I175" s="383">
        <v>4412000</v>
      </c>
      <c r="J175" s="407">
        <v>134221</v>
      </c>
      <c r="K175" s="399" t="s">
        <v>71</v>
      </c>
      <c r="L175" s="399" t="s">
        <v>34</v>
      </c>
      <c r="M175" s="399">
        <v>216</v>
      </c>
      <c r="N175" s="356">
        <v>4412000</v>
      </c>
      <c r="O175" s="28" t="b">
        <f t="shared" si="12"/>
        <v>1</v>
      </c>
    </row>
    <row r="176" spans="2:15" s="28" customFormat="1" ht="16.5" customHeight="1">
      <c r="B176" s="20"/>
      <c r="C176" s="20"/>
      <c r="D176" s="254"/>
      <c r="E176" s="379">
        <v>134320</v>
      </c>
      <c r="F176" s="400" t="s">
        <v>477</v>
      </c>
      <c r="G176" s="396"/>
      <c r="H176" s="397"/>
      <c r="I176" s="383">
        <v>3144000</v>
      </c>
      <c r="J176" s="398">
        <v>134320</v>
      </c>
      <c r="K176" s="399" t="s">
        <v>71</v>
      </c>
      <c r="L176" s="399" t="s">
        <v>34</v>
      </c>
      <c r="M176" s="399">
        <v>208</v>
      </c>
      <c r="N176" s="356">
        <v>3144000</v>
      </c>
      <c r="O176" s="28" t="b">
        <f t="shared" si="12"/>
        <v>1</v>
      </c>
    </row>
    <row r="177" spans="2:15" s="28" customFormat="1" ht="16.5" customHeight="1">
      <c r="B177" s="20"/>
      <c r="C177" s="20"/>
      <c r="D177" s="254"/>
      <c r="E177" s="379">
        <v>134445</v>
      </c>
      <c r="F177" s="400" t="s">
        <v>239</v>
      </c>
      <c r="G177" s="396"/>
      <c r="H177" s="397"/>
      <c r="I177" s="383">
        <v>66900</v>
      </c>
      <c r="J177" s="398">
        <v>134445</v>
      </c>
      <c r="K177" s="399" t="s">
        <v>70</v>
      </c>
      <c r="L177" s="399" t="s">
        <v>34</v>
      </c>
      <c r="M177" s="399">
        <v>20</v>
      </c>
      <c r="N177" s="356">
        <v>66900</v>
      </c>
      <c r="O177" s="28" t="b">
        <f t="shared" si="12"/>
        <v>1</v>
      </c>
    </row>
    <row r="178" spans="2:15" s="28" customFormat="1" ht="16.5" customHeight="1">
      <c r="B178" s="20"/>
      <c r="C178" s="20"/>
      <c r="D178" s="254"/>
      <c r="E178" s="379">
        <v>134602</v>
      </c>
      <c r="F178" s="400" t="s">
        <v>481</v>
      </c>
      <c r="G178" s="396"/>
      <c r="H178" s="397"/>
      <c r="I178" s="383">
        <v>3680000</v>
      </c>
      <c r="J178" s="407">
        <v>134602</v>
      </c>
      <c r="K178" s="399" t="s">
        <v>71</v>
      </c>
      <c r="L178" s="399" t="s">
        <v>34</v>
      </c>
      <c r="M178" s="399">
        <v>208</v>
      </c>
      <c r="N178" s="356">
        <v>3680000</v>
      </c>
      <c r="O178" s="28" t="b">
        <f t="shared" si="12"/>
        <v>1</v>
      </c>
    </row>
    <row r="179" spans="2:15" s="28" customFormat="1" ht="16.5" customHeight="1">
      <c r="B179" s="20"/>
      <c r="C179" s="20"/>
      <c r="D179" s="254"/>
      <c r="E179" s="379">
        <v>134604</v>
      </c>
      <c r="F179" s="400" t="s">
        <v>280</v>
      </c>
      <c r="G179" s="396"/>
      <c r="H179" s="397"/>
      <c r="I179" s="383">
        <v>120000</v>
      </c>
      <c r="J179" s="398">
        <v>134604</v>
      </c>
      <c r="K179" s="399" t="s">
        <v>70</v>
      </c>
      <c r="L179" s="399" t="s">
        <v>34</v>
      </c>
      <c r="M179" s="399">
        <v>16</v>
      </c>
      <c r="N179" s="356">
        <v>120000</v>
      </c>
      <c r="O179" s="28" t="b">
        <f t="shared" si="12"/>
        <v>1</v>
      </c>
    </row>
    <row r="180" spans="2:15" s="28" customFormat="1" ht="16.5" customHeight="1">
      <c r="B180" s="20"/>
      <c r="C180" s="20"/>
      <c r="D180" s="254"/>
      <c r="E180" s="379">
        <v>134884</v>
      </c>
      <c r="F180" s="400" t="s">
        <v>281</v>
      </c>
      <c r="G180" s="396"/>
      <c r="H180" s="397"/>
      <c r="I180" s="383">
        <v>80500</v>
      </c>
      <c r="J180" s="407">
        <v>134884</v>
      </c>
      <c r="K180" s="399" t="s">
        <v>70</v>
      </c>
      <c r="L180" s="399" t="s">
        <v>34</v>
      </c>
      <c r="M180" s="399">
        <v>20</v>
      </c>
      <c r="N180" s="356">
        <v>80500</v>
      </c>
      <c r="O180" s="28" t="b">
        <f t="shared" si="12"/>
        <v>1</v>
      </c>
    </row>
    <row r="181" spans="2:15" s="28" customFormat="1" ht="16.5" customHeight="1">
      <c r="B181" s="20"/>
      <c r="C181" s="20"/>
      <c r="D181" s="254"/>
      <c r="E181" s="379">
        <v>134937</v>
      </c>
      <c r="F181" s="400" t="s">
        <v>486</v>
      </c>
      <c r="G181" s="396"/>
      <c r="H181" s="397"/>
      <c r="I181" s="383">
        <v>3079000</v>
      </c>
      <c r="J181" s="407">
        <v>134937</v>
      </c>
      <c r="K181" s="399" t="s">
        <v>71</v>
      </c>
      <c r="L181" s="399" t="s">
        <v>34</v>
      </c>
      <c r="M181" s="399">
        <v>208</v>
      </c>
      <c r="N181" s="356">
        <v>3079000</v>
      </c>
      <c r="O181" s="28" t="b">
        <f t="shared" si="12"/>
        <v>1</v>
      </c>
    </row>
    <row r="182" spans="2:15" s="28" customFormat="1" ht="16.5" customHeight="1">
      <c r="B182" s="20"/>
      <c r="C182" s="20"/>
      <c r="D182" s="254"/>
      <c r="E182" s="379">
        <v>134962</v>
      </c>
      <c r="F182" s="395" t="s">
        <v>47</v>
      </c>
      <c r="G182" s="396"/>
      <c r="H182" s="397"/>
      <c r="I182" s="383">
        <v>364000</v>
      </c>
      <c r="J182" s="398">
        <v>134962</v>
      </c>
      <c r="K182" s="399" t="s">
        <v>70</v>
      </c>
      <c r="L182" s="399" t="s">
        <v>34</v>
      </c>
      <c r="M182" s="399">
        <v>20</v>
      </c>
      <c r="N182" s="356">
        <v>364000</v>
      </c>
      <c r="O182" s="28" t="b">
        <f t="shared" si="12"/>
        <v>1</v>
      </c>
    </row>
    <row r="183" spans="2:15" s="28" customFormat="1" ht="16.5" customHeight="1">
      <c r="B183" s="20"/>
      <c r="C183" s="20"/>
      <c r="D183" s="254"/>
      <c r="E183" s="379">
        <v>134995</v>
      </c>
      <c r="F183" s="395" t="s">
        <v>283</v>
      </c>
      <c r="G183" s="396"/>
      <c r="H183" s="397"/>
      <c r="I183" s="383">
        <v>475000</v>
      </c>
      <c r="J183" s="398">
        <v>134995</v>
      </c>
      <c r="K183" s="399" t="s">
        <v>70</v>
      </c>
      <c r="L183" s="399" t="s">
        <v>34</v>
      </c>
      <c r="M183" s="399">
        <v>16</v>
      </c>
      <c r="N183" s="356">
        <v>475000</v>
      </c>
      <c r="O183" s="28" t="b">
        <f t="shared" si="12"/>
        <v>1</v>
      </c>
    </row>
    <row r="184" spans="2:15" s="28" customFormat="1" ht="16.5" customHeight="1">
      <c r="B184" s="20"/>
      <c r="C184" s="20"/>
      <c r="D184" s="254"/>
      <c r="E184" s="379">
        <v>134997</v>
      </c>
      <c r="F184" s="408" t="s">
        <v>284</v>
      </c>
      <c r="G184" s="409"/>
      <c r="H184" s="410"/>
      <c r="I184" s="383">
        <v>316000</v>
      </c>
      <c r="J184" s="398">
        <v>134997</v>
      </c>
      <c r="K184" s="378" t="s">
        <v>70</v>
      </c>
      <c r="L184" s="378" t="s">
        <v>34</v>
      </c>
      <c r="M184" s="378">
        <v>15.87</v>
      </c>
      <c r="N184" s="356">
        <v>316000</v>
      </c>
      <c r="O184" s="28" t="b">
        <f t="shared" si="12"/>
        <v>1</v>
      </c>
    </row>
    <row r="185" spans="2:15" s="28" customFormat="1" ht="16.5" customHeight="1">
      <c r="B185" s="20"/>
      <c r="C185" s="20"/>
      <c r="D185" s="254"/>
      <c r="E185" s="379">
        <v>134999</v>
      </c>
      <c r="F185" s="395" t="s">
        <v>285</v>
      </c>
      <c r="G185" s="396"/>
      <c r="H185" s="397"/>
      <c r="I185" s="383">
        <v>476000</v>
      </c>
      <c r="J185" s="398">
        <v>134999</v>
      </c>
      <c r="K185" s="399" t="s">
        <v>70</v>
      </c>
      <c r="L185" s="399" t="s">
        <v>34</v>
      </c>
      <c r="M185" s="399">
        <v>15.87</v>
      </c>
      <c r="N185" s="356">
        <v>476000</v>
      </c>
      <c r="O185" s="28" t="b">
        <f t="shared" si="12"/>
        <v>1</v>
      </c>
    </row>
    <row r="186" spans="2:15" s="28" customFormat="1" ht="16.5" customHeight="1">
      <c r="B186" s="20"/>
      <c r="C186" s="20"/>
      <c r="D186" s="254"/>
      <c r="E186" s="379">
        <v>135000</v>
      </c>
      <c r="F186" s="395" t="s">
        <v>487</v>
      </c>
      <c r="G186" s="396"/>
      <c r="H186" s="397"/>
      <c r="I186" s="383">
        <v>2918000</v>
      </c>
      <c r="J186" s="398">
        <v>135000</v>
      </c>
      <c r="K186" s="399" t="s">
        <v>71</v>
      </c>
      <c r="L186" s="399" t="s">
        <v>34</v>
      </c>
      <c r="M186" s="399">
        <v>208</v>
      </c>
      <c r="N186" s="356">
        <v>2918000</v>
      </c>
      <c r="O186" s="28" t="b">
        <f t="shared" si="12"/>
        <v>1</v>
      </c>
    </row>
    <row r="187" spans="2:15" s="28" customFormat="1" ht="16.5" customHeight="1">
      <c r="B187" s="20"/>
      <c r="C187" s="20"/>
      <c r="D187" s="254"/>
      <c r="E187" s="379">
        <v>135002</v>
      </c>
      <c r="F187" s="395" t="s">
        <v>286</v>
      </c>
      <c r="G187" s="396"/>
      <c r="H187" s="397"/>
      <c r="I187" s="383">
        <v>364000</v>
      </c>
      <c r="J187" s="398">
        <v>135002</v>
      </c>
      <c r="K187" s="399" t="s">
        <v>70</v>
      </c>
      <c r="L187" s="399" t="s">
        <v>34</v>
      </c>
      <c r="M187" s="399">
        <v>20</v>
      </c>
      <c r="N187" s="356">
        <v>364000</v>
      </c>
      <c r="O187" s="28" t="b">
        <f t="shared" si="12"/>
        <v>1</v>
      </c>
    </row>
    <row r="188" spans="2:15" s="28" customFormat="1" ht="16.5" customHeight="1">
      <c r="B188" s="20"/>
      <c r="C188" s="20"/>
      <c r="D188" s="254"/>
      <c r="E188" s="379">
        <v>135004</v>
      </c>
      <c r="F188" s="395" t="s">
        <v>287</v>
      </c>
      <c r="G188" s="396"/>
      <c r="H188" s="397"/>
      <c r="I188" s="383">
        <v>300000</v>
      </c>
      <c r="J188" s="398">
        <v>135004</v>
      </c>
      <c r="K188" s="399" t="s">
        <v>70</v>
      </c>
      <c r="L188" s="399" t="s">
        <v>34</v>
      </c>
      <c r="M188" s="399">
        <v>18.899999999999999</v>
      </c>
      <c r="N188" s="356">
        <v>300000</v>
      </c>
      <c r="O188" s="28" t="b">
        <f t="shared" si="12"/>
        <v>1</v>
      </c>
    </row>
    <row r="189" spans="2:15" s="28" customFormat="1" ht="16.5" customHeight="1">
      <c r="B189" s="20"/>
      <c r="C189" s="20"/>
      <c r="D189" s="254"/>
      <c r="E189" s="379">
        <v>135008</v>
      </c>
      <c r="F189" s="395" t="s">
        <v>288</v>
      </c>
      <c r="G189" s="396"/>
      <c r="H189" s="397"/>
      <c r="I189" s="383">
        <v>274000</v>
      </c>
      <c r="J189" s="398">
        <v>135008</v>
      </c>
      <c r="K189" s="399" t="s">
        <v>70</v>
      </c>
      <c r="L189" s="399" t="s">
        <v>34</v>
      </c>
      <c r="M189" s="399">
        <v>20</v>
      </c>
      <c r="N189" s="356">
        <v>274000</v>
      </c>
      <c r="O189" s="28" t="b">
        <f t="shared" si="12"/>
        <v>1</v>
      </c>
    </row>
    <row r="190" spans="2:15" s="28" customFormat="1" ht="16.5" customHeight="1">
      <c r="B190" s="20"/>
      <c r="C190" s="20"/>
      <c r="D190" s="254"/>
      <c r="E190" s="379">
        <v>135010</v>
      </c>
      <c r="F190" s="395" t="s">
        <v>488</v>
      </c>
      <c r="G190" s="396"/>
      <c r="H190" s="397"/>
      <c r="I190" s="383">
        <v>3777000</v>
      </c>
      <c r="J190" s="398">
        <v>135010</v>
      </c>
      <c r="K190" s="399" t="s">
        <v>71</v>
      </c>
      <c r="L190" s="399" t="s">
        <v>34</v>
      </c>
      <c r="M190" s="399">
        <v>174</v>
      </c>
      <c r="N190" s="356">
        <v>3777000</v>
      </c>
      <c r="O190" s="28" t="b">
        <f t="shared" si="12"/>
        <v>1</v>
      </c>
    </row>
    <row r="191" spans="2:15" s="28" customFormat="1" ht="16.5" customHeight="1">
      <c r="B191" s="20"/>
      <c r="C191" s="20"/>
      <c r="D191" s="254"/>
      <c r="E191" s="379">
        <v>135013</v>
      </c>
      <c r="F191" s="395" t="s">
        <v>489</v>
      </c>
      <c r="G191" s="396"/>
      <c r="H191" s="397"/>
      <c r="I191" s="383">
        <v>2922000</v>
      </c>
      <c r="J191" s="398">
        <v>135013</v>
      </c>
      <c r="K191" s="399" t="s">
        <v>71</v>
      </c>
      <c r="L191" s="399" t="s">
        <v>34</v>
      </c>
      <c r="M191" s="399">
        <v>208</v>
      </c>
      <c r="N191" s="356">
        <v>2922000</v>
      </c>
      <c r="O191" s="28" t="b">
        <f t="shared" si="12"/>
        <v>1</v>
      </c>
    </row>
    <row r="192" spans="2:15" s="28" customFormat="1" ht="16.5" customHeight="1">
      <c r="B192" s="20"/>
      <c r="C192" s="20"/>
      <c r="D192" s="254"/>
      <c r="E192" s="379">
        <v>135014</v>
      </c>
      <c r="F192" s="395" t="s">
        <v>490</v>
      </c>
      <c r="G192" s="396"/>
      <c r="H192" s="397"/>
      <c r="I192" s="383">
        <v>3151000</v>
      </c>
      <c r="J192" s="398">
        <v>135014</v>
      </c>
      <c r="K192" s="399" t="s">
        <v>71</v>
      </c>
      <c r="L192" s="399" t="s">
        <v>34</v>
      </c>
      <c r="M192" s="399">
        <v>208</v>
      </c>
      <c r="N192" s="356">
        <v>3151000</v>
      </c>
      <c r="O192" s="28" t="b">
        <f t="shared" si="12"/>
        <v>1</v>
      </c>
    </row>
    <row r="193" spans="2:15" s="28" customFormat="1" ht="16.5" customHeight="1">
      <c r="B193" s="20"/>
      <c r="C193" s="20"/>
      <c r="D193" s="254"/>
      <c r="E193" s="379">
        <v>135016</v>
      </c>
      <c r="F193" s="395" t="s">
        <v>289</v>
      </c>
      <c r="G193" s="396"/>
      <c r="H193" s="397"/>
      <c r="I193" s="383">
        <v>353000</v>
      </c>
      <c r="J193" s="398">
        <v>135016</v>
      </c>
      <c r="K193" s="399" t="s">
        <v>70</v>
      </c>
      <c r="L193" s="399" t="s">
        <v>34</v>
      </c>
      <c r="M193" s="399">
        <v>20</v>
      </c>
      <c r="N193" s="356">
        <v>353000</v>
      </c>
      <c r="O193" s="28" t="b">
        <f t="shared" si="12"/>
        <v>1</v>
      </c>
    </row>
    <row r="194" spans="2:15" s="28" customFormat="1" ht="16.5" customHeight="1">
      <c r="B194" s="20"/>
      <c r="C194" s="20"/>
      <c r="D194" s="254"/>
      <c r="E194" s="379">
        <v>135152</v>
      </c>
      <c r="F194" s="395" t="s">
        <v>290</v>
      </c>
      <c r="G194" s="396"/>
      <c r="H194" s="397"/>
      <c r="I194" s="383">
        <v>327000</v>
      </c>
      <c r="J194" s="398">
        <v>135152</v>
      </c>
      <c r="K194" s="399" t="s">
        <v>70</v>
      </c>
      <c r="L194" s="399" t="s">
        <v>34</v>
      </c>
      <c r="M194" s="399">
        <v>20</v>
      </c>
      <c r="N194" s="356">
        <v>327000</v>
      </c>
      <c r="O194" s="28" t="b">
        <f t="shared" si="12"/>
        <v>1</v>
      </c>
    </row>
    <row r="195" spans="2:15" s="28" customFormat="1" ht="16.5" customHeight="1">
      <c r="B195" s="20"/>
      <c r="C195" s="20"/>
      <c r="D195" s="254"/>
      <c r="E195" s="379">
        <v>135153</v>
      </c>
      <c r="F195" s="395" t="s">
        <v>291</v>
      </c>
      <c r="G195" s="396"/>
      <c r="H195" s="397"/>
      <c r="I195" s="383">
        <v>277000</v>
      </c>
      <c r="J195" s="398">
        <v>135153</v>
      </c>
      <c r="K195" s="399" t="s">
        <v>70</v>
      </c>
      <c r="L195" s="399" t="s">
        <v>34</v>
      </c>
      <c r="M195" s="399">
        <v>20</v>
      </c>
      <c r="N195" s="356">
        <v>277000</v>
      </c>
      <c r="O195" s="28" t="b">
        <f t="shared" si="12"/>
        <v>1</v>
      </c>
    </row>
    <row r="196" spans="2:15" s="28" customFormat="1" ht="16.5" customHeight="1">
      <c r="B196" s="20"/>
      <c r="C196" s="20"/>
      <c r="D196" s="254"/>
      <c r="E196" s="379">
        <v>135179</v>
      </c>
      <c r="F196" s="395" t="s">
        <v>491</v>
      </c>
      <c r="G196" s="396"/>
      <c r="H196" s="397"/>
      <c r="I196" s="383">
        <v>2733000</v>
      </c>
      <c r="J196" s="398">
        <v>135179</v>
      </c>
      <c r="K196" s="399" t="s">
        <v>71</v>
      </c>
      <c r="L196" s="399" t="s">
        <v>34</v>
      </c>
      <c r="M196" s="399">
        <v>208</v>
      </c>
      <c r="N196" s="356">
        <v>2733000</v>
      </c>
      <c r="O196" s="28" t="b">
        <f t="shared" si="12"/>
        <v>1</v>
      </c>
    </row>
    <row r="197" spans="2:15" s="28" customFormat="1" ht="16.5" customHeight="1">
      <c r="B197" s="20"/>
      <c r="C197" s="20"/>
      <c r="D197" s="254"/>
      <c r="E197" s="379">
        <v>135180</v>
      </c>
      <c r="F197" s="395" t="s">
        <v>492</v>
      </c>
      <c r="G197" s="401"/>
      <c r="H197" s="402"/>
      <c r="I197" s="383">
        <v>3124000</v>
      </c>
      <c r="J197" s="398">
        <v>135180</v>
      </c>
      <c r="K197" s="399" t="s">
        <v>71</v>
      </c>
      <c r="L197" s="399" t="s">
        <v>34</v>
      </c>
      <c r="M197" s="399">
        <v>208</v>
      </c>
      <c r="N197" s="356">
        <v>3124000</v>
      </c>
      <c r="O197" s="28" t="b">
        <f t="shared" si="12"/>
        <v>1</v>
      </c>
    </row>
    <row r="198" spans="2:15" s="28" customFormat="1" ht="16.5" customHeight="1">
      <c r="B198" s="20"/>
      <c r="C198" s="20"/>
      <c r="D198" s="254"/>
      <c r="E198" s="379">
        <v>135181</v>
      </c>
      <c r="F198" s="395" t="s">
        <v>292</v>
      </c>
      <c r="G198" s="396"/>
      <c r="H198" s="397"/>
      <c r="I198" s="383">
        <v>269000</v>
      </c>
      <c r="J198" s="398">
        <v>135181</v>
      </c>
      <c r="K198" s="399" t="s">
        <v>70</v>
      </c>
      <c r="L198" s="399" t="s">
        <v>34</v>
      </c>
      <c r="M198" s="399">
        <v>20</v>
      </c>
      <c r="N198" s="356">
        <v>269000</v>
      </c>
      <c r="O198" s="28" t="b">
        <f t="shared" si="12"/>
        <v>1</v>
      </c>
    </row>
    <row r="199" spans="2:15" s="28" customFormat="1" ht="16.5" customHeight="1">
      <c r="B199" s="20"/>
      <c r="C199" s="20"/>
      <c r="D199" s="254"/>
      <c r="E199" s="379">
        <v>135182</v>
      </c>
      <c r="F199" s="395" t="s">
        <v>493</v>
      </c>
      <c r="G199" s="396"/>
      <c r="H199" s="397"/>
      <c r="I199" s="383">
        <v>2995000</v>
      </c>
      <c r="J199" s="398">
        <v>135182</v>
      </c>
      <c r="K199" s="399" t="s">
        <v>71</v>
      </c>
      <c r="L199" s="399" t="s">
        <v>34</v>
      </c>
      <c r="M199" s="399">
        <v>208</v>
      </c>
      <c r="N199" s="356">
        <v>2995000</v>
      </c>
      <c r="O199" s="28" t="b">
        <f t="shared" si="12"/>
        <v>1</v>
      </c>
    </row>
    <row r="200" spans="2:15" s="28" customFormat="1" ht="16.5" customHeight="1">
      <c r="B200" s="20"/>
      <c r="C200" s="20"/>
      <c r="D200" s="254"/>
      <c r="E200" s="379">
        <v>135183</v>
      </c>
      <c r="F200" s="395" t="s">
        <v>293</v>
      </c>
      <c r="G200" s="396"/>
      <c r="H200" s="397"/>
      <c r="I200" s="383">
        <v>302000</v>
      </c>
      <c r="J200" s="398">
        <v>135183</v>
      </c>
      <c r="K200" s="399" t="s">
        <v>70</v>
      </c>
      <c r="L200" s="399" t="s">
        <v>34</v>
      </c>
      <c r="M200" s="399">
        <v>20</v>
      </c>
      <c r="N200" s="356">
        <v>302000</v>
      </c>
      <c r="O200" s="28" t="b">
        <f t="shared" si="12"/>
        <v>1</v>
      </c>
    </row>
    <row r="201" spans="2:15" s="28" customFormat="1" ht="16.5" customHeight="1">
      <c r="B201" s="20"/>
      <c r="C201" s="20"/>
      <c r="D201" s="254"/>
      <c r="E201" s="379">
        <v>135184</v>
      </c>
      <c r="F201" s="395" t="s">
        <v>494</v>
      </c>
      <c r="G201" s="396"/>
      <c r="H201" s="397"/>
      <c r="I201" s="383">
        <v>3255000</v>
      </c>
      <c r="J201" s="398">
        <v>135184</v>
      </c>
      <c r="K201" s="399" t="s">
        <v>71</v>
      </c>
      <c r="L201" s="399" t="s">
        <v>34</v>
      </c>
      <c r="M201" s="399">
        <v>208</v>
      </c>
      <c r="N201" s="356">
        <v>3255000</v>
      </c>
      <c r="O201" s="28" t="b">
        <f t="shared" si="12"/>
        <v>1</v>
      </c>
    </row>
    <row r="202" spans="2:15" s="28" customFormat="1" ht="16.5" customHeight="1">
      <c r="B202" s="20"/>
      <c r="C202" s="20"/>
      <c r="D202" s="254"/>
      <c r="E202" s="379">
        <v>135185</v>
      </c>
      <c r="F202" s="395" t="s">
        <v>495</v>
      </c>
      <c r="G202" s="396"/>
      <c r="H202" s="397"/>
      <c r="I202" s="383">
        <v>3450000</v>
      </c>
      <c r="J202" s="398">
        <v>135185</v>
      </c>
      <c r="K202" s="399" t="s">
        <v>71</v>
      </c>
      <c r="L202" s="399" t="s">
        <v>34</v>
      </c>
      <c r="M202" s="399">
        <v>208</v>
      </c>
      <c r="N202" s="356">
        <v>3450000</v>
      </c>
      <c r="O202" s="28" t="b">
        <f t="shared" si="12"/>
        <v>1</v>
      </c>
    </row>
    <row r="203" spans="2:15" s="28" customFormat="1" ht="16.5" customHeight="1">
      <c r="B203" s="20"/>
      <c r="C203" s="20"/>
      <c r="D203" s="254"/>
      <c r="E203" s="379">
        <v>135186</v>
      </c>
      <c r="F203" s="395" t="s">
        <v>496</v>
      </c>
      <c r="G203" s="396"/>
      <c r="H203" s="397"/>
      <c r="I203" s="383">
        <v>3644000</v>
      </c>
      <c r="J203" s="398">
        <v>135186</v>
      </c>
      <c r="K203" s="399" t="s">
        <v>71</v>
      </c>
      <c r="L203" s="399" t="s">
        <v>34</v>
      </c>
      <c r="M203" s="399">
        <v>208</v>
      </c>
      <c r="N203" s="356">
        <v>3644000</v>
      </c>
      <c r="O203" s="28" t="b">
        <f t="shared" si="12"/>
        <v>1</v>
      </c>
    </row>
    <row r="204" spans="2:15" s="28" customFormat="1" ht="16.5" customHeight="1">
      <c r="B204" s="20"/>
      <c r="C204" s="20"/>
      <c r="D204" s="254"/>
      <c r="E204" s="379">
        <v>135187</v>
      </c>
      <c r="F204" s="395" t="s">
        <v>497</v>
      </c>
      <c r="G204" s="396"/>
      <c r="H204" s="397"/>
      <c r="I204" s="383">
        <v>3124000</v>
      </c>
      <c r="J204" s="398">
        <v>135187</v>
      </c>
      <c r="K204" s="399" t="s">
        <v>71</v>
      </c>
      <c r="L204" s="399" t="s">
        <v>34</v>
      </c>
      <c r="M204" s="399">
        <v>208</v>
      </c>
      <c r="N204" s="356">
        <v>3124000</v>
      </c>
      <c r="O204" s="28" t="b">
        <f t="shared" si="12"/>
        <v>1</v>
      </c>
    </row>
    <row r="205" spans="2:15" s="28" customFormat="1" ht="16.5" customHeight="1">
      <c r="B205" s="20"/>
      <c r="C205" s="20"/>
      <c r="D205" s="254"/>
      <c r="E205" s="379">
        <v>135188</v>
      </c>
      <c r="F205" s="395" t="s">
        <v>294</v>
      </c>
      <c r="G205" s="396"/>
      <c r="H205" s="397"/>
      <c r="I205" s="383">
        <v>315000</v>
      </c>
      <c r="J205" s="398">
        <v>135188</v>
      </c>
      <c r="K205" s="399" t="s">
        <v>70</v>
      </c>
      <c r="L205" s="399" t="s">
        <v>34</v>
      </c>
      <c r="M205" s="399">
        <v>20</v>
      </c>
      <c r="N205" s="356">
        <v>315000</v>
      </c>
      <c r="O205" s="28" t="b">
        <f t="shared" si="12"/>
        <v>1</v>
      </c>
    </row>
    <row r="206" spans="2:15" s="28" customFormat="1" ht="16.5" customHeight="1">
      <c r="B206" s="20"/>
      <c r="C206" s="20"/>
      <c r="D206" s="254"/>
      <c r="E206" s="379">
        <v>135190</v>
      </c>
      <c r="F206" s="395" t="s">
        <v>295</v>
      </c>
      <c r="G206" s="396"/>
      <c r="H206" s="397"/>
      <c r="I206" s="383">
        <v>346000</v>
      </c>
      <c r="J206" s="398">
        <v>135190</v>
      </c>
      <c r="K206" s="399" t="s">
        <v>70</v>
      </c>
      <c r="L206" s="399" t="s">
        <v>34</v>
      </c>
      <c r="M206" s="399">
        <v>20</v>
      </c>
      <c r="N206" s="356">
        <v>346000</v>
      </c>
      <c r="O206" s="28" t="b">
        <f t="shared" si="12"/>
        <v>1</v>
      </c>
    </row>
    <row r="207" spans="2:15" s="28" customFormat="1" ht="16.5" customHeight="1">
      <c r="B207" s="20"/>
      <c r="C207" s="20"/>
      <c r="D207" s="254"/>
      <c r="E207" s="379">
        <v>135249</v>
      </c>
      <c r="F207" s="395" t="s">
        <v>498</v>
      </c>
      <c r="G207" s="401"/>
      <c r="H207" s="402"/>
      <c r="I207" s="383">
        <v>1871000</v>
      </c>
      <c r="J207" s="398">
        <v>135249</v>
      </c>
      <c r="K207" s="399" t="s">
        <v>71</v>
      </c>
      <c r="L207" s="399" t="s">
        <v>34</v>
      </c>
      <c r="M207" s="399">
        <v>180</v>
      </c>
      <c r="N207" s="356">
        <v>1871000</v>
      </c>
      <c r="O207" s="28" t="b">
        <f t="shared" si="12"/>
        <v>1</v>
      </c>
    </row>
    <row r="208" spans="2:15" s="28" customFormat="1" ht="16.5" customHeight="1">
      <c r="B208" s="20"/>
      <c r="C208" s="20"/>
      <c r="D208" s="254"/>
      <c r="E208" s="379">
        <v>135304</v>
      </c>
      <c r="F208" s="395" t="s">
        <v>499</v>
      </c>
      <c r="G208" s="396"/>
      <c r="H208" s="397"/>
      <c r="I208" s="383">
        <v>3473000</v>
      </c>
      <c r="J208" s="398">
        <v>135304</v>
      </c>
      <c r="K208" s="399" t="s">
        <v>71</v>
      </c>
      <c r="L208" s="399" t="s">
        <v>34</v>
      </c>
      <c r="M208" s="399">
        <v>208</v>
      </c>
      <c r="N208" s="356">
        <v>3473000</v>
      </c>
      <c r="O208" s="28" t="b">
        <f t="shared" si="12"/>
        <v>1</v>
      </c>
    </row>
    <row r="209" spans="2:15" s="28" customFormat="1" ht="16.5" customHeight="1">
      <c r="B209" s="20"/>
      <c r="C209" s="20"/>
      <c r="D209" s="254"/>
      <c r="E209" s="379">
        <v>135361</v>
      </c>
      <c r="F209" s="395" t="s">
        <v>296</v>
      </c>
      <c r="G209" s="396"/>
      <c r="H209" s="397"/>
      <c r="I209" s="383">
        <v>317000</v>
      </c>
      <c r="J209" s="398">
        <v>135361</v>
      </c>
      <c r="K209" s="399" t="s">
        <v>70</v>
      </c>
      <c r="L209" s="399" t="s">
        <v>34</v>
      </c>
      <c r="M209" s="399">
        <v>18.899999999999999</v>
      </c>
      <c r="N209" s="356">
        <v>317000</v>
      </c>
      <c r="O209" s="28" t="b">
        <f t="shared" si="12"/>
        <v>1</v>
      </c>
    </row>
    <row r="210" spans="2:15" s="28" customFormat="1" ht="16.5" customHeight="1">
      <c r="B210" s="20"/>
      <c r="C210" s="20"/>
      <c r="D210" s="254"/>
      <c r="E210" s="379">
        <v>135421</v>
      </c>
      <c r="F210" s="395" t="s">
        <v>500</v>
      </c>
      <c r="G210" s="396"/>
      <c r="H210" s="397"/>
      <c r="I210" s="383">
        <v>5049000</v>
      </c>
      <c r="J210" s="398">
        <v>135421</v>
      </c>
      <c r="K210" s="399" t="s">
        <v>71</v>
      </c>
      <c r="L210" s="399" t="s">
        <v>34</v>
      </c>
      <c r="M210" s="399">
        <v>208</v>
      </c>
      <c r="N210" s="356">
        <v>5049000</v>
      </c>
      <c r="O210" s="28" t="b">
        <f t="shared" si="12"/>
        <v>1</v>
      </c>
    </row>
    <row r="211" spans="2:15" s="28" customFormat="1" ht="16.5" customHeight="1">
      <c r="B211" s="20"/>
      <c r="C211" s="20"/>
      <c r="D211" s="254"/>
      <c r="E211" s="379">
        <v>135431</v>
      </c>
      <c r="F211" s="395" t="s">
        <v>501</v>
      </c>
      <c r="G211" s="396"/>
      <c r="H211" s="397"/>
      <c r="I211" s="383">
        <v>3873000</v>
      </c>
      <c r="J211" s="398">
        <v>135431</v>
      </c>
      <c r="K211" s="399" t="s">
        <v>71</v>
      </c>
      <c r="L211" s="399" t="s">
        <v>34</v>
      </c>
      <c r="M211" s="399">
        <v>177</v>
      </c>
      <c r="N211" s="356">
        <v>3873000</v>
      </c>
      <c r="O211" s="28" t="b">
        <f t="shared" ref="O211:O274" si="13">I211=N211</f>
        <v>1</v>
      </c>
    </row>
    <row r="212" spans="2:15" s="28" customFormat="1" ht="16.5" customHeight="1">
      <c r="B212" s="20"/>
      <c r="C212" s="20"/>
      <c r="D212" s="254"/>
      <c r="E212" s="379">
        <v>135432</v>
      </c>
      <c r="F212" s="395" t="s">
        <v>502</v>
      </c>
      <c r="G212" s="396"/>
      <c r="H212" s="397"/>
      <c r="I212" s="383">
        <v>3962000</v>
      </c>
      <c r="J212" s="398">
        <v>135432</v>
      </c>
      <c r="K212" s="399" t="s">
        <v>71</v>
      </c>
      <c r="L212" s="399" t="s">
        <v>34</v>
      </c>
      <c r="M212" s="399">
        <v>177</v>
      </c>
      <c r="N212" s="356">
        <v>3962000</v>
      </c>
      <c r="O212" s="28" t="b">
        <f t="shared" si="13"/>
        <v>1</v>
      </c>
    </row>
    <row r="213" spans="2:15" s="28" customFormat="1" ht="16.5" customHeight="1">
      <c r="B213" s="20"/>
      <c r="C213" s="20"/>
      <c r="D213" s="254"/>
      <c r="E213" s="379">
        <v>135437</v>
      </c>
      <c r="F213" s="395" t="s">
        <v>503</v>
      </c>
      <c r="G213" s="396"/>
      <c r="H213" s="397"/>
      <c r="I213" s="383">
        <v>3634000</v>
      </c>
      <c r="J213" s="398">
        <v>135437</v>
      </c>
      <c r="K213" s="399" t="s">
        <v>71</v>
      </c>
      <c r="L213" s="399" t="s">
        <v>34</v>
      </c>
      <c r="M213" s="399">
        <v>176.9</v>
      </c>
      <c r="N213" s="356">
        <v>3634000</v>
      </c>
      <c r="O213" s="28" t="b">
        <f t="shared" si="13"/>
        <v>1</v>
      </c>
    </row>
    <row r="214" spans="2:15" s="28" customFormat="1" ht="16.5" customHeight="1">
      <c r="B214" s="20"/>
      <c r="C214" s="20"/>
      <c r="D214" s="254"/>
      <c r="E214" s="379">
        <v>135439</v>
      </c>
      <c r="F214" s="395" t="s">
        <v>504</v>
      </c>
      <c r="G214" s="396"/>
      <c r="H214" s="397"/>
      <c r="I214" s="383">
        <v>4035000</v>
      </c>
      <c r="J214" s="398">
        <v>135439</v>
      </c>
      <c r="K214" s="399" t="s">
        <v>71</v>
      </c>
      <c r="L214" s="399" t="s">
        <v>34</v>
      </c>
      <c r="M214" s="399">
        <v>176.9</v>
      </c>
      <c r="N214" s="356">
        <v>4035000</v>
      </c>
      <c r="O214" s="28" t="b">
        <f t="shared" si="13"/>
        <v>1</v>
      </c>
    </row>
    <row r="215" spans="2:15" s="28" customFormat="1" ht="16.5" customHeight="1">
      <c r="B215" s="20"/>
      <c r="C215" s="20"/>
      <c r="D215" s="254"/>
      <c r="E215" s="379">
        <v>135440</v>
      </c>
      <c r="F215" s="395" t="s">
        <v>505</v>
      </c>
      <c r="G215" s="396"/>
      <c r="H215" s="397"/>
      <c r="I215" s="383">
        <v>2915000</v>
      </c>
      <c r="J215" s="398">
        <v>135440</v>
      </c>
      <c r="K215" s="399" t="s">
        <v>71</v>
      </c>
      <c r="L215" s="399" t="s">
        <v>34</v>
      </c>
      <c r="M215" s="399">
        <v>208</v>
      </c>
      <c r="N215" s="356">
        <v>2915000</v>
      </c>
      <c r="O215" s="28" t="b">
        <f t="shared" si="13"/>
        <v>1</v>
      </c>
    </row>
    <row r="216" spans="2:15" s="28" customFormat="1" ht="16.5" customHeight="1">
      <c r="B216" s="20"/>
      <c r="C216" s="20"/>
      <c r="D216" s="254"/>
      <c r="E216" s="379">
        <v>135444</v>
      </c>
      <c r="F216" s="395" t="s">
        <v>507</v>
      </c>
      <c r="G216" s="396"/>
      <c r="H216" s="397"/>
      <c r="I216" s="383">
        <v>4131000</v>
      </c>
      <c r="J216" s="399">
        <v>135444</v>
      </c>
      <c r="K216" s="399" t="s">
        <v>71</v>
      </c>
      <c r="L216" s="399" t="s">
        <v>34</v>
      </c>
      <c r="M216" s="399">
        <v>177</v>
      </c>
      <c r="N216" s="356">
        <v>4131000</v>
      </c>
      <c r="O216" s="28" t="b">
        <f t="shared" si="13"/>
        <v>1</v>
      </c>
    </row>
    <row r="217" spans="2:15" s="28" customFormat="1" ht="16.5" customHeight="1">
      <c r="B217" s="20"/>
      <c r="C217" s="20"/>
      <c r="D217" s="254"/>
      <c r="E217" s="379">
        <v>135448</v>
      </c>
      <c r="F217" s="395" t="s">
        <v>508</v>
      </c>
      <c r="G217" s="396"/>
      <c r="H217" s="397"/>
      <c r="I217" s="383">
        <v>3842000</v>
      </c>
      <c r="J217" s="398">
        <v>135448</v>
      </c>
      <c r="K217" s="399" t="s">
        <v>71</v>
      </c>
      <c r="L217" s="399" t="s">
        <v>34</v>
      </c>
      <c r="M217" s="399">
        <v>177</v>
      </c>
      <c r="N217" s="356">
        <v>3842000</v>
      </c>
      <c r="O217" s="28" t="b">
        <f t="shared" si="13"/>
        <v>1</v>
      </c>
    </row>
    <row r="218" spans="2:15" s="28" customFormat="1" ht="16.5" customHeight="1">
      <c r="B218" s="20"/>
      <c r="C218" s="20"/>
      <c r="D218" s="254"/>
      <c r="E218" s="379">
        <v>135449</v>
      </c>
      <c r="F218" s="395" t="s">
        <v>300</v>
      </c>
      <c r="G218" s="396"/>
      <c r="H218" s="397"/>
      <c r="I218" s="383"/>
      <c r="J218" s="398">
        <v>135449</v>
      </c>
      <c r="K218" s="399" t="s">
        <v>73</v>
      </c>
      <c r="L218" s="399" t="s">
        <v>34</v>
      </c>
      <c r="M218" s="399">
        <v>21.1</v>
      </c>
      <c r="N218" s="356" t="e">
        <v>#N/A</v>
      </c>
      <c r="O218" s="28" t="e">
        <f t="shared" si="13"/>
        <v>#N/A</v>
      </c>
    </row>
    <row r="219" spans="2:15" s="28" customFormat="1" ht="16.5" customHeight="1">
      <c r="B219" s="20"/>
      <c r="C219" s="20"/>
      <c r="D219" s="254"/>
      <c r="E219" s="379">
        <v>135451</v>
      </c>
      <c r="F219" s="395" t="s">
        <v>509</v>
      </c>
      <c r="G219" s="396"/>
      <c r="H219" s="397"/>
      <c r="I219" s="383">
        <v>3847000</v>
      </c>
      <c r="J219" s="398">
        <v>135451</v>
      </c>
      <c r="K219" s="399" t="s">
        <v>71</v>
      </c>
      <c r="L219" s="399" t="s">
        <v>34</v>
      </c>
      <c r="M219" s="399">
        <v>177</v>
      </c>
      <c r="N219" s="356">
        <v>3847000</v>
      </c>
      <c r="O219" s="28" t="b">
        <f t="shared" si="13"/>
        <v>1</v>
      </c>
    </row>
    <row r="220" spans="2:15" s="28" customFormat="1" ht="16.5" customHeight="1">
      <c r="B220" s="20"/>
      <c r="C220" s="20"/>
      <c r="D220" s="254"/>
      <c r="E220" s="379">
        <v>135452</v>
      </c>
      <c r="F220" s="395" t="s">
        <v>510</v>
      </c>
      <c r="G220" s="396"/>
      <c r="H220" s="397"/>
      <c r="I220" s="383">
        <v>2586000</v>
      </c>
      <c r="J220" s="398">
        <v>135452</v>
      </c>
      <c r="K220" s="399" t="s">
        <v>71</v>
      </c>
      <c r="L220" s="399" t="s">
        <v>34</v>
      </c>
      <c r="M220" s="399">
        <v>208</v>
      </c>
      <c r="N220" s="356">
        <v>2586000</v>
      </c>
      <c r="O220" s="28" t="b">
        <f t="shared" si="13"/>
        <v>1</v>
      </c>
    </row>
    <row r="221" spans="2:15" s="28" customFormat="1" ht="16.5" customHeight="1">
      <c r="B221" s="20"/>
      <c r="C221" s="20"/>
      <c r="D221" s="254"/>
      <c r="E221" s="379">
        <v>135453</v>
      </c>
      <c r="F221" s="395" t="s">
        <v>301</v>
      </c>
      <c r="G221" s="396"/>
      <c r="H221" s="397"/>
      <c r="I221" s="383">
        <v>262000</v>
      </c>
      <c r="J221" s="398">
        <v>135453</v>
      </c>
      <c r="K221" s="399" t="s">
        <v>70</v>
      </c>
      <c r="L221" s="399" t="s">
        <v>34</v>
      </c>
      <c r="M221" s="399">
        <v>18.899999999999999</v>
      </c>
      <c r="N221" s="356">
        <v>262000</v>
      </c>
      <c r="O221" s="28" t="b">
        <f t="shared" si="13"/>
        <v>1</v>
      </c>
    </row>
    <row r="222" spans="2:15" s="28" customFormat="1" ht="16.5" customHeight="1">
      <c r="B222" s="20"/>
      <c r="C222" s="20"/>
      <c r="D222" s="254"/>
      <c r="E222" s="379">
        <v>135454</v>
      </c>
      <c r="F222" s="395" t="s">
        <v>511</v>
      </c>
      <c r="G222" s="396"/>
      <c r="H222" s="397"/>
      <c r="I222" s="383">
        <v>2602000</v>
      </c>
      <c r="J222" s="398">
        <v>135454</v>
      </c>
      <c r="K222" s="399" t="s">
        <v>71</v>
      </c>
      <c r="L222" s="399" t="s">
        <v>34</v>
      </c>
      <c r="M222" s="399">
        <v>208</v>
      </c>
      <c r="N222" s="356">
        <v>2602000</v>
      </c>
      <c r="O222" s="28" t="b">
        <f t="shared" si="13"/>
        <v>1</v>
      </c>
    </row>
    <row r="223" spans="2:15" s="28" customFormat="1" ht="16.5" customHeight="1">
      <c r="B223" s="20"/>
      <c r="C223" s="20"/>
      <c r="D223" s="254"/>
      <c r="E223" s="379">
        <v>135455</v>
      </c>
      <c r="F223" s="395" t="s">
        <v>302</v>
      </c>
      <c r="G223" s="396"/>
      <c r="H223" s="397"/>
      <c r="I223" s="383">
        <v>282000</v>
      </c>
      <c r="J223" s="398">
        <v>135455</v>
      </c>
      <c r="K223" s="399" t="s">
        <v>70</v>
      </c>
      <c r="L223" s="399" t="s">
        <v>34</v>
      </c>
      <c r="M223" s="399">
        <v>18.899999999999999</v>
      </c>
      <c r="N223" s="356">
        <v>282000</v>
      </c>
      <c r="O223" s="28" t="b">
        <f t="shared" si="13"/>
        <v>1</v>
      </c>
    </row>
    <row r="224" spans="2:15" s="28" customFormat="1" ht="16.5" customHeight="1">
      <c r="B224" s="20"/>
      <c r="C224" s="20"/>
      <c r="D224" s="254"/>
      <c r="E224" s="379">
        <v>135456</v>
      </c>
      <c r="F224" s="395" t="s">
        <v>512</v>
      </c>
      <c r="G224" s="396"/>
      <c r="H224" s="397"/>
      <c r="I224" s="383">
        <v>2995000</v>
      </c>
      <c r="J224" s="398">
        <v>135456</v>
      </c>
      <c r="K224" s="399" t="s">
        <v>71</v>
      </c>
      <c r="L224" s="399" t="s">
        <v>34</v>
      </c>
      <c r="M224" s="399">
        <v>208</v>
      </c>
      <c r="N224" s="356">
        <v>2995000</v>
      </c>
      <c r="O224" s="28" t="b">
        <f t="shared" si="13"/>
        <v>1</v>
      </c>
    </row>
    <row r="225" spans="2:15" s="28" customFormat="1" ht="16.5" customHeight="1">
      <c r="B225" s="20"/>
      <c r="C225" s="20"/>
      <c r="D225" s="254"/>
      <c r="E225" s="379">
        <v>135457</v>
      </c>
      <c r="F225" s="395" t="s">
        <v>303</v>
      </c>
      <c r="G225" s="396"/>
      <c r="H225" s="397"/>
      <c r="I225" s="383">
        <v>287000</v>
      </c>
      <c r="J225" s="398">
        <v>135457</v>
      </c>
      <c r="K225" s="399" t="s">
        <v>70</v>
      </c>
      <c r="L225" s="399" t="s">
        <v>34</v>
      </c>
      <c r="M225" s="399">
        <v>18.899999999999999</v>
      </c>
      <c r="N225" s="356">
        <v>287000</v>
      </c>
      <c r="O225" s="28" t="b">
        <f t="shared" si="13"/>
        <v>1</v>
      </c>
    </row>
    <row r="226" spans="2:15" s="28" customFormat="1" ht="16.5" customHeight="1">
      <c r="B226" s="20"/>
      <c r="C226" s="20"/>
      <c r="D226" s="254"/>
      <c r="E226" s="379">
        <v>135458</v>
      </c>
      <c r="F226" s="395" t="s">
        <v>420</v>
      </c>
      <c r="G226" s="396"/>
      <c r="H226" s="397"/>
      <c r="I226" s="383">
        <v>2763000</v>
      </c>
      <c r="J226" s="398">
        <v>135458</v>
      </c>
      <c r="K226" s="399" t="s">
        <v>71</v>
      </c>
      <c r="L226" s="399" t="s">
        <v>34</v>
      </c>
      <c r="M226" s="399">
        <v>208</v>
      </c>
      <c r="N226" s="356">
        <v>2763000</v>
      </c>
      <c r="O226" s="28" t="b">
        <f t="shared" si="13"/>
        <v>1</v>
      </c>
    </row>
    <row r="227" spans="2:15" s="28" customFormat="1" ht="16.5" customHeight="1">
      <c r="B227" s="20"/>
      <c r="C227" s="20"/>
      <c r="D227" s="254"/>
      <c r="E227" s="379">
        <v>135460</v>
      </c>
      <c r="F227" s="395" t="s">
        <v>304</v>
      </c>
      <c r="G227" s="396"/>
      <c r="H227" s="397"/>
      <c r="I227" s="383">
        <v>337000</v>
      </c>
      <c r="J227" s="398">
        <v>135460</v>
      </c>
      <c r="K227" s="399" t="s">
        <v>70</v>
      </c>
      <c r="L227" s="399" t="s">
        <v>34</v>
      </c>
      <c r="M227" s="399">
        <v>18.899999999999999</v>
      </c>
      <c r="N227" s="356">
        <v>337000</v>
      </c>
      <c r="O227" s="28" t="b">
        <f t="shared" si="13"/>
        <v>1</v>
      </c>
    </row>
    <row r="228" spans="2:15" s="28" customFormat="1" ht="16.5" customHeight="1">
      <c r="B228" s="20"/>
      <c r="C228" s="20"/>
      <c r="D228" s="254"/>
      <c r="E228" s="379">
        <v>135461</v>
      </c>
      <c r="F228" s="395" t="s">
        <v>513</v>
      </c>
      <c r="G228" s="396"/>
      <c r="H228" s="397"/>
      <c r="I228" s="383">
        <v>3255000</v>
      </c>
      <c r="J228" s="398">
        <v>135461</v>
      </c>
      <c r="K228" s="399" t="s">
        <v>71</v>
      </c>
      <c r="L228" s="399" t="s">
        <v>34</v>
      </c>
      <c r="M228" s="399">
        <v>208</v>
      </c>
      <c r="N228" s="356">
        <v>3255000</v>
      </c>
      <c r="O228" s="28" t="b">
        <f t="shared" si="13"/>
        <v>1</v>
      </c>
    </row>
    <row r="229" spans="2:15" s="28" customFormat="1" ht="16.5" customHeight="1">
      <c r="B229" s="20"/>
      <c r="C229" s="20"/>
      <c r="D229" s="254"/>
      <c r="E229" s="379">
        <v>135462</v>
      </c>
      <c r="F229" s="395" t="s">
        <v>305</v>
      </c>
      <c r="G229" s="396"/>
      <c r="H229" s="397"/>
      <c r="I229" s="383">
        <v>351000</v>
      </c>
      <c r="J229" s="398">
        <v>135462</v>
      </c>
      <c r="K229" s="399" t="s">
        <v>70</v>
      </c>
      <c r="L229" s="399" t="s">
        <v>34</v>
      </c>
      <c r="M229" s="399">
        <v>18.899999999999999</v>
      </c>
      <c r="N229" s="356">
        <v>351000</v>
      </c>
      <c r="O229" s="28" t="b">
        <f t="shared" si="13"/>
        <v>1</v>
      </c>
    </row>
    <row r="230" spans="2:15" s="28" customFormat="1" ht="16.5" customHeight="1">
      <c r="B230" s="20"/>
      <c r="C230" s="20"/>
      <c r="D230" s="254"/>
      <c r="E230" s="379">
        <v>135463</v>
      </c>
      <c r="F230" s="395" t="s">
        <v>514</v>
      </c>
      <c r="G230" s="396"/>
      <c r="H230" s="397"/>
      <c r="I230" s="383">
        <v>3383000</v>
      </c>
      <c r="J230" s="398">
        <v>135463</v>
      </c>
      <c r="K230" s="399" t="s">
        <v>71</v>
      </c>
      <c r="L230" s="399" t="s">
        <v>34</v>
      </c>
      <c r="M230" s="399">
        <v>208</v>
      </c>
      <c r="N230" s="356">
        <v>3383000</v>
      </c>
      <c r="O230" s="28" t="b">
        <f t="shared" si="13"/>
        <v>1</v>
      </c>
    </row>
    <row r="231" spans="2:15" s="28" customFormat="1" ht="16.5" customHeight="1">
      <c r="B231" s="20"/>
      <c r="C231" s="20"/>
      <c r="D231" s="254"/>
      <c r="E231" s="379">
        <v>135464</v>
      </c>
      <c r="F231" s="395" t="s">
        <v>306</v>
      </c>
      <c r="G231" s="396"/>
      <c r="H231" s="397"/>
      <c r="I231" s="383">
        <v>364000</v>
      </c>
      <c r="J231" s="398">
        <v>135464</v>
      </c>
      <c r="K231" s="399" t="s">
        <v>70</v>
      </c>
      <c r="L231" s="399" t="s">
        <v>34</v>
      </c>
      <c r="M231" s="399">
        <v>18.899999999999999</v>
      </c>
      <c r="N231" s="356">
        <v>364000</v>
      </c>
      <c r="O231" s="28" t="b">
        <f t="shared" si="13"/>
        <v>1</v>
      </c>
    </row>
    <row r="232" spans="2:15" s="28" customFormat="1" ht="16.5" customHeight="1">
      <c r="B232" s="20"/>
      <c r="C232" s="20"/>
      <c r="D232" s="254"/>
      <c r="E232" s="379">
        <v>135488</v>
      </c>
      <c r="F232" s="395" t="s">
        <v>240</v>
      </c>
      <c r="G232" s="396"/>
      <c r="H232" s="397"/>
      <c r="I232" s="383">
        <v>47600</v>
      </c>
      <c r="J232" s="398">
        <v>135488</v>
      </c>
      <c r="K232" s="399" t="s">
        <v>70</v>
      </c>
      <c r="L232" s="399" t="s">
        <v>34</v>
      </c>
      <c r="M232" s="399">
        <v>20</v>
      </c>
      <c r="N232" s="356">
        <v>47600</v>
      </c>
      <c r="O232" s="28" t="b">
        <f t="shared" si="13"/>
        <v>1</v>
      </c>
    </row>
    <row r="233" spans="2:15" s="28" customFormat="1" ht="16.5" customHeight="1">
      <c r="B233" s="20"/>
      <c r="C233" s="20"/>
      <c r="D233" s="254"/>
      <c r="E233" s="379">
        <v>148688</v>
      </c>
      <c r="F233" s="395" t="s">
        <v>307</v>
      </c>
      <c r="G233" s="396"/>
      <c r="H233" s="397"/>
      <c r="I233" s="383">
        <v>69500</v>
      </c>
      <c r="J233" s="398">
        <v>148688</v>
      </c>
      <c r="K233" s="399" t="s">
        <v>70</v>
      </c>
      <c r="L233" s="399" t="s">
        <v>34</v>
      </c>
      <c r="M233" s="399">
        <v>20</v>
      </c>
      <c r="N233" s="356">
        <v>69500</v>
      </c>
      <c r="O233" s="28" t="b">
        <f t="shared" si="13"/>
        <v>1</v>
      </c>
    </row>
    <row r="234" spans="2:15" s="28" customFormat="1" ht="16.5" customHeight="1">
      <c r="B234" s="20"/>
      <c r="C234" s="20"/>
      <c r="D234" s="254"/>
      <c r="E234" s="379">
        <v>135627</v>
      </c>
      <c r="F234" s="395" t="s">
        <v>36</v>
      </c>
      <c r="G234" s="396"/>
      <c r="H234" s="397"/>
      <c r="I234" s="383">
        <v>4915000</v>
      </c>
      <c r="J234" s="398">
        <v>135627</v>
      </c>
      <c r="K234" s="399" t="s">
        <v>71</v>
      </c>
      <c r="L234" s="399" t="s">
        <v>34</v>
      </c>
      <c r="M234" s="399">
        <v>175</v>
      </c>
      <c r="N234" s="356">
        <v>4915000</v>
      </c>
      <c r="O234" s="28" t="b">
        <f t="shared" si="13"/>
        <v>1</v>
      </c>
    </row>
    <row r="235" spans="2:15" s="28" customFormat="1" ht="16.5" customHeight="1">
      <c r="B235" s="20"/>
      <c r="C235" s="20"/>
      <c r="D235" s="254"/>
      <c r="E235" s="379">
        <v>135836</v>
      </c>
      <c r="F235" s="395" t="s">
        <v>66</v>
      </c>
      <c r="G235" s="396"/>
      <c r="H235" s="397"/>
      <c r="I235" s="383">
        <v>3321000</v>
      </c>
      <c r="J235" s="398">
        <v>135836</v>
      </c>
      <c r="K235" s="399" t="s">
        <v>71</v>
      </c>
      <c r="L235" s="399" t="s">
        <v>34</v>
      </c>
      <c r="M235" s="399">
        <v>208</v>
      </c>
      <c r="N235" s="356">
        <v>3321000</v>
      </c>
      <c r="O235" s="28" t="b">
        <f t="shared" si="13"/>
        <v>1</v>
      </c>
    </row>
    <row r="236" spans="2:15" s="28" customFormat="1" ht="16.5" customHeight="1">
      <c r="B236" s="20"/>
      <c r="C236" s="20"/>
      <c r="D236" s="254"/>
      <c r="E236" s="379">
        <v>135877</v>
      </c>
      <c r="F236" s="395" t="s">
        <v>308</v>
      </c>
      <c r="G236" s="396"/>
      <c r="H236" s="397"/>
      <c r="I236" s="383">
        <v>474000</v>
      </c>
      <c r="J236" s="398">
        <v>135877</v>
      </c>
      <c r="K236" s="399" t="s">
        <v>70</v>
      </c>
      <c r="L236" s="399" t="s">
        <v>34</v>
      </c>
      <c r="M236" s="399">
        <v>20</v>
      </c>
      <c r="N236" s="356">
        <v>474000</v>
      </c>
      <c r="O236" s="28" t="b">
        <f t="shared" si="13"/>
        <v>1</v>
      </c>
    </row>
    <row r="237" spans="2:15" s="28" customFormat="1" ht="16.5" customHeight="1">
      <c r="B237" s="20"/>
      <c r="C237" s="20"/>
      <c r="D237" s="254"/>
      <c r="E237" s="379">
        <v>135916</v>
      </c>
      <c r="F237" s="395" t="s">
        <v>516</v>
      </c>
      <c r="G237" s="396"/>
      <c r="H237" s="397"/>
      <c r="I237" s="383">
        <v>547000</v>
      </c>
      <c r="J237" s="398">
        <v>135916</v>
      </c>
      <c r="K237" s="399" t="s">
        <v>71</v>
      </c>
      <c r="L237" s="399" t="s">
        <v>34</v>
      </c>
      <c r="M237" s="399">
        <v>200</v>
      </c>
      <c r="N237" s="356">
        <v>547000</v>
      </c>
      <c r="O237" s="28" t="b">
        <f t="shared" si="13"/>
        <v>1</v>
      </c>
    </row>
    <row r="238" spans="2:15" s="28" customFormat="1" ht="16.5" customHeight="1">
      <c r="B238" s="20"/>
      <c r="C238" s="20"/>
      <c r="D238" s="254"/>
      <c r="E238" s="379">
        <v>148680</v>
      </c>
      <c r="F238" s="395" t="s">
        <v>45</v>
      </c>
      <c r="G238" s="396"/>
      <c r="H238" s="397"/>
      <c r="I238" s="383">
        <v>850000</v>
      </c>
      <c r="J238" s="398">
        <v>148680</v>
      </c>
      <c r="K238" s="399" t="s">
        <v>71</v>
      </c>
      <c r="L238" s="399" t="s">
        <v>34</v>
      </c>
      <c r="M238" s="399">
        <v>208</v>
      </c>
      <c r="N238" s="356">
        <v>850000</v>
      </c>
      <c r="O238" s="28" t="b">
        <f t="shared" si="13"/>
        <v>1</v>
      </c>
    </row>
    <row r="239" spans="2:15" s="28" customFormat="1" ht="16.5" customHeight="1">
      <c r="B239" s="20"/>
      <c r="C239" s="20"/>
      <c r="D239" s="254"/>
      <c r="E239" s="379">
        <v>135934</v>
      </c>
      <c r="F239" s="395" t="s">
        <v>309</v>
      </c>
      <c r="G239" s="396"/>
      <c r="H239" s="397"/>
      <c r="I239" s="383">
        <v>183000</v>
      </c>
      <c r="J239" s="398">
        <v>135934</v>
      </c>
      <c r="K239" s="399" t="s">
        <v>70</v>
      </c>
      <c r="L239" s="399" t="s">
        <v>34</v>
      </c>
      <c r="M239" s="399">
        <v>16</v>
      </c>
      <c r="N239" s="356">
        <v>183000</v>
      </c>
      <c r="O239" s="28" t="b">
        <f t="shared" si="13"/>
        <v>1</v>
      </c>
    </row>
    <row r="240" spans="2:15" s="28" customFormat="1" ht="16.5" customHeight="1">
      <c r="B240" s="20"/>
      <c r="C240" s="20"/>
      <c r="D240" s="254"/>
      <c r="E240" s="379">
        <v>135935</v>
      </c>
      <c r="F240" s="395" t="s">
        <v>517</v>
      </c>
      <c r="G240" s="401"/>
      <c r="H240" s="402"/>
      <c r="I240" s="383">
        <v>1871000</v>
      </c>
      <c r="J240" s="398">
        <v>135935</v>
      </c>
      <c r="K240" s="399" t="s">
        <v>71</v>
      </c>
      <c r="L240" s="399" t="s">
        <v>34</v>
      </c>
      <c r="M240" s="399">
        <v>180</v>
      </c>
      <c r="N240" s="356">
        <v>1871000</v>
      </c>
      <c r="O240" s="28" t="b">
        <f t="shared" si="13"/>
        <v>1</v>
      </c>
    </row>
    <row r="241" spans="2:15" s="28" customFormat="1" ht="16.5" customHeight="1">
      <c r="B241" s="20"/>
      <c r="C241" s="20"/>
      <c r="D241" s="254"/>
      <c r="E241" s="379">
        <v>148676</v>
      </c>
      <c r="F241" s="395" t="s">
        <v>520</v>
      </c>
      <c r="G241" s="396"/>
      <c r="H241" s="397"/>
      <c r="I241" s="383">
        <v>645000</v>
      </c>
      <c r="J241" s="398">
        <v>148676</v>
      </c>
      <c r="K241" s="399" t="s">
        <v>71</v>
      </c>
      <c r="L241" s="399" t="s">
        <v>34</v>
      </c>
      <c r="M241" s="399">
        <v>208</v>
      </c>
      <c r="N241" s="356">
        <v>645000</v>
      </c>
      <c r="O241" s="28" t="b">
        <f t="shared" si="13"/>
        <v>1</v>
      </c>
    </row>
    <row r="242" spans="2:15" s="28" customFormat="1" ht="16.5" customHeight="1">
      <c r="B242" s="20"/>
      <c r="C242" s="20"/>
      <c r="D242" s="254"/>
      <c r="E242" s="379">
        <v>136130</v>
      </c>
      <c r="F242" s="395" t="s">
        <v>311</v>
      </c>
      <c r="G242" s="396"/>
      <c r="H242" s="397"/>
      <c r="I242" s="383">
        <v>198000</v>
      </c>
      <c r="J242" s="398">
        <v>136130</v>
      </c>
      <c r="K242" s="399" t="s">
        <v>70</v>
      </c>
      <c r="L242" s="399" t="s">
        <v>34</v>
      </c>
      <c r="M242" s="399">
        <v>16</v>
      </c>
      <c r="N242" s="356">
        <v>198000</v>
      </c>
      <c r="O242" s="28" t="b">
        <f t="shared" si="13"/>
        <v>1</v>
      </c>
    </row>
    <row r="243" spans="2:15" s="28" customFormat="1" ht="16.5" customHeight="1">
      <c r="B243" s="20"/>
      <c r="C243" s="20"/>
      <c r="D243" s="254"/>
      <c r="E243" s="379">
        <v>136131</v>
      </c>
      <c r="F243" s="395" t="s">
        <v>521</v>
      </c>
      <c r="G243" s="396"/>
      <c r="H243" s="397"/>
      <c r="I243" s="383">
        <v>2166000</v>
      </c>
      <c r="J243" s="398">
        <v>136131</v>
      </c>
      <c r="K243" s="399" t="s">
        <v>71</v>
      </c>
      <c r="L243" s="399" t="s">
        <v>34</v>
      </c>
      <c r="M243" s="399">
        <v>180</v>
      </c>
      <c r="N243" s="356">
        <v>2166000</v>
      </c>
      <c r="O243" s="28" t="b">
        <f t="shared" si="13"/>
        <v>1</v>
      </c>
    </row>
    <row r="244" spans="2:15" s="28" customFormat="1" ht="16.5" customHeight="1">
      <c r="B244" s="20"/>
      <c r="C244" s="20"/>
      <c r="D244" s="254"/>
      <c r="E244" s="379">
        <v>136132</v>
      </c>
      <c r="F244" s="395" t="s">
        <v>312</v>
      </c>
      <c r="G244" s="396"/>
      <c r="H244" s="397"/>
      <c r="I244" s="383">
        <v>198000</v>
      </c>
      <c r="J244" s="398">
        <v>136132</v>
      </c>
      <c r="K244" s="399" t="s">
        <v>70</v>
      </c>
      <c r="L244" s="399" t="s">
        <v>34</v>
      </c>
      <c r="M244" s="399">
        <v>16</v>
      </c>
      <c r="N244" s="356">
        <v>198000</v>
      </c>
      <c r="O244" s="28" t="b">
        <f t="shared" si="13"/>
        <v>1</v>
      </c>
    </row>
    <row r="245" spans="2:15" s="28" customFormat="1" ht="16.5" customHeight="1">
      <c r="B245" s="20"/>
      <c r="C245" s="20"/>
      <c r="D245" s="254"/>
      <c r="E245" s="379">
        <v>136133</v>
      </c>
      <c r="F245" s="395" t="s">
        <v>522</v>
      </c>
      <c r="G245" s="396"/>
      <c r="H245" s="397"/>
      <c r="I245" s="383">
        <v>2222000</v>
      </c>
      <c r="J245" s="398">
        <v>136133</v>
      </c>
      <c r="K245" s="399" t="s">
        <v>71</v>
      </c>
      <c r="L245" s="399" t="s">
        <v>34</v>
      </c>
      <c r="M245" s="399">
        <v>180</v>
      </c>
      <c r="N245" s="356">
        <v>2222000</v>
      </c>
      <c r="O245" s="28" t="b">
        <f t="shared" si="13"/>
        <v>1</v>
      </c>
    </row>
    <row r="246" spans="2:15" s="28" customFormat="1" ht="16.5" customHeight="1">
      <c r="B246" s="20"/>
      <c r="C246" s="20"/>
      <c r="D246" s="254"/>
      <c r="E246" s="379">
        <v>136141</v>
      </c>
      <c r="F246" s="395" t="s">
        <v>523</v>
      </c>
      <c r="G246" s="396"/>
      <c r="H246" s="397"/>
      <c r="I246" s="383">
        <v>3527000</v>
      </c>
      <c r="J246" s="398">
        <v>136141</v>
      </c>
      <c r="K246" s="399" t="s">
        <v>71</v>
      </c>
      <c r="L246" s="399" t="s">
        <v>34</v>
      </c>
      <c r="M246" s="399">
        <v>181</v>
      </c>
      <c r="N246" s="356">
        <v>3527000</v>
      </c>
      <c r="O246" s="28" t="b">
        <f t="shared" si="13"/>
        <v>1</v>
      </c>
    </row>
    <row r="247" spans="2:15" s="28" customFormat="1" ht="16.5" customHeight="1">
      <c r="B247" s="20"/>
      <c r="C247" s="20"/>
      <c r="D247" s="254"/>
      <c r="E247" s="379">
        <v>136159</v>
      </c>
      <c r="F247" s="395" t="s">
        <v>525</v>
      </c>
      <c r="G247" s="396"/>
      <c r="H247" s="397"/>
      <c r="I247" s="383">
        <v>4607000</v>
      </c>
      <c r="J247" s="398">
        <v>136159</v>
      </c>
      <c r="K247" s="399" t="s">
        <v>71</v>
      </c>
      <c r="L247" s="399" t="s">
        <v>34</v>
      </c>
      <c r="M247" s="399">
        <v>208</v>
      </c>
      <c r="N247" s="356">
        <v>4607000</v>
      </c>
      <c r="O247" s="28" t="b">
        <f t="shared" si="13"/>
        <v>1</v>
      </c>
    </row>
    <row r="248" spans="2:15" s="28" customFormat="1" ht="16.5" customHeight="1">
      <c r="B248" s="20"/>
      <c r="C248" s="20"/>
      <c r="D248" s="254"/>
      <c r="E248" s="379">
        <v>136174</v>
      </c>
      <c r="F248" s="395" t="s">
        <v>526</v>
      </c>
      <c r="G248" s="396"/>
      <c r="H248" s="397"/>
      <c r="I248" s="383">
        <v>630000</v>
      </c>
      <c r="J248" s="398">
        <v>136174</v>
      </c>
      <c r="K248" s="399" t="s">
        <v>71</v>
      </c>
      <c r="L248" s="399" t="s">
        <v>34</v>
      </c>
      <c r="M248" s="399">
        <v>200</v>
      </c>
      <c r="N248" s="356">
        <v>630000</v>
      </c>
      <c r="O248" s="28" t="b">
        <f t="shared" si="13"/>
        <v>1</v>
      </c>
    </row>
    <row r="249" spans="2:15" s="28" customFormat="1" ht="16.5" customHeight="1">
      <c r="B249" s="20"/>
      <c r="C249" s="20"/>
      <c r="D249" s="254"/>
      <c r="E249" s="379">
        <v>136235</v>
      </c>
      <c r="F249" s="395" t="s">
        <v>739</v>
      </c>
      <c r="G249" s="396"/>
      <c r="H249" s="397"/>
      <c r="I249" s="383">
        <v>858000</v>
      </c>
      <c r="J249" s="398">
        <v>136235</v>
      </c>
      <c r="K249" s="399" t="s">
        <v>71</v>
      </c>
      <c r="L249" s="399" t="s">
        <v>34</v>
      </c>
      <c r="M249" s="399">
        <v>208</v>
      </c>
      <c r="N249" s="356">
        <v>858000</v>
      </c>
      <c r="O249" s="28" t="b">
        <f t="shared" si="13"/>
        <v>1</v>
      </c>
    </row>
    <row r="250" spans="2:15" s="28" customFormat="1" ht="16.5" customHeight="1">
      <c r="B250" s="20"/>
      <c r="C250" s="20"/>
      <c r="D250" s="254"/>
      <c r="E250" s="379">
        <v>148678</v>
      </c>
      <c r="F250" s="395" t="s">
        <v>527</v>
      </c>
      <c r="G250" s="396"/>
      <c r="H250" s="397"/>
      <c r="I250" s="383">
        <v>645000</v>
      </c>
      <c r="J250" s="398">
        <v>148678</v>
      </c>
      <c r="K250" s="399" t="s">
        <v>71</v>
      </c>
      <c r="L250" s="399" t="s">
        <v>34</v>
      </c>
      <c r="M250" s="399">
        <v>208</v>
      </c>
      <c r="N250" s="356">
        <v>645000</v>
      </c>
      <c r="O250" s="28" t="b">
        <f t="shared" si="13"/>
        <v>1</v>
      </c>
    </row>
    <row r="251" spans="2:15" s="28" customFormat="1" ht="16.5" customHeight="1">
      <c r="B251" s="20"/>
      <c r="C251" s="20"/>
      <c r="D251" s="254"/>
      <c r="E251" s="379">
        <v>143561</v>
      </c>
      <c r="F251" s="395" t="s">
        <v>558</v>
      </c>
      <c r="G251" s="396"/>
      <c r="H251" s="397"/>
      <c r="I251" s="383">
        <v>728000</v>
      </c>
      <c r="J251" s="398">
        <v>138959</v>
      </c>
      <c r="K251" s="399" t="s">
        <v>71</v>
      </c>
      <c r="L251" s="399" t="s">
        <v>34</v>
      </c>
      <c r="M251" s="399">
        <v>200</v>
      </c>
      <c r="N251" s="356">
        <v>728000</v>
      </c>
      <c r="O251" s="28" t="b">
        <f t="shared" si="13"/>
        <v>1</v>
      </c>
    </row>
    <row r="252" spans="2:15" s="28" customFormat="1" ht="16.5" customHeight="1">
      <c r="B252" s="20"/>
      <c r="C252" s="20"/>
      <c r="D252" s="254"/>
      <c r="E252" s="379">
        <v>143560</v>
      </c>
      <c r="F252" s="395" t="s">
        <v>559</v>
      </c>
      <c r="G252" s="396"/>
      <c r="H252" s="397"/>
      <c r="I252" s="383">
        <v>728000</v>
      </c>
      <c r="J252" s="398">
        <v>138960</v>
      </c>
      <c r="K252" s="399" t="s">
        <v>71</v>
      </c>
      <c r="L252" s="399" t="s">
        <v>34</v>
      </c>
      <c r="M252" s="399">
        <v>200</v>
      </c>
      <c r="N252" s="356">
        <v>728000</v>
      </c>
      <c r="O252" s="28" t="b">
        <f t="shared" si="13"/>
        <v>1</v>
      </c>
    </row>
    <row r="253" spans="2:15" s="28" customFormat="1" ht="16.5" customHeight="1">
      <c r="B253" s="20"/>
      <c r="C253" s="20"/>
      <c r="D253" s="254"/>
      <c r="E253" s="379">
        <v>141666</v>
      </c>
      <c r="F253" s="395" t="s">
        <v>560</v>
      </c>
      <c r="G253" s="396"/>
      <c r="H253" s="397"/>
      <c r="I253" s="383">
        <v>755000</v>
      </c>
      <c r="J253" s="398">
        <v>138961</v>
      </c>
      <c r="K253" s="399" t="s">
        <v>71</v>
      </c>
      <c r="L253" s="399" t="s">
        <v>34</v>
      </c>
      <c r="M253" s="399">
        <v>200</v>
      </c>
      <c r="N253" s="356">
        <v>755000</v>
      </c>
      <c r="O253" s="28" t="b">
        <f t="shared" si="13"/>
        <v>1</v>
      </c>
    </row>
    <row r="254" spans="2:15" s="28" customFormat="1" ht="16.5" customHeight="1">
      <c r="B254" s="20"/>
      <c r="C254" s="20"/>
      <c r="D254" s="254"/>
      <c r="E254" s="379">
        <v>138963</v>
      </c>
      <c r="F254" s="395" t="s">
        <v>562</v>
      </c>
      <c r="G254" s="396"/>
      <c r="H254" s="397"/>
      <c r="I254" s="383">
        <v>755000</v>
      </c>
      <c r="J254" s="398">
        <v>138963</v>
      </c>
      <c r="K254" s="399" t="s">
        <v>71</v>
      </c>
      <c r="L254" s="399" t="s">
        <v>34</v>
      </c>
      <c r="M254" s="399">
        <v>200</v>
      </c>
      <c r="N254" s="356">
        <v>755000</v>
      </c>
      <c r="O254" s="28" t="b">
        <f t="shared" si="13"/>
        <v>1</v>
      </c>
    </row>
    <row r="255" spans="2:15" s="28" customFormat="1" ht="16.5" customHeight="1">
      <c r="B255" s="20"/>
      <c r="C255" s="20"/>
      <c r="D255" s="254"/>
      <c r="E255" s="379">
        <v>138964</v>
      </c>
      <c r="F255" s="395" t="s">
        <v>315</v>
      </c>
      <c r="G255" s="396"/>
      <c r="H255" s="397"/>
      <c r="I255" s="383">
        <v>79600</v>
      </c>
      <c r="J255" s="398">
        <v>138964</v>
      </c>
      <c r="K255" s="399" t="s">
        <v>70</v>
      </c>
      <c r="L255" s="399" t="s">
        <v>34</v>
      </c>
      <c r="M255" s="399">
        <v>20</v>
      </c>
      <c r="N255" s="356">
        <v>79600</v>
      </c>
      <c r="O255" s="28" t="b">
        <f t="shared" si="13"/>
        <v>1</v>
      </c>
    </row>
    <row r="256" spans="2:15" s="28" customFormat="1" ht="16.5" customHeight="1">
      <c r="B256" s="20"/>
      <c r="C256" s="20"/>
      <c r="D256" s="254"/>
      <c r="E256" s="379">
        <v>136234</v>
      </c>
      <c r="F256" s="395" t="s">
        <v>316</v>
      </c>
      <c r="G256" s="396"/>
      <c r="H256" s="397"/>
      <c r="I256" s="383">
        <v>94600</v>
      </c>
      <c r="J256" s="398">
        <v>138980</v>
      </c>
      <c r="K256" s="399" t="s">
        <v>70</v>
      </c>
      <c r="L256" s="399" t="s">
        <v>34</v>
      </c>
      <c r="M256" s="399">
        <v>20</v>
      </c>
      <c r="N256" s="356">
        <v>94600</v>
      </c>
      <c r="O256" s="28" t="b">
        <f t="shared" si="13"/>
        <v>1</v>
      </c>
    </row>
    <row r="257" spans="2:15" s="28" customFormat="1" ht="16.5" customHeight="1">
      <c r="B257" s="20"/>
      <c r="C257" s="20"/>
      <c r="D257" s="254"/>
      <c r="E257" s="379">
        <v>139023</v>
      </c>
      <c r="F257" s="395" t="s">
        <v>569</v>
      </c>
      <c r="G257" s="396"/>
      <c r="H257" s="397"/>
      <c r="I257" s="383">
        <v>893000</v>
      </c>
      <c r="J257" s="398">
        <v>139023</v>
      </c>
      <c r="K257" s="399" t="s">
        <v>71</v>
      </c>
      <c r="L257" s="399" t="s">
        <v>34</v>
      </c>
      <c r="M257" s="399">
        <v>200</v>
      </c>
      <c r="N257" s="356">
        <v>893000</v>
      </c>
      <c r="O257" s="28" t="b">
        <f t="shared" si="13"/>
        <v>1</v>
      </c>
    </row>
    <row r="258" spans="2:15" s="28" customFormat="1" ht="16.5" customHeight="1">
      <c r="B258" s="20"/>
      <c r="C258" s="20"/>
      <c r="D258" s="254"/>
      <c r="E258" s="379">
        <v>139026</v>
      </c>
      <c r="F258" s="395" t="s">
        <v>571</v>
      </c>
      <c r="G258" s="396"/>
      <c r="H258" s="397"/>
      <c r="I258" s="383">
        <v>670000</v>
      </c>
      <c r="J258" s="398">
        <v>139026</v>
      </c>
      <c r="K258" s="399" t="s">
        <v>71</v>
      </c>
      <c r="L258" s="399" t="s">
        <v>34</v>
      </c>
      <c r="M258" s="399">
        <v>200</v>
      </c>
      <c r="N258" s="356">
        <v>670000</v>
      </c>
      <c r="O258" s="28" t="b">
        <f t="shared" si="13"/>
        <v>1</v>
      </c>
    </row>
    <row r="259" spans="2:15" s="28" customFormat="1" ht="16.5" customHeight="1">
      <c r="B259" s="20"/>
      <c r="C259" s="20"/>
      <c r="D259" s="254"/>
      <c r="E259" s="379">
        <v>139027</v>
      </c>
      <c r="F259" s="395" t="s">
        <v>572</v>
      </c>
      <c r="G259" s="396"/>
      <c r="H259" s="397"/>
      <c r="I259" s="383">
        <v>749000</v>
      </c>
      <c r="J259" s="398">
        <v>139027</v>
      </c>
      <c r="K259" s="399" t="s">
        <v>71</v>
      </c>
      <c r="L259" s="399" t="s">
        <v>34</v>
      </c>
      <c r="M259" s="399">
        <v>200</v>
      </c>
      <c r="N259" s="356">
        <v>749000</v>
      </c>
      <c r="O259" s="28" t="b">
        <f t="shared" si="13"/>
        <v>1</v>
      </c>
    </row>
    <row r="260" spans="2:15" s="28" customFormat="1" ht="16.5" customHeight="1">
      <c r="B260" s="20"/>
      <c r="C260" s="20"/>
      <c r="D260" s="254"/>
      <c r="E260" s="379">
        <v>139028</v>
      </c>
      <c r="F260" s="395" t="s">
        <v>573</v>
      </c>
      <c r="G260" s="396"/>
      <c r="H260" s="397"/>
      <c r="I260" s="383">
        <v>893000</v>
      </c>
      <c r="J260" s="398">
        <v>139028</v>
      </c>
      <c r="K260" s="399" t="s">
        <v>71</v>
      </c>
      <c r="L260" s="399" t="s">
        <v>34</v>
      </c>
      <c r="M260" s="399">
        <v>200</v>
      </c>
      <c r="N260" s="356">
        <v>893000</v>
      </c>
      <c r="O260" s="28" t="b">
        <f t="shared" si="13"/>
        <v>1</v>
      </c>
    </row>
    <row r="261" spans="2:15" s="28" customFormat="1" ht="16.5" customHeight="1">
      <c r="B261" s="20"/>
      <c r="C261" s="20"/>
      <c r="D261" s="254"/>
      <c r="E261" s="379">
        <v>139029</v>
      </c>
      <c r="F261" s="395" t="s">
        <v>574</v>
      </c>
      <c r="G261" s="396"/>
      <c r="H261" s="397"/>
      <c r="I261" s="383">
        <v>535000</v>
      </c>
      <c r="J261" s="398">
        <v>139029</v>
      </c>
      <c r="K261" s="399" t="s">
        <v>71</v>
      </c>
      <c r="L261" s="399" t="s">
        <v>34</v>
      </c>
      <c r="M261" s="399">
        <v>200</v>
      </c>
      <c r="N261" s="356">
        <v>535000</v>
      </c>
      <c r="O261" s="28" t="b">
        <f t="shared" si="13"/>
        <v>1</v>
      </c>
    </row>
    <row r="262" spans="2:15" s="28" customFormat="1" ht="16.5" customHeight="1">
      <c r="B262" s="20"/>
      <c r="C262" s="20"/>
      <c r="D262" s="254"/>
      <c r="E262" s="379">
        <v>139030</v>
      </c>
      <c r="F262" s="395" t="s">
        <v>236</v>
      </c>
      <c r="G262" s="396"/>
      <c r="H262" s="397"/>
      <c r="I262" s="383">
        <v>54500</v>
      </c>
      <c r="J262" s="398">
        <v>139030</v>
      </c>
      <c r="K262" s="399" t="s">
        <v>70</v>
      </c>
      <c r="L262" s="399" t="s">
        <v>34</v>
      </c>
      <c r="M262" s="399">
        <v>20</v>
      </c>
      <c r="N262" s="356">
        <v>54500</v>
      </c>
      <c r="O262" s="28" t="b">
        <f t="shared" si="13"/>
        <v>1</v>
      </c>
    </row>
    <row r="263" spans="2:15" s="28" customFormat="1" ht="16.5" customHeight="1">
      <c r="B263" s="20"/>
      <c r="C263" s="20"/>
      <c r="D263" s="254"/>
      <c r="E263" s="379">
        <v>139032</v>
      </c>
      <c r="F263" s="395" t="s">
        <v>322</v>
      </c>
      <c r="G263" s="396"/>
      <c r="H263" s="397"/>
      <c r="I263" s="383">
        <v>371000</v>
      </c>
      <c r="J263" s="398">
        <v>139032</v>
      </c>
      <c r="K263" s="399" t="s">
        <v>70</v>
      </c>
      <c r="L263" s="399" t="s">
        <v>34</v>
      </c>
      <c r="M263" s="399">
        <v>20</v>
      </c>
      <c r="N263" s="356">
        <v>371000</v>
      </c>
      <c r="O263" s="28" t="b">
        <f t="shared" si="13"/>
        <v>1</v>
      </c>
    </row>
    <row r="264" spans="2:15" s="28" customFormat="1" ht="16.5" customHeight="1">
      <c r="B264" s="20"/>
      <c r="C264" s="20"/>
      <c r="D264" s="254"/>
      <c r="E264" s="379">
        <v>139033</v>
      </c>
      <c r="F264" s="395" t="s">
        <v>323</v>
      </c>
      <c r="G264" s="396"/>
      <c r="H264" s="397"/>
      <c r="I264" s="383">
        <v>392000</v>
      </c>
      <c r="J264" s="398">
        <v>139033</v>
      </c>
      <c r="K264" s="399" t="s">
        <v>70</v>
      </c>
      <c r="L264" s="399" t="s">
        <v>34</v>
      </c>
      <c r="M264" s="399">
        <v>20</v>
      </c>
      <c r="N264" s="356">
        <v>392000</v>
      </c>
      <c r="O264" s="28" t="b">
        <f t="shared" si="13"/>
        <v>1</v>
      </c>
    </row>
    <row r="265" spans="2:15" s="28" customFormat="1" ht="16.5" customHeight="1">
      <c r="B265" s="20"/>
      <c r="C265" s="20"/>
      <c r="D265" s="254"/>
      <c r="E265" s="379">
        <v>139036</v>
      </c>
      <c r="F265" s="395" t="s">
        <v>575</v>
      </c>
      <c r="G265" s="396"/>
      <c r="H265" s="397"/>
      <c r="I265" s="383">
        <v>649000</v>
      </c>
      <c r="J265" s="398">
        <v>139036</v>
      </c>
      <c r="K265" s="399" t="s">
        <v>71</v>
      </c>
      <c r="L265" s="399" t="s">
        <v>34</v>
      </c>
      <c r="M265" s="399">
        <v>200</v>
      </c>
      <c r="N265" s="356">
        <v>649000</v>
      </c>
      <c r="O265" s="28" t="b">
        <f t="shared" si="13"/>
        <v>1</v>
      </c>
    </row>
    <row r="266" spans="2:15" s="28" customFormat="1" ht="16.5" customHeight="1">
      <c r="B266" s="20"/>
      <c r="C266" s="20"/>
      <c r="D266" s="254"/>
      <c r="E266" s="379">
        <v>139037</v>
      </c>
      <c r="F266" s="395" t="s">
        <v>324</v>
      </c>
      <c r="G266" s="396"/>
      <c r="H266" s="397"/>
      <c r="I266" s="383">
        <v>82400</v>
      </c>
      <c r="J266" s="398">
        <v>139037</v>
      </c>
      <c r="K266" s="399" t="s">
        <v>70</v>
      </c>
      <c r="L266" s="399" t="s">
        <v>34</v>
      </c>
      <c r="M266" s="399">
        <v>20</v>
      </c>
      <c r="N266" s="356">
        <v>82400</v>
      </c>
      <c r="O266" s="28" t="b">
        <f t="shared" si="13"/>
        <v>1</v>
      </c>
    </row>
    <row r="267" spans="2:15" s="28" customFormat="1" ht="16.5" customHeight="1">
      <c r="B267" s="20"/>
      <c r="C267" s="20"/>
      <c r="D267" s="254"/>
      <c r="E267" s="379">
        <v>139038</v>
      </c>
      <c r="F267" s="395" t="s">
        <v>576</v>
      </c>
      <c r="G267" s="396"/>
      <c r="H267" s="397"/>
      <c r="I267" s="383">
        <v>746000</v>
      </c>
      <c r="J267" s="398">
        <v>139038</v>
      </c>
      <c r="K267" s="399" t="s">
        <v>71</v>
      </c>
      <c r="L267" s="399" t="s">
        <v>34</v>
      </c>
      <c r="M267" s="399">
        <v>200</v>
      </c>
      <c r="N267" s="356">
        <v>746000</v>
      </c>
      <c r="O267" s="28" t="b">
        <f t="shared" si="13"/>
        <v>1</v>
      </c>
    </row>
    <row r="268" spans="2:15" s="28" customFormat="1" ht="16.5" customHeight="1">
      <c r="B268" s="20"/>
      <c r="C268" s="20"/>
      <c r="D268" s="254"/>
      <c r="E268" s="379">
        <v>139040</v>
      </c>
      <c r="F268" s="395" t="s">
        <v>577</v>
      </c>
      <c r="G268" s="396"/>
      <c r="H268" s="397"/>
      <c r="I268" s="383">
        <v>575000</v>
      </c>
      <c r="J268" s="398">
        <v>139040</v>
      </c>
      <c r="K268" s="399" t="s">
        <v>71</v>
      </c>
      <c r="L268" s="399" t="s">
        <v>34</v>
      </c>
      <c r="M268" s="399">
        <v>200</v>
      </c>
      <c r="N268" s="356">
        <v>575000</v>
      </c>
      <c r="O268" s="28" t="b">
        <f t="shared" si="13"/>
        <v>1</v>
      </c>
    </row>
    <row r="269" spans="2:15" s="28" customFormat="1" ht="16.5" customHeight="1">
      <c r="B269" s="20"/>
      <c r="C269" s="20"/>
      <c r="D269" s="254"/>
      <c r="E269" s="379">
        <v>139041</v>
      </c>
      <c r="F269" s="395" t="s">
        <v>325</v>
      </c>
      <c r="G269" s="396"/>
      <c r="H269" s="397"/>
      <c r="I269" s="383">
        <v>61300</v>
      </c>
      <c r="J269" s="398">
        <v>139041</v>
      </c>
      <c r="K269" s="399" t="s">
        <v>70</v>
      </c>
      <c r="L269" s="399" t="s">
        <v>34</v>
      </c>
      <c r="M269" s="399">
        <v>20</v>
      </c>
      <c r="N269" s="356">
        <v>61300</v>
      </c>
      <c r="O269" s="28" t="b">
        <f t="shared" si="13"/>
        <v>1</v>
      </c>
    </row>
    <row r="270" spans="2:15" s="28" customFormat="1" ht="16.5" customHeight="1">
      <c r="B270" s="20"/>
      <c r="C270" s="20"/>
      <c r="D270" s="254"/>
      <c r="E270" s="379">
        <v>139042</v>
      </c>
      <c r="F270" s="395" t="s">
        <v>578</v>
      </c>
      <c r="G270" s="396"/>
      <c r="H270" s="397"/>
      <c r="I270" s="383">
        <v>575000</v>
      </c>
      <c r="J270" s="398">
        <v>139042</v>
      </c>
      <c r="K270" s="399" t="s">
        <v>71</v>
      </c>
      <c r="L270" s="399" t="s">
        <v>34</v>
      </c>
      <c r="M270" s="399">
        <v>200</v>
      </c>
      <c r="N270" s="356">
        <v>575000</v>
      </c>
      <c r="O270" s="28" t="b">
        <f t="shared" si="13"/>
        <v>1</v>
      </c>
    </row>
    <row r="271" spans="2:15" s="28" customFormat="1" ht="16.5" customHeight="1">
      <c r="B271" s="20"/>
      <c r="C271" s="20"/>
      <c r="D271" s="254"/>
      <c r="E271" s="379">
        <v>139043</v>
      </c>
      <c r="F271" s="395" t="s">
        <v>326</v>
      </c>
      <c r="G271" s="396"/>
      <c r="H271" s="397"/>
      <c r="I271" s="383">
        <v>100000</v>
      </c>
      <c r="J271" s="398">
        <v>139043</v>
      </c>
      <c r="K271" s="399" t="s">
        <v>70</v>
      </c>
      <c r="L271" s="399" t="s">
        <v>34</v>
      </c>
      <c r="M271" s="399">
        <v>20</v>
      </c>
      <c r="N271" s="356">
        <v>100000</v>
      </c>
      <c r="O271" s="28" t="b">
        <f t="shared" si="13"/>
        <v>1</v>
      </c>
    </row>
    <row r="272" spans="2:15" s="28" customFormat="1" ht="16.5" customHeight="1">
      <c r="B272" s="20"/>
      <c r="C272" s="20"/>
      <c r="D272" s="254"/>
      <c r="E272" s="379">
        <v>139044</v>
      </c>
      <c r="F272" s="395" t="s">
        <v>579</v>
      </c>
      <c r="G272" s="396"/>
      <c r="H272" s="397"/>
      <c r="I272" s="383">
        <v>960000</v>
      </c>
      <c r="J272" s="398">
        <v>139044</v>
      </c>
      <c r="K272" s="399" t="s">
        <v>71</v>
      </c>
      <c r="L272" s="399" t="s">
        <v>34</v>
      </c>
      <c r="M272" s="399">
        <v>200</v>
      </c>
      <c r="N272" s="356">
        <v>960000</v>
      </c>
      <c r="O272" s="28" t="b">
        <f t="shared" si="13"/>
        <v>1</v>
      </c>
    </row>
    <row r="273" spans="2:15" s="28" customFormat="1" ht="16.5" customHeight="1">
      <c r="B273" s="20"/>
      <c r="C273" s="20"/>
      <c r="D273" s="254"/>
      <c r="E273" s="379">
        <v>139045</v>
      </c>
      <c r="F273" s="395" t="s">
        <v>327</v>
      </c>
      <c r="G273" s="396"/>
      <c r="H273" s="397"/>
      <c r="I273" s="383">
        <v>100000</v>
      </c>
      <c r="J273" s="398">
        <v>139045</v>
      </c>
      <c r="K273" s="399" t="s">
        <v>70</v>
      </c>
      <c r="L273" s="399" t="s">
        <v>34</v>
      </c>
      <c r="M273" s="399">
        <v>20</v>
      </c>
      <c r="N273" s="356">
        <v>100000</v>
      </c>
      <c r="O273" s="28" t="b">
        <f t="shared" si="13"/>
        <v>1</v>
      </c>
    </row>
    <row r="274" spans="2:15" s="28" customFormat="1" ht="16.5" customHeight="1">
      <c r="B274" s="20"/>
      <c r="C274" s="20"/>
      <c r="D274" s="254"/>
      <c r="E274" s="379">
        <v>139048</v>
      </c>
      <c r="F274" s="395" t="s">
        <v>328</v>
      </c>
      <c r="G274" s="396"/>
      <c r="H274" s="397"/>
      <c r="I274" s="383">
        <v>166000</v>
      </c>
      <c r="J274" s="398">
        <v>139048</v>
      </c>
      <c r="K274" s="399" t="s">
        <v>70</v>
      </c>
      <c r="L274" s="399" t="s">
        <v>34</v>
      </c>
      <c r="M274" s="399">
        <v>20</v>
      </c>
      <c r="N274" s="356">
        <v>166000</v>
      </c>
      <c r="O274" s="28" t="b">
        <f t="shared" si="13"/>
        <v>1</v>
      </c>
    </row>
    <row r="275" spans="2:15" s="28" customFormat="1" ht="16.5" customHeight="1">
      <c r="B275" s="20"/>
      <c r="C275" s="20"/>
      <c r="D275" s="254"/>
      <c r="E275" s="379">
        <v>139049</v>
      </c>
      <c r="F275" s="395" t="s">
        <v>329</v>
      </c>
      <c r="G275" s="396"/>
      <c r="H275" s="397"/>
      <c r="I275" s="383">
        <v>146000</v>
      </c>
      <c r="J275" s="398">
        <v>139049</v>
      </c>
      <c r="K275" s="399" t="s">
        <v>70</v>
      </c>
      <c r="L275" s="399" t="s">
        <v>34</v>
      </c>
      <c r="M275" s="399">
        <v>20</v>
      </c>
      <c r="N275" s="356">
        <v>146000</v>
      </c>
      <c r="O275" s="28" t="b">
        <f t="shared" ref="O275:O338" si="14">I275=N275</f>
        <v>1</v>
      </c>
    </row>
    <row r="276" spans="2:15" s="28" customFormat="1" ht="16.5" customHeight="1">
      <c r="B276" s="20"/>
      <c r="C276" s="20"/>
      <c r="D276" s="254"/>
      <c r="E276" s="379">
        <v>139050</v>
      </c>
      <c r="F276" s="395" t="s">
        <v>330</v>
      </c>
      <c r="G276" s="396"/>
      <c r="H276" s="397"/>
      <c r="I276" s="383"/>
      <c r="J276" s="398">
        <v>139050</v>
      </c>
      <c r="K276" s="399" t="s">
        <v>70</v>
      </c>
      <c r="L276" s="399" t="s">
        <v>34</v>
      </c>
      <c r="M276" s="399">
        <v>20</v>
      </c>
      <c r="N276" s="356" t="e">
        <v>#N/A</v>
      </c>
      <c r="O276" s="28" t="e">
        <f t="shared" si="14"/>
        <v>#N/A</v>
      </c>
    </row>
    <row r="277" spans="2:15" s="28" customFormat="1" ht="16.5" customHeight="1">
      <c r="B277" s="20"/>
      <c r="C277" s="20"/>
      <c r="D277" s="254"/>
      <c r="E277" s="379">
        <v>139051</v>
      </c>
      <c r="F277" s="395" t="s">
        <v>331</v>
      </c>
      <c r="G277" s="396"/>
      <c r="H277" s="397"/>
      <c r="I277" s="383">
        <v>169000</v>
      </c>
      <c r="J277" s="398">
        <v>139051</v>
      </c>
      <c r="K277" s="399" t="s">
        <v>70</v>
      </c>
      <c r="L277" s="399" t="s">
        <v>34</v>
      </c>
      <c r="M277" s="399">
        <v>18.899999999999999</v>
      </c>
      <c r="N277" s="356">
        <v>169000</v>
      </c>
      <c r="O277" s="28" t="b">
        <f t="shared" si="14"/>
        <v>1</v>
      </c>
    </row>
    <row r="278" spans="2:15" s="28" customFormat="1" ht="16.5" customHeight="1">
      <c r="B278" s="20"/>
      <c r="C278" s="20"/>
      <c r="D278" s="254"/>
      <c r="E278" s="379">
        <v>139052</v>
      </c>
      <c r="F278" s="395" t="s">
        <v>582</v>
      </c>
      <c r="G278" s="396"/>
      <c r="H278" s="397"/>
      <c r="I278" s="383"/>
      <c r="J278" s="398">
        <v>139052</v>
      </c>
      <c r="K278" s="399" t="s">
        <v>71</v>
      </c>
      <c r="L278" s="399" t="s">
        <v>34</v>
      </c>
      <c r="M278" s="399">
        <v>200</v>
      </c>
      <c r="N278" s="356" t="e">
        <v>#N/A</v>
      </c>
      <c r="O278" s="28" t="e">
        <f t="shared" si="14"/>
        <v>#N/A</v>
      </c>
    </row>
    <row r="279" spans="2:15" s="28" customFormat="1" ht="16.5" customHeight="1">
      <c r="B279" s="20"/>
      <c r="C279" s="20"/>
      <c r="D279" s="254"/>
      <c r="E279" s="379">
        <v>139057</v>
      </c>
      <c r="F279" s="395" t="s">
        <v>583</v>
      </c>
      <c r="G279" s="396"/>
      <c r="H279" s="397"/>
      <c r="I279" s="383">
        <v>721000</v>
      </c>
      <c r="J279" s="398">
        <v>139057</v>
      </c>
      <c r="K279" s="399" t="s">
        <v>71</v>
      </c>
      <c r="L279" s="399" t="s">
        <v>34</v>
      </c>
      <c r="M279" s="399">
        <v>200</v>
      </c>
      <c r="N279" s="356">
        <v>721000</v>
      </c>
      <c r="O279" s="28" t="b">
        <f t="shared" si="14"/>
        <v>1</v>
      </c>
    </row>
    <row r="280" spans="2:15" s="28" customFormat="1" ht="16.5" customHeight="1">
      <c r="B280" s="20"/>
      <c r="C280" s="20"/>
      <c r="D280" s="254"/>
      <c r="E280" s="379">
        <v>139058</v>
      </c>
      <c r="F280" s="395" t="s">
        <v>584</v>
      </c>
      <c r="G280" s="396"/>
      <c r="H280" s="397"/>
      <c r="I280" s="383">
        <v>893000</v>
      </c>
      <c r="J280" s="398">
        <v>139058</v>
      </c>
      <c r="K280" s="399" t="s">
        <v>71</v>
      </c>
      <c r="L280" s="399" t="s">
        <v>34</v>
      </c>
      <c r="M280" s="399">
        <v>200</v>
      </c>
      <c r="N280" s="356">
        <v>893000</v>
      </c>
      <c r="O280" s="28" t="b">
        <f t="shared" si="14"/>
        <v>1</v>
      </c>
    </row>
    <row r="281" spans="2:15" s="28" customFormat="1" ht="16.5" customHeight="1">
      <c r="B281" s="20"/>
      <c r="C281" s="20"/>
      <c r="D281" s="254"/>
      <c r="E281" s="379">
        <v>139059</v>
      </c>
      <c r="F281" s="395" t="s">
        <v>585</v>
      </c>
      <c r="G281" s="396"/>
      <c r="H281" s="397"/>
      <c r="I281" s="383">
        <v>691000</v>
      </c>
      <c r="J281" s="398">
        <v>139059</v>
      </c>
      <c r="K281" s="399" t="s">
        <v>71</v>
      </c>
      <c r="L281" s="399" t="s">
        <v>34</v>
      </c>
      <c r="M281" s="399">
        <v>200</v>
      </c>
      <c r="N281" s="356">
        <v>691000</v>
      </c>
      <c r="O281" s="28" t="b">
        <f t="shared" si="14"/>
        <v>1</v>
      </c>
    </row>
    <row r="282" spans="2:15" s="28" customFormat="1" ht="16.5" customHeight="1">
      <c r="B282" s="20"/>
      <c r="C282" s="20"/>
      <c r="D282" s="254"/>
      <c r="E282" s="379">
        <v>139061</v>
      </c>
      <c r="F282" s="395" t="s">
        <v>242</v>
      </c>
      <c r="G282" s="396"/>
      <c r="H282" s="397"/>
      <c r="I282" s="383">
        <v>83600</v>
      </c>
      <c r="J282" s="398">
        <v>139061</v>
      </c>
      <c r="K282" s="399" t="s">
        <v>70</v>
      </c>
      <c r="L282" s="399" t="s">
        <v>34</v>
      </c>
      <c r="M282" s="399">
        <v>20</v>
      </c>
      <c r="N282" s="356">
        <v>83600</v>
      </c>
      <c r="O282" s="28" t="b">
        <f t="shared" si="14"/>
        <v>1</v>
      </c>
    </row>
    <row r="283" spans="2:15" s="28" customFormat="1" ht="16.5" customHeight="1">
      <c r="B283" s="20"/>
      <c r="C283" s="20"/>
      <c r="D283" s="254"/>
      <c r="E283" s="379">
        <v>139062</v>
      </c>
      <c r="F283" s="395" t="s">
        <v>586</v>
      </c>
      <c r="G283" s="396"/>
      <c r="H283" s="397"/>
      <c r="I283" s="383">
        <v>687000</v>
      </c>
      <c r="J283" s="398">
        <v>139062</v>
      </c>
      <c r="K283" s="399" t="s">
        <v>71</v>
      </c>
      <c r="L283" s="399" t="s">
        <v>34</v>
      </c>
      <c r="M283" s="399">
        <v>200</v>
      </c>
      <c r="N283" s="356">
        <v>687000</v>
      </c>
      <c r="O283" s="28" t="b">
        <f t="shared" si="14"/>
        <v>1</v>
      </c>
    </row>
    <row r="284" spans="2:15" s="28" customFormat="1" ht="16.5" customHeight="1">
      <c r="B284" s="20"/>
      <c r="C284" s="20"/>
      <c r="D284" s="254"/>
      <c r="E284" s="379">
        <v>139063</v>
      </c>
      <c r="F284" s="395" t="s">
        <v>587</v>
      </c>
      <c r="G284" s="396"/>
      <c r="H284" s="397"/>
      <c r="I284" s="383">
        <v>670000</v>
      </c>
      <c r="J284" s="398">
        <v>139063</v>
      </c>
      <c r="K284" s="399" t="s">
        <v>71</v>
      </c>
      <c r="L284" s="399" t="s">
        <v>34</v>
      </c>
      <c r="M284" s="399">
        <v>200</v>
      </c>
      <c r="N284" s="356">
        <v>670000</v>
      </c>
      <c r="O284" s="28" t="b">
        <f t="shared" si="14"/>
        <v>1</v>
      </c>
    </row>
    <row r="285" spans="2:15" s="28" customFormat="1" ht="16.5" customHeight="1">
      <c r="B285" s="20"/>
      <c r="C285" s="20"/>
      <c r="D285" s="254"/>
      <c r="E285" s="379">
        <v>139064</v>
      </c>
      <c r="F285" s="395" t="s">
        <v>233</v>
      </c>
      <c r="G285" s="396"/>
      <c r="H285" s="397"/>
      <c r="I285" s="383">
        <v>66400</v>
      </c>
      <c r="J285" s="398">
        <v>139064</v>
      </c>
      <c r="K285" s="399" t="s">
        <v>70</v>
      </c>
      <c r="L285" s="399" t="s">
        <v>34</v>
      </c>
      <c r="M285" s="399">
        <v>20</v>
      </c>
      <c r="N285" s="356">
        <v>66400</v>
      </c>
      <c r="O285" s="28" t="b">
        <f t="shared" si="14"/>
        <v>1</v>
      </c>
    </row>
    <row r="286" spans="2:15" s="28" customFormat="1" ht="16.5" customHeight="1">
      <c r="B286" s="20"/>
      <c r="C286" s="20"/>
      <c r="D286" s="254"/>
      <c r="E286" s="379">
        <v>139065</v>
      </c>
      <c r="F286" s="395" t="s">
        <v>588</v>
      </c>
      <c r="G286" s="396"/>
      <c r="H286" s="397"/>
      <c r="I286" s="383">
        <v>685000</v>
      </c>
      <c r="J286" s="398">
        <v>139065</v>
      </c>
      <c r="K286" s="399" t="s">
        <v>71</v>
      </c>
      <c r="L286" s="399" t="s">
        <v>34</v>
      </c>
      <c r="M286" s="399">
        <v>200</v>
      </c>
      <c r="N286" s="356">
        <v>685000</v>
      </c>
      <c r="O286" s="28" t="b">
        <f t="shared" si="14"/>
        <v>1</v>
      </c>
    </row>
    <row r="287" spans="2:15" s="28" customFormat="1" ht="16.5" customHeight="1">
      <c r="B287" s="20"/>
      <c r="C287" s="20"/>
      <c r="D287" s="254"/>
      <c r="E287" s="379">
        <v>139066</v>
      </c>
      <c r="F287" s="395" t="s">
        <v>332</v>
      </c>
      <c r="G287" s="396"/>
      <c r="H287" s="397"/>
      <c r="I287" s="383">
        <v>69100</v>
      </c>
      <c r="J287" s="398">
        <v>139066</v>
      </c>
      <c r="K287" s="399" t="s">
        <v>70</v>
      </c>
      <c r="L287" s="399" t="s">
        <v>34</v>
      </c>
      <c r="M287" s="399">
        <v>20</v>
      </c>
      <c r="N287" s="356">
        <v>69100</v>
      </c>
      <c r="O287" s="28" t="b">
        <f t="shared" si="14"/>
        <v>1</v>
      </c>
    </row>
    <row r="288" spans="2:15" s="28" customFormat="1" ht="16.5" customHeight="1">
      <c r="B288" s="20"/>
      <c r="C288" s="20"/>
      <c r="D288" s="254"/>
      <c r="E288" s="379">
        <v>139067</v>
      </c>
      <c r="F288" s="395" t="s">
        <v>333</v>
      </c>
      <c r="G288" s="396"/>
      <c r="H288" s="397"/>
      <c r="I288" s="383"/>
      <c r="J288" s="398">
        <v>139067</v>
      </c>
      <c r="K288" s="399" t="s">
        <v>70</v>
      </c>
      <c r="L288" s="399" t="s">
        <v>34</v>
      </c>
      <c r="M288" s="399">
        <v>18.899999999999999</v>
      </c>
      <c r="N288" s="356" t="e">
        <v>#N/A</v>
      </c>
      <c r="O288" s="28" t="e">
        <f t="shared" si="14"/>
        <v>#N/A</v>
      </c>
    </row>
    <row r="289" spans="2:15" s="28" customFormat="1" ht="16.5" customHeight="1">
      <c r="B289" s="20"/>
      <c r="C289" s="20"/>
      <c r="D289" s="254"/>
      <c r="E289" s="379">
        <v>139068</v>
      </c>
      <c r="F289" s="395" t="s">
        <v>589</v>
      </c>
      <c r="G289" s="396"/>
      <c r="H289" s="397"/>
      <c r="I289" s="383">
        <v>4688000</v>
      </c>
      <c r="J289" s="398">
        <v>139068</v>
      </c>
      <c r="K289" s="399" t="s">
        <v>71</v>
      </c>
      <c r="L289" s="399" t="s">
        <v>34</v>
      </c>
      <c r="M289" s="399">
        <v>208</v>
      </c>
      <c r="N289" s="356">
        <v>4688000</v>
      </c>
      <c r="O289" s="28" t="b">
        <f t="shared" si="14"/>
        <v>1</v>
      </c>
    </row>
    <row r="290" spans="2:15" s="28" customFormat="1" ht="16.5" customHeight="1">
      <c r="B290" s="20"/>
      <c r="C290" s="20"/>
      <c r="D290" s="254"/>
      <c r="E290" s="379">
        <v>139069</v>
      </c>
      <c r="F290" s="395" t="s">
        <v>334</v>
      </c>
      <c r="G290" s="396"/>
      <c r="H290" s="397"/>
      <c r="I290" s="383">
        <v>296000</v>
      </c>
      <c r="J290" s="398">
        <v>139069</v>
      </c>
      <c r="K290" s="399" t="s">
        <v>70</v>
      </c>
      <c r="L290" s="399" t="s">
        <v>34</v>
      </c>
      <c r="M290" s="399">
        <v>20</v>
      </c>
      <c r="N290" s="356">
        <v>296000</v>
      </c>
      <c r="O290" s="28" t="b">
        <f t="shared" si="14"/>
        <v>1</v>
      </c>
    </row>
    <row r="291" spans="2:15" s="28" customFormat="1" ht="16.5" customHeight="1">
      <c r="B291" s="20"/>
      <c r="C291" s="20"/>
      <c r="D291" s="254"/>
      <c r="E291" s="379">
        <v>139070</v>
      </c>
      <c r="F291" s="395" t="s">
        <v>335</v>
      </c>
      <c r="G291" s="396"/>
      <c r="H291" s="397"/>
      <c r="I291" s="383">
        <v>318000</v>
      </c>
      <c r="J291" s="398">
        <v>139070</v>
      </c>
      <c r="K291" s="399" t="s">
        <v>70</v>
      </c>
      <c r="L291" s="399" t="s">
        <v>34</v>
      </c>
      <c r="M291" s="399">
        <v>20</v>
      </c>
      <c r="N291" s="356">
        <v>318000</v>
      </c>
      <c r="O291" s="28" t="b">
        <f t="shared" si="14"/>
        <v>1</v>
      </c>
    </row>
    <row r="292" spans="2:15" s="28" customFormat="1" ht="16.5" customHeight="1">
      <c r="B292" s="20"/>
      <c r="C292" s="20"/>
      <c r="D292" s="254"/>
      <c r="E292" s="379">
        <v>139071</v>
      </c>
      <c r="F292" s="395" t="s">
        <v>590</v>
      </c>
      <c r="G292" s="396"/>
      <c r="H292" s="397"/>
      <c r="I292" s="383">
        <v>746000</v>
      </c>
      <c r="J292" s="398">
        <v>139071</v>
      </c>
      <c r="K292" s="399" t="s">
        <v>71</v>
      </c>
      <c r="L292" s="399" t="s">
        <v>34</v>
      </c>
      <c r="M292" s="399">
        <v>200</v>
      </c>
      <c r="N292" s="356">
        <v>746000</v>
      </c>
      <c r="O292" s="28" t="b">
        <f t="shared" si="14"/>
        <v>1</v>
      </c>
    </row>
    <row r="293" spans="2:15" s="28" customFormat="1" ht="16.5" customHeight="1">
      <c r="B293" s="20"/>
      <c r="C293" s="20"/>
      <c r="D293" s="254"/>
      <c r="E293" s="379">
        <v>139074</v>
      </c>
      <c r="F293" s="395" t="s">
        <v>591</v>
      </c>
      <c r="G293" s="396"/>
      <c r="H293" s="397"/>
      <c r="I293" s="383">
        <v>746000</v>
      </c>
      <c r="J293" s="398">
        <v>139074</v>
      </c>
      <c r="K293" s="399" t="s">
        <v>71</v>
      </c>
      <c r="L293" s="399" t="s">
        <v>34</v>
      </c>
      <c r="M293" s="399">
        <v>200</v>
      </c>
      <c r="N293" s="356">
        <v>746000</v>
      </c>
      <c r="O293" s="28" t="b">
        <f t="shared" si="14"/>
        <v>1</v>
      </c>
    </row>
    <row r="294" spans="2:15" s="28" customFormat="1" ht="16.5" customHeight="1">
      <c r="B294" s="20"/>
      <c r="C294" s="20"/>
      <c r="D294" s="254"/>
      <c r="E294" s="379">
        <v>139075</v>
      </c>
      <c r="F294" s="395" t="s">
        <v>592</v>
      </c>
      <c r="G294" s="396"/>
      <c r="H294" s="397"/>
      <c r="I294" s="383">
        <v>746000</v>
      </c>
      <c r="J294" s="398">
        <v>139075</v>
      </c>
      <c r="K294" s="399" t="s">
        <v>71</v>
      </c>
      <c r="L294" s="399" t="s">
        <v>34</v>
      </c>
      <c r="M294" s="399">
        <v>200</v>
      </c>
      <c r="N294" s="356">
        <v>746000</v>
      </c>
      <c r="O294" s="28" t="b">
        <f t="shared" si="14"/>
        <v>1</v>
      </c>
    </row>
    <row r="295" spans="2:15" s="28" customFormat="1" ht="16.5" customHeight="1">
      <c r="B295" s="20"/>
      <c r="C295" s="20"/>
      <c r="D295" s="254"/>
      <c r="E295" s="379">
        <v>135303</v>
      </c>
      <c r="F295" s="395" t="s">
        <v>336</v>
      </c>
      <c r="G295" s="396"/>
      <c r="H295" s="397"/>
      <c r="I295" s="383">
        <v>370000</v>
      </c>
      <c r="J295" s="398">
        <v>135303</v>
      </c>
      <c r="K295" s="399" t="s">
        <v>70</v>
      </c>
      <c r="L295" s="399" t="s">
        <v>34</v>
      </c>
      <c r="M295" s="399">
        <v>20</v>
      </c>
      <c r="N295" s="356">
        <v>370000</v>
      </c>
      <c r="O295" s="28" t="b">
        <f t="shared" si="14"/>
        <v>1</v>
      </c>
    </row>
    <row r="296" spans="2:15" s="28" customFormat="1" ht="16.5" customHeight="1">
      <c r="B296" s="20"/>
      <c r="C296" s="20"/>
      <c r="D296" s="254"/>
      <c r="E296" s="379">
        <v>139080</v>
      </c>
      <c r="F296" s="395" t="s">
        <v>337</v>
      </c>
      <c r="G296" s="396"/>
      <c r="H296" s="397"/>
      <c r="I296" s="383">
        <v>300000</v>
      </c>
      <c r="J296" s="398">
        <v>139080</v>
      </c>
      <c r="K296" s="399" t="s">
        <v>70</v>
      </c>
      <c r="L296" s="399" t="s">
        <v>34</v>
      </c>
      <c r="M296" s="399">
        <v>20</v>
      </c>
      <c r="N296" s="356">
        <v>300000</v>
      </c>
      <c r="O296" s="28" t="b">
        <f t="shared" si="14"/>
        <v>1</v>
      </c>
    </row>
    <row r="297" spans="2:15" s="28" customFormat="1" ht="16.5" customHeight="1">
      <c r="B297" s="20"/>
      <c r="C297" s="20"/>
      <c r="D297" s="254"/>
      <c r="E297" s="379">
        <v>139082</v>
      </c>
      <c r="F297" s="395" t="s">
        <v>338</v>
      </c>
      <c r="G297" s="396"/>
      <c r="H297" s="397"/>
      <c r="I297" s="383">
        <v>366000</v>
      </c>
      <c r="J297" s="398">
        <v>139082</v>
      </c>
      <c r="K297" s="399" t="s">
        <v>70</v>
      </c>
      <c r="L297" s="399" t="s">
        <v>34</v>
      </c>
      <c r="M297" s="399">
        <v>20</v>
      </c>
      <c r="N297" s="356">
        <v>366000</v>
      </c>
      <c r="O297" s="28" t="b">
        <f t="shared" si="14"/>
        <v>1</v>
      </c>
    </row>
    <row r="298" spans="2:15" s="28" customFormat="1" ht="16.5" customHeight="1">
      <c r="B298" s="20"/>
      <c r="C298" s="20"/>
      <c r="D298" s="254"/>
      <c r="E298" s="379">
        <v>139084</v>
      </c>
      <c r="F298" s="395" t="s">
        <v>243</v>
      </c>
      <c r="G298" s="401"/>
      <c r="H298" s="402"/>
      <c r="I298" s="383">
        <v>58600</v>
      </c>
      <c r="J298" s="399">
        <v>139084</v>
      </c>
      <c r="K298" s="399" t="s">
        <v>70</v>
      </c>
      <c r="L298" s="399" t="s">
        <v>34</v>
      </c>
      <c r="M298" s="399">
        <v>20</v>
      </c>
      <c r="N298" s="356">
        <v>58600</v>
      </c>
      <c r="O298" s="28" t="b">
        <f t="shared" si="14"/>
        <v>1</v>
      </c>
    </row>
    <row r="299" spans="2:15" s="28" customFormat="1" ht="16.5" customHeight="1">
      <c r="B299" s="20"/>
      <c r="C299" s="20"/>
      <c r="D299" s="254"/>
      <c r="E299" s="379">
        <v>139085</v>
      </c>
      <c r="F299" s="395" t="s">
        <v>593</v>
      </c>
      <c r="G299" s="401"/>
      <c r="H299" s="402"/>
      <c r="I299" s="383">
        <v>535000</v>
      </c>
      <c r="J299" s="398">
        <v>139085</v>
      </c>
      <c r="K299" s="399" t="s">
        <v>71</v>
      </c>
      <c r="L299" s="399" t="s">
        <v>34</v>
      </c>
      <c r="M299" s="399">
        <v>200</v>
      </c>
      <c r="N299" s="356">
        <v>535000</v>
      </c>
      <c r="O299" s="28" t="b">
        <f t="shared" si="14"/>
        <v>1</v>
      </c>
    </row>
    <row r="300" spans="2:15" s="28" customFormat="1" ht="16.5" customHeight="1">
      <c r="B300" s="20"/>
      <c r="C300" s="20"/>
      <c r="D300" s="254"/>
      <c r="E300" s="379">
        <v>139086</v>
      </c>
      <c r="F300" s="395" t="s">
        <v>226</v>
      </c>
      <c r="G300" s="401"/>
      <c r="H300" s="402"/>
      <c r="I300" s="383">
        <v>54500</v>
      </c>
      <c r="J300" s="398">
        <v>139086</v>
      </c>
      <c r="K300" s="399" t="s">
        <v>70</v>
      </c>
      <c r="L300" s="399" t="s">
        <v>34</v>
      </c>
      <c r="M300" s="399">
        <v>20</v>
      </c>
      <c r="N300" s="356">
        <v>54500</v>
      </c>
      <c r="O300" s="28" t="b">
        <f t="shared" si="14"/>
        <v>1</v>
      </c>
    </row>
    <row r="301" spans="2:15" s="28" customFormat="1" ht="16.5" customHeight="1">
      <c r="B301" s="20"/>
      <c r="C301" s="20"/>
      <c r="D301" s="254"/>
      <c r="E301" s="379">
        <v>139087</v>
      </c>
      <c r="F301" s="395" t="s">
        <v>594</v>
      </c>
      <c r="G301" s="401"/>
      <c r="H301" s="402"/>
      <c r="I301" s="383">
        <v>547000</v>
      </c>
      <c r="J301" s="398">
        <v>139087</v>
      </c>
      <c r="K301" s="399" t="s">
        <v>71</v>
      </c>
      <c r="L301" s="399" t="s">
        <v>34</v>
      </c>
      <c r="M301" s="399">
        <v>200</v>
      </c>
      <c r="N301" s="356">
        <v>547000</v>
      </c>
      <c r="O301" s="28" t="b">
        <f t="shared" si="14"/>
        <v>1</v>
      </c>
    </row>
    <row r="302" spans="2:15" s="28" customFormat="1" ht="16.5" customHeight="1">
      <c r="B302" s="20"/>
      <c r="C302" s="20"/>
      <c r="D302" s="254"/>
      <c r="E302" s="379">
        <v>139088</v>
      </c>
      <c r="F302" s="395" t="s">
        <v>234</v>
      </c>
      <c r="G302" s="401"/>
      <c r="H302" s="402"/>
      <c r="I302" s="383">
        <v>58600</v>
      </c>
      <c r="J302" s="398">
        <v>139088</v>
      </c>
      <c r="K302" s="399" t="s">
        <v>70</v>
      </c>
      <c r="L302" s="399" t="s">
        <v>34</v>
      </c>
      <c r="M302" s="399">
        <v>20</v>
      </c>
      <c r="N302" s="356">
        <v>58600</v>
      </c>
      <c r="O302" s="28" t="b">
        <f t="shared" si="14"/>
        <v>1</v>
      </c>
    </row>
    <row r="303" spans="2:15" s="28" customFormat="1" ht="16.5" customHeight="1">
      <c r="B303" s="20"/>
      <c r="C303" s="20"/>
      <c r="D303" s="254"/>
      <c r="E303" s="379">
        <v>139089</v>
      </c>
      <c r="F303" s="395" t="s">
        <v>595</v>
      </c>
      <c r="G303" s="401"/>
      <c r="H303" s="402"/>
      <c r="I303" s="383">
        <v>663000</v>
      </c>
      <c r="J303" s="398">
        <v>139089</v>
      </c>
      <c r="K303" s="399" t="s">
        <v>71</v>
      </c>
      <c r="L303" s="399" t="s">
        <v>34</v>
      </c>
      <c r="M303" s="399">
        <v>200</v>
      </c>
      <c r="N303" s="356">
        <v>663000</v>
      </c>
      <c r="O303" s="28" t="b">
        <f t="shared" si="14"/>
        <v>1</v>
      </c>
    </row>
    <row r="304" spans="2:15" s="28" customFormat="1" ht="16.5" customHeight="1">
      <c r="B304" s="20"/>
      <c r="C304" s="20"/>
      <c r="D304" s="254"/>
      <c r="E304" s="379">
        <v>139090</v>
      </c>
      <c r="F304" s="395" t="s">
        <v>596</v>
      </c>
      <c r="G304" s="396"/>
      <c r="H304" s="397"/>
      <c r="I304" s="383">
        <v>626000</v>
      </c>
      <c r="J304" s="398">
        <v>139090</v>
      </c>
      <c r="K304" s="399" t="s">
        <v>71</v>
      </c>
      <c r="L304" s="399" t="s">
        <v>34</v>
      </c>
      <c r="M304" s="399">
        <v>200</v>
      </c>
      <c r="N304" s="356">
        <v>626000</v>
      </c>
      <c r="O304" s="28" t="b">
        <f t="shared" si="14"/>
        <v>1</v>
      </c>
    </row>
    <row r="305" spans="2:15" s="28" customFormat="1" ht="16.5" customHeight="1">
      <c r="B305" s="20"/>
      <c r="C305" s="20"/>
      <c r="D305" s="254"/>
      <c r="E305" s="379">
        <v>139091</v>
      </c>
      <c r="F305" s="395" t="s">
        <v>597</v>
      </c>
      <c r="G305" s="401"/>
      <c r="H305" s="402"/>
      <c r="I305" s="383">
        <v>508000</v>
      </c>
      <c r="J305" s="399">
        <v>139091</v>
      </c>
      <c r="K305" s="399" t="s">
        <v>71</v>
      </c>
      <c r="L305" s="399" t="s">
        <v>34</v>
      </c>
      <c r="M305" s="399">
        <v>200</v>
      </c>
      <c r="N305" s="356">
        <v>508000</v>
      </c>
      <c r="O305" s="28" t="b">
        <f t="shared" si="14"/>
        <v>1</v>
      </c>
    </row>
    <row r="306" spans="2:15" s="28" customFormat="1" ht="16.5" customHeight="1">
      <c r="B306" s="20"/>
      <c r="C306" s="20"/>
      <c r="D306" s="254"/>
      <c r="E306" s="379">
        <v>139092</v>
      </c>
      <c r="F306" s="395" t="s">
        <v>598</v>
      </c>
      <c r="G306" s="401"/>
      <c r="H306" s="402"/>
      <c r="I306" s="383">
        <v>907000</v>
      </c>
      <c r="J306" s="398">
        <v>139092</v>
      </c>
      <c r="K306" s="399" t="s">
        <v>71</v>
      </c>
      <c r="L306" s="399" t="s">
        <v>34</v>
      </c>
      <c r="M306" s="399">
        <v>200</v>
      </c>
      <c r="N306" s="356">
        <v>907000</v>
      </c>
      <c r="O306" s="28" t="b">
        <f t="shared" si="14"/>
        <v>1</v>
      </c>
    </row>
    <row r="307" spans="2:15" s="28" customFormat="1" ht="16.5" customHeight="1">
      <c r="B307" s="20"/>
      <c r="C307" s="20"/>
      <c r="D307" s="254"/>
      <c r="E307" s="379">
        <v>139094</v>
      </c>
      <c r="F307" s="395" t="s">
        <v>599</v>
      </c>
      <c r="G307" s="401"/>
      <c r="H307" s="402"/>
      <c r="I307" s="383">
        <v>781000</v>
      </c>
      <c r="J307" s="398">
        <v>139094</v>
      </c>
      <c r="K307" s="399" t="s">
        <v>71</v>
      </c>
      <c r="L307" s="399" t="s">
        <v>34</v>
      </c>
      <c r="M307" s="399">
        <v>200</v>
      </c>
      <c r="N307" s="356">
        <v>781000</v>
      </c>
      <c r="O307" s="28" t="b">
        <f t="shared" si="14"/>
        <v>1</v>
      </c>
    </row>
    <row r="308" spans="2:15" s="28" customFormat="1" ht="16.5" customHeight="1">
      <c r="B308" s="20"/>
      <c r="C308" s="20"/>
      <c r="D308" s="254"/>
      <c r="E308" s="379">
        <v>139095</v>
      </c>
      <c r="F308" s="395" t="s">
        <v>600</v>
      </c>
      <c r="G308" s="401"/>
      <c r="H308" s="402"/>
      <c r="I308" s="383">
        <v>843000</v>
      </c>
      <c r="J308" s="398">
        <v>139095</v>
      </c>
      <c r="K308" s="399" t="s">
        <v>71</v>
      </c>
      <c r="L308" s="399" t="s">
        <v>34</v>
      </c>
      <c r="M308" s="399">
        <v>200</v>
      </c>
      <c r="N308" s="356">
        <v>843000</v>
      </c>
      <c r="O308" s="28" t="b">
        <f t="shared" si="14"/>
        <v>1</v>
      </c>
    </row>
    <row r="309" spans="2:15" s="28" customFormat="1" ht="16.5" customHeight="1">
      <c r="B309" s="20"/>
      <c r="C309" s="20"/>
      <c r="D309" s="254"/>
      <c r="E309" s="379">
        <v>139096</v>
      </c>
      <c r="F309" s="395" t="s">
        <v>339</v>
      </c>
      <c r="G309" s="401"/>
      <c r="H309" s="402"/>
      <c r="I309" s="383">
        <v>89700</v>
      </c>
      <c r="J309" s="398">
        <v>139096</v>
      </c>
      <c r="K309" s="399" t="s">
        <v>70</v>
      </c>
      <c r="L309" s="399" t="s">
        <v>34</v>
      </c>
      <c r="M309" s="399">
        <v>20</v>
      </c>
      <c r="N309" s="356">
        <v>89700</v>
      </c>
      <c r="O309" s="28" t="b">
        <f t="shared" si="14"/>
        <v>1</v>
      </c>
    </row>
    <row r="310" spans="2:15" s="28" customFormat="1" ht="16.5" customHeight="1">
      <c r="B310" s="20"/>
      <c r="C310" s="20"/>
      <c r="D310" s="254"/>
      <c r="E310" s="379">
        <v>139097</v>
      </c>
      <c r="F310" s="395" t="s">
        <v>601</v>
      </c>
      <c r="G310" s="401"/>
      <c r="H310" s="402"/>
      <c r="I310" s="383">
        <v>987000</v>
      </c>
      <c r="J310" s="398">
        <v>139097</v>
      </c>
      <c r="K310" s="399" t="s">
        <v>71</v>
      </c>
      <c r="L310" s="399" t="s">
        <v>34</v>
      </c>
      <c r="M310" s="399">
        <v>200</v>
      </c>
      <c r="N310" s="356">
        <v>987000</v>
      </c>
      <c r="O310" s="28" t="b">
        <f t="shared" si="14"/>
        <v>1</v>
      </c>
    </row>
    <row r="311" spans="2:15" s="28" customFormat="1" ht="16.5" customHeight="1">
      <c r="B311" s="20"/>
      <c r="C311" s="20"/>
      <c r="D311" s="254"/>
      <c r="E311" s="379">
        <v>139099</v>
      </c>
      <c r="F311" s="395" t="s">
        <v>602</v>
      </c>
      <c r="G311" s="396"/>
      <c r="H311" s="397"/>
      <c r="I311" s="383">
        <v>637000</v>
      </c>
      <c r="J311" s="398">
        <v>139099</v>
      </c>
      <c r="K311" s="399" t="s">
        <v>71</v>
      </c>
      <c r="L311" s="399" t="s">
        <v>34</v>
      </c>
      <c r="M311" s="399">
        <v>200</v>
      </c>
      <c r="N311" s="356">
        <v>637000</v>
      </c>
      <c r="O311" s="28" t="b">
        <f t="shared" si="14"/>
        <v>1</v>
      </c>
    </row>
    <row r="312" spans="2:15" s="28" customFormat="1" ht="16.5" customHeight="1">
      <c r="B312" s="20"/>
      <c r="C312" s="20"/>
      <c r="D312" s="254"/>
      <c r="E312" s="379">
        <v>139101</v>
      </c>
      <c r="F312" s="395" t="s">
        <v>603</v>
      </c>
      <c r="G312" s="396"/>
      <c r="H312" s="397"/>
      <c r="I312" s="383">
        <v>616000</v>
      </c>
      <c r="J312" s="398">
        <v>139101</v>
      </c>
      <c r="K312" s="399" t="s">
        <v>71</v>
      </c>
      <c r="L312" s="399" t="s">
        <v>34</v>
      </c>
      <c r="M312" s="399">
        <v>200</v>
      </c>
      <c r="N312" s="356">
        <v>616000</v>
      </c>
      <c r="O312" s="28" t="b">
        <f t="shared" si="14"/>
        <v>1</v>
      </c>
    </row>
    <row r="313" spans="2:15" s="28" customFormat="1" ht="16.5" customHeight="1">
      <c r="B313" s="20"/>
      <c r="C313" s="20"/>
      <c r="D313" s="254"/>
      <c r="E313" s="379">
        <v>139103</v>
      </c>
      <c r="F313" s="395" t="s">
        <v>604</v>
      </c>
      <c r="G313" s="396"/>
      <c r="H313" s="397"/>
      <c r="I313" s="383">
        <v>564000</v>
      </c>
      <c r="J313" s="398">
        <v>139103</v>
      </c>
      <c r="K313" s="399" t="s">
        <v>71</v>
      </c>
      <c r="L313" s="399" t="s">
        <v>34</v>
      </c>
      <c r="M313" s="399">
        <v>200</v>
      </c>
      <c r="N313" s="356">
        <v>564000</v>
      </c>
      <c r="O313" s="28" t="b">
        <f t="shared" si="14"/>
        <v>1</v>
      </c>
    </row>
    <row r="314" spans="2:15" s="28" customFormat="1" ht="16.5" customHeight="1">
      <c r="B314" s="20"/>
      <c r="C314" s="20"/>
      <c r="D314" s="254"/>
      <c r="E314" s="379">
        <v>139105</v>
      </c>
      <c r="F314" s="395" t="s">
        <v>605</v>
      </c>
      <c r="G314" s="396"/>
      <c r="H314" s="397"/>
      <c r="I314" s="383">
        <v>628000</v>
      </c>
      <c r="J314" s="398">
        <v>139105</v>
      </c>
      <c r="K314" s="399" t="s">
        <v>71</v>
      </c>
      <c r="L314" s="399" t="s">
        <v>34</v>
      </c>
      <c r="M314" s="399">
        <v>200</v>
      </c>
      <c r="N314" s="356">
        <v>628000</v>
      </c>
      <c r="O314" s="28" t="b">
        <f t="shared" si="14"/>
        <v>1</v>
      </c>
    </row>
    <row r="315" spans="2:15" s="28" customFormat="1" ht="16.5" customHeight="1">
      <c r="B315" s="20"/>
      <c r="C315" s="20"/>
      <c r="D315" s="254"/>
      <c r="E315" s="379">
        <v>139106</v>
      </c>
      <c r="F315" s="395" t="s">
        <v>340</v>
      </c>
      <c r="G315" s="396"/>
      <c r="H315" s="397"/>
      <c r="I315" s="383">
        <v>76400</v>
      </c>
      <c r="J315" s="398">
        <v>139106</v>
      </c>
      <c r="K315" s="399" t="s">
        <v>70</v>
      </c>
      <c r="L315" s="399" t="s">
        <v>34</v>
      </c>
      <c r="M315" s="399">
        <v>20</v>
      </c>
      <c r="N315" s="356">
        <v>76400</v>
      </c>
      <c r="O315" s="28" t="b">
        <f t="shared" si="14"/>
        <v>1</v>
      </c>
    </row>
    <row r="316" spans="2:15" s="28" customFormat="1" ht="16.5" customHeight="1">
      <c r="B316" s="20"/>
      <c r="C316" s="20"/>
      <c r="D316" s="254"/>
      <c r="E316" s="379">
        <v>139107</v>
      </c>
      <c r="F316" s="395" t="s">
        <v>606</v>
      </c>
      <c r="G316" s="396"/>
      <c r="H316" s="397"/>
      <c r="I316" s="383">
        <v>630000</v>
      </c>
      <c r="J316" s="398">
        <v>139107</v>
      </c>
      <c r="K316" s="399" t="s">
        <v>71</v>
      </c>
      <c r="L316" s="399" t="s">
        <v>34</v>
      </c>
      <c r="M316" s="399">
        <v>200</v>
      </c>
      <c r="N316" s="356">
        <v>630000</v>
      </c>
      <c r="O316" s="28" t="b">
        <f t="shared" si="14"/>
        <v>1</v>
      </c>
    </row>
    <row r="317" spans="2:15" s="28" customFormat="1" ht="16.5" customHeight="1">
      <c r="B317" s="20"/>
      <c r="C317" s="20"/>
      <c r="D317" s="254"/>
      <c r="E317" s="379">
        <v>139108</v>
      </c>
      <c r="F317" s="395" t="s">
        <v>341</v>
      </c>
      <c r="G317" s="396"/>
      <c r="H317" s="397"/>
      <c r="I317" s="383" t="e">
        <v>#N/A</v>
      </c>
      <c r="J317" s="398">
        <v>139108</v>
      </c>
      <c r="K317" s="399" t="s">
        <v>70</v>
      </c>
      <c r="L317" s="399" t="s">
        <v>34</v>
      </c>
      <c r="M317" s="399">
        <v>20</v>
      </c>
      <c r="N317" s="356" t="e">
        <v>#N/A</v>
      </c>
      <c r="O317" s="28" t="e">
        <f t="shared" si="14"/>
        <v>#N/A</v>
      </c>
    </row>
    <row r="318" spans="2:15" s="28" customFormat="1" ht="16.5" customHeight="1">
      <c r="B318" s="20"/>
      <c r="C318" s="20"/>
      <c r="D318" s="254"/>
      <c r="E318" s="379">
        <v>139109</v>
      </c>
      <c r="F318" s="395" t="s">
        <v>607</v>
      </c>
      <c r="G318" s="396"/>
      <c r="H318" s="397"/>
      <c r="I318" s="383">
        <v>593000</v>
      </c>
      <c r="J318" s="398">
        <v>139109</v>
      </c>
      <c r="K318" s="399" t="s">
        <v>71</v>
      </c>
      <c r="L318" s="399" t="s">
        <v>34</v>
      </c>
      <c r="M318" s="399">
        <v>200</v>
      </c>
      <c r="N318" s="356">
        <v>593000</v>
      </c>
      <c r="O318" s="28" t="b">
        <f t="shared" si="14"/>
        <v>1</v>
      </c>
    </row>
    <row r="319" spans="2:15" s="28" customFormat="1" ht="16.5" customHeight="1">
      <c r="B319" s="20"/>
      <c r="C319" s="20"/>
      <c r="D319" s="254"/>
      <c r="E319" s="379">
        <v>139110</v>
      </c>
      <c r="F319" s="395" t="s">
        <v>342</v>
      </c>
      <c r="G319" s="396"/>
      <c r="H319" s="397"/>
      <c r="I319" s="383">
        <v>72300</v>
      </c>
      <c r="J319" s="398">
        <v>139110</v>
      </c>
      <c r="K319" s="399" t="s">
        <v>70</v>
      </c>
      <c r="L319" s="399" t="s">
        <v>34</v>
      </c>
      <c r="M319" s="399">
        <v>20</v>
      </c>
      <c r="N319" s="356">
        <v>72300</v>
      </c>
      <c r="O319" s="28" t="b">
        <f t="shared" si="14"/>
        <v>1</v>
      </c>
    </row>
    <row r="320" spans="2:15" s="28" customFormat="1" ht="16.5" customHeight="1">
      <c r="B320" s="20"/>
      <c r="C320" s="20"/>
      <c r="D320" s="254"/>
      <c r="E320" s="379">
        <v>139111</v>
      </c>
      <c r="F320" s="395" t="s">
        <v>608</v>
      </c>
      <c r="G320" s="396"/>
      <c r="H320" s="397"/>
      <c r="I320" s="383">
        <v>654000</v>
      </c>
      <c r="J320" s="398">
        <v>139111</v>
      </c>
      <c r="K320" s="399" t="s">
        <v>71</v>
      </c>
      <c r="L320" s="399" t="s">
        <v>34</v>
      </c>
      <c r="M320" s="399">
        <v>200</v>
      </c>
      <c r="N320" s="356">
        <v>654000</v>
      </c>
      <c r="O320" s="28" t="b">
        <f t="shared" si="14"/>
        <v>1</v>
      </c>
    </row>
    <row r="321" spans="2:15" s="28" customFormat="1" ht="16.5" customHeight="1">
      <c r="B321" s="20"/>
      <c r="C321" s="20"/>
      <c r="D321" s="254"/>
      <c r="E321" s="379">
        <v>139112</v>
      </c>
      <c r="F321" s="395" t="s">
        <v>343</v>
      </c>
      <c r="G321" s="396"/>
      <c r="H321" s="397"/>
      <c r="I321" s="383">
        <v>465000</v>
      </c>
      <c r="J321" s="398">
        <v>139112</v>
      </c>
      <c r="K321" s="399" t="s">
        <v>70</v>
      </c>
      <c r="L321" s="399" t="s">
        <v>34</v>
      </c>
      <c r="M321" s="399">
        <v>20</v>
      </c>
      <c r="N321" s="356">
        <v>465000</v>
      </c>
      <c r="O321" s="28" t="b">
        <f t="shared" si="14"/>
        <v>1</v>
      </c>
    </row>
    <row r="322" spans="2:15" s="28" customFormat="1" ht="16.5" customHeight="1">
      <c r="B322" s="20"/>
      <c r="C322" s="20"/>
      <c r="D322" s="254"/>
      <c r="E322" s="379">
        <v>139113</v>
      </c>
      <c r="F322" s="395" t="s">
        <v>344</v>
      </c>
      <c r="G322" s="396"/>
      <c r="H322" s="397"/>
      <c r="I322" s="383">
        <v>364000</v>
      </c>
      <c r="J322" s="398">
        <v>139113</v>
      </c>
      <c r="K322" s="399" t="s">
        <v>70</v>
      </c>
      <c r="L322" s="399" t="s">
        <v>34</v>
      </c>
      <c r="M322" s="399">
        <v>20</v>
      </c>
      <c r="N322" s="356">
        <v>364000</v>
      </c>
      <c r="O322" s="28" t="b">
        <f t="shared" si="14"/>
        <v>1</v>
      </c>
    </row>
    <row r="323" spans="2:15" s="28" customFormat="1" ht="16.5" customHeight="1">
      <c r="B323" s="20"/>
      <c r="C323" s="20"/>
      <c r="D323" s="254"/>
      <c r="E323" s="379">
        <v>139118</v>
      </c>
      <c r="F323" s="395" t="s">
        <v>609</v>
      </c>
      <c r="G323" s="396"/>
      <c r="H323" s="397"/>
      <c r="I323" s="383">
        <v>952000</v>
      </c>
      <c r="J323" s="398">
        <v>139118</v>
      </c>
      <c r="K323" s="399" t="s">
        <v>71</v>
      </c>
      <c r="L323" s="399" t="s">
        <v>34</v>
      </c>
      <c r="M323" s="399">
        <v>200</v>
      </c>
      <c r="N323" s="356">
        <v>952000</v>
      </c>
      <c r="O323" s="28" t="b">
        <f t="shared" si="14"/>
        <v>1</v>
      </c>
    </row>
    <row r="324" spans="2:15" s="28" customFormat="1" ht="16.5" customHeight="1">
      <c r="B324" s="20"/>
      <c r="C324" s="20"/>
      <c r="D324" s="254"/>
      <c r="E324" s="379">
        <v>139121</v>
      </c>
      <c r="F324" s="395" t="s">
        <v>610</v>
      </c>
      <c r="G324" s="396"/>
      <c r="H324" s="397"/>
      <c r="I324" s="383">
        <v>952000</v>
      </c>
      <c r="J324" s="398">
        <v>139121</v>
      </c>
      <c r="K324" s="399" t="s">
        <v>71</v>
      </c>
      <c r="L324" s="399" t="s">
        <v>34</v>
      </c>
      <c r="M324" s="399">
        <v>200</v>
      </c>
      <c r="N324" s="356">
        <v>952000</v>
      </c>
      <c r="O324" s="28" t="b">
        <f t="shared" si="14"/>
        <v>1</v>
      </c>
    </row>
    <row r="325" spans="2:15" s="28" customFormat="1" ht="16.5" customHeight="1">
      <c r="B325" s="20"/>
      <c r="C325" s="20"/>
      <c r="D325" s="254"/>
      <c r="E325" s="379">
        <v>139123</v>
      </c>
      <c r="F325" s="395" t="s">
        <v>611</v>
      </c>
      <c r="G325" s="396"/>
      <c r="H325" s="397"/>
      <c r="I325" s="383">
        <v>952000</v>
      </c>
      <c r="J325" s="398">
        <v>139123</v>
      </c>
      <c r="K325" s="399" t="s">
        <v>71</v>
      </c>
      <c r="L325" s="399" t="s">
        <v>34</v>
      </c>
      <c r="M325" s="399">
        <v>200</v>
      </c>
      <c r="N325" s="356">
        <v>952000</v>
      </c>
      <c r="O325" s="28" t="b">
        <f t="shared" si="14"/>
        <v>1</v>
      </c>
    </row>
    <row r="326" spans="2:15" s="28" customFormat="1" ht="16.5" customHeight="1">
      <c r="B326" s="20"/>
      <c r="C326" s="20"/>
      <c r="D326" s="254"/>
      <c r="E326" s="379">
        <v>139125</v>
      </c>
      <c r="F326" s="395" t="s">
        <v>612</v>
      </c>
      <c r="G326" s="396"/>
      <c r="H326" s="397"/>
      <c r="I326" s="383">
        <v>618000</v>
      </c>
      <c r="J326" s="398">
        <v>139125</v>
      </c>
      <c r="K326" s="399" t="s">
        <v>71</v>
      </c>
      <c r="L326" s="399" t="s">
        <v>34</v>
      </c>
      <c r="M326" s="399">
        <v>200</v>
      </c>
      <c r="N326" s="356">
        <v>618000</v>
      </c>
      <c r="O326" s="28" t="b">
        <f t="shared" si="14"/>
        <v>1</v>
      </c>
    </row>
    <row r="327" spans="2:15" s="28" customFormat="1" ht="16.5" customHeight="1">
      <c r="B327" s="20"/>
      <c r="C327" s="20"/>
      <c r="D327" s="254"/>
      <c r="E327" s="379">
        <v>139127</v>
      </c>
      <c r="F327" s="395" t="s">
        <v>244</v>
      </c>
      <c r="G327" s="396"/>
      <c r="H327" s="397"/>
      <c r="I327" s="383">
        <v>71000</v>
      </c>
      <c r="J327" s="398">
        <v>139127</v>
      </c>
      <c r="K327" s="399" t="s">
        <v>70</v>
      </c>
      <c r="L327" s="399" t="s">
        <v>34</v>
      </c>
      <c r="M327" s="399">
        <v>20</v>
      </c>
      <c r="N327" s="356">
        <v>71000</v>
      </c>
      <c r="O327" s="28" t="b">
        <f t="shared" si="14"/>
        <v>1</v>
      </c>
    </row>
    <row r="328" spans="2:15" s="28" customFormat="1" ht="16.5" customHeight="1">
      <c r="B328" s="20"/>
      <c r="C328" s="20"/>
      <c r="D328" s="254"/>
      <c r="E328" s="379">
        <v>139128</v>
      </c>
      <c r="F328" s="395" t="s">
        <v>613</v>
      </c>
      <c r="G328" s="396"/>
      <c r="H328" s="397"/>
      <c r="I328" s="383">
        <v>607000</v>
      </c>
      <c r="J328" s="398">
        <v>139128</v>
      </c>
      <c r="K328" s="399" t="s">
        <v>71</v>
      </c>
      <c r="L328" s="399" t="s">
        <v>34</v>
      </c>
      <c r="M328" s="399">
        <v>200</v>
      </c>
      <c r="N328" s="356">
        <v>607000</v>
      </c>
      <c r="O328" s="28" t="b">
        <f t="shared" si="14"/>
        <v>1</v>
      </c>
    </row>
    <row r="329" spans="2:15" s="28" customFormat="1" ht="16.5" customHeight="1">
      <c r="B329" s="20"/>
      <c r="C329" s="20"/>
      <c r="D329" s="254"/>
      <c r="E329" s="379">
        <v>139129</v>
      </c>
      <c r="F329" s="395" t="s">
        <v>245</v>
      </c>
      <c r="G329" s="396"/>
      <c r="H329" s="397"/>
      <c r="I329" s="383">
        <v>69800</v>
      </c>
      <c r="J329" s="398">
        <v>139129</v>
      </c>
      <c r="K329" s="399" t="s">
        <v>70</v>
      </c>
      <c r="L329" s="399" t="s">
        <v>34</v>
      </c>
      <c r="M329" s="399">
        <v>20</v>
      </c>
      <c r="N329" s="356">
        <v>69800</v>
      </c>
      <c r="O329" s="28" t="b">
        <f t="shared" si="14"/>
        <v>1</v>
      </c>
    </row>
    <row r="330" spans="2:15" s="28" customFormat="1" ht="16.5" customHeight="1">
      <c r="B330" s="20"/>
      <c r="C330" s="20"/>
      <c r="D330" s="254"/>
      <c r="E330" s="379">
        <v>139130</v>
      </c>
      <c r="F330" s="395" t="s">
        <v>614</v>
      </c>
      <c r="G330" s="396"/>
      <c r="H330" s="397"/>
      <c r="I330" s="383">
        <v>623000</v>
      </c>
      <c r="J330" s="398">
        <v>139130</v>
      </c>
      <c r="K330" s="399" t="s">
        <v>71</v>
      </c>
      <c r="L330" s="399" t="s">
        <v>34</v>
      </c>
      <c r="M330" s="399">
        <v>200</v>
      </c>
      <c r="N330" s="356">
        <v>623000</v>
      </c>
      <c r="O330" s="28" t="b">
        <f t="shared" si="14"/>
        <v>1</v>
      </c>
    </row>
    <row r="331" spans="2:15" s="28" customFormat="1" ht="16.5" customHeight="1">
      <c r="B331" s="20"/>
      <c r="C331" s="20"/>
      <c r="D331" s="254"/>
      <c r="E331" s="379">
        <v>139131</v>
      </c>
      <c r="F331" s="395" t="s">
        <v>237</v>
      </c>
      <c r="G331" s="396"/>
      <c r="H331" s="397"/>
      <c r="I331" s="383">
        <v>74600</v>
      </c>
      <c r="J331" s="398">
        <v>139131</v>
      </c>
      <c r="K331" s="399" t="s">
        <v>70</v>
      </c>
      <c r="L331" s="399" t="s">
        <v>34</v>
      </c>
      <c r="M331" s="399">
        <v>20</v>
      </c>
      <c r="N331" s="356">
        <v>74600</v>
      </c>
      <c r="O331" s="28" t="b">
        <f t="shared" si="14"/>
        <v>1</v>
      </c>
    </row>
    <row r="332" spans="2:15" s="28" customFormat="1" ht="16.5" customHeight="1">
      <c r="B332" s="20"/>
      <c r="C332" s="20"/>
      <c r="D332" s="254"/>
      <c r="E332" s="379">
        <v>139132</v>
      </c>
      <c r="F332" s="395" t="s">
        <v>615</v>
      </c>
      <c r="G332" s="396"/>
      <c r="H332" s="397"/>
      <c r="I332" s="383">
        <v>623000</v>
      </c>
      <c r="J332" s="398">
        <v>139132</v>
      </c>
      <c r="K332" s="399" t="s">
        <v>71</v>
      </c>
      <c r="L332" s="399" t="s">
        <v>34</v>
      </c>
      <c r="M332" s="399">
        <v>200</v>
      </c>
      <c r="N332" s="356">
        <v>623000</v>
      </c>
      <c r="O332" s="28" t="b">
        <f t="shared" si="14"/>
        <v>1</v>
      </c>
    </row>
    <row r="333" spans="2:15" s="28" customFormat="1" ht="16.5" customHeight="1">
      <c r="B333" s="20"/>
      <c r="C333" s="20"/>
      <c r="D333" s="254"/>
      <c r="E333" s="379">
        <v>139134</v>
      </c>
      <c r="F333" s="395" t="s">
        <v>227</v>
      </c>
      <c r="G333" s="396"/>
      <c r="H333" s="397"/>
      <c r="I333" s="383">
        <v>70900</v>
      </c>
      <c r="J333" s="398">
        <v>139134</v>
      </c>
      <c r="K333" s="399" t="s">
        <v>70</v>
      </c>
      <c r="L333" s="399" t="s">
        <v>34</v>
      </c>
      <c r="M333" s="399">
        <v>20</v>
      </c>
      <c r="N333" s="356">
        <v>70900</v>
      </c>
      <c r="O333" s="28" t="b">
        <f t="shared" si="14"/>
        <v>1</v>
      </c>
    </row>
    <row r="334" spans="2:15" s="28" customFormat="1" ht="16.5" customHeight="1">
      <c r="B334" s="20"/>
      <c r="C334" s="20"/>
      <c r="D334" s="254"/>
      <c r="E334" s="379">
        <v>139135</v>
      </c>
      <c r="F334" s="395" t="s">
        <v>616</v>
      </c>
      <c r="G334" s="396"/>
      <c r="H334" s="397"/>
      <c r="I334" s="383">
        <v>641000</v>
      </c>
      <c r="J334" s="398">
        <v>139135</v>
      </c>
      <c r="K334" s="399" t="s">
        <v>71</v>
      </c>
      <c r="L334" s="399" t="s">
        <v>34</v>
      </c>
      <c r="M334" s="399">
        <v>200</v>
      </c>
      <c r="N334" s="356">
        <v>641000</v>
      </c>
      <c r="O334" s="28" t="b">
        <f t="shared" si="14"/>
        <v>1</v>
      </c>
    </row>
    <row r="335" spans="2:15" s="28" customFormat="1" ht="16.5" customHeight="1">
      <c r="B335" s="20"/>
      <c r="C335" s="20"/>
      <c r="D335" s="254"/>
      <c r="E335" s="379">
        <v>139137</v>
      </c>
      <c r="F335" s="395" t="s">
        <v>246</v>
      </c>
      <c r="G335" s="396"/>
      <c r="H335" s="397"/>
      <c r="I335" s="383">
        <v>80900</v>
      </c>
      <c r="J335" s="398">
        <v>139137</v>
      </c>
      <c r="K335" s="399" t="s">
        <v>70</v>
      </c>
      <c r="L335" s="399" t="s">
        <v>34</v>
      </c>
      <c r="M335" s="399">
        <v>20</v>
      </c>
      <c r="N335" s="356">
        <v>80900</v>
      </c>
      <c r="O335" s="28" t="b">
        <f t="shared" si="14"/>
        <v>1</v>
      </c>
    </row>
    <row r="336" spans="2:15" s="28" customFormat="1" ht="16.5" customHeight="1">
      <c r="B336" s="20"/>
      <c r="C336" s="20"/>
      <c r="D336" s="254"/>
      <c r="E336" s="379">
        <v>139138</v>
      </c>
      <c r="F336" s="395" t="s">
        <v>617</v>
      </c>
      <c r="G336" s="396"/>
      <c r="H336" s="397"/>
      <c r="I336" s="383">
        <v>740000</v>
      </c>
      <c r="J336" s="398">
        <v>139138</v>
      </c>
      <c r="K336" s="399" t="s">
        <v>71</v>
      </c>
      <c r="L336" s="399" t="s">
        <v>34</v>
      </c>
      <c r="M336" s="399">
        <v>200</v>
      </c>
      <c r="N336" s="356">
        <v>740000</v>
      </c>
      <c r="O336" s="28" t="b">
        <f t="shared" si="14"/>
        <v>1</v>
      </c>
    </row>
    <row r="337" spans="2:15" s="28" customFormat="1" ht="16.5" customHeight="1">
      <c r="B337" s="20"/>
      <c r="C337" s="20"/>
      <c r="D337" s="254"/>
      <c r="E337" s="379">
        <v>139139</v>
      </c>
      <c r="F337" s="395" t="s">
        <v>247</v>
      </c>
      <c r="G337" s="396"/>
      <c r="H337" s="397"/>
      <c r="I337" s="383">
        <v>80900</v>
      </c>
      <c r="J337" s="398">
        <v>139139</v>
      </c>
      <c r="K337" s="399" t="s">
        <v>70</v>
      </c>
      <c r="L337" s="399" t="s">
        <v>34</v>
      </c>
      <c r="M337" s="399">
        <v>20</v>
      </c>
      <c r="N337" s="356">
        <v>80900</v>
      </c>
      <c r="O337" s="28" t="b">
        <f t="shared" si="14"/>
        <v>1</v>
      </c>
    </row>
    <row r="338" spans="2:15" s="28" customFormat="1" ht="16.5" customHeight="1">
      <c r="B338" s="20"/>
      <c r="C338" s="20"/>
      <c r="D338" s="254"/>
      <c r="E338" s="379">
        <v>139140</v>
      </c>
      <c r="F338" s="395" t="s">
        <v>618</v>
      </c>
      <c r="G338" s="396"/>
      <c r="H338" s="397"/>
      <c r="I338" s="383">
        <v>750000</v>
      </c>
      <c r="J338" s="398">
        <v>139140</v>
      </c>
      <c r="K338" s="399" t="s">
        <v>71</v>
      </c>
      <c r="L338" s="399" t="s">
        <v>34</v>
      </c>
      <c r="M338" s="399">
        <v>200</v>
      </c>
      <c r="N338" s="356">
        <v>750000</v>
      </c>
      <c r="O338" s="28" t="b">
        <f t="shared" si="14"/>
        <v>1</v>
      </c>
    </row>
    <row r="339" spans="2:15" s="28" customFormat="1" ht="16.5" customHeight="1">
      <c r="B339" s="20"/>
      <c r="C339" s="20"/>
      <c r="D339" s="254"/>
      <c r="E339" s="379">
        <v>139141</v>
      </c>
      <c r="F339" s="395" t="s">
        <v>345</v>
      </c>
      <c r="G339" s="396"/>
      <c r="H339" s="397"/>
      <c r="I339" s="383">
        <v>87100</v>
      </c>
      <c r="J339" s="398">
        <v>139141</v>
      </c>
      <c r="K339" s="399" t="s">
        <v>70</v>
      </c>
      <c r="L339" s="399" t="s">
        <v>34</v>
      </c>
      <c r="M339" s="399">
        <v>20</v>
      </c>
      <c r="N339" s="356">
        <v>87100</v>
      </c>
      <c r="O339" s="28" t="b">
        <f t="shared" ref="O339:O402" si="15">I339=N339</f>
        <v>1</v>
      </c>
    </row>
    <row r="340" spans="2:15" s="28" customFormat="1" ht="16.5" customHeight="1">
      <c r="B340" s="20"/>
      <c r="C340" s="20"/>
      <c r="D340" s="254"/>
      <c r="E340" s="379">
        <v>139142</v>
      </c>
      <c r="F340" s="395" t="s">
        <v>619</v>
      </c>
      <c r="G340" s="396"/>
      <c r="H340" s="397"/>
      <c r="I340" s="383">
        <v>423000</v>
      </c>
      <c r="J340" s="398">
        <v>139142</v>
      </c>
      <c r="K340" s="399" t="s">
        <v>71</v>
      </c>
      <c r="L340" s="399" t="s">
        <v>34</v>
      </c>
      <c r="M340" s="399">
        <v>200</v>
      </c>
      <c r="N340" s="356">
        <v>423000</v>
      </c>
      <c r="O340" s="28" t="b">
        <f t="shared" si="15"/>
        <v>1</v>
      </c>
    </row>
    <row r="341" spans="2:15" s="28" customFormat="1" ht="16.5" customHeight="1">
      <c r="B341" s="20"/>
      <c r="C341" s="20"/>
      <c r="D341" s="254"/>
      <c r="E341" s="379">
        <v>139143</v>
      </c>
      <c r="F341" s="395" t="s">
        <v>248</v>
      </c>
      <c r="G341" s="396"/>
      <c r="H341" s="397"/>
      <c r="I341" s="383">
        <v>44000</v>
      </c>
      <c r="J341" s="398">
        <v>139143</v>
      </c>
      <c r="K341" s="399" t="s">
        <v>70</v>
      </c>
      <c r="L341" s="399" t="s">
        <v>34</v>
      </c>
      <c r="M341" s="399">
        <v>20</v>
      </c>
      <c r="N341" s="356">
        <v>44000</v>
      </c>
      <c r="O341" s="28" t="b">
        <f t="shared" si="15"/>
        <v>1</v>
      </c>
    </row>
    <row r="342" spans="2:15" s="28" customFormat="1" ht="16.5" customHeight="1">
      <c r="B342" s="20"/>
      <c r="C342" s="20"/>
      <c r="D342" s="254"/>
      <c r="E342" s="379">
        <v>139144</v>
      </c>
      <c r="F342" s="395" t="s">
        <v>620</v>
      </c>
      <c r="G342" s="396"/>
      <c r="H342" s="397"/>
      <c r="I342" s="383">
        <v>423000</v>
      </c>
      <c r="J342" s="398">
        <v>139144</v>
      </c>
      <c r="K342" s="399" t="s">
        <v>71</v>
      </c>
      <c r="L342" s="399" t="s">
        <v>34</v>
      </c>
      <c r="M342" s="399">
        <v>200</v>
      </c>
      <c r="N342" s="356">
        <v>423000</v>
      </c>
      <c r="O342" s="28" t="b">
        <f t="shared" si="15"/>
        <v>1</v>
      </c>
    </row>
    <row r="343" spans="2:15" s="28" customFormat="1" ht="16.5" customHeight="1">
      <c r="B343" s="20"/>
      <c r="C343" s="20"/>
      <c r="D343" s="254"/>
      <c r="E343" s="379">
        <v>139145</v>
      </c>
      <c r="F343" s="395" t="s">
        <v>228</v>
      </c>
      <c r="G343" s="396"/>
      <c r="H343" s="397"/>
      <c r="I343" s="383">
        <v>44000</v>
      </c>
      <c r="J343" s="398">
        <v>139145</v>
      </c>
      <c r="K343" s="399" t="s">
        <v>70</v>
      </c>
      <c r="L343" s="399" t="s">
        <v>34</v>
      </c>
      <c r="M343" s="399">
        <v>20</v>
      </c>
      <c r="N343" s="356">
        <v>44000</v>
      </c>
      <c r="O343" s="28" t="b">
        <f t="shared" si="15"/>
        <v>1</v>
      </c>
    </row>
    <row r="344" spans="2:15" s="28" customFormat="1" ht="16.5" customHeight="1">
      <c r="B344" s="20"/>
      <c r="C344" s="20"/>
      <c r="D344" s="254"/>
      <c r="E344" s="379">
        <v>139146</v>
      </c>
      <c r="F344" s="395" t="s">
        <v>621</v>
      </c>
      <c r="G344" s="396"/>
      <c r="H344" s="397"/>
      <c r="I344" s="383">
        <v>455000</v>
      </c>
      <c r="J344" s="398">
        <v>139146</v>
      </c>
      <c r="K344" s="399" t="s">
        <v>71</v>
      </c>
      <c r="L344" s="399" t="s">
        <v>34</v>
      </c>
      <c r="M344" s="399">
        <v>200</v>
      </c>
      <c r="N344" s="356">
        <v>455000</v>
      </c>
      <c r="O344" s="28" t="b">
        <f t="shared" si="15"/>
        <v>1</v>
      </c>
    </row>
    <row r="345" spans="2:15" s="28" customFormat="1" ht="16.5" customHeight="1">
      <c r="B345" s="20"/>
      <c r="C345" s="20"/>
      <c r="D345" s="254"/>
      <c r="E345" s="379">
        <v>139147</v>
      </c>
      <c r="F345" s="395" t="s">
        <v>622</v>
      </c>
      <c r="G345" s="396"/>
      <c r="H345" s="397"/>
      <c r="I345" s="383">
        <v>475000</v>
      </c>
      <c r="J345" s="398">
        <v>139147</v>
      </c>
      <c r="K345" s="399" t="s">
        <v>71</v>
      </c>
      <c r="L345" s="399" t="s">
        <v>34</v>
      </c>
      <c r="M345" s="399">
        <v>200</v>
      </c>
      <c r="N345" s="356">
        <v>475000</v>
      </c>
      <c r="O345" s="28" t="b">
        <f t="shared" si="15"/>
        <v>1</v>
      </c>
    </row>
    <row r="346" spans="2:15" s="28" customFormat="1" ht="16.5" customHeight="1">
      <c r="B346" s="20"/>
      <c r="C346" s="20"/>
      <c r="D346" s="254"/>
      <c r="E346" s="379">
        <v>139148</v>
      </c>
      <c r="F346" s="395" t="s">
        <v>346</v>
      </c>
      <c r="G346" s="396"/>
      <c r="H346" s="397"/>
      <c r="I346" s="383">
        <v>50600</v>
      </c>
      <c r="J346" s="398">
        <v>139148</v>
      </c>
      <c r="K346" s="399" t="s">
        <v>70</v>
      </c>
      <c r="L346" s="399" t="s">
        <v>34</v>
      </c>
      <c r="M346" s="399">
        <v>20</v>
      </c>
      <c r="N346" s="356">
        <v>50600</v>
      </c>
      <c r="O346" s="28" t="b">
        <f t="shared" si="15"/>
        <v>1</v>
      </c>
    </row>
    <row r="347" spans="2:15" s="28" customFormat="1" ht="16.5" customHeight="1">
      <c r="B347" s="20"/>
      <c r="C347" s="20"/>
      <c r="D347" s="254"/>
      <c r="E347" s="379">
        <v>139149</v>
      </c>
      <c r="F347" s="395" t="s">
        <v>623</v>
      </c>
      <c r="G347" s="396"/>
      <c r="H347" s="397"/>
      <c r="I347" s="383">
        <v>539000</v>
      </c>
      <c r="J347" s="398">
        <v>139149</v>
      </c>
      <c r="K347" s="399" t="s">
        <v>71</v>
      </c>
      <c r="L347" s="399" t="s">
        <v>34</v>
      </c>
      <c r="M347" s="399">
        <v>200</v>
      </c>
      <c r="N347" s="356">
        <v>539000</v>
      </c>
      <c r="O347" s="28" t="b">
        <f t="shared" si="15"/>
        <v>1</v>
      </c>
    </row>
    <row r="348" spans="2:15" s="28" customFormat="1" ht="16.5" customHeight="1">
      <c r="B348" s="20"/>
      <c r="C348" s="20"/>
      <c r="D348" s="254"/>
      <c r="E348" s="379">
        <v>139150</v>
      </c>
      <c r="F348" s="395" t="s">
        <v>249</v>
      </c>
      <c r="G348" s="396"/>
      <c r="H348" s="397"/>
      <c r="I348" s="383">
        <v>56700</v>
      </c>
      <c r="J348" s="398">
        <v>139150</v>
      </c>
      <c r="K348" s="399" t="s">
        <v>70</v>
      </c>
      <c r="L348" s="399" t="s">
        <v>34</v>
      </c>
      <c r="M348" s="399">
        <v>20</v>
      </c>
      <c r="N348" s="356">
        <v>56700</v>
      </c>
      <c r="O348" s="28" t="b">
        <f t="shared" si="15"/>
        <v>1</v>
      </c>
    </row>
    <row r="349" spans="2:15" s="28" customFormat="1" ht="16.5" customHeight="1">
      <c r="B349" s="20"/>
      <c r="C349" s="20"/>
      <c r="D349" s="254"/>
      <c r="E349" s="379">
        <v>139151</v>
      </c>
      <c r="F349" s="395" t="s">
        <v>624</v>
      </c>
      <c r="G349" s="396"/>
      <c r="H349" s="397"/>
      <c r="I349" s="383">
        <v>539000</v>
      </c>
      <c r="J349" s="398">
        <v>139151</v>
      </c>
      <c r="K349" s="399" t="s">
        <v>71</v>
      </c>
      <c r="L349" s="399" t="s">
        <v>34</v>
      </c>
      <c r="M349" s="399">
        <v>200</v>
      </c>
      <c r="N349" s="356">
        <v>539000</v>
      </c>
      <c r="O349" s="28" t="b">
        <f t="shared" si="15"/>
        <v>1</v>
      </c>
    </row>
    <row r="350" spans="2:15" s="28" customFormat="1" ht="16.5" customHeight="1">
      <c r="B350" s="20"/>
      <c r="C350" s="20"/>
      <c r="D350" s="254"/>
      <c r="E350" s="379">
        <v>139152</v>
      </c>
      <c r="F350" s="395" t="s">
        <v>250</v>
      </c>
      <c r="G350" s="396"/>
      <c r="H350" s="397"/>
      <c r="I350" s="383">
        <v>56700</v>
      </c>
      <c r="J350" s="398">
        <v>139152</v>
      </c>
      <c r="K350" s="399" t="s">
        <v>70</v>
      </c>
      <c r="L350" s="399" t="s">
        <v>34</v>
      </c>
      <c r="M350" s="399">
        <v>20</v>
      </c>
      <c r="N350" s="356">
        <v>56700</v>
      </c>
      <c r="O350" s="28" t="b">
        <f t="shared" si="15"/>
        <v>1</v>
      </c>
    </row>
    <row r="351" spans="2:15" s="28" customFormat="1" ht="16.5" customHeight="1">
      <c r="B351" s="20"/>
      <c r="C351" s="20"/>
      <c r="D351" s="254"/>
      <c r="E351" s="379">
        <v>139153</v>
      </c>
      <c r="F351" s="395" t="s">
        <v>625</v>
      </c>
      <c r="G351" s="396"/>
      <c r="H351" s="397"/>
      <c r="I351" s="383">
        <v>580000</v>
      </c>
      <c r="J351" s="398">
        <v>139153</v>
      </c>
      <c r="K351" s="399" t="s">
        <v>71</v>
      </c>
      <c r="L351" s="399" t="s">
        <v>34</v>
      </c>
      <c r="M351" s="399">
        <v>200</v>
      </c>
      <c r="N351" s="356">
        <v>580000</v>
      </c>
      <c r="O351" s="28" t="b">
        <f t="shared" si="15"/>
        <v>1</v>
      </c>
    </row>
    <row r="352" spans="2:15" s="28" customFormat="1" ht="16.5" customHeight="1">
      <c r="B352" s="20"/>
      <c r="C352" s="20"/>
      <c r="D352" s="254"/>
      <c r="E352" s="379">
        <v>139154</v>
      </c>
      <c r="F352" s="395" t="s">
        <v>251</v>
      </c>
      <c r="G352" s="396"/>
      <c r="H352" s="397"/>
      <c r="I352" s="383">
        <v>60600</v>
      </c>
      <c r="J352" s="398">
        <v>139154</v>
      </c>
      <c r="K352" s="399" t="s">
        <v>70</v>
      </c>
      <c r="L352" s="399" t="s">
        <v>34</v>
      </c>
      <c r="M352" s="399">
        <v>20</v>
      </c>
      <c r="N352" s="356">
        <v>60600</v>
      </c>
      <c r="O352" s="28" t="b">
        <f t="shared" si="15"/>
        <v>1</v>
      </c>
    </row>
    <row r="353" spans="2:15" s="28" customFormat="1" ht="16.5" customHeight="1">
      <c r="B353" s="20"/>
      <c r="C353" s="20"/>
      <c r="D353" s="254"/>
      <c r="E353" s="379">
        <v>139155</v>
      </c>
      <c r="F353" s="395" t="s">
        <v>626</v>
      </c>
      <c r="G353" s="396"/>
      <c r="H353" s="397"/>
      <c r="I353" s="383">
        <v>610000</v>
      </c>
      <c r="J353" s="398">
        <v>139155</v>
      </c>
      <c r="K353" s="399" t="s">
        <v>71</v>
      </c>
      <c r="L353" s="399" t="s">
        <v>34</v>
      </c>
      <c r="M353" s="399">
        <v>200</v>
      </c>
      <c r="N353" s="356">
        <v>610000</v>
      </c>
      <c r="O353" s="28" t="b">
        <f t="shared" si="15"/>
        <v>1</v>
      </c>
    </row>
    <row r="354" spans="2:15" s="28" customFormat="1" ht="16.5" customHeight="1">
      <c r="B354" s="20"/>
      <c r="C354" s="20"/>
      <c r="D354" s="254"/>
      <c r="E354" s="379">
        <v>139156</v>
      </c>
      <c r="F354" s="395" t="s">
        <v>252</v>
      </c>
      <c r="G354" s="396"/>
      <c r="H354" s="397"/>
      <c r="I354" s="383">
        <v>64600</v>
      </c>
      <c r="J354" s="398">
        <v>139156</v>
      </c>
      <c r="K354" s="399" t="s">
        <v>70</v>
      </c>
      <c r="L354" s="399" t="s">
        <v>34</v>
      </c>
      <c r="M354" s="399">
        <v>20</v>
      </c>
      <c r="N354" s="356">
        <v>64600</v>
      </c>
      <c r="O354" s="28" t="b">
        <f t="shared" si="15"/>
        <v>1</v>
      </c>
    </row>
    <row r="355" spans="2:15" s="28" customFormat="1" ht="16.5" customHeight="1">
      <c r="B355" s="20"/>
      <c r="C355" s="20"/>
      <c r="D355" s="254"/>
      <c r="E355" s="379">
        <v>139158</v>
      </c>
      <c r="F355" s="395" t="s">
        <v>627</v>
      </c>
      <c r="G355" s="396"/>
      <c r="H355" s="397"/>
      <c r="I355" s="383">
        <v>636000</v>
      </c>
      <c r="J355" s="398">
        <v>139158</v>
      </c>
      <c r="K355" s="399" t="s">
        <v>71</v>
      </c>
      <c r="L355" s="399" t="s">
        <v>34</v>
      </c>
      <c r="M355" s="399">
        <v>200</v>
      </c>
      <c r="N355" s="356">
        <v>636000</v>
      </c>
      <c r="O355" s="28" t="b">
        <f t="shared" si="15"/>
        <v>1</v>
      </c>
    </row>
    <row r="356" spans="2:15" s="28" customFormat="1" ht="16.5" customHeight="1">
      <c r="B356" s="20"/>
      <c r="C356" s="20"/>
      <c r="D356" s="254"/>
      <c r="E356" s="379">
        <v>139160</v>
      </c>
      <c r="F356" s="395" t="s">
        <v>628</v>
      </c>
      <c r="G356" s="396"/>
      <c r="H356" s="397"/>
      <c r="I356" s="383">
        <v>683000</v>
      </c>
      <c r="J356" s="398">
        <v>139160</v>
      </c>
      <c r="K356" s="399" t="s">
        <v>71</v>
      </c>
      <c r="L356" s="399" t="s">
        <v>34</v>
      </c>
      <c r="M356" s="399">
        <v>200</v>
      </c>
      <c r="N356" s="356">
        <v>683000</v>
      </c>
      <c r="O356" s="28" t="b">
        <f t="shared" si="15"/>
        <v>1</v>
      </c>
    </row>
    <row r="357" spans="2:15" s="28" customFormat="1" ht="16.5" customHeight="1">
      <c r="B357" s="20"/>
      <c r="C357" s="20"/>
      <c r="D357" s="254"/>
      <c r="E357" s="379">
        <v>139161</v>
      </c>
      <c r="F357" s="395" t="s">
        <v>347</v>
      </c>
      <c r="G357" s="396"/>
      <c r="H357" s="397"/>
      <c r="I357" s="383">
        <v>80500</v>
      </c>
      <c r="J357" s="398">
        <v>139161</v>
      </c>
      <c r="K357" s="399" t="s">
        <v>70</v>
      </c>
      <c r="L357" s="399" t="s">
        <v>34</v>
      </c>
      <c r="M357" s="399">
        <v>20</v>
      </c>
      <c r="N357" s="356">
        <v>80500</v>
      </c>
      <c r="O357" s="28" t="b">
        <f t="shared" si="15"/>
        <v>1</v>
      </c>
    </row>
    <row r="358" spans="2:15" s="28" customFormat="1" ht="16.5" customHeight="1">
      <c r="B358" s="20"/>
      <c r="C358" s="20"/>
      <c r="D358" s="254"/>
      <c r="E358" s="379">
        <v>139163</v>
      </c>
      <c r="F358" s="395" t="s">
        <v>629</v>
      </c>
      <c r="G358" s="396"/>
      <c r="H358" s="397"/>
      <c r="I358" s="383">
        <v>763000</v>
      </c>
      <c r="J358" s="398">
        <v>139163</v>
      </c>
      <c r="K358" s="399" t="s">
        <v>71</v>
      </c>
      <c r="L358" s="399" t="s">
        <v>34</v>
      </c>
      <c r="M358" s="399">
        <v>200</v>
      </c>
      <c r="N358" s="356">
        <v>763000</v>
      </c>
      <c r="O358" s="28" t="b">
        <f t="shared" si="15"/>
        <v>1</v>
      </c>
    </row>
    <row r="359" spans="2:15" s="28" customFormat="1" ht="16.5" customHeight="1">
      <c r="B359" s="20"/>
      <c r="C359" s="20"/>
      <c r="D359" s="254"/>
      <c r="E359" s="379">
        <v>139164</v>
      </c>
      <c r="F359" s="395" t="s">
        <v>348</v>
      </c>
      <c r="G359" s="396"/>
      <c r="H359" s="397"/>
      <c r="I359" s="383">
        <v>80500</v>
      </c>
      <c r="J359" s="398">
        <v>139164</v>
      </c>
      <c r="K359" s="399" t="s">
        <v>70</v>
      </c>
      <c r="L359" s="399" t="s">
        <v>34</v>
      </c>
      <c r="M359" s="399">
        <v>20</v>
      </c>
      <c r="N359" s="356">
        <v>80500</v>
      </c>
      <c r="O359" s="28" t="b">
        <f t="shared" si="15"/>
        <v>1</v>
      </c>
    </row>
    <row r="360" spans="2:15" s="28" customFormat="1" ht="16.5" customHeight="1">
      <c r="B360" s="20"/>
      <c r="C360" s="20"/>
      <c r="D360" s="254"/>
      <c r="E360" s="379">
        <v>139167</v>
      </c>
      <c r="F360" s="395" t="s">
        <v>630</v>
      </c>
      <c r="G360" s="396"/>
      <c r="H360" s="397"/>
      <c r="I360" s="383">
        <v>499000</v>
      </c>
      <c r="J360" s="398">
        <v>139167</v>
      </c>
      <c r="K360" s="399" t="s">
        <v>71</v>
      </c>
      <c r="L360" s="399" t="s">
        <v>34</v>
      </c>
      <c r="M360" s="399">
        <v>200</v>
      </c>
      <c r="N360" s="356">
        <v>499000</v>
      </c>
      <c r="O360" s="28" t="b">
        <f t="shared" si="15"/>
        <v>1</v>
      </c>
    </row>
    <row r="361" spans="2:15" s="28" customFormat="1" ht="16.5" customHeight="1">
      <c r="B361" s="20"/>
      <c r="C361" s="20"/>
      <c r="D361" s="254"/>
      <c r="E361" s="379">
        <v>140145</v>
      </c>
      <c r="F361" s="395" t="s">
        <v>46</v>
      </c>
      <c r="G361" s="396"/>
      <c r="H361" s="397"/>
      <c r="I361" s="383">
        <v>183000</v>
      </c>
      <c r="J361" s="398">
        <v>140145</v>
      </c>
      <c r="K361" s="399" t="s">
        <v>70</v>
      </c>
      <c r="L361" s="399" t="s">
        <v>34</v>
      </c>
      <c r="M361" s="399">
        <v>16</v>
      </c>
      <c r="N361" s="356">
        <v>183000</v>
      </c>
      <c r="O361" s="28" t="b">
        <f t="shared" si="15"/>
        <v>1</v>
      </c>
    </row>
    <row r="362" spans="2:15" s="28" customFormat="1" ht="16.5" customHeight="1">
      <c r="B362" s="20"/>
      <c r="C362" s="20"/>
      <c r="D362" s="254"/>
      <c r="E362" s="379">
        <v>139600</v>
      </c>
      <c r="F362" s="395" t="s">
        <v>767</v>
      </c>
      <c r="G362" s="396"/>
      <c r="H362" s="397"/>
      <c r="I362" s="383">
        <v>482000</v>
      </c>
      <c r="J362" s="398">
        <v>139600</v>
      </c>
      <c r="K362" s="399" t="s">
        <v>70</v>
      </c>
      <c r="L362" s="399" t="s">
        <v>34</v>
      </c>
      <c r="M362" s="399">
        <v>20</v>
      </c>
      <c r="N362" s="356">
        <v>482000</v>
      </c>
      <c r="O362" s="28" t="b">
        <f t="shared" si="15"/>
        <v>1</v>
      </c>
    </row>
    <row r="363" spans="2:15" s="28" customFormat="1" ht="16.5" customHeight="1">
      <c r="B363" s="20"/>
      <c r="C363" s="20"/>
      <c r="D363" s="254"/>
      <c r="E363" s="379">
        <v>139639</v>
      </c>
      <c r="F363" s="395" t="s">
        <v>353</v>
      </c>
      <c r="G363" s="396"/>
      <c r="H363" s="397"/>
      <c r="I363" s="383">
        <v>94100</v>
      </c>
      <c r="J363" s="398">
        <v>139639</v>
      </c>
      <c r="K363" s="399" t="s">
        <v>70</v>
      </c>
      <c r="L363" s="399" t="s">
        <v>34</v>
      </c>
      <c r="M363" s="399">
        <v>20</v>
      </c>
      <c r="N363" s="356">
        <v>94100</v>
      </c>
      <c r="O363" s="28" t="b">
        <f t="shared" si="15"/>
        <v>1</v>
      </c>
    </row>
    <row r="364" spans="2:15" s="28" customFormat="1" ht="16.5" customHeight="1">
      <c r="B364" s="20"/>
      <c r="C364" s="20"/>
      <c r="D364" s="254"/>
      <c r="E364" s="379">
        <v>139643</v>
      </c>
      <c r="F364" s="395" t="s">
        <v>354</v>
      </c>
      <c r="G364" s="396"/>
      <c r="H364" s="397"/>
      <c r="I364" s="383">
        <v>79200</v>
      </c>
      <c r="J364" s="398">
        <v>139643</v>
      </c>
      <c r="K364" s="399" t="s">
        <v>70</v>
      </c>
      <c r="L364" s="399" t="s">
        <v>34</v>
      </c>
      <c r="M364" s="399">
        <v>20</v>
      </c>
      <c r="N364" s="356">
        <v>79200</v>
      </c>
      <c r="O364" s="28" t="b">
        <f t="shared" si="15"/>
        <v>1</v>
      </c>
    </row>
    <row r="365" spans="2:15" s="28" customFormat="1" ht="16.5" customHeight="1">
      <c r="B365" s="20"/>
      <c r="C365" s="20"/>
      <c r="D365" s="254"/>
      <c r="E365" s="379">
        <v>148679</v>
      </c>
      <c r="F365" s="395" t="s">
        <v>421</v>
      </c>
      <c r="G365" s="396"/>
      <c r="H365" s="397"/>
      <c r="I365" s="383">
        <v>645000</v>
      </c>
      <c r="J365" s="398">
        <v>148679</v>
      </c>
      <c r="K365" s="399" t="s">
        <v>71</v>
      </c>
      <c r="L365" s="399" t="s">
        <v>34</v>
      </c>
      <c r="M365" s="399">
        <v>208</v>
      </c>
      <c r="N365" s="356">
        <v>645000</v>
      </c>
      <c r="O365" s="28" t="b">
        <f t="shared" si="15"/>
        <v>1</v>
      </c>
    </row>
    <row r="366" spans="2:15" s="28" customFormat="1" ht="16.5" customHeight="1">
      <c r="B366" s="20"/>
      <c r="C366" s="20"/>
      <c r="D366" s="254"/>
      <c r="E366" s="379">
        <v>141825</v>
      </c>
      <c r="F366" s="395" t="s">
        <v>641</v>
      </c>
      <c r="G366" s="396"/>
      <c r="H366" s="397"/>
      <c r="I366" s="383">
        <v>2660000</v>
      </c>
      <c r="J366" s="398">
        <v>141825</v>
      </c>
      <c r="K366" s="399" t="s">
        <v>71</v>
      </c>
      <c r="L366" s="399" t="s">
        <v>34</v>
      </c>
      <c r="M366" s="399">
        <v>208</v>
      </c>
      <c r="N366" s="356">
        <v>2660000</v>
      </c>
      <c r="O366" s="28" t="b">
        <f t="shared" si="15"/>
        <v>1</v>
      </c>
    </row>
    <row r="367" spans="2:15" s="28" customFormat="1" ht="16.5" customHeight="1">
      <c r="B367" s="20"/>
      <c r="C367" s="20"/>
      <c r="D367" s="254"/>
      <c r="E367" s="379">
        <v>139819</v>
      </c>
      <c r="F367" s="395" t="s">
        <v>642</v>
      </c>
      <c r="G367" s="396"/>
      <c r="H367" s="397"/>
      <c r="I367" s="383">
        <v>2692000</v>
      </c>
      <c r="J367" s="398">
        <v>139819</v>
      </c>
      <c r="K367" s="399" t="s">
        <v>71</v>
      </c>
      <c r="L367" s="399" t="s">
        <v>34</v>
      </c>
      <c r="M367" s="399">
        <v>208</v>
      </c>
      <c r="N367" s="356">
        <v>2692000</v>
      </c>
      <c r="O367" s="28" t="b">
        <f t="shared" si="15"/>
        <v>1</v>
      </c>
    </row>
    <row r="368" spans="2:15" s="28" customFormat="1" ht="16.5" customHeight="1">
      <c r="B368" s="20"/>
      <c r="C368" s="20"/>
      <c r="D368" s="254"/>
      <c r="E368" s="379">
        <v>139821</v>
      </c>
      <c r="F368" s="395" t="s">
        <v>643</v>
      </c>
      <c r="G368" s="396"/>
      <c r="H368" s="397"/>
      <c r="I368" s="383">
        <v>3429000</v>
      </c>
      <c r="J368" s="398">
        <v>139821</v>
      </c>
      <c r="K368" s="399" t="s">
        <v>71</v>
      </c>
      <c r="L368" s="399" t="s">
        <v>34</v>
      </c>
      <c r="M368" s="399">
        <v>208</v>
      </c>
      <c r="N368" s="356">
        <v>3429000</v>
      </c>
      <c r="O368" s="28" t="b">
        <f t="shared" si="15"/>
        <v>1</v>
      </c>
    </row>
    <row r="369" spans="2:15" s="28" customFormat="1" ht="16.5" customHeight="1">
      <c r="B369" s="20"/>
      <c r="C369" s="20"/>
      <c r="D369" s="254"/>
      <c r="E369" s="379">
        <v>143919</v>
      </c>
      <c r="F369" s="395" t="s">
        <v>863</v>
      </c>
      <c r="G369" s="396"/>
      <c r="H369" s="397"/>
      <c r="I369" s="383">
        <v>64000</v>
      </c>
      <c r="J369" s="398">
        <v>143919</v>
      </c>
      <c r="K369" s="399" t="s">
        <v>73</v>
      </c>
      <c r="L369" s="399" t="s">
        <v>34</v>
      </c>
      <c r="M369" s="399">
        <v>4.68</v>
      </c>
      <c r="N369" s="356">
        <v>64000</v>
      </c>
      <c r="O369" s="28" t="b">
        <f t="shared" si="15"/>
        <v>1</v>
      </c>
    </row>
    <row r="370" spans="2:15" s="28" customFormat="1" ht="16.5" customHeight="1">
      <c r="B370" s="20"/>
      <c r="C370" s="20"/>
      <c r="D370" s="254"/>
      <c r="E370" s="379">
        <v>141840</v>
      </c>
      <c r="F370" s="395" t="s">
        <v>358</v>
      </c>
      <c r="G370" s="396"/>
      <c r="H370" s="397"/>
      <c r="I370" s="383">
        <v>270000</v>
      </c>
      <c r="J370" s="398">
        <v>141840</v>
      </c>
      <c r="K370" s="399" t="s">
        <v>70</v>
      </c>
      <c r="L370" s="399" t="s">
        <v>34</v>
      </c>
      <c r="M370" s="399">
        <v>20</v>
      </c>
      <c r="N370" s="356">
        <v>270000</v>
      </c>
      <c r="O370" s="28" t="b">
        <f t="shared" si="15"/>
        <v>1</v>
      </c>
    </row>
    <row r="371" spans="2:15" s="28" customFormat="1" ht="16.5" customHeight="1">
      <c r="B371" s="20"/>
      <c r="C371" s="20"/>
      <c r="D371" s="254"/>
      <c r="E371" s="379">
        <v>139962</v>
      </c>
      <c r="F371" s="395" t="s">
        <v>359</v>
      </c>
      <c r="G371" s="396"/>
      <c r="H371" s="397"/>
      <c r="I371" s="383">
        <v>255000</v>
      </c>
      <c r="J371" s="398">
        <v>139962</v>
      </c>
      <c r="K371" s="399" t="s">
        <v>70</v>
      </c>
      <c r="L371" s="399" t="s">
        <v>34</v>
      </c>
      <c r="M371" s="399">
        <v>20</v>
      </c>
      <c r="N371" s="356">
        <v>255000</v>
      </c>
      <c r="O371" s="28" t="b">
        <f t="shared" si="15"/>
        <v>1</v>
      </c>
    </row>
    <row r="372" spans="2:15" s="28" customFormat="1" ht="16.5" customHeight="1">
      <c r="B372" s="20"/>
      <c r="C372" s="20"/>
      <c r="D372" s="254"/>
      <c r="E372" s="379">
        <v>139963</v>
      </c>
      <c r="F372" s="395" t="s">
        <v>360</v>
      </c>
      <c r="G372" s="396"/>
      <c r="H372" s="397"/>
      <c r="I372" s="383">
        <v>271000</v>
      </c>
      <c r="J372" s="398">
        <v>139963</v>
      </c>
      <c r="K372" s="399" t="s">
        <v>70</v>
      </c>
      <c r="L372" s="399" t="s">
        <v>34</v>
      </c>
      <c r="M372" s="399">
        <v>20</v>
      </c>
      <c r="N372" s="356">
        <v>271000</v>
      </c>
      <c r="O372" s="28" t="b">
        <f t="shared" si="15"/>
        <v>1</v>
      </c>
    </row>
    <row r="373" spans="2:15" s="28" customFormat="1" ht="16.5" customHeight="1">
      <c r="B373" s="20"/>
      <c r="C373" s="20"/>
      <c r="D373" s="254"/>
      <c r="E373" s="379">
        <v>140058</v>
      </c>
      <c r="F373" s="395" t="s">
        <v>645</v>
      </c>
      <c r="G373" s="396"/>
      <c r="H373" s="397"/>
      <c r="I373" s="383">
        <v>520000</v>
      </c>
      <c r="J373" s="398">
        <v>140058</v>
      </c>
      <c r="K373" s="399" t="s">
        <v>71</v>
      </c>
      <c r="L373" s="399" t="s">
        <v>34</v>
      </c>
      <c r="M373" s="399">
        <v>200</v>
      </c>
      <c r="N373" s="356">
        <v>520000</v>
      </c>
      <c r="O373" s="28" t="b">
        <f t="shared" si="15"/>
        <v>1</v>
      </c>
    </row>
    <row r="374" spans="2:15" s="28" customFormat="1" ht="16.5" customHeight="1">
      <c r="B374" s="20"/>
      <c r="C374" s="20"/>
      <c r="D374" s="254"/>
      <c r="E374" s="379">
        <v>140059</v>
      </c>
      <c r="F374" s="395" t="s">
        <v>361</v>
      </c>
      <c r="G374" s="396"/>
      <c r="H374" s="397"/>
      <c r="I374" s="383">
        <v>54000</v>
      </c>
      <c r="J374" s="398">
        <v>140059</v>
      </c>
      <c r="K374" s="399" t="s">
        <v>70</v>
      </c>
      <c r="L374" s="399" t="s">
        <v>34</v>
      </c>
      <c r="M374" s="399">
        <v>20</v>
      </c>
      <c r="N374" s="356">
        <v>54000</v>
      </c>
      <c r="O374" s="28" t="b">
        <f t="shared" si="15"/>
        <v>1</v>
      </c>
    </row>
    <row r="375" spans="2:15" s="28" customFormat="1" ht="16.5" customHeight="1">
      <c r="B375" s="20"/>
      <c r="C375" s="20"/>
      <c r="D375" s="254"/>
      <c r="E375" s="379">
        <v>140107</v>
      </c>
      <c r="F375" s="395" t="s">
        <v>646</v>
      </c>
      <c r="G375" s="396"/>
      <c r="H375" s="397"/>
      <c r="I375" s="383">
        <v>3193000</v>
      </c>
      <c r="J375" s="398">
        <v>140107</v>
      </c>
      <c r="K375" s="399" t="s">
        <v>71</v>
      </c>
      <c r="L375" s="399" t="s">
        <v>34</v>
      </c>
      <c r="M375" s="399">
        <v>193.8</v>
      </c>
      <c r="N375" s="356">
        <v>3193000</v>
      </c>
      <c r="O375" s="28" t="b">
        <f t="shared" si="15"/>
        <v>1</v>
      </c>
    </row>
    <row r="376" spans="2:15" s="28" customFormat="1" ht="16.5" customHeight="1">
      <c r="B376" s="20"/>
      <c r="C376" s="20"/>
      <c r="D376" s="254"/>
      <c r="E376" s="379">
        <v>140108</v>
      </c>
      <c r="F376" s="395" t="s">
        <v>647</v>
      </c>
      <c r="G376" s="396"/>
      <c r="H376" s="397"/>
      <c r="I376" s="383">
        <v>3403000</v>
      </c>
      <c r="J376" s="398">
        <v>140108</v>
      </c>
      <c r="K376" s="399" t="s">
        <v>71</v>
      </c>
      <c r="L376" s="399" t="s">
        <v>34</v>
      </c>
      <c r="M376" s="399">
        <v>193.8</v>
      </c>
      <c r="N376" s="356">
        <v>3403000</v>
      </c>
      <c r="O376" s="28" t="b">
        <f t="shared" si="15"/>
        <v>1</v>
      </c>
    </row>
    <row r="377" spans="2:15" s="28" customFormat="1" ht="16.5" customHeight="1">
      <c r="B377" s="20"/>
      <c r="C377" s="20"/>
      <c r="D377" s="254"/>
      <c r="E377" s="379">
        <v>140109</v>
      </c>
      <c r="F377" s="395" t="s">
        <v>362</v>
      </c>
      <c r="G377" s="396"/>
      <c r="H377" s="397"/>
      <c r="I377" s="383">
        <v>320000</v>
      </c>
      <c r="J377" s="398">
        <v>140109</v>
      </c>
      <c r="K377" s="399" t="s">
        <v>70</v>
      </c>
      <c r="L377" s="399" t="s">
        <v>34</v>
      </c>
      <c r="M377" s="399">
        <v>17.457000000000001</v>
      </c>
      <c r="N377" s="356">
        <v>320000</v>
      </c>
      <c r="O377" s="28" t="b">
        <f t="shared" si="15"/>
        <v>1</v>
      </c>
    </row>
    <row r="378" spans="2:15" s="28" customFormat="1" ht="16.5" customHeight="1">
      <c r="B378" s="20"/>
      <c r="C378" s="20"/>
      <c r="D378" s="254"/>
      <c r="E378" s="379">
        <v>140110</v>
      </c>
      <c r="F378" s="395" t="s">
        <v>648</v>
      </c>
      <c r="G378" s="396"/>
      <c r="H378" s="397"/>
      <c r="I378" s="383">
        <v>3231000</v>
      </c>
      <c r="J378" s="398">
        <v>140110</v>
      </c>
      <c r="K378" s="399" t="s">
        <v>71</v>
      </c>
      <c r="L378" s="399" t="s">
        <v>34</v>
      </c>
      <c r="M378" s="399">
        <v>193.8</v>
      </c>
      <c r="N378" s="356">
        <v>3231000</v>
      </c>
      <c r="O378" s="28" t="b">
        <f t="shared" si="15"/>
        <v>1</v>
      </c>
    </row>
    <row r="379" spans="2:15" s="28" customFormat="1" ht="16.5" customHeight="1">
      <c r="B379" s="20"/>
      <c r="C379" s="20"/>
      <c r="D379" s="254"/>
      <c r="E379" s="379">
        <v>140111</v>
      </c>
      <c r="F379" s="395" t="s">
        <v>363</v>
      </c>
      <c r="G379" s="396"/>
      <c r="H379" s="397"/>
      <c r="I379" s="383">
        <v>326000</v>
      </c>
      <c r="J379" s="398">
        <v>140111</v>
      </c>
      <c r="K379" s="399" t="s">
        <v>70</v>
      </c>
      <c r="L379" s="399" t="s">
        <v>34</v>
      </c>
      <c r="M379" s="399">
        <v>17.329999999999998</v>
      </c>
      <c r="N379" s="356">
        <v>326000</v>
      </c>
      <c r="O379" s="28" t="b">
        <f t="shared" si="15"/>
        <v>1</v>
      </c>
    </row>
    <row r="380" spans="2:15" s="28" customFormat="1" ht="16.5" customHeight="1">
      <c r="B380" s="20"/>
      <c r="C380" s="20"/>
      <c r="D380" s="254"/>
      <c r="E380" s="379">
        <v>140112</v>
      </c>
      <c r="F380" s="395" t="s">
        <v>364</v>
      </c>
      <c r="G380" s="396"/>
      <c r="H380" s="397"/>
      <c r="I380" s="383">
        <v>340000</v>
      </c>
      <c r="J380" s="398">
        <v>140112</v>
      </c>
      <c r="K380" s="399" t="s">
        <v>70</v>
      </c>
      <c r="L380" s="399" t="s">
        <v>34</v>
      </c>
      <c r="M380" s="399">
        <v>17.329999999999998</v>
      </c>
      <c r="N380" s="356">
        <v>340000</v>
      </c>
      <c r="O380" s="28" t="b">
        <f t="shared" si="15"/>
        <v>1</v>
      </c>
    </row>
    <row r="381" spans="2:15" s="28" customFormat="1" ht="16.5" customHeight="1">
      <c r="B381" s="20"/>
      <c r="C381" s="20"/>
      <c r="D381" s="254"/>
      <c r="E381" s="379">
        <v>140139</v>
      </c>
      <c r="F381" s="395" t="s">
        <v>368</v>
      </c>
      <c r="G381" s="396"/>
      <c r="H381" s="397"/>
      <c r="I381" s="383">
        <v>140000</v>
      </c>
      <c r="J381" s="398">
        <v>140139</v>
      </c>
      <c r="K381" s="399" t="s">
        <v>70</v>
      </c>
      <c r="L381" s="399" t="s">
        <v>34</v>
      </c>
      <c r="M381" s="399">
        <v>16</v>
      </c>
      <c r="N381" s="356">
        <v>140000</v>
      </c>
      <c r="O381" s="28" t="b">
        <f t="shared" si="15"/>
        <v>1</v>
      </c>
    </row>
    <row r="382" spans="2:15" s="28" customFormat="1" ht="16.5" customHeight="1">
      <c r="B382" s="20"/>
      <c r="C382" s="20"/>
      <c r="D382" s="254"/>
      <c r="E382" s="379">
        <v>140140</v>
      </c>
      <c r="F382" s="395" t="s">
        <v>369</v>
      </c>
      <c r="G382" s="396"/>
      <c r="H382" s="397"/>
      <c r="I382" s="383">
        <v>120000</v>
      </c>
      <c r="J382" s="398">
        <v>140140</v>
      </c>
      <c r="K382" s="399" t="s">
        <v>70</v>
      </c>
      <c r="L382" s="399" t="s">
        <v>34</v>
      </c>
      <c r="M382" s="399">
        <v>16</v>
      </c>
      <c r="N382" s="356">
        <v>120000</v>
      </c>
      <c r="O382" s="28" t="b">
        <f t="shared" si="15"/>
        <v>1</v>
      </c>
    </row>
    <row r="383" spans="2:15" s="28" customFormat="1" ht="16.5" customHeight="1">
      <c r="B383" s="20"/>
      <c r="C383" s="20"/>
      <c r="D383" s="254"/>
      <c r="E383" s="379">
        <v>140141</v>
      </c>
      <c r="F383" s="395" t="s">
        <v>370</v>
      </c>
      <c r="G383" s="396"/>
      <c r="H383" s="397"/>
      <c r="I383" s="383">
        <v>188000</v>
      </c>
      <c r="J383" s="398">
        <v>140141</v>
      </c>
      <c r="K383" s="399" t="s">
        <v>70</v>
      </c>
      <c r="L383" s="399" t="s">
        <v>34</v>
      </c>
      <c r="M383" s="399">
        <v>16</v>
      </c>
      <c r="N383" s="356">
        <v>188000</v>
      </c>
      <c r="O383" s="28" t="b">
        <f t="shared" si="15"/>
        <v>1</v>
      </c>
    </row>
    <row r="384" spans="2:15" s="28" customFormat="1" ht="16.5" customHeight="1">
      <c r="B384" s="20"/>
      <c r="C384" s="20"/>
      <c r="D384" s="254"/>
      <c r="E384" s="379">
        <v>140142</v>
      </c>
      <c r="F384" s="395" t="s">
        <v>371</v>
      </c>
      <c r="G384" s="396"/>
      <c r="H384" s="397"/>
      <c r="I384" s="383">
        <v>130000</v>
      </c>
      <c r="J384" s="398">
        <v>140142</v>
      </c>
      <c r="K384" s="399" t="s">
        <v>70</v>
      </c>
      <c r="L384" s="399" t="s">
        <v>34</v>
      </c>
      <c r="M384" s="399">
        <v>16</v>
      </c>
      <c r="N384" s="356">
        <v>130000</v>
      </c>
      <c r="O384" s="28" t="b">
        <f t="shared" si="15"/>
        <v>1</v>
      </c>
    </row>
    <row r="385" spans="2:15" s="28" customFormat="1" ht="16.5" customHeight="1">
      <c r="B385" s="20"/>
      <c r="C385" s="20"/>
      <c r="D385" s="254"/>
      <c r="E385" s="379">
        <v>140143</v>
      </c>
      <c r="F385" s="395" t="s">
        <v>372</v>
      </c>
      <c r="G385" s="396"/>
      <c r="H385" s="397"/>
      <c r="I385" s="383">
        <v>203000</v>
      </c>
      <c r="J385" s="398">
        <v>140143</v>
      </c>
      <c r="K385" s="399" t="s">
        <v>70</v>
      </c>
      <c r="L385" s="399" t="s">
        <v>34</v>
      </c>
      <c r="M385" s="399">
        <v>16</v>
      </c>
      <c r="N385" s="356">
        <v>203000</v>
      </c>
      <c r="O385" s="28" t="b">
        <f t="shared" si="15"/>
        <v>1</v>
      </c>
    </row>
    <row r="386" spans="2:15" s="28" customFormat="1" ht="16.5" customHeight="1">
      <c r="B386" s="20"/>
      <c r="C386" s="20"/>
      <c r="D386" s="254"/>
      <c r="E386" s="379">
        <v>140148</v>
      </c>
      <c r="F386" s="395" t="s">
        <v>650</v>
      </c>
      <c r="G386" s="401"/>
      <c r="H386" s="402"/>
      <c r="I386" s="383">
        <v>1484000</v>
      </c>
      <c r="J386" s="398">
        <v>140148</v>
      </c>
      <c r="K386" s="399" t="s">
        <v>71</v>
      </c>
      <c r="L386" s="399" t="s">
        <v>34</v>
      </c>
      <c r="M386" s="399">
        <v>180</v>
      </c>
      <c r="N386" s="356">
        <v>1484000</v>
      </c>
      <c r="O386" s="28" t="b">
        <f t="shared" si="15"/>
        <v>1</v>
      </c>
    </row>
    <row r="387" spans="2:15" s="28" customFormat="1" ht="16.5" customHeight="1">
      <c r="B387" s="20"/>
      <c r="C387" s="20"/>
      <c r="D387" s="254"/>
      <c r="E387" s="379">
        <v>140149</v>
      </c>
      <c r="F387" s="395" t="s">
        <v>651</v>
      </c>
      <c r="G387" s="396"/>
      <c r="H387" s="397"/>
      <c r="I387" s="383">
        <v>1303000</v>
      </c>
      <c r="J387" s="398">
        <v>140149</v>
      </c>
      <c r="K387" s="399" t="s">
        <v>71</v>
      </c>
      <c r="L387" s="399" t="s">
        <v>34</v>
      </c>
      <c r="M387" s="399">
        <v>180</v>
      </c>
      <c r="N387" s="356">
        <v>1303000</v>
      </c>
      <c r="O387" s="28" t="b">
        <f t="shared" si="15"/>
        <v>1</v>
      </c>
    </row>
    <row r="388" spans="2:15" s="28" customFormat="1" ht="16.5" customHeight="1">
      <c r="B388" s="20"/>
      <c r="C388" s="20"/>
      <c r="D388" s="254"/>
      <c r="E388" s="379">
        <v>140150</v>
      </c>
      <c r="F388" s="395" t="s">
        <v>652</v>
      </c>
      <c r="G388" s="396"/>
      <c r="H388" s="397"/>
      <c r="I388" s="383">
        <v>1484000</v>
      </c>
      <c r="J388" s="398">
        <v>140150</v>
      </c>
      <c r="K388" s="399" t="s">
        <v>71</v>
      </c>
      <c r="L388" s="399" t="s">
        <v>34</v>
      </c>
      <c r="M388" s="399">
        <v>180</v>
      </c>
      <c r="N388" s="356">
        <v>1484000</v>
      </c>
      <c r="O388" s="28" t="b">
        <f t="shared" si="15"/>
        <v>1</v>
      </c>
    </row>
    <row r="389" spans="2:15" s="28" customFormat="1" ht="16.5" customHeight="1">
      <c r="B389" s="20"/>
      <c r="C389" s="20"/>
      <c r="D389" s="254"/>
      <c r="E389" s="379">
        <v>140151</v>
      </c>
      <c r="F389" s="395" t="s">
        <v>653</v>
      </c>
      <c r="G389" s="396"/>
      <c r="H389" s="397"/>
      <c r="I389" s="383">
        <v>1568000</v>
      </c>
      <c r="J389" s="398">
        <v>140151</v>
      </c>
      <c r="K389" s="399" t="s">
        <v>71</v>
      </c>
      <c r="L389" s="399" t="s">
        <v>34</v>
      </c>
      <c r="M389" s="399">
        <v>180</v>
      </c>
      <c r="N389" s="356">
        <v>1568000</v>
      </c>
      <c r="O389" s="28" t="b">
        <f t="shared" si="15"/>
        <v>1</v>
      </c>
    </row>
    <row r="390" spans="2:15" s="28" customFormat="1" ht="16.5" customHeight="1">
      <c r="B390" s="20"/>
      <c r="C390" s="20"/>
      <c r="D390" s="254"/>
      <c r="E390" s="379">
        <v>140152</v>
      </c>
      <c r="F390" s="395" t="s">
        <v>654</v>
      </c>
      <c r="G390" s="396"/>
      <c r="H390" s="397"/>
      <c r="I390" s="383">
        <v>2126000</v>
      </c>
      <c r="J390" s="398">
        <v>140152</v>
      </c>
      <c r="K390" s="399" t="s">
        <v>71</v>
      </c>
      <c r="L390" s="399" t="s">
        <v>34</v>
      </c>
      <c r="M390" s="399">
        <v>180</v>
      </c>
      <c r="N390" s="356">
        <v>2126000</v>
      </c>
      <c r="O390" s="28" t="b">
        <f t="shared" si="15"/>
        <v>1</v>
      </c>
    </row>
    <row r="391" spans="2:15" s="28" customFormat="1" ht="16.5" customHeight="1">
      <c r="B391" s="20"/>
      <c r="C391" s="20"/>
      <c r="D391" s="254"/>
      <c r="E391" s="379">
        <v>140153</v>
      </c>
      <c r="F391" s="395" t="s">
        <v>655</v>
      </c>
      <c r="G391" s="396"/>
      <c r="H391" s="397"/>
      <c r="I391" s="383">
        <v>2128000</v>
      </c>
      <c r="J391" s="398">
        <v>140153</v>
      </c>
      <c r="K391" s="399" t="s">
        <v>71</v>
      </c>
      <c r="L391" s="399" t="s">
        <v>34</v>
      </c>
      <c r="M391" s="399">
        <v>180</v>
      </c>
      <c r="N391" s="356">
        <v>2128000</v>
      </c>
      <c r="O391" s="28" t="b">
        <f t="shared" si="15"/>
        <v>1</v>
      </c>
    </row>
    <row r="392" spans="2:15" s="28" customFormat="1" ht="16.5" customHeight="1">
      <c r="B392" s="20"/>
      <c r="C392" s="20"/>
      <c r="D392" s="254"/>
      <c r="E392" s="379">
        <v>140154</v>
      </c>
      <c r="F392" s="395" t="s">
        <v>656</v>
      </c>
      <c r="G392" s="396"/>
      <c r="H392" s="397"/>
      <c r="I392" s="383" t="e">
        <v>#N/A</v>
      </c>
      <c r="J392" s="398">
        <v>140154</v>
      </c>
      <c r="K392" s="399" t="s">
        <v>71</v>
      </c>
      <c r="L392" s="399" t="s">
        <v>34</v>
      </c>
      <c r="M392" s="399">
        <v>180</v>
      </c>
      <c r="N392" s="356" t="e">
        <v>#N/A</v>
      </c>
      <c r="O392" s="28" t="e">
        <f t="shared" si="15"/>
        <v>#N/A</v>
      </c>
    </row>
    <row r="393" spans="2:15" s="28" customFormat="1" ht="16.5" customHeight="1">
      <c r="B393" s="20"/>
      <c r="C393" s="20"/>
      <c r="D393" s="254"/>
      <c r="E393" s="379">
        <v>140204</v>
      </c>
      <c r="F393" s="395" t="s">
        <v>379</v>
      </c>
      <c r="G393" s="396"/>
      <c r="H393" s="397"/>
      <c r="I393" s="383">
        <v>352000</v>
      </c>
      <c r="J393" s="398">
        <v>140204</v>
      </c>
      <c r="K393" s="399" t="s">
        <v>70</v>
      </c>
      <c r="L393" s="399" t="s">
        <v>34</v>
      </c>
      <c r="M393" s="399">
        <v>16</v>
      </c>
      <c r="N393" s="356">
        <v>352000</v>
      </c>
      <c r="O393" s="28" t="b">
        <f t="shared" si="15"/>
        <v>1</v>
      </c>
    </row>
    <row r="394" spans="2:15" s="28" customFormat="1" ht="16.5" customHeight="1">
      <c r="B394" s="20"/>
      <c r="C394" s="20"/>
      <c r="D394" s="254"/>
      <c r="E394" s="379">
        <v>140205</v>
      </c>
      <c r="F394" s="395" t="s">
        <v>380</v>
      </c>
      <c r="G394" s="401"/>
      <c r="H394" s="402"/>
      <c r="I394" s="383">
        <v>355000</v>
      </c>
      <c r="J394" s="398">
        <v>140205</v>
      </c>
      <c r="K394" s="399" t="s">
        <v>70</v>
      </c>
      <c r="L394" s="399" t="s">
        <v>34</v>
      </c>
      <c r="M394" s="399">
        <v>16</v>
      </c>
      <c r="N394" s="356">
        <v>355000</v>
      </c>
      <c r="O394" s="28" t="b">
        <f t="shared" si="15"/>
        <v>1</v>
      </c>
    </row>
    <row r="395" spans="2:15" s="28" customFormat="1" ht="16.5" customHeight="1">
      <c r="B395" s="20"/>
      <c r="C395" s="20"/>
      <c r="D395" s="254"/>
      <c r="E395" s="379">
        <v>140206</v>
      </c>
      <c r="F395" s="395" t="s">
        <v>659</v>
      </c>
      <c r="G395" s="396"/>
      <c r="H395" s="397"/>
      <c r="I395" s="383">
        <v>3685000</v>
      </c>
      <c r="J395" s="398">
        <v>140206</v>
      </c>
      <c r="K395" s="399" t="s">
        <v>71</v>
      </c>
      <c r="L395" s="399" t="s">
        <v>34</v>
      </c>
      <c r="M395" s="399">
        <v>174</v>
      </c>
      <c r="N395" s="356">
        <v>3685000</v>
      </c>
      <c r="O395" s="28" t="b">
        <f t="shared" si="15"/>
        <v>1</v>
      </c>
    </row>
    <row r="396" spans="2:15" s="28" customFormat="1" ht="16.5" customHeight="1">
      <c r="B396" s="20"/>
      <c r="C396" s="20"/>
      <c r="D396" s="254"/>
      <c r="E396" s="379">
        <v>140207</v>
      </c>
      <c r="F396" s="395" t="s">
        <v>660</v>
      </c>
      <c r="G396" s="396"/>
      <c r="H396" s="397"/>
      <c r="I396" s="383">
        <v>3777000</v>
      </c>
      <c r="J396" s="398">
        <v>140207</v>
      </c>
      <c r="K396" s="399" t="s">
        <v>71</v>
      </c>
      <c r="L396" s="399" t="s">
        <v>34</v>
      </c>
      <c r="M396" s="399">
        <v>174</v>
      </c>
      <c r="N396" s="356">
        <v>3777000</v>
      </c>
      <c r="O396" s="28" t="b">
        <f t="shared" si="15"/>
        <v>1</v>
      </c>
    </row>
    <row r="397" spans="2:15" s="28" customFormat="1" ht="16.5" customHeight="1">
      <c r="B397" s="20"/>
      <c r="C397" s="20"/>
      <c r="D397" s="254"/>
      <c r="E397" s="379">
        <v>140208</v>
      </c>
      <c r="F397" s="395" t="s">
        <v>661</v>
      </c>
      <c r="G397" s="396"/>
      <c r="H397" s="397"/>
      <c r="I397" s="383">
        <v>3689000</v>
      </c>
      <c r="J397" s="398">
        <v>140208</v>
      </c>
      <c r="K397" s="399" t="s">
        <v>71</v>
      </c>
      <c r="L397" s="399" t="s">
        <v>34</v>
      </c>
      <c r="M397" s="399">
        <v>174</v>
      </c>
      <c r="N397" s="356">
        <v>3689000</v>
      </c>
      <c r="O397" s="28" t="b">
        <f t="shared" si="15"/>
        <v>1</v>
      </c>
    </row>
    <row r="398" spans="2:15" s="28" customFormat="1" ht="16.5" customHeight="1">
      <c r="B398" s="20"/>
      <c r="C398" s="20"/>
      <c r="D398" s="254"/>
      <c r="E398" s="379">
        <v>140209</v>
      </c>
      <c r="F398" s="395" t="s">
        <v>662</v>
      </c>
      <c r="G398" s="396"/>
      <c r="H398" s="397"/>
      <c r="I398" s="383">
        <v>3730000</v>
      </c>
      <c r="J398" s="398">
        <v>140209</v>
      </c>
      <c r="K398" s="399" t="s">
        <v>71</v>
      </c>
      <c r="L398" s="399" t="s">
        <v>34</v>
      </c>
      <c r="M398" s="399">
        <v>174</v>
      </c>
      <c r="N398" s="356">
        <v>3730000</v>
      </c>
      <c r="O398" s="28" t="b">
        <f t="shared" si="15"/>
        <v>1</v>
      </c>
    </row>
    <row r="399" spans="2:15" s="28" customFormat="1" ht="16.5" customHeight="1">
      <c r="B399" s="20"/>
      <c r="C399" s="20"/>
      <c r="D399" s="254"/>
      <c r="E399" s="379">
        <v>140210</v>
      </c>
      <c r="F399" s="395" t="s">
        <v>663</v>
      </c>
      <c r="G399" s="396"/>
      <c r="H399" s="397"/>
      <c r="I399" s="383">
        <v>3687000</v>
      </c>
      <c r="J399" s="398">
        <v>140210</v>
      </c>
      <c r="K399" s="399" t="s">
        <v>71</v>
      </c>
      <c r="L399" s="399" t="s">
        <v>34</v>
      </c>
      <c r="M399" s="399">
        <v>174</v>
      </c>
      <c r="N399" s="356">
        <v>3687000</v>
      </c>
      <c r="O399" s="28" t="b">
        <f t="shared" si="15"/>
        <v>1</v>
      </c>
    </row>
    <row r="400" spans="2:15" s="28" customFormat="1" ht="16.5" customHeight="1">
      <c r="B400" s="20"/>
      <c r="C400" s="20"/>
      <c r="D400" s="254"/>
      <c r="E400" s="379">
        <v>140211</v>
      </c>
      <c r="F400" s="395" t="s">
        <v>664</v>
      </c>
      <c r="G400" s="396"/>
      <c r="H400" s="397"/>
      <c r="I400" s="383">
        <v>3730000</v>
      </c>
      <c r="J400" s="398">
        <v>140211</v>
      </c>
      <c r="K400" s="399" t="s">
        <v>71</v>
      </c>
      <c r="L400" s="399" t="s">
        <v>34</v>
      </c>
      <c r="M400" s="399">
        <v>174</v>
      </c>
      <c r="N400" s="356">
        <v>3730000</v>
      </c>
      <c r="O400" s="28" t="b">
        <f t="shared" si="15"/>
        <v>1</v>
      </c>
    </row>
    <row r="401" spans="2:15" s="28" customFormat="1" ht="16.5" customHeight="1">
      <c r="B401" s="20"/>
      <c r="C401" s="20"/>
      <c r="D401" s="254"/>
      <c r="E401" s="379">
        <v>140252</v>
      </c>
      <c r="F401" s="395" t="s">
        <v>381</v>
      </c>
      <c r="G401" s="396"/>
      <c r="H401" s="397"/>
      <c r="I401" s="383">
        <v>81000</v>
      </c>
      <c r="J401" s="398">
        <v>140252</v>
      </c>
      <c r="K401" s="399" t="s">
        <v>70</v>
      </c>
      <c r="L401" s="399" t="s">
        <v>34</v>
      </c>
      <c r="M401" s="399">
        <v>16</v>
      </c>
      <c r="N401" s="356">
        <v>81000</v>
      </c>
      <c r="O401" s="28" t="b">
        <f t="shared" si="15"/>
        <v>1</v>
      </c>
    </row>
    <row r="402" spans="2:15" s="28" customFormat="1" ht="16.5" customHeight="1">
      <c r="B402" s="20"/>
      <c r="C402" s="20"/>
      <c r="D402" s="254"/>
      <c r="E402" s="379">
        <v>140254</v>
      </c>
      <c r="F402" s="395" t="s">
        <v>382</v>
      </c>
      <c r="G402" s="396"/>
      <c r="H402" s="397"/>
      <c r="I402" s="383">
        <v>81000</v>
      </c>
      <c r="J402" s="398">
        <v>140254</v>
      </c>
      <c r="K402" s="399" t="s">
        <v>70</v>
      </c>
      <c r="L402" s="399" t="s">
        <v>34</v>
      </c>
      <c r="M402" s="399">
        <v>16</v>
      </c>
      <c r="N402" s="356">
        <v>81000</v>
      </c>
      <c r="O402" s="28" t="b">
        <f t="shared" si="15"/>
        <v>1</v>
      </c>
    </row>
    <row r="403" spans="2:15" s="28" customFormat="1" ht="16.5" customHeight="1">
      <c r="B403" s="20"/>
      <c r="C403" s="20"/>
      <c r="D403" s="254"/>
      <c r="E403" s="379">
        <v>140255</v>
      </c>
      <c r="F403" s="395" t="s">
        <v>383</v>
      </c>
      <c r="G403" s="396"/>
      <c r="H403" s="397"/>
      <c r="I403" s="383">
        <v>81000</v>
      </c>
      <c r="J403" s="398">
        <v>140255</v>
      </c>
      <c r="K403" s="399" t="s">
        <v>70</v>
      </c>
      <c r="L403" s="399" t="s">
        <v>34</v>
      </c>
      <c r="M403" s="399">
        <v>16</v>
      </c>
      <c r="N403" s="356">
        <v>81000</v>
      </c>
      <c r="O403" s="28" t="b">
        <f t="shared" ref="O403:O466" si="16">I403=N403</f>
        <v>1</v>
      </c>
    </row>
    <row r="404" spans="2:15" s="28" customFormat="1" ht="16.5" customHeight="1">
      <c r="B404" s="20"/>
      <c r="C404" s="20"/>
      <c r="D404" s="254"/>
      <c r="E404" s="379">
        <v>140256</v>
      </c>
      <c r="F404" s="395" t="s">
        <v>384</v>
      </c>
      <c r="G404" s="396"/>
      <c r="H404" s="397"/>
      <c r="I404" s="383">
        <v>81000</v>
      </c>
      <c r="J404" s="398">
        <v>140256</v>
      </c>
      <c r="K404" s="399" t="s">
        <v>70</v>
      </c>
      <c r="L404" s="399" t="s">
        <v>34</v>
      </c>
      <c r="M404" s="399">
        <v>16</v>
      </c>
      <c r="N404" s="356">
        <v>81000</v>
      </c>
      <c r="O404" s="28" t="b">
        <f t="shared" si="16"/>
        <v>1</v>
      </c>
    </row>
    <row r="405" spans="2:15" s="28" customFormat="1" ht="16.5" customHeight="1">
      <c r="B405" s="20"/>
      <c r="C405" s="20"/>
      <c r="D405" s="254"/>
      <c r="E405" s="379">
        <v>140257</v>
      </c>
      <c r="F405" s="395" t="s">
        <v>127</v>
      </c>
      <c r="G405" s="396"/>
      <c r="H405" s="397"/>
      <c r="I405" s="383">
        <v>728000</v>
      </c>
      <c r="J405" s="398">
        <v>140257</v>
      </c>
      <c r="K405" s="399" t="s">
        <v>71</v>
      </c>
      <c r="L405" s="399" t="s">
        <v>34</v>
      </c>
      <c r="M405" s="399">
        <v>180</v>
      </c>
      <c r="N405" s="356">
        <v>728000</v>
      </c>
      <c r="O405" s="28" t="b">
        <f t="shared" si="16"/>
        <v>1</v>
      </c>
    </row>
    <row r="406" spans="2:15" s="28" customFormat="1" ht="16.5" customHeight="1">
      <c r="B406" s="20"/>
      <c r="C406" s="20"/>
      <c r="D406" s="254"/>
      <c r="E406" s="379">
        <v>140259</v>
      </c>
      <c r="F406" s="395" t="s">
        <v>665</v>
      </c>
      <c r="G406" s="396"/>
      <c r="H406" s="397"/>
      <c r="I406" s="383">
        <v>728000</v>
      </c>
      <c r="J406" s="398">
        <v>140259</v>
      </c>
      <c r="K406" s="399" t="s">
        <v>71</v>
      </c>
      <c r="L406" s="399" t="s">
        <v>34</v>
      </c>
      <c r="M406" s="399">
        <v>180</v>
      </c>
      <c r="N406" s="356">
        <v>728000</v>
      </c>
      <c r="O406" s="28" t="b">
        <f t="shared" si="16"/>
        <v>1</v>
      </c>
    </row>
    <row r="407" spans="2:15" s="28" customFormat="1" ht="16.5" customHeight="1">
      <c r="B407" s="20"/>
      <c r="C407" s="20"/>
      <c r="D407" s="254"/>
      <c r="E407" s="379">
        <v>140260</v>
      </c>
      <c r="F407" s="395" t="s">
        <v>666</v>
      </c>
      <c r="G407" s="396"/>
      <c r="H407" s="397"/>
      <c r="I407" s="383">
        <v>728000</v>
      </c>
      <c r="J407" s="398">
        <v>140260</v>
      </c>
      <c r="K407" s="399" t="s">
        <v>71</v>
      </c>
      <c r="L407" s="399" t="s">
        <v>34</v>
      </c>
      <c r="M407" s="399">
        <v>180</v>
      </c>
      <c r="N407" s="356">
        <v>728000</v>
      </c>
      <c r="O407" s="28" t="b">
        <f t="shared" si="16"/>
        <v>1</v>
      </c>
    </row>
    <row r="408" spans="2:15" s="28" customFormat="1" ht="16.5" customHeight="1">
      <c r="B408" s="20"/>
      <c r="C408" s="20"/>
      <c r="D408" s="254"/>
      <c r="E408" s="379">
        <v>140261</v>
      </c>
      <c r="F408" s="395" t="s">
        <v>667</v>
      </c>
      <c r="G408" s="396"/>
      <c r="H408" s="397"/>
      <c r="I408" s="383">
        <v>728000</v>
      </c>
      <c r="J408" s="398">
        <v>140261</v>
      </c>
      <c r="K408" s="399" t="s">
        <v>71</v>
      </c>
      <c r="L408" s="399" t="s">
        <v>34</v>
      </c>
      <c r="M408" s="399">
        <v>180</v>
      </c>
      <c r="N408" s="356">
        <v>728000</v>
      </c>
      <c r="O408" s="28" t="b">
        <f t="shared" si="16"/>
        <v>1</v>
      </c>
    </row>
    <row r="409" spans="2:15" s="28" customFormat="1" ht="16.5" customHeight="1">
      <c r="B409" s="20"/>
      <c r="C409" s="20"/>
      <c r="D409" s="254"/>
      <c r="E409" s="379">
        <v>140262</v>
      </c>
      <c r="F409" s="395" t="s">
        <v>668</v>
      </c>
      <c r="G409" s="396"/>
      <c r="H409" s="397"/>
      <c r="I409" s="383">
        <v>728000</v>
      </c>
      <c r="J409" s="398">
        <v>140262</v>
      </c>
      <c r="K409" s="399" t="s">
        <v>71</v>
      </c>
      <c r="L409" s="399" t="s">
        <v>34</v>
      </c>
      <c r="M409" s="399">
        <v>180</v>
      </c>
      <c r="N409" s="356">
        <v>728000</v>
      </c>
      <c r="O409" s="28" t="b">
        <f t="shared" si="16"/>
        <v>1</v>
      </c>
    </row>
    <row r="410" spans="2:15" s="28" customFormat="1" ht="16.5" customHeight="1">
      <c r="B410" s="20"/>
      <c r="C410" s="20"/>
      <c r="D410" s="254"/>
      <c r="E410" s="379">
        <v>140263</v>
      </c>
      <c r="F410" s="395" t="s">
        <v>126</v>
      </c>
      <c r="G410" s="396"/>
      <c r="H410" s="397"/>
      <c r="I410" s="383">
        <v>81000</v>
      </c>
      <c r="J410" s="398">
        <v>140263</v>
      </c>
      <c r="K410" s="399" t="s">
        <v>70</v>
      </c>
      <c r="L410" s="399" t="s">
        <v>34</v>
      </c>
      <c r="M410" s="399">
        <v>16</v>
      </c>
      <c r="N410" s="356">
        <v>81000</v>
      </c>
      <c r="O410" s="28" t="b">
        <f t="shared" si="16"/>
        <v>1</v>
      </c>
    </row>
    <row r="411" spans="2:15" s="28" customFormat="1" ht="16.5" customHeight="1">
      <c r="B411" s="20"/>
      <c r="C411" s="20"/>
      <c r="D411" s="254"/>
      <c r="E411" s="379">
        <v>140355</v>
      </c>
      <c r="F411" s="395" t="s">
        <v>385</v>
      </c>
      <c r="G411" s="396"/>
      <c r="H411" s="397"/>
      <c r="I411" s="383" t="e">
        <v>#N/A</v>
      </c>
      <c r="J411" s="398">
        <v>140355</v>
      </c>
      <c r="K411" s="399" t="s">
        <v>70</v>
      </c>
      <c r="L411" s="399" t="s">
        <v>34</v>
      </c>
      <c r="M411" s="399">
        <v>18</v>
      </c>
      <c r="N411" s="356" t="e">
        <v>#N/A</v>
      </c>
      <c r="O411" s="28" t="e">
        <f t="shared" si="16"/>
        <v>#N/A</v>
      </c>
    </row>
    <row r="412" spans="2:15" s="28" customFormat="1" ht="16.5" customHeight="1">
      <c r="B412" s="20"/>
      <c r="C412" s="20"/>
      <c r="D412" s="254"/>
      <c r="E412" s="379">
        <v>140435</v>
      </c>
      <c r="F412" s="395" t="s">
        <v>89</v>
      </c>
      <c r="G412" s="396"/>
      <c r="H412" s="397"/>
      <c r="I412" s="383">
        <v>395000</v>
      </c>
      <c r="J412" s="398">
        <v>140435</v>
      </c>
      <c r="K412" s="399" t="s">
        <v>70</v>
      </c>
      <c r="L412" s="399" t="s">
        <v>34</v>
      </c>
      <c r="M412" s="399">
        <v>20</v>
      </c>
      <c r="N412" s="356">
        <v>395000</v>
      </c>
      <c r="O412" s="28" t="b">
        <f t="shared" si="16"/>
        <v>1</v>
      </c>
    </row>
    <row r="413" spans="2:15" s="28" customFormat="1" ht="16.5" customHeight="1">
      <c r="B413" s="20"/>
      <c r="C413" s="20"/>
      <c r="D413" s="254"/>
      <c r="E413" s="379">
        <v>140485</v>
      </c>
      <c r="F413" s="395" t="s">
        <v>386</v>
      </c>
      <c r="G413" s="396"/>
      <c r="H413" s="397"/>
      <c r="I413" s="383">
        <v>107000</v>
      </c>
      <c r="J413" s="398">
        <v>140485</v>
      </c>
      <c r="K413" s="399" t="s">
        <v>70</v>
      </c>
      <c r="L413" s="399" t="s">
        <v>34</v>
      </c>
      <c r="M413" s="399">
        <v>20</v>
      </c>
      <c r="N413" s="356">
        <v>107000</v>
      </c>
      <c r="O413" s="28" t="b">
        <f t="shared" si="16"/>
        <v>1</v>
      </c>
    </row>
    <row r="414" spans="2:15" s="28" customFormat="1" ht="16.5" customHeight="1">
      <c r="B414" s="20"/>
      <c r="C414" s="20"/>
      <c r="D414" s="254"/>
      <c r="E414" s="379">
        <v>140499</v>
      </c>
      <c r="F414" s="395" t="s">
        <v>670</v>
      </c>
      <c r="G414" s="396"/>
      <c r="H414" s="397"/>
      <c r="I414" s="383">
        <v>3384000</v>
      </c>
      <c r="J414" s="398">
        <v>140499</v>
      </c>
      <c r="K414" s="399" t="s">
        <v>71</v>
      </c>
      <c r="L414" s="399" t="s">
        <v>34</v>
      </c>
      <c r="M414" s="399">
        <v>208</v>
      </c>
      <c r="N414" s="356">
        <v>3384000</v>
      </c>
      <c r="O414" s="28" t="b">
        <f t="shared" si="16"/>
        <v>1</v>
      </c>
    </row>
    <row r="415" spans="2:15" s="28" customFormat="1" ht="16.5" customHeight="1">
      <c r="B415" s="20"/>
      <c r="C415" s="20"/>
      <c r="D415" s="254"/>
      <c r="E415" s="379">
        <v>140501</v>
      </c>
      <c r="F415" s="395" t="s">
        <v>671</v>
      </c>
      <c r="G415" s="396"/>
      <c r="H415" s="397"/>
      <c r="I415" s="383">
        <v>4442000</v>
      </c>
      <c r="J415" s="398">
        <v>140501</v>
      </c>
      <c r="K415" s="399" t="s">
        <v>71</v>
      </c>
      <c r="L415" s="399" t="s">
        <v>34</v>
      </c>
      <c r="M415" s="399">
        <v>208</v>
      </c>
      <c r="N415" s="356">
        <v>4442000</v>
      </c>
      <c r="O415" s="28" t="b">
        <f t="shared" si="16"/>
        <v>1</v>
      </c>
    </row>
    <row r="416" spans="2:15" s="28" customFormat="1" ht="16.5" customHeight="1">
      <c r="B416" s="20"/>
      <c r="C416" s="20"/>
      <c r="D416" s="254"/>
      <c r="E416" s="379">
        <v>140503</v>
      </c>
      <c r="F416" s="395" t="s">
        <v>672</v>
      </c>
      <c r="G416" s="396"/>
      <c r="H416" s="397"/>
      <c r="I416" s="383">
        <v>4515000</v>
      </c>
      <c r="J416" s="398">
        <v>140503</v>
      </c>
      <c r="K416" s="399" t="s">
        <v>71</v>
      </c>
      <c r="L416" s="399" t="s">
        <v>34</v>
      </c>
      <c r="M416" s="399">
        <v>208</v>
      </c>
      <c r="N416" s="356">
        <v>4515000</v>
      </c>
      <c r="O416" s="28" t="b">
        <f t="shared" si="16"/>
        <v>1</v>
      </c>
    </row>
    <row r="417" spans="2:15" s="28" customFormat="1" ht="16.5" customHeight="1">
      <c r="B417" s="20"/>
      <c r="C417" s="20"/>
      <c r="D417" s="254"/>
      <c r="E417" s="379">
        <v>140541</v>
      </c>
      <c r="F417" s="395" t="s">
        <v>387</v>
      </c>
      <c r="G417" s="396"/>
      <c r="H417" s="397"/>
      <c r="I417" s="383"/>
      <c r="J417" s="398">
        <v>140541</v>
      </c>
      <c r="K417" s="399" t="s">
        <v>70</v>
      </c>
      <c r="L417" s="399" t="s">
        <v>34</v>
      </c>
      <c r="M417" s="399">
        <v>20</v>
      </c>
      <c r="N417" s="356" t="e">
        <v>#N/A</v>
      </c>
      <c r="O417" s="28" t="e">
        <f t="shared" si="16"/>
        <v>#N/A</v>
      </c>
    </row>
    <row r="418" spans="2:15" s="28" customFormat="1" ht="16.5" customHeight="1">
      <c r="B418" s="20"/>
      <c r="C418" s="20"/>
      <c r="D418" s="254"/>
      <c r="E418" s="379">
        <v>140627</v>
      </c>
      <c r="F418" s="395" t="s">
        <v>676</v>
      </c>
      <c r="G418" s="396"/>
      <c r="H418" s="397"/>
      <c r="I418" s="383">
        <v>746000</v>
      </c>
      <c r="J418" s="398">
        <v>140627</v>
      </c>
      <c r="K418" s="399" t="s">
        <v>71</v>
      </c>
      <c r="L418" s="399" t="s">
        <v>34</v>
      </c>
      <c r="M418" s="399">
        <v>200</v>
      </c>
      <c r="N418" s="356">
        <v>746000</v>
      </c>
      <c r="O418" s="28" t="b">
        <f t="shared" si="16"/>
        <v>1</v>
      </c>
    </row>
    <row r="419" spans="2:15" s="28" customFormat="1" ht="16.5" customHeight="1">
      <c r="B419" s="20"/>
      <c r="C419" s="20"/>
      <c r="D419" s="254"/>
      <c r="E419" s="379">
        <v>140629</v>
      </c>
      <c r="F419" s="395" t="s">
        <v>677</v>
      </c>
      <c r="G419" s="396"/>
      <c r="H419" s="397"/>
      <c r="I419" s="383">
        <v>746000</v>
      </c>
      <c r="J419" s="398">
        <v>140629</v>
      </c>
      <c r="K419" s="399" t="s">
        <v>71</v>
      </c>
      <c r="L419" s="399" t="s">
        <v>34</v>
      </c>
      <c r="M419" s="399">
        <v>200</v>
      </c>
      <c r="N419" s="356">
        <v>746000</v>
      </c>
      <c r="O419" s="28" t="b">
        <f t="shared" si="16"/>
        <v>1</v>
      </c>
    </row>
    <row r="420" spans="2:15" s="28" customFormat="1" ht="16.5" customHeight="1">
      <c r="B420" s="20"/>
      <c r="C420" s="20"/>
      <c r="D420" s="254"/>
      <c r="E420" s="379">
        <v>140631</v>
      </c>
      <c r="F420" s="395" t="s">
        <v>678</v>
      </c>
      <c r="G420" s="396"/>
      <c r="H420" s="397"/>
      <c r="I420" s="383">
        <v>746000</v>
      </c>
      <c r="J420" s="398">
        <v>140631</v>
      </c>
      <c r="K420" s="399" t="s">
        <v>71</v>
      </c>
      <c r="L420" s="399" t="s">
        <v>34</v>
      </c>
      <c r="M420" s="399">
        <v>200</v>
      </c>
      <c r="N420" s="356">
        <v>746000</v>
      </c>
      <c r="O420" s="28" t="b">
        <f t="shared" si="16"/>
        <v>1</v>
      </c>
    </row>
    <row r="421" spans="2:15" s="28" customFormat="1" ht="16.5" customHeight="1">
      <c r="B421" s="20"/>
      <c r="C421" s="20"/>
      <c r="D421" s="254"/>
      <c r="E421" s="379">
        <v>140675</v>
      </c>
      <c r="F421" s="395" t="s">
        <v>388</v>
      </c>
      <c r="G421" s="396"/>
      <c r="H421" s="397"/>
      <c r="I421" s="383">
        <v>79200</v>
      </c>
      <c r="J421" s="398">
        <v>140675</v>
      </c>
      <c r="K421" s="399" t="s">
        <v>70</v>
      </c>
      <c r="L421" s="399" t="s">
        <v>34</v>
      </c>
      <c r="M421" s="399">
        <v>20</v>
      </c>
      <c r="N421" s="356">
        <v>79200</v>
      </c>
      <c r="O421" s="28" t="b">
        <f t="shared" si="16"/>
        <v>1</v>
      </c>
    </row>
    <row r="422" spans="2:15" s="28" customFormat="1" ht="16.5" customHeight="1">
      <c r="B422" s="20"/>
      <c r="C422" s="20"/>
      <c r="D422" s="254"/>
      <c r="E422" s="379">
        <v>140676</v>
      </c>
      <c r="F422" s="395" t="s">
        <v>389</v>
      </c>
      <c r="G422" s="396"/>
      <c r="H422" s="397"/>
      <c r="I422" s="383">
        <v>79200</v>
      </c>
      <c r="J422" s="398">
        <v>140676</v>
      </c>
      <c r="K422" s="399" t="s">
        <v>70</v>
      </c>
      <c r="L422" s="399" t="s">
        <v>34</v>
      </c>
      <c r="M422" s="399">
        <v>20</v>
      </c>
      <c r="N422" s="356">
        <v>79200</v>
      </c>
      <c r="O422" s="28" t="b">
        <f t="shared" si="16"/>
        <v>1</v>
      </c>
    </row>
    <row r="423" spans="2:15" s="28" customFormat="1" ht="16.5" customHeight="1">
      <c r="B423" s="20"/>
      <c r="C423" s="20"/>
      <c r="D423" s="254"/>
      <c r="E423" s="379">
        <v>140677</v>
      </c>
      <c r="F423" s="395" t="s">
        <v>390</v>
      </c>
      <c r="G423" s="396"/>
      <c r="H423" s="397"/>
      <c r="I423" s="383">
        <v>79200</v>
      </c>
      <c r="J423" s="398">
        <v>140677</v>
      </c>
      <c r="K423" s="399" t="s">
        <v>70</v>
      </c>
      <c r="L423" s="399" t="s">
        <v>34</v>
      </c>
      <c r="M423" s="399">
        <v>20</v>
      </c>
      <c r="N423" s="356">
        <v>79200</v>
      </c>
      <c r="O423" s="28" t="b">
        <f t="shared" si="16"/>
        <v>1</v>
      </c>
    </row>
    <row r="424" spans="2:15" s="28" customFormat="1" ht="16.5" customHeight="1">
      <c r="B424" s="20"/>
      <c r="C424" s="20"/>
      <c r="D424" s="254"/>
      <c r="E424" s="379">
        <v>140787</v>
      </c>
      <c r="F424" s="395" t="s">
        <v>682</v>
      </c>
      <c r="G424" s="396"/>
      <c r="H424" s="397"/>
      <c r="I424" s="383">
        <v>1151000</v>
      </c>
      <c r="J424" s="398">
        <v>140787</v>
      </c>
      <c r="K424" s="399" t="s">
        <v>71</v>
      </c>
      <c r="L424" s="399" t="s">
        <v>34</v>
      </c>
      <c r="M424" s="399">
        <v>208</v>
      </c>
      <c r="N424" s="356">
        <v>1151000</v>
      </c>
      <c r="O424" s="28" t="b">
        <f t="shared" si="16"/>
        <v>1</v>
      </c>
    </row>
    <row r="425" spans="2:15" s="28" customFormat="1" ht="16.5" customHeight="1">
      <c r="B425" s="20"/>
      <c r="C425" s="20"/>
      <c r="D425" s="254"/>
      <c r="E425" s="379">
        <v>140817</v>
      </c>
      <c r="F425" s="395" t="s">
        <v>122</v>
      </c>
      <c r="G425" s="396"/>
      <c r="H425" s="397"/>
      <c r="I425" s="383" t="e">
        <v>#N/A</v>
      </c>
      <c r="J425" s="398">
        <v>140817</v>
      </c>
      <c r="K425" s="399" t="s">
        <v>71</v>
      </c>
      <c r="L425" s="399" t="s">
        <v>34</v>
      </c>
      <c r="M425" s="399">
        <v>208</v>
      </c>
      <c r="N425" s="356">
        <v>1065000</v>
      </c>
      <c r="O425" s="28" t="e">
        <f t="shared" si="16"/>
        <v>#N/A</v>
      </c>
    </row>
    <row r="426" spans="2:15" s="28" customFormat="1" ht="16.5" customHeight="1">
      <c r="B426" s="20"/>
      <c r="C426" s="20"/>
      <c r="D426" s="254"/>
      <c r="E426" s="379">
        <v>140854</v>
      </c>
      <c r="F426" s="395" t="s">
        <v>756</v>
      </c>
      <c r="G426" s="396"/>
      <c r="H426" s="397"/>
      <c r="I426" s="383">
        <v>287000</v>
      </c>
      <c r="J426" s="398">
        <v>140854</v>
      </c>
      <c r="K426" s="399" t="s">
        <v>70</v>
      </c>
      <c r="L426" s="399" t="s">
        <v>34</v>
      </c>
      <c r="M426" s="399">
        <v>20</v>
      </c>
      <c r="N426" s="356">
        <v>287000</v>
      </c>
      <c r="O426" s="28" t="b">
        <f t="shared" si="16"/>
        <v>1</v>
      </c>
    </row>
    <row r="427" spans="2:15" s="28" customFormat="1" ht="16.5" customHeight="1">
      <c r="B427" s="20"/>
      <c r="C427" s="20"/>
      <c r="D427" s="254"/>
      <c r="E427" s="379">
        <v>141187</v>
      </c>
      <c r="F427" s="395" t="s">
        <v>125</v>
      </c>
      <c r="G427" s="396"/>
      <c r="H427" s="397"/>
      <c r="I427" s="383"/>
      <c r="J427" s="398">
        <v>141187</v>
      </c>
      <c r="K427" s="399" t="s">
        <v>71</v>
      </c>
      <c r="L427" s="399" t="s">
        <v>34</v>
      </c>
      <c r="M427" s="399">
        <v>200</v>
      </c>
      <c r="N427" s="356" t="e">
        <v>#N/A</v>
      </c>
      <c r="O427" s="28" t="e">
        <f t="shared" si="16"/>
        <v>#N/A</v>
      </c>
    </row>
    <row r="428" spans="2:15" s="28" customFormat="1" ht="16.5" customHeight="1">
      <c r="B428" s="20"/>
      <c r="C428" s="20"/>
      <c r="D428" s="254"/>
      <c r="E428" s="379">
        <v>141361</v>
      </c>
      <c r="F428" s="395" t="s">
        <v>391</v>
      </c>
      <c r="G428" s="396"/>
      <c r="H428" s="397"/>
      <c r="I428" s="383">
        <v>476000</v>
      </c>
      <c r="J428" s="398">
        <v>141361</v>
      </c>
      <c r="K428" s="399" t="s">
        <v>70</v>
      </c>
      <c r="L428" s="399" t="s">
        <v>34</v>
      </c>
      <c r="M428" s="399">
        <v>16</v>
      </c>
      <c r="N428" s="356">
        <v>476000</v>
      </c>
      <c r="O428" s="28" t="b">
        <f t="shared" si="16"/>
        <v>1</v>
      </c>
    </row>
    <row r="429" spans="2:15" s="28" customFormat="1" ht="16.5" customHeight="1">
      <c r="B429" s="20"/>
      <c r="C429" s="20"/>
      <c r="D429" s="254"/>
      <c r="E429" s="379">
        <v>141367</v>
      </c>
      <c r="F429" s="395" t="s">
        <v>392</v>
      </c>
      <c r="G429" s="396"/>
      <c r="H429" s="397"/>
      <c r="I429" s="383">
        <v>107000</v>
      </c>
      <c r="J429" s="398">
        <v>141367</v>
      </c>
      <c r="K429" s="399" t="s">
        <v>70</v>
      </c>
      <c r="L429" s="399" t="s">
        <v>34</v>
      </c>
      <c r="M429" s="399">
        <v>20</v>
      </c>
      <c r="N429" s="356">
        <v>107000</v>
      </c>
      <c r="O429" s="28" t="b">
        <f t="shared" si="16"/>
        <v>1</v>
      </c>
    </row>
    <row r="430" spans="2:15" s="28" customFormat="1" ht="16.5" customHeight="1">
      <c r="B430" s="20"/>
      <c r="C430" s="20"/>
      <c r="D430" s="254"/>
      <c r="E430" s="379">
        <v>148677</v>
      </c>
      <c r="F430" s="395" t="s">
        <v>134</v>
      </c>
      <c r="G430" s="396"/>
      <c r="H430" s="397"/>
      <c r="I430" s="383">
        <v>1029000</v>
      </c>
      <c r="J430" s="398">
        <v>148677</v>
      </c>
      <c r="K430" s="399" t="s">
        <v>71</v>
      </c>
      <c r="L430" s="399" t="s">
        <v>34</v>
      </c>
      <c r="M430" s="399">
        <v>200</v>
      </c>
      <c r="N430" s="356">
        <v>1029000</v>
      </c>
      <c r="O430" s="28" t="b">
        <f t="shared" si="16"/>
        <v>1</v>
      </c>
    </row>
    <row r="431" spans="2:15" s="28" customFormat="1" ht="16.5" customHeight="1">
      <c r="B431" s="20"/>
      <c r="C431" s="20"/>
      <c r="D431" s="254"/>
      <c r="E431" s="379">
        <v>141429</v>
      </c>
      <c r="F431" s="395" t="s">
        <v>119</v>
      </c>
      <c r="G431" s="396"/>
      <c r="H431" s="397"/>
      <c r="I431" s="383">
        <v>4915000</v>
      </c>
      <c r="J431" s="398">
        <v>141429</v>
      </c>
      <c r="K431" s="399" t="s">
        <v>71</v>
      </c>
      <c r="L431" s="399" t="s">
        <v>34</v>
      </c>
      <c r="M431" s="399">
        <v>174</v>
      </c>
      <c r="N431" s="356">
        <v>4915000</v>
      </c>
      <c r="O431" s="28" t="b">
        <f t="shared" si="16"/>
        <v>1</v>
      </c>
    </row>
    <row r="432" spans="2:15" s="28" customFormat="1" ht="16.5" customHeight="1">
      <c r="B432" s="20"/>
      <c r="C432" s="20"/>
      <c r="D432" s="254"/>
      <c r="E432" s="379">
        <v>141467</v>
      </c>
      <c r="F432" s="395" t="s">
        <v>393</v>
      </c>
      <c r="G432" s="396"/>
      <c r="H432" s="397"/>
      <c r="I432" s="383">
        <v>233000</v>
      </c>
      <c r="J432" s="398">
        <v>141467</v>
      </c>
      <c r="K432" s="399" t="s">
        <v>70</v>
      </c>
      <c r="L432" s="399" t="s">
        <v>34</v>
      </c>
      <c r="M432" s="399">
        <v>15.87</v>
      </c>
      <c r="N432" s="356">
        <v>233000</v>
      </c>
      <c r="O432" s="28" t="b">
        <f t="shared" si="16"/>
        <v>1</v>
      </c>
    </row>
    <row r="433" spans="2:15" s="28" customFormat="1" ht="16.5" customHeight="1">
      <c r="B433" s="20"/>
      <c r="C433" s="20"/>
      <c r="D433" s="254"/>
      <c r="E433" s="379">
        <v>141468</v>
      </c>
      <c r="F433" s="395" t="s">
        <v>686</v>
      </c>
      <c r="G433" s="396"/>
      <c r="H433" s="397"/>
      <c r="I433" s="383">
        <v>2439000</v>
      </c>
      <c r="J433" s="398">
        <v>141468</v>
      </c>
      <c r="K433" s="399" t="s">
        <v>71</v>
      </c>
      <c r="L433" s="399" t="s">
        <v>34</v>
      </c>
      <c r="M433" s="399">
        <v>180</v>
      </c>
      <c r="N433" s="356">
        <v>2439000</v>
      </c>
      <c r="O433" s="28" t="b">
        <f t="shared" si="16"/>
        <v>1</v>
      </c>
    </row>
    <row r="434" spans="2:15" s="28" customFormat="1" ht="16.5" customHeight="1">
      <c r="B434" s="20"/>
      <c r="C434" s="20"/>
      <c r="D434" s="254"/>
      <c r="E434" s="379">
        <v>141654</v>
      </c>
      <c r="F434" s="395" t="s">
        <v>394</v>
      </c>
      <c r="G434" s="396"/>
      <c r="H434" s="397"/>
      <c r="I434" s="383">
        <v>62700</v>
      </c>
      <c r="J434" s="398">
        <v>141654</v>
      </c>
      <c r="K434" s="399" t="s">
        <v>70</v>
      </c>
      <c r="L434" s="399" t="s">
        <v>34</v>
      </c>
      <c r="M434" s="399">
        <v>20</v>
      </c>
      <c r="N434" s="356">
        <v>62700</v>
      </c>
      <c r="O434" s="28" t="b">
        <f t="shared" si="16"/>
        <v>1</v>
      </c>
    </row>
    <row r="435" spans="2:15" s="28" customFormat="1" ht="16.5" customHeight="1">
      <c r="B435" s="20"/>
      <c r="C435" s="20"/>
      <c r="D435" s="254"/>
      <c r="E435" s="379">
        <v>141655</v>
      </c>
      <c r="F435" s="395" t="s">
        <v>689</v>
      </c>
      <c r="G435" s="396"/>
      <c r="H435" s="397"/>
      <c r="I435" s="383">
        <v>582000</v>
      </c>
      <c r="J435" s="398">
        <v>141655</v>
      </c>
      <c r="K435" s="399" t="s">
        <v>71</v>
      </c>
      <c r="L435" s="399" t="s">
        <v>34</v>
      </c>
      <c r="M435" s="399">
        <v>200</v>
      </c>
      <c r="N435" s="356">
        <v>582000</v>
      </c>
      <c r="O435" s="28" t="b">
        <f t="shared" si="16"/>
        <v>1</v>
      </c>
    </row>
    <row r="436" spans="2:15" s="28" customFormat="1" ht="16.5" customHeight="1">
      <c r="B436" s="20"/>
      <c r="C436" s="20"/>
      <c r="D436" s="254"/>
      <c r="E436" s="379">
        <v>141657</v>
      </c>
      <c r="F436" s="395" t="s">
        <v>395</v>
      </c>
      <c r="G436" s="396"/>
      <c r="H436" s="397"/>
      <c r="I436" s="383">
        <v>62700</v>
      </c>
      <c r="J436" s="398">
        <v>141657</v>
      </c>
      <c r="K436" s="399" t="s">
        <v>70</v>
      </c>
      <c r="L436" s="399" t="s">
        <v>34</v>
      </c>
      <c r="M436" s="399">
        <v>20</v>
      </c>
      <c r="N436" s="356">
        <v>62700</v>
      </c>
      <c r="O436" s="28" t="b">
        <f t="shared" si="16"/>
        <v>1</v>
      </c>
    </row>
    <row r="437" spans="2:15" s="28" customFormat="1" ht="16.5" customHeight="1">
      <c r="B437" s="20"/>
      <c r="C437" s="20"/>
      <c r="D437" s="254"/>
      <c r="E437" s="379">
        <v>141658</v>
      </c>
      <c r="F437" s="395" t="s">
        <v>691</v>
      </c>
      <c r="G437" s="396"/>
      <c r="H437" s="397"/>
      <c r="I437" s="383">
        <v>582000</v>
      </c>
      <c r="J437" s="398">
        <v>141658</v>
      </c>
      <c r="K437" s="399" t="s">
        <v>71</v>
      </c>
      <c r="L437" s="399" t="s">
        <v>34</v>
      </c>
      <c r="M437" s="399">
        <v>200</v>
      </c>
      <c r="N437" s="356">
        <v>582000</v>
      </c>
      <c r="O437" s="28" t="b">
        <f t="shared" si="16"/>
        <v>1</v>
      </c>
    </row>
    <row r="438" spans="2:15" s="28" customFormat="1" ht="16.5" customHeight="1">
      <c r="B438" s="20"/>
      <c r="C438" s="20"/>
      <c r="D438" s="254"/>
      <c r="E438" s="379">
        <v>141666</v>
      </c>
      <c r="F438" s="395" t="s">
        <v>693</v>
      </c>
      <c r="G438" s="396"/>
      <c r="H438" s="397"/>
      <c r="I438" s="383">
        <v>755000</v>
      </c>
      <c r="J438" s="398">
        <v>141666</v>
      </c>
      <c r="K438" s="399" t="s">
        <v>71</v>
      </c>
      <c r="L438" s="399" t="s">
        <v>34</v>
      </c>
      <c r="M438" s="399">
        <v>200</v>
      </c>
      <c r="N438" s="356">
        <v>755000</v>
      </c>
      <c r="O438" s="28" t="b">
        <f t="shared" si="16"/>
        <v>1</v>
      </c>
    </row>
    <row r="439" spans="2:15" s="28" customFormat="1" ht="16.5" customHeight="1">
      <c r="B439" s="20"/>
      <c r="C439" s="20"/>
      <c r="D439" s="254"/>
      <c r="E439" s="379">
        <v>141667</v>
      </c>
      <c r="F439" s="395" t="s">
        <v>694</v>
      </c>
      <c r="G439" s="396"/>
      <c r="H439" s="397"/>
      <c r="I439" s="383">
        <v>755000</v>
      </c>
      <c r="J439" s="398">
        <v>141667</v>
      </c>
      <c r="K439" s="399" t="s">
        <v>71</v>
      </c>
      <c r="L439" s="399" t="s">
        <v>34</v>
      </c>
      <c r="M439" s="399">
        <v>200</v>
      </c>
      <c r="N439" s="356">
        <v>755000</v>
      </c>
      <c r="O439" s="28" t="b">
        <f t="shared" si="16"/>
        <v>1</v>
      </c>
    </row>
    <row r="440" spans="2:15" s="28" customFormat="1" ht="16.5" customHeight="1">
      <c r="B440" s="20"/>
      <c r="C440" s="20"/>
      <c r="D440" s="254"/>
      <c r="E440" s="379">
        <v>141737</v>
      </c>
      <c r="F440" s="395" t="s">
        <v>116</v>
      </c>
      <c r="G440" s="396"/>
      <c r="H440" s="397"/>
      <c r="I440" s="383">
        <v>56300</v>
      </c>
      <c r="J440" s="398">
        <v>141737</v>
      </c>
      <c r="K440" s="399" t="s">
        <v>70</v>
      </c>
      <c r="L440" s="399" t="s">
        <v>34</v>
      </c>
      <c r="M440" s="399">
        <v>20</v>
      </c>
      <c r="N440" s="356">
        <v>56300</v>
      </c>
      <c r="O440" s="28" t="b">
        <f t="shared" si="16"/>
        <v>1</v>
      </c>
    </row>
    <row r="441" spans="2:15" s="28" customFormat="1" ht="16.5" customHeight="1">
      <c r="B441" s="20"/>
      <c r="C441" s="20"/>
      <c r="D441" s="254"/>
      <c r="E441" s="379">
        <v>141738</v>
      </c>
      <c r="F441" s="395" t="s">
        <v>115</v>
      </c>
      <c r="G441" s="396"/>
      <c r="H441" s="397"/>
      <c r="I441" s="383">
        <v>520000</v>
      </c>
      <c r="J441" s="398">
        <v>141738</v>
      </c>
      <c r="K441" s="399" t="s">
        <v>71</v>
      </c>
      <c r="L441" s="399" t="s">
        <v>34</v>
      </c>
      <c r="M441" s="399">
        <v>200</v>
      </c>
      <c r="N441" s="356">
        <v>520000</v>
      </c>
      <c r="O441" s="28" t="b">
        <f t="shared" si="16"/>
        <v>1</v>
      </c>
    </row>
    <row r="442" spans="2:15" s="28" customFormat="1" ht="16.5" customHeight="1">
      <c r="B442" s="20"/>
      <c r="C442" s="20"/>
      <c r="D442" s="254"/>
      <c r="E442" s="379">
        <v>141741</v>
      </c>
      <c r="F442" s="395" t="s">
        <v>114</v>
      </c>
      <c r="G442" s="396"/>
      <c r="H442" s="397"/>
      <c r="I442" s="383">
        <v>53900</v>
      </c>
      <c r="J442" s="398">
        <v>141741</v>
      </c>
      <c r="K442" s="399" t="s">
        <v>70</v>
      </c>
      <c r="L442" s="399" t="s">
        <v>34</v>
      </c>
      <c r="M442" s="399">
        <v>20</v>
      </c>
      <c r="N442" s="356">
        <v>53900</v>
      </c>
      <c r="O442" s="28" t="b">
        <f t="shared" si="16"/>
        <v>1</v>
      </c>
    </row>
    <row r="443" spans="2:15" s="28" customFormat="1" ht="16.5" customHeight="1">
      <c r="B443" s="20"/>
      <c r="C443" s="20"/>
      <c r="D443" s="254"/>
      <c r="E443" s="379">
        <v>141742</v>
      </c>
      <c r="F443" s="395" t="s">
        <v>113</v>
      </c>
      <c r="G443" s="396"/>
      <c r="H443" s="397"/>
      <c r="I443" s="383">
        <v>492000</v>
      </c>
      <c r="J443" s="398">
        <v>141742</v>
      </c>
      <c r="K443" s="399" t="s">
        <v>71</v>
      </c>
      <c r="L443" s="399" t="s">
        <v>34</v>
      </c>
      <c r="M443" s="399">
        <v>200</v>
      </c>
      <c r="N443" s="356">
        <v>492000</v>
      </c>
      <c r="O443" s="28" t="b">
        <f t="shared" si="16"/>
        <v>1</v>
      </c>
    </row>
    <row r="444" spans="2:15" s="28" customFormat="1" ht="16.5" customHeight="1">
      <c r="B444" s="20"/>
      <c r="C444" s="20"/>
      <c r="D444" s="254"/>
      <c r="E444" s="379">
        <v>141745</v>
      </c>
      <c r="F444" s="395" t="s">
        <v>112</v>
      </c>
      <c r="G444" s="396"/>
      <c r="H444" s="397"/>
      <c r="I444" s="383">
        <v>53900</v>
      </c>
      <c r="J444" s="398">
        <v>141745</v>
      </c>
      <c r="K444" s="399" t="s">
        <v>70</v>
      </c>
      <c r="L444" s="399" t="s">
        <v>34</v>
      </c>
      <c r="M444" s="399">
        <v>20</v>
      </c>
      <c r="N444" s="356">
        <v>53900</v>
      </c>
      <c r="O444" s="28" t="b">
        <f t="shared" si="16"/>
        <v>1</v>
      </c>
    </row>
    <row r="445" spans="2:15" s="28" customFormat="1" ht="16.5" customHeight="1">
      <c r="B445" s="20"/>
      <c r="C445" s="20"/>
      <c r="D445" s="254"/>
      <c r="E445" s="379">
        <v>141746</v>
      </c>
      <c r="F445" s="395" t="s">
        <v>111</v>
      </c>
      <c r="G445" s="396"/>
      <c r="H445" s="397"/>
      <c r="I445" s="383">
        <v>492000</v>
      </c>
      <c r="J445" s="398">
        <v>141746</v>
      </c>
      <c r="K445" s="399" t="s">
        <v>71</v>
      </c>
      <c r="L445" s="399" t="s">
        <v>34</v>
      </c>
      <c r="M445" s="399">
        <v>200</v>
      </c>
      <c r="N445" s="356">
        <v>492000</v>
      </c>
      <c r="O445" s="28" t="b">
        <f t="shared" si="16"/>
        <v>1</v>
      </c>
    </row>
    <row r="446" spans="2:15" s="28" customFormat="1" ht="16.5" customHeight="1">
      <c r="B446" s="20"/>
      <c r="C446" s="20"/>
      <c r="D446" s="254"/>
      <c r="E446" s="379">
        <v>141750</v>
      </c>
      <c r="F446" s="395" t="s">
        <v>231</v>
      </c>
      <c r="G446" s="396"/>
      <c r="H446" s="397"/>
      <c r="I446" s="383">
        <v>53900</v>
      </c>
      <c r="J446" s="398">
        <v>141750</v>
      </c>
      <c r="K446" s="399" t="s">
        <v>70</v>
      </c>
      <c r="L446" s="399" t="s">
        <v>34</v>
      </c>
      <c r="M446" s="399">
        <v>20</v>
      </c>
      <c r="N446" s="356">
        <v>53900</v>
      </c>
      <c r="O446" s="28" t="b">
        <f t="shared" si="16"/>
        <v>1</v>
      </c>
    </row>
    <row r="447" spans="2:15" s="28" customFormat="1" ht="16.5" customHeight="1">
      <c r="B447" s="20"/>
      <c r="C447" s="20"/>
      <c r="D447" s="254"/>
      <c r="E447" s="379">
        <v>141751</v>
      </c>
      <c r="F447" s="395" t="s">
        <v>110</v>
      </c>
      <c r="G447" s="396"/>
      <c r="H447" s="397"/>
      <c r="I447" s="383">
        <v>492000</v>
      </c>
      <c r="J447" s="398">
        <v>141751</v>
      </c>
      <c r="K447" s="399" t="s">
        <v>71</v>
      </c>
      <c r="L447" s="399" t="s">
        <v>34</v>
      </c>
      <c r="M447" s="399">
        <v>200</v>
      </c>
      <c r="N447" s="356">
        <v>492000</v>
      </c>
      <c r="O447" s="28" t="b">
        <f t="shared" si="16"/>
        <v>1</v>
      </c>
    </row>
    <row r="448" spans="2:15" s="28" customFormat="1" ht="16.5" customHeight="1">
      <c r="B448" s="20"/>
      <c r="C448" s="20"/>
      <c r="D448" s="254"/>
      <c r="E448" s="379">
        <v>141763</v>
      </c>
      <c r="F448" s="395" t="s">
        <v>396</v>
      </c>
      <c r="G448" s="396"/>
      <c r="H448" s="397"/>
      <c r="I448" s="383">
        <v>79600</v>
      </c>
      <c r="J448" s="398">
        <v>141763</v>
      </c>
      <c r="K448" s="399" t="s">
        <v>70</v>
      </c>
      <c r="L448" s="399" t="s">
        <v>34</v>
      </c>
      <c r="M448" s="399">
        <v>20</v>
      </c>
      <c r="N448" s="356">
        <v>79600</v>
      </c>
      <c r="O448" s="28" t="b">
        <f t="shared" si="16"/>
        <v>1</v>
      </c>
    </row>
    <row r="449" spans="2:15" s="28" customFormat="1" ht="16.5" customHeight="1">
      <c r="B449" s="20"/>
      <c r="C449" s="20"/>
      <c r="D449" s="254"/>
      <c r="E449" s="379">
        <v>142012</v>
      </c>
      <c r="F449" s="395" t="s">
        <v>129</v>
      </c>
      <c r="G449" s="396"/>
      <c r="H449" s="397"/>
      <c r="I449" s="383">
        <v>46900</v>
      </c>
      <c r="J449" s="398">
        <v>142012</v>
      </c>
      <c r="K449" s="399" t="s">
        <v>70</v>
      </c>
      <c r="L449" s="399" t="s">
        <v>34</v>
      </c>
      <c r="M449" s="399">
        <v>20</v>
      </c>
      <c r="N449" s="356">
        <v>46900</v>
      </c>
      <c r="O449" s="28" t="b">
        <f t="shared" si="16"/>
        <v>1</v>
      </c>
    </row>
    <row r="450" spans="2:15" s="28" customFormat="1" ht="16.5" customHeight="1">
      <c r="B450" s="20"/>
      <c r="C450" s="20"/>
      <c r="D450" s="254"/>
      <c r="E450" s="379">
        <v>142028</v>
      </c>
      <c r="F450" s="395" t="s">
        <v>768</v>
      </c>
      <c r="G450" s="396"/>
      <c r="H450" s="397"/>
      <c r="I450" s="383">
        <v>318000</v>
      </c>
      <c r="J450" s="398">
        <v>142028</v>
      </c>
      <c r="K450" s="399" t="s">
        <v>70</v>
      </c>
      <c r="L450" s="399" t="s">
        <v>34</v>
      </c>
      <c r="M450" s="399">
        <v>16</v>
      </c>
      <c r="N450" s="356">
        <v>318000</v>
      </c>
      <c r="O450" s="28" t="b">
        <f t="shared" si="16"/>
        <v>1</v>
      </c>
    </row>
    <row r="451" spans="2:15" s="28" customFormat="1" ht="16.5" customHeight="1">
      <c r="B451" s="20"/>
      <c r="C451" s="20"/>
      <c r="D451" s="254"/>
      <c r="E451" s="379">
        <v>142288</v>
      </c>
      <c r="F451" s="395" t="s">
        <v>121</v>
      </c>
      <c r="G451" s="396"/>
      <c r="H451" s="397"/>
      <c r="I451" s="383">
        <v>6002000</v>
      </c>
      <c r="J451" s="398">
        <v>142288</v>
      </c>
      <c r="K451" s="399" t="s">
        <v>71</v>
      </c>
      <c r="L451" s="399" t="s">
        <v>34</v>
      </c>
      <c r="M451" s="399">
        <v>208</v>
      </c>
      <c r="N451" s="356">
        <v>6002000</v>
      </c>
      <c r="O451" s="28" t="b">
        <f t="shared" si="16"/>
        <v>1</v>
      </c>
    </row>
    <row r="452" spans="2:15" s="28" customFormat="1" ht="16.5" customHeight="1">
      <c r="B452" s="20"/>
      <c r="C452" s="20"/>
      <c r="D452" s="254"/>
      <c r="E452" s="379">
        <v>142411</v>
      </c>
      <c r="F452" s="395" t="s">
        <v>705</v>
      </c>
      <c r="G452" s="396"/>
      <c r="H452" s="397"/>
      <c r="I452" s="383">
        <v>777000</v>
      </c>
      <c r="J452" s="398">
        <v>142411</v>
      </c>
      <c r="K452" s="399" t="s">
        <v>71</v>
      </c>
      <c r="L452" s="399" t="s">
        <v>34</v>
      </c>
      <c r="M452" s="399">
        <v>200</v>
      </c>
      <c r="N452" s="356">
        <v>777000</v>
      </c>
      <c r="O452" s="28" t="b">
        <f t="shared" si="16"/>
        <v>1</v>
      </c>
    </row>
    <row r="453" spans="2:15" s="28" customFormat="1" ht="16.5" customHeight="1">
      <c r="B453" s="20"/>
      <c r="C453" s="20"/>
      <c r="D453" s="254"/>
      <c r="E453" s="379">
        <v>142637</v>
      </c>
      <c r="F453" s="395" t="s">
        <v>707</v>
      </c>
      <c r="G453" s="396"/>
      <c r="H453" s="397"/>
      <c r="I453" s="383">
        <v>4494000</v>
      </c>
      <c r="J453" s="399">
        <v>142637</v>
      </c>
      <c r="K453" s="399" t="s">
        <v>71</v>
      </c>
      <c r="L453" s="399" t="s">
        <v>34</v>
      </c>
      <c r="M453" s="399">
        <v>200</v>
      </c>
      <c r="N453" s="356">
        <v>4494000</v>
      </c>
      <c r="O453" s="28" t="b">
        <f t="shared" si="16"/>
        <v>1</v>
      </c>
    </row>
    <row r="454" spans="2:15" s="28" customFormat="1" ht="16.5" customHeight="1">
      <c r="B454" s="20"/>
      <c r="C454" s="20"/>
      <c r="D454" s="254"/>
      <c r="E454" s="379">
        <v>143560</v>
      </c>
      <c r="F454" s="395" t="s">
        <v>724</v>
      </c>
      <c r="G454" s="396"/>
      <c r="H454" s="397"/>
      <c r="I454" s="383">
        <v>728000</v>
      </c>
      <c r="J454" s="398">
        <v>143560</v>
      </c>
      <c r="K454" s="399" t="s">
        <v>71</v>
      </c>
      <c r="L454" s="399" t="s">
        <v>34</v>
      </c>
      <c r="M454" s="399">
        <v>200</v>
      </c>
      <c r="N454" s="356">
        <v>728000</v>
      </c>
      <c r="O454" s="28" t="b">
        <f t="shared" si="16"/>
        <v>1</v>
      </c>
    </row>
    <row r="455" spans="2:15" s="28" customFormat="1" ht="16.5" customHeight="1">
      <c r="B455" s="20"/>
      <c r="C455" s="20"/>
      <c r="D455" s="254"/>
      <c r="E455" s="379">
        <v>143561</v>
      </c>
      <c r="F455" s="395" t="s">
        <v>725</v>
      </c>
      <c r="G455" s="396"/>
      <c r="H455" s="397"/>
      <c r="I455" s="383">
        <v>728000</v>
      </c>
      <c r="J455" s="398">
        <v>143561</v>
      </c>
      <c r="K455" s="399" t="s">
        <v>71</v>
      </c>
      <c r="L455" s="399" t="s">
        <v>34</v>
      </c>
      <c r="M455" s="399">
        <v>200</v>
      </c>
      <c r="N455" s="356">
        <v>728000</v>
      </c>
      <c r="O455" s="28" t="b">
        <f t="shared" si="16"/>
        <v>1</v>
      </c>
    </row>
    <row r="456" spans="2:15" s="28" customFormat="1" ht="16.5" customHeight="1">
      <c r="B456" s="20"/>
      <c r="C456" s="20"/>
      <c r="D456" s="254"/>
      <c r="E456" s="379">
        <v>143563</v>
      </c>
      <c r="F456" s="395" t="s">
        <v>726</v>
      </c>
      <c r="G456" s="396"/>
      <c r="H456" s="397"/>
      <c r="I456" s="383">
        <v>728000</v>
      </c>
      <c r="J456" s="398">
        <v>143563</v>
      </c>
      <c r="K456" s="399" t="s">
        <v>71</v>
      </c>
      <c r="L456" s="399" t="s">
        <v>34</v>
      </c>
      <c r="M456" s="399">
        <v>200</v>
      </c>
      <c r="N456" s="356">
        <v>728000</v>
      </c>
      <c r="O456" s="28" t="b">
        <f t="shared" si="16"/>
        <v>1</v>
      </c>
    </row>
    <row r="457" spans="2:15" s="28" customFormat="1" ht="16.5" customHeight="1">
      <c r="B457" s="20"/>
      <c r="C457" s="20"/>
      <c r="D457" s="254"/>
      <c r="E457" s="379">
        <v>143982</v>
      </c>
      <c r="F457" s="395" t="s">
        <v>749</v>
      </c>
      <c r="G457" s="396"/>
      <c r="H457" s="397"/>
      <c r="I457" s="383">
        <v>2995000</v>
      </c>
      <c r="J457" s="398">
        <v>143982</v>
      </c>
      <c r="K457" s="399" t="s">
        <v>71</v>
      </c>
      <c r="L457" s="399" t="s">
        <v>34</v>
      </c>
      <c r="M457" s="399">
        <v>208</v>
      </c>
      <c r="N457" s="356">
        <v>2995000</v>
      </c>
      <c r="O457" s="28" t="b">
        <f t="shared" si="16"/>
        <v>1</v>
      </c>
    </row>
    <row r="458" spans="2:15" s="28" customFormat="1" ht="16.5" customHeight="1">
      <c r="B458" s="20"/>
      <c r="C458" s="20"/>
      <c r="D458" s="254"/>
      <c r="E458" s="379">
        <v>143983</v>
      </c>
      <c r="F458" s="395" t="s">
        <v>743</v>
      </c>
      <c r="G458" s="396"/>
      <c r="H458" s="397"/>
      <c r="I458" s="383">
        <v>287000</v>
      </c>
      <c r="J458" s="399">
        <v>143983</v>
      </c>
      <c r="K458" s="399" t="s">
        <v>70</v>
      </c>
      <c r="L458" s="399" t="s">
        <v>34</v>
      </c>
      <c r="M458" s="399">
        <v>20</v>
      </c>
      <c r="N458" s="356">
        <v>287000</v>
      </c>
      <c r="O458" s="28" t="b">
        <f t="shared" si="16"/>
        <v>1</v>
      </c>
    </row>
    <row r="459" spans="2:15" s="28" customFormat="1" ht="16.5" customHeight="1">
      <c r="B459" s="20"/>
      <c r="C459" s="20"/>
      <c r="D459" s="254"/>
      <c r="E459" s="379">
        <v>143985</v>
      </c>
      <c r="F459" s="395" t="s">
        <v>769</v>
      </c>
      <c r="G459" s="396"/>
      <c r="H459" s="397"/>
      <c r="I459" s="383">
        <v>2763000</v>
      </c>
      <c r="J459" s="398">
        <v>143985</v>
      </c>
      <c r="K459" s="399" t="s">
        <v>71</v>
      </c>
      <c r="L459" s="399" t="s">
        <v>34</v>
      </c>
      <c r="M459" s="399">
        <v>208</v>
      </c>
      <c r="N459" s="356">
        <v>2763000</v>
      </c>
      <c r="O459" s="28" t="b">
        <f t="shared" si="16"/>
        <v>1</v>
      </c>
    </row>
    <row r="460" spans="2:15" s="28" customFormat="1" ht="16.5" customHeight="1">
      <c r="B460" s="20"/>
      <c r="C460" s="20"/>
      <c r="D460" s="254"/>
      <c r="E460" s="379">
        <v>143987</v>
      </c>
      <c r="F460" s="395" t="s">
        <v>747</v>
      </c>
      <c r="G460" s="396"/>
      <c r="H460" s="397"/>
      <c r="I460" s="383">
        <v>2938000</v>
      </c>
      <c r="J460" s="398">
        <v>143987</v>
      </c>
      <c r="K460" s="399" t="s">
        <v>71</v>
      </c>
      <c r="L460" s="399" t="s">
        <v>34</v>
      </c>
      <c r="M460" s="399">
        <v>208</v>
      </c>
      <c r="N460" s="356">
        <v>2938000</v>
      </c>
      <c r="O460" s="28" t="b">
        <f t="shared" si="16"/>
        <v>1</v>
      </c>
    </row>
    <row r="461" spans="2:15" s="28" customFormat="1" ht="16.5" customHeight="1">
      <c r="B461" s="20"/>
      <c r="C461" s="20"/>
      <c r="D461" s="254"/>
      <c r="E461" s="379">
        <v>143988</v>
      </c>
      <c r="F461" s="395" t="s">
        <v>742</v>
      </c>
      <c r="G461" s="396"/>
      <c r="H461" s="397"/>
      <c r="I461" s="383">
        <v>289000</v>
      </c>
      <c r="J461" s="398">
        <v>143988</v>
      </c>
      <c r="K461" s="399" t="s">
        <v>70</v>
      </c>
      <c r="L461" s="399" t="s">
        <v>34</v>
      </c>
      <c r="M461" s="399">
        <v>20</v>
      </c>
      <c r="N461" s="356">
        <v>289000</v>
      </c>
      <c r="O461" s="28" t="b">
        <f t="shared" si="16"/>
        <v>1</v>
      </c>
    </row>
    <row r="462" spans="2:15" s="28" customFormat="1" ht="16.5" customHeight="1">
      <c r="B462" s="20"/>
      <c r="C462" s="20"/>
      <c r="D462" s="254"/>
      <c r="E462" s="379">
        <v>143990</v>
      </c>
      <c r="F462" s="395" t="s">
        <v>770</v>
      </c>
      <c r="G462" s="396"/>
      <c r="H462" s="397"/>
      <c r="I462" s="383">
        <v>3124000</v>
      </c>
      <c r="J462" s="398">
        <v>143990</v>
      </c>
      <c r="K462" s="399" t="s">
        <v>71</v>
      </c>
      <c r="L462" s="399" t="s">
        <v>34</v>
      </c>
      <c r="M462" s="399">
        <v>208</v>
      </c>
      <c r="N462" s="356">
        <v>3124000</v>
      </c>
      <c r="O462" s="28" t="b">
        <f t="shared" si="16"/>
        <v>1</v>
      </c>
    </row>
    <row r="463" spans="2:15" s="28" customFormat="1" ht="16.5" customHeight="1">
      <c r="B463" s="20"/>
      <c r="C463" s="20"/>
      <c r="D463" s="254"/>
      <c r="E463" s="379">
        <v>143991</v>
      </c>
      <c r="F463" s="395" t="s">
        <v>771</v>
      </c>
      <c r="G463" s="396"/>
      <c r="H463" s="397"/>
      <c r="I463" s="383">
        <v>337000</v>
      </c>
      <c r="J463" s="398">
        <v>143991</v>
      </c>
      <c r="K463" s="399" t="s">
        <v>70</v>
      </c>
      <c r="L463" s="399" t="s">
        <v>34</v>
      </c>
      <c r="M463" s="399">
        <v>20</v>
      </c>
      <c r="N463" s="356">
        <v>337000</v>
      </c>
      <c r="O463" s="28" t="b">
        <f t="shared" si="16"/>
        <v>1</v>
      </c>
    </row>
    <row r="464" spans="2:15" s="28" customFormat="1" ht="16.5" customHeight="1">
      <c r="B464" s="20"/>
      <c r="C464" s="20"/>
      <c r="D464" s="254"/>
      <c r="E464" s="379">
        <v>143993</v>
      </c>
      <c r="F464" s="395" t="s">
        <v>772</v>
      </c>
      <c r="G464" s="396"/>
      <c r="H464" s="397"/>
      <c r="I464" s="383">
        <v>3255000</v>
      </c>
      <c r="J464" s="399">
        <v>143993</v>
      </c>
      <c r="K464" s="399" t="s">
        <v>71</v>
      </c>
      <c r="L464" s="399" t="s">
        <v>34</v>
      </c>
      <c r="M464" s="399">
        <v>208</v>
      </c>
      <c r="N464" s="356">
        <v>3255000</v>
      </c>
      <c r="O464" s="28" t="b">
        <f t="shared" si="16"/>
        <v>1</v>
      </c>
    </row>
    <row r="465" spans="2:15" s="28" customFormat="1" ht="16.5" customHeight="1">
      <c r="B465" s="20"/>
      <c r="C465" s="20"/>
      <c r="D465" s="254"/>
      <c r="E465" s="379">
        <v>143994</v>
      </c>
      <c r="F465" s="395" t="s">
        <v>773</v>
      </c>
      <c r="G465" s="396"/>
      <c r="H465" s="397"/>
      <c r="I465" s="383">
        <v>351000</v>
      </c>
      <c r="J465" s="398">
        <v>143994</v>
      </c>
      <c r="K465" s="399" t="s">
        <v>70</v>
      </c>
      <c r="L465" s="399" t="s">
        <v>34</v>
      </c>
      <c r="M465" s="399">
        <v>20</v>
      </c>
      <c r="N465" s="356">
        <v>351000</v>
      </c>
      <c r="O465" s="28" t="b">
        <f t="shared" si="16"/>
        <v>1</v>
      </c>
    </row>
    <row r="466" spans="2:15" s="28" customFormat="1" ht="16.5" customHeight="1">
      <c r="B466" s="20"/>
      <c r="C466" s="20"/>
      <c r="D466" s="254"/>
      <c r="E466" s="379">
        <v>144165</v>
      </c>
      <c r="F466" s="395" t="s">
        <v>750</v>
      </c>
      <c r="G466" s="396"/>
      <c r="H466" s="397"/>
      <c r="I466" s="383">
        <v>34300</v>
      </c>
      <c r="J466" s="398">
        <v>144165</v>
      </c>
      <c r="K466" s="399" t="s">
        <v>70</v>
      </c>
      <c r="L466" s="399" t="s">
        <v>34</v>
      </c>
      <c r="M466" s="399">
        <v>20</v>
      </c>
      <c r="N466" s="356">
        <v>34300</v>
      </c>
      <c r="O466" s="28" t="b">
        <f t="shared" si="16"/>
        <v>1</v>
      </c>
    </row>
    <row r="467" spans="2:15" s="28" customFormat="1" ht="16.5" customHeight="1">
      <c r="B467" s="20"/>
      <c r="C467" s="20"/>
      <c r="D467" s="254"/>
      <c r="E467" s="379">
        <v>144166</v>
      </c>
      <c r="F467" s="395" t="s">
        <v>748</v>
      </c>
      <c r="G467" s="396"/>
      <c r="H467" s="397"/>
      <c r="I467" s="383">
        <v>318000</v>
      </c>
      <c r="J467" s="398">
        <v>144166</v>
      </c>
      <c r="K467" s="399" t="s">
        <v>71</v>
      </c>
      <c r="L467" s="399" t="s">
        <v>34</v>
      </c>
      <c r="M467" s="399">
        <v>200</v>
      </c>
      <c r="N467" s="356">
        <v>318000</v>
      </c>
      <c r="O467" s="28" t="b">
        <f t="shared" ref="O467:O496" si="17">I467=N467</f>
        <v>1</v>
      </c>
    </row>
    <row r="468" spans="2:15" s="28" customFormat="1" ht="16.5" customHeight="1">
      <c r="B468" s="20"/>
      <c r="C468" s="20"/>
      <c r="D468" s="254"/>
      <c r="E468" s="379">
        <v>144167</v>
      </c>
      <c r="F468" s="395" t="s">
        <v>745</v>
      </c>
      <c r="G468" s="396"/>
      <c r="H468" s="397"/>
      <c r="I468" s="383">
        <v>34300</v>
      </c>
      <c r="J468" s="398">
        <v>144167</v>
      </c>
      <c r="K468" s="399" t="s">
        <v>70</v>
      </c>
      <c r="L468" s="399" t="s">
        <v>34</v>
      </c>
      <c r="M468" s="399">
        <v>20</v>
      </c>
      <c r="N468" s="356">
        <v>34300</v>
      </c>
      <c r="O468" s="28" t="b">
        <f t="shared" si="17"/>
        <v>1</v>
      </c>
    </row>
    <row r="469" spans="2:15" s="28" customFormat="1" ht="16.5" customHeight="1">
      <c r="B469" s="20"/>
      <c r="C469" s="20"/>
      <c r="D469" s="254"/>
      <c r="E469" s="379">
        <v>144168</v>
      </c>
      <c r="F469" s="395" t="s">
        <v>744</v>
      </c>
      <c r="G469" s="396"/>
      <c r="H469" s="397"/>
      <c r="I469" s="383">
        <v>318000</v>
      </c>
      <c r="J469" s="398">
        <v>144168</v>
      </c>
      <c r="K469" s="399" t="s">
        <v>71</v>
      </c>
      <c r="L469" s="399" t="s">
        <v>34</v>
      </c>
      <c r="M469" s="399">
        <v>200</v>
      </c>
      <c r="N469" s="356">
        <v>318000</v>
      </c>
      <c r="O469" s="28" t="b">
        <f t="shared" si="17"/>
        <v>1</v>
      </c>
    </row>
    <row r="470" spans="2:15" s="28" customFormat="1" ht="16.5" customHeight="1">
      <c r="B470" s="20"/>
      <c r="C470" s="20"/>
      <c r="D470" s="254"/>
      <c r="E470" s="379">
        <v>144169</v>
      </c>
      <c r="F470" s="395" t="s">
        <v>751</v>
      </c>
      <c r="G470" s="396"/>
      <c r="H470" s="397"/>
      <c r="I470" s="383">
        <v>36600</v>
      </c>
      <c r="J470" s="398">
        <v>144169</v>
      </c>
      <c r="K470" s="399" t="s">
        <v>70</v>
      </c>
      <c r="L470" s="399" t="s">
        <v>34</v>
      </c>
      <c r="M470" s="399">
        <v>20</v>
      </c>
      <c r="N470" s="356">
        <v>35300</v>
      </c>
      <c r="O470" s="28" t="b">
        <f t="shared" si="17"/>
        <v>0</v>
      </c>
    </row>
    <row r="471" spans="2:15" s="28" customFormat="1" ht="16.5" customHeight="1">
      <c r="B471" s="20"/>
      <c r="C471" s="20"/>
      <c r="D471" s="254"/>
      <c r="E471" s="379">
        <v>144170</v>
      </c>
      <c r="F471" s="395" t="s">
        <v>752</v>
      </c>
      <c r="G471" s="396"/>
      <c r="H471" s="397"/>
      <c r="I471" s="383">
        <v>338000</v>
      </c>
      <c r="J471" s="398">
        <v>144170</v>
      </c>
      <c r="K471" s="399" t="s">
        <v>71</v>
      </c>
      <c r="L471" s="399" t="s">
        <v>34</v>
      </c>
      <c r="M471" s="399">
        <v>200</v>
      </c>
      <c r="N471" s="356">
        <v>328000</v>
      </c>
      <c r="O471" s="28" t="b">
        <f t="shared" si="17"/>
        <v>0</v>
      </c>
    </row>
    <row r="472" spans="2:15" s="28" customFormat="1" ht="16.5" customHeight="1">
      <c r="B472" s="20"/>
      <c r="C472" s="20"/>
      <c r="D472" s="254"/>
      <c r="E472" s="379">
        <v>138924</v>
      </c>
      <c r="F472" s="395" t="s">
        <v>555</v>
      </c>
      <c r="G472" s="396"/>
      <c r="H472" s="397"/>
      <c r="I472" s="383"/>
      <c r="J472" s="398">
        <v>138924</v>
      </c>
      <c r="K472" s="399" t="s">
        <v>71</v>
      </c>
      <c r="L472" s="399" t="s">
        <v>34</v>
      </c>
      <c r="M472" s="399">
        <v>200</v>
      </c>
      <c r="N472" s="356" t="e">
        <v>#N/A</v>
      </c>
      <c r="O472" s="28" t="e">
        <f t="shared" si="17"/>
        <v>#N/A</v>
      </c>
    </row>
    <row r="473" spans="2:15" s="28" customFormat="1" ht="16.5" customHeight="1">
      <c r="B473" s="20"/>
      <c r="C473" s="20"/>
      <c r="D473" s="254"/>
      <c r="E473" s="379">
        <v>144364</v>
      </c>
      <c r="F473" s="395" t="s">
        <v>780</v>
      </c>
      <c r="G473" s="396"/>
      <c r="H473" s="397"/>
      <c r="I473" s="383">
        <v>713000</v>
      </c>
      <c r="J473" s="398">
        <v>144364</v>
      </c>
      <c r="K473" s="399" t="s">
        <v>71</v>
      </c>
      <c r="L473" s="399" t="s">
        <v>34</v>
      </c>
      <c r="M473" s="399">
        <v>200</v>
      </c>
      <c r="N473" s="356">
        <v>713000</v>
      </c>
      <c r="O473" s="28" t="b">
        <f t="shared" si="17"/>
        <v>1</v>
      </c>
    </row>
    <row r="474" spans="2:15" s="28" customFormat="1" ht="16.5" customHeight="1">
      <c r="B474" s="20"/>
      <c r="C474" s="20"/>
      <c r="D474" s="254"/>
      <c r="E474" s="379">
        <v>136171</v>
      </c>
      <c r="F474" s="395" t="s">
        <v>39</v>
      </c>
      <c r="G474" s="396"/>
      <c r="H474" s="397"/>
      <c r="I474" s="383"/>
      <c r="J474" s="398">
        <v>136171</v>
      </c>
      <c r="K474" s="399" t="s">
        <v>70</v>
      </c>
      <c r="L474" s="399" t="s">
        <v>34</v>
      </c>
      <c r="M474" s="399">
        <v>20</v>
      </c>
      <c r="N474" s="356" t="e">
        <v>#N/A</v>
      </c>
      <c r="O474" s="28" t="e">
        <f t="shared" si="17"/>
        <v>#N/A</v>
      </c>
    </row>
    <row r="475" spans="2:15" s="28" customFormat="1" ht="16.5" customHeight="1">
      <c r="B475" s="20"/>
      <c r="C475" s="20"/>
      <c r="D475" s="254"/>
      <c r="E475" s="379">
        <v>148672</v>
      </c>
      <c r="F475" s="395" t="s">
        <v>779</v>
      </c>
      <c r="G475" s="396"/>
      <c r="H475" s="397"/>
      <c r="I475" s="383">
        <v>76100</v>
      </c>
      <c r="J475" s="398">
        <v>148672</v>
      </c>
      <c r="K475" s="399" t="s">
        <v>70</v>
      </c>
      <c r="L475" s="399" t="s">
        <v>34</v>
      </c>
      <c r="M475" s="399">
        <v>20</v>
      </c>
      <c r="N475" s="356">
        <v>76100</v>
      </c>
      <c r="O475" s="28" t="b">
        <f t="shared" si="17"/>
        <v>1</v>
      </c>
    </row>
    <row r="476" spans="2:15" s="28" customFormat="1" ht="16.5" customHeight="1">
      <c r="B476" s="20"/>
      <c r="C476" s="20"/>
      <c r="D476" s="254"/>
      <c r="E476" s="379">
        <v>144353</v>
      </c>
      <c r="F476" s="395" t="s">
        <v>774</v>
      </c>
      <c r="G476" s="396"/>
      <c r="H476" s="397"/>
      <c r="I476" s="383">
        <v>670000</v>
      </c>
      <c r="J476" s="398">
        <v>144353</v>
      </c>
      <c r="K476" s="399" t="s">
        <v>71</v>
      </c>
      <c r="L476" s="399" t="s">
        <v>34</v>
      </c>
      <c r="M476" s="399">
        <v>200</v>
      </c>
      <c r="N476" s="356">
        <v>670000</v>
      </c>
      <c r="O476" s="28" t="b">
        <f t="shared" si="17"/>
        <v>1</v>
      </c>
    </row>
    <row r="477" spans="2:15" s="28" customFormat="1" ht="16.5" customHeight="1">
      <c r="B477" s="20"/>
      <c r="C477" s="20"/>
      <c r="D477" s="254"/>
      <c r="E477" s="379">
        <v>148668</v>
      </c>
      <c r="F477" s="395" t="s">
        <v>758</v>
      </c>
      <c r="G477" s="396"/>
      <c r="H477" s="397"/>
      <c r="I477" s="383">
        <v>71700</v>
      </c>
      <c r="J477" s="398">
        <v>148668</v>
      </c>
      <c r="K477" s="399" t="s">
        <v>70</v>
      </c>
      <c r="L477" s="399" t="s">
        <v>34</v>
      </c>
      <c r="M477" s="399">
        <v>20</v>
      </c>
      <c r="N477" s="356">
        <v>71700</v>
      </c>
      <c r="O477" s="28" t="b">
        <f t="shared" si="17"/>
        <v>1</v>
      </c>
    </row>
    <row r="478" spans="2:15" s="28" customFormat="1" ht="16.5" customHeight="1">
      <c r="B478" s="20"/>
      <c r="C478" s="20"/>
      <c r="D478" s="254"/>
      <c r="E478" s="379">
        <v>138925</v>
      </c>
      <c r="F478" s="395" t="s">
        <v>556</v>
      </c>
      <c r="G478" s="396"/>
      <c r="H478" s="397"/>
      <c r="I478" s="383"/>
      <c r="J478" s="398">
        <v>138925</v>
      </c>
      <c r="K478" s="399" t="s">
        <v>71</v>
      </c>
      <c r="L478" s="399" t="s">
        <v>34</v>
      </c>
      <c r="M478" s="399">
        <v>200</v>
      </c>
      <c r="N478" s="356" t="e">
        <v>#N/A</v>
      </c>
      <c r="O478" s="28" t="e">
        <f t="shared" si="17"/>
        <v>#N/A</v>
      </c>
    </row>
    <row r="479" spans="2:15" s="28" customFormat="1" ht="16.5" customHeight="1">
      <c r="B479" s="20"/>
      <c r="C479" s="20"/>
      <c r="D479" s="254"/>
      <c r="E479" s="379">
        <v>144367</v>
      </c>
      <c r="F479" s="395" t="s">
        <v>782</v>
      </c>
      <c r="G479" s="396"/>
      <c r="H479" s="397"/>
      <c r="I479" s="383">
        <v>756000</v>
      </c>
      <c r="J479" s="398">
        <v>144367</v>
      </c>
      <c r="K479" s="399" t="s">
        <v>71</v>
      </c>
      <c r="L479" s="399" t="s">
        <v>34</v>
      </c>
      <c r="M479" s="399">
        <v>200</v>
      </c>
      <c r="N479" s="356">
        <v>756000</v>
      </c>
      <c r="O479" s="28" t="b">
        <f t="shared" si="17"/>
        <v>1</v>
      </c>
    </row>
    <row r="480" spans="2:15" s="28" customFormat="1" ht="16.5" customHeight="1">
      <c r="B480" s="20"/>
      <c r="C480" s="20"/>
      <c r="D480" s="254"/>
      <c r="E480" s="379">
        <v>136172</v>
      </c>
      <c r="F480" s="395" t="s">
        <v>38</v>
      </c>
      <c r="G480" s="396"/>
      <c r="H480" s="397"/>
      <c r="I480" s="383"/>
      <c r="J480" s="398">
        <v>136172</v>
      </c>
      <c r="K480" s="399" t="s">
        <v>70</v>
      </c>
      <c r="L480" s="399" t="s">
        <v>34</v>
      </c>
      <c r="M480" s="399">
        <v>20</v>
      </c>
      <c r="N480" s="356" t="e">
        <v>#N/A</v>
      </c>
      <c r="O480" s="28" t="e">
        <f t="shared" si="17"/>
        <v>#N/A</v>
      </c>
    </row>
    <row r="481" spans="2:15" s="28" customFormat="1" ht="16.5" customHeight="1">
      <c r="B481" s="20"/>
      <c r="C481" s="20"/>
      <c r="D481" s="254"/>
      <c r="E481" s="379">
        <v>148673</v>
      </c>
      <c r="F481" s="395" t="s">
        <v>781</v>
      </c>
      <c r="G481" s="396"/>
      <c r="H481" s="397"/>
      <c r="I481" s="383">
        <v>80200</v>
      </c>
      <c r="J481" s="398">
        <v>148673</v>
      </c>
      <c r="K481" s="399" t="s">
        <v>70</v>
      </c>
      <c r="L481" s="399" t="s">
        <v>34</v>
      </c>
      <c r="M481" s="399">
        <v>20</v>
      </c>
      <c r="N481" s="356">
        <v>80200</v>
      </c>
      <c r="O481" s="28" t="b">
        <f t="shared" si="17"/>
        <v>1</v>
      </c>
    </row>
    <row r="482" spans="2:15" s="28" customFormat="1" ht="16.5" customHeight="1">
      <c r="B482" s="20"/>
      <c r="C482" s="20"/>
      <c r="D482" s="254"/>
      <c r="E482" s="379">
        <v>144355</v>
      </c>
      <c r="F482" s="395" t="s">
        <v>775</v>
      </c>
      <c r="G482" s="396"/>
      <c r="H482" s="397"/>
      <c r="I482" s="383">
        <v>670000</v>
      </c>
      <c r="J482" s="398">
        <v>144355</v>
      </c>
      <c r="K482" s="399" t="s">
        <v>71</v>
      </c>
      <c r="L482" s="399" t="s">
        <v>34</v>
      </c>
      <c r="M482" s="399">
        <v>200</v>
      </c>
      <c r="N482" s="356">
        <v>670000</v>
      </c>
      <c r="O482" s="28" t="b">
        <f t="shared" si="17"/>
        <v>1</v>
      </c>
    </row>
    <row r="483" spans="2:15" s="28" customFormat="1" ht="16.5" customHeight="1">
      <c r="B483" s="20"/>
      <c r="C483" s="20"/>
      <c r="D483" s="254"/>
      <c r="E483" s="379">
        <v>148669</v>
      </c>
      <c r="F483" s="395" t="s">
        <v>755</v>
      </c>
      <c r="G483" s="396"/>
      <c r="H483" s="397"/>
      <c r="I483" s="383">
        <v>71700</v>
      </c>
      <c r="J483" s="398">
        <v>148669</v>
      </c>
      <c r="K483" s="399" t="s">
        <v>70</v>
      </c>
      <c r="L483" s="399" t="s">
        <v>34</v>
      </c>
      <c r="M483" s="399">
        <v>20</v>
      </c>
      <c r="N483" s="356">
        <v>71700</v>
      </c>
      <c r="O483" s="28" t="b">
        <f t="shared" si="17"/>
        <v>1</v>
      </c>
    </row>
    <row r="484" spans="2:15" s="28" customFormat="1" ht="16.5" customHeight="1">
      <c r="B484" s="20"/>
      <c r="C484" s="20"/>
      <c r="D484" s="254"/>
      <c r="E484" s="379">
        <v>144358</v>
      </c>
      <c r="F484" s="395" t="s">
        <v>754</v>
      </c>
      <c r="G484" s="396"/>
      <c r="H484" s="397"/>
      <c r="I484" s="383">
        <v>670000</v>
      </c>
      <c r="J484" s="398">
        <v>144358</v>
      </c>
      <c r="K484" s="399" t="s">
        <v>71</v>
      </c>
      <c r="L484" s="399" t="s">
        <v>34</v>
      </c>
      <c r="M484" s="399">
        <v>200</v>
      </c>
      <c r="N484" s="356">
        <v>670000</v>
      </c>
      <c r="O484" s="28" t="b">
        <f t="shared" si="17"/>
        <v>1</v>
      </c>
    </row>
    <row r="485" spans="2:15" s="28" customFormat="1" ht="16.5" customHeight="1">
      <c r="B485" s="20"/>
      <c r="C485" s="20"/>
      <c r="D485" s="254"/>
      <c r="E485" s="379">
        <v>148670</v>
      </c>
      <c r="F485" s="395" t="s">
        <v>776</v>
      </c>
      <c r="G485" s="396"/>
      <c r="H485" s="397"/>
      <c r="I485" s="383">
        <v>71700</v>
      </c>
      <c r="J485" s="398">
        <v>148670</v>
      </c>
      <c r="K485" s="399" t="s">
        <v>70</v>
      </c>
      <c r="L485" s="399" t="s">
        <v>34</v>
      </c>
      <c r="M485" s="399">
        <v>20</v>
      </c>
      <c r="N485" s="356">
        <v>71700</v>
      </c>
      <c r="O485" s="28" t="b">
        <f t="shared" si="17"/>
        <v>1</v>
      </c>
    </row>
    <row r="486" spans="2:15" s="28" customFormat="1" ht="16.5" customHeight="1">
      <c r="B486" s="20"/>
      <c r="C486" s="20"/>
      <c r="D486" s="254"/>
      <c r="E486" s="379">
        <v>144361</v>
      </c>
      <c r="F486" s="395" t="s">
        <v>778</v>
      </c>
      <c r="G486" s="396"/>
      <c r="H486" s="397"/>
      <c r="I486" s="383">
        <v>670000</v>
      </c>
      <c r="J486" s="398">
        <v>144361</v>
      </c>
      <c r="K486" s="399" t="s">
        <v>71</v>
      </c>
      <c r="L486" s="399" t="s">
        <v>34</v>
      </c>
      <c r="M486" s="399">
        <v>200</v>
      </c>
      <c r="N486" s="356">
        <v>670000</v>
      </c>
      <c r="O486" s="28" t="b">
        <f t="shared" si="17"/>
        <v>1</v>
      </c>
    </row>
    <row r="487" spans="2:15" s="28" customFormat="1" ht="16.5" customHeight="1">
      <c r="B487" s="20"/>
      <c r="C487" s="20"/>
      <c r="D487" s="254"/>
      <c r="E487" s="379">
        <v>148671</v>
      </c>
      <c r="F487" s="395" t="s">
        <v>777</v>
      </c>
      <c r="G487" s="396"/>
      <c r="H487" s="397"/>
      <c r="I487" s="383">
        <v>71700</v>
      </c>
      <c r="J487" s="398">
        <v>148671</v>
      </c>
      <c r="K487" s="399" t="s">
        <v>70</v>
      </c>
      <c r="L487" s="399" t="s">
        <v>34</v>
      </c>
      <c r="M487" s="399">
        <v>20</v>
      </c>
      <c r="N487" s="356">
        <v>71700</v>
      </c>
      <c r="O487" s="28" t="b">
        <f t="shared" si="17"/>
        <v>1</v>
      </c>
    </row>
    <row r="488" spans="2:15" s="28" customFormat="1" ht="16.5" customHeight="1">
      <c r="B488" s="20"/>
      <c r="C488" s="20"/>
      <c r="D488" s="254"/>
      <c r="E488" s="379">
        <v>144355</v>
      </c>
      <c r="F488" s="395" t="s">
        <v>775</v>
      </c>
      <c r="G488" s="396"/>
      <c r="H488" s="397"/>
      <c r="I488" s="383">
        <v>670000</v>
      </c>
      <c r="J488" s="398">
        <v>144355</v>
      </c>
      <c r="K488" s="399" t="s">
        <v>71</v>
      </c>
      <c r="L488" s="399" t="s">
        <v>34</v>
      </c>
      <c r="M488" s="399">
        <v>200</v>
      </c>
      <c r="N488" s="356">
        <v>670000</v>
      </c>
      <c r="O488" s="28" t="b">
        <f t="shared" si="17"/>
        <v>1</v>
      </c>
    </row>
    <row r="489" spans="2:15" s="28" customFormat="1" ht="16.5" customHeight="1">
      <c r="B489" s="20"/>
      <c r="C489" s="20"/>
      <c r="D489" s="254"/>
      <c r="E489" s="379">
        <v>148669</v>
      </c>
      <c r="F489" s="395" t="s">
        <v>755</v>
      </c>
      <c r="G489" s="396"/>
      <c r="H489" s="397"/>
      <c r="I489" s="383">
        <v>71700</v>
      </c>
      <c r="J489" s="398">
        <v>148669</v>
      </c>
      <c r="K489" s="399" t="s">
        <v>70</v>
      </c>
      <c r="L489" s="399" t="s">
        <v>34</v>
      </c>
      <c r="M489" s="399">
        <v>20</v>
      </c>
      <c r="N489" s="356">
        <v>71700</v>
      </c>
      <c r="O489" s="28" t="b">
        <f t="shared" si="17"/>
        <v>1</v>
      </c>
    </row>
    <row r="490" spans="2:15" s="28" customFormat="1" ht="16.5" customHeight="1">
      <c r="B490" s="20"/>
      <c r="C490" s="20"/>
      <c r="D490" s="254"/>
      <c r="E490" s="379">
        <v>144358</v>
      </c>
      <c r="F490" s="395" t="s">
        <v>754</v>
      </c>
      <c r="G490" s="396"/>
      <c r="H490" s="397"/>
      <c r="I490" s="383">
        <v>670000</v>
      </c>
      <c r="J490" s="398">
        <v>144358</v>
      </c>
      <c r="K490" s="399" t="s">
        <v>71</v>
      </c>
      <c r="L490" s="399" t="s">
        <v>34</v>
      </c>
      <c r="M490" s="399">
        <v>200</v>
      </c>
      <c r="N490" s="356">
        <v>670000</v>
      </c>
      <c r="O490" s="28" t="b">
        <f t="shared" si="17"/>
        <v>1</v>
      </c>
    </row>
    <row r="491" spans="2:15" s="28" customFormat="1" ht="16.5" customHeight="1">
      <c r="B491" s="20"/>
      <c r="C491" s="20"/>
      <c r="D491" s="254"/>
      <c r="E491" s="379">
        <v>148670</v>
      </c>
      <c r="F491" s="395" t="s">
        <v>776</v>
      </c>
      <c r="G491" s="396"/>
      <c r="H491" s="397"/>
      <c r="I491" s="383">
        <v>71700</v>
      </c>
      <c r="J491" s="398">
        <v>148670</v>
      </c>
      <c r="K491" s="399" t="s">
        <v>70</v>
      </c>
      <c r="L491" s="399" t="s">
        <v>34</v>
      </c>
      <c r="M491" s="399">
        <v>20</v>
      </c>
      <c r="N491" s="356">
        <v>71700</v>
      </c>
      <c r="O491" s="28" t="b">
        <f t="shared" si="17"/>
        <v>1</v>
      </c>
    </row>
    <row r="492" spans="2:15" s="28" customFormat="1" ht="16.5" customHeight="1">
      <c r="B492" s="20"/>
      <c r="C492" s="20"/>
      <c r="D492" s="254"/>
      <c r="E492" s="379">
        <v>144361</v>
      </c>
      <c r="F492" s="395" t="s">
        <v>778</v>
      </c>
      <c r="G492" s="396"/>
      <c r="H492" s="397"/>
      <c r="I492" s="383">
        <v>670000</v>
      </c>
      <c r="J492" s="398">
        <v>144361</v>
      </c>
      <c r="K492" s="399" t="s">
        <v>71</v>
      </c>
      <c r="L492" s="399" t="s">
        <v>34</v>
      </c>
      <c r="M492" s="399">
        <v>200</v>
      </c>
      <c r="N492" s="356">
        <v>670000</v>
      </c>
      <c r="O492" s="28" t="b">
        <f t="shared" si="17"/>
        <v>1</v>
      </c>
    </row>
    <row r="493" spans="2:15" s="28" customFormat="1" ht="16.5" customHeight="1">
      <c r="B493" s="20"/>
      <c r="C493" s="20"/>
      <c r="D493" s="254"/>
      <c r="E493" s="379">
        <v>148671</v>
      </c>
      <c r="F493" s="395" t="s">
        <v>777</v>
      </c>
      <c r="G493" s="396"/>
      <c r="H493" s="397"/>
      <c r="I493" s="383">
        <v>71700</v>
      </c>
      <c r="J493" s="398">
        <v>148671</v>
      </c>
      <c r="K493" s="399" t="s">
        <v>70</v>
      </c>
      <c r="L493" s="399" t="s">
        <v>34</v>
      </c>
      <c r="M493" s="399">
        <v>20</v>
      </c>
      <c r="N493" s="356">
        <v>71700</v>
      </c>
      <c r="O493" s="28" t="b">
        <f t="shared" si="17"/>
        <v>1</v>
      </c>
    </row>
    <row r="494" spans="2:15" s="28" customFormat="1" ht="16.5" customHeight="1">
      <c r="B494" s="20"/>
      <c r="C494" s="20"/>
      <c r="D494" s="254"/>
      <c r="E494" s="379">
        <v>144270</v>
      </c>
      <c r="F494" s="395" t="s">
        <v>843</v>
      </c>
      <c r="G494" s="396"/>
      <c r="H494" s="397"/>
      <c r="I494" s="383">
        <v>1005000</v>
      </c>
      <c r="J494" s="398">
        <v>144270</v>
      </c>
      <c r="K494" s="399" t="s">
        <v>71</v>
      </c>
      <c r="L494" s="399" t="s">
        <v>34</v>
      </c>
      <c r="M494" s="399">
        <v>200</v>
      </c>
      <c r="N494" s="356">
        <v>1005000</v>
      </c>
      <c r="O494" s="28" t="b">
        <f t="shared" si="17"/>
        <v>1</v>
      </c>
    </row>
    <row r="495" spans="2:15" s="28" customFormat="1" ht="16.5" customHeight="1">
      <c r="B495" s="20"/>
      <c r="C495" s="20"/>
      <c r="D495" s="254"/>
      <c r="E495" s="379">
        <v>135441</v>
      </c>
      <c r="F495" s="395" t="s">
        <v>298</v>
      </c>
      <c r="G495" s="396"/>
      <c r="H495" s="397"/>
      <c r="I495" s="383">
        <v>287000</v>
      </c>
      <c r="J495" s="398">
        <v>135441</v>
      </c>
      <c r="K495" s="399" t="s">
        <v>70</v>
      </c>
      <c r="L495" s="399" t="s">
        <v>34</v>
      </c>
      <c r="M495" s="399">
        <v>20</v>
      </c>
      <c r="N495" s="356">
        <v>287000</v>
      </c>
      <c r="O495" s="28" t="b">
        <f t="shared" si="17"/>
        <v>1</v>
      </c>
    </row>
    <row r="496" spans="2:15" s="28" customFormat="1" ht="16.5" customHeight="1">
      <c r="B496" s="20"/>
      <c r="C496" s="20"/>
      <c r="D496" s="254"/>
      <c r="E496" s="379">
        <v>128430</v>
      </c>
      <c r="F496" s="395" t="s">
        <v>847</v>
      </c>
      <c r="G496" s="396"/>
      <c r="H496" s="397"/>
      <c r="I496" s="383">
        <v>1800000</v>
      </c>
      <c r="J496" s="398">
        <v>128430</v>
      </c>
      <c r="K496" s="399" t="s">
        <v>71</v>
      </c>
      <c r="L496" s="399" t="s">
        <v>34</v>
      </c>
      <c r="M496" s="399">
        <v>181</v>
      </c>
      <c r="N496" s="356">
        <v>1800000</v>
      </c>
      <c r="O496" s="28" t="b">
        <f t="shared" si="17"/>
        <v>1</v>
      </c>
    </row>
    <row r="497" spans="2:22" s="28" customFormat="1" ht="16.5" customHeight="1">
      <c r="B497" s="20"/>
      <c r="C497" s="20"/>
      <c r="D497" s="254"/>
      <c r="E497" s="379">
        <v>141257</v>
      </c>
      <c r="F497" s="395" t="s">
        <v>856</v>
      </c>
      <c r="G497" s="396"/>
      <c r="H497" s="397"/>
      <c r="I497" s="383">
        <v>85932</v>
      </c>
      <c r="J497" s="398">
        <v>141257</v>
      </c>
      <c r="K497" s="378" t="s">
        <v>73</v>
      </c>
      <c r="L497" s="378" t="s">
        <v>35</v>
      </c>
      <c r="M497" s="399">
        <v>12</v>
      </c>
      <c r="N497" s="356" t="e">
        <v>#N/A</v>
      </c>
      <c r="V497" s="100"/>
    </row>
    <row r="498" spans="2:22" s="28" customFormat="1" ht="16.5" customHeight="1">
      <c r="B498" s="20"/>
      <c r="C498" s="20"/>
      <c r="D498" s="456"/>
      <c r="E498" s="411">
        <v>147122</v>
      </c>
      <c r="F498" s="395" t="s">
        <v>868</v>
      </c>
      <c r="G498" s="396"/>
      <c r="H498" s="397"/>
      <c r="I498" s="383">
        <v>52152</v>
      </c>
      <c r="J498" s="398">
        <v>147122</v>
      </c>
      <c r="K498" s="378" t="s">
        <v>73</v>
      </c>
      <c r="L498" s="399" t="s">
        <v>872</v>
      </c>
      <c r="M498" s="399">
        <v>12</v>
      </c>
      <c r="N498" s="356" t="e">
        <v>#N/A</v>
      </c>
      <c r="V498" s="100"/>
    </row>
    <row r="499" spans="2:22" s="28" customFormat="1" ht="16.5" customHeight="1">
      <c r="B499" s="20"/>
      <c r="C499" s="20"/>
      <c r="D499" s="254"/>
      <c r="E499" s="411">
        <v>140901</v>
      </c>
      <c r="F499" s="395" t="s">
        <v>98</v>
      </c>
      <c r="G499" s="396"/>
      <c r="H499" s="397"/>
      <c r="I499" s="383">
        <f>VLOOKUP(E499,'[1]Table 1'!$A$6:$C$21,3,0)</f>
        <v>88308</v>
      </c>
      <c r="J499" s="398">
        <v>140901</v>
      </c>
      <c r="K499" s="378" t="s">
        <v>73</v>
      </c>
      <c r="L499" s="399" t="s">
        <v>872</v>
      </c>
      <c r="M499" s="399">
        <v>20</v>
      </c>
      <c r="N499" s="356" t="e">
        <v>#N/A</v>
      </c>
      <c r="V499" s="100"/>
    </row>
    <row r="500" spans="2:22" s="28" customFormat="1" ht="16.5" customHeight="1">
      <c r="B500" s="20"/>
      <c r="C500" s="20"/>
      <c r="D500" s="254"/>
      <c r="E500" s="411">
        <v>140904</v>
      </c>
      <c r="F500" s="395" t="s">
        <v>859</v>
      </c>
      <c r="G500" s="396"/>
      <c r="H500" s="397"/>
      <c r="I500" s="383">
        <f>VLOOKUP(E500,'[1]Table 1'!$A$6:$C$21,3,0)</f>
        <v>96792</v>
      </c>
      <c r="J500" s="398">
        <v>140904</v>
      </c>
      <c r="K500" s="378" t="s">
        <v>73</v>
      </c>
      <c r="L500" s="399" t="s">
        <v>872</v>
      </c>
      <c r="M500" s="399">
        <v>20</v>
      </c>
      <c r="N500" s="356" t="e">
        <v>#N/A</v>
      </c>
      <c r="V500" s="100"/>
    </row>
    <row r="501" spans="2:22" s="28" customFormat="1" ht="16.5" customHeight="1">
      <c r="B501" s="20"/>
      <c r="C501" s="20"/>
      <c r="D501" s="457"/>
      <c r="E501" s="411">
        <v>147379</v>
      </c>
      <c r="F501" s="395" t="s">
        <v>862</v>
      </c>
      <c r="G501" s="396"/>
      <c r="H501" s="397"/>
      <c r="I501" s="383">
        <v>39024</v>
      </c>
      <c r="J501" s="398">
        <v>147379</v>
      </c>
      <c r="K501" s="378" t="s">
        <v>73</v>
      </c>
      <c r="L501" s="399" t="s">
        <v>872</v>
      </c>
      <c r="M501" s="399">
        <v>12</v>
      </c>
      <c r="N501" s="356"/>
      <c r="V501" s="100"/>
    </row>
    <row r="502" spans="2:22" s="28" customFormat="1" ht="16.5" customHeight="1">
      <c r="B502" s="20"/>
      <c r="C502" s="20"/>
      <c r="D502" s="255"/>
      <c r="E502" s="411">
        <v>138583</v>
      </c>
      <c r="F502" s="395" t="s">
        <v>740</v>
      </c>
      <c r="G502" s="396"/>
      <c r="H502" s="397"/>
      <c r="I502" s="383">
        <f>VLOOKUP(E502,'[1]Table 1'!$A$6:$C$21,3,0)</f>
        <v>44600</v>
      </c>
      <c r="J502" s="398">
        <v>138583</v>
      </c>
      <c r="K502" s="378" t="s">
        <v>73</v>
      </c>
      <c r="L502" s="399" t="s">
        <v>872</v>
      </c>
      <c r="M502" s="399">
        <v>12</v>
      </c>
      <c r="N502" s="356"/>
      <c r="V502" s="100"/>
    </row>
    <row r="503" spans="2:22" s="28" customFormat="1" ht="16.5" customHeight="1">
      <c r="B503" s="20"/>
      <c r="C503" s="20"/>
      <c r="D503" s="255"/>
      <c r="E503" s="411">
        <v>140876</v>
      </c>
      <c r="F503" s="395" t="s">
        <v>105</v>
      </c>
      <c r="G503" s="396"/>
      <c r="H503" s="397"/>
      <c r="I503" s="383">
        <f>VLOOKUP(E503,'[1]Table 1'!$A$6:$C$21,3,0)</f>
        <v>529893</v>
      </c>
      <c r="J503" s="398">
        <v>140876</v>
      </c>
      <c r="K503" s="399" t="s">
        <v>70</v>
      </c>
      <c r="L503" s="399" t="s">
        <v>872</v>
      </c>
      <c r="M503" s="399">
        <v>20</v>
      </c>
      <c r="N503" s="356"/>
      <c r="V503" s="100"/>
    </row>
    <row r="504" spans="2:22" s="28" customFormat="1" ht="16.5" customHeight="1">
      <c r="B504" s="20"/>
      <c r="C504" s="20"/>
      <c r="D504" s="255"/>
      <c r="E504" s="411">
        <v>140877</v>
      </c>
      <c r="F504" s="395" t="s">
        <v>99</v>
      </c>
      <c r="G504" s="396"/>
      <c r="H504" s="397"/>
      <c r="I504" s="383">
        <f>VLOOKUP(E504,'[1]Table 1'!$A$6:$C$21,3,0)</f>
        <v>80739</v>
      </c>
      <c r="J504" s="398">
        <v>140877</v>
      </c>
      <c r="K504" s="399" t="s">
        <v>70</v>
      </c>
      <c r="L504" s="399" t="s">
        <v>872</v>
      </c>
      <c r="M504" s="399">
        <v>20</v>
      </c>
      <c r="N504" s="356"/>
      <c r="V504" s="100"/>
    </row>
    <row r="505" spans="2:22" s="28" customFormat="1" ht="16.5" customHeight="1">
      <c r="B505" s="20"/>
      <c r="C505" s="20"/>
      <c r="D505" s="255"/>
      <c r="E505" s="411">
        <v>140878</v>
      </c>
      <c r="F505" s="395" t="s">
        <v>860</v>
      </c>
      <c r="G505" s="396"/>
      <c r="H505" s="397"/>
      <c r="I505" s="383">
        <f>VLOOKUP(E505,'[1]Table 1'!$A$6:$C$21,3,0)</f>
        <v>121830</v>
      </c>
      <c r="J505" s="398">
        <v>140878</v>
      </c>
      <c r="K505" s="399" t="s">
        <v>70</v>
      </c>
      <c r="L505" s="399" t="s">
        <v>872</v>
      </c>
      <c r="M505" s="399">
        <v>20</v>
      </c>
      <c r="N505" s="356"/>
      <c r="V505" s="100"/>
    </row>
    <row r="506" spans="2:22" s="28" customFormat="1" ht="16.5" customHeight="1">
      <c r="B506" s="20"/>
      <c r="C506" s="20"/>
      <c r="D506" s="255"/>
      <c r="E506" s="411">
        <v>140922</v>
      </c>
      <c r="F506" s="395" t="s">
        <v>94</v>
      </c>
      <c r="G506" s="396"/>
      <c r="H506" s="397"/>
      <c r="I506" s="383">
        <f>VLOOKUP(E506,'[1]Table 1'!$A$6:$C$21,3,0)</f>
        <v>210521</v>
      </c>
      <c r="J506" s="398">
        <v>140922</v>
      </c>
      <c r="K506" s="399" t="s">
        <v>70</v>
      </c>
      <c r="L506" s="399" t="s">
        <v>872</v>
      </c>
      <c r="M506" s="399">
        <v>20</v>
      </c>
      <c r="N506" s="356"/>
      <c r="V506" s="100"/>
    </row>
    <row r="507" spans="2:22" s="28" customFormat="1" ht="16.5" customHeight="1">
      <c r="B507" s="20"/>
      <c r="C507" s="20"/>
      <c r="D507" s="255"/>
      <c r="E507" s="411">
        <v>140902</v>
      </c>
      <c r="F507" s="395" t="s">
        <v>95</v>
      </c>
      <c r="G507" s="396"/>
      <c r="H507" s="397"/>
      <c r="I507" s="383">
        <f>VLOOKUP(E507,'[1]Table 1'!$A$6:$C$21,3,0)</f>
        <v>870316</v>
      </c>
      <c r="J507" s="398">
        <v>140902</v>
      </c>
      <c r="K507" s="399" t="s">
        <v>71</v>
      </c>
      <c r="L507" s="399" t="s">
        <v>872</v>
      </c>
      <c r="M507" s="399">
        <v>200</v>
      </c>
      <c r="N507" s="356"/>
      <c r="V507" s="100"/>
    </row>
    <row r="508" spans="2:22" s="28" customFormat="1" ht="16.5" customHeight="1">
      <c r="B508" s="20"/>
      <c r="C508" s="20"/>
      <c r="D508" s="255"/>
      <c r="E508" s="411">
        <v>140905</v>
      </c>
      <c r="F508" s="395" t="s">
        <v>96</v>
      </c>
      <c r="G508" s="396"/>
      <c r="H508" s="397"/>
      <c r="I508" s="383">
        <f>VLOOKUP(E508,'[1]Table 1'!$A$6:$C$21,3,0)</f>
        <v>874413</v>
      </c>
      <c r="J508" s="398">
        <v>140905</v>
      </c>
      <c r="K508" s="399" t="s">
        <v>71</v>
      </c>
      <c r="L508" s="399" t="s">
        <v>872</v>
      </c>
      <c r="M508" s="399">
        <v>200</v>
      </c>
      <c r="N508" s="356"/>
      <c r="V508" s="100"/>
    </row>
    <row r="509" spans="2:22" s="28" customFormat="1" ht="16.5" customHeight="1">
      <c r="B509" s="20"/>
      <c r="C509" s="20"/>
      <c r="D509" s="457"/>
      <c r="E509" s="411">
        <v>147284</v>
      </c>
      <c r="F509" s="395" t="s">
        <v>837</v>
      </c>
      <c r="G509" s="396"/>
      <c r="H509" s="397"/>
      <c r="I509" s="383">
        <v>553204</v>
      </c>
      <c r="J509" s="398">
        <v>147284</v>
      </c>
      <c r="K509" s="399" t="s">
        <v>71</v>
      </c>
      <c r="L509" s="399" t="s">
        <v>872</v>
      </c>
      <c r="M509" s="399">
        <v>208</v>
      </c>
      <c r="N509" s="356"/>
      <c r="V509" s="100"/>
    </row>
    <row r="510" spans="2:22" s="28" customFormat="1" ht="16.5" customHeight="1">
      <c r="B510" s="20"/>
      <c r="C510" s="20"/>
      <c r="D510" s="456"/>
      <c r="E510" s="411">
        <v>147391</v>
      </c>
      <c r="F510" s="395" t="s">
        <v>838</v>
      </c>
      <c r="G510" s="396"/>
      <c r="H510" s="397"/>
      <c r="I510" s="383">
        <v>545241</v>
      </c>
      <c r="J510" s="398">
        <v>147391</v>
      </c>
      <c r="K510" s="399" t="s">
        <v>71</v>
      </c>
      <c r="L510" s="399" t="s">
        <v>872</v>
      </c>
      <c r="M510" s="399">
        <v>208</v>
      </c>
      <c r="N510" s="356"/>
      <c r="V510" s="100"/>
    </row>
    <row r="511" spans="2:22" s="28" customFormat="1" ht="16.5" customHeight="1">
      <c r="B511" s="20"/>
      <c r="C511" s="20"/>
      <c r="D511" s="254"/>
      <c r="E511" s="411">
        <v>144515</v>
      </c>
      <c r="F511" s="395" t="s">
        <v>839</v>
      </c>
      <c r="G511" s="396"/>
      <c r="H511" s="397"/>
      <c r="I511" s="383">
        <v>631617</v>
      </c>
      <c r="J511" s="398">
        <v>144515</v>
      </c>
      <c r="K511" s="399" t="s">
        <v>71</v>
      </c>
      <c r="L511" s="399" t="s">
        <v>872</v>
      </c>
      <c r="M511" s="399">
        <v>208</v>
      </c>
      <c r="N511" s="356"/>
      <c r="V511" s="100"/>
    </row>
    <row r="512" spans="2:22" s="28" customFormat="1" ht="16.5" customHeight="1">
      <c r="B512" s="20"/>
      <c r="C512" s="20"/>
      <c r="D512" s="456"/>
      <c r="E512" s="411">
        <v>147370</v>
      </c>
      <c r="F512" s="395" t="s">
        <v>839</v>
      </c>
      <c r="G512" s="396"/>
      <c r="H512" s="397"/>
      <c r="I512" s="383">
        <v>550550</v>
      </c>
      <c r="J512" s="398">
        <v>147370</v>
      </c>
      <c r="K512" s="399" t="s">
        <v>71</v>
      </c>
      <c r="L512" s="399" t="s">
        <v>872</v>
      </c>
      <c r="M512" s="399">
        <v>208</v>
      </c>
      <c r="N512" s="356"/>
      <c r="V512" s="100"/>
    </row>
    <row r="513" spans="2:24" s="28" customFormat="1" ht="16.5" customHeight="1">
      <c r="B513" s="20"/>
      <c r="C513" s="20"/>
      <c r="D513" s="254"/>
      <c r="E513" s="411">
        <v>140597</v>
      </c>
      <c r="F513" s="395" t="s">
        <v>869</v>
      </c>
      <c r="G513" s="396"/>
      <c r="H513" s="397"/>
      <c r="I513" s="383">
        <v>124000</v>
      </c>
      <c r="J513" s="398">
        <v>140597</v>
      </c>
      <c r="K513" s="378" t="s">
        <v>73</v>
      </c>
      <c r="L513" s="399" t="s">
        <v>872</v>
      </c>
      <c r="M513" s="399">
        <v>12</v>
      </c>
      <c r="N513" s="356"/>
      <c r="V513" s="100"/>
    </row>
    <row r="514" spans="2:24" s="28" customFormat="1" ht="16.5" customHeight="1">
      <c r="B514" s="20"/>
      <c r="C514" s="20"/>
      <c r="D514" s="254"/>
      <c r="E514" s="411">
        <v>147279</v>
      </c>
      <c r="F514" s="395" t="s">
        <v>870</v>
      </c>
      <c r="G514" s="396"/>
      <c r="H514" s="397"/>
      <c r="I514" s="383">
        <f>VLOOKUP(E514,'[1]Table 1'!$A$6:$C$21,3,0)</f>
        <v>50796</v>
      </c>
      <c r="J514" s="398">
        <v>147279</v>
      </c>
      <c r="K514" s="378" t="s">
        <v>73</v>
      </c>
      <c r="L514" s="399" t="s">
        <v>872</v>
      </c>
      <c r="M514" s="399">
        <v>12</v>
      </c>
      <c r="N514" s="356"/>
      <c r="V514" s="100"/>
    </row>
    <row r="515" spans="2:24" s="28" customFormat="1" ht="16.5" customHeight="1">
      <c r="B515" s="20"/>
      <c r="C515" s="20"/>
      <c r="D515" s="254"/>
      <c r="E515" s="411">
        <v>141257</v>
      </c>
      <c r="F515" s="395" t="s">
        <v>871</v>
      </c>
      <c r="G515" s="396"/>
      <c r="H515" s="397"/>
      <c r="I515" s="383">
        <f>VLOOKUP(E515,'[1]Table 1'!$A$6:$C$21,3,0)</f>
        <v>82344</v>
      </c>
      <c r="J515" s="398">
        <v>141257</v>
      </c>
      <c r="K515" s="378" t="s">
        <v>73</v>
      </c>
      <c r="L515" s="399" t="s">
        <v>872</v>
      </c>
      <c r="M515" s="399">
        <v>12</v>
      </c>
      <c r="N515" s="356"/>
      <c r="V515" s="100"/>
    </row>
    <row r="516" spans="2:24" s="28" customFormat="1" ht="16.5" customHeight="1">
      <c r="B516" s="20"/>
      <c r="C516" s="20"/>
      <c r="D516" s="254"/>
      <c r="E516" s="379">
        <v>140909</v>
      </c>
      <c r="F516" s="395" t="s">
        <v>862</v>
      </c>
      <c r="G516" s="396"/>
      <c r="H516" s="397"/>
      <c r="I516" s="383">
        <v>45528</v>
      </c>
      <c r="J516" s="379">
        <v>140909</v>
      </c>
      <c r="K516" s="378" t="s">
        <v>73</v>
      </c>
      <c r="L516" s="399" t="s">
        <v>872</v>
      </c>
      <c r="M516" s="399">
        <v>12</v>
      </c>
      <c r="N516" s="356"/>
      <c r="V516" s="100"/>
    </row>
    <row r="517" spans="2:24" s="28" customFormat="1" ht="16.5" customHeight="1">
      <c r="B517" s="20"/>
      <c r="C517" s="20"/>
      <c r="D517" s="448"/>
      <c r="E517" s="32">
        <v>148006</v>
      </c>
      <c r="F517" s="37" t="s">
        <v>900</v>
      </c>
      <c r="G517" s="34"/>
      <c r="H517" s="35"/>
      <c r="I517" s="62">
        <v>2142400</v>
      </c>
      <c r="J517" s="33">
        <v>135477</v>
      </c>
      <c r="K517" s="32" t="s">
        <v>71</v>
      </c>
      <c r="L517" s="32" t="s">
        <v>35</v>
      </c>
      <c r="M517" s="32">
        <v>208</v>
      </c>
      <c r="N517" s="356"/>
      <c r="R517" s="43"/>
      <c r="S517" s="43"/>
      <c r="T517" s="43"/>
      <c r="U517" s="449"/>
      <c r="V517" s="449"/>
      <c r="W517" s="43"/>
      <c r="X517" s="42"/>
    </row>
    <row r="518" spans="2:24" s="28" customFormat="1" ht="16.5" customHeight="1">
      <c r="B518" s="20"/>
      <c r="C518" s="20"/>
      <c r="D518" s="456"/>
      <c r="E518" s="411">
        <v>147966</v>
      </c>
      <c r="F518" s="395" t="s">
        <v>870</v>
      </c>
      <c r="G518" s="396"/>
      <c r="H518" s="397"/>
      <c r="I518" s="383">
        <v>51084</v>
      </c>
      <c r="J518" s="398">
        <v>147279</v>
      </c>
      <c r="K518" s="378" t="s">
        <v>73</v>
      </c>
      <c r="L518" s="399" t="s">
        <v>872</v>
      </c>
      <c r="M518" s="399">
        <v>12</v>
      </c>
      <c r="N518" s="356"/>
      <c r="V518" s="100"/>
    </row>
    <row r="519" spans="2:24" s="28" customFormat="1" ht="16.5" customHeight="1">
      <c r="B519" s="20"/>
      <c r="C519" s="20"/>
      <c r="D519" s="456"/>
      <c r="E519" s="379">
        <v>147829</v>
      </c>
      <c r="F519" s="395" t="s">
        <v>913</v>
      </c>
      <c r="G519" s="396"/>
      <c r="H519" s="397"/>
      <c r="I519" s="383">
        <v>85572</v>
      </c>
      <c r="J519" s="398">
        <v>147829</v>
      </c>
      <c r="K519" s="378" t="s">
        <v>73</v>
      </c>
      <c r="L519" s="399" t="s">
        <v>872</v>
      </c>
      <c r="M519" s="399">
        <v>12</v>
      </c>
      <c r="N519" s="356"/>
      <c r="V519" s="100"/>
    </row>
    <row r="520" spans="2:24" s="28" customFormat="1" ht="16.5" customHeight="1">
      <c r="B520" s="20"/>
      <c r="C520" s="20"/>
      <c r="D520" s="254"/>
      <c r="E520" s="379">
        <v>142722</v>
      </c>
      <c r="F520" s="395" t="s">
        <v>921</v>
      </c>
      <c r="G520" s="396"/>
      <c r="H520" s="397"/>
      <c r="I520" s="383">
        <v>430000</v>
      </c>
      <c r="J520" s="398">
        <v>142722</v>
      </c>
      <c r="K520" s="32" t="s">
        <v>71</v>
      </c>
      <c r="L520" s="399" t="s">
        <v>922</v>
      </c>
      <c r="M520" s="399">
        <v>200</v>
      </c>
      <c r="N520" s="356"/>
      <c r="V520" s="100"/>
    </row>
    <row r="521" spans="2:24" s="28" customFormat="1" ht="16.5" customHeight="1">
      <c r="B521" s="20"/>
      <c r="C521" s="20"/>
      <c r="D521" s="254"/>
      <c r="E521" s="379">
        <v>144652</v>
      </c>
      <c r="F521" s="395" t="s">
        <v>953</v>
      </c>
      <c r="G521" s="396"/>
      <c r="H521" s="397"/>
      <c r="I521" s="383">
        <v>420000</v>
      </c>
      <c r="J521" s="398">
        <v>144652</v>
      </c>
      <c r="K521" s="399" t="s">
        <v>70</v>
      </c>
      <c r="L521" s="399" t="s">
        <v>922</v>
      </c>
      <c r="M521" s="399">
        <v>16</v>
      </c>
      <c r="N521" s="356"/>
      <c r="V521" s="100"/>
    </row>
    <row r="522" spans="2:24" s="28" customFormat="1" ht="16.5" customHeight="1">
      <c r="B522" s="20"/>
      <c r="C522" s="20"/>
      <c r="D522" s="254"/>
      <c r="E522" s="379"/>
      <c r="F522" s="395"/>
      <c r="G522" s="396"/>
      <c r="H522" s="397"/>
      <c r="I522" s="383"/>
      <c r="J522" s="398"/>
      <c r="K522" s="399"/>
      <c r="L522" s="399"/>
      <c r="M522" s="399"/>
      <c r="N522" s="356"/>
      <c r="V522" s="100"/>
    </row>
    <row r="523" spans="2:24" s="28" customFormat="1" ht="16.5" customHeight="1">
      <c r="B523" s="20"/>
      <c r="C523" s="20"/>
      <c r="D523" s="254"/>
      <c r="E523" s="379"/>
      <c r="F523" s="395"/>
      <c r="G523" s="396"/>
      <c r="H523" s="397"/>
      <c r="I523" s="383"/>
      <c r="J523" s="398"/>
      <c r="K523" s="399"/>
      <c r="L523" s="399"/>
      <c r="M523" s="399"/>
      <c r="N523" s="356"/>
      <c r="V523" s="100"/>
    </row>
    <row r="524" spans="2:24" s="28" customFormat="1" ht="16.5" customHeight="1">
      <c r="B524" s="20"/>
      <c r="C524" s="20"/>
      <c r="D524" s="448"/>
      <c r="E524" s="282">
        <v>122916</v>
      </c>
      <c r="F524" s="37" t="s">
        <v>54</v>
      </c>
      <c r="G524" s="518"/>
      <c r="H524" s="519"/>
      <c r="I524" s="325">
        <v>140000</v>
      </c>
      <c r="J524" s="33">
        <v>122916</v>
      </c>
      <c r="K524" s="32" t="s">
        <v>72</v>
      </c>
      <c r="L524" s="32" t="s">
        <v>0</v>
      </c>
      <c r="M524" s="32">
        <v>12</v>
      </c>
      <c r="N524" s="356">
        <f>VLOOKUP(E524,'[2]Price list'!$A$2:$F$145,6,0)</f>
        <v>140000</v>
      </c>
      <c r="O524" s="28" t="b">
        <f t="shared" ref="O524:O542" si="18">I524=N524</f>
        <v>1</v>
      </c>
      <c r="U524" s="449"/>
      <c r="V524" s="449"/>
      <c r="W524" s="43"/>
    </row>
    <row r="525" spans="2:24" s="28" customFormat="1" ht="16.5" customHeight="1">
      <c r="B525" s="20"/>
      <c r="C525" s="20"/>
      <c r="D525" s="448"/>
      <c r="E525" s="32">
        <v>123205</v>
      </c>
      <c r="F525" s="37" t="s">
        <v>49</v>
      </c>
      <c r="G525" s="452"/>
      <c r="H525" s="453"/>
      <c r="I525" s="325">
        <v>60300</v>
      </c>
      <c r="J525" s="33">
        <v>123205</v>
      </c>
      <c r="K525" s="32" t="s">
        <v>73</v>
      </c>
      <c r="L525" s="32" t="s">
        <v>35</v>
      </c>
      <c r="M525" s="32">
        <v>6</v>
      </c>
      <c r="N525" s="356">
        <f>VLOOKUP(E525,'[2]Price list'!$A$2:$F$145,6,0)</f>
        <v>60300</v>
      </c>
      <c r="O525" s="28" t="b">
        <f t="shared" si="18"/>
        <v>1</v>
      </c>
      <c r="U525" s="449"/>
      <c r="V525" s="449"/>
      <c r="W525" s="43"/>
    </row>
    <row r="526" spans="2:24" s="28" customFormat="1" ht="16.5" customHeight="1">
      <c r="B526" s="20"/>
      <c r="C526" s="20"/>
      <c r="D526" s="448"/>
      <c r="E526" s="32">
        <v>124065</v>
      </c>
      <c r="F526" s="520" t="s">
        <v>449</v>
      </c>
      <c r="G526" s="518"/>
      <c r="H526" s="519"/>
      <c r="I526" s="325">
        <v>1011000</v>
      </c>
      <c r="J526" s="32">
        <v>124065</v>
      </c>
      <c r="K526" s="32" t="s">
        <v>71</v>
      </c>
      <c r="L526" s="32" t="s">
        <v>0</v>
      </c>
      <c r="M526" s="32">
        <v>208</v>
      </c>
      <c r="N526" s="356">
        <f>VLOOKUP(E526,'[2]Price list'!$A$2:$F$145,6,0)</f>
        <v>1011000</v>
      </c>
      <c r="O526" s="28" t="b">
        <f t="shared" si="18"/>
        <v>1</v>
      </c>
      <c r="U526" s="449"/>
      <c r="V526" s="449"/>
      <c r="W526" s="43"/>
    </row>
    <row r="527" spans="2:24" s="28" customFormat="1" ht="16.5" customHeight="1">
      <c r="B527" s="20"/>
      <c r="C527" s="20"/>
      <c r="D527" s="448"/>
      <c r="E527" s="32">
        <v>124476</v>
      </c>
      <c r="F527" s="37" t="s">
        <v>52</v>
      </c>
      <c r="G527" s="452"/>
      <c r="H527" s="453"/>
      <c r="I527" s="325">
        <v>63200</v>
      </c>
      <c r="J527" s="33">
        <v>124476</v>
      </c>
      <c r="K527" s="32" t="s">
        <v>70</v>
      </c>
      <c r="L527" s="32" t="s">
        <v>35</v>
      </c>
      <c r="M527" s="32">
        <v>20</v>
      </c>
      <c r="N527" s="356">
        <f>VLOOKUP(E527,'[2]Price list'!$A$2:$F$145,6,0)</f>
        <v>63200</v>
      </c>
      <c r="O527" s="28" t="b">
        <f t="shared" si="18"/>
        <v>1</v>
      </c>
      <c r="R527" s="43"/>
      <c r="S527" s="43"/>
      <c r="T527" s="43"/>
      <c r="U527" s="449"/>
      <c r="V527" s="449"/>
      <c r="W527" s="43"/>
    </row>
    <row r="528" spans="2:24" s="28" customFormat="1" ht="16.5" customHeight="1">
      <c r="B528" s="20"/>
      <c r="C528" s="20"/>
      <c r="D528" s="448"/>
      <c r="E528" s="32">
        <v>128872</v>
      </c>
      <c r="F528" s="37" t="s">
        <v>956</v>
      </c>
      <c r="G528" s="452"/>
      <c r="H528" s="453"/>
      <c r="I528" s="325">
        <v>0</v>
      </c>
      <c r="J528" s="33">
        <v>128872</v>
      </c>
      <c r="K528" s="32" t="s">
        <v>70</v>
      </c>
      <c r="L528" s="32" t="s">
        <v>0</v>
      </c>
      <c r="M528" s="32">
        <v>20</v>
      </c>
      <c r="N528" s="356" t="e">
        <f>VLOOKUP(E528,'[2]Price list'!$A$2:$F$145,6,0)</f>
        <v>#N/A</v>
      </c>
      <c r="O528" s="28" t="e">
        <f t="shared" si="18"/>
        <v>#N/A</v>
      </c>
      <c r="R528" s="43"/>
      <c r="S528" s="43"/>
      <c r="T528" s="43"/>
      <c r="U528" s="449"/>
      <c r="V528" s="449"/>
      <c r="W528" s="43"/>
    </row>
    <row r="529" spans="2:23" s="28" customFormat="1" ht="16.5" customHeight="1">
      <c r="B529" s="20"/>
      <c r="C529" s="20"/>
      <c r="D529" s="448"/>
      <c r="E529" s="32">
        <v>129171</v>
      </c>
      <c r="F529" s="37" t="s">
        <v>58</v>
      </c>
      <c r="G529" s="452"/>
      <c r="H529" s="453"/>
      <c r="I529" s="325">
        <v>59700</v>
      </c>
      <c r="J529" s="33">
        <v>129171</v>
      </c>
      <c r="K529" s="32" t="s">
        <v>70</v>
      </c>
      <c r="L529" s="32" t="s">
        <v>0</v>
      </c>
      <c r="M529" s="32">
        <v>20</v>
      </c>
      <c r="N529" s="356">
        <f>VLOOKUP(E529,'[2]Price list'!$A$2:$F$145,6,0)</f>
        <v>59700</v>
      </c>
      <c r="O529" s="28" t="b">
        <f t="shared" si="18"/>
        <v>1</v>
      </c>
      <c r="R529" s="43"/>
      <c r="S529" s="43"/>
      <c r="T529" s="43"/>
      <c r="U529" s="449"/>
      <c r="V529" s="449"/>
      <c r="W529" s="43"/>
    </row>
    <row r="530" spans="2:23" s="28" customFormat="1" ht="16.5" customHeight="1">
      <c r="B530" s="20"/>
      <c r="C530" s="20"/>
      <c r="D530" s="448"/>
      <c r="E530" s="32">
        <v>129174</v>
      </c>
      <c r="F530" s="37" t="s">
        <v>60</v>
      </c>
      <c r="G530" s="452"/>
      <c r="H530" s="453"/>
      <c r="I530" s="325">
        <v>70200</v>
      </c>
      <c r="J530" s="33">
        <v>129174</v>
      </c>
      <c r="K530" s="32" t="s">
        <v>70</v>
      </c>
      <c r="L530" s="32" t="s">
        <v>0</v>
      </c>
      <c r="M530" s="32">
        <v>20</v>
      </c>
      <c r="N530" s="356">
        <f>VLOOKUP(E530,'[2]Price list'!$A$2:$F$145,6,0)</f>
        <v>70200</v>
      </c>
      <c r="O530" s="28" t="b">
        <f t="shared" si="18"/>
        <v>1</v>
      </c>
      <c r="R530" s="43"/>
      <c r="S530" s="43"/>
      <c r="T530" s="43"/>
      <c r="U530" s="449"/>
      <c r="V530" s="449"/>
      <c r="W530" s="43"/>
    </row>
    <row r="531" spans="2:23" s="28" customFormat="1" ht="16.5" customHeight="1">
      <c r="B531" s="20"/>
      <c r="C531" s="20"/>
      <c r="D531" s="448"/>
      <c r="E531" s="32">
        <v>134989</v>
      </c>
      <c r="F531" s="37" t="s">
        <v>42</v>
      </c>
      <c r="G531" s="452"/>
      <c r="H531" s="453"/>
      <c r="I531" s="325">
        <v>90900</v>
      </c>
      <c r="J531" s="33">
        <v>134989</v>
      </c>
      <c r="K531" s="32" t="s">
        <v>70</v>
      </c>
      <c r="L531" s="32" t="s">
        <v>0</v>
      </c>
      <c r="M531" s="32">
        <v>20</v>
      </c>
      <c r="N531" s="356" t="e">
        <f>VLOOKUP(E531,'[2]Price list'!$A$2:$F$145,6,0)</f>
        <v>#N/A</v>
      </c>
      <c r="O531" s="28" t="e">
        <f t="shared" si="18"/>
        <v>#N/A</v>
      </c>
      <c r="R531" s="43"/>
      <c r="S531" s="43"/>
      <c r="T531" s="43"/>
      <c r="U531" s="449"/>
      <c r="V531" s="449"/>
      <c r="W531" s="43"/>
    </row>
    <row r="532" spans="2:23" s="28" customFormat="1" ht="16.5" customHeight="1">
      <c r="B532" s="20"/>
      <c r="C532" s="20"/>
      <c r="D532" s="448"/>
      <c r="E532" s="32">
        <v>135080</v>
      </c>
      <c r="F532" s="37" t="s">
        <v>44</v>
      </c>
      <c r="G532" s="452"/>
      <c r="H532" s="453"/>
      <c r="I532" s="325">
        <v>110000</v>
      </c>
      <c r="J532" s="33">
        <v>135080</v>
      </c>
      <c r="K532" s="32" t="s">
        <v>73</v>
      </c>
      <c r="L532" s="32" t="s">
        <v>35</v>
      </c>
      <c r="M532" s="32">
        <v>12</v>
      </c>
      <c r="N532" s="356">
        <f>VLOOKUP(E532,'[2]Price list'!$A$2:$F$145,6,0)</f>
        <v>110000</v>
      </c>
      <c r="O532" s="28" t="b">
        <f t="shared" si="18"/>
        <v>1</v>
      </c>
      <c r="R532" s="43"/>
      <c r="S532" s="43"/>
      <c r="T532" s="43"/>
      <c r="U532" s="449"/>
      <c r="V532" s="449"/>
      <c r="W532" s="43"/>
    </row>
    <row r="533" spans="2:23" s="28" customFormat="1" ht="16.5" customHeight="1">
      <c r="B533" s="20"/>
      <c r="C533" s="20"/>
      <c r="D533" s="448"/>
      <c r="E533" s="32">
        <v>135123</v>
      </c>
      <c r="F533" s="37" t="s">
        <v>957</v>
      </c>
      <c r="G533" s="452"/>
      <c r="H533" s="453"/>
      <c r="I533" s="325">
        <v>0</v>
      </c>
      <c r="J533" s="33">
        <v>135123</v>
      </c>
      <c r="K533" s="32" t="s">
        <v>70</v>
      </c>
      <c r="L533" s="32" t="s">
        <v>35</v>
      </c>
      <c r="M533" s="32">
        <v>20</v>
      </c>
      <c r="N533" s="356" t="e">
        <f>VLOOKUP(E533,'[2]Price list'!$A$2:$F$145,6,0)</f>
        <v>#N/A</v>
      </c>
      <c r="O533" s="28" t="e">
        <f t="shared" si="18"/>
        <v>#N/A</v>
      </c>
      <c r="R533" s="43"/>
      <c r="S533" s="43"/>
      <c r="T533" s="43"/>
      <c r="U533" s="449"/>
      <c r="V533" s="449"/>
      <c r="W533" s="43"/>
    </row>
    <row r="534" spans="2:23" s="28" customFormat="1" ht="16.5" customHeight="1">
      <c r="B534" s="20"/>
      <c r="C534" s="20"/>
      <c r="D534" s="448"/>
      <c r="E534" s="32">
        <v>135691</v>
      </c>
      <c r="F534" s="37" t="s">
        <v>62</v>
      </c>
      <c r="G534" s="452"/>
      <c r="H534" s="453"/>
      <c r="I534" s="325">
        <v>91100</v>
      </c>
      <c r="J534" s="33">
        <v>135691</v>
      </c>
      <c r="K534" s="32" t="s">
        <v>70</v>
      </c>
      <c r="L534" s="32" t="s">
        <v>0</v>
      </c>
      <c r="M534" s="32">
        <v>20</v>
      </c>
      <c r="N534" s="356">
        <f>VLOOKUP(E534,'[2]Price list'!$A$2:$F$145,6,0)</f>
        <v>91100</v>
      </c>
      <c r="O534" s="28" t="b">
        <f t="shared" si="18"/>
        <v>1</v>
      </c>
      <c r="R534" s="43"/>
      <c r="S534" s="43"/>
      <c r="T534" s="43"/>
      <c r="U534" s="449"/>
      <c r="V534" s="449"/>
      <c r="W534" s="43"/>
    </row>
    <row r="535" spans="2:23" s="28" customFormat="1" ht="16.5" customHeight="1">
      <c r="B535" s="20"/>
      <c r="C535" s="20"/>
      <c r="D535" s="448"/>
      <c r="E535" s="32">
        <v>138806</v>
      </c>
      <c r="F535" s="37" t="s">
        <v>50</v>
      </c>
      <c r="G535" s="452"/>
      <c r="H535" s="453"/>
      <c r="I535" s="325">
        <v>148600</v>
      </c>
      <c r="J535" s="33">
        <v>138806</v>
      </c>
      <c r="K535" s="32" t="s">
        <v>72</v>
      </c>
      <c r="L535" s="32" t="s">
        <v>35</v>
      </c>
      <c r="M535" s="32">
        <v>9.94</v>
      </c>
      <c r="N535" s="356">
        <f>VLOOKUP(E535,'[2]Price list'!$A$2:$F$145,6,0)</f>
        <v>148600</v>
      </c>
      <c r="O535" s="28" t="b">
        <f t="shared" si="18"/>
        <v>1</v>
      </c>
      <c r="R535" s="43"/>
      <c r="S535" s="43"/>
      <c r="T535" s="43"/>
      <c r="U535" s="449"/>
      <c r="V535" s="449"/>
      <c r="W535" s="43"/>
    </row>
    <row r="536" spans="2:23" s="28" customFormat="1" ht="16.5" customHeight="1">
      <c r="B536" s="20"/>
      <c r="C536" s="20"/>
      <c r="D536" s="448"/>
      <c r="E536" s="32">
        <v>138814</v>
      </c>
      <c r="F536" s="37" t="s">
        <v>535</v>
      </c>
      <c r="G536" s="452"/>
      <c r="H536" s="453"/>
      <c r="I536" s="325">
        <v>0</v>
      </c>
      <c r="J536" s="33">
        <v>138814</v>
      </c>
      <c r="K536" s="32" t="s">
        <v>71</v>
      </c>
      <c r="L536" s="32" t="s">
        <v>35</v>
      </c>
      <c r="M536" s="32">
        <v>200</v>
      </c>
      <c r="N536" s="356" t="e">
        <f>VLOOKUP(E536,'[2]Price list'!$A$2:$F$145,6,0)</f>
        <v>#N/A</v>
      </c>
      <c r="O536" s="28" t="e">
        <f t="shared" si="18"/>
        <v>#N/A</v>
      </c>
      <c r="R536" s="43"/>
      <c r="S536" s="43"/>
      <c r="T536" s="43"/>
      <c r="U536" s="449"/>
      <c r="V536" s="449"/>
      <c r="W536" s="43"/>
    </row>
    <row r="537" spans="2:23" s="28" customFormat="1" ht="16.5" customHeight="1">
      <c r="B537" s="20"/>
      <c r="C537" s="20"/>
      <c r="D537" s="448"/>
      <c r="E537" s="32">
        <v>138815</v>
      </c>
      <c r="F537" s="37" t="s">
        <v>958</v>
      </c>
      <c r="G537" s="452"/>
      <c r="H537" s="453"/>
      <c r="I537" s="325">
        <v>0</v>
      </c>
      <c r="J537" s="33">
        <v>138815</v>
      </c>
      <c r="K537" s="32" t="s">
        <v>70</v>
      </c>
      <c r="L537" s="32" t="s">
        <v>35</v>
      </c>
      <c r="M537" s="32">
        <v>20</v>
      </c>
      <c r="N537" s="356" t="e">
        <f>VLOOKUP(E537,'[2]Price list'!$A$2:$F$145,6,0)</f>
        <v>#N/A</v>
      </c>
      <c r="O537" s="28" t="e">
        <f t="shared" si="18"/>
        <v>#N/A</v>
      </c>
      <c r="R537" s="43"/>
      <c r="S537" s="43"/>
      <c r="T537" s="43"/>
      <c r="U537" s="449"/>
      <c r="V537" s="449"/>
      <c r="W537" s="43"/>
    </row>
    <row r="538" spans="2:23" s="28" customFormat="1" ht="16.5" customHeight="1">
      <c r="B538" s="20"/>
      <c r="C538" s="20"/>
      <c r="D538" s="448"/>
      <c r="E538" s="32">
        <v>138816</v>
      </c>
      <c r="F538" s="37" t="s">
        <v>173</v>
      </c>
      <c r="G538" s="452"/>
      <c r="H538" s="453"/>
      <c r="I538" s="325">
        <v>0</v>
      </c>
      <c r="J538" s="33">
        <v>138816</v>
      </c>
      <c r="K538" s="32" t="s">
        <v>72</v>
      </c>
      <c r="L538" s="32" t="s">
        <v>35</v>
      </c>
      <c r="M538" s="32">
        <v>12</v>
      </c>
      <c r="N538" s="356" t="e">
        <f>VLOOKUP(E538,'[2]Price list'!$A$2:$F$145,6,0)</f>
        <v>#N/A</v>
      </c>
      <c r="O538" s="28" t="e">
        <f t="shared" si="18"/>
        <v>#N/A</v>
      </c>
      <c r="R538" s="43"/>
      <c r="S538" s="43"/>
      <c r="T538" s="43"/>
      <c r="U538" s="449"/>
      <c r="V538" s="449"/>
      <c r="W538" s="43"/>
    </row>
    <row r="539" spans="2:23" s="28" customFormat="1" ht="16.5" customHeight="1">
      <c r="B539" s="20"/>
      <c r="C539" s="20"/>
      <c r="D539" s="448"/>
      <c r="E539" s="32">
        <v>147643</v>
      </c>
      <c r="F539" s="37" t="s">
        <v>959</v>
      </c>
      <c r="G539" s="452"/>
      <c r="H539" s="453"/>
      <c r="I539" s="325">
        <v>666000</v>
      </c>
      <c r="J539" s="33">
        <v>17643</v>
      </c>
      <c r="K539" s="32" t="s">
        <v>960</v>
      </c>
      <c r="L539" s="32" t="s">
        <v>961</v>
      </c>
      <c r="M539" s="32">
        <v>200</v>
      </c>
      <c r="N539" s="356" t="e">
        <f>VLOOKUP(E539,'[2]Price list'!$A$2:$F$145,6,0)</f>
        <v>#N/A</v>
      </c>
      <c r="O539" s="28" t="e">
        <f t="shared" si="18"/>
        <v>#N/A</v>
      </c>
      <c r="R539" s="43"/>
      <c r="S539" s="43"/>
      <c r="T539" s="43"/>
      <c r="U539" s="449"/>
      <c r="V539" s="449"/>
      <c r="W539" s="43"/>
    </row>
    <row r="540" spans="2:23" s="28" customFormat="1" ht="16.5" customHeight="1">
      <c r="B540" s="20"/>
      <c r="C540" s="20"/>
      <c r="D540" s="448"/>
      <c r="E540" s="32">
        <v>138827</v>
      </c>
      <c r="F540" s="37" t="s">
        <v>51</v>
      </c>
      <c r="G540" s="452"/>
      <c r="H540" s="453"/>
      <c r="I540" s="325">
        <v>595000</v>
      </c>
      <c r="J540" s="33">
        <v>138827</v>
      </c>
      <c r="K540" s="32" t="s">
        <v>71</v>
      </c>
      <c r="L540" s="32" t="s">
        <v>35</v>
      </c>
      <c r="M540" s="32">
        <v>200</v>
      </c>
      <c r="N540" s="356">
        <f>VLOOKUP(E540,'[2]Price list'!$A$2:$F$145,6,0)</f>
        <v>595000</v>
      </c>
      <c r="O540" s="28" t="b">
        <f t="shared" si="18"/>
        <v>1</v>
      </c>
      <c r="R540" s="43"/>
      <c r="S540" s="43"/>
      <c r="T540" s="43"/>
      <c r="U540" s="449"/>
      <c r="V540" s="449"/>
      <c r="W540" s="43"/>
    </row>
    <row r="541" spans="2:23" s="28" customFormat="1" ht="16.5" customHeight="1">
      <c r="B541" s="20"/>
      <c r="C541" s="20"/>
      <c r="D541" s="448"/>
      <c r="E541" s="32">
        <v>138832</v>
      </c>
      <c r="F541" s="37" t="s">
        <v>166</v>
      </c>
      <c r="G541" s="452"/>
      <c r="H541" s="453"/>
      <c r="I541" s="325">
        <v>70800</v>
      </c>
      <c r="J541" s="33">
        <v>138832</v>
      </c>
      <c r="K541" s="32" t="s">
        <v>70</v>
      </c>
      <c r="L541" s="32" t="s">
        <v>0</v>
      </c>
      <c r="M541" s="32">
        <v>20</v>
      </c>
      <c r="N541" s="356">
        <f>VLOOKUP(E541,'[2]Price list'!$A$2:$F$145,6,0)</f>
        <v>70800</v>
      </c>
      <c r="O541" s="28" t="b">
        <f t="shared" si="18"/>
        <v>1</v>
      </c>
      <c r="R541" s="43"/>
      <c r="S541" s="43"/>
      <c r="T541" s="43"/>
      <c r="U541" s="449"/>
      <c r="V541" s="449"/>
      <c r="W541" s="43"/>
    </row>
    <row r="542" spans="2:23" s="28" customFormat="1" ht="16.5" customHeight="1">
      <c r="B542" s="20"/>
      <c r="C542" s="20"/>
      <c r="D542" s="448"/>
      <c r="E542" s="32">
        <v>138833</v>
      </c>
      <c r="F542" s="37" t="s">
        <v>179</v>
      </c>
      <c r="G542" s="452"/>
      <c r="H542" s="453"/>
      <c r="I542" s="325">
        <v>48800</v>
      </c>
      <c r="J542" s="32">
        <v>138833</v>
      </c>
      <c r="K542" s="39" t="s">
        <v>73</v>
      </c>
      <c r="L542" s="32" t="s">
        <v>35</v>
      </c>
      <c r="M542" s="32">
        <v>12</v>
      </c>
      <c r="N542" s="356">
        <f>VLOOKUP(E542,'[2]Price list'!$A$2:$F$145,6,0)</f>
        <v>48800</v>
      </c>
      <c r="O542" s="28" t="b">
        <f t="shared" si="18"/>
        <v>1</v>
      </c>
      <c r="R542" s="43"/>
      <c r="S542" s="43"/>
      <c r="T542" s="43"/>
      <c r="U542" s="449"/>
      <c r="V542" s="449"/>
      <c r="W542" s="43"/>
    </row>
    <row r="543" spans="2:23" s="28" customFormat="1" ht="16.5" customHeight="1">
      <c r="B543" s="20"/>
      <c r="C543" s="20"/>
      <c r="D543" s="448"/>
      <c r="E543" s="32">
        <v>120645</v>
      </c>
      <c r="F543" s="37" t="s">
        <v>53</v>
      </c>
      <c r="G543" s="452"/>
      <c r="H543" s="453"/>
      <c r="I543" s="325">
        <v>2213000</v>
      </c>
      <c r="J543" s="38">
        <v>120645</v>
      </c>
      <c r="K543" s="39" t="s">
        <v>71</v>
      </c>
      <c r="L543" s="32" t="s">
        <v>0</v>
      </c>
      <c r="M543" s="32">
        <v>200</v>
      </c>
      <c r="N543" s="356">
        <f>VLOOKUP(E543,'[2]Price list'!$A$2:$F$145,6,0)</f>
        <v>2213000</v>
      </c>
      <c r="O543" s="28" t="b">
        <f>I543=N543</f>
        <v>1</v>
      </c>
      <c r="U543" s="449"/>
      <c r="V543" s="449"/>
      <c r="W543" s="43"/>
    </row>
    <row r="544" spans="2:23" s="28" customFormat="1" ht="16.5" customHeight="1">
      <c r="B544" s="20"/>
      <c r="C544" s="20"/>
      <c r="D544" s="448"/>
      <c r="E544" s="282">
        <v>122916</v>
      </c>
      <c r="F544" s="37" t="s">
        <v>54</v>
      </c>
      <c r="G544" s="518"/>
      <c r="H544" s="519"/>
      <c r="I544" s="325">
        <v>140000</v>
      </c>
      <c r="J544" s="33">
        <v>122916</v>
      </c>
      <c r="K544" s="32" t="s">
        <v>72</v>
      </c>
      <c r="L544" s="32" t="s">
        <v>0</v>
      </c>
      <c r="M544" s="32">
        <v>12</v>
      </c>
      <c r="N544" s="356">
        <f>VLOOKUP(E544,'[2]Price list'!$A$2:$F$145,6,0)</f>
        <v>140000</v>
      </c>
      <c r="O544" s="28" t="b">
        <f t="shared" ref="O544:O610" si="19">I544=N544</f>
        <v>1</v>
      </c>
      <c r="U544" s="449"/>
      <c r="V544" s="449"/>
      <c r="W544" s="43"/>
    </row>
    <row r="545" spans="2:23" s="28" customFormat="1" ht="16.5" customHeight="1">
      <c r="B545" s="20"/>
      <c r="C545" s="20"/>
      <c r="D545" s="448"/>
      <c r="E545" s="32">
        <v>123205</v>
      </c>
      <c r="F545" s="37" t="s">
        <v>49</v>
      </c>
      <c r="G545" s="452"/>
      <c r="H545" s="453"/>
      <c r="I545" s="325">
        <v>60300</v>
      </c>
      <c r="J545" s="33">
        <v>123205</v>
      </c>
      <c r="K545" s="32" t="s">
        <v>73</v>
      </c>
      <c r="L545" s="32" t="s">
        <v>35</v>
      </c>
      <c r="M545" s="32">
        <v>6</v>
      </c>
      <c r="N545" s="356">
        <f>VLOOKUP(E545,'[2]Price list'!$A$2:$F$145,6,0)</f>
        <v>60300</v>
      </c>
      <c r="O545" s="28" t="b">
        <f t="shared" si="19"/>
        <v>1</v>
      </c>
      <c r="U545" s="449"/>
      <c r="V545" s="449"/>
      <c r="W545" s="43"/>
    </row>
    <row r="546" spans="2:23" s="28" customFormat="1" ht="16.5" customHeight="1">
      <c r="B546" s="20"/>
      <c r="C546" s="20"/>
      <c r="D546" s="448"/>
      <c r="E546" s="32">
        <v>124065</v>
      </c>
      <c r="F546" s="520" t="s">
        <v>449</v>
      </c>
      <c r="G546" s="518"/>
      <c r="H546" s="519"/>
      <c r="I546" s="325">
        <v>1011000</v>
      </c>
      <c r="J546" s="32">
        <v>124065</v>
      </c>
      <c r="K546" s="32" t="s">
        <v>71</v>
      </c>
      <c r="L546" s="32" t="s">
        <v>0</v>
      </c>
      <c r="M546" s="32">
        <v>208</v>
      </c>
      <c r="N546" s="356">
        <f>VLOOKUP(E546,'[2]Price list'!$A$2:$F$145,6,0)</f>
        <v>1011000</v>
      </c>
      <c r="O546" s="28" t="b">
        <f t="shared" si="19"/>
        <v>1</v>
      </c>
      <c r="U546" s="449"/>
      <c r="V546" s="449"/>
      <c r="W546" s="43"/>
    </row>
    <row r="547" spans="2:23" s="28" customFormat="1" ht="16.5" customHeight="1">
      <c r="B547" s="20"/>
      <c r="C547" s="20"/>
      <c r="D547" s="448"/>
      <c r="E547" s="32">
        <v>124476</v>
      </c>
      <c r="F547" s="37" t="s">
        <v>52</v>
      </c>
      <c r="G547" s="452"/>
      <c r="H547" s="453"/>
      <c r="I547" s="325">
        <v>63200</v>
      </c>
      <c r="J547" s="33">
        <v>124476</v>
      </c>
      <c r="K547" s="32" t="s">
        <v>70</v>
      </c>
      <c r="L547" s="32" t="s">
        <v>35</v>
      </c>
      <c r="M547" s="32">
        <v>20</v>
      </c>
      <c r="N547" s="356">
        <f>VLOOKUP(E547,'[2]Price list'!$A$2:$F$145,6,0)</f>
        <v>63200</v>
      </c>
      <c r="O547" s="28" t="b">
        <f t="shared" si="19"/>
        <v>1</v>
      </c>
      <c r="R547" s="43"/>
      <c r="S547" s="43"/>
      <c r="T547" s="43"/>
      <c r="U547" s="449"/>
      <c r="V547" s="449"/>
      <c r="W547" s="43"/>
    </row>
    <row r="548" spans="2:23" s="28" customFormat="1" ht="16.5" customHeight="1">
      <c r="B548" s="20"/>
      <c r="C548" s="20"/>
      <c r="D548" s="448"/>
      <c r="E548" s="32">
        <v>128872</v>
      </c>
      <c r="F548" s="37" t="s">
        <v>956</v>
      </c>
      <c r="G548" s="452"/>
      <c r="H548" s="453"/>
      <c r="I548" s="325">
        <v>0</v>
      </c>
      <c r="J548" s="33">
        <v>128872</v>
      </c>
      <c r="K548" s="32" t="s">
        <v>70</v>
      </c>
      <c r="L548" s="32" t="s">
        <v>0</v>
      </c>
      <c r="M548" s="32">
        <v>20</v>
      </c>
      <c r="N548" s="356" t="e">
        <f>VLOOKUP(E548,'[2]Price list'!$A$2:$F$145,6,0)</f>
        <v>#N/A</v>
      </c>
      <c r="O548" s="28" t="e">
        <f t="shared" si="19"/>
        <v>#N/A</v>
      </c>
      <c r="R548" s="43"/>
      <c r="S548" s="43"/>
      <c r="T548" s="43"/>
      <c r="U548" s="449"/>
      <c r="V548" s="449"/>
      <c r="W548" s="43"/>
    </row>
    <row r="549" spans="2:23" s="28" customFormat="1" ht="16.5" customHeight="1">
      <c r="B549" s="20"/>
      <c r="C549" s="20"/>
      <c r="D549" s="448"/>
      <c r="E549" s="32">
        <v>129171</v>
      </c>
      <c r="F549" s="37" t="s">
        <v>58</v>
      </c>
      <c r="G549" s="452"/>
      <c r="H549" s="453"/>
      <c r="I549" s="325">
        <v>59700</v>
      </c>
      <c r="J549" s="33">
        <v>129171</v>
      </c>
      <c r="K549" s="32" t="s">
        <v>70</v>
      </c>
      <c r="L549" s="32" t="s">
        <v>0</v>
      </c>
      <c r="M549" s="32">
        <v>20</v>
      </c>
      <c r="N549" s="356">
        <f>VLOOKUP(E549,'[2]Price list'!$A$2:$F$145,6,0)</f>
        <v>59700</v>
      </c>
      <c r="O549" s="28" t="b">
        <f t="shared" si="19"/>
        <v>1</v>
      </c>
      <c r="R549" s="43"/>
      <c r="S549" s="43"/>
      <c r="T549" s="43"/>
      <c r="U549" s="449"/>
      <c r="V549" s="449"/>
      <c r="W549" s="43"/>
    </row>
    <row r="550" spans="2:23" s="28" customFormat="1" ht="16.5" customHeight="1">
      <c r="B550" s="20"/>
      <c r="C550" s="20"/>
      <c r="D550" s="448"/>
      <c r="E550" s="32">
        <v>129174</v>
      </c>
      <c r="F550" s="37" t="s">
        <v>60</v>
      </c>
      <c r="G550" s="452"/>
      <c r="H550" s="453"/>
      <c r="I550" s="325">
        <v>70200</v>
      </c>
      <c r="J550" s="33">
        <v>129174</v>
      </c>
      <c r="K550" s="32" t="s">
        <v>70</v>
      </c>
      <c r="L550" s="32" t="s">
        <v>0</v>
      </c>
      <c r="M550" s="32">
        <v>20</v>
      </c>
      <c r="N550" s="356">
        <f>VLOOKUP(E550,'[2]Price list'!$A$2:$F$145,6,0)</f>
        <v>70200</v>
      </c>
      <c r="O550" s="28" t="b">
        <f t="shared" si="19"/>
        <v>1</v>
      </c>
      <c r="R550" s="43"/>
      <c r="S550" s="43"/>
      <c r="T550" s="43"/>
      <c r="U550" s="449"/>
      <c r="V550" s="449"/>
      <c r="W550" s="43"/>
    </row>
    <row r="551" spans="2:23" s="28" customFormat="1" ht="16.5" customHeight="1">
      <c r="B551" s="20"/>
      <c r="C551" s="20"/>
      <c r="D551" s="448"/>
      <c r="E551" s="32">
        <v>134989</v>
      </c>
      <c r="F551" s="37" t="s">
        <v>42</v>
      </c>
      <c r="G551" s="452"/>
      <c r="H551" s="453"/>
      <c r="I551" s="325">
        <v>90900</v>
      </c>
      <c r="J551" s="33">
        <v>134989</v>
      </c>
      <c r="K551" s="32" t="s">
        <v>70</v>
      </c>
      <c r="L551" s="32" t="s">
        <v>0</v>
      </c>
      <c r="M551" s="32">
        <v>20</v>
      </c>
      <c r="N551" s="356" t="e">
        <f>VLOOKUP(E551,'[2]Price list'!$A$2:$F$145,6,0)</f>
        <v>#N/A</v>
      </c>
      <c r="O551" s="28" t="e">
        <f t="shared" si="19"/>
        <v>#N/A</v>
      </c>
      <c r="R551" s="43"/>
      <c r="S551" s="43"/>
      <c r="T551" s="43"/>
      <c r="U551" s="449"/>
      <c r="V551" s="449"/>
      <c r="W551" s="43"/>
    </row>
    <row r="552" spans="2:23" s="28" customFormat="1" ht="16.5" customHeight="1">
      <c r="B552" s="20"/>
      <c r="C552" s="20"/>
      <c r="D552" s="448"/>
      <c r="E552" s="32">
        <v>135080</v>
      </c>
      <c r="F552" s="37" t="s">
        <v>44</v>
      </c>
      <c r="G552" s="452"/>
      <c r="H552" s="453"/>
      <c r="I552" s="325">
        <v>110000</v>
      </c>
      <c r="J552" s="33">
        <v>135080</v>
      </c>
      <c r="K552" s="32" t="s">
        <v>73</v>
      </c>
      <c r="L552" s="32" t="s">
        <v>35</v>
      </c>
      <c r="M552" s="32">
        <v>12</v>
      </c>
      <c r="N552" s="356">
        <f>VLOOKUP(E552,'[2]Price list'!$A$2:$F$145,6,0)</f>
        <v>110000</v>
      </c>
      <c r="O552" s="28" t="b">
        <f t="shared" si="19"/>
        <v>1</v>
      </c>
      <c r="R552" s="43"/>
      <c r="S552" s="43"/>
      <c r="T552" s="43"/>
      <c r="U552" s="449"/>
      <c r="V552" s="449"/>
      <c r="W552" s="43"/>
    </row>
    <row r="553" spans="2:23" s="28" customFormat="1" ht="16.5" customHeight="1">
      <c r="B553" s="20"/>
      <c r="C553" s="20"/>
      <c r="D553" s="448"/>
      <c r="E553" s="32">
        <v>135123</v>
      </c>
      <c r="F553" s="37" t="s">
        <v>957</v>
      </c>
      <c r="G553" s="452"/>
      <c r="H553" s="453"/>
      <c r="I553" s="325">
        <v>0</v>
      </c>
      <c r="J553" s="33">
        <v>135123</v>
      </c>
      <c r="K553" s="32" t="s">
        <v>70</v>
      </c>
      <c r="L553" s="32" t="s">
        <v>35</v>
      </c>
      <c r="M553" s="32">
        <v>20</v>
      </c>
      <c r="N553" s="356" t="e">
        <f>VLOOKUP(E553,'[2]Price list'!$A$2:$F$145,6,0)</f>
        <v>#N/A</v>
      </c>
      <c r="O553" s="28" t="e">
        <f t="shared" si="19"/>
        <v>#N/A</v>
      </c>
      <c r="R553" s="43"/>
      <c r="S553" s="43"/>
      <c r="T553" s="43"/>
      <c r="U553" s="449"/>
      <c r="V553" s="449"/>
      <c r="W553" s="43"/>
    </row>
    <row r="554" spans="2:23" s="28" customFormat="1" ht="16.5" customHeight="1">
      <c r="B554" s="20"/>
      <c r="C554" s="20"/>
      <c r="D554" s="448"/>
      <c r="E554" s="32">
        <v>135691</v>
      </c>
      <c r="F554" s="37" t="s">
        <v>62</v>
      </c>
      <c r="G554" s="452"/>
      <c r="H554" s="453"/>
      <c r="I554" s="325">
        <v>91100</v>
      </c>
      <c r="J554" s="33">
        <v>135691</v>
      </c>
      <c r="K554" s="32" t="s">
        <v>70</v>
      </c>
      <c r="L554" s="32" t="s">
        <v>0</v>
      </c>
      <c r="M554" s="32">
        <v>20</v>
      </c>
      <c r="N554" s="356">
        <f>VLOOKUP(E554,'[2]Price list'!$A$2:$F$145,6,0)</f>
        <v>91100</v>
      </c>
      <c r="O554" s="28" t="b">
        <f t="shared" si="19"/>
        <v>1</v>
      </c>
      <c r="R554" s="43"/>
      <c r="S554" s="43"/>
      <c r="T554" s="43"/>
      <c r="U554" s="449"/>
      <c r="V554" s="449"/>
      <c r="W554" s="43"/>
    </row>
    <row r="555" spans="2:23" s="28" customFormat="1" ht="16.5" customHeight="1">
      <c r="B555" s="20"/>
      <c r="C555" s="20"/>
      <c r="D555" s="448"/>
      <c r="E555" s="32">
        <v>138806</v>
      </c>
      <c r="F555" s="37" t="s">
        <v>50</v>
      </c>
      <c r="G555" s="452"/>
      <c r="H555" s="453"/>
      <c r="I555" s="325">
        <v>148600</v>
      </c>
      <c r="J555" s="33">
        <v>138806</v>
      </c>
      <c r="K555" s="32" t="s">
        <v>72</v>
      </c>
      <c r="L555" s="32" t="s">
        <v>35</v>
      </c>
      <c r="M555" s="32">
        <v>9.94</v>
      </c>
      <c r="N555" s="356">
        <f>VLOOKUP(E555,'[2]Price list'!$A$2:$F$145,6,0)</f>
        <v>148600</v>
      </c>
      <c r="O555" s="28" t="b">
        <f t="shared" si="19"/>
        <v>1</v>
      </c>
      <c r="R555" s="43"/>
      <c r="S555" s="43"/>
      <c r="T555" s="43"/>
      <c r="U555" s="449"/>
      <c r="V555" s="449"/>
      <c r="W555" s="43"/>
    </row>
    <row r="556" spans="2:23" s="28" customFormat="1" ht="16.5" customHeight="1">
      <c r="B556" s="20"/>
      <c r="C556" s="20"/>
      <c r="D556" s="448"/>
      <c r="E556" s="32">
        <v>138814</v>
      </c>
      <c r="F556" s="37" t="s">
        <v>535</v>
      </c>
      <c r="G556" s="452"/>
      <c r="H556" s="453"/>
      <c r="I556" s="325">
        <v>0</v>
      </c>
      <c r="J556" s="33">
        <v>138814</v>
      </c>
      <c r="K556" s="32" t="s">
        <v>71</v>
      </c>
      <c r="L556" s="32" t="s">
        <v>35</v>
      </c>
      <c r="M556" s="32">
        <v>200</v>
      </c>
      <c r="N556" s="356" t="e">
        <f>VLOOKUP(E556,'[2]Price list'!$A$2:$F$145,6,0)</f>
        <v>#N/A</v>
      </c>
      <c r="O556" s="28" t="e">
        <f t="shared" si="19"/>
        <v>#N/A</v>
      </c>
      <c r="R556" s="43"/>
      <c r="S556" s="43"/>
      <c r="T556" s="43"/>
      <c r="U556" s="449"/>
      <c r="V556" s="449"/>
      <c r="W556" s="43"/>
    </row>
    <row r="557" spans="2:23" s="28" customFormat="1" ht="16.5" customHeight="1">
      <c r="B557" s="20"/>
      <c r="C557" s="20"/>
      <c r="D557" s="448"/>
      <c r="E557" s="32">
        <v>138815</v>
      </c>
      <c r="F557" s="37" t="s">
        <v>958</v>
      </c>
      <c r="G557" s="452"/>
      <c r="H557" s="453"/>
      <c r="I557" s="325">
        <v>0</v>
      </c>
      <c r="J557" s="33">
        <v>138815</v>
      </c>
      <c r="K557" s="32" t="s">
        <v>70</v>
      </c>
      <c r="L557" s="32" t="s">
        <v>35</v>
      </c>
      <c r="M557" s="32">
        <v>20</v>
      </c>
      <c r="N557" s="356" t="e">
        <f>VLOOKUP(E557,'[2]Price list'!$A$2:$F$145,6,0)</f>
        <v>#N/A</v>
      </c>
      <c r="O557" s="28" t="e">
        <f t="shared" si="19"/>
        <v>#N/A</v>
      </c>
      <c r="R557" s="43"/>
      <c r="S557" s="43"/>
      <c r="T557" s="43"/>
      <c r="U557" s="449"/>
      <c r="V557" s="449"/>
      <c r="W557" s="43"/>
    </row>
    <row r="558" spans="2:23" s="28" customFormat="1" ht="16.5" customHeight="1">
      <c r="B558" s="20"/>
      <c r="C558" s="20"/>
      <c r="D558" s="448"/>
      <c r="E558" s="32">
        <v>138816</v>
      </c>
      <c r="F558" s="37" t="s">
        <v>173</v>
      </c>
      <c r="G558" s="452"/>
      <c r="H558" s="453"/>
      <c r="I558" s="325">
        <v>0</v>
      </c>
      <c r="J558" s="33">
        <v>138816</v>
      </c>
      <c r="K558" s="32" t="s">
        <v>72</v>
      </c>
      <c r="L558" s="32" t="s">
        <v>35</v>
      </c>
      <c r="M558" s="32">
        <v>12</v>
      </c>
      <c r="N558" s="356" t="e">
        <f>VLOOKUP(E558,'[2]Price list'!$A$2:$F$145,6,0)</f>
        <v>#N/A</v>
      </c>
      <c r="O558" s="28" t="e">
        <f t="shared" si="19"/>
        <v>#N/A</v>
      </c>
      <c r="R558" s="43"/>
      <c r="S558" s="43"/>
      <c r="T558" s="43"/>
      <c r="U558" s="449"/>
      <c r="V558" s="449"/>
      <c r="W558" s="43"/>
    </row>
    <row r="559" spans="2:23" s="28" customFormat="1" ht="16.5" customHeight="1">
      <c r="B559" s="20"/>
      <c r="C559" s="20"/>
      <c r="D559" s="448"/>
      <c r="E559" s="32">
        <v>147643</v>
      </c>
      <c r="F559" s="37" t="s">
        <v>959</v>
      </c>
      <c r="G559" s="452"/>
      <c r="H559" s="453"/>
      <c r="I559" s="325">
        <v>666000</v>
      </c>
      <c r="J559" s="33">
        <v>17643</v>
      </c>
      <c r="K559" s="32" t="s">
        <v>103</v>
      </c>
      <c r="L559" s="32" t="s">
        <v>79</v>
      </c>
      <c r="M559" s="32">
        <v>200</v>
      </c>
      <c r="N559" s="356" t="e">
        <f>VLOOKUP(E559,'[2]Price list'!$A$2:$F$145,6,0)</f>
        <v>#N/A</v>
      </c>
      <c r="O559" s="28" t="e">
        <f t="shared" si="19"/>
        <v>#N/A</v>
      </c>
      <c r="R559" s="43"/>
      <c r="S559" s="43"/>
      <c r="T559" s="43"/>
      <c r="U559" s="449"/>
      <c r="V559" s="449"/>
      <c r="W559" s="43"/>
    </row>
    <row r="560" spans="2:23" s="28" customFormat="1" ht="16.5" customHeight="1">
      <c r="B560" s="20"/>
      <c r="C560" s="20"/>
      <c r="D560" s="448"/>
      <c r="E560" s="32">
        <v>138827</v>
      </c>
      <c r="F560" s="37" t="s">
        <v>51</v>
      </c>
      <c r="G560" s="452"/>
      <c r="H560" s="453"/>
      <c r="I560" s="325">
        <v>595000</v>
      </c>
      <c r="J560" s="33">
        <v>138827</v>
      </c>
      <c r="K560" s="32" t="s">
        <v>71</v>
      </c>
      <c r="L560" s="32" t="s">
        <v>35</v>
      </c>
      <c r="M560" s="32">
        <v>200</v>
      </c>
      <c r="N560" s="356">
        <f>VLOOKUP(E560,'[2]Price list'!$A$2:$F$145,6,0)</f>
        <v>595000</v>
      </c>
      <c r="O560" s="28" t="b">
        <f t="shared" si="19"/>
        <v>1</v>
      </c>
      <c r="R560" s="43"/>
      <c r="S560" s="43"/>
      <c r="T560" s="43"/>
      <c r="U560" s="449"/>
      <c r="V560" s="449"/>
      <c r="W560" s="43"/>
    </row>
    <row r="561" spans="2:23" s="28" customFormat="1" ht="16.5" customHeight="1">
      <c r="B561" s="20"/>
      <c r="C561" s="20"/>
      <c r="D561" s="448"/>
      <c r="E561" s="32">
        <v>138832</v>
      </c>
      <c r="F561" s="37" t="s">
        <v>166</v>
      </c>
      <c r="G561" s="452"/>
      <c r="H561" s="453"/>
      <c r="I561" s="325">
        <v>70800</v>
      </c>
      <c r="J561" s="33">
        <v>138832</v>
      </c>
      <c r="K561" s="32" t="s">
        <v>70</v>
      </c>
      <c r="L561" s="32" t="s">
        <v>0</v>
      </c>
      <c r="M561" s="32">
        <v>20</v>
      </c>
      <c r="N561" s="356">
        <f>VLOOKUP(E561,'[2]Price list'!$A$2:$F$145,6,0)</f>
        <v>70800</v>
      </c>
      <c r="O561" s="28" t="b">
        <f t="shared" si="19"/>
        <v>1</v>
      </c>
      <c r="R561" s="43"/>
      <c r="S561" s="43"/>
      <c r="T561" s="43"/>
      <c r="U561" s="449"/>
      <c r="V561" s="449"/>
      <c r="W561" s="43"/>
    </row>
    <row r="562" spans="2:23" s="28" customFormat="1" ht="16.5" customHeight="1">
      <c r="B562" s="20"/>
      <c r="C562" s="20"/>
      <c r="D562" s="448"/>
      <c r="E562" s="32">
        <v>138833</v>
      </c>
      <c r="F562" s="37" t="s">
        <v>179</v>
      </c>
      <c r="G562" s="452"/>
      <c r="H562" s="453"/>
      <c r="I562" s="325">
        <v>48800</v>
      </c>
      <c r="J562" s="32">
        <v>138833</v>
      </c>
      <c r="K562" s="39" t="s">
        <v>73</v>
      </c>
      <c r="L562" s="32" t="s">
        <v>35</v>
      </c>
      <c r="M562" s="32">
        <v>12</v>
      </c>
      <c r="N562" s="356">
        <f>VLOOKUP(E562,'[2]Price list'!$A$2:$F$145,6,0)</f>
        <v>48800</v>
      </c>
      <c r="O562" s="28" t="b">
        <f t="shared" si="19"/>
        <v>1</v>
      </c>
      <c r="R562" s="43"/>
      <c r="S562" s="43"/>
      <c r="T562" s="43"/>
      <c r="U562" s="449"/>
      <c r="V562" s="449"/>
      <c r="W562" s="43"/>
    </row>
    <row r="563" spans="2:23" s="28" customFormat="1" ht="16.5" customHeight="1">
      <c r="B563" s="20"/>
      <c r="C563" s="20"/>
      <c r="D563" s="448"/>
      <c r="E563" s="32">
        <v>138838</v>
      </c>
      <c r="F563" s="37" t="s">
        <v>40</v>
      </c>
      <c r="G563" s="452"/>
      <c r="H563" s="453"/>
      <c r="I563" s="325">
        <v>615000</v>
      </c>
      <c r="J563" s="33">
        <v>138838</v>
      </c>
      <c r="K563" s="32" t="s">
        <v>71</v>
      </c>
      <c r="L563" s="32" t="s">
        <v>0</v>
      </c>
      <c r="M563" s="32">
        <v>200</v>
      </c>
      <c r="N563" s="356">
        <f>VLOOKUP(E563,'[2]Price list'!$A$2:$F$145,6,0)</f>
        <v>615000</v>
      </c>
      <c r="O563" s="28" t="b">
        <f t="shared" si="19"/>
        <v>1</v>
      </c>
      <c r="R563" s="43"/>
      <c r="S563" s="43"/>
      <c r="T563" s="43"/>
      <c r="U563" s="449"/>
      <c r="V563" s="449"/>
      <c r="W563" s="43"/>
    </row>
    <row r="564" spans="2:23" s="28" customFormat="1" ht="16.5" customHeight="1">
      <c r="B564" s="20"/>
      <c r="C564" s="20"/>
      <c r="D564" s="448"/>
      <c r="E564" s="32">
        <v>138840</v>
      </c>
      <c r="F564" s="37" t="s">
        <v>137</v>
      </c>
      <c r="G564" s="452"/>
      <c r="H564" s="453"/>
      <c r="I564" s="325">
        <v>65600</v>
      </c>
      <c r="J564" s="33">
        <v>138840</v>
      </c>
      <c r="K564" s="32" t="s">
        <v>70</v>
      </c>
      <c r="L564" s="32" t="s">
        <v>0</v>
      </c>
      <c r="M564" s="32">
        <v>20</v>
      </c>
      <c r="N564" s="356">
        <f>VLOOKUP(E564,'[2]Price list'!$A$2:$F$145,6,0)</f>
        <v>65600</v>
      </c>
      <c r="O564" s="28" t="b">
        <f t="shared" si="19"/>
        <v>1</v>
      </c>
      <c r="R564" s="43"/>
      <c r="S564" s="43"/>
      <c r="T564" s="43"/>
      <c r="U564" s="449"/>
      <c r="V564" s="449"/>
      <c r="W564" s="43"/>
    </row>
    <row r="565" spans="2:23" s="28" customFormat="1" ht="16.5" customHeight="1">
      <c r="B565" s="20"/>
      <c r="C565" s="20"/>
      <c r="D565" s="448"/>
      <c r="E565" s="32">
        <v>138851</v>
      </c>
      <c r="F565" s="37" t="s">
        <v>48</v>
      </c>
      <c r="G565" s="452"/>
      <c r="H565" s="453"/>
      <c r="I565" s="325">
        <v>1193000</v>
      </c>
      <c r="J565" s="33">
        <v>138851</v>
      </c>
      <c r="K565" s="32" t="s">
        <v>71</v>
      </c>
      <c r="L565" s="32" t="s">
        <v>0</v>
      </c>
      <c r="M565" s="32">
        <v>208</v>
      </c>
      <c r="N565" s="356">
        <f>VLOOKUP(E565,'[2]Price list'!$A$2:$F$145,6,0)</f>
        <v>1193000</v>
      </c>
      <c r="O565" s="28" t="b">
        <f t="shared" si="19"/>
        <v>1</v>
      </c>
      <c r="R565" s="43"/>
      <c r="S565" s="43"/>
      <c r="T565" s="43"/>
      <c r="U565" s="449"/>
      <c r="V565" s="449"/>
      <c r="W565" s="43"/>
    </row>
    <row r="566" spans="2:23" s="28" customFormat="1" ht="16.5" customHeight="1">
      <c r="B566" s="20"/>
      <c r="C566" s="20"/>
      <c r="D566" s="448"/>
      <c r="E566" s="32">
        <v>138865</v>
      </c>
      <c r="F566" s="37" t="s">
        <v>962</v>
      </c>
      <c r="G566" s="452"/>
      <c r="H566" s="453"/>
      <c r="I566" s="325">
        <v>0</v>
      </c>
      <c r="J566" s="33">
        <v>138865</v>
      </c>
      <c r="K566" s="32" t="s">
        <v>70</v>
      </c>
      <c r="L566" s="32" t="s">
        <v>0</v>
      </c>
      <c r="M566" s="32">
        <v>20</v>
      </c>
      <c r="N566" s="356" t="e">
        <f>VLOOKUP(E566,'[2]Price list'!$A$2:$F$145,6,0)</f>
        <v>#N/A</v>
      </c>
      <c r="O566" s="28" t="e">
        <f t="shared" si="19"/>
        <v>#N/A</v>
      </c>
      <c r="R566" s="43"/>
      <c r="S566" s="43"/>
      <c r="T566" s="43"/>
      <c r="U566" s="449"/>
      <c r="V566" s="449"/>
      <c r="W566" s="43"/>
    </row>
    <row r="567" spans="2:23" s="28" customFormat="1" ht="16.5" customHeight="1">
      <c r="B567" s="20"/>
      <c r="C567" s="20"/>
      <c r="D567" s="448"/>
      <c r="E567" s="32">
        <v>138882</v>
      </c>
      <c r="F567" s="37" t="s">
        <v>963</v>
      </c>
      <c r="G567" s="452"/>
      <c r="H567" s="453"/>
      <c r="I567" s="325">
        <v>0</v>
      </c>
      <c r="J567" s="33">
        <v>138882</v>
      </c>
      <c r="K567" s="32" t="s">
        <v>71</v>
      </c>
      <c r="L567" s="32" t="s">
        <v>0</v>
      </c>
      <c r="M567" s="32">
        <v>200</v>
      </c>
      <c r="N567" s="356" t="e">
        <f>VLOOKUP(E567,'[2]Price list'!$A$2:$F$145,6,0)</f>
        <v>#N/A</v>
      </c>
      <c r="O567" s="28" t="e">
        <f t="shared" si="19"/>
        <v>#N/A</v>
      </c>
      <c r="R567" s="43"/>
      <c r="S567" s="43"/>
      <c r="T567" s="43"/>
      <c r="U567" s="449"/>
      <c r="V567" s="449"/>
      <c r="W567" s="43"/>
    </row>
    <row r="568" spans="2:23" s="28" customFormat="1" ht="16.5" customHeight="1">
      <c r="B568" s="20"/>
      <c r="C568" s="20"/>
      <c r="D568" s="448"/>
      <c r="E568" s="32">
        <v>138884</v>
      </c>
      <c r="F568" s="37" t="s">
        <v>964</v>
      </c>
      <c r="G568" s="452"/>
      <c r="H568" s="453"/>
      <c r="I568" s="325">
        <v>0</v>
      </c>
      <c r="J568" s="33">
        <v>138884</v>
      </c>
      <c r="K568" s="32" t="s">
        <v>72</v>
      </c>
      <c r="L568" s="32" t="s">
        <v>0</v>
      </c>
      <c r="M568" s="32">
        <v>16</v>
      </c>
      <c r="N568" s="356" t="e">
        <f>VLOOKUP(E568,'[2]Price list'!$A$2:$F$145,6,0)</f>
        <v>#N/A</v>
      </c>
      <c r="O568" s="28" t="e">
        <f t="shared" si="19"/>
        <v>#N/A</v>
      </c>
      <c r="R568" s="43"/>
      <c r="S568" s="43"/>
      <c r="T568" s="43"/>
      <c r="U568" s="449"/>
      <c r="V568" s="449"/>
      <c r="W568" s="43"/>
    </row>
    <row r="569" spans="2:23" s="28" customFormat="1" ht="16.5" customHeight="1">
      <c r="B569" s="20"/>
      <c r="C569" s="20"/>
      <c r="D569" s="448"/>
      <c r="E569" s="32">
        <v>123302</v>
      </c>
      <c r="F569" s="37" t="s">
        <v>205</v>
      </c>
      <c r="G569" s="452"/>
      <c r="H569" s="453"/>
      <c r="I569" s="325">
        <v>233000</v>
      </c>
      <c r="J569" s="33">
        <v>138888</v>
      </c>
      <c r="K569" s="32" t="s">
        <v>70</v>
      </c>
      <c r="L569" s="32" t="s">
        <v>35</v>
      </c>
      <c r="M569" s="32">
        <v>20</v>
      </c>
      <c r="N569" s="356" t="e">
        <f>VLOOKUP(E569,'[2]Price list'!$A$2:$F$145,6,0)</f>
        <v>#N/A</v>
      </c>
      <c r="O569" s="28" t="e">
        <f t="shared" si="19"/>
        <v>#N/A</v>
      </c>
      <c r="R569" s="43"/>
      <c r="S569" s="43"/>
      <c r="T569" s="43"/>
      <c r="U569" s="449"/>
      <c r="V569" s="449"/>
      <c r="W569" s="43"/>
    </row>
    <row r="570" spans="2:23" s="28" customFormat="1" ht="16.5" customHeight="1">
      <c r="B570" s="20"/>
      <c r="C570" s="20"/>
      <c r="D570" s="448"/>
      <c r="E570" s="32">
        <v>138889</v>
      </c>
      <c r="F570" s="37" t="s">
        <v>55</v>
      </c>
      <c r="G570" s="452"/>
      <c r="H570" s="453"/>
      <c r="I570" s="325">
        <v>520000</v>
      </c>
      <c r="J570" s="33">
        <v>138889</v>
      </c>
      <c r="K570" s="32" t="s">
        <v>71</v>
      </c>
      <c r="L570" s="32" t="s">
        <v>0</v>
      </c>
      <c r="M570" s="32">
        <v>200</v>
      </c>
      <c r="N570" s="356">
        <f>VLOOKUP(E570,'[2]Price list'!$A$2:$F$145,6,0)</f>
        <v>520000</v>
      </c>
      <c r="O570" s="28" t="b">
        <f t="shared" si="19"/>
        <v>1</v>
      </c>
      <c r="R570" s="43"/>
      <c r="S570" s="43"/>
      <c r="T570" s="43"/>
      <c r="U570" s="449"/>
      <c r="V570" s="449"/>
      <c r="W570" s="43"/>
    </row>
    <row r="571" spans="2:23" s="28" customFormat="1" ht="16.5" customHeight="1">
      <c r="B571" s="20"/>
      <c r="C571" s="20"/>
      <c r="D571" s="448"/>
      <c r="E571" s="32">
        <v>138890</v>
      </c>
      <c r="F571" s="37" t="s">
        <v>56</v>
      </c>
      <c r="G571" s="452"/>
      <c r="H571" s="453"/>
      <c r="I571" s="325">
        <v>54000</v>
      </c>
      <c r="J571" s="33">
        <v>138890</v>
      </c>
      <c r="K571" s="32" t="s">
        <v>70</v>
      </c>
      <c r="L571" s="32" t="s">
        <v>0</v>
      </c>
      <c r="M571" s="32">
        <v>20</v>
      </c>
      <c r="N571" s="356">
        <f>VLOOKUP(E571,'[2]Price list'!$A$2:$F$145,6,0)</f>
        <v>54000</v>
      </c>
      <c r="O571" s="28" t="b">
        <f t="shared" si="19"/>
        <v>1</v>
      </c>
      <c r="R571" s="43"/>
      <c r="S571" s="43"/>
      <c r="T571" s="43"/>
      <c r="U571" s="449"/>
      <c r="V571" s="449"/>
      <c r="W571" s="43"/>
    </row>
    <row r="572" spans="2:23" s="28" customFormat="1" ht="16.5" customHeight="1">
      <c r="B572" s="20"/>
      <c r="C572" s="20"/>
      <c r="D572" s="448"/>
      <c r="E572" s="32">
        <v>138892</v>
      </c>
      <c r="F572" s="37" t="s">
        <v>965</v>
      </c>
      <c r="G572" s="452"/>
      <c r="H572" s="453"/>
      <c r="I572" s="325">
        <v>46500</v>
      </c>
      <c r="J572" s="33">
        <v>138892</v>
      </c>
      <c r="K572" s="32" t="s">
        <v>72</v>
      </c>
      <c r="L572" s="32" t="s">
        <v>35</v>
      </c>
      <c r="M572" s="32">
        <v>16</v>
      </c>
      <c r="N572" s="356">
        <f>VLOOKUP(E572,'[2]Price list'!$A$2:$F$145,6,0)</f>
        <v>46500</v>
      </c>
      <c r="O572" s="28" t="b">
        <f t="shared" si="19"/>
        <v>1</v>
      </c>
      <c r="R572" s="43"/>
      <c r="S572" s="43"/>
      <c r="T572" s="43"/>
      <c r="U572" s="449"/>
      <c r="V572" s="449"/>
      <c r="W572" s="43"/>
    </row>
    <row r="573" spans="2:23" s="28" customFormat="1" ht="16.5" customHeight="1">
      <c r="B573" s="20"/>
      <c r="C573" s="20"/>
      <c r="D573" s="448"/>
      <c r="E573" s="32">
        <v>138893</v>
      </c>
      <c r="F573" s="37" t="s">
        <v>57</v>
      </c>
      <c r="G573" s="452"/>
      <c r="H573" s="453"/>
      <c r="I573" s="325">
        <v>552000</v>
      </c>
      <c r="J573" s="33">
        <v>138893</v>
      </c>
      <c r="K573" s="32" t="s">
        <v>71</v>
      </c>
      <c r="L573" s="32" t="s">
        <v>0</v>
      </c>
      <c r="M573" s="32">
        <v>200</v>
      </c>
      <c r="N573" s="356">
        <f>VLOOKUP(E573,'[2]Price list'!$A$2:$F$145,6,0)</f>
        <v>552000</v>
      </c>
      <c r="O573" s="28" t="b">
        <f t="shared" si="19"/>
        <v>1</v>
      </c>
      <c r="R573" s="43"/>
      <c r="S573" s="43"/>
      <c r="T573" s="43"/>
      <c r="U573" s="449"/>
      <c r="V573" s="449"/>
      <c r="W573" s="43"/>
    </row>
    <row r="574" spans="2:23" s="28" customFormat="1" ht="16.5" customHeight="1">
      <c r="B574" s="20"/>
      <c r="C574" s="20"/>
      <c r="D574" s="448"/>
      <c r="E574" s="32">
        <v>138895</v>
      </c>
      <c r="F574" s="37" t="s">
        <v>59</v>
      </c>
      <c r="G574" s="452"/>
      <c r="H574" s="453"/>
      <c r="I574" s="325">
        <v>662000</v>
      </c>
      <c r="J574" s="33">
        <v>138895</v>
      </c>
      <c r="K574" s="32" t="s">
        <v>71</v>
      </c>
      <c r="L574" s="32" t="s">
        <v>0</v>
      </c>
      <c r="M574" s="32">
        <v>200</v>
      </c>
      <c r="N574" s="356">
        <f>VLOOKUP(E574,'[2]Price list'!$A$2:$F$145,6,0)</f>
        <v>662000</v>
      </c>
      <c r="O574" s="28" t="b">
        <f t="shared" si="19"/>
        <v>1</v>
      </c>
      <c r="R574" s="43"/>
      <c r="S574" s="43"/>
      <c r="T574" s="43"/>
      <c r="U574" s="449"/>
      <c r="V574" s="449"/>
      <c r="W574" s="43"/>
    </row>
    <row r="575" spans="2:23" s="28" customFormat="1" ht="16.5" customHeight="1">
      <c r="B575" s="20"/>
      <c r="C575" s="20"/>
      <c r="D575" s="448"/>
      <c r="E575" s="32">
        <v>138897</v>
      </c>
      <c r="F575" s="37" t="s">
        <v>61</v>
      </c>
      <c r="G575" s="452"/>
      <c r="H575" s="453"/>
      <c r="I575" s="325">
        <v>885000</v>
      </c>
      <c r="J575" s="33">
        <v>138897</v>
      </c>
      <c r="K575" s="32" t="s">
        <v>71</v>
      </c>
      <c r="L575" s="32" t="s">
        <v>0</v>
      </c>
      <c r="M575" s="32">
        <v>200</v>
      </c>
      <c r="N575" s="356">
        <f>VLOOKUP(E575,'[2]Price list'!$A$2:$F$145,6,0)</f>
        <v>885000</v>
      </c>
      <c r="O575" s="28" t="b">
        <f t="shared" si="19"/>
        <v>1</v>
      </c>
      <c r="R575" s="43"/>
      <c r="S575" s="43"/>
      <c r="T575" s="43"/>
      <c r="U575" s="449"/>
      <c r="V575" s="449"/>
      <c r="W575" s="43"/>
    </row>
    <row r="576" spans="2:23" s="28" customFormat="1" ht="16.5" customHeight="1">
      <c r="B576" s="20"/>
      <c r="C576" s="20"/>
      <c r="D576" s="448"/>
      <c r="E576" s="32">
        <v>138898</v>
      </c>
      <c r="F576" s="37" t="s">
        <v>63</v>
      </c>
      <c r="G576" s="452"/>
      <c r="H576" s="453"/>
      <c r="I576" s="325">
        <v>755000</v>
      </c>
      <c r="J576" s="33">
        <v>138898</v>
      </c>
      <c r="K576" s="32" t="s">
        <v>71</v>
      </c>
      <c r="L576" s="32" t="s">
        <v>0</v>
      </c>
      <c r="M576" s="32">
        <v>200</v>
      </c>
      <c r="N576" s="356">
        <f>VLOOKUP(E576,'[2]Price list'!$A$2:$F$145,6,0)</f>
        <v>755000</v>
      </c>
      <c r="O576" s="28" t="b">
        <f t="shared" si="19"/>
        <v>1</v>
      </c>
      <c r="R576" s="43"/>
      <c r="S576" s="43"/>
      <c r="T576" s="43"/>
      <c r="U576" s="449"/>
      <c r="V576" s="449"/>
      <c r="W576" s="43"/>
    </row>
    <row r="577" spans="2:23" s="28" customFormat="1" ht="16.5" customHeight="1">
      <c r="B577" s="20"/>
      <c r="C577" s="20"/>
      <c r="D577" s="448"/>
      <c r="E577" s="32">
        <v>138899</v>
      </c>
      <c r="F577" s="37" t="s">
        <v>64</v>
      </c>
      <c r="G577" s="452"/>
      <c r="H577" s="453"/>
      <c r="I577" s="325">
        <v>78100</v>
      </c>
      <c r="J577" s="33">
        <v>138899</v>
      </c>
      <c r="K577" s="32" t="s">
        <v>70</v>
      </c>
      <c r="L577" s="32" t="s">
        <v>0</v>
      </c>
      <c r="M577" s="32">
        <v>20</v>
      </c>
      <c r="N577" s="356">
        <f>VLOOKUP(E577,'[2]Price list'!$A$2:$F$145,6,0)</f>
        <v>78100</v>
      </c>
      <c r="O577" s="28" t="b">
        <f t="shared" si="19"/>
        <v>1</v>
      </c>
      <c r="R577" s="43"/>
      <c r="S577" s="43"/>
      <c r="T577" s="43"/>
      <c r="U577" s="449"/>
      <c r="V577" s="449"/>
      <c r="W577" s="43"/>
    </row>
    <row r="578" spans="2:23" s="28" customFormat="1" ht="16.5" customHeight="1">
      <c r="B578" s="20"/>
      <c r="C578" s="20"/>
      <c r="D578" s="448"/>
      <c r="E578" s="32">
        <v>138900</v>
      </c>
      <c r="F578" s="37" t="s">
        <v>550</v>
      </c>
      <c r="G578" s="452"/>
      <c r="H578" s="453"/>
      <c r="I578" s="325">
        <v>0</v>
      </c>
      <c r="J578" s="32">
        <v>138900</v>
      </c>
      <c r="K578" s="32" t="s">
        <v>71</v>
      </c>
      <c r="L578" s="32" t="s">
        <v>0</v>
      </c>
      <c r="M578" s="32">
        <v>200</v>
      </c>
      <c r="N578" s="356" t="e">
        <f>VLOOKUP(E578,'[2]Price list'!$A$2:$F$145,6,0)</f>
        <v>#N/A</v>
      </c>
      <c r="O578" s="28" t="e">
        <f t="shared" si="19"/>
        <v>#N/A</v>
      </c>
      <c r="R578" s="43"/>
      <c r="S578" s="43"/>
      <c r="T578" s="43"/>
      <c r="U578" s="449"/>
      <c r="V578" s="449"/>
      <c r="W578" s="43"/>
    </row>
    <row r="579" spans="2:23" s="28" customFormat="1" ht="16.5" customHeight="1">
      <c r="B579" s="20"/>
      <c r="C579" s="20"/>
      <c r="D579" s="448"/>
      <c r="E579" s="32">
        <v>138901</v>
      </c>
      <c r="F579" s="37" t="s">
        <v>966</v>
      </c>
      <c r="G579" s="452"/>
      <c r="H579" s="453"/>
      <c r="I579" s="325">
        <v>0</v>
      </c>
      <c r="J579" s="33">
        <v>138901</v>
      </c>
      <c r="K579" s="32" t="s">
        <v>70</v>
      </c>
      <c r="L579" s="32" t="s">
        <v>0</v>
      </c>
      <c r="M579" s="32">
        <v>20</v>
      </c>
      <c r="N579" s="356" t="e">
        <f>VLOOKUP(E579,'[2]Price list'!$A$2:$F$145,6,0)</f>
        <v>#N/A</v>
      </c>
      <c r="O579" s="28" t="e">
        <f t="shared" si="19"/>
        <v>#N/A</v>
      </c>
      <c r="R579" s="43"/>
      <c r="S579" s="43"/>
      <c r="T579" s="43"/>
      <c r="U579" s="449"/>
      <c r="V579" s="449"/>
      <c r="W579" s="43"/>
    </row>
    <row r="580" spans="2:23" s="28" customFormat="1" ht="16.5" customHeight="1">
      <c r="B580" s="20"/>
      <c r="C580" s="20"/>
      <c r="D580" s="448"/>
      <c r="E580" s="32">
        <v>138904</v>
      </c>
      <c r="F580" s="37" t="s">
        <v>967</v>
      </c>
      <c r="G580" s="452"/>
      <c r="H580" s="453"/>
      <c r="I580" s="325">
        <v>0</v>
      </c>
      <c r="J580" s="33">
        <v>138904</v>
      </c>
      <c r="K580" s="32" t="s">
        <v>72</v>
      </c>
      <c r="L580" s="32" t="s">
        <v>0</v>
      </c>
      <c r="M580" s="32">
        <v>18</v>
      </c>
      <c r="N580" s="356" t="e">
        <f>VLOOKUP(E580,'[2]Price list'!$A$2:$F$145,6,0)</f>
        <v>#N/A</v>
      </c>
      <c r="O580" s="28" t="e">
        <f t="shared" si="19"/>
        <v>#N/A</v>
      </c>
      <c r="R580" s="43"/>
      <c r="S580" s="43"/>
      <c r="T580" s="43"/>
      <c r="U580" s="449"/>
      <c r="V580" s="449"/>
      <c r="W580" s="43"/>
    </row>
    <row r="581" spans="2:23" s="28" customFormat="1" ht="16.5" customHeight="1">
      <c r="B581" s="20"/>
      <c r="C581" s="20"/>
      <c r="D581" s="448"/>
      <c r="E581" s="32">
        <v>139641</v>
      </c>
      <c r="F581" s="37" t="s">
        <v>90</v>
      </c>
      <c r="G581" s="518"/>
      <c r="H581" s="519"/>
      <c r="I581" s="325">
        <v>43600</v>
      </c>
      <c r="J581" s="33">
        <v>139641</v>
      </c>
      <c r="K581" s="32" t="s">
        <v>73</v>
      </c>
      <c r="L581" s="32" t="s">
        <v>0</v>
      </c>
      <c r="M581" s="32">
        <v>12</v>
      </c>
      <c r="N581" s="356">
        <f>VLOOKUP(E581,'[2]Price list'!$A$2:$F$145,6,0)</f>
        <v>43600</v>
      </c>
      <c r="O581" s="28" t="b">
        <f t="shared" si="19"/>
        <v>1</v>
      </c>
      <c r="R581" s="43"/>
      <c r="S581" s="43"/>
      <c r="T581" s="43"/>
      <c r="U581" s="449"/>
      <c r="V581" s="449"/>
      <c r="W581" s="43"/>
    </row>
    <row r="582" spans="2:23" s="28" customFormat="1" ht="16.5" customHeight="1">
      <c r="B582" s="20"/>
      <c r="C582" s="20"/>
      <c r="D582" s="448"/>
      <c r="E582" s="32">
        <v>139737</v>
      </c>
      <c r="F582" s="37" t="s">
        <v>640</v>
      </c>
      <c r="G582" s="452"/>
      <c r="H582" s="453"/>
      <c r="I582" s="325">
        <v>559000</v>
      </c>
      <c r="J582" s="32">
        <v>139737</v>
      </c>
      <c r="K582" s="32" t="s">
        <v>71</v>
      </c>
      <c r="L582" s="32" t="s">
        <v>0</v>
      </c>
      <c r="M582" s="32">
        <v>200</v>
      </c>
      <c r="N582" s="356">
        <f>VLOOKUP(E582,'[2]Price list'!$A$2:$F$145,6,0)</f>
        <v>559000</v>
      </c>
      <c r="O582" s="28" t="b">
        <f t="shared" si="19"/>
        <v>1</v>
      </c>
      <c r="R582" s="43"/>
      <c r="S582" s="43"/>
      <c r="T582" s="43"/>
      <c r="U582" s="449"/>
      <c r="V582" s="449"/>
      <c r="W582" s="43"/>
    </row>
    <row r="583" spans="2:23" s="28" customFormat="1" ht="16.5" customHeight="1">
      <c r="B583" s="20"/>
      <c r="C583" s="20"/>
      <c r="D583" s="448"/>
      <c r="E583" s="32">
        <v>139877</v>
      </c>
      <c r="F583" s="520" t="s">
        <v>968</v>
      </c>
      <c r="G583" s="452"/>
      <c r="H583" s="453"/>
      <c r="I583" s="325">
        <v>0</v>
      </c>
      <c r="J583" s="32">
        <v>139877</v>
      </c>
      <c r="K583" s="39" t="s">
        <v>71</v>
      </c>
      <c r="L583" s="32" t="s">
        <v>0</v>
      </c>
      <c r="M583" s="32">
        <v>200</v>
      </c>
      <c r="N583" s="356" t="e">
        <f>VLOOKUP(E583,'[2]Price list'!$A$2:$F$145,6,0)</f>
        <v>#N/A</v>
      </c>
      <c r="O583" s="28" t="e">
        <f t="shared" si="19"/>
        <v>#N/A</v>
      </c>
      <c r="R583" s="43"/>
      <c r="S583" s="43"/>
      <c r="T583" s="43"/>
      <c r="U583" s="449"/>
      <c r="V583" s="449"/>
      <c r="W583" s="43"/>
    </row>
    <row r="584" spans="2:23" s="28" customFormat="1" ht="16.5" customHeight="1">
      <c r="B584" s="20"/>
      <c r="C584" s="20"/>
      <c r="D584" s="448"/>
      <c r="E584" s="32">
        <v>139878</v>
      </c>
      <c r="F584" s="37" t="s">
        <v>969</v>
      </c>
      <c r="G584" s="452"/>
      <c r="H584" s="453"/>
      <c r="I584" s="325">
        <v>0</v>
      </c>
      <c r="J584" s="32">
        <v>139878</v>
      </c>
      <c r="K584" s="32" t="s">
        <v>72</v>
      </c>
      <c r="L584" s="32" t="s">
        <v>78</v>
      </c>
      <c r="M584" s="32">
        <v>18</v>
      </c>
      <c r="N584" s="356" t="e">
        <f>VLOOKUP(E584,'[2]Price list'!$A$2:$F$145,6,0)</f>
        <v>#N/A</v>
      </c>
      <c r="O584" s="28" t="e">
        <f t="shared" si="19"/>
        <v>#N/A</v>
      </c>
      <c r="R584" s="43"/>
      <c r="S584" s="43"/>
      <c r="T584" s="43"/>
      <c r="U584" s="449"/>
      <c r="V584" s="449"/>
      <c r="W584" s="43"/>
    </row>
    <row r="585" spans="2:23" s="28" customFormat="1" ht="16.5" customHeight="1">
      <c r="B585" s="20"/>
      <c r="C585" s="20"/>
      <c r="D585" s="448"/>
      <c r="E585" s="32">
        <v>139881</v>
      </c>
      <c r="F585" s="37" t="s">
        <v>101</v>
      </c>
      <c r="G585" s="452"/>
      <c r="H585" s="453"/>
      <c r="I585" s="325">
        <v>771000</v>
      </c>
      <c r="J585" s="32">
        <v>139881</v>
      </c>
      <c r="K585" s="32" t="s">
        <v>71</v>
      </c>
      <c r="L585" s="32" t="s">
        <v>78</v>
      </c>
      <c r="M585" s="32">
        <v>200</v>
      </c>
      <c r="N585" s="356">
        <f>VLOOKUP(E585,'[2]Price list'!$A$2:$F$145,6,0)</f>
        <v>771000</v>
      </c>
      <c r="O585" s="28" t="b">
        <f t="shared" si="19"/>
        <v>1</v>
      </c>
      <c r="R585" s="43"/>
      <c r="S585" s="43"/>
      <c r="T585" s="43"/>
      <c r="U585" s="449"/>
      <c r="V585" s="449"/>
      <c r="W585" s="43"/>
    </row>
    <row r="586" spans="2:23" s="28" customFormat="1" ht="16.5" customHeight="1">
      <c r="B586" s="20"/>
      <c r="C586" s="20"/>
      <c r="D586" s="448"/>
      <c r="E586" s="32">
        <v>139882</v>
      </c>
      <c r="F586" s="37" t="s">
        <v>214</v>
      </c>
      <c r="G586" s="452"/>
      <c r="H586" s="453"/>
      <c r="I586" s="325">
        <v>54200</v>
      </c>
      <c r="J586" s="33">
        <v>139882</v>
      </c>
      <c r="K586" s="32" t="s">
        <v>72</v>
      </c>
      <c r="L586" s="32" t="s">
        <v>78</v>
      </c>
      <c r="M586" s="32">
        <v>12</v>
      </c>
      <c r="N586" s="356">
        <f>VLOOKUP(E586,'[2]Price list'!$A$2:$F$145,6,0)</f>
        <v>54200</v>
      </c>
      <c r="O586" s="28" t="b">
        <f t="shared" si="19"/>
        <v>1</v>
      </c>
      <c r="R586" s="43"/>
      <c r="S586" s="43"/>
      <c r="T586" s="43"/>
      <c r="U586" s="449"/>
      <c r="V586" s="449"/>
      <c r="W586" s="43"/>
    </row>
    <row r="587" spans="2:23" s="28" customFormat="1" ht="16.5" customHeight="1">
      <c r="B587" s="20"/>
      <c r="C587" s="20"/>
      <c r="D587" s="448"/>
      <c r="E587" s="32">
        <v>139883</v>
      </c>
      <c r="F587" s="37" t="s">
        <v>197</v>
      </c>
      <c r="G587" s="452"/>
      <c r="H587" s="453"/>
      <c r="I587" s="325">
        <v>72100</v>
      </c>
      <c r="J587" s="33">
        <v>139883</v>
      </c>
      <c r="K587" s="32" t="s">
        <v>72</v>
      </c>
      <c r="L587" s="32" t="s">
        <v>78</v>
      </c>
      <c r="M587" s="32">
        <v>18</v>
      </c>
      <c r="N587" s="356">
        <f>VLOOKUP(E587,'[2]Price list'!$A$2:$F$145,6,0)</f>
        <v>72100</v>
      </c>
      <c r="O587" s="28" t="b">
        <f t="shared" si="19"/>
        <v>1</v>
      </c>
      <c r="R587" s="43"/>
      <c r="S587" s="43"/>
      <c r="T587" s="43"/>
      <c r="U587" s="449"/>
      <c r="V587" s="449"/>
      <c r="W587" s="43"/>
    </row>
    <row r="588" spans="2:23" s="28" customFormat="1" ht="16.5" customHeight="1">
      <c r="B588" s="20"/>
      <c r="C588" s="20"/>
      <c r="D588" s="448"/>
      <c r="E588" s="32">
        <v>140136</v>
      </c>
      <c r="F588" s="37" t="s">
        <v>649</v>
      </c>
      <c r="G588" s="452"/>
      <c r="H588" s="453"/>
      <c r="I588" s="325">
        <v>0</v>
      </c>
      <c r="J588" s="33">
        <v>140136</v>
      </c>
      <c r="K588" s="32" t="s">
        <v>71</v>
      </c>
      <c r="L588" s="32" t="s">
        <v>35</v>
      </c>
      <c r="M588" s="32">
        <v>200</v>
      </c>
      <c r="N588" s="356" t="e">
        <f>VLOOKUP(E588,'[2]Price list'!$A$2:$F$145,6,0)</f>
        <v>#N/A</v>
      </c>
      <c r="O588" s="28" t="e">
        <f t="shared" si="19"/>
        <v>#N/A</v>
      </c>
      <c r="R588" s="43"/>
      <c r="S588" s="43"/>
      <c r="T588" s="43"/>
      <c r="U588" s="449"/>
      <c r="V588" s="449"/>
      <c r="W588" s="43"/>
    </row>
    <row r="589" spans="2:23" s="28" customFormat="1" ht="16.5" customHeight="1">
      <c r="B589" s="20"/>
      <c r="C589" s="20"/>
      <c r="D589" s="448"/>
      <c r="E589" s="32">
        <v>140169</v>
      </c>
      <c r="F589" s="37" t="s">
        <v>970</v>
      </c>
      <c r="G589" s="452"/>
      <c r="H589" s="453"/>
      <c r="I589" s="325">
        <v>0</v>
      </c>
      <c r="J589" s="33">
        <v>140169</v>
      </c>
      <c r="K589" s="32" t="s">
        <v>73</v>
      </c>
      <c r="L589" s="32" t="s">
        <v>35</v>
      </c>
      <c r="M589" s="32">
        <v>12</v>
      </c>
      <c r="N589" s="356" t="e">
        <f>VLOOKUP(E589,'[2]Price list'!$A$2:$F$145,6,0)</f>
        <v>#N/A</v>
      </c>
      <c r="O589" s="28" t="e">
        <f t="shared" si="19"/>
        <v>#N/A</v>
      </c>
      <c r="R589" s="43"/>
      <c r="S589" s="43"/>
      <c r="T589" s="43"/>
      <c r="U589" s="449"/>
      <c r="V589" s="449"/>
      <c r="W589" s="43"/>
    </row>
    <row r="590" spans="2:23" s="28" customFormat="1" ht="16.5" customHeight="1">
      <c r="B590" s="20"/>
      <c r="C590" s="20"/>
      <c r="D590" s="448"/>
      <c r="E590" s="32">
        <v>146509</v>
      </c>
      <c r="F590" s="37" t="s">
        <v>971</v>
      </c>
      <c r="G590" s="452"/>
      <c r="H590" s="453"/>
      <c r="I590" s="325">
        <v>2212000</v>
      </c>
      <c r="J590" s="33">
        <v>146509</v>
      </c>
      <c r="K590" s="32" t="s">
        <v>71</v>
      </c>
      <c r="L590" s="32" t="s">
        <v>0</v>
      </c>
      <c r="M590" s="32">
        <v>208</v>
      </c>
      <c r="N590" s="356" t="e">
        <f>VLOOKUP(E590,'[2]Price list'!$A$2:$F$145,6,0)</f>
        <v>#N/A</v>
      </c>
      <c r="O590" s="28" t="e">
        <f t="shared" si="19"/>
        <v>#N/A</v>
      </c>
      <c r="R590" s="43"/>
      <c r="S590" s="43"/>
      <c r="T590" s="43"/>
      <c r="U590" s="449"/>
      <c r="V590" s="449"/>
      <c r="W590" s="43"/>
    </row>
    <row r="591" spans="2:23" s="28" customFormat="1" ht="16.5" customHeight="1">
      <c r="B591" s="20"/>
      <c r="C591" s="20"/>
      <c r="D591" s="448"/>
      <c r="E591" s="32">
        <v>140557</v>
      </c>
      <c r="F591" s="37" t="s">
        <v>972</v>
      </c>
      <c r="G591" s="452"/>
      <c r="H591" s="453"/>
      <c r="I591" s="325">
        <v>0</v>
      </c>
      <c r="J591" s="33">
        <v>140557</v>
      </c>
      <c r="K591" s="32" t="s">
        <v>71</v>
      </c>
      <c r="L591" s="32" t="s">
        <v>0</v>
      </c>
      <c r="M591" s="32">
        <v>208</v>
      </c>
      <c r="N591" s="356" t="e">
        <f>VLOOKUP(E591,'[2]Price list'!$A$2:$F$145,6,0)</f>
        <v>#N/A</v>
      </c>
      <c r="O591" s="28" t="e">
        <f t="shared" si="19"/>
        <v>#N/A</v>
      </c>
      <c r="R591" s="43"/>
      <c r="S591" s="43"/>
      <c r="T591" s="43"/>
      <c r="U591" s="449"/>
      <c r="V591" s="449"/>
      <c r="W591" s="43"/>
    </row>
    <row r="592" spans="2:23" s="28" customFormat="1" ht="16.5" customHeight="1">
      <c r="B592" s="20"/>
      <c r="C592" s="20"/>
      <c r="D592" s="448"/>
      <c r="E592" s="32">
        <v>146510</v>
      </c>
      <c r="F592" s="37" t="s">
        <v>973</v>
      </c>
      <c r="G592" s="452"/>
      <c r="H592" s="453"/>
      <c r="I592" s="325">
        <v>233000</v>
      </c>
      <c r="J592" s="33">
        <v>146510</v>
      </c>
      <c r="K592" s="32" t="s">
        <v>70</v>
      </c>
      <c r="L592" s="32" t="s">
        <v>0</v>
      </c>
      <c r="M592" s="32">
        <v>20</v>
      </c>
      <c r="N592" s="356" t="e">
        <f>VLOOKUP(E592,'[2]Price list'!$A$2:$F$145,6,0)</f>
        <v>#N/A</v>
      </c>
      <c r="O592" s="28" t="e">
        <f t="shared" si="19"/>
        <v>#N/A</v>
      </c>
      <c r="R592" s="43"/>
      <c r="S592" s="43"/>
      <c r="T592" s="43"/>
      <c r="U592" s="449"/>
      <c r="V592" s="449"/>
      <c r="W592" s="43"/>
    </row>
    <row r="593" spans="2:24" s="28" customFormat="1" ht="16.5" customHeight="1">
      <c r="B593" s="20"/>
      <c r="C593" s="20"/>
      <c r="D593" s="448"/>
      <c r="E593" s="32">
        <v>140564</v>
      </c>
      <c r="F593" s="520" t="s">
        <v>218</v>
      </c>
      <c r="G593" s="452"/>
      <c r="H593" s="453"/>
      <c r="I593" s="325">
        <v>213000</v>
      </c>
      <c r="J593" s="32">
        <v>140564</v>
      </c>
      <c r="K593" s="32" t="s">
        <v>70</v>
      </c>
      <c r="L593" s="32" t="s">
        <v>0</v>
      </c>
      <c r="M593" s="32">
        <v>15.8</v>
      </c>
      <c r="N593" s="356">
        <f>VLOOKUP(E593,'[2]Price list'!$A$2:$F$145,6,0)</f>
        <v>213000</v>
      </c>
      <c r="O593" s="28" t="b">
        <f t="shared" si="19"/>
        <v>1</v>
      </c>
      <c r="R593" s="43"/>
      <c r="S593" s="43"/>
      <c r="T593" s="43"/>
      <c r="U593" s="449"/>
      <c r="V593" s="449"/>
      <c r="W593" s="43"/>
    </row>
    <row r="594" spans="2:24" s="28" customFormat="1" ht="16.5" customHeight="1">
      <c r="B594" s="20"/>
      <c r="C594" s="20"/>
      <c r="D594" s="448"/>
      <c r="E594" s="32">
        <v>140585</v>
      </c>
      <c r="F594" s="520" t="s">
        <v>675</v>
      </c>
      <c r="G594" s="452"/>
      <c r="H594" s="453"/>
      <c r="I594" s="325">
        <v>2081000</v>
      </c>
      <c r="J594" s="32">
        <v>140585</v>
      </c>
      <c r="K594" s="39" t="s">
        <v>71</v>
      </c>
      <c r="L594" s="32" t="s">
        <v>0</v>
      </c>
      <c r="M594" s="32">
        <v>170</v>
      </c>
      <c r="N594" s="356">
        <f>VLOOKUP(E594,'[2]Price list'!$A$2:$F$145,6,0)</f>
        <v>2081000</v>
      </c>
      <c r="O594" s="28" t="b">
        <f t="shared" si="19"/>
        <v>1</v>
      </c>
      <c r="R594" s="43"/>
      <c r="S594" s="43"/>
      <c r="T594" s="43"/>
      <c r="U594" s="449"/>
      <c r="V594" s="449"/>
      <c r="W594" s="43"/>
    </row>
    <row r="595" spans="2:24" s="28" customFormat="1" ht="16.5" customHeight="1">
      <c r="B595" s="20"/>
      <c r="C595" s="20"/>
      <c r="D595" s="448"/>
      <c r="E595" s="32">
        <v>140657</v>
      </c>
      <c r="F595" s="37" t="s">
        <v>43</v>
      </c>
      <c r="G595" s="452"/>
      <c r="H595" s="453"/>
      <c r="I595" s="325">
        <v>118000</v>
      </c>
      <c r="J595" s="33">
        <v>140657</v>
      </c>
      <c r="K595" s="32" t="s">
        <v>73</v>
      </c>
      <c r="L595" s="32" t="s">
        <v>35</v>
      </c>
      <c r="M595" s="32">
        <v>12</v>
      </c>
      <c r="N595" s="356" t="e">
        <f>VLOOKUP(E595,'[2]Price list'!$A$2:$F$145,6,0)</f>
        <v>#N/A</v>
      </c>
      <c r="O595" s="28" t="e">
        <f t="shared" si="19"/>
        <v>#N/A</v>
      </c>
      <c r="R595" s="43"/>
      <c r="S595" s="43"/>
      <c r="T595" s="43"/>
      <c r="U595" s="449"/>
      <c r="V595" s="449"/>
      <c r="W595" s="43"/>
    </row>
    <row r="596" spans="2:24" s="28" customFormat="1" ht="16.5" customHeight="1">
      <c r="B596" s="20"/>
      <c r="C596" s="20"/>
      <c r="D596" s="448"/>
      <c r="E596" s="32">
        <v>140658</v>
      </c>
      <c r="F596" s="520" t="s">
        <v>679</v>
      </c>
      <c r="G596" s="452"/>
      <c r="H596" s="453"/>
      <c r="I596" s="325">
        <v>0</v>
      </c>
      <c r="J596" s="32">
        <v>140658</v>
      </c>
      <c r="K596" s="32" t="s">
        <v>71</v>
      </c>
      <c r="L596" s="32" t="s">
        <v>35</v>
      </c>
      <c r="M596" s="32">
        <v>200</v>
      </c>
      <c r="N596" s="356" t="e">
        <f>VLOOKUP(E596,'[2]Price list'!$A$2:$F$145,6,0)</f>
        <v>#N/A</v>
      </c>
      <c r="O596" s="28" t="e">
        <f t="shared" si="19"/>
        <v>#N/A</v>
      </c>
      <c r="R596" s="43"/>
      <c r="S596" s="43"/>
      <c r="T596" s="43"/>
      <c r="U596" s="449"/>
      <c r="V596" s="449"/>
      <c r="W596" s="43"/>
    </row>
    <row r="597" spans="2:24" s="28" customFormat="1" ht="16.5" customHeight="1">
      <c r="B597" s="20"/>
      <c r="C597" s="20"/>
      <c r="D597" s="448"/>
      <c r="E597" s="32">
        <v>140660</v>
      </c>
      <c r="F597" s="37" t="s">
        <v>974</v>
      </c>
      <c r="G597" s="452"/>
      <c r="H597" s="453"/>
      <c r="I597" s="325">
        <v>118000</v>
      </c>
      <c r="J597" s="33">
        <v>140660</v>
      </c>
      <c r="K597" s="32" t="s">
        <v>73</v>
      </c>
      <c r="L597" s="32" t="s">
        <v>35</v>
      </c>
      <c r="M597" s="32">
        <v>12</v>
      </c>
      <c r="N597" s="356" t="e">
        <f>VLOOKUP(E597,'[2]Price list'!$A$2:$F$145,6,0)</f>
        <v>#N/A</v>
      </c>
      <c r="O597" s="28" t="e">
        <f t="shared" si="19"/>
        <v>#N/A</v>
      </c>
      <c r="R597" s="43"/>
      <c r="S597" s="43"/>
      <c r="T597" s="43"/>
      <c r="U597" s="449"/>
      <c r="V597" s="449"/>
      <c r="W597" s="43"/>
      <c r="X597" s="42"/>
    </row>
    <row r="598" spans="2:24" s="28" customFormat="1" ht="16.5" customHeight="1">
      <c r="B598" s="20"/>
      <c r="C598" s="20"/>
      <c r="D598" s="448"/>
      <c r="E598" s="32">
        <v>146255</v>
      </c>
      <c r="F598" s="37" t="s">
        <v>106</v>
      </c>
      <c r="G598" s="452"/>
      <c r="H598" s="453"/>
      <c r="I598" s="325">
        <v>1789000</v>
      </c>
      <c r="J598" s="32">
        <v>146255</v>
      </c>
      <c r="K598" s="32" t="s">
        <v>71</v>
      </c>
      <c r="L598" s="32" t="s">
        <v>35</v>
      </c>
      <c r="M598" s="32">
        <v>208</v>
      </c>
      <c r="N598" s="356">
        <f>VLOOKUP(E598,'[2]Price list'!$A$2:$F$145,6,0)</f>
        <v>1789000</v>
      </c>
      <c r="O598" s="28" t="b">
        <f t="shared" si="19"/>
        <v>1</v>
      </c>
      <c r="R598" s="43"/>
      <c r="S598" s="43"/>
      <c r="T598" s="43"/>
      <c r="U598" s="449"/>
      <c r="V598" s="449"/>
      <c r="W598" s="43"/>
      <c r="X598" s="42"/>
    </row>
    <row r="599" spans="2:24" s="28" customFormat="1" ht="16.5" customHeight="1">
      <c r="B599" s="20"/>
      <c r="C599" s="20"/>
      <c r="D599" s="448"/>
      <c r="E599" s="32">
        <v>140668</v>
      </c>
      <c r="F599" s="37" t="s">
        <v>975</v>
      </c>
      <c r="G599" s="452"/>
      <c r="H599" s="453"/>
      <c r="I599" s="325">
        <v>0</v>
      </c>
      <c r="J599" s="33">
        <v>140668</v>
      </c>
      <c r="K599" s="32" t="s">
        <v>73</v>
      </c>
      <c r="L599" s="32" t="s">
        <v>0</v>
      </c>
      <c r="M599" s="32">
        <v>16</v>
      </c>
      <c r="N599" s="356" t="e">
        <f>VLOOKUP(E599,'[2]Price list'!$A$2:$F$145,6,0)</f>
        <v>#N/A</v>
      </c>
      <c r="O599" s="28" t="e">
        <f t="shared" si="19"/>
        <v>#N/A</v>
      </c>
      <c r="R599" s="43"/>
      <c r="S599" s="43"/>
      <c r="T599" s="43"/>
      <c r="U599" s="449"/>
      <c r="V599" s="449"/>
      <c r="W599" s="43"/>
    </row>
    <row r="600" spans="2:24" s="28" customFormat="1" ht="16.5" customHeight="1">
      <c r="B600" s="20"/>
      <c r="C600" s="20"/>
      <c r="D600" s="448"/>
      <c r="E600" s="32">
        <v>140669</v>
      </c>
      <c r="F600" s="37" t="s">
        <v>198</v>
      </c>
      <c r="G600" s="518"/>
      <c r="H600" s="519"/>
      <c r="I600" s="325">
        <v>0</v>
      </c>
      <c r="J600" s="33">
        <v>140669</v>
      </c>
      <c r="K600" s="32" t="s">
        <v>70</v>
      </c>
      <c r="L600" s="32" t="s">
        <v>0</v>
      </c>
      <c r="M600" s="32">
        <v>20</v>
      </c>
      <c r="N600" s="356" t="e">
        <f>VLOOKUP(E600,'[2]Price list'!$A$2:$F$145,6,0)</f>
        <v>#N/A</v>
      </c>
      <c r="O600" s="28" t="e">
        <f t="shared" si="19"/>
        <v>#N/A</v>
      </c>
      <c r="R600" s="43"/>
      <c r="S600" s="43"/>
      <c r="T600" s="43"/>
      <c r="U600" s="449"/>
      <c r="V600" s="449"/>
      <c r="W600" s="43"/>
    </row>
    <row r="601" spans="2:24" s="28" customFormat="1" ht="16.5" customHeight="1">
      <c r="B601" s="20"/>
      <c r="C601" s="20"/>
      <c r="D601" s="448"/>
      <c r="E601" s="32">
        <v>140670</v>
      </c>
      <c r="F601" s="37" t="s">
        <v>681</v>
      </c>
      <c r="G601" s="452"/>
      <c r="H601" s="453"/>
      <c r="I601" s="325">
        <v>0</v>
      </c>
      <c r="J601" s="33">
        <v>140670</v>
      </c>
      <c r="K601" s="32" t="s">
        <v>71</v>
      </c>
      <c r="L601" s="32" t="s">
        <v>0</v>
      </c>
      <c r="M601" s="32">
        <v>200</v>
      </c>
      <c r="N601" s="356" t="e">
        <f>VLOOKUP(E601,'[2]Price list'!$A$2:$F$145,6,0)</f>
        <v>#N/A</v>
      </c>
      <c r="O601" s="28" t="e">
        <f t="shared" si="19"/>
        <v>#N/A</v>
      </c>
      <c r="R601" s="43"/>
      <c r="S601" s="43"/>
      <c r="T601" s="43"/>
      <c r="U601" s="449"/>
      <c r="V601" s="449"/>
      <c r="W601" s="43"/>
    </row>
    <row r="602" spans="2:24" s="28" customFormat="1" ht="16.5" customHeight="1">
      <c r="B602" s="20"/>
      <c r="C602" s="20"/>
      <c r="D602" s="448"/>
      <c r="E602" s="32">
        <v>140727</v>
      </c>
      <c r="F602" s="37" t="s">
        <v>182</v>
      </c>
      <c r="G602" s="452"/>
      <c r="H602" s="453"/>
      <c r="I602" s="325">
        <v>0</v>
      </c>
      <c r="J602" s="33">
        <v>140727</v>
      </c>
      <c r="K602" s="32" t="s">
        <v>73</v>
      </c>
      <c r="L602" s="32" t="s">
        <v>35</v>
      </c>
      <c r="M602" s="32">
        <v>12</v>
      </c>
      <c r="N602" s="356" t="e">
        <f>VLOOKUP(E602,'[2]Price list'!$A$2:$F$145,6,0)</f>
        <v>#N/A</v>
      </c>
      <c r="O602" s="28" t="e">
        <f t="shared" si="19"/>
        <v>#N/A</v>
      </c>
      <c r="R602" s="43"/>
      <c r="S602" s="43"/>
      <c r="T602" s="43"/>
      <c r="U602" s="449"/>
      <c r="V602" s="449"/>
      <c r="W602" s="43"/>
    </row>
    <row r="603" spans="2:24" s="28" customFormat="1" ht="16.5" customHeight="1">
      <c r="B603" s="20"/>
      <c r="C603" s="20"/>
      <c r="D603" s="448"/>
      <c r="E603" s="32">
        <v>141441</v>
      </c>
      <c r="F603" s="37" t="s">
        <v>183</v>
      </c>
      <c r="G603" s="452"/>
      <c r="H603" s="453"/>
      <c r="I603" s="325">
        <v>106000</v>
      </c>
      <c r="J603" s="33">
        <v>141441</v>
      </c>
      <c r="K603" s="32" t="s">
        <v>73</v>
      </c>
      <c r="L603" s="32" t="s">
        <v>976</v>
      </c>
      <c r="M603" s="32">
        <v>12</v>
      </c>
      <c r="N603" s="356">
        <f>VLOOKUP(E603,'[2]Price list'!$A$2:$F$145,6,0)</f>
        <v>106000</v>
      </c>
      <c r="O603" s="28" t="b">
        <f t="shared" si="19"/>
        <v>1</v>
      </c>
      <c r="R603" s="43"/>
      <c r="S603" s="43"/>
      <c r="T603" s="43"/>
      <c r="U603" s="449"/>
      <c r="V603" s="449"/>
      <c r="W603" s="43"/>
    </row>
    <row r="604" spans="2:24" s="28" customFormat="1" ht="16.5" customHeight="1">
      <c r="B604" s="20"/>
      <c r="C604" s="20"/>
      <c r="D604" s="448"/>
      <c r="E604" s="32">
        <v>141592</v>
      </c>
      <c r="F604" s="37" t="s">
        <v>165</v>
      </c>
      <c r="G604" s="452"/>
      <c r="H604" s="453"/>
      <c r="I604" s="325">
        <v>41300</v>
      </c>
      <c r="J604" s="33">
        <v>141592</v>
      </c>
      <c r="K604" s="32" t="s">
        <v>73</v>
      </c>
      <c r="L604" s="32" t="s">
        <v>79</v>
      </c>
      <c r="M604" s="32">
        <v>16</v>
      </c>
      <c r="N604" s="356" t="e">
        <f>VLOOKUP(E604,'[2]Price list'!$A$2:$F$145,6,0)</f>
        <v>#N/A</v>
      </c>
      <c r="O604" s="28" t="e">
        <f t="shared" si="19"/>
        <v>#N/A</v>
      </c>
      <c r="R604" s="43"/>
      <c r="S604" s="43"/>
      <c r="T604" s="43"/>
      <c r="U604" s="449"/>
      <c r="V604" s="449"/>
      <c r="W604" s="43"/>
    </row>
    <row r="605" spans="2:24" s="28" customFormat="1" ht="16.5" customHeight="1">
      <c r="B605" s="20"/>
      <c r="C605" s="20"/>
      <c r="D605" s="448"/>
      <c r="E605" s="32">
        <v>141593</v>
      </c>
      <c r="F605" s="37" t="s">
        <v>978</v>
      </c>
      <c r="G605" s="452"/>
      <c r="H605" s="453"/>
      <c r="I605" s="325">
        <v>456000</v>
      </c>
      <c r="J605" s="33">
        <v>141593</v>
      </c>
      <c r="K605" s="32" t="s">
        <v>71</v>
      </c>
      <c r="L605" s="32" t="s">
        <v>35</v>
      </c>
      <c r="M605" s="32">
        <v>200</v>
      </c>
      <c r="N605" s="356" t="e">
        <f>VLOOKUP(E605,'[2]Price list'!$A$2:$F$145,6,0)</f>
        <v>#N/A</v>
      </c>
      <c r="O605" s="28" t="e">
        <f t="shared" si="19"/>
        <v>#N/A</v>
      </c>
      <c r="R605" s="43"/>
      <c r="S605" s="43"/>
      <c r="T605" s="43"/>
      <c r="U605" s="449"/>
      <c r="V605" s="449"/>
      <c r="W605" s="43"/>
    </row>
    <row r="606" spans="2:24" s="28" customFormat="1" ht="16.5" customHeight="1">
      <c r="B606" s="20"/>
      <c r="C606" s="20"/>
      <c r="D606" s="448"/>
      <c r="E606" s="32">
        <v>141665</v>
      </c>
      <c r="F606" s="37" t="s">
        <v>692</v>
      </c>
      <c r="G606" s="452"/>
      <c r="H606" s="453"/>
      <c r="I606" s="325">
        <v>0</v>
      </c>
      <c r="J606" s="32">
        <v>141665</v>
      </c>
      <c r="K606" s="32" t="s">
        <v>71</v>
      </c>
      <c r="L606" s="32" t="s">
        <v>35</v>
      </c>
      <c r="M606" s="32">
        <v>200</v>
      </c>
      <c r="N606" s="356" t="e">
        <f>VLOOKUP(E606,'[2]Price list'!$A$2:$F$145,6,0)</f>
        <v>#N/A</v>
      </c>
      <c r="O606" s="28" t="e">
        <f t="shared" si="19"/>
        <v>#N/A</v>
      </c>
      <c r="R606" s="43"/>
      <c r="S606" s="43"/>
      <c r="T606" s="43"/>
      <c r="U606" s="449"/>
      <c r="V606" s="449"/>
      <c r="W606" s="43"/>
    </row>
    <row r="607" spans="2:24" s="28" customFormat="1" ht="16.5" customHeight="1">
      <c r="B607" s="20"/>
      <c r="C607" s="20"/>
      <c r="D607" s="448"/>
      <c r="E607" s="32">
        <v>141765</v>
      </c>
      <c r="F607" s="37" t="s">
        <v>184</v>
      </c>
      <c r="G607" s="452"/>
      <c r="H607" s="453"/>
      <c r="I607" s="325">
        <v>64300</v>
      </c>
      <c r="J607" s="32">
        <v>141765</v>
      </c>
      <c r="K607" s="32" t="s">
        <v>72</v>
      </c>
      <c r="L607" s="32" t="s">
        <v>79</v>
      </c>
      <c r="M607" s="32">
        <v>6</v>
      </c>
      <c r="N607" s="356">
        <f>VLOOKUP(E607,'[2]Price list'!$A$2:$F$145,6,0)</f>
        <v>64300</v>
      </c>
      <c r="O607" s="28" t="b">
        <f t="shared" si="19"/>
        <v>1</v>
      </c>
      <c r="R607" s="43"/>
      <c r="S607" s="43"/>
      <c r="T607" s="43"/>
      <c r="U607" s="449"/>
      <c r="V607" s="449"/>
      <c r="W607" s="43"/>
    </row>
    <row r="608" spans="2:24" s="28" customFormat="1" ht="16.5" customHeight="1">
      <c r="B608" s="20"/>
      <c r="C608" s="20"/>
      <c r="D608" s="448"/>
      <c r="E608" s="32">
        <v>147705</v>
      </c>
      <c r="F608" s="37" t="s">
        <v>979</v>
      </c>
      <c r="G608" s="452"/>
      <c r="H608" s="453"/>
      <c r="I608" s="325">
        <v>136000</v>
      </c>
      <c r="J608" s="32">
        <v>147705</v>
      </c>
      <c r="K608" s="32" t="s">
        <v>980</v>
      </c>
      <c r="L608" s="32" t="s">
        <v>79</v>
      </c>
      <c r="M608" s="32">
        <v>12</v>
      </c>
      <c r="N608" s="356">
        <v>136000</v>
      </c>
      <c r="O608" s="28" t="b">
        <f t="shared" si="19"/>
        <v>1</v>
      </c>
      <c r="R608" s="43"/>
      <c r="S608" s="43"/>
      <c r="T608" s="43"/>
      <c r="U608" s="449"/>
      <c r="V608" s="449"/>
      <c r="W608" s="43"/>
    </row>
    <row r="609" spans="2:24" s="28" customFormat="1" ht="16.5" customHeight="1">
      <c r="B609" s="20"/>
      <c r="C609" s="20"/>
      <c r="D609" s="448"/>
      <c r="E609" s="32">
        <v>148326</v>
      </c>
      <c r="F609" s="37" t="s">
        <v>979</v>
      </c>
      <c r="G609" s="452"/>
      <c r="H609" s="453"/>
      <c r="I609" s="325">
        <v>136000</v>
      </c>
      <c r="J609" s="32">
        <v>148326</v>
      </c>
      <c r="K609" s="32" t="s">
        <v>981</v>
      </c>
      <c r="L609" s="32" t="s">
        <v>79</v>
      </c>
      <c r="M609" s="32">
        <v>12</v>
      </c>
      <c r="N609" s="356">
        <v>136000</v>
      </c>
      <c r="O609" s="28" t="b">
        <f t="shared" si="19"/>
        <v>1</v>
      </c>
      <c r="R609" s="43"/>
      <c r="S609" s="43"/>
      <c r="T609" s="43"/>
      <c r="U609" s="449"/>
      <c r="V609" s="449"/>
      <c r="W609" s="43"/>
    </row>
    <row r="610" spans="2:24" s="28" customFormat="1" ht="16.5" customHeight="1">
      <c r="B610" s="20"/>
      <c r="C610" s="20"/>
      <c r="D610" s="448"/>
      <c r="E610" s="32">
        <v>142039</v>
      </c>
      <c r="F610" s="37" t="s">
        <v>982</v>
      </c>
      <c r="G610" s="452"/>
      <c r="H610" s="453"/>
      <c r="I610" s="325">
        <v>60100</v>
      </c>
      <c r="J610" s="33">
        <v>142039</v>
      </c>
      <c r="K610" s="32" t="s">
        <v>73</v>
      </c>
      <c r="L610" s="32" t="s">
        <v>35</v>
      </c>
      <c r="M610" s="32">
        <v>12</v>
      </c>
      <c r="N610" s="356">
        <f>VLOOKUP(E610,'[2]Price list'!$A$2:$F$145,6,0)</f>
        <v>60100</v>
      </c>
      <c r="O610" s="28" t="b">
        <f t="shared" si="19"/>
        <v>1</v>
      </c>
      <c r="R610" s="43"/>
      <c r="S610" s="43"/>
      <c r="T610" s="43"/>
      <c r="U610" s="449"/>
      <c r="V610" s="449"/>
      <c r="W610" s="43"/>
    </row>
    <row r="611" spans="2:24" s="28" customFormat="1" ht="16.5" customHeight="1">
      <c r="B611" s="20"/>
      <c r="C611" s="20"/>
      <c r="D611" s="448"/>
      <c r="E611" s="32">
        <v>142150</v>
      </c>
      <c r="F611" s="520" t="s">
        <v>700</v>
      </c>
      <c r="G611" s="452"/>
      <c r="H611" s="453"/>
      <c r="I611" s="325">
        <v>2081000</v>
      </c>
      <c r="J611" s="32">
        <v>142150</v>
      </c>
      <c r="K611" s="32" t="s">
        <v>71</v>
      </c>
      <c r="L611" s="32" t="s">
        <v>35</v>
      </c>
      <c r="M611" s="32">
        <v>208</v>
      </c>
      <c r="N611" s="356">
        <f>VLOOKUP(E611,'[2]Price list'!$A$2:$F$145,6,0)</f>
        <v>2081000</v>
      </c>
      <c r="O611" s="28" t="b">
        <f t="shared" ref="O611:O674" si="20">I611=N611</f>
        <v>1</v>
      </c>
      <c r="R611" s="43"/>
      <c r="S611" s="43"/>
      <c r="T611" s="43"/>
      <c r="U611" s="449"/>
      <c r="V611" s="449"/>
      <c r="W611" s="43"/>
    </row>
    <row r="612" spans="2:24" s="28" customFormat="1" ht="16.5" customHeight="1">
      <c r="B612" s="20"/>
      <c r="C612" s="20"/>
      <c r="D612" s="448"/>
      <c r="E612" s="32">
        <v>142223</v>
      </c>
      <c r="F612" s="520" t="s">
        <v>701</v>
      </c>
      <c r="G612" s="452"/>
      <c r="H612" s="453"/>
      <c r="I612" s="325">
        <v>0</v>
      </c>
      <c r="J612" s="32">
        <v>142223</v>
      </c>
      <c r="K612" s="32" t="s">
        <v>71</v>
      </c>
      <c r="L612" s="32" t="s">
        <v>35</v>
      </c>
      <c r="M612" s="32">
        <v>208</v>
      </c>
      <c r="N612" s="356" t="e">
        <f>VLOOKUP(E612,'[2]Price list'!$A$2:$F$145,6,0)</f>
        <v>#N/A</v>
      </c>
      <c r="O612" s="28" t="e">
        <f t="shared" si="20"/>
        <v>#N/A</v>
      </c>
      <c r="R612" s="43"/>
      <c r="S612" s="43"/>
      <c r="T612" s="43"/>
      <c r="U612" s="449"/>
      <c r="V612" s="449"/>
      <c r="W612" s="43"/>
      <c r="X612" s="42"/>
    </row>
    <row r="613" spans="2:24" s="28" customFormat="1" ht="16.5" customHeight="1">
      <c r="B613" s="20"/>
      <c r="C613" s="20"/>
      <c r="D613" s="448"/>
      <c r="E613" s="32">
        <v>142226</v>
      </c>
      <c r="F613" s="37" t="s">
        <v>219</v>
      </c>
      <c r="G613" s="452"/>
      <c r="H613" s="453"/>
      <c r="I613" s="325">
        <v>97000</v>
      </c>
      <c r="J613" s="33">
        <v>142226</v>
      </c>
      <c r="K613" s="32" t="s">
        <v>70</v>
      </c>
      <c r="L613" s="32" t="s">
        <v>0</v>
      </c>
      <c r="M613" s="32">
        <v>20</v>
      </c>
      <c r="N613" s="356">
        <f>VLOOKUP(E613,'[2]Price list'!$A$2:$F$145,6,0)</f>
        <v>97000</v>
      </c>
      <c r="O613" s="28" t="b">
        <f t="shared" si="20"/>
        <v>1</v>
      </c>
      <c r="R613" s="43"/>
      <c r="S613" s="43"/>
      <c r="T613" s="43"/>
      <c r="U613" s="449"/>
      <c r="V613" s="449"/>
      <c r="W613" s="43"/>
    </row>
    <row r="614" spans="2:24" s="28" customFormat="1" ht="16.5" customHeight="1">
      <c r="B614" s="20"/>
      <c r="C614" s="20"/>
      <c r="D614" s="448"/>
      <c r="E614" s="32">
        <v>142227</v>
      </c>
      <c r="F614" s="37" t="s">
        <v>702</v>
      </c>
      <c r="G614" s="452"/>
      <c r="H614" s="453"/>
      <c r="I614" s="325">
        <v>0</v>
      </c>
      <c r="J614" s="32">
        <v>142227</v>
      </c>
      <c r="K614" s="32" t="s">
        <v>71</v>
      </c>
      <c r="L614" s="32" t="s">
        <v>0</v>
      </c>
      <c r="M614" s="32">
        <v>200</v>
      </c>
      <c r="N614" s="356" t="e">
        <f>VLOOKUP(E614,'[2]Price list'!$A$2:$F$145,6,0)</f>
        <v>#N/A</v>
      </c>
      <c r="O614" s="28" t="e">
        <f t="shared" si="20"/>
        <v>#N/A</v>
      </c>
      <c r="R614" s="43"/>
      <c r="S614" s="43"/>
      <c r="T614" s="43"/>
      <c r="U614" s="449"/>
      <c r="V614" s="449"/>
      <c r="W614" s="43"/>
    </row>
    <row r="615" spans="2:24" s="28" customFormat="1" ht="16.5" customHeight="1">
      <c r="B615" s="20"/>
      <c r="C615" s="20"/>
      <c r="D615" s="448"/>
      <c r="E615" s="32">
        <v>142231</v>
      </c>
      <c r="F615" s="37" t="s">
        <v>703</v>
      </c>
      <c r="G615" s="452"/>
      <c r="H615" s="453"/>
      <c r="I615" s="325">
        <v>0</v>
      </c>
      <c r="J615" s="32">
        <v>142231</v>
      </c>
      <c r="K615" s="32" t="s">
        <v>71</v>
      </c>
      <c r="L615" s="32" t="s">
        <v>35</v>
      </c>
      <c r="M615" s="32">
        <v>200</v>
      </c>
      <c r="N615" s="356" t="e">
        <f>VLOOKUP(E615,'[2]Price list'!$A$2:$F$145,6,0)</f>
        <v>#N/A</v>
      </c>
      <c r="O615" s="28" t="e">
        <f t="shared" si="20"/>
        <v>#N/A</v>
      </c>
      <c r="R615" s="43"/>
      <c r="S615" s="43"/>
      <c r="T615" s="43"/>
      <c r="U615" s="449"/>
      <c r="V615" s="449"/>
      <c r="W615" s="43"/>
    </row>
    <row r="616" spans="2:24" s="28" customFormat="1" ht="16.5" customHeight="1">
      <c r="B616" s="20"/>
      <c r="C616" s="20"/>
      <c r="D616" s="448"/>
      <c r="E616" s="32">
        <v>142741</v>
      </c>
      <c r="F616" s="37" t="s">
        <v>983</v>
      </c>
      <c r="G616" s="452"/>
      <c r="H616" s="453"/>
      <c r="I616" s="325">
        <v>124000</v>
      </c>
      <c r="J616" s="33">
        <v>142741</v>
      </c>
      <c r="K616" s="32" t="s">
        <v>73</v>
      </c>
      <c r="L616" s="32" t="s">
        <v>35</v>
      </c>
      <c r="M616" s="32">
        <v>12</v>
      </c>
      <c r="N616" s="356" t="e">
        <f>VLOOKUP(E616,'[2]Price list'!$A$2:$F$145,6,0)</f>
        <v>#N/A</v>
      </c>
      <c r="O616" s="28" t="e">
        <f t="shared" si="20"/>
        <v>#N/A</v>
      </c>
      <c r="R616" s="43"/>
      <c r="S616" s="43"/>
      <c r="T616" s="43"/>
      <c r="U616" s="449"/>
      <c r="V616" s="449"/>
      <c r="W616" s="43"/>
    </row>
    <row r="617" spans="2:24" s="28" customFormat="1" ht="16.5" customHeight="1">
      <c r="B617" s="20"/>
      <c r="C617" s="20"/>
      <c r="D617" s="448"/>
      <c r="E617" s="32">
        <v>146257</v>
      </c>
      <c r="F617" s="37" t="s">
        <v>984</v>
      </c>
      <c r="G617" s="452"/>
      <c r="H617" s="453"/>
      <c r="I617" s="325">
        <v>1789000</v>
      </c>
      <c r="J617" s="33">
        <v>146257</v>
      </c>
      <c r="K617" s="32" t="s">
        <v>71</v>
      </c>
      <c r="L617" s="32" t="s">
        <v>35</v>
      </c>
      <c r="M617" s="32">
        <v>200</v>
      </c>
      <c r="N617" s="356" t="e">
        <f>VLOOKUP(E617,'[2]Price list'!$A$2:$F$145,6,0)</f>
        <v>#N/A</v>
      </c>
      <c r="O617" s="28" t="e">
        <f t="shared" si="20"/>
        <v>#N/A</v>
      </c>
      <c r="R617" s="43"/>
      <c r="S617" s="43"/>
      <c r="T617" s="43"/>
      <c r="U617" s="449"/>
      <c r="V617" s="449"/>
      <c r="W617" s="43"/>
      <c r="X617" s="42"/>
    </row>
    <row r="618" spans="2:24" s="28" customFormat="1" ht="16.5" customHeight="1">
      <c r="B618" s="20"/>
      <c r="C618" s="20"/>
      <c r="D618" s="448"/>
      <c r="E618" s="32">
        <v>146256</v>
      </c>
      <c r="F618" s="37" t="s">
        <v>985</v>
      </c>
      <c r="G618" s="452"/>
      <c r="H618" s="453"/>
      <c r="I618" s="325">
        <v>118000</v>
      </c>
      <c r="J618" s="33">
        <v>142956</v>
      </c>
      <c r="K618" s="32" t="s">
        <v>73</v>
      </c>
      <c r="L618" s="32" t="s">
        <v>35</v>
      </c>
      <c r="M618" s="32">
        <v>12</v>
      </c>
      <c r="N618" s="356" t="e">
        <f>VLOOKUP(E618,'[2]Price list'!$A$2:$F$145,6,0)</f>
        <v>#N/A</v>
      </c>
      <c r="O618" s="28" t="e">
        <f t="shared" si="20"/>
        <v>#N/A</v>
      </c>
      <c r="R618" s="43"/>
      <c r="S618" s="43"/>
      <c r="T618" s="43"/>
      <c r="U618" s="449"/>
      <c r="V618" s="449"/>
      <c r="W618" s="43"/>
      <c r="X618" s="42"/>
    </row>
    <row r="619" spans="2:24" s="28" customFormat="1" ht="16.5" customHeight="1">
      <c r="B619" s="20"/>
      <c r="C619" s="20"/>
      <c r="D619" s="448"/>
      <c r="E619" s="32">
        <v>146236</v>
      </c>
      <c r="F619" s="37" t="s">
        <v>986</v>
      </c>
      <c r="G619" s="452"/>
      <c r="H619" s="453"/>
      <c r="I619" s="325">
        <v>124000</v>
      </c>
      <c r="J619" s="33">
        <v>142741</v>
      </c>
      <c r="K619" s="32" t="s">
        <v>73</v>
      </c>
      <c r="L619" s="32" t="s">
        <v>35</v>
      </c>
      <c r="M619" s="32">
        <v>12</v>
      </c>
      <c r="N619" s="356" t="e">
        <f>VLOOKUP(E619,'[2]Price list'!$A$2:$F$145,6,0)</f>
        <v>#N/A</v>
      </c>
      <c r="O619" s="28" t="e">
        <f t="shared" si="20"/>
        <v>#N/A</v>
      </c>
      <c r="R619" s="43"/>
      <c r="S619" s="43"/>
      <c r="T619" s="43"/>
      <c r="U619" s="449"/>
      <c r="V619" s="449"/>
      <c r="W619" s="43"/>
    </row>
    <row r="620" spans="2:24" s="28" customFormat="1" ht="16.5" customHeight="1">
      <c r="B620" s="20"/>
      <c r="C620" s="20"/>
      <c r="D620" s="448"/>
      <c r="E620" s="32">
        <v>143003</v>
      </c>
      <c r="F620" s="37" t="s">
        <v>132</v>
      </c>
      <c r="G620" s="452"/>
      <c r="H620" s="453"/>
      <c r="I620" s="325">
        <v>150000</v>
      </c>
      <c r="J620" s="33">
        <v>143003</v>
      </c>
      <c r="K620" s="32" t="s">
        <v>70</v>
      </c>
      <c r="L620" s="32" t="s">
        <v>0</v>
      </c>
      <c r="M620" s="32">
        <v>20</v>
      </c>
      <c r="N620" s="356">
        <f>VLOOKUP(E620,'[2]Price list'!$A$2:$F$145,6,0)</f>
        <v>150000</v>
      </c>
      <c r="O620" s="28" t="b">
        <f t="shared" si="20"/>
        <v>1</v>
      </c>
      <c r="R620" s="43"/>
      <c r="S620" s="43"/>
      <c r="T620" s="43"/>
      <c r="U620" s="449"/>
      <c r="V620" s="449"/>
      <c r="W620" s="43"/>
    </row>
    <row r="621" spans="2:24" s="28" customFormat="1" ht="16.5" customHeight="1">
      <c r="B621" s="20"/>
      <c r="C621" s="20"/>
      <c r="D621" s="448"/>
      <c r="E621" s="32">
        <v>143066</v>
      </c>
      <c r="F621" s="37" t="s">
        <v>987</v>
      </c>
      <c r="G621" s="452"/>
      <c r="H621" s="453"/>
      <c r="I621" s="325">
        <v>107100</v>
      </c>
      <c r="J621" s="33">
        <v>143066</v>
      </c>
      <c r="K621" s="32" t="s">
        <v>73</v>
      </c>
      <c r="L621" s="32" t="s">
        <v>35</v>
      </c>
      <c r="M621" s="32">
        <v>12</v>
      </c>
      <c r="N621" s="356" t="e">
        <f>VLOOKUP(E621,'[2]Price list'!$A$2:$F$145,6,0)</f>
        <v>#N/A</v>
      </c>
      <c r="O621" s="28" t="e">
        <f t="shared" si="20"/>
        <v>#N/A</v>
      </c>
      <c r="R621" s="43"/>
      <c r="S621" s="43"/>
      <c r="T621" s="43"/>
      <c r="U621" s="449"/>
      <c r="V621" s="449"/>
      <c r="W621" s="43"/>
      <c r="X621" s="42"/>
    </row>
    <row r="622" spans="2:24" s="28" customFormat="1" ht="16.5" customHeight="1">
      <c r="B622" s="20"/>
      <c r="C622" s="20"/>
      <c r="D622" s="448"/>
      <c r="E622" s="32">
        <v>143067</v>
      </c>
      <c r="F622" s="37" t="s">
        <v>988</v>
      </c>
      <c r="G622" s="452"/>
      <c r="H622" s="453"/>
      <c r="I622" s="325">
        <v>107100</v>
      </c>
      <c r="J622" s="33">
        <v>143067</v>
      </c>
      <c r="K622" s="32" t="s">
        <v>73</v>
      </c>
      <c r="L622" s="32" t="s">
        <v>35</v>
      </c>
      <c r="M622" s="32">
        <v>12</v>
      </c>
      <c r="N622" s="356" t="e">
        <f>VLOOKUP(E622,'[2]Price list'!$A$2:$F$145,6,0)</f>
        <v>#N/A</v>
      </c>
      <c r="O622" s="28" t="e">
        <f t="shared" si="20"/>
        <v>#N/A</v>
      </c>
      <c r="R622" s="43"/>
      <c r="S622" s="43"/>
      <c r="T622" s="43"/>
      <c r="U622" s="449"/>
      <c r="V622" s="449"/>
      <c r="W622" s="43"/>
    </row>
    <row r="623" spans="2:24" s="28" customFormat="1" ht="16.5" customHeight="1">
      <c r="B623" s="20"/>
      <c r="C623" s="20"/>
      <c r="D623" s="448"/>
      <c r="E623" s="32">
        <v>143449</v>
      </c>
      <c r="F623" s="37" t="s">
        <v>989</v>
      </c>
      <c r="G623" s="452"/>
      <c r="H623" s="453"/>
      <c r="I623" s="325">
        <v>100700</v>
      </c>
      <c r="J623" s="33">
        <v>143449</v>
      </c>
      <c r="K623" s="32" t="s">
        <v>73</v>
      </c>
      <c r="L623" s="32" t="s">
        <v>35</v>
      </c>
      <c r="M623" s="32">
        <v>12</v>
      </c>
      <c r="N623" s="356" t="e">
        <f>VLOOKUP(E623,'[2]Price list'!$A$2:$F$145,6,0)</f>
        <v>#N/A</v>
      </c>
      <c r="O623" s="28" t="e">
        <f t="shared" si="20"/>
        <v>#N/A</v>
      </c>
      <c r="R623" s="43"/>
      <c r="S623" s="43"/>
      <c r="T623" s="43"/>
      <c r="U623" s="449"/>
      <c r="V623" s="449"/>
      <c r="W623" s="43"/>
      <c r="X623" s="42"/>
    </row>
    <row r="624" spans="2:24" s="28" customFormat="1" ht="16.5" customHeight="1">
      <c r="B624" s="20"/>
      <c r="C624" s="20"/>
      <c r="D624" s="448"/>
      <c r="E624" s="32">
        <v>143128</v>
      </c>
      <c r="F624" s="520" t="s">
        <v>709</v>
      </c>
      <c r="G624" s="452"/>
      <c r="H624" s="453"/>
      <c r="I624" s="325">
        <v>2081000</v>
      </c>
      <c r="J624" s="32">
        <v>143128</v>
      </c>
      <c r="K624" s="32" t="s">
        <v>71</v>
      </c>
      <c r="L624" s="32" t="s">
        <v>35</v>
      </c>
      <c r="M624" s="32">
        <v>208</v>
      </c>
      <c r="N624" s="356">
        <f>VLOOKUP(E624,'[2]Price list'!$A$2:$F$145,6,0)</f>
        <v>2081000</v>
      </c>
      <c r="O624" s="28" t="b">
        <f t="shared" si="20"/>
        <v>1</v>
      </c>
      <c r="R624" s="43"/>
      <c r="S624" s="43"/>
      <c r="T624" s="43"/>
      <c r="U624" s="449"/>
      <c r="V624" s="449"/>
      <c r="W624" s="43"/>
    </row>
    <row r="625" spans="2:23" s="28" customFormat="1" ht="16.5" customHeight="1">
      <c r="B625" s="20"/>
      <c r="C625" s="20"/>
      <c r="D625" s="448"/>
      <c r="E625" s="32">
        <v>143192</v>
      </c>
      <c r="F625" s="37" t="s">
        <v>710</v>
      </c>
      <c r="G625" s="452"/>
      <c r="H625" s="453"/>
      <c r="I625" s="325">
        <v>908000</v>
      </c>
      <c r="J625" s="33">
        <v>143192</v>
      </c>
      <c r="K625" s="32" t="s">
        <v>71</v>
      </c>
      <c r="L625" s="32" t="s">
        <v>35</v>
      </c>
      <c r="M625" s="32">
        <v>200</v>
      </c>
      <c r="N625" s="356">
        <f>VLOOKUP(E625,'[2]Price list'!$A$2:$F$145,6,0)</f>
        <v>908000</v>
      </c>
      <c r="O625" s="28" t="b">
        <f t="shared" si="20"/>
        <v>1</v>
      </c>
      <c r="R625" s="43"/>
      <c r="S625" s="43"/>
      <c r="T625" s="43"/>
      <c r="U625" s="449"/>
      <c r="V625" s="449"/>
      <c r="W625" s="43"/>
    </row>
    <row r="626" spans="2:23" s="28" customFormat="1" ht="16.5" customHeight="1">
      <c r="B626" s="20"/>
      <c r="C626" s="20"/>
      <c r="D626" s="448"/>
      <c r="E626" s="32">
        <v>143194</v>
      </c>
      <c r="F626" s="37" t="s">
        <v>711</v>
      </c>
      <c r="G626" s="452"/>
      <c r="H626" s="453"/>
      <c r="I626" s="325">
        <v>755000</v>
      </c>
      <c r="J626" s="33">
        <v>143194</v>
      </c>
      <c r="K626" s="32" t="s">
        <v>71</v>
      </c>
      <c r="L626" s="32" t="s">
        <v>35</v>
      </c>
      <c r="M626" s="32">
        <v>200</v>
      </c>
      <c r="N626" s="356">
        <f>VLOOKUP(E626,'[2]Price list'!$A$2:$F$145,6,0)</f>
        <v>755000</v>
      </c>
      <c r="O626" s="28" t="b">
        <f t="shared" si="20"/>
        <v>1</v>
      </c>
      <c r="R626" s="43"/>
      <c r="S626" s="43"/>
      <c r="T626" s="43"/>
      <c r="U626" s="449"/>
      <c r="V626" s="449"/>
      <c r="W626" s="43"/>
    </row>
    <row r="627" spans="2:23" s="28" customFormat="1" ht="16.5" customHeight="1">
      <c r="B627" s="20"/>
      <c r="C627" s="20"/>
      <c r="D627" s="448"/>
      <c r="E627" s="32">
        <v>143195</v>
      </c>
      <c r="F627" s="37" t="s">
        <v>712</v>
      </c>
      <c r="G627" s="452"/>
      <c r="H627" s="453"/>
      <c r="I627" s="325">
        <v>755000</v>
      </c>
      <c r="J627" s="33">
        <v>143195</v>
      </c>
      <c r="K627" s="32" t="s">
        <v>71</v>
      </c>
      <c r="L627" s="32" t="s">
        <v>35</v>
      </c>
      <c r="M627" s="32">
        <v>200</v>
      </c>
      <c r="N627" s="356">
        <f>VLOOKUP(E627,'[2]Price list'!$A$2:$F$145,6,0)</f>
        <v>755000</v>
      </c>
      <c r="O627" s="28" t="b">
        <f t="shared" si="20"/>
        <v>1</v>
      </c>
      <c r="R627" s="43"/>
      <c r="S627" s="43"/>
      <c r="T627" s="43"/>
      <c r="U627" s="449"/>
      <c r="V627" s="449"/>
      <c r="W627" s="43"/>
    </row>
    <row r="628" spans="2:23" s="28" customFormat="1" ht="16.5" customHeight="1">
      <c r="B628" s="20"/>
      <c r="C628" s="20"/>
      <c r="D628" s="448"/>
      <c r="E628" s="32">
        <v>143196</v>
      </c>
      <c r="F628" s="37" t="s">
        <v>713</v>
      </c>
      <c r="G628" s="452"/>
      <c r="H628" s="453"/>
      <c r="I628" s="325">
        <v>646000</v>
      </c>
      <c r="J628" s="33">
        <v>143196</v>
      </c>
      <c r="K628" s="32" t="s">
        <v>71</v>
      </c>
      <c r="L628" s="32" t="s">
        <v>35</v>
      </c>
      <c r="M628" s="32">
        <v>200</v>
      </c>
      <c r="N628" s="356">
        <f>VLOOKUP(E628,'[2]Price list'!$A$2:$F$145,6,0)</f>
        <v>646000</v>
      </c>
      <c r="O628" s="28" t="b">
        <f t="shared" si="20"/>
        <v>1</v>
      </c>
      <c r="R628" s="43"/>
      <c r="S628" s="43"/>
      <c r="T628" s="43"/>
      <c r="U628" s="449"/>
      <c r="V628" s="449"/>
      <c r="W628" s="43"/>
    </row>
    <row r="629" spans="2:23" s="28" customFormat="1" ht="16.5" customHeight="1">
      <c r="B629" s="20"/>
      <c r="C629" s="20"/>
      <c r="D629" s="448"/>
      <c r="E629" s="32">
        <v>143197</v>
      </c>
      <c r="F629" s="37" t="s">
        <v>714</v>
      </c>
      <c r="G629" s="452"/>
      <c r="H629" s="453"/>
      <c r="I629" s="325">
        <v>684000</v>
      </c>
      <c r="J629" s="33">
        <v>143197</v>
      </c>
      <c r="K629" s="32" t="s">
        <v>71</v>
      </c>
      <c r="L629" s="32" t="s">
        <v>35</v>
      </c>
      <c r="M629" s="32">
        <v>200</v>
      </c>
      <c r="N629" s="356">
        <f>VLOOKUP(E629,'[2]Price list'!$A$2:$F$145,6,0)</f>
        <v>684000</v>
      </c>
      <c r="O629" s="28" t="b">
        <f t="shared" si="20"/>
        <v>1</v>
      </c>
      <c r="R629" s="43"/>
      <c r="S629" s="43"/>
      <c r="T629" s="43"/>
      <c r="U629" s="449"/>
      <c r="V629" s="449"/>
      <c r="W629" s="43"/>
    </row>
    <row r="630" spans="2:23" s="28" customFormat="1" ht="16.5" customHeight="1">
      <c r="B630" s="20"/>
      <c r="C630" s="20"/>
      <c r="D630" s="448"/>
      <c r="E630" s="32">
        <v>143201</v>
      </c>
      <c r="F630" s="37" t="s">
        <v>715</v>
      </c>
      <c r="G630" s="452"/>
      <c r="H630" s="453"/>
      <c r="I630" s="325">
        <v>512000</v>
      </c>
      <c r="J630" s="33">
        <v>143201</v>
      </c>
      <c r="K630" s="32" t="s">
        <v>71</v>
      </c>
      <c r="L630" s="32" t="s">
        <v>35</v>
      </c>
      <c r="M630" s="32">
        <v>200</v>
      </c>
      <c r="N630" s="356">
        <f>VLOOKUP(E630,'[2]Price list'!$A$2:$F$145,6,0)</f>
        <v>512000</v>
      </c>
      <c r="O630" s="28" t="b">
        <f t="shared" si="20"/>
        <v>1</v>
      </c>
      <c r="R630" s="43"/>
      <c r="S630" s="43"/>
      <c r="T630" s="43"/>
      <c r="U630" s="449"/>
      <c r="V630" s="449"/>
      <c r="W630" s="43"/>
    </row>
    <row r="631" spans="2:23" s="28" customFormat="1" ht="16.5" customHeight="1">
      <c r="B631" s="20"/>
      <c r="C631" s="20"/>
      <c r="D631" s="448"/>
      <c r="E631" s="32">
        <v>143202</v>
      </c>
      <c r="F631" s="37" t="s">
        <v>716</v>
      </c>
      <c r="G631" s="452"/>
      <c r="H631" s="453"/>
      <c r="I631" s="325">
        <v>512000</v>
      </c>
      <c r="J631" s="33">
        <v>143202</v>
      </c>
      <c r="K631" s="32" t="s">
        <v>71</v>
      </c>
      <c r="L631" s="32" t="s">
        <v>35</v>
      </c>
      <c r="M631" s="32">
        <v>200</v>
      </c>
      <c r="N631" s="356">
        <f>VLOOKUP(E631,'[2]Price list'!$A$2:$F$145,6,0)</f>
        <v>512000</v>
      </c>
      <c r="O631" s="28" t="b">
        <f t="shared" si="20"/>
        <v>1</v>
      </c>
      <c r="R631" s="43"/>
      <c r="S631" s="43"/>
      <c r="T631" s="43"/>
      <c r="U631" s="449"/>
      <c r="V631" s="449"/>
      <c r="W631" s="43"/>
    </row>
    <row r="632" spans="2:23" s="28" customFormat="1" ht="16.5" customHeight="1">
      <c r="B632" s="20"/>
      <c r="C632" s="20"/>
      <c r="D632" s="448"/>
      <c r="E632" s="32">
        <v>143203</v>
      </c>
      <c r="F632" s="37" t="s">
        <v>717</v>
      </c>
      <c r="G632" s="452"/>
      <c r="H632" s="453"/>
      <c r="I632" s="325">
        <v>538000</v>
      </c>
      <c r="J632" s="33">
        <v>143203</v>
      </c>
      <c r="K632" s="32" t="s">
        <v>71</v>
      </c>
      <c r="L632" s="32" t="s">
        <v>35</v>
      </c>
      <c r="M632" s="32">
        <v>200</v>
      </c>
      <c r="N632" s="356">
        <f>VLOOKUP(E632,'[2]Price list'!$A$2:$F$145,6,0)</f>
        <v>538000</v>
      </c>
      <c r="O632" s="28" t="b">
        <f t="shared" si="20"/>
        <v>1</v>
      </c>
      <c r="R632" s="43"/>
      <c r="S632" s="43"/>
      <c r="T632" s="43"/>
      <c r="U632" s="449"/>
      <c r="V632" s="449"/>
      <c r="W632" s="43"/>
    </row>
    <row r="633" spans="2:23" s="28" customFormat="1" ht="16.5" customHeight="1">
      <c r="B633" s="20"/>
      <c r="C633" s="20"/>
      <c r="D633" s="448"/>
      <c r="E633" s="32">
        <v>143206</v>
      </c>
      <c r="F633" s="37" t="s">
        <v>718</v>
      </c>
      <c r="G633" s="452"/>
      <c r="H633" s="453"/>
      <c r="I633" s="325">
        <v>496000</v>
      </c>
      <c r="J633" s="33">
        <v>143206</v>
      </c>
      <c r="K633" s="32" t="s">
        <v>71</v>
      </c>
      <c r="L633" s="32" t="s">
        <v>35</v>
      </c>
      <c r="M633" s="32">
        <v>200</v>
      </c>
      <c r="N633" s="356">
        <f>VLOOKUP(E633,'[2]Price list'!$A$2:$F$145,6,0)</f>
        <v>522000</v>
      </c>
      <c r="O633" s="28" t="b">
        <f t="shared" si="20"/>
        <v>0</v>
      </c>
      <c r="R633" s="43"/>
      <c r="S633" s="43"/>
      <c r="T633" s="43"/>
      <c r="U633" s="449"/>
      <c r="V633" s="449"/>
      <c r="W633" s="43"/>
    </row>
    <row r="634" spans="2:23" s="28" customFormat="1" ht="16.5" customHeight="1">
      <c r="B634" s="20"/>
      <c r="C634" s="20"/>
      <c r="D634" s="448"/>
      <c r="E634" s="32">
        <v>143207</v>
      </c>
      <c r="F634" s="37" t="s">
        <v>915</v>
      </c>
      <c r="G634" s="452"/>
      <c r="H634" s="453"/>
      <c r="I634" s="325">
        <v>50300</v>
      </c>
      <c r="J634" s="33">
        <v>143207</v>
      </c>
      <c r="K634" s="32" t="s">
        <v>73</v>
      </c>
      <c r="L634" s="32" t="s">
        <v>35</v>
      </c>
      <c r="M634" s="32">
        <v>12</v>
      </c>
      <c r="N634" s="356">
        <f>VLOOKUP(E634,'[2]Price list'!$A$2:$F$145,6,0)</f>
        <v>50300</v>
      </c>
      <c r="O634" s="28" t="b">
        <f t="shared" si="20"/>
        <v>1</v>
      </c>
      <c r="R634" s="43"/>
      <c r="S634" s="43"/>
      <c r="T634" s="43"/>
      <c r="U634" s="449"/>
      <c r="V634" s="449"/>
      <c r="W634" s="43"/>
    </row>
    <row r="635" spans="2:23" s="28" customFormat="1" ht="16.5" customHeight="1">
      <c r="B635" s="20"/>
      <c r="C635" s="20"/>
      <c r="D635" s="448"/>
      <c r="E635" s="32">
        <v>143209</v>
      </c>
      <c r="F635" s="37" t="s">
        <v>990</v>
      </c>
      <c r="G635" s="452"/>
      <c r="H635" s="453"/>
      <c r="I635" s="325">
        <v>50300</v>
      </c>
      <c r="J635" s="33">
        <v>143209</v>
      </c>
      <c r="K635" s="32" t="s">
        <v>73</v>
      </c>
      <c r="L635" s="32" t="s">
        <v>35</v>
      </c>
      <c r="M635" s="32">
        <v>12</v>
      </c>
      <c r="N635" s="356">
        <f>VLOOKUP(E635,'[2]Price list'!$A$2:$F$145,6,0)</f>
        <v>50300</v>
      </c>
      <c r="O635" s="28" t="b">
        <f t="shared" si="20"/>
        <v>1</v>
      </c>
      <c r="R635" s="43"/>
      <c r="S635" s="43"/>
      <c r="T635" s="43"/>
      <c r="U635" s="449"/>
      <c r="V635" s="449"/>
      <c r="W635" s="43"/>
    </row>
    <row r="636" spans="2:23" s="28" customFormat="1" ht="16.5" customHeight="1">
      <c r="B636" s="20"/>
      <c r="C636" s="20"/>
      <c r="D636" s="448"/>
      <c r="E636" s="32">
        <v>143210</v>
      </c>
      <c r="F636" s="37" t="s">
        <v>901</v>
      </c>
      <c r="G636" s="452"/>
      <c r="H636" s="453"/>
      <c r="I636" s="325">
        <v>45300</v>
      </c>
      <c r="J636" s="33">
        <v>143210</v>
      </c>
      <c r="K636" s="32" t="s">
        <v>73</v>
      </c>
      <c r="L636" s="32" t="s">
        <v>35</v>
      </c>
      <c r="M636" s="32">
        <v>12</v>
      </c>
      <c r="N636" s="356">
        <f>VLOOKUP(E636,'[2]Price list'!$A$2:$F$145,6,0)</f>
        <v>45300</v>
      </c>
      <c r="O636" s="28" t="b">
        <f t="shared" si="20"/>
        <v>1</v>
      </c>
      <c r="R636" s="43"/>
      <c r="S636" s="43"/>
      <c r="T636" s="43"/>
      <c r="U636" s="449"/>
      <c r="V636" s="449"/>
      <c r="W636" s="43"/>
    </row>
    <row r="637" spans="2:23" s="28" customFormat="1" ht="16.5" customHeight="1">
      <c r="B637" s="20"/>
      <c r="C637" s="20"/>
      <c r="D637" s="448"/>
      <c r="E637" s="32">
        <v>143211</v>
      </c>
      <c r="F637" s="37" t="s">
        <v>169</v>
      </c>
      <c r="G637" s="452"/>
      <c r="H637" s="453"/>
      <c r="I637" s="325">
        <v>48100</v>
      </c>
      <c r="J637" s="33">
        <v>143211</v>
      </c>
      <c r="K637" s="32" t="s">
        <v>72</v>
      </c>
      <c r="L637" s="32" t="s">
        <v>35</v>
      </c>
      <c r="M637" s="32">
        <v>12</v>
      </c>
      <c r="N637" s="356">
        <f>VLOOKUP(E637,'[2]Price list'!$A$2:$F$145,6,0)</f>
        <v>48100</v>
      </c>
      <c r="O637" s="28" t="b">
        <f t="shared" si="20"/>
        <v>1</v>
      </c>
      <c r="R637" s="43"/>
      <c r="S637" s="43"/>
      <c r="T637" s="43"/>
      <c r="U637" s="449"/>
      <c r="V637" s="449"/>
      <c r="W637" s="43"/>
    </row>
    <row r="638" spans="2:23" s="28" customFormat="1" ht="16.5" customHeight="1">
      <c r="B638" s="20"/>
      <c r="C638" s="20"/>
      <c r="D638" s="448"/>
      <c r="E638" s="32">
        <v>143212</v>
      </c>
      <c r="F638" s="37" t="s">
        <v>991</v>
      </c>
      <c r="G638" s="452"/>
      <c r="H638" s="453"/>
      <c r="I638" s="325">
        <v>37700</v>
      </c>
      <c r="J638" s="33">
        <v>143212</v>
      </c>
      <c r="K638" s="32" t="s">
        <v>73</v>
      </c>
      <c r="L638" s="32" t="s">
        <v>35</v>
      </c>
      <c r="M638" s="32">
        <v>12</v>
      </c>
      <c r="N638" s="356">
        <f>VLOOKUP(E638,'[2]Price list'!$A$2:$F$145,6,0)</f>
        <v>37700</v>
      </c>
      <c r="O638" s="28" t="b">
        <f t="shared" si="20"/>
        <v>1</v>
      </c>
      <c r="R638" s="43"/>
      <c r="S638" s="43"/>
      <c r="T638" s="43"/>
      <c r="U638" s="449"/>
      <c r="V638" s="449"/>
      <c r="W638" s="43"/>
    </row>
    <row r="639" spans="2:23" s="28" customFormat="1" ht="16.5" customHeight="1">
      <c r="B639" s="20"/>
      <c r="C639" s="20"/>
      <c r="D639" s="448"/>
      <c r="E639" s="32">
        <v>143215</v>
      </c>
      <c r="F639" s="37" t="s">
        <v>992</v>
      </c>
      <c r="G639" s="452"/>
      <c r="H639" s="453"/>
      <c r="I639" s="325">
        <v>0</v>
      </c>
      <c r="J639" s="33">
        <v>143215</v>
      </c>
      <c r="K639" s="32" t="s">
        <v>73</v>
      </c>
      <c r="L639" s="32" t="s">
        <v>35</v>
      </c>
      <c r="M639" s="32">
        <v>16</v>
      </c>
      <c r="N639" s="356" t="e">
        <f>VLOOKUP(E639,'[2]Price list'!$A$2:$F$145,6,0)</f>
        <v>#N/A</v>
      </c>
      <c r="O639" s="28" t="e">
        <f t="shared" si="20"/>
        <v>#N/A</v>
      </c>
      <c r="R639" s="43"/>
      <c r="S639" s="43"/>
      <c r="T639" s="43"/>
      <c r="U639" s="449"/>
      <c r="V639" s="449"/>
      <c r="W639" s="43"/>
    </row>
    <row r="640" spans="2:23" s="28" customFormat="1" ht="16.5" customHeight="1">
      <c r="B640" s="20"/>
      <c r="C640" s="20"/>
      <c r="D640" s="448"/>
      <c r="E640" s="32">
        <v>143216</v>
      </c>
      <c r="F640" s="37" t="s">
        <v>993</v>
      </c>
      <c r="G640" s="452"/>
      <c r="H640" s="453"/>
      <c r="I640" s="325">
        <v>0</v>
      </c>
      <c r="J640" s="33">
        <v>143216</v>
      </c>
      <c r="K640" s="32" t="s">
        <v>73</v>
      </c>
      <c r="L640" s="32" t="s">
        <v>35</v>
      </c>
      <c r="M640" s="32">
        <v>16</v>
      </c>
      <c r="N640" s="356" t="e">
        <f>VLOOKUP(E640,'[2]Price list'!$A$2:$F$145,6,0)</f>
        <v>#N/A</v>
      </c>
      <c r="O640" s="28" t="e">
        <f t="shared" si="20"/>
        <v>#N/A</v>
      </c>
      <c r="R640" s="43"/>
      <c r="S640" s="43"/>
      <c r="T640" s="43"/>
      <c r="U640" s="449"/>
      <c r="V640" s="449"/>
      <c r="W640" s="43"/>
    </row>
    <row r="641" spans="2:23" s="28" customFormat="1" ht="16.5" customHeight="1">
      <c r="B641" s="20"/>
      <c r="C641" s="20"/>
      <c r="D641" s="448"/>
      <c r="E641" s="32">
        <v>143217</v>
      </c>
      <c r="F641" s="37" t="s">
        <v>994</v>
      </c>
      <c r="G641" s="452"/>
      <c r="H641" s="453"/>
      <c r="I641" s="325">
        <v>0</v>
      </c>
      <c r="J641" s="33">
        <v>143217</v>
      </c>
      <c r="K641" s="32" t="s">
        <v>73</v>
      </c>
      <c r="L641" s="32" t="s">
        <v>35</v>
      </c>
      <c r="M641" s="32">
        <v>16</v>
      </c>
      <c r="N641" s="356" t="e">
        <f>VLOOKUP(E641,'[2]Price list'!$A$2:$F$145,6,0)</f>
        <v>#N/A</v>
      </c>
      <c r="O641" s="28" t="e">
        <f t="shared" si="20"/>
        <v>#N/A</v>
      </c>
      <c r="R641" s="43"/>
      <c r="S641" s="43"/>
      <c r="T641" s="43"/>
      <c r="U641" s="449"/>
      <c r="V641" s="449"/>
      <c r="W641" s="43"/>
    </row>
    <row r="642" spans="2:23" s="28" customFormat="1" ht="16.5" customHeight="1">
      <c r="B642" s="20"/>
      <c r="C642" s="20"/>
      <c r="D642" s="448"/>
      <c r="E642" s="32">
        <v>143218</v>
      </c>
      <c r="F642" s="37" t="s">
        <v>995</v>
      </c>
      <c r="G642" s="452"/>
      <c r="H642" s="453"/>
      <c r="I642" s="325">
        <v>0</v>
      </c>
      <c r="J642" s="33">
        <v>143218</v>
      </c>
      <c r="K642" s="32" t="s">
        <v>72</v>
      </c>
      <c r="L642" s="32" t="s">
        <v>35</v>
      </c>
      <c r="M642" s="32">
        <v>16</v>
      </c>
      <c r="N642" s="356" t="e">
        <f>VLOOKUP(E642,'[2]Price list'!$A$2:$F$145,6,0)</f>
        <v>#N/A</v>
      </c>
      <c r="O642" s="28" t="e">
        <f t="shared" si="20"/>
        <v>#N/A</v>
      </c>
      <c r="R642" s="43"/>
      <c r="S642" s="43"/>
      <c r="T642" s="43"/>
      <c r="U642" s="449"/>
      <c r="V642" s="449"/>
      <c r="W642" s="43"/>
    </row>
    <row r="643" spans="2:23" s="28" customFormat="1" ht="16.5" customHeight="1">
      <c r="B643" s="20"/>
      <c r="C643" s="20"/>
      <c r="D643" s="448"/>
      <c r="E643" s="32">
        <v>143219</v>
      </c>
      <c r="F643" s="37" t="s">
        <v>996</v>
      </c>
      <c r="G643" s="452"/>
      <c r="H643" s="453"/>
      <c r="I643" s="325">
        <v>45700</v>
      </c>
      <c r="J643" s="33">
        <v>143219</v>
      </c>
      <c r="K643" s="32" t="s">
        <v>73</v>
      </c>
      <c r="L643" s="32" t="s">
        <v>35</v>
      </c>
      <c r="M643" s="32">
        <v>16</v>
      </c>
      <c r="N643" s="356">
        <f>VLOOKUP(E643,'[2]Price list'!$A$2:$F$145,6,0)</f>
        <v>45700</v>
      </c>
      <c r="O643" s="28" t="b">
        <f t="shared" si="20"/>
        <v>1</v>
      </c>
      <c r="R643" s="43"/>
      <c r="S643" s="43"/>
      <c r="T643" s="43"/>
      <c r="U643" s="449"/>
      <c r="V643" s="449"/>
      <c r="W643" s="43"/>
    </row>
    <row r="644" spans="2:23" s="28" customFormat="1" ht="16.5" customHeight="1">
      <c r="B644" s="20"/>
      <c r="C644" s="20"/>
      <c r="D644" s="448"/>
      <c r="E644" s="32">
        <v>148160</v>
      </c>
      <c r="F644" s="37" t="s">
        <v>164</v>
      </c>
      <c r="G644" s="452"/>
      <c r="H644" s="453"/>
      <c r="I644" s="325">
        <v>45700</v>
      </c>
      <c r="J644" s="33">
        <v>143221</v>
      </c>
      <c r="K644" s="32" t="s">
        <v>72</v>
      </c>
      <c r="L644" s="32" t="s">
        <v>35</v>
      </c>
      <c r="M644" s="32">
        <v>16</v>
      </c>
      <c r="N644" s="356" t="e">
        <f>VLOOKUP(E644,'[2]Price list'!$A$2:$F$145,6,0)</f>
        <v>#N/A</v>
      </c>
      <c r="O644" s="28" t="e">
        <f t="shared" si="20"/>
        <v>#N/A</v>
      </c>
      <c r="R644" s="43"/>
      <c r="S644" s="43"/>
      <c r="T644" s="43"/>
      <c r="U644" s="449"/>
      <c r="V644" s="449"/>
      <c r="W644" s="43"/>
    </row>
    <row r="645" spans="2:23" s="28" customFormat="1" ht="16.5" customHeight="1">
      <c r="B645" s="20"/>
      <c r="C645" s="20"/>
      <c r="D645" s="448"/>
      <c r="E645" s="32">
        <v>143223</v>
      </c>
      <c r="F645" s="37" t="s">
        <v>997</v>
      </c>
      <c r="G645" s="452"/>
      <c r="H645" s="453"/>
      <c r="I645" s="325">
        <v>0</v>
      </c>
      <c r="J645" s="33">
        <v>143223</v>
      </c>
      <c r="K645" s="32" t="s">
        <v>73</v>
      </c>
      <c r="L645" s="32" t="s">
        <v>35</v>
      </c>
      <c r="M645" s="32">
        <v>16</v>
      </c>
      <c r="N645" s="356" t="e">
        <f>VLOOKUP(E645,'[2]Price list'!$A$2:$F$145,6,0)</f>
        <v>#N/A</v>
      </c>
      <c r="O645" s="28" t="e">
        <f t="shared" si="20"/>
        <v>#N/A</v>
      </c>
      <c r="R645" s="43"/>
      <c r="S645" s="43"/>
      <c r="T645" s="43"/>
      <c r="U645" s="449"/>
      <c r="V645" s="449"/>
      <c r="W645" s="43"/>
    </row>
    <row r="646" spans="2:23" s="28" customFormat="1" ht="16.5" customHeight="1">
      <c r="B646" s="20"/>
      <c r="C646" s="20"/>
      <c r="D646" s="448"/>
      <c r="E646" s="32">
        <v>143227</v>
      </c>
      <c r="F646" s="37" t="s">
        <v>224</v>
      </c>
      <c r="G646" s="452"/>
      <c r="H646" s="453"/>
      <c r="I646" s="325">
        <v>139100</v>
      </c>
      <c r="J646" s="33">
        <v>143227</v>
      </c>
      <c r="K646" s="32" t="s">
        <v>73</v>
      </c>
      <c r="L646" s="32" t="s">
        <v>78</v>
      </c>
      <c r="M646" s="32">
        <v>16</v>
      </c>
      <c r="N646" s="356">
        <f>VLOOKUP(E646,'[2]Price list'!$A$2:$F$145,6,0)</f>
        <v>139100</v>
      </c>
      <c r="O646" s="28" t="b">
        <f t="shared" si="20"/>
        <v>1</v>
      </c>
      <c r="R646" s="43"/>
      <c r="S646" s="43"/>
      <c r="T646" s="43"/>
      <c r="U646" s="449"/>
      <c r="V646" s="449"/>
      <c r="W646" s="43"/>
    </row>
    <row r="647" spans="2:23" s="28" customFormat="1" ht="16.5" customHeight="1">
      <c r="B647" s="20"/>
      <c r="C647" s="20"/>
      <c r="D647" s="448"/>
      <c r="E647" s="32">
        <v>147928</v>
      </c>
      <c r="F647" s="37" t="s">
        <v>221</v>
      </c>
      <c r="G647" s="452"/>
      <c r="H647" s="453"/>
      <c r="I647" s="325">
        <v>131000</v>
      </c>
      <c r="J647" s="33">
        <v>147928</v>
      </c>
      <c r="K647" s="32" t="s">
        <v>70</v>
      </c>
      <c r="L647" s="32" t="s">
        <v>78</v>
      </c>
      <c r="M647" s="32">
        <v>20</v>
      </c>
      <c r="N647" s="356" t="e">
        <f>VLOOKUP(E647,'[2]Price list'!$A$2:$F$145,6,0)</f>
        <v>#N/A</v>
      </c>
      <c r="O647" s="28" t="e">
        <f t="shared" si="20"/>
        <v>#N/A</v>
      </c>
      <c r="R647" s="43"/>
      <c r="S647" s="43"/>
      <c r="T647" s="43"/>
      <c r="U647" s="449"/>
      <c r="V647" s="449"/>
      <c r="W647" s="43"/>
    </row>
    <row r="648" spans="2:23" s="28" customFormat="1" ht="16.5" customHeight="1">
      <c r="B648" s="20"/>
      <c r="C648" s="20"/>
      <c r="D648" s="448"/>
      <c r="E648" s="32">
        <v>147929</v>
      </c>
      <c r="F648" s="37" t="s">
        <v>720</v>
      </c>
      <c r="G648" s="452"/>
      <c r="H648" s="453"/>
      <c r="I648" s="325">
        <v>1300000</v>
      </c>
      <c r="J648" s="33">
        <v>143229</v>
      </c>
      <c r="K648" s="32" t="s">
        <v>71</v>
      </c>
      <c r="L648" s="32" t="s">
        <v>78</v>
      </c>
      <c r="M648" s="32">
        <v>208</v>
      </c>
      <c r="N648" s="356" t="e">
        <f>VLOOKUP(E648,'[2]Price list'!$A$2:$F$145,6,0)</f>
        <v>#N/A</v>
      </c>
      <c r="O648" s="28" t="e">
        <f t="shared" si="20"/>
        <v>#N/A</v>
      </c>
      <c r="R648" s="43"/>
      <c r="S648" s="43"/>
      <c r="T648" s="43"/>
      <c r="U648" s="449"/>
      <c r="V648" s="449"/>
      <c r="W648" s="43"/>
    </row>
    <row r="649" spans="2:23" s="28" customFormat="1" ht="16.5" customHeight="1">
      <c r="B649" s="20"/>
      <c r="C649" s="20"/>
      <c r="D649" s="448"/>
      <c r="E649" s="32">
        <v>143230</v>
      </c>
      <c r="F649" s="37" t="s">
        <v>203</v>
      </c>
      <c r="G649" s="452"/>
      <c r="H649" s="453"/>
      <c r="I649" s="325">
        <v>82700</v>
      </c>
      <c r="J649" s="33">
        <v>143230</v>
      </c>
      <c r="K649" s="32" t="s">
        <v>73</v>
      </c>
      <c r="L649" s="32" t="s">
        <v>78</v>
      </c>
      <c r="M649" s="32">
        <v>16</v>
      </c>
      <c r="N649" s="356">
        <f>VLOOKUP(E649,'[2]Price list'!$A$2:$F$145,6,0)</f>
        <v>82700</v>
      </c>
      <c r="O649" s="28" t="b">
        <f t="shared" si="20"/>
        <v>1</v>
      </c>
      <c r="R649" s="43"/>
      <c r="S649" s="43"/>
      <c r="T649" s="43"/>
      <c r="U649" s="449"/>
      <c r="V649" s="449"/>
      <c r="W649" s="43"/>
    </row>
    <row r="650" spans="2:23" s="28" customFormat="1" ht="16.5" customHeight="1">
      <c r="B650" s="20"/>
      <c r="C650" s="20"/>
      <c r="D650" s="448"/>
      <c r="E650" s="32">
        <v>143231</v>
      </c>
      <c r="F650" s="37" t="s">
        <v>199</v>
      </c>
      <c r="G650" s="452"/>
      <c r="H650" s="453"/>
      <c r="I650" s="325">
        <v>100200</v>
      </c>
      <c r="J650" s="33">
        <v>143231</v>
      </c>
      <c r="K650" s="32" t="s">
        <v>70</v>
      </c>
      <c r="L650" s="32" t="s">
        <v>78</v>
      </c>
      <c r="M650" s="32">
        <v>20</v>
      </c>
      <c r="N650" s="356">
        <f>VLOOKUP(E650,'[2]Price list'!$A$2:$F$145,6,0)</f>
        <v>100200</v>
      </c>
      <c r="O650" s="28" t="b">
        <f t="shared" si="20"/>
        <v>1</v>
      </c>
      <c r="R650" s="43"/>
      <c r="S650" s="43"/>
      <c r="T650" s="43"/>
      <c r="U650" s="449"/>
      <c r="V650" s="449"/>
      <c r="W650" s="43"/>
    </row>
    <row r="651" spans="2:23" s="28" customFormat="1" ht="16.5" customHeight="1">
      <c r="B651" s="20"/>
      <c r="C651" s="20"/>
      <c r="D651" s="448"/>
      <c r="E651" s="32">
        <v>143232</v>
      </c>
      <c r="F651" s="37" t="s">
        <v>721</v>
      </c>
      <c r="G651" s="452"/>
      <c r="H651" s="453"/>
      <c r="I651" s="325">
        <v>969000</v>
      </c>
      <c r="J651" s="33">
        <v>143232</v>
      </c>
      <c r="K651" s="32" t="s">
        <v>71</v>
      </c>
      <c r="L651" s="32" t="s">
        <v>78</v>
      </c>
      <c r="M651" s="32">
        <v>200</v>
      </c>
      <c r="N651" s="356">
        <f>VLOOKUP(E651,'[2]Price list'!$A$2:$F$145,6,0)</f>
        <v>969000</v>
      </c>
      <c r="O651" s="28" t="b">
        <f t="shared" si="20"/>
        <v>1</v>
      </c>
      <c r="R651" s="43"/>
      <c r="S651" s="43"/>
      <c r="T651" s="43"/>
      <c r="U651" s="449"/>
      <c r="V651" s="449"/>
      <c r="W651" s="43"/>
    </row>
    <row r="652" spans="2:23" s="28" customFormat="1" ht="16.5" customHeight="1">
      <c r="B652" s="20"/>
      <c r="C652" s="20"/>
      <c r="D652" s="448"/>
      <c r="E652" s="32">
        <v>143233</v>
      </c>
      <c r="F652" s="37" t="s">
        <v>222</v>
      </c>
      <c r="G652" s="452"/>
      <c r="H652" s="453"/>
      <c r="I652" s="325">
        <v>66100</v>
      </c>
      <c r="J652" s="33">
        <v>143233</v>
      </c>
      <c r="K652" s="32" t="s">
        <v>73</v>
      </c>
      <c r="L652" s="32" t="s">
        <v>78</v>
      </c>
      <c r="M652" s="32">
        <v>16</v>
      </c>
      <c r="N652" s="356">
        <f>VLOOKUP(E652,'[2]Price list'!$A$2:$F$145,6,0)</f>
        <v>66100</v>
      </c>
      <c r="O652" s="28" t="b">
        <f t="shared" si="20"/>
        <v>1</v>
      </c>
      <c r="R652" s="43"/>
      <c r="S652" s="43"/>
      <c r="T652" s="43"/>
      <c r="U652" s="449"/>
      <c r="V652" s="449"/>
      <c r="W652" s="43"/>
    </row>
    <row r="653" spans="2:23" s="28" customFormat="1" ht="16.5" customHeight="1">
      <c r="B653" s="20"/>
      <c r="C653" s="20"/>
      <c r="D653" s="448"/>
      <c r="E653" s="32">
        <v>143234</v>
      </c>
      <c r="F653" s="37" t="s">
        <v>200</v>
      </c>
      <c r="G653" s="452"/>
      <c r="H653" s="453"/>
      <c r="I653" s="325">
        <v>76500</v>
      </c>
      <c r="J653" s="33">
        <v>143234</v>
      </c>
      <c r="K653" s="32" t="s">
        <v>70</v>
      </c>
      <c r="L653" s="32" t="s">
        <v>78</v>
      </c>
      <c r="M653" s="32">
        <v>20</v>
      </c>
      <c r="N653" s="356">
        <f>VLOOKUP(E653,'[2]Price list'!$A$2:$F$145,6,0)</f>
        <v>76500</v>
      </c>
      <c r="O653" s="28" t="b">
        <f t="shared" si="20"/>
        <v>1</v>
      </c>
      <c r="R653" s="43"/>
      <c r="S653" s="43"/>
      <c r="T653" s="43"/>
      <c r="U653" s="449"/>
      <c r="V653" s="449"/>
      <c r="W653" s="43"/>
    </row>
    <row r="654" spans="2:23" s="28" customFormat="1" ht="16.5" customHeight="1">
      <c r="B654" s="20"/>
      <c r="C654" s="20"/>
      <c r="D654" s="448"/>
      <c r="E654" s="32">
        <v>143235</v>
      </c>
      <c r="F654" s="37" t="s">
        <v>722</v>
      </c>
      <c r="G654" s="452"/>
      <c r="H654" s="453"/>
      <c r="I654" s="325">
        <v>728000</v>
      </c>
      <c r="J654" s="33">
        <v>143235</v>
      </c>
      <c r="K654" s="32" t="s">
        <v>71</v>
      </c>
      <c r="L654" s="32" t="s">
        <v>78</v>
      </c>
      <c r="M654" s="32">
        <v>200</v>
      </c>
      <c r="N654" s="356">
        <f>VLOOKUP(E654,'[2]Price list'!$A$2:$F$145,6,0)</f>
        <v>728000</v>
      </c>
      <c r="O654" s="28" t="b">
        <f t="shared" si="20"/>
        <v>1</v>
      </c>
      <c r="R654" s="43"/>
      <c r="S654" s="43"/>
      <c r="T654" s="43"/>
      <c r="U654" s="449"/>
      <c r="V654" s="449"/>
      <c r="W654" s="43"/>
    </row>
    <row r="655" spans="2:23" s="28" customFormat="1" ht="16.5" customHeight="1">
      <c r="B655" s="20"/>
      <c r="C655" s="20"/>
      <c r="D655" s="448"/>
      <c r="E655" s="32">
        <v>143236</v>
      </c>
      <c r="F655" s="37" t="s">
        <v>223</v>
      </c>
      <c r="G655" s="452"/>
      <c r="H655" s="453"/>
      <c r="I655" s="325">
        <v>49200</v>
      </c>
      <c r="J655" s="33">
        <v>143236</v>
      </c>
      <c r="K655" s="32" t="s">
        <v>73</v>
      </c>
      <c r="L655" s="32" t="s">
        <v>78</v>
      </c>
      <c r="M655" s="32">
        <v>16</v>
      </c>
      <c r="N655" s="356">
        <f>VLOOKUP(E655,'[2]Price list'!$A$2:$F$145,6,0)</f>
        <v>49200</v>
      </c>
      <c r="O655" s="28" t="b">
        <f t="shared" si="20"/>
        <v>1</v>
      </c>
      <c r="R655" s="43"/>
      <c r="S655" s="43"/>
      <c r="T655" s="43"/>
      <c r="U655" s="449"/>
      <c r="V655" s="449"/>
      <c r="W655" s="43"/>
    </row>
    <row r="656" spans="2:23" s="28" customFormat="1" ht="16.5" customHeight="1">
      <c r="B656" s="20"/>
      <c r="C656" s="20"/>
      <c r="D656" s="448"/>
      <c r="E656" s="32">
        <v>143237</v>
      </c>
      <c r="F656" s="37" t="s">
        <v>206</v>
      </c>
      <c r="G656" s="452"/>
      <c r="H656" s="453"/>
      <c r="I656" s="325">
        <v>58400</v>
      </c>
      <c r="J656" s="33">
        <v>143237</v>
      </c>
      <c r="K656" s="32" t="s">
        <v>70</v>
      </c>
      <c r="L656" s="32" t="s">
        <v>78</v>
      </c>
      <c r="M656" s="32">
        <v>20</v>
      </c>
      <c r="N656" s="356">
        <f>VLOOKUP(E656,'[2]Price list'!$A$2:$F$145,6,0)</f>
        <v>58400</v>
      </c>
      <c r="O656" s="28" t="b">
        <f t="shared" si="20"/>
        <v>1</v>
      </c>
      <c r="R656" s="43"/>
      <c r="S656" s="43"/>
      <c r="T656" s="43"/>
      <c r="U656" s="449"/>
      <c r="V656" s="449"/>
      <c r="W656" s="43"/>
    </row>
    <row r="657" spans="2:23" s="28" customFormat="1" ht="16.5" customHeight="1">
      <c r="B657" s="20"/>
      <c r="C657" s="20"/>
      <c r="D657" s="448"/>
      <c r="E657" s="32">
        <v>143238</v>
      </c>
      <c r="F657" s="37" t="s">
        <v>723</v>
      </c>
      <c r="G657" s="452"/>
      <c r="H657" s="453"/>
      <c r="I657" s="325">
        <v>549000</v>
      </c>
      <c r="J657" s="33">
        <v>143238</v>
      </c>
      <c r="K657" s="32" t="s">
        <v>71</v>
      </c>
      <c r="L657" s="32" t="s">
        <v>78</v>
      </c>
      <c r="M657" s="32">
        <v>200</v>
      </c>
      <c r="N657" s="356">
        <f>VLOOKUP(E657,'[2]Price list'!$A$2:$F$145,6,0)</f>
        <v>549000</v>
      </c>
      <c r="O657" s="28" t="b">
        <f t="shared" si="20"/>
        <v>1</v>
      </c>
      <c r="R657" s="43"/>
      <c r="S657" s="43"/>
      <c r="T657" s="43"/>
      <c r="U657" s="449"/>
      <c r="V657" s="449"/>
      <c r="W657" s="43"/>
    </row>
    <row r="658" spans="2:23" s="28" customFormat="1" ht="16.5" customHeight="1">
      <c r="B658" s="20"/>
      <c r="C658" s="20"/>
      <c r="D658" s="448"/>
      <c r="E658" s="32">
        <v>143240</v>
      </c>
      <c r="F658" s="520" t="s">
        <v>746</v>
      </c>
      <c r="G658" s="518"/>
      <c r="H658" s="519"/>
      <c r="I658" s="325">
        <v>107800</v>
      </c>
      <c r="J658" s="32">
        <v>143240</v>
      </c>
      <c r="K658" s="32" t="s">
        <v>73</v>
      </c>
      <c r="L658" s="32" t="s">
        <v>78</v>
      </c>
      <c r="M658" s="32">
        <v>16</v>
      </c>
      <c r="N658" s="356">
        <f>VLOOKUP(E658,'[2]Price list'!$A$2:$F$145,6,0)</f>
        <v>107800</v>
      </c>
      <c r="O658" s="28" t="b">
        <f t="shared" si="20"/>
        <v>1</v>
      </c>
      <c r="R658" s="43"/>
      <c r="S658" s="43"/>
      <c r="T658" s="43"/>
      <c r="U658" s="449"/>
      <c r="V658" s="449"/>
      <c r="W658" s="43"/>
    </row>
    <row r="659" spans="2:23" s="28" customFormat="1" ht="16.5" customHeight="1">
      <c r="B659" s="20"/>
      <c r="C659" s="20"/>
      <c r="D659" s="448"/>
      <c r="E659" s="32">
        <v>143241</v>
      </c>
      <c r="F659" s="37" t="s">
        <v>999</v>
      </c>
      <c r="G659" s="452"/>
      <c r="H659" s="453"/>
      <c r="I659" s="325">
        <v>131000</v>
      </c>
      <c r="J659" s="32">
        <v>143241</v>
      </c>
      <c r="K659" s="32" t="s">
        <v>70</v>
      </c>
      <c r="L659" s="32" t="s">
        <v>78</v>
      </c>
      <c r="M659" s="32">
        <v>20</v>
      </c>
      <c r="N659" s="356">
        <f>VLOOKUP(E659,'[2]Price list'!$A$2:$F$145,6,0)</f>
        <v>131000</v>
      </c>
      <c r="O659" s="28" t="b">
        <f t="shared" si="20"/>
        <v>1</v>
      </c>
      <c r="R659" s="43"/>
      <c r="S659" s="43"/>
      <c r="T659" s="43"/>
      <c r="U659" s="449"/>
      <c r="V659" s="449"/>
      <c r="W659" s="43"/>
    </row>
    <row r="660" spans="2:23" s="28" customFormat="1" ht="16.5" customHeight="1">
      <c r="B660" s="20"/>
      <c r="C660" s="20"/>
      <c r="D660" s="448"/>
      <c r="E660" s="32">
        <v>143242</v>
      </c>
      <c r="F660" s="37" t="s">
        <v>1000</v>
      </c>
      <c r="G660" s="452"/>
      <c r="H660" s="453"/>
      <c r="I660" s="325">
        <v>1300000</v>
      </c>
      <c r="J660" s="32">
        <v>143242</v>
      </c>
      <c r="K660" s="32" t="s">
        <v>71</v>
      </c>
      <c r="L660" s="32" t="s">
        <v>78</v>
      </c>
      <c r="M660" s="32">
        <v>200</v>
      </c>
      <c r="N660" s="356">
        <f>VLOOKUP(E660,'[2]Price list'!$A$2:$F$145,6,0)</f>
        <v>1300000</v>
      </c>
      <c r="O660" s="28" t="b">
        <f t="shared" si="20"/>
        <v>1</v>
      </c>
      <c r="R660" s="43"/>
      <c r="S660" s="43"/>
      <c r="T660" s="43"/>
      <c r="U660" s="449"/>
      <c r="V660" s="449"/>
      <c r="W660" s="43"/>
    </row>
    <row r="661" spans="2:23" s="28" customFormat="1" ht="16.5" customHeight="1">
      <c r="B661" s="20"/>
      <c r="C661" s="20"/>
      <c r="D661" s="448"/>
      <c r="E661" s="32">
        <v>143248</v>
      </c>
      <c r="F661" s="37" t="s">
        <v>211</v>
      </c>
      <c r="G661" s="452"/>
      <c r="H661" s="453"/>
      <c r="I661" s="325">
        <v>59400</v>
      </c>
      <c r="J661" s="33">
        <v>128857</v>
      </c>
      <c r="K661" s="32" t="s">
        <v>70</v>
      </c>
      <c r="L661" s="32" t="s">
        <v>0</v>
      </c>
      <c r="M661" s="32">
        <v>20</v>
      </c>
      <c r="N661" s="356">
        <f>VLOOKUP(E661,'[2]Price list'!$A$2:$F$145,6,0)</f>
        <v>59400</v>
      </c>
      <c r="O661" s="28" t="b">
        <f t="shared" si="20"/>
        <v>1</v>
      </c>
      <c r="R661" s="43"/>
      <c r="S661" s="43"/>
      <c r="T661" s="43"/>
      <c r="U661" s="449"/>
      <c r="V661" s="449"/>
      <c r="W661" s="43"/>
    </row>
    <row r="662" spans="2:23" s="28" customFormat="1" ht="16.5" customHeight="1">
      <c r="B662" s="20"/>
      <c r="C662" s="20"/>
      <c r="D662" s="448"/>
      <c r="E662" s="32">
        <v>143249</v>
      </c>
      <c r="F662" s="37" t="s">
        <v>212</v>
      </c>
      <c r="G662" s="452"/>
      <c r="H662" s="453"/>
      <c r="I662" s="325">
        <v>59400</v>
      </c>
      <c r="J662" s="33">
        <v>143249</v>
      </c>
      <c r="K662" s="32" t="s">
        <v>70</v>
      </c>
      <c r="L662" s="32" t="s">
        <v>0</v>
      </c>
      <c r="M662" s="32">
        <v>20</v>
      </c>
      <c r="N662" s="356">
        <f>VLOOKUP(E662,'[2]Price list'!$A$2:$F$145,6,0)</f>
        <v>59400</v>
      </c>
      <c r="O662" s="28" t="b">
        <f t="shared" si="20"/>
        <v>1</v>
      </c>
      <c r="R662" s="43"/>
      <c r="S662" s="43"/>
      <c r="T662" s="43"/>
      <c r="U662" s="449"/>
      <c r="V662" s="449"/>
      <c r="W662" s="43"/>
    </row>
    <row r="663" spans="2:23" s="28" customFormat="1" ht="16.5" customHeight="1">
      <c r="B663" s="20"/>
      <c r="C663" s="20"/>
      <c r="D663" s="448"/>
      <c r="E663" s="32">
        <v>143250</v>
      </c>
      <c r="F663" s="37" t="s">
        <v>136</v>
      </c>
      <c r="G663" s="452"/>
      <c r="H663" s="453"/>
      <c r="I663" s="325">
        <v>581000</v>
      </c>
      <c r="J663" s="32">
        <v>143250</v>
      </c>
      <c r="K663" s="32" t="s">
        <v>71</v>
      </c>
      <c r="L663" s="32" t="s">
        <v>0</v>
      </c>
      <c r="M663" s="32">
        <v>200</v>
      </c>
      <c r="N663" s="356">
        <f>VLOOKUP(E663,'[2]Price list'!$A$2:$F$145,6,0)</f>
        <v>581000</v>
      </c>
      <c r="O663" s="28" t="b">
        <f t="shared" si="20"/>
        <v>1</v>
      </c>
      <c r="R663" s="43"/>
      <c r="S663" s="43"/>
      <c r="T663" s="43"/>
      <c r="U663" s="449"/>
      <c r="V663" s="449"/>
      <c r="W663" s="43"/>
    </row>
    <row r="664" spans="2:23" s="28" customFormat="1" ht="16.5" customHeight="1">
      <c r="B664" s="20"/>
      <c r="C664" s="20"/>
      <c r="D664" s="448"/>
      <c r="E664" s="32">
        <v>143251</v>
      </c>
      <c r="F664" s="37" t="s">
        <v>135</v>
      </c>
      <c r="G664" s="452"/>
      <c r="H664" s="453"/>
      <c r="I664" s="325">
        <v>581000</v>
      </c>
      <c r="J664" s="33">
        <v>143251</v>
      </c>
      <c r="K664" s="32" t="s">
        <v>71</v>
      </c>
      <c r="L664" s="32" t="s">
        <v>0</v>
      </c>
      <c r="M664" s="32">
        <v>200</v>
      </c>
      <c r="N664" s="356">
        <f>VLOOKUP(E664,'[2]Price list'!$A$2:$F$145,6,0)</f>
        <v>581000</v>
      </c>
      <c r="O664" s="28" t="b">
        <f t="shared" si="20"/>
        <v>1</v>
      </c>
      <c r="R664" s="43"/>
      <c r="S664" s="43"/>
      <c r="T664" s="43"/>
      <c r="U664" s="449"/>
      <c r="V664" s="449"/>
      <c r="W664" s="43"/>
    </row>
    <row r="665" spans="2:23" s="28" customFormat="1" ht="16.5" customHeight="1">
      <c r="B665" s="20"/>
      <c r="C665" s="20"/>
      <c r="D665" s="448"/>
      <c r="E665" s="32">
        <v>143314</v>
      </c>
      <c r="F665" s="37" t="s">
        <v>1001</v>
      </c>
      <c r="G665" s="452"/>
      <c r="H665" s="453"/>
      <c r="I665" s="325">
        <v>63300</v>
      </c>
      <c r="J665" s="32">
        <v>143314</v>
      </c>
      <c r="K665" s="32" t="s">
        <v>73</v>
      </c>
      <c r="L665" s="32" t="s">
        <v>35</v>
      </c>
      <c r="M665" s="32">
        <v>12</v>
      </c>
      <c r="N665" s="356">
        <f>VLOOKUP(E665,'[2]Price list'!$A$2:$F$145,6,0)</f>
        <v>63300</v>
      </c>
      <c r="O665" s="28" t="b">
        <f t="shared" si="20"/>
        <v>1</v>
      </c>
      <c r="R665" s="43"/>
      <c r="S665" s="43"/>
      <c r="T665" s="43"/>
      <c r="U665" s="449"/>
      <c r="V665" s="449"/>
      <c r="W665" s="43"/>
    </row>
    <row r="666" spans="2:23" s="28" customFormat="1" ht="16.5" customHeight="1">
      <c r="B666" s="20"/>
      <c r="C666" s="20"/>
      <c r="D666" s="448"/>
      <c r="E666" s="32">
        <v>143330</v>
      </c>
      <c r="F666" s="520" t="s">
        <v>1002</v>
      </c>
      <c r="G666" s="452"/>
      <c r="H666" s="453"/>
      <c r="I666" s="325">
        <v>82700</v>
      </c>
      <c r="J666" s="32">
        <v>143330</v>
      </c>
      <c r="K666" s="32" t="s">
        <v>73</v>
      </c>
      <c r="L666" s="32" t="s">
        <v>0</v>
      </c>
      <c r="M666" s="32">
        <v>16</v>
      </c>
      <c r="N666" s="356">
        <f>VLOOKUP(E666,'[2]Price list'!$A$2:$F$145,6,0)</f>
        <v>82700</v>
      </c>
      <c r="O666" s="28" t="b">
        <f t="shared" si="20"/>
        <v>1</v>
      </c>
      <c r="R666" s="43"/>
      <c r="S666" s="43"/>
      <c r="T666" s="43"/>
      <c r="U666" s="449"/>
      <c r="V666" s="449"/>
      <c r="W666" s="43"/>
    </row>
    <row r="667" spans="2:23" s="28" customFormat="1" ht="16.5" customHeight="1">
      <c r="B667" s="20"/>
      <c r="C667" s="20"/>
      <c r="D667" s="448"/>
      <c r="E667" s="32">
        <v>143331</v>
      </c>
      <c r="F667" s="37" t="s">
        <v>1003</v>
      </c>
      <c r="G667" s="452"/>
      <c r="H667" s="453"/>
      <c r="I667" s="325">
        <v>100200</v>
      </c>
      <c r="J667" s="32">
        <v>143331</v>
      </c>
      <c r="K667" s="32" t="s">
        <v>70</v>
      </c>
      <c r="L667" s="32" t="s">
        <v>0</v>
      </c>
      <c r="M667" s="32">
        <v>20</v>
      </c>
      <c r="N667" s="356">
        <f>VLOOKUP(E667,'[2]Price list'!$A$2:$F$145,6,0)</f>
        <v>100200</v>
      </c>
      <c r="O667" s="28" t="b">
        <f t="shared" si="20"/>
        <v>1</v>
      </c>
      <c r="R667" s="43"/>
      <c r="S667" s="43"/>
      <c r="T667" s="43"/>
      <c r="U667" s="449"/>
      <c r="V667" s="449"/>
      <c r="W667" s="43"/>
    </row>
    <row r="668" spans="2:23" s="28" customFormat="1" ht="16.5" customHeight="1">
      <c r="B668" s="20"/>
      <c r="C668" s="20"/>
      <c r="D668" s="448"/>
      <c r="E668" s="32">
        <v>143332</v>
      </c>
      <c r="F668" s="37" t="s">
        <v>1004</v>
      </c>
      <c r="G668" s="518"/>
      <c r="H668" s="519"/>
      <c r="I668" s="325">
        <v>969000</v>
      </c>
      <c r="J668" s="32">
        <v>143332</v>
      </c>
      <c r="K668" s="32" t="s">
        <v>71</v>
      </c>
      <c r="L668" s="32" t="s">
        <v>0</v>
      </c>
      <c r="M668" s="32">
        <v>200</v>
      </c>
      <c r="N668" s="356">
        <f>VLOOKUP(E668,'[2]Price list'!$A$2:$F$145,6,0)</f>
        <v>969000</v>
      </c>
      <c r="O668" s="28" t="b">
        <f t="shared" si="20"/>
        <v>1</v>
      </c>
      <c r="R668" s="43"/>
      <c r="S668" s="43"/>
      <c r="T668" s="43"/>
      <c r="U668" s="449"/>
      <c r="V668" s="449"/>
      <c r="W668" s="43"/>
    </row>
    <row r="669" spans="2:23" s="28" customFormat="1" ht="16.5" customHeight="1">
      <c r="B669" s="20"/>
      <c r="C669" s="20"/>
      <c r="D669" s="448"/>
      <c r="E669" s="32">
        <v>143334</v>
      </c>
      <c r="F669" s="37" t="s">
        <v>204</v>
      </c>
      <c r="G669" s="452"/>
      <c r="H669" s="453"/>
      <c r="I669" s="325">
        <v>0</v>
      </c>
      <c r="J669" s="33">
        <v>143334</v>
      </c>
      <c r="K669" s="32" t="s">
        <v>73</v>
      </c>
      <c r="L669" s="32" t="s">
        <v>78</v>
      </c>
      <c r="M669" s="32">
        <v>16</v>
      </c>
      <c r="N669" s="356" t="e">
        <f>VLOOKUP(E669,'[2]Price list'!$A$2:$F$145,6,0)</f>
        <v>#N/A</v>
      </c>
      <c r="O669" s="28" t="e">
        <f t="shared" si="20"/>
        <v>#N/A</v>
      </c>
      <c r="R669" s="43"/>
      <c r="S669" s="43"/>
      <c r="T669" s="43"/>
      <c r="U669" s="449"/>
      <c r="V669" s="449"/>
      <c r="W669" s="43"/>
    </row>
    <row r="670" spans="2:23" s="28" customFormat="1" ht="16.5" customHeight="1">
      <c r="B670" s="20"/>
      <c r="C670" s="20"/>
      <c r="D670" s="448"/>
      <c r="E670" s="32">
        <v>144508</v>
      </c>
      <c r="F670" s="37" t="s">
        <v>1005</v>
      </c>
      <c r="G670" s="452"/>
      <c r="H670" s="453"/>
      <c r="I670" s="325">
        <v>620000</v>
      </c>
      <c r="J670" s="33">
        <v>144508</v>
      </c>
      <c r="K670" s="32" t="s">
        <v>71</v>
      </c>
      <c r="L670" s="32" t="s">
        <v>78</v>
      </c>
      <c r="M670" s="32">
        <v>200</v>
      </c>
      <c r="N670" s="356">
        <f>VLOOKUP(E670,'[2]Price list'!$A$2:$F$145,6,0)</f>
        <v>620000</v>
      </c>
      <c r="O670" s="28" t="b">
        <f t="shared" si="20"/>
        <v>1</v>
      </c>
      <c r="R670" s="43"/>
      <c r="S670" s="43"/>
      <c r="T670" s="43"/>
      <c r="U670" s="449"/>
      <c r="V670" s="449"/>
      <c r="W670" s="43"/>
    </row>
    <row r="671" spans="2:23" s="28" customFormat="1" ht="16.5" customHeight="1">
      <c r="B671" s="20"/>
      <c r="C671" s="20"/>
      <c r="D671" s="448"/>
      <c r="E671" s="32">
        <v>144507</v>
      </c>
      <c r="F671" s="37" t="s">
        <v>940</v>
      </c>
      <c r="G671" s="452"/>
      <c r="H671" s="453"/>
      <c r="I671" s="325">
        <v>65600</v>
      </c>
      <c r="J671" s="33">
        <v>144507</v>
      </c>
      <c r="K671" s="32" t="s">
        <v>70</v>
      </c>
      <c r="L671" s="32" t="s">
        <v>78</v>
      </c>
      <c r="M671" s="32">
        <v>20</v>
      </c>
      <c r="N671" s="356">
        <f>VLOOKUP(E671,'[2]Price list'!$A$2:$F$145,6,0)</f>
        <v>65600</v>
      </c>
      <c r="O671" s="28" t="b">
        <f t="shared" si="20"/>
        <v>1</v>
      </c>
      <c r="R671" s="43"/>
      <c r="S671" s="43"/>
      <c r="T671" s="43"/>
      <c r="U671" s="449"/>
      <c r="V671" s="449"/>
      <c r="W671" s="43"/>
    </row>
    <row r="672" spans="2:23" s="28" customFormat="1" ht="16.5" customHeight="1">
      <c r="B672" s="20"/>
      <c r="C672" s="20"/>
      <c r="D672" s="448"/>
      <c r="E672" s="32">
        <v>143396</v>
      </c>
      <c r="F672" s="37" t="s">
        <v>157</v>
      </c>
      <c r="G672" s="452"/>
      <c r="H672" s="453"/>
      <c r="I672" s="325">
        <v>60500</v>
      </c>
      <c r="J672" s="33">
        <v>143396</v>
      </c>
      <c r="K672" s="32" t="s">
        <v>73</v>
      </c>
      <c r="L672" s="32" t="s">
        <v>79</v>
      </c>
      <c r="M672" s="32">
        <v>18</v>
      </c>
      <c r="N672" s="356">
        <f>VLOOKUP(E672,'[2]Price list'!$A$2:$F$145,6,0)</f>
        <v>60500</v>
      </c>
      <c r="O672" s="28" t="b">
        <f t="shared" si="20"/>
        <v>1</v>
      </c>
      <c r="R672" s="43"/>
      <c r="S672" s="43"/>
      <c r="T672" s="43"/>
      <c r="U672" s="449"/>
      <c r="V672" s="449"/>
      <c r="W672" s="43"/>
    </row>
    <row r="673" spans="2:23" s="28" customFormat="1" ht="16.5" customHeight="1">
      <c r="B673" s="20"/>
      <c r="C673" s="20"/>
      <c r="D673" s="448"/>
      <c r="E673" s="32">
        <v>143397</v>
      </c>
      <c r="F673" s="37" t="s">
        <v>172</v>
      </c>
      <c r="G673" s="452"/>
      <c r="H673" s="453"/>
      <c r="I673" s="325">
        <v>64200</v>
      </c>
      <c r="J673" s="33">
        <v>143397</v>
      </c>
      <c r="K673" s="32" t="s">
        <v>73</v>
      </c>
      <c r="L673" s="32" t="s">
        <v>79</v>
      </c>
      <c r="M673" s="32">
        <v>18</v>
      </c>
      <c r="N673" s="356">
        <f>VLOOKUP(E673,'[2]Price list'!$A$2:$F$145,6,0)</f>
        <v>64200</v>
      </c>
      <c r="O673" s="28" t="b">
        <f t="shared" si="20"/>
        <v>1</v>
      </c>
      <c r="R673" s="43"/>
      <c r="S673" s="43"/>
      <c r="T673" s="43"/>
      <c r="U673" s="449"/>
      <c r="V673" s="449"/>
      <c r="W673" s="43"/>
    </row>
    <row r="674" spans="2:23" s="28" customFormat="1" ht="16.5" customHeight="1">
      <c r="B674" s="20"/>
      <c r="C674" s="20"/>
      <c r="D674" s="448"/>
      <c r="E674" s="32">
        <v>143398</v>
      </c>
      <c r="F674" s="37" t="s">
        <v>160</v>
      </c>
      <c r="G674" s="452"/>
      <c r="H674" s="453"/>
      <c r="I674" s="325">
        <v>47800</v>
      </c>
      <c r="J674" s="33">
        <v>143398</v>
      </c>
      <c r="K674" s="32" t="s">
        <v>73</v>
      </c>
      <c r="L674" s="32" t="s">
        <v>35</v>
      </c>
      <c r="M674" s="32">
        <v>18</v>
      </c>
      <c r="N674" s="356">
        <f>VLOOKUP(E674,'[2]Price list'!$A$2:$F$145,6,0)</f>
        <v>50800</v>
      </c>
      <c r="O674" s="28" t="b">
        <f t="shared" si="20"/>
        <v>0</v>
      </c>
      <c r="R674" s="43"/>
      <c r="S674" s="43"/>
      <c r="T674" s="43"/>
      <c r="U674" s="449"/>
      <c r="V674" s="449"/>
      <c r="W674" s="43"/>
    </row>
    <row r="675" spans="2:23" s="28" customFormat="1" ht="16.5" customHeight="1">
      <c r="B675" s="20"/>
      <c r="C675" s="20"/>
      <c r="D675" s="448"/>
      <c r="E675" s="32">
        <v>143487</v>
      </c>
      <c r="F675" s="37" t="s">
        <v>1006</v>
      </c>
      <c r="G675" s="452"/>
      <c r="H675" s="453"/>
      <c r="I675" s="325">
        <v>124000</v>
      </c>
      <c r="J675" s="33">
        <v>143487</v>
      </c>
      <c r="K675" s="32" t="s">
        <v>73</v>
      </c>
      <c r="L675" s="32" t="s">
        <v>79</v>
      </c>
      <c r="M675" s="32">
        <v>12</v>
      </c>
      <c r="N675" s="356">
        <f>VLOOKUP(E675,'[2]Price list'!$A$2:$F$145,6,0)</f>
        <v>124000</v>
      </c>
      <c r="O675" s="28" t="b">
        <f t="shared" ref="O675:O716" si="21">I675=N675</f>
        <v>1</v>
      </c>
      <c r="R675" s="43"/>
      <c r="S675" s="43"/>
      <c r="T675" s="43"/>
      <c r="U675" s="449"/>
      <c r="V675" s="449"/>
      <c r="W675" s="43"/>
    </row>
    <row r="676" spans="2:23" s="28" customFormat="1" ht="16.5" customHeight="1">
      <c r="B676" s="20"/>
      <c r="C676" s="20"/>
      <c r="D676" s="448"/>
      <c r="E676" s="32">
        <v>143518</v>
      </c>
      <c r="F676" s="37" t="s">
        <v>1007</v>
      </c>
      <c r="G676" s="452"/>
      <c r="H676" s="453"/>
      <c r="I676" s="325">
        <v>124000</v>
      </c>
      <c r="J676" s="32">
        <v>143518</v>
      </c>
      <c r="K676" s="32" t="s">
        <v>73</v>
      </c>
      <c r="L676" s="32" t="s">
        <v>35</v>
      </c>
      <c r="M676" s="32">
        <v>12</v>
      </c>
      <c r="N676" s="356" t="e">
        <f>VLOOKUP(E676,'[2]Price list'!$A$2:$F$145,6,0)</f>
        <v>#N/A</v>
      </c>
      <c r="O676" s="28" t="e">
        <f t="shared" si="21"/>
        <v>#N/A</v>
      </c>
      <c r="R676" s="43"/>
      <c r="S676" s="43"/>
      <c r="T676" s="43"/>
      <c r="U676" s="449"/>
      <c r="V676" s="449"/>
      <c r="W676" s="43"/>
    </row>
    <row r="677" spans="2:23" s="28" customFormat="1" ht="16.5" customHeight="1">
      <c r="B677" s="20"/>
      <c r="C677" s="20"/>
      <c r="D677" s="448"/>
      <c r="E677" s="32">
        <v>143533</v>
      </c>
      <c r="F677" s="37" t="s">
        <v>188</v>
      </c>
      <c r="G677" s="452"/>
      <c r="H677" s="453"/>
      <c r="I677" s="325">
        <v>124000</v>
      </c>
      <c r="J677" s="32">
        <v>143533</v>
      </c>
      <c r="K677" s="32" t="s">
        <v>73</v>
      </c>
      <c r="L677" s="32" t="s">
        <v>35</v>
      </c>
      <c r="M677" s="32">
        <v>12</v>
      </c>
      <c r="N677" s="356">
        <f>VLOOKUP(E677,'[2]Price list'!$A$2:$F$145,6,0)</f>
        <v>124000</v>
      </c>
      <c r="O677" s="28" t="b">
        <f t="shared" si="21"/>
        <v>1</v>
      </c>
      <c r="R677" s="43"/>
      <c r="S677" s="43"/>
      <c r="T677" s="43"/>
      <c r="U677" s="449"/>
      <c r="V677" s="449"/>
      <c r="W677" s="43"/>
    </row>
    <row r="678" spans="2:23" s="28" customFormat="1" ht="16.5" customHeight="1">
      <c r="B678" s="20"/>
      <c r="C678" s="20"/>
      <c r="D678" s="448"/>
      <c r="E678" s="32">
        <v>143534</v>
      </c>
      <c r="F678" s="37" t="s">
        <v>180</v>
      </c>
      <c r="G678" s="452"/>
      <c r="H678" s="453"/>
      <c r="I678" s="325">
        <v>124000</v>
      </c>
      <c r="J678" s="33">
        <v>143534</v>
      </c>
      <c r="K678" s="32" t="s">
        <v>73</v>
      </c>
      <c r="L678" s="32" t="s">
        <v>35</v>
      </c>
      <c r="M678" s="32">
        <v>12</v>
      </c>
      <c r="N678" s="356">
        <f>VLOOKUP(E678,'[2]Price list'!$A$2:$F$145,6,0)</f>
        <v>124000</v>
      </c>
      <c r="O678" s="28" t="b">
        <f t="shared" si="21"/>
        <v>1</v>
      </c>
      <c r="R678" s="43"/>
      <c r="S678" s="43"/>
      <c r="T678" s="43"/>
      <c r="U678" s="449"/>
      <c r="V678" s="449"/>
      <c r="W678" s="43"/>
    </row>
    <row r="679" spans="2:23" s="28" customFormat="1" ht="16.5" customHeight="1">
      <c r="B679" s="20"/>
      <c r="C679" s="20"/>
      <c r="D679" s="448"/>
      <c r="E679" s="32">
        <v>147392</v>
      </c>
      <c r="F679" s="37" t="s">
        <v>1008</v>
      </c>
      <c r="G679" s="452"/>
      <c r="H679" s="453"/>
      <c r="I679" s="325">
        <v>124000</v>
      </c>
      <c r="J679" s="33">
        <v>143535</v>
      </c>
      <c r="K679" s="32" t="s">
        <v>73</v>
      </c>
      <c r="L679" s="32" t="s">
        <v>35</v>
      </c>
      <c r="M679" s="32">
        <v>12</v>
      </c>
      <c r="N679" s="356" t="e">
        <f>VLOOKUP(E679,'[2]Price list'!$A$2:$F$145,6,0)</f>
        <v>#N/A</v>
      </c>
      <c r="O679" s="28" t="e">
        <f t="shared" si="21"/>
        <v>#N/A</v>
      </c>
      <c r="R679" s="43"/>
      <c r="S679" s="43"/>
      <c r="T679" s="43"/>
      <c r="U679" s="449"/>
      <c r="V679" s="449"/>
      <c r="W679" s="43"/>
    </row>
    <row r="680" spans="2:23" s="28" customFormat="1" ht="16.5" customHeight="1">
      <c r="B680" s="20"/>
      <c r="C680" s="20"/>
      <c r="D680" s="448"/>
      <c r="E680" s="32">
        <v>144620</v>
      </c>
      <c r="F680" s="37" t="s">
        <v>1009</v>
      </c>
      <c r="G680" s="452"/>
      <c r="H680" s="453"/>
      <c r="I680" s="325">
        <v>50300</v>
      </c>
      <c r="J680" s="32">
        <v>144620</v>
      </c>
      <c r="K680" s="32" t="s">
        <v>73</v>
      </c>
      <c r="L680" s="32" t="s">
        <v>35</v>
      </c>
      <c r="M680" s="32">
        <v>12</v>
      </c>
      <c r="N680" s="356">
        <f>VLOOKUP(E680,'[2]Price list'!$A$2:$F$145,6,0)</f>
        <v>50300</v>
      </c>
      <c r="O680" s="28" t="b">
        <f t="shared" si="21"/>
        <v>1</v>
      </c>
      <c r="R680" s="43"/>
      <c r="S680" s="43"/>
      <c r="T680" s="43"/>
      <c r="U680" s="449"/>
      <c r="V680" s="449"/>
      <c r="W680" s="43"/>
    </row>
    <row r="681" spans="2:23" s="28" customFormat="1" ht="16.5" customHeight="1">
      <c r="B681" s="20"/>
      <c r="C681" s="20"/>
      <c r="D681" s="448"/>
      <c r="E681" s="32">
        <v>143789</v>
      </c>
      <c r="F681" s="37" t="s">
        <v>727</v>
      </c>
      <c r="G681" s="452"/>
      <c r="H681" s="453"/>
      <c r="I681" s="325">
        <v>0</v>
      </c>
      <c r="J681" s="32">
        <v>143789</v>
      </c>
      <c r="K681" s="32" t="s">
        <v>71</v>
      </c>
      <c r="L681" s="32" t="s">
        <v>0</v>
      </c>
      <c r="M681" s="32">
        <v>200</v>
      </c>
      <c r="N681" s="356" t="e">
        <f>VLOOKUP(E681,'[2]Price list'!$A$2:$F$145,6,0)</f>
        <v>#N/A</v>
      </c>
      <c r="O681" s="28" t="e">
        <f t="shared" si="21"/>
        <v>#N/A</v>
      </c>
      <c r="R681" s="43"/>
      <c r="S681" s="43"/>
      <c r="T681" s="43"/>
      <c r="U681" s="449"/>
      <c r="V681" s="449"/>
      <c r="W681" s="43"/>
    </row>
    <row r="682" spans="2:23" s="28" customFormat="1" ht="16.5" customHeight="1">
      <c r="B682" s="20"/>
      <c r="C682" s="20"/>
      <c r="D682" s="448"/>
      <c r="E682" s="32">
        <v>143891</v>
      </c>
      <c r="F682" s="37" t="s">
        <v>1010</v>
      </c>
      <c r="G682" s="452"/>
      <c r="H682" s="453"/>
      <c r="I682" s="325">
        <v>70100</v>
      </c>
      <c r="J682" s="32">
        <v>143891</v>
      </c>
      <c r="K682" s="32" t="s">
        <v>72</v>
      </c>
      <c r="L682" s="32" t="s">
        <v>35</v>
      </c>
      <c r="M682" s="32">
        <v>12</v>
      </c>
      <c r="N682" s="356">
        <f>VLOOKUP(E682,'[2]Price list'!$A$2:$F$145,6,0)</f>
        <v>70100</v>
      </c>
      <c r="O682" s="28" t="b">
        <f t="shared" si="21"/>
        <v>1</v>
      </c>
      <c r="R682" s="43"/>
      <c r="S682" s="43"/>
      <c r="T682" s="43"/>
      <c r="U682" s="449"/>
      <c r="V682" s="449"/>
      <c r="W682" s="43"/>
    </row>
    <row r="683" spans="2:23" s="28" customFormat="1" ht="16.5" customHeight="1">
      <c r="B683" s="20"/>
      <c r="C683" s="20"/>
      <c r="D683" s="448"/>
      <c r="E683" s="32">
        <v>143892</v>
      </c>
      <c r="F683" s="37" t="s">
        <v>1011</v>
      </c>
      <c r="G683" s="452"/>
      <c r="H683" s="453"/>
      <c r="I683" s="325">
        <v>1067000</v>
      </c>
      <c r="J683" s="33">
        <v>143892</v>
      </c>
      <c r="K683" s="32" t="s">
        <v>71</v>
      </c>
      <c r="L683" s="32" t="s">
        <v>35</v>
      </c>
      <c r="M683" s="32">
        <v>200</v>
      </c>
      <c r="N683" s="356">
        <f>VLOOKUP(E683,'[2]Price list'!$A$2:$F$145,6,0)</f>
        <v>1067000</v>
      </c>
      <c r="O683" s="28" t="b">
        <f t="shared" si="21"/>
        <v>1</v>
      </c>
      <c r="R683" s="43"/>
      <c r="S683" s="43"/>
      <c r="T683" s="43"/>
      <c r="U683" s="449"/>
      <c r="V683" s="449"/>
      <c r="W683" s="43"/>
    </row>
    <row r="684" spans="2:23" s="28" customFormat="1" ht="16.5" customHeight="1">
      <c r="B684" s="20"/>
      <c r="C684" s="20"/>
      <c r="D684" s="448"/>
      <c r="E684" s="32">
        <v>143901</v>
      </c>
      <c r="F684" s="37" t="s">
        <v>1012</v>
      </c>
      <c r="G684" s="452"/>
      <c r="H684" s="453"/>
      <c r="I684" s="325">
        <v>728000</v>
      </c>
      <c r="J684" s="32">
        <v>143901</v>
      </c>
      <c r="K684" s="32" t="s">
        <v>71</v>
      </c>
      <c r="L684" s="32" t="s">
        <v>78</v>
      </c>
      <c r="M684" s="32">
        <v>200</v>
      </c>
      <c r="N684" s="356">
        <f>VLOOKUP(E684,'[2]Price list'!$A$2:$F$145,6,0)</f>
        <v>728000</v>
      </c>
      <c r="O684" s="28" t="b">
        <f t="shared" si="21"/>
        <v>1</v>
      </c>
      <c r="R684" s="43"/>
      <c r="S684" s="43"/>
      <c r="T684" s="43"/>
      <c r="U684" s="449"/>
      <c r="V684" s="449"/>
      <c r="W684" s="43"/>
    </row>
    <row r="685" spans="2:23" s="28" customFormat="1" ht="16.5" customHeight="1">
      <c r="B685" s="20"/>
      <c r="C685" s="20"/>
      <c r="D685" s="448"/>
      <c r="E685" s="32">
        <v>143902</v>
      </c>
      <c r="F685" s="37" t="s">
        <v>916</v>
      </c>
      <c r="G685" s="452"/>
      <c r="H685" s="453"/>
      <c r="I685" s="325">
        <v>76500</v>
      </c>
      <c r="J685" s="32">
        <v>143902</v>
      </c>
      <c r="K685" s="32" t="s">
        <v>70</v>
      </c>
      <c r="L685" s="32" t="s">
        <v>78</v>
      </c>
      <c r="M685" s="32">
        <v>20</v>
      </c>
      <c r="N685" s="356">
        <f>VLOOKUP(E685,'[2]Price list'!$A$2:$F$145,6,0)</f>
        <v>76500</v>
      </c>
      <c r="O685" s="28" t="b">
        <f t="shared" si="21"/>
        <v>1</v>
      </c>
      <c r="R685" s="43"/>
      <c r="S685" s="43"/>
      <c r="T685" s="43"/>
      <c r="U685" s="449"/>
      <c r="V685" s="449"/>
      <c r="W685" s="43"/>
    </row>
    <row r="686" spans="2:23" s="28" customFormat="1" ht="16.5" customHeight="1">
      <c r="B686" s="20"/>
      <c r="C686" s="20"/>
      <c r="D686" s="448"/>
      <c r="E686" s="32">
        <v>143903</v>
      </c>
      <c r="F686" s="37" t="s">
        <v>918</v>
      </c>
      <c r="G686" s="452"/>
      <c r="H686" s="453"/>
      <c r="I686" s="325">
        <v>66100</v>
      </c>
      <c r="J686" s="32">
        <v>143903</v>
      </c>
      <c r="K686" s="32" t="s">
        <v>73</v>
      </c>
      <c r="L686" s="32" t="s">
        <v>78</v>
      </c>
      <c r="M686" s="32">
        <v>16</v>
      </c>
      <c r="N686" s="356">
        <f>VLOOKUP(E686,'[2]Price list'!$A$2:$F$145,6,0)</f>
        <v>66100</v>
      </c>
      <c r="O686" s="28" t="b">
        <f t="shared" si="21"/>
        <v>1</v>
      </c>
      <c r="R686" s="43"/>
      <c r="S686" s="43"/>
      <c r="T686" s="43"/>
      <c r="U686" s="449"/>
      <c r="V686" s="449"/>
      <c r="W686" s="43"/>
    </row>
    <row r="687" spans="2:23" s="28" customFormat="1" ht="16.5" customHeight="1">
      <c r="B687" s="20"/>
      <c r="C687" s="20"/>
      <c r="D687" s="448"/>
      <c r="E687" s="32">
        <v>144160</v>
      </c>
      <c r="F687" s="37" t="s">
        <v>1014</v>
      </c>
      <c r="G687" s="452"/>
      <c r="H687" s="453"/>
      <c r="I687" s="325">
        <v>124000</v>
      </c>
      <c r="J687" s="33">
        <v>144160</v>
      </c>
      <c r="K687" s="32" t="s">
        <v>72</v>
      </c>
      <c r="L687" s="32" t="s">
        <v>35</v>
      </c>
      <c r="M687" s="32">
        <v>12</v>
      </c>
      <c r="N687" s="356" t="e">
        <f>VLOOKUP(E687,'[2]Price list'!$A$2:$F$145,6,0)</f>
        <v>#N/A</v>
      </c>
      <c r="O687" s="28" t="e">
        <f t="shared" si="21"/>
        <v>#N/A</v>
      </c>
      <c r="R687" s="43"/>
      <c r="S687" s="43"/>
      <c r="T687" s="43"/>
      <c r="U687" s="449"/>
      <c r="V687" s="449"/>
      <c r="W687" s="43"/>
    </row>
    <row r="688" spans="2:23" s="28" customFormat="1" ht="16.5" customHeight="1">
      <c r="B688" s="20"/>
      <c r="C688" s="20"/>
      <c r="D688" s="448"/>
      <c r="E688" s="32">
        <v>144185</v>
      </c>
      <c r="F688" s="37" t="s">
        <v>1015</v>
      </c>
      <c r="G688" s="452"/>
      <c r="H688" s="453"/>
      <c r="I688" s="325">
        <v>119000</v>
      </c>
      <c r="J688" s="33">
        <v>144185</v>
      </c>
      <c r="K688" s="32" t="s">
        <v>70</v>
      </c>
      <c r="L688" s="32" t="s">
        <v>1016</v>
      </c>
      <c r="M688" s="32">
        <v>20</v>
      </c>
      <c r="N688" s="356">
        <f>VLOOKUP(E688,'[2]Price list'!$A$2:$F$145,6,0)</f>
        <v>119000</v>
      </c>
      <c r="O688" s="28" t="b">
        <f t="shared" si="21"/>
        <v>1</v>
      </c>
      <c r="R688" s="43"/>
      <c r="S688" s="43"/>
      <c r="T688" s="43"/>
      <c r="U688" s="449"/>
      <c r="V688" s="449"/>
      <c r="W688" s="43"/>
    </row>
    <row r="689" spans="2:23" s="28" customFormat="1" ht="16.5" customHeight="1">
      <c r="B689" s="20"/>
      <c r="C689" s="20"/>
      <c r="D689" s="448"/>
      <c r="E689" s="32">
        <v>147643</v>
      </c>
      <c r="F689" s="520" t="s">
        <v>959</v>
      </c>
      <c r="G689" s="452"/>
      <c r="H689" s="453"/>
      <c r="I689" s="325">
        <v>666000</v>
      </c>
      <c r="J689" s="32">
        <v>144186</v>
      </c>
      <c r="K689" s="32" t="s">
        <v>71</v>
      </c>
      <c r="L689" s="32" t="s">
        <v>35</v>
      </c>
      <c r="M689" s="32">
        <v>200</v>
      </c>
      <c r="N689" s="356" t="e">
        <f>VLOOKUP(E689,'[2]Price list'!$A$2:$F$145,6,0)</f>
        <v>#N/A</v>
      </c>
      <c r="O689" s="28" t="e">
        <f t="shared" si="21"/>
        <v>#N/A</v>
      </c>
      <c r="R689" s="43"/>
      <c r="S689" s="43"/>
      <c r="T689" s="43"/>
      <c r="U689" s="449"/>
      <c r="V689" s="449"/>
      <c r="W689" s="43"/>
    </row>
    <row r="690" spans="2:23" s="28" customFormat="1" ht="16.5" customHeight="1">
      <c r="B690" s="20"/>
      <c r="C690" s="20"/>
      <c r="D690" s="448"/>
      <c r="E690" s="32">
        <v>147644</v>
      </c>
      <c r="F690" s="37" t="s">
        <v>1017</v>
      </c>
      <c r="G690" s="452"/>
      <c r="H690" s="453"/>
      <c r="I690" s="325">
        <v>69000</v>
      </c>
      <c r="J690" s="32">
        <v>144187</v>
      </c>
      <c r="K690" s="32" t="s">
        <v>70</v>
      </c>
      <c r="L690" s="32" t="s">
        <v>35</v>
      </c>
      <c r="M690" s="32">
        <v>20</v>
      </c>
      <c r="N690" s="356" t="e">
        <f>VLOOKUP(E690,'[2]Price list'!$A$2:$F$145,6,0)</f>
        <v>#N/A</v>
      </c>
      <c r="O690" s="28" t="e">
        <f t="shared" si="21"/>
        <v>#N/A</v>
      </c>
      <c r="R690" s="43"/>
      <c r="S690" s="43"/>
      <c r="T690" s="43"/>
      <c r="U690" s="449"/>
      <c r="V690" s="449"/>
      <c r="W690" s="43"/>
    </row>
    <row r="691" spans="2:23" s="28" customFormat="1" ht="16.5" customHeight="1">
      <c r="B691" s="20"/>
      <c r="C691" s="20"/>
      <c r="D691" s="448"/>
      <c r="E691" s="32">
        <v>147645</v>
      </c>
      <c r="F691" s="520" t="s">
        <v>1018</v>
      </c>
      <c r="G691" s="452"/>
      <c r="H691" s="453"/>
      <c r="I691" s="325">
        <v>47600</v>
      </c>
      <c r="J691" s="32">
        <v>144188</v>
      </c>
      <c r="K691" s="32" t="s">
        <v>72</v>
      </c>
      <c r="L691" s="32" t="s">
        <v>35</v>
      </c>
      <c r="M691" s="32">
        <v>12</v>
      </c>
      <c r="N691" s="356" t="e">
        <f>VLOOKUP(E691,'[2]Price list'!$A$2:$F$145,6,0)</f>
        <v>#N/A</v>
      </c>
      <c r="O691" s="28" t="e">
        <f t="shared" si="21"/>
        <v>#N/A</v>
      </c>
      <c r="R691" s="43"/>
      <c r="S691" s="43"/>
      <c r="T691" s="43"/>
      <c r="U691" s="449"/>
      <c r="V691" s="449"/>
      <c r="W691" s="43"/>
    </row>
    <row r="692" spans="2:23" s="28" customFormat="1" ht="16.5" customHeight="1">
      <c r="B692" s="20"/>
      <c r="C692" s="20"/>
      <c r="D692" s="448"/>
      <c r="E692" s="32">
        <v>144208</v>
      </c>
      <c r="F692" s="37" t="s">
        <v>1019</v>
      </c>
      <c r="G692" s="518"/>
      <c r="H692" s="519"/>
      <c r="I692" s="325">
        <v>78900</v>
      </c>
      <c r="J692" s="32">
        <v>144208</v>
      </c>
      <c r="K692" s="32" t="s">
        <v>72</v>
      </c>
      <c r="L692" s="32" t="s">
        <v>35</v>
      </c>
      <c r="M692" s="32">
        <v>12</v>
      </c>
      <c r="N692" s="356">
        <f>VLOOKUP(E692,'[2]Price list'!$A$2:$F$145,6,0)</f>
        <v>78900</v>
      </c>
      <c r="O692" s="28" t="b">
        <f t="shared" si="21"/>
        <v>1</v>
      </c>
      <c r="R692" s="43"/>
      <c r="S692" s="43"/>
      <c r="T692" s="43"/>
      <c r="U692" s="449"/>
      <c r="V692" s="449"/>
      <c r="W692" s="43"/>
    </row>
    <row r="693" spans="2:23" s="28" customFormat="1" ht="16.5" customHeight="1">
      <c r="B693" s="20"/>
      <c r="C693" s="20"/>
      <c r="D693" s="448"/>
      <c r="E693" s="32">
        <v>148675</v>
      </c>
      <c r="F693" s="37" t="s">
        <v>1020</v>
      </c>
      <c r="G693" s="452"/>
      <c r="H693" s="453"/>
      <c r="I693" s="325">
        <v>1067000</v>
      </c>
      <c r="J693" s="33">
        <v>148675</v>
      </c>
      <c r="K693" s="32" t="s">
        <v>71</v>
      </c>
      <c r="L693" s="32" t="s">
        <v>35</v>
      </c>
      <c r="M693" s="32">
        <v>200</v>
      </c>
      <c r="N693" s="356" t="e">
        <f>VLOOKUP(E693,'[2]Price list'!$A$2:$F$145,6,0)</f>
        <v>#N/A</v>
      </c>
      <c r="O693" s="28" t="e">
        <f t="shared" si="21"/>
        <v>#N/A</v>
      </c>
      <c r="R693" s="43"/>
      <c r="S693" s="43"/>
      <c r="T693" s="43"/>
      <c r="U693" s="449"/>
      <c r="V693" s="449"/>
      <c r="W693" s="43"/>
    </row>
    <row r="694" spans="2:23" s="28" customFormat="1" ht="16.5" customHeight="1">
      <c r="B694" s="20"/>
      <c r="C694" s="20"/>
      <c r="D694" s="448"/>
      <c r="E694" s="32">
        <v>144220</v>
      </c>
      <c r="F694" s="37" t="s">
        <v>935</v>
      </c>
      <c r="G694" s="452"/>
      <c r="H694" s="453"/>
      <c r="I694" s="325">
        <v>70100</v>
      </c>
      <c r="J694" s="33">
        <v>144220</v>
      </c>
      <c r="K694" s="32" t="s">
        <v>72</v>
      </c>
      <c r="L694" s="32" t="s">
        <v>35</v>
      </c>
      <c r="M694" s="32">
        <v>12</v>
      </c>
      <c r="N694" s="356">
        <f>VLOOKUP(E694,'[2]Price list'!$A$2:$F$145,6,0)</f>
        <v>70100</v>
      </c>
      <c r="O694" s="28" t="b">
        <f t="shared" si="21"/>
        <v>1</v>
      </c>
      <c r="R694" s="43"/>
      <c r="S694" s="43"/>
      <c r="T694" s="43"/>
      <c r="U694" s="449"/>
      <c r="V694" s="449"/>
      <c r="W694" s="43"/>
    </row>
    <row r="695" spans="2:23" s="28" customFormat="1" ht="16.5" customHeight="1">
      <c r="B695" s="20"/>
      <c r="C695" s="20"/>
      <c r="D695" s="448"/>
      <c r="E695" s="32">
        <v>148286</v>
      </c>
      <c r="F695" s="458" t="s">
        <v>914</v>
      </c>
      <c r="G695" s="452"/>
      <c r="H695" s="453"/>
      <c r="I695" s="325">
        <v>66500</v>
      </c>
      <c r="J695" s="33">
        <v>144255</v>
      </c>
      <c r="K695" s="32" t="s">
        <v>72</v>
      </c>
      <c r="L695" s="32" t="s">
        <v>35</v>
      </c>
      <c r="M695" s="32">
        <v>12</v>
      </c>
      <c r="N695" s="356" t="e">
        <f>VLOOKUP(E695,'[2]Price list'!$A$2:$F$145,6,0)</f>
        <v>#N/A</v>
      </c>
      <c r="O695" s="28" t="e">
        <f t="shared" si="21"/>
        <v>#N/A</v>
      </c>
      <c r="R695" s="43"/>
      <c r="S695" s="43"/>
      <c r="T695" s="43"/>
      <c r="U695" s="449"/>
      <c r="V695" s="449"/>
      <c r="W695" s="43"/>
    </row>
    <row r="696" spans="2:23" s="28" customFormat="1" ht="16.5" customHeight="1">
      <c r="B696" s="20"/>
      <c r="C696" s="20"/>
      <c r="D696" s="448"/>
      <c r="E696" s="32">
        <v>148287</v>
      </c>
      <c r="F696" s="37" t="s">
        <v>1021</v>
      </c>
      <c r="G696" s="452"/>
      <c r="H696" s="453"/>
      <c r="I696" s="325">
        <v>1021000</v>
      </c>
      <c r="J696" s="33">
        <v>144256</v>
      </c>
      <c r="K696" s="32" t="s">
        <v>71</v>
      </c>
      <c r="L696" s="32" t="s">
        <v>35</v>
      </c>
      <c r="M696" s="32">
        <v>200</v>
      </c>
      <c r="N696" s="356" t="e">
        <f>VLOOKUP(E696,'[2]Price list'!$A$2:$F$145,6,0)</f>
        <v>#N/A</v>
      </c>
      <c r="O696" s="28" t="e">
        <f t="shared" si="21"/>
        <v>#N/A</v>
      </c>
      <c r="R696" s="43"/>
      <c r="S696" s="43"/>
      <c r="T696" s="43"/>
      <c r="U696" s="449"/>
      <c r="V696" s="449"/>
      <c r="W696" s="43"/>
    </row>
    <row r="697" spans="2:23" s="28" customFormat="1" ht="16.5" customHeight="1">
      <c r="B697" s="20"/>
      <c r="C697" s="20"/>
      <c r="D697" s="448"/>
      <c r="E697" s="32">
        <v>144531</v>
      </c>
      <c r="F697" s="37" t="s">
        <v>941</v>
      </c>
      <c r="G697" s="452"/>
      <c r="H697" s="453"/>
      <c r="I697" s="325">
        <v>55200</v>
      </c>
      <c r="J697" s="33">
        <v>144531</v>
      </c>
      <c r="K697" s="32" t="s">
        <v>70</v>
      </c>
      <c r="L697" s="32" t="s">
        <v>78</v>
      </c>
      <c r="M697" s="32">
        <v>20</v>
      </c>
      <c r="N697" s="356">
        <f>VLOOKUP(E697,'[2]Price list'!$A$2:$F$145,6,0)</f>
        <v>55200</v>
      </c>
      <c r="O697" s="28" t="b">
        <f t="shared" si="21"/>
        <v>1</v>
      </c>
      <c r="R697" s="43"/>
      <c r="S697" s="43"/>
      <c r="T697" s="43"/>
      <c r="U697" s="449"/>
      <c r="V697" s="449"/>
      <c r="W697" s="43"/>
    </row>
    <row r="698" spans="2:23" s="28" customFormat="1" ht="16.5" customHeight="1">
      <c r="B698" s="20"/>
      <c r="C698" s="20"/>
      <c r="D698" s="448"/>
      <c r="E698" s="32">
        <v>144532</v>
      </c>
      <c r="F698" s="37" t="s">
        <v>1022</v>
      </c>
      <c r="G698" s="452"/>
      <c r="H698" s="453"/>
      <c r="I698" s="325">
        <v>520000</v>
      </c>
      <c r="J698" s="33">
        <v>144532</v>
      </c>
      <c r="K698" s="32" t="s">
        <v>71</v>
      </c>
      <c r="L698" s="32" t="s">
        <v>78</v>
      </c>
      <c r="M698" s="32">
        <v>200</v>
      </c>
      <c r="N698" s="356">
        <f>VLOOKUP(E698,'[2]Price list'!$A$2:$F$145,6,0)</f>
        <v>520000</v>
      </c>
      <c r="O698" s="28" t="b">
        <f t="shared" si="21"/>
        <v>1</v>
      </c>
      <c r="R698" s="43"/>
      <c r="S698" s="43"/>
      <c r="T698" s="43"/>
      <c r="U698" s="449"/>
      <c r="V698" s="449"/>
      <c r="W698" s="43"/>
    </row>
    <row r="699" spans="2:23" s="28" customFormat="1" ht="16.5" customHeight="1">
      <c r="B699" s="20"/>
      <c r="C699" s="20"/>
      <c r="D699" s="448"/>
      <c r="E699" s="32">
        <v>144506</v>
      </c>
      <c r="F699" s="37" t="s">
        <v>934</v>
      </c>
      <c r="G699" s="452"/>
      <c r="H699" s="453"/>
      <c r="I699" s="325">
        <v>55500</v>
      </c>
      <c r="J699" s="33">
        <v>144506</v>
      </c>
      <c r="K699" s="32" t="s">
        <v>72</v>
      </c>
      <c r="L699" s="32" t="s">
        <v>0</v>
      </c>
      <c r="M699" s="32">
        <v>16</v>
      </c>
      <c r="N699" s="356">
        <f>VLOOKUP(E699,'[2]Price list'!$A$2:$F$145,6,0)</f>
        <v>55500</v>
      </c>
      <c r="O699" s="28" t="b">
        <f t="shared" si="21"/>
        <v>1</v>
      </c>
      <c r="R699" s="43"/>
      <c r="S699" s="43"/>
      <c r="T699" s="43"/>
      <c r="U699" s="449"/>
      <c r="V699" s="449"/>
      <c r="W699" s="43"/>
    </row>
    <row r="700" spans="2:23" s="28" customFormat="1" ht="16.5" customHeight="1">
      <c r="B700" s="20"/>
      <c r="C700" s="20"/>
      <c r="D700" s="448"/>
      <c r="E700" s="32">
        <v>144508</v>
      </c>
      <c r="F700" s="37" t="s">
        <v>1005</v>
      </c>
      <c r="G700" s="452"/>
      <c r="H700" s="453"/>
      <c r="I700" s="325">
        <v>620000</v>
      </c>
      <c r="J700" s="33">
        <v>144508</v>
      </c>
      <c r="K700" s="32" t="s">
        <v>71</v>
      </c>
      <c r="L700" s="32" t="s">
        <v>0</v>
      </c>
      <c r="M700" s="32">
        <v>200</v>
      </c>
      <c r="N700" s="356">
        <f>VLOOKUP(E700,'[2]Price list'!$A$2:$F$145,6,0)</f>
        <v>620000</v>
      </c>
      <c r="O700" s="28" t="b">
        <f t="shared" si="21"/>
        <v>1</v>
      </c>
      <c r="R700" s="43"/>
      <c r="S700" s="43"/>
      <c r="T700" s="43"/>
      <c r="U700" s="449"/>
      <c r="V700" s="449"/>
      <c r="W700" s="43"/>
    </row>
    <row r="701" spans="2:23" s="28" customFormat="1" ht="16.5" customHeight="1">
      <c r="B701" s="20"/>
      <c r="C701" s="20"/>
      <c r="D701" s="448"/>
      <c r="E701" s="32">
        <v>144507</v>
      </c>
      <c r="F701" s="37" t="s">
        <v>940</v>
      </c>
      <c r="G701" s="452"/>
      <c r="H701" s="453"/>
      <c r="I701" s="325">
        <v>65600</v>
      </c>
      <c r="J701" s="33">
        <v>144507</v>
      </c>
      <c r="K701" s="32" t="s">
        <v>70</v>
      </c>
      <c r="L701" s="32" t="s">
        <v>0</v>
      </c>
      <c r="M701" s="32">
        <v>20</v>
      </c>
      <c r="N701" s="356">
        <f>VLOOKUP(E701,'[2]Price list'!$A$2:$F$145,6,0)</f>
        <v>65600</v>
      </c>
      <c r="O701" s="28" t="b">
        <f t="shared" si="21"/>
        <v>1</v>
      </c>
      <c r="R701" s="43"/>
      <c r="S701" s="43"/>
      <c r="T701" s="43"/>
      <c r="U701" s="449"/>
      <c r="V701" s="449"/>
      <c r="W701" s="43"/>
    </row>
    <row r="702" spans="2:23" s="28" customFormat="1" ht="16.5" customHeight="1">
      <c r="B702" s="20"/>
      <c r="C702" s="20"/>
      <c r="D702" s="448"/>
      <c r="E702" s="32">
        <v>141874</v>
      </c>
      <c r="F702" s="37" t="s">
        <v>1023</v>
      </c>
      <c r="G702" s="452"/>
      <c r="H702" s="453"/>
      <c r="I702" s="325">
        <v>200000</v>
      </c>
      <c r="J702" s="32">
        <v>141874</v>
      </c>
      <c r="K702" s="32" t="s">
        <v>70</v>
      </c>
      <c r="L702" s="32" t="s">
        <v>78</v>
      </c>
      <c r="M702" s="32">
        <v>20</v>
      </c>
      <c r="N702" s="356">
        <f>VLOOKUP(E702,'[2]Price list'!$A$2:$F$145,6,0)</f>
        <v>200000</v>
      </c>
      <c r="O702" s="28" t="b">
        <f t="shared" si="21"/>
        <v>1</v>
      </c>
      <c r="R702" s="43"/>
      <c r="S702" s="43"/>
      <c r="T702" s="43"/>
      <c r="U702" s="449"/>
      <c r="V702" s="449"/>
      <c r="W702" s="43"/>
    </row>
    <row r="703" spans="2:23" s="28" customFormat="1" ht="16.5" customHeight="1">
      <c r="B703" s="20"/>
      <c r="C703" s="20"/>
      <c r="D703" s="448"/>
      <c r="E703" s="32">
        <v>145476</v>
      </c>
      <c r="F703" s="37" t="s">
        <v>1024</v>
      </c>
      <c r="G703" s="452"/>
      <c r="H703" s="453"/>
      <c r="I703" s="62">
        <v>50300</v>
      </c>
      <c r="J703" s="32">
        <v>145476</v>
      </c>
      <c r="K703" s="32" t="s">
        <v>72</v>
      </c>
      <c r="L703" s="32" t="s">
        <v>35</v>
      </c>
      <c r="M703" s="32">
        <v>12</v>
      </c>
      <c r="N703" s="356">
        <f>VLOOKUP(E703,'[2]Price list'!$A$2:$F$145,6,0)</f>
        <v>50300</v>
      </c>
      <c r="O703" s="28" t="b">
        <f t="shared" si="21"/>
        <v>1</v>
      </c>
      <c r="R703" s="43"/>
      <c r="S703" s="43"/>
      <c r="T703" s="43"/>
      <c r="U703" s="449"/>
      <c r="V703" s="449"/>
      <c r="W703" s="43"/>
    </row>
    <row r="704" spans="2:23" s="28" customFormat="1" ht="16.5" customHeight="1">
      <c r="B704" s="20"/>
      <c r="C704" s="20"/>
      <c r="D704" s="448"/>
      <c r="E704" s="32">
        <v>145477</v>
      </c>
      <c r="F704" s="37" t="s">
        <v>1025</v>
      </c>
      <c r="G704" s="452"/>
      <c r="H704" s="453"/>
      <c r="I704" s="325">
        <v>755000</v>
      </c>
      <c r="J704" s="32">
        <v>145477</v>
      </c>
      <c r="K704" s="32" t="s">
        <v>71</v>
      </c>
      <c r="L704" s="32" t="s">
        <v>35</v>
      </c>
      <c r="M704" s="32">
        <v>200</v>
      </c>
      <c r="N704" s="356">
        <f>VLOOKUP(E704,'[2]Price list'!$A$2:$F$145,6,0)</f>
        <v>755000</v>
      </c>
      <c r="O704" s="28" t="b">
        <f t="shared" si="21"/>
        <v>1</v>
      </c>
      <c r="R704" s="43"/>
      <c r="S704" s="43"/>
      <c r="T704" s="43"/>
      <c r="U704" s="449"/>
      <c r="V704" s="449"/>
      <c r="W704" s="43"/>
    </row>
    <row r="705" spans="2:24" s="28" customFormat="1" ht="16.5" customHeight="1">
      <c r="B705" s="20"/>
      <c r="C705" s="20"/>
      <c r="D705" s="448"/>
      <c r="E705" s="32">
        <v>145419</v>
      </c>
      <c r="F705" s="37" t="s">
        <v>1026</v>
      </c>
      <c r="G705" s="452"/>
      <c r="H705" s="453"/>
      <c r="I705" s="325">
        <v>44500</v>
      </c>
      <c r="J705" s="32">
        <v>145419</v>
      </c>
      <c r="K705" s="32" t="s">
        <v>73</v>
      </c>
      <c r="L705" s="32" t="s">
        <v>0</v>
      </c>
      <c r="M705" s="32">
        <v>16</v>
      </c>
      <c r="N705" s="356">
        <f>VLOOKUP(E705,'[2]Price list'!$A$2:$F$145,6,0)</f>
        <v>45900</v>
      </c>
      <c r="O705" s="28" t="b">
        <f t="shared" si="21"/>
        <v>0</v>
      </c>
      <c r="R705" s="43"/>
      <c r="S705" s="43"/>
      <c r="T705" s="43"/>
      <c r="U705" s="449"/>
      <c r="V705" s="449"/>
      <c r="W705" s="43"/>
    </row>
    <row r="706" spans="2:24" s="28" customFormat="1" ht="16.5" customHeight="1">
      <c r="B706" s="20"/>
      <c r="C706" s="20"/>
      <c r="D706" s="448"/>
      <c r="E706" s="32">
        <v>143222</v>
      </c>
      <c r="F706" s="37" t="s">
        <v>1027</v>
      </c>
      <c r="G706" s="452"/>
      <c r="H706" s="453"/>
      <c r="I706" s="325">
        <v>48000</v>
      </c>
      <c r="J706" s="33">
        <v>143222</v>
      </c>
      <c r="K706" s="32" t="s">
        <v>73</v>
      </c>
      <c r="L706" s="32" t="s">
        <v>35</v>
      </c>
      <c r="M706" s="32">
        <v>16</v>
      </c>
      <c r="N706" s="356">
        <f>VLOOKUP(E706,'[2]Price list'!$A$2:$F$145,6,0)</f>
        <v>48000</v>
      </c>
      <c r="O706" s="28" t="b">
        <f t="shared" si="21"/>
        <v>1</v>
      </c>
      <c r="R706" s="43"/>
      <c r="S706" s="43"/>
      <c r="T706" s="43"/>
      <c r="U706" s="449"/>
      <c r="V706" s="449"/>
      <c r="W706" s="43"/>
    </row>
    <row r="707" spans="2:24" s="28" customFormat="1" ht="16.5" customHeight="1">
      <c r="B707" s="20"/>
      <c r="C707" s="20"/>
      <c r="D707" s="448"/>
      <c r="E707" s="32">
        <v>145991</v>
      </c>
      <c r="F707" s="37" t="s">
        <v>1028</v>
      </c>
      <c r="G707" s="452"/>
      <c r="H707" s="453"/>
      <c r="I707" s="325">
        <v>34300</v>
      </c>
      <c r="J707" s="33">
        <v>145991</v>
      </c>
      <c r="K707" s="32" t="s">
        <v>70</v>
      </c>
      <c r="L707" s="32" t="s">
        <v>34</v>
      </c>
      <c r="M707" s="32">
        <v>20</v>
      </c>
      <c r="N707" s="356">
        <f>VLOOKUP(E707,'[2]Price list'!$A$2:$F$145,6,0)</f>
        <v>34200</v>
      </c>
      <c r="O707" s="28" t="b">
        <f t="shared" si="21"/>
        <v>0</v>
      </c>
      <c r="R707" s="43"/>
      <c r="S707" s="43"/>
      <c r="T707" s="43"/>
      <c r="U707" s="449"/>
      <c r="V707" s="449"/>
      <c r="W707" s="43"/>
    </row>
    <row r="708" spans="2:24" s="28" customFormat="1" ht="16.5" customHeight="1">
      <c r="B708" s="20"/>
      <c r="C708" s="20"/>
      <c r="D708" s="448"/>
      <c r="E708" s="32">
        <v>146012</v>
      </c>
      <c r="F708" s="37" t="s">
        <v>1029</v>
      </c>
      <c r="G708" s="452"/>
      <c r="H708" s="453"/>
      <c r="I708" s="62">
        <v>41300</v>
      </c>
      <c r="J708" s="32">
        <v>146012</v>
      </c>
      <c r="K708" s="32" t="s">
        <v>73</v>
      </c>
      <c r="L708" s="32" t="s">
        <v>35</v>
      </c>
      <c r="M708" s="32">
        <v>16</v>
      </c>
      <c r="N708" s="356">
        <f>VLOOKUP(E708,'[2]Price list'!$A$2:$F$145,6,0)</f>
        <v>41300</v>
      </c>
      <c r="O708" s="28" t="b">
        <f t="shared" si="21"/>
        <v>1</v>
      </c>
      <c r="R708" s="43"/>
      <c r="S708" s="43"/>
      <c r="T708" s="43"/>
      <c r="U708" s="449"/>
      <c r="V708" s="449"/>
      <c r="W708" s="43"/>
    </row>
    <row r="709" spans="2:24" s="28" customFormat="1" ht="16.5" customHeight="1">
      <c r="B709" s="20"/>
      <c r="C709" s="20"/>
      <c r="D709" s="448"/>
      <c r="E709" s="32">
        <v>148162</v>
      </c>
      <c r="F709" s="37" t="s">
        <v>1030</v>
      </c>
      <c r="G709" s="452"/>
      <c r="H709" s="453"/>
      <c r="I709" s="325">
        <v>456000</v>
      </c>
      <c r="J709" s="32">
        <v>148162</v>
      </c>
      <c r="K709" s="32" t="s">
        <v>71</v>
      </c>
      <c r="L709" s="32" t="s">
        <v>35</v>
      </c>
      <c r="M709" s="32">
        <v>200</v>
      </c>
      <c r="N709" s="356" t="e">
        <f>VLOOKUP(E709,'[2]Price list'!$A$2:$F$145,6,0)</f>
        <v>#N/A</v>
      </c>
      <c r="O709" s="28" t="e">
        <f t="shared" si="21"/>
        <v>#N/A</v>
      </c>
      <c r="R709" s="43"/>
      <c r="S709" s="43"/>
      <c r="T709" s="43"/>
      <c r="U709" s="449"/>
      <c r="V709" s="449"/>
      <c r="W709" s="43"/>
    </row>
    <row r="710" spans="2:24" s="28" customFormat="1" ht="16.5" customHeight="1">
      <c r="B710" s="20"/>
      <c r="C710" s="20"/>
      <c r="D710" s="448"/>
      <c r="E710" s="282">
        <v>145921</v>
      </c>
      <c r="F710" s="37" t="s">
        <v>988</v>
      </c>
      <c r="G710" s="452"/>
      <c r="H710" s="453"/>
      <c r="I710" s="62">
        <v>118000</v>
      </c>
      <c r="J710" s="282">
        <v>145921</v>
      </c>
      <c r="K710" s="32" t="s">
        <v>73</v>
      </c>
      <c r="L710" s="32" t="s">
        <v>35</v>
      </c>
      <c r="M710" s="32">
        <v>12</v>
      </c>
      <c r="N710" s="356" t="e">
        <f>VLOOKUP(E710,'[2]Price list'!$A$2:$F$145,6,0)</f>
        <v>#N/A</v>
      </c>
      <c r="O710" s="28" t="e">
        <f t="shared" si="21"/>
        <v>#N/A</v>
      </c>
      <c r="R710" s="43"/>
      <c r="S710" s="43"/>
      <c r="T710" s="43"/>
      <c r="U710" s="449"/>
      <c r="V710" s="449"/>
      <c r="W710" s="43"/>
    </row>
    <row r="711" spans="2:24" s="28" customFormat="1" ht="16.5" customHeight="1">
      <c r="B711" s="20"/>
      <c r="C711" s="20"/>
      <c r="D711" s="448"/>
      <c r="E711" s="32">
        <v>145920</v>
      </c>
      <c r="F711" s="37" t="s">
        <v>1031</v>
      </c>
      <c r="G711" s="452"/>
      <c r="H711" s="453"/>
      <c r="I711" s="62">
        <v>118000</v>
      </c>
      <c r="J711" s="32">
        <v>145920</v>
      </c>
      <c r="K711" s="32" t="s">
        <v>73</v>
      </c>
      <c r="L711" s="32" t="s">
        <v>35</v>
      </c>
      <c r="M711" s="32">
        <v>12</v>
      </c>
      <c r="N711" s="356" t="e">
        <f>VLOOKUP(E711,'[2]Price list'!$A$2:$F$145,6,0)</f>
        <v>#N/A</v>
      </c>
      <c r="O711" s="28" t="e">
        <f t="shared" si="21"/>
        <v>#N/A</v>
      </c>
      <c r="R711" s="43"/>
      <c r="S711" s="43"/>
      <c r="T711" s="43"/>
      <c r="U711" s="449"/>
      <c r="V711" s="449"/>
      <c r="W711" s="43"/>
      <c r="X711" s="42"/>
    </row>
    <row r="712" spans="2:24" s="28" customFormat="1" ht="16.5" customHeight="1">
      <c r="B712" s="20"/>
      <c r="C712" s="20"/>
      <c r="D712" s="448"/>
      <c r="E712" s="32">
        <v>146254</v>
      </c>
      <c r="F712" s="37" t="s">
        <v>167</v>
      </c>
      <c r="G712" s="452"/>
      <c r="H712" s="453"/>
      <c r="I712" s="62">
        <v>118000</v>
      </c>
      <c r="J712" s="33">
        <v>146254</v>
      </c>
      <c r="K712" s="32" t="s">
        <v>73</v>
      </c>
      <c r="L712" s="32" t="s">
        <v>35</v>
      </c>
      <c r="M712" s="32">
        <v>12</v>
      </c>
      <c r="N712" s="356">
        <f>VLOOKUP(E712,'[2]Price list'!$A$2:$F$145,6,0)</f>
        <v>118000</v>
      </c>
      <c r="O712" s="28" t="b">
        <f t="shared" si="21"/>
        <v>1</v>
      </c>
      <c r="R712" s="43"/>
      <c r="S712" s="43"/>
      <c r="T712" s="43"/>
      <c r="U712" s="449"/>
      <c r="V712" s="449"/>
      <c r="W712" s="43"/>
      <c r="X712" s="42"/>
    </row>
    <row r="713" spans="2:24" s="28" customFormat="1" ht="16.5" customHeight="1">
      <c r="B713" s="20"/>
      <c r="C713" s="20"/>
      <c r="D713" s="448"/>
      <c r="E713" s="32">
        <v>146235</v>
      </c>
      <c r="F713" s="37" t="s">
        <v>1032</v>
      </c>
      <c r="G713" s="452"/>
      <c r="H713" s="453"/>
      <c r="I713" s="62">
        <v>124000</v>
      </c>
      <c r="J713" s="33">
        <v>146235</v>
      </c>
      <c r="K713" s="32" t="s">
        <v>73</v>
      </c>
      <c r="L713" s="32" t="s">
        <v>35</v>
      </c>
      <c r="M713" s="32">
        <v>12</v>
      </c>
      <c r="N713" s="356">
        <f>VLOOKUP(E713,'[2]Price list'!$A$2:$F$145,6,0)</f>
        <v>124000</v>
      </c>
      <c r="O713" s="28" t="b">
        <f t="shared" si="21"/>
        <v>1</v>
      </c>
      <c r="R713" s="43"/>
      <c r="S713" s="43"/>
      <c r="T713" s="43"/>
      <c r="U713" s="449"/>
      <c r="V713" s="449"/>
      <c r="W713" s="43"/>
    </row>
    <row r="714" spans="2:24" s="28" customFormat="1" ht="16.5" customHeight="1">
      <c r="B714" s="20"/>
      <c r="C714" s="20"/>
      <c r="D714" s="448"/>
      <c r="E714" s="32">
        <v>146272</v>
      </c>
      <c r="F714" s="37" t="s">
        <v>1033</v>
      </c>
      <c r="G714" s="452"/>
      <c r="H714" s="453"/>
      <c r="I714" s="62">
        <v>118000</v>
      </c>
      <c r="J714" s="33">
        <v>146272</v>
      </c>
      <c r="K714" s="32" t="s">
        <v>73</v>
      </c>
      <c r="L714" s="32" t="s">
        <v>35</v>
      </c>
      <c r="M714" s="32">
        <v>12</v>
      </c>
      <c r="N714" s="356" t="e">
        <f>VLOOKUP(E714,'[2]Price list'!$A$2:$F$145,6,0)</f>
        <v>#N/A</v>
      </c>
      <c r="O714" s="28" t="e">
        <f t="shared" si="21"/>
        <v>#N/A</v>
      </c>
      <c r="R714" s="43"/>
      <c r="S714" s="43"/>
      <c r="T714" s="43"/>
      <c r="U714" s="449"/>
      <c r="V714" s="449"/>
      <c r="W714" s="43"/>
      <c r="X714" s="42"/>
    </row>
    <row r="715" spans="2:24" s="28" customFormat="1" ht="16.5" customHeight="1">
      <c r="B715" s="20"/>
      <c r="C715" s="20"/>
      <c r="D715" s="448"/>
      <c r="E715" s="32">
        <v>148681</v>
      </c>
      <c r="F715" s="37" t="s">
        <v>1034</v>
      </c>
      <c r="G715" s="452"/>
      <c r="H715" s="453"/>
      <c r="I715" s="325">
        <v>65400</v>
      </c>
      <c r="J715" s="33">
        <v>148681</v>
      </c>
      <c r="K715" s="32" t="s">
        <v>70</v>
      </c>
      <c r="L715" s="32" t="s">
        <v>0</v>
      </c>
      <c r="M715" s="32">
        <v>20</v>
      </c>
      <c r="N715" s="356" t="e">
        <f>VLOOKUP(E715,'[2]Price list'!$A$2:$F$145,6,0)</f>
        <v>#N/A</v>
      </c>
      <c r="O715" s="28" t="e">
        <f t="shared" si="21"/>
        <v>#N/A</v>
      </c>
      <c r="R715" s="43"/>
      <c r="S715" s="43"/>
      <c r="T715" s="43"/>
      <c r="U715" s="449"/>
      <c r="V715" s="449"/>
      <c r="W715" s="43"/>
    </row>
    <row r="716" spans="2:24" s="28" customFormat="1" ht="16.5" customHeight="1">
      <c r="B716" s="20"/>
      <c r="C716" s="20"/>
      <c r="D716" s="448"/>
      <c r="E716" s="32">
        <v>146703</v>
      </c>
      <c r="F716" s="37" t="s">
        <v>1035</v>
      </c>
      <c r="G716" s="452"/>
      <c r="H716" s="453"/>
      <c r="I716" s="325">
        <v>635000</v>
      </c>
      <c r="J716" s="33">
        <v>146703</v>
      </c>
      <c r="K716" s="32" t="s">
        <v>103</v>
      </c>
      <c r="L716" s="32" t="s">
        <v>0</v>
      </c>
      <c r="M716" s="32">
        <v>200</v>
      </c>
      <c r="N716" s="356">
        <f>VLOOKUP(E716,'[2]Price list'!$A$2:$F$145,6,0)</f>
        <v>635000</v>
      </c>
      <c r="O716" s="28" t="b">
        <f t="shared" si="21"/>
        <v>1</v>
      </c>
      <c r="R716" s="43"/>
      <c r="S716" s="43"/>
      <c r="T716" s="43"/>
      <c r="U716" s="449"/>
      <c r="V716" s="449"/>
      <c r="W716" s="43"/>
    </row>
    <row r="717" spans="2:24" s="28" customFormat="1" ht="16.5" customHeight="1">
      <c r="B717" s="20"/>
      <c r="C717" s="20"/>
      <c r="D717" s="448"/>
      <c r="E717" s="32">
        <v>147644</v>
      </c>
      <c r="F717" s="37" t="s">
        <v>1037</v>
      </c>
      <c r="G717" s="452"/>
      <c r="H717" s="453"/>
      <c r="I717" s="62">
        <v>69000</v>
      </c>
      <c r="J717" s="33">
        <v>147644</v>
      </c>
      <c r="K717" s="32" t="s">
        <v>1038</v>
      </c>
      <c r="L717" s="32" t="s">
        <v>0</v>
      </c>
      <c r="M717" s="32">
        <v>20</v>
      </c>
      <c r="N717" s="356"/>
      <c r="R717" s="43"/>
      <c r="S717" s="43"/>
      <c r="T717" s="43"/>
      <c r="U717" s="449"/>
      <c r="V717" s="449"/>
      <c r="W717" s="43"/>
      <c r="X717" s="42"/>
    </row>
    <row r="718" spans="2:24" s="28" customFormat="1" ht="16.5" customHeight="1">
      <c r="B718" s="20"/>
      <c r="C718" s="20"/>
      <c r="D718" s="448"/>
      <c r="E718" s="32">
        <v>146718</v>
      </c>
      <c r="F718" s="37" t="s">
        <v>1039</v>
      </c>
      <c r="G718" s="452"/>
      <c r="H718" s="453"/>
      <c r="I718" s="62">
        <v>131000</v>
      </c>
      <c r="J718" s="32">
        <v>146718</v>
      </c>
      <c r="K718" s="421" t="s">
        <v>70</v>
      </c>
      <c r="L718" s="32" t="s">
        <v>35</v>
      </c>
      <c r="M718" s="32">
        <v>20</v>
      </c>
      <c r="N718" s="356"/>
      <c r="R718" s="43"/>
      <c r="S718" s="43"/>
      <c r="T718" s="43"/>
      <c r="U718" s="449"/>
      <c r="V718" s="449"/>
      <c r="W718" s="43"/>
      <c r="X718" s="42"/>
    </row>
    <row r="719" spans="2:24" s="28" customFormat="1" ht="16.5" customHeight="1">
      <c r="B719" s="20"/>
      <c r="C719" s="20"/>
      <c r="D719" s="448"/>
      <c r="E719" s="521">
        <v>147963</v>
      </c>
      <c r="F719" s="522" t="s">
        <v>1040</v>
      </c>
      <c r="G719" s="452"/>
      <c r="H719" s="453"/>
      <c r="I719" s="523">
        <v>60100</v>
      </c>
      <c r="J719" s="521">
        <v>147963</v>
      </c>
      <c r="K719" s="32" t="s">
        <v>73</v>
      </c>
      <c r="L719" s="32" t="s">
        <v>35</v>
      </c>
      <c r="M719" s="32">
        <v>12</v>
      </c>
      <c r="N719" s="356"/>
      <c r="R719" s="43"/>
      <c r="S719" s="43"/>
      <c r="T719" s="43"/>
      <c r="U719" s="449"/>
      <c r="V719" s="449"/>
      <c r="W719" s="43"/>
      <c r="X719" s="42"/>
    </row>
    <row r="720" spans="2:24" s="28" customFormat="1" ht="16.5" customHeight="1">
      <c r="B720" s="20"/>
      <c r="C720" s="20"/>
      <c r="D720" s="448"/>
      <c r="E720" s="524">
        <v>147384</v>
      </c>
      <c r="F720" s="522" t="s">
        <v>1041</v>
      </c>
      <c r="G720" s="452"/>
      <c r="H720" s="453"/>
      <c r="I720" s="325">
        <v>124000</v>
      </c>
      <c r="J720" s="524">
        <v>147384</v>
      </c>
      <c r="K720" s="525" t="s">
        <v>73</v>
      </c>
      <c r="L720" s="32" t="s">
        <v>35</v>
      </c>
      <c r="M720" s="32">
        <v>12</v>
      </c>
      <c r="N720" s="356"/>
      <c r="R720" s="43"/>
      <c r="S720" s="43"/>
      <c r="T720" s="43"/>
      <c r="U720" s="449"/>
      <c r="V720" s="449"/>
      <c r="W720" s="43"/>
      <c r="X720" s="42"/>
    </row>
    <row r="721" spans="2:24" s="28" customFormat="1" ht="16.5" customHeight="1">
      <c r="B721" s="20"/>
      <c r="C721" s="20"/>
      <c r="D721" s="448"/>
      <c r="E721" s="32">
        <v>135477</v>
      </c>
      <c r="F721" s="37" t="s">
        <v>900</v>
      </c>
      <c r="G721" s="452"/>
      <c r="H721" s="453"/>
      <c r="I721" s="62">
        <v>2142400</v>
      </c>
      <c r="J721" s="33">
        <v>135477</v>
      </c>
      <c r="K721" s="32" t="s">
        <v>71</v>
      </c>
      <c r="L721" s="32" t="s">
        <v>35</v>
      </c>
      <c r="M721" s="32">
        <v>208</v>
      </c>
      <c r="N721" s="356"/>
      <c r="R721" s="43"/>
      <c r="S721" s="43"/>
      <c r="T721" s="43"/>
      <c r="U721" s="449"/>
      <c r="V721" s="449"/>
      <c r="W721" s="43"/>
      <c r="X721" s="42"/>
    </row>
    <row r="722" spans="2:24" s="28" customFormat="1" ht="16.5" customHeight="1">
      <c r="B722" s="20"/>
      <c r="C722" s="20"/>
      <c r="D722" s="448"/>
      <c r="E722" s="526">
        <v>138813</v>
      </c>
      <c r="F722" s="622" t="s">
        <v>1042</v>
      </c>
      <c r="G722" s="623"/>
      <c r="H722" s="624"/>
      <c r="I722" s="527">
        <v>76700</v>
      </c>
      <c r="J722" s="526">
        <v>138813</v>
      </c>
      <c r="K722" s="525" t="s">
        <v>73</v>
      </c>
      <c r="L722" s="32"/>
      <c r="M722" s="32">
        <v>12</v>
      </c>
      <c r="N722" s="356"/>
      <c r="R722" s="43"/>
      <c r="S722" s="43"/>
      <c r="T722" s="43"/>
      <c r="U722" s="449"/>
      <c r="V722" s="449"/>
      <c r="W722" s="43"/>
      <c r="X722" s="42"/>
    </row>
    <row r="723" spans="2:24" s="28" customFormat="1" ht="16.5" customHeight="1">
      <c r="B723" s="20"/>
      <c r="C723" s="20"/>
      <c r="D723" s="448"/>
      <c r="E723" s="32">
        <v>146719</v>
      </c>
      <c r="F723" s="37" t="s">
        <v>1043</v>
      </c>
      <c r="G723" s="452"/>
      <c r="H723" s="453"/>
      <c r="I723" s="62">
        <v>107800</v>
      </c>
      <c r="J723" s="33">
        <v>146719</v>
      </c>
      <c r="K723" s="525" t="s">
        <v>73</v>
      </c>
      <c r="L723" s="32" t="s">
        <v>35</v>
      </c>
      <c r="M723" s="32">
        <v>12</v>
      </c>
      <c r="N723" s="356"/>
      <c r="R723" s="43"/>
      <c r="S723" s="43"/>
      <c r="T723" s="43"/>
      <c r="U723" s="449"/>
      <c r="V723" s="449"/>
      <c r="W723" s="43"/>
      <c r="X723" s="42"/>
    </row>
    <row r="724" spans="2:24" s="28" customFormat="1" ht="16.5" customHeight="1">
      <c r="B724" s="20"/>
      <c r="C724" s="20"/>
      <c r="D724" s="448"/>
      <c r="E724" s="32">
        <v>147999</v>
      </c>
      <c r="F724" s="37" t="s">
        <v>1044</v>
      </c>
      <c r="G724" s="452"/>
      <c r="H724" s="453"/>
      <c r="I724" s="325">
        <v>1960000</v>
      </c>
      <c r="J724" s="33">
        <v>147999</v>
      </c>
      <c r="K724" s="32" t="s">
        <v>71</v>
      </c>
      <c r="L724" s="32" t="s">
        <v>35</v>
      </c>
      <c r="M724" s="32">
        <v>200</v>
      </c>
      <c r="N724" s="356"/>
      <c r="Q724" s="28">
        <v>1960000</v>
      </c>
      <c r="R724" s="43"/>
      <c r="S724" s="43"/>
      <c r="T724" s="43"/>
      <c r="U724" s="449"/>
      <c r="V724" s="449"/>
      <c r="W724" s="43"/>
      <c r="X724" s="42"/>
    </row>
    <row r="725" spans="2:24" s="28" customFormat="1" ht="16.5" customHeight="1">
      <c r="B725" s="20"/>
      <c r="C725" s="20"/>
      <c r="D725" s="448"/>
      <c r="E725" s="32">
        <v>147988</v>
      </c>
      <c r="F725" s="37" t="s">
        <v>1045</v>
      </c>
      <c r="G725" s="452"/>
      <c r="H725" s="453"/>
      <c r="I725" s="62">
        <v>100200</v>
      </c>
      <c r="J725" s="32">
        <v>147988</v>
      </c>
      <c r="K725" s="421" t="s">
        <v>70</v>
      </c>
      <c r="L725" s="32" t="s">
        <v>0</v>
      </c>
      <c r="M725" s="32">
        <v>20</v>
      </c>
      <c r="N725" s="356"/>
      <c r="R725" s="43"/>
      <c r="S725" s="43"/>
      <c r="T725" s="43"/>
      <c r="U725" s="449"/>
      <c r="V725" s="449"/>
      <c r="W725" s="43"/>
      <c r="X725" s="42"/>
    </row>
    <row r="726" spans="2:24" s="28" customFormat="1" ht="16.5" customHeight="1">
      <c r="B726" s="20"/>
      <c r="C726" s="20"/>
      <c r="D726" s="448"/>
      <c r="E726" s="32">
        <v>147987</v>
      </c>
      <c r="F726" s="37" t="s">
        <v>1046</v>
      </c>
      <c r="G726" s="452"/>
      <c r="H726" s="453"/>
      <c r="I726" s="62">
        <v>969000</v>
      </c>
      <c r="J726" s="32">
        <v>147987</v>
      </c>
      <c r="K726" s="32" t="s">
        <v>71</v>
      </c>
      <c r="L726" s="32" t="s">
        <v>0</v>
      </c>
      <c r="M726" s="32">
        <v>200</v>
      </c>
      <c r="N726" s="356"/>
      <c r="R726" s="43"/>
      <c r="S726" s="43"/>
      <c r="T726" s="43"/>
      <c r="U726" s="449"/>
      <c r="V726" s="449"/>
      <c r="W726" s="43"/>
      <c r="X726" s="42"/>
    </row>
    <row r="727" spans="2:24" s="28" customFormat="1" ht="16.5" customHeight="1">
      <c r="B727" s="20"/>
      <c r="C727" s="20"/>
      <c r="D727" s="448"/>
      <c r="E727" s="32">
        <v>147989</v>
      </c>
      <c r="F727" s="37" t="s">
        <v>1047</v>
      </c>
      <c r="G727" s="452"/>
      <c r="H727" s="453"/>
      <c r="I727" s="62">
        <v>82700</v>
      </c>
      <c r="J727" s="32">
        <v>147989</v>
      </c>
      <c r="K727" s="32" t="s">
        <v>73</v>
      </c>
      <c r="L727" s="32" t="s">
        <v>0</v>
      </c>
      <c r="M727" s="32">
        <v>16</v>
      </c>
      <c r="N727" s="356"/>
      <c r="R727" s="43"/>
      <c r="S727" s="43"/>
      <c r="T727" s="43"/>
      <c r="U727" s="449"/>
      <c r="V727" s="449"/>
      <c r="W727" s="43"/>
      <c r="X727" s="42"/>
    </row>
    <row r="728" spans="2:24" s="28" customFormat="1" ht="16.5" customHeight="1">
      <c r="B728" s="20"/>
      <c r="C728" s="20"/>
      <c r="D728" s="448"/>
      <c r="E728" s="32">
        <v>147958</v>
      </c>
      <c r="F728" s="37" t="s">
        <v>1048</v>
      </c>
      <c r="G728" s="452"/>
      <c r="H728" s="453"/>
      <c r="I728" s="62">
        <v>124000</v>
      </c>
      <c r="J728" s="32">
        <v>143958</v>
      </c>
      <c r="K728" s="32" t="s">
        <v>73</v>
      </c>
      <c r="L728" s="32" t="s">
        <v>976</v>
      </c>
      <c r="M728" s="32">
        <v>12</v>
      </c>
      <c r="N728" s="356"/>
      <c r="R728" s="43"/>
      <c r="S728" s="43"/>
      <c r="T728" s="43"/>
      <c r="U728" s="449"/>
      <c r="V728" s="449"/>
      <c r="W728" s="43"/>
      <c r="X728" s="42"/>
    </row>
    <row r="729" spans="2:24" s="28" customFormat="1" ht="16.5" customHeight="1">
      <c r="B729" s="20"/>
      <c r="C729" s="20"/>
      <c r="D729" s="448"/>
      <c r="E729" s="32">
        <v>147961</v>
      </c>
      <c r="F729" s="37" t="s">
        <v>1049</v>
      </c>
      <c r="G729" s="452"/>
      <c r="H729" s="453"/>
      <c r="I729" s="62">
        <v>124000</v>
      </c>
      <c r="J729" s="33">
        <v>147961</v>
      </c>
      <c r="K729" s="32" t="s">
        <v>73</v>
      </c>
      <c r="L729" s="32" t="s">
        <v>976</v>
      </c>
      <c r="M729" s="32">
        <v>12</v>
      </c>
      <c r="N729" s="356"/>
      <c r="R729" s="43"/>
      <c r="S729" s="43"/>
      <c r="T729" s="43"/>
      <c r="U729" s="449"/>
      <c r="V729" s="449"/>
      <c r="W729" s="43"/>
      <c r="X729" s="42"/>
    </row>
    <row r="730" spans="2:24" s="28" customFormat="1" ht="16.5" customHeight="1">
      <c r="B730" s="20"/>
      <c r="C730" s="20"/>
      <c r="D730" s="448"/>
      <c r="E730" s="32">
        <v>148159</v>
      </c>
      <c r="F730" s="37" t="s">
        <v>716</v>
      </c>
      <c r="G730" s="452"/>
      <c r="H730" s="453"/>
      <c r="I730" s="325">
        <v>512000</v>
      </c>
      <c r="J730" s="33">
        <v>148159</v>
      </c>
      <c r="K730" s="32" t="s">
        <v>71</v>
      </c>
      <c r="L730" s="32" t="s">
        <v>35</v>
      </c>
      <c r="M730" s="32">
        <v>200</v>
      </c>
      <c r="N730" s="356" t="e">
        <f>VLOOKUP(E730,'[2]Price list'!$A$2:$F$145,6,0)</f>
        <v>#N/A</v>
      </c>
      <c r="O730" s="28" t="e">
        <f t="shared" ref="O730:O731" si="22">I730=N730</f>
        <v>#N/A</v>
      </c>
      <c r="R730" s="43"/>
      <c r="S730" s="43"/>
      <c r="T730" s="43"/>
      <c r="U730" s="449"/>
      <c r="V730" s="449"/>
      <c r="W730" s="43"/>
    </row>
    <row r="731" spans="2:24" s="28" customFormat="1" ht="16.5" customHeight="1">
      <c r="B731" s="20"/>
      <c r="C731" s="20"/>
      <c r="D731" s="448"/>
      <c r="E731" s="32">
        <v>144619</v>
      </c>
      <c r="F731" s="37" t="s">
        <v>1050</v>
      </c>
      <c r="G731" s="452"/>
      <c r="H731" s="453"/>
      <c r="I731" s="325">
        <v>755000</v>
      </c>
      <c r="J731" s="33">
        <v>144619</v>
      </c>
      <c r="K731" s="32" t="s">
        <v>71</v>
      </c>
      <c r="L731" s="32" t="s">
        <v>35</v>
      </c>
      <c r="M731" s="32">
        <v>200</v>
      </c>
      <c r="N731" s="356">
        <f>VLOOKUP(E731,'[2]Price list'!$A$2:$F$145,6,0)</f>
        <v>755000</v>
      </c>
      <c r="O731" s="28" t="b">
        <f t="shared" si="22"/>
        <v>1</v>
      </c>
      <c r="R731" s="43"/>
      <c r="S731" s="43"/>
      <c r="T731" s="43"/>
      <c r="U731" s="449"/>
      <c r="V731" s="449"/>
      <c r="W731" s="43"/>
    </row>
    <row r="732" spans="2:24" s="28" customFormat="1" ht="16.5" customHeight="1">
      <c r="B732" s="20"/>
      <c r="C732" s="20"/>
      <c r="D732" s="448"/>
      <c r="E732" s="526">
        <v>147917</v>
      </c>
      <c r="F732" s="622" t="s">
        <v>1051</v>
      </c>
      <c r="G732" s="623"/>
      <c r="H732" s="624"/>
      <c r="I732" s="527">
        <v>76700</v>
      </c>
      <c r="J732" s="526">
        <v>147917</v>
      </c>
      <c r="K732" s="525" t="s">
        <v>73</v>
      </c>
      <c r="L732" s="32"/>
      <c r="M732" s="32">
        <v>12</v>
      </c>
      <c r="N732" s="356"/>
      <c r="R732" s="43"/>
      <c r="S732" s="43"/>
      <c r="T732" s="43"/>
      <c r="U732" s="449"/>
      <c r="V732" s="449"/>
      <c r="W732" s="43"/>
      <c r="X732" s="42"/>
    </row>
    <row r="733" spans="2:24" s="28" customFormat="1" ht="16.5" customHeight="1">
      <c r="B733" s="20"/>
      <c r="C733" s="20"/>
      <c r="D733" s="448"/>
      <c r="E733" s="524">
        <v>140382</v>
      </c>
      <c r="F733" s="522" t="s">
        <v>669</v>
      </c>
      <c r="G733" s="452"/>
      <c r="H733" s="453"/>
      <c r="I733" s="62">
        <v>2212000</v>
      </c>
      <c r="J733" s="33">
        <v>140382</v>
      </c>
      <c r="K733" s="32" t="s">
        <v>71</v>
      </c>
      <c r="L733" s="32" t="s">
        <v>0</v>
      </c>
      <c r="M733" s="32">
        <v>200</v>
      </c>
      <c r="N733" s="356"/>
      <c r="R733" s="43"/>
      <c r="S733" s="43"/>
      <c r="T733" s="43"/>
      <c r="U733" s="449"/>
      <c r="V733" s="449"/>
      <c r="W733" s="43"/>
      <c r="X733" s="42"/>
    </row>
    <row r="734" spans="2:24" s="28" customFormat="1" ht="16.5" customHeight="1">
      <c r="B734" s="20"/>
      <c r="C734" s="20"/>
      <c r="D734" s="448"/>
      <c r="E734" s="32">
        <v>148382</v>
      </c>
      <c r="F734" s="37" t="s">
        <v>1052</v>
      </c>
      <c r="G734" s="452"/>
      <c r="H734" s="453"/>
      <c r="I734" s="62">
        <v>74310</v>
      </c>
      <c r="J734" s="33">
        <v>148382</v>
      </c>
      <c r="K734" s="32" t="s">
        <v>73</v>
      </c>
      <c r="L734" s="32" t="s">
        <v>35</v>
      </c>
      <c r="M734" s="32">
        <v>12</v>
      </c>
      <c r="N734" s="356"/>
      <c r="R734" s="43"/>
      <c r="S734" s="43"/>
      <c r="T734" s="43"/>
      <c r="U734" s="449"/>
      <c r="V734" s="449"/>
      <c r="W734" s="43"/>
      <c r="X734" s="42"/>
    </row>
    <row r="735" spans="2:24" s="28" customFormat="1" ht="16.5" customHeight="1">
      <c r="B735" s="20"/>
      <c r="C735" s="20"/>
      <c r="D735" s="448"/>
      <c r="E735" s="32">
        <v>148383</v>
      </c>
      <c r="F735" s="37" t="s">
        <v>1053</v>
      </c>
      <c r="G735" s="452"/>
      <c r="H735" s="453"/>
      <c r="I735" s="62">
        <v>50300</v>
      </c>
      <c r="J735" s="33">
        <v>148383</v>
      </c>
      <c r="K735" s="32" t="s">
        <v>73</v>
      </c>
      <c r="L735" s="32" t="s">
        <v>35</v>
      </c>
      <c r="M735" s="32">
        <v>12</v>
      </c>
      <c r="N735" s="356"/>
      <c r="R735" s="43"/>
      <c r="S735" s="43"/>
      <c r="T735" s="43"/>
      <c r="U735" s="449"/>
      <c r="V735" s="449"/>
      <c r="W735" s="43"/>
      <c r="X735" s="42"/>
    </row>
    <row r="736" spans="2:24" s="28" customFormat="1" ht="16.5" customHeight="1">
      <c r="B736" s="20"/>
      <c r="C736" s="20"/>
      <c r="D736" s="448"/>
      <c r="E736" s="32">
        <v>148384</v>
      </c>
      <c r="F736" s="37" t="s">
        <v>1054</v>
      </c>
      <c r="G736" s="452"/>
      <c r="H736" s="453"/>
      <c r="I736" s="62">
        <v>50300</v>
      </c>
      <c r="J736" s="33">
        <v>148384</v>
      </c>
      <c r="K736" s="32" t="s">
        <v>73</v>
      </c>
      <c r="L736" s="32" t="s">
        <v>35</v>
      </c>
      <c r="M736" s="32">
        <v>12</v>
      </c>
      <c r="N736" s="356"/>
      <c r="R736" s="43"/>
      <c r="S736" s="43"/>
      <c r="T736" s="43"/>
      <c r="U736" s="449"/>
      <c r="V736" s="449"/>
      <c r="W736" s="43"/>
      <c r="X736" s="42"/>
    </row>
    <row r="737" spans="2:24" s="28" customFormat="1" ht="16.5" customHeight="1">
      <c r="B737" s="20"/>
      <c r="C737" s="20"/>
      <c r="D737" s="448"/>
      <c r="E737" s="32">
        <v>148385</v>
      </c>
      <c r="F737" s="37" t="s">
        <v>1055</v>
      </c>
      <c r="G737" s="452"/>
      <c r="H737" s="453"/>
      <c r="I737" s="325">
        <v>50300</v>
      </c>
      <c r="J737" s="33">
        <v>148385</v>
      </c>
      <c r="K737" s="32" t="s">
        <v>73</v>
      </c>
      <c r="L737" s="32" t="s">
        <v>35</v>
      </c>
      <c r="M737" s="32">
        <v>12</v>
      </c>
      <c r="N737" s="356"/>
      <c r="R737" s="43"/>
      <c r="S737" s="43"/>
      <c r="T737" s="43"/>
      <c r="U737" s="449"/>
      <c r="V737" s="449"/>
      <c r="W737" s="43"/>
      <c r="X737" s="42"/>
    </row>
    <row r="738" spans="2:24" s="28" customFormat="1" ht="16.5" customHeight="1">
      <c r="B738" s="20"/>
      <c r="C738" s="20"/>
      <c r="D738" s="448"/>
      <c r="E738" s="32"/>
      <c r="F738" s="37"/>
      <c r="G738" s="452"/>
      <c r="H738" s="453"/>
      <c r="I738" s="325"/>
      <c r="J738" s="33"/>
      <c r="K738" s="32"/>
      <c r="L738" s="32"/>
      <c r="M738" s="32"/>
      <c r="N738" s="356"/>
      <c r="R738" s="43"/>
      <c r="S738" s="43"/>
      <c r="T738" s="43"/>
      <c r="U738" s="449"/>
      <c r="V738" s="449"/>
      <c r="W738" s="43"/>
      <c r="X738" s="42"/>
    </row>
    <row r="739" spans="2:24" s="28" customFormat="1" ht="16.5" customHeight="1">
      <c r="B739" s="20"/>
      <c r="C739" s="20"/>
      <c r="D739" s="448"/>
      <c r="E739" s="32"/>
      <c r="F739" s="37"/>
      <c r="G739" s="452"/>
      <c r="H739" s="453"/>
      <c r="I739" s="325"/>
      <c r="J739" s="33"/>
      <c r="K739" s="32"/>
      <c r="L739" s="32"/>
      <c r="M739" s="32"/>
      <c r="N739" s="356"/>
      <c r="R739" s="43"/>
      <c r="S739" s="43"/>
      <c r="T739" s="43"/>
      <c r="U739" s="449"/>
      <c r="V739" s="449"/>
      <c r="W739" s="43"/>
      <c r="X739" s="42"/>
    </row>
    <row r="740" spans="2:24" s="28" customFormat="1" ht="16.5" customHeight="1">
      <c r="B740" s="20"/>
      <c r="C740" s="20"/>
      <c r="D740" s="448"/>
      <c r="E740" s="32"/>
      <c r="F740" s="37"/>
      <c r="G740" s="452"/>
      <c r="H740" s="453"/>
      <c r="I740" s="325"/>
      <c r="J740" s="33"/>
      <c r="K740" s="32"/>
      <c r="L740" s="32"/>
      <c r="M740" s="32"/>
      <c r="N740" s="356"/>
      <c r="R740" s="43"/>
      <c r="S740" s="43"/>
      <c r="T740" s="43"/>
      <c r="U740" s="449"/>
      <c r="V740" s="449"/>
      <c r="W740" s="43"/>
      <c r="X740" s="42"/>
    </row>
    <row r="741" spans="2:24" s="28" customFormat="1" ht="16.5" customHeight="1">
      <c r="B741" s="20"/>
      <c r="C741" s="20"/>
      <c r="D741" s="448"/>
      <c r="E741" s="32"/>
      <c r="F741" s="37"/>
      <c r="G741" s="452"/>
      <c r="H741" s="453"/>
      <c r="I741" s="62"/>
      <c r="J741" s="33"/>
      <c r="K741" s="32"/>
      <c r="L741" s="32"/>
      <c r="M741" s="32"/>
      <c r="N741" s="356"/>
      <c r="R741" s="43"/>
      <c r="S741" s="43"/>
      <c r="T741" s="43"/>
      <c r="U741" s="449"/>
      <c r="V741" s="449"/>
      <c r="W741" s="43"/>
      <c r="X741" s="42"/>
    </row>
    <row r="742" spans="2:24" s="28" customFormat="1" ht="16.5" customHeight="1">
      <c r="B742" s="20"/>
      <c r="C742" s="20"/>
      <c r="D742" s="448"/>
      <c r="E742" s="32"/>
      <c r="F742" s="37"/>
      <c r="G742" s="518"/>
      <c r="H742" s="519"/>
      <c r="I742" s="62"/>
      <c r="J742" s="33"/>
      <c r="K742" s="32"/>
      <c r="L742" s="32"/>
      <c r="M742" s="32"/>
      <c r="N742" s="356"/>
      <c r="R742" s="43"/>
      <c r="S742" s="43"/>
      <c r="T742" s="43"/>
      <c r="U742" s="449"/>
      <c r="V742" s="449"/>
      <c r="W742" s="43"/>
      <c r="X742" s="42"/>
    </row>
    <row r="743" spans="2:24" s="28" customFormat="1" ht="16.5" customHeight="1">
      <c r="B743" s="20"/>
      <c r="C743" s="20"/>
      <c r="D743" s="448"/>
      <c r="E743" s="32"/>
      <c r="F743" s="37"/>
      <c r="G743" s="518"/>
      <c r="H743" s="519"/>
      <c r="I743" s="325"/>
      <c r="J743" s="33"/>
      <c r="K743" s="32"/>
      <c r="L743" s="32"/>
      <c r="M743" s="32"/>
      <c r="N743" s="356"/>
      <c r="R743" s="43"/>
      <c r="S743" s="43"/>
      <c r="T743" s="43"/>
      <c r="U743" s="449"/>
      <c r="V743" s="449"/>
      <c r="W743" s="43"/>
      <c r="X743" s="42"/>
    </row>
    <row r="744" spans="2:24" s="28" customFormat="1" ht="16.5" customHeight="1">
      <c r="B744" s="20"/>
      <c r="C744" s="20"/>
      <c r="D744" s="448"/>
      <c r="E744" s="32"/>
      <c r="F744" s="37"/>
      <c r="G744" s="452"/>
      <c r="H744" s="453"/>
      <c r="I744" s="325"/>
      <c r="J744" s="32"/>
      <c r="K744" s="32"/>
      <c r="L744" s="32"/>
      <c r="M744" s="32"/>
      <c r="N744" s="356"/>
      <c r="R744" s="43"/>
      <c r="S744" s="43"/>
      <c r="T744" s="43"/>
      <c r="U744" s="449"/>
      <c r="V744" s="449"/>
      <c r="W744" s="43"/>
      <c r="X744" s="42"/>
    </row>
    <row r="745" spans="2:24" s="28" customFormat="1" ht="16.5" customHeight="1">
      <c r="B745" s="20"/>
      <c r="C745" s="20"/>
      <c r="D745" s="448"/>
      <c r="E745" s="32"/>
      <c r="F745" s="37"/>
      <c r="G745" s="452"/>
      <c r="H745" s="453"/>
      <c r="I745" s="62"/>
      <c r="J745" s="33"/>
      <c r="K745" s="32"/>
      <c r="L745" s="32"/>
      <c r="M745" s="32"/>
      <c r="N745" s="356"/>
      <c r="R745" s="43"/>
      <c r="S745" s="43"/>
      <c r="T745" s="43"/>
      <c r="U745" s="449"/>
      <c r="V745" s="449"/>
      <c r="W745" s="43"/>
      <c r="X745" s="42"/>
    </row>
    <row r="746" spans="2:24" s="28" customFormat="1" ht="16.5" customHeight="1">
      <c r="B746" s="20"/>
      <c r="C746" s="20"/>
      <c r="D746" s="448"/>
      <c r="E746" s="32"/>
      <c r="F746" s="37"/>
      <c r="G746" s="452"/>
      <c r="H746" s="453"/>
      <c r="I746" s="62"/>
      <c r="J746" s="32"/>
      <c r="K746" s="32"/>
      <c r="L746" s="32"/>
      <c r="M746" s="32"/>
      <c r="N746" s="356"/>
      <c r="R746" s="43"/>
      <c r="S746" s="43"/>
      <c r="T746" s="43"/>
      <c r="U746" s="449"/>
      <c r="V746" s="449"/>
      <c r="W746" s="43"/>
      <c r="X746" s="42"/>
    </row>
    <row r="747" spans="2:24" s="28" customFormat="1" ht="16.5" customHeight="1">
      <c r="B747" s="20"/>
      <c r="C747" s="20"/>
      <c r="D747" s="448"/>
      <c r="E747" s="32"/>
      <c r="F747" s="37"/>
      <c r="G747" s="452"/>
      <c r="H747" s="453"/>
      <c r="I747" s="62"/>
      <c r="J747" s="33"/>
      <c r="K747" s="32"/>
      <c r="L747" s="32"/>
      <c r="M747" s="32"/>
      <c r="N747" s="356"/>
      <c r="R747" s="43"/>
      <c r="S747" s="43"/>
      <c r="T747" s="43"/>
      <c r="U747" s="449"/>
      <c r="V747" s="449"/>
      <c r="W747" s="43"/>
      <c r="X747" s="42"/>
    </row>
  </sheetData>
  <protectedRanges>
    <protectedRange sqref="M66:O70 M45:O57 M59:O64" name="범위10_1_1"/>
    <protectedRange sqref="L8" name="범위11_1"/>
    <protectedRange sqref="L8" name="범위4_1"/>
    <protectedRange sqref="D9" name="범위13_1_1"/>
    <protectedRange sqref="G8:H8" name="범위15_1_1"/>
    <protectedRange sqref="E29:E30 G66:G70 D66:E69 D45:E63 G45:G64" name="범위8_1_1_2_1_1_1"/>
    <protectedRange sqref="H60:H64 I67:J70 I63:K64 H66:H70 I66:K66 H45:K59 J66:K70" name="범위9_1_1_1_1_2"/>
    <protectedRange sqref="G7:H7" name="범위15_1_1_1"/>
    <protectedRange sqref="L9" name="범위16_1_1_1_1_1_1_1_1_1_1_1_1_1"/>
    <protectedRange sqref="D27" name="범위23_1_1_1_2_1_1"/>
    <protectedRange sqref="D27" name="범위1_3_1_1_1_1_2_1_1"/>
    <protectedRange sqref="C12:C26" name="범위1_3_1_2_1"/>
    <protectedRange sqref="C12:C26" name="범위1_3_1_2_2"/>
    <protectedRange sqref="D82:D465 D472:D482" name="범위5_1_2_1_2_1_2_1_1"/>
    <protectedRange sqref="M109 M107" name="범위26_2_1_2_1_8_1_2_1"/>
    <protectedRange sqref="G111:H111 G109:H109 G107:H107" name="범위6_1_1_1_2_1_9_2_1_1"/>
    <protectedRange sqref="F109" name="범위1_1_2_1_1"/>
    <protectedRange sqref="M110 M108 M83:M105 M113:M124" name="범위26_2_1_2_1_1_7_1_1_1"/>
    <protectedRange sqref="G110:H110 G121:H124 G98:H98 I82:I83 G83:H83 G108:H108 G84:I97 G100:H103 G113:H118 I98:I465 I472:I482" name="범위6_1_1_1_2_1_2_8_2_1"/>
    <protectedRange sqref="F121 F124" name="범위1_3_1_1_2_1"/>
    <protectedRange sqref="G104:H105" name="범위6_1_1_1_2_1_1_1_1_2_1_1"/>
    <protectedRange sqref="M112" name="범위26_2_1_2_1_1_1_1_1_1_1"/>
    <protectedRange sqref="G112:H112" name="범위6_1_1_1_2_1_2_1_1_1_1_1"/>
    <protectedRange sqref="M111" name="범위26_2_1_2_1_19_1_1_2_1_1"/>
    <protectedRange sqref="M106" name="범위26_2_1_2_1_1_4_1_2_1_1"/>
    <protectedRange sqref="G106:H106" name="범위6_1_1_1_2_1_2_4_1_2_1_1"/>
    <protectedRange sqref="M82" name="범위26_2_1_2_1_1_3_1_1_1_1"/>
    <protectedRange sqref="G82:H82" name="범위6_1_1_1_2_1_2_2_1_1_1_1"/>
    <protectedRange sqref="F82" name="범위1_3_3_1_1_1_1"/>
    <protectedRange sqref="M429 M399:M401 M409:M411" name="범위26_2_1_2_1_8_2_1_1_1"/>
    <protectedRange sqref="G399:H401 G409:H411 G415:H429" name="범위6_1_1_1_2_1_9_1_1_1_1"/>
    <protectedRange sqref="F409:F411" name="범위1_1_1_1_1_1"/>
    <protectedRange sqref="F429" name="범위1_4_2_1_1_1_1"/>
    <protectedRange sqref="M412:M414 M430:M435 M439:M465 M402:M406 M480:M482 M307:M397 M125:M305" name="범위26_2_1_2_1_1_7_3_1_1_1"/>
    <protectedRange sqref="G151:H153 G160:H160 G384:H386 G158:H158 G169:H170 G455:H455 G233:H234 G373:H375 G242:H242 G264:H264 G257:H257 G255:H255 G266:H266 G259:H259 G270:H270 G480:H482 G226:H227 G338:H338 G328:H336 G348:H348 G378:H382 G403:H406 G308:H309 G284:H305 G311:H313 G315:H325 G340:H345 G412:H414 G439:H447 G449:H453 G458:H465 G216:H223 G125:H137 G272:H279 G207:H212 G430:H435 G139:H146 G357:H368" name="범위6_1_1_1_2_1_2_8_1_2_1_1"/>
    <protectedRange sqref="G454:H454" name="범위6_1_1_1_1_1_1_1_1_1_1_1_1"/>
    <protectedRange sqref="F294:F295 F190:F192 F239:F241 F182:F184 F311 F357 F337:F338 F406 F305 F378 F284 F140:F141 F229:F232 F267:F271 F412 F260:F265 F144:F146 F243:F258" name="범위1_3_1_3_1_1_1"/>
    <protectedRange sqref="G387:H387 G389:H397" name="범위6_1_1_1_2_1_1_1_1_1_1_1_1"/>
    <protectedRange sqref="F366" name="범위1_2_1_1_1_1_1_1"/>
    <protectedRange sqref="F355" name="범위1_5_1_1_1_1_1_1"/>
    <protectedRange sqref="M415:M428" name="범위26_2_1_2_1_19_1_1_1_1_1_1"/>
    <protectedRange sqref="M398" name="범위26_2_1_2_1_1_4_1_1_1_1_1"/>
    <protectedRange sqref="G398:H398" name="범위6_1_1_1_2_1_2_4_1_1_1_1_1"/>
    <protectedRange sqref="G402:H402" name="범위6_1_1_1_2_1_2_5_1_1_1_1_1"/>
    <protectedRange sqref="M479" name="범위26_2_1_2_1_1_2_1_1_1_1_1"/>
    <protectedRange sqref="M407:M408" name="범위26_2_1_2_1_3_1_1_1_1_1"/>
    <protectedRange sqref="G407:H408" name="범위6_1_1_1_2_1_3_1_1_1_1_1"/>
    <protectedRange sqref="F407:F408" name="범위1_2_2_1_1_1_1"/>
    <protectedRange sqref="M436:M438" name="범위26_2_1_2_1_1_5_1_1_1_1_1"/>
    <protectedRange sqref="G436:H438" name="범위6_1_1_1_2_1_2_3_1_1_1_1_1"/>
    <protectedRange sqref="M306" name="범위26_2_1_2_1_1_6_1_1_1_1_1"/>
    <protectedRange sqref="G306:H306" name="범위6_1_1_1_2_1_2_6_1_1_1_1_1"/>
    <protectedRange sqref="G479:H479" name="범위6_1_1_1_2_1_4_1_1_1_1_1"/>
    <protectedRange sqref="F479" name="범위1_5_2_1_1_1_1"/>
    <protectedRange sqref="M472" name="범위26_2_1_2_1_1_8_1_1_1"/>
    <protectedRange sqref="G472:H472" name="범위6_1_1_1_2_1_2_8_1_1_1_1_1"/>
    <protectedRange sqref="F472" name="범위1_3_1_1_1_1_1_1"/>
    <protectedRange sqref="M473" name="범위26_2_1_2_1_8_1_1_2_1_1"/>
    <protectedRange sqref="M474" name="범위26_2_1_2_1_1_7_2_1_1_1_1_1"/>
    <protectedRange sqref="F475:F478" name="범위1_2_1_1_1_1"/>
    <protectedRange sqref="M478 M475" name="범위26_2_1_2_1_8_1_1_1_1_1_1"/>
    <protectedRange sqref="M476:M477" name="범위26_2_1_2_1_1_7_2_2_1_1_1"/>
    <protectedRange sqref="D12:D26" name="범위23_1_1_1_2_1_1_1_2_1_1_1"/>
    <protectedRange sqref="D12:D26" name="범위1_3_1_1_1_1_2_1_1_1_2_1_1_1"/>
    <protectedRange sqref="G65 D65:E65" name="범위8_1_1_2_1_1_1_1"/>
    <protectedRange sqref="H65:K65" name="범위9_1_1_1_1_2_1"/>
    <protectedRange sqref="D64:E64" name="범위8_1_1_2_1_1_1_2"/>
    <protectedRange sqref="D466:D471" name="범위5_1_2_1_2_1_2_1_1_1"/>
    <protectedRange sqref="I466:I471" name="범위6_1_1_1_2_1_2_8_2_1_1"/>
    <protectedRange sqref="M466:M467 M469" name="범위26_2_1_2_1_1_7_3_1_1_1_1"/>
    <protectedRange sqref="G466:H466 G469:H469" name="범위6_1_1_1_2_1_2_8_1_2_1_1_1"/>
    <protectedRange sqref="M468" name="범위26_2_1_2_1_1_2_1_1_1_1_1_1"/>
    <protectedRange sqref="F468" name="범위1_3_2_1_1_1_1_1_1"/>
    <protectedRange sqref="G471:H471" name="범위6_1_1_1_2_1_2_1_2_1_1_1_1"/>
    <protectedRange sqref="M470:M471" name="범위26_2_1_2_1_1_7_2_1_2_1_1_1"/>
    <protectedRange sqref="D74" name="범위5_1_2_1_2_1_2_1_1_2"/>
    <protectedRange sqref="I74" name="범위6_1_1_1_2_1_2_8_2_1_2"/>
    <protectedRange sqref="M74" name="범위26_2_1_2_1_1_7_3_1_1_1_2"/>
    <protectedRange sqref="D75:D76" name="범위5_1_2_1_2_1_2_1_1_1_1"/>
    <protectedRange sqref="I75:I76" name="범위6_1_1_1_2_1_2_8_2_1_1_2"/>
    <protectedRange sqref="M75:M76" name="범위26_2_1_2_1_1_7_3_1_1_1_1_1"/>
    <protectedRange sqref="F75:F76" name="범위1_3_1_3_1_1_1_1"/>
    <protectedRange sqref="D77:D81" name="범위5_1_2_1_2_1_2_1_1_2_1"/>
    <protectedRange sqref="I77:I81" name="범위6_1_1_1_2_1_2_8_2_1_2_1"/>
    <protectedRange sqref="M77:M81" name="범위26_2_1_2_1_1_7_3_1_1_1_2_1"/>
    <protectedRange sqref="G77:H81" name="범위6_1_1_1_2_1_2_8_1_2_1_1_2"/>
    <protectedRange sqref="D488:D489" name="범위5_1_2_1_2_1_2_1_2"/>
    <protectedRange sqref="D483:D487" name="범위5_1_2_1_2_1_2_1_1_3"/>
    <protectedRange sqref="D521:D523" name="범위5_1_3_2_1_1_1"/>
    <protectedRange sqref="M488:M489" name="범위26_2_1_2_1_1_7_3_2_1_1"/>
    <protectedRange sqref="G488:H489" name="범위6_1_1_1_2_1_2_8_1_3_1"/>
    <protectedRange sqref="I483:I489 I521:I523" name="범위6_1_1_1_2_1_2_8_2_1_4"/>
    <protectedRange sqref="M483:M484" name="범위26_2_1_2_1_1_7_3_1_1_1_3"/>
    <protectedRange sqref="G483:H484" name="범위6_1_1_1_2_1_2_8_1_2_1_1_3"/>
    <protectedRange sqref="G486:H486" name="범위6_1_1_1_2_1_2_1_2_1_1_1_2"/>
    <protectedRange sqref="M485:M486" name="범위26_2_1_2_1_1_7_2_1_2_1_1_2"/>
    <protectedRange sqref="M487" name="범위26_2_1_2_1_1_8_1_1_1_1"/>
    <protectedRange sqref="G487:H487" name="범위6_1_1_1_2_1_2_8_1_1_1_1_1_1"/>
    <protectedRange sqref="F487" name="범위1_3_1_1_1_1_1_1_1"/>
    <protectedRange sqref="F521:F523" name="범위1_2_1_2_1_1_1"/>
    <protectedRange sqref="M521:M523" name="범위26_2_1_2_1_1_7_2_2_2_1_1_1"/>
    <protectedRange sqref="D495" name="범위5_1_3_2_1_3"/>
    <protectedRange sqref="D490:D494" name="범위5_1_2_1_2_1_2_1_3"/>
    <protectedRange sqref="D496:D497 D520" name="범위5_1_3_2_1_1_3"/>
    <protectedRange sqref="I494" name="범위6_1_1_1_2_1_2_8_3_2"/>
    <protectedRange sqref="G494:H494" name="범위6_1_1_1_2_1_9_1_2_2"/>
    <protectedRange sqref="M490" name="범위26_2_1_2_1_1_7_3_2_1_2"/>
    <protectedRange sqref="G490:H490" name="범위6_1_1_1_2_1_2_8_1_3_2"/>
    <protectedRange sqref="M494" name="범위26_2_1_2_1_19_1_1_1_2_2"/>
    <protectedRange sqref="G492:H492" name="범위6_1_1_1_2_1_2_1_2_2_2"/>
    <protectedRange sqref="M491:M492" name="범위26_2_1_2_1_1_7_2_1_3_2"/>
    <protectedRange sqref="M493" name="범위26_2_1_2_1_1_8_2_2"/>
    <protectedRange sqref="G493:H493" name="범위6_1_1_1_2_1_2_8_1_1_2_1_2"/>
    <protectedRange sqref="F493" name="범위1_3_1_1_1_2_2"/>
    <protectedRange sqref="I490:I493 I495:I497 I520" name="범위6_1_1_1_2_1_2_8_2_1_5"/>
    <protectedRange sqref="G495:H495" name="범위6_1_1_1_2_1_9_1_1_1_1_2"/>
    <protectedRange sqref="M495" name="범위26_2_1_2_1_19_1_1_1_1_1_1_2"/>
    <protectedRange sqref="F496:F497 F520" name="범위1_2_1_2_1_1_3"/>
    <protectedRange sqref="M496:M497 M520" name="범위26_2_1_2_1_1_7_2_2_2_1_1_3"/>
    <protectedRange sqref="D499:D516 D519" name="범위5_1_3_2_1_1_1_3"/>
    <protectedRange sqref="I499:I516 I519" name="범위6_1_1_1_2_1_2_8_2_1_1_4"/>
    <protectedRange sqref="F499:F516 F519" name="범위1_2_1_2_1_1_1_3"/>
    <protectedRange sqref="M499:M516" name="범위26_2_1_2_1_1_7_2_2_2_1_1_1_3"/>
    <protectedRange sqref="D517" name="범위5_1_2_1_2_1_2"/>
    <protectedRange sqref="M517" name="범위26_2_1_2_1_1_2"/>
    <protectedRange sqref="G517:I517" name="범위6_1_1_1_2_1_1_1_2"/>
    <protectedRange sqref="D518" name="범위5_1_3_2_1_1_1_1_2"/>
    <protectedRange sqref="I518" name="범위6_1_1_1_2_1_2_8_2_1_1_1_2"/>
    <protectedRange sqref="F518" name="범위1_2_1_2_1_1_1_1_2"/>
    <protectedRange sqref="M518:M519" name="범위26_2_1_2_1_1_7_2_2_2_1_1_1_1_2"/>
    <protectedRange sqref="D498" name="범위5_1_3_2_1_1_1_1"/>
    <protectedRange sqref="I498" name="범위6_1_1_1_2_1_2_8_2_1_1_1"/>
    <protectedRange sqref="F498" name="범위1_2_1_2_1_1_1_1"/>
    <protectedRange sqref="M498" name="범위26_2_1_2_1_1_7_2_2_2_1_1_1_1"/>
    <protectedRange sqref="M738" name="범위26_2_1_2_1"/>
    <protectedRange sqref="G747:H747 G738:H739" name="범위6_1_1_1_2_1"/>
    <protectedRange sqref="D708:D729 D699:D705 D733 D738:D747" name="범위5_1_2_1_2_1"/>
    <protectedRange sqref="D707" name="범위5_1_2_1_2"/>
    <protectedRange sqref="F747" name="범위1"/>
    <protectedRange sqref="M740:M743 M746:M747 M699:M701 M703:M705 M708:M712 M714 M717:M718 M720:M729 M733" name="범위26_2_1_2_1_1"/>
    <protectedRange sqref="G708:H710 G699:H699 G703:H705 G741:I743" name="범위6_1_1_1_2_1_2"/>
    <protectedRange sqref="G711:H711 G713:H714 G721:I724 G717:H720 G726:I727 G725:H725 G728:H729 G733:I733" name="범위6_1_1_1_2_1_1_1"/>
    <protectedRange sqref="M739" name="범위26_2_1_2_1_1_4"/>
    <protectedRange sqref="G740:H740" name="범위6_1_1_1_2_1_2_5"/>
    <protectedRange sqref="M745" name="범위26_2_1_2_1_3"/>
    <protectedRange sqref="G745:H746" name="범위6_1_1_1_2_1_3"/>
    <protectedRange sqref="F745:F746" name="범위1_2"/>
    <protectedRange sqref="M744" name="범위26_2_1_2_1_1_8"/>
    <protectedRange sqref="G744:I744" name="범위6_1_1_1_2_1_2_8"/>
    <protectedRange sqref="F744" name="범위1_3_1"/>
    <protectedRange sqref="D706 D730:D731 D697:D698 D524:D694" name="범위5_1_2_1_2_1_1"/>
    <protectedRange sqref="M552:M556 M706 M713 M558:M562 M719 M532:M536 M538:M550 M524:M530 M730:M731 M697:M698 M565:M694" name="범위26_2_1_2_1_1_10_1"/>
    <protectedRange sqref="G634:H636 G641:H642 G650:H651 G546:H550 G600:H608 G687:H691 G697:H698 G552:H557 G565:H569 G572:H587 G621:H622 G589:H598 I544:I557 G624:H629 I624:I694 G623:I623 I706 I715:I716 G559:H562 I559:I608 G558:I558 G526:H530 G532:H537 G538:I543 I524:I537 I730 G731:I731 I697:I701 G610:H619 I610:I622 G609:I609" name="범위6_1_1_1_2_1_2_10"/>
    <protectedRange sqref="F670:F672 F662:F664 F583:F584 F549 F546 F595:F597 F627:F629 F622:F624 F529 F526 F731" name="범위1_3_4_1"/>
    <protectedRange sqref="M557 M537" name="범위26_2_1_2_1_3_2"/>
    <protectedRange sqref="M551 M715:M716 M531" name="범위26_2_1_2_1_1_3_2"/>
    <protectedRange sqref="G551:H551 G715:H716 G531:H531" name="범위6_1_1_1_2_1_2_2_2"/>
    <protectedRange sqref="F551 F715:F716 F531" name="범위1_3_3_2"/>
    <protectedRange sqref="M563:M564" name="범위26_2_1_2_1_1_7_2"/>
    <protectedRange sqref="G563:H564" name="범위6_1_1_1_2_1_2_7_2"/>
    <protectedRange sqref="G702:H702" name="범위6_1_1_1_2_1_2_2"/>
    <protectedRange sqref="M702 M707" name="범위26_2_1_2_1_1_10"/>
    <protectedRange sqref="D732" name="범위5_1_2_1_2_1_2_1"/>
    <protectedRange sqref="M732" name="범위26_2_1_2_1_1_3"/>
    <protectedRange sqref="G732:I732" name="범위6_1_1_1_2_1_1_1_1"/>
    <protectedRange sqref="D734:D737" name="범위5_1_2_1_2_1_2_3_1"/>
    <protectedRange sqref="M734:M737" name="범위26_2_1_2_1_1_3_4_1"/>
    <protectedRange sqref="G736:I736 G734:H735 G737:H737" name="범위6_1_1_1_2_1_1_1_1_3_1"/>
    <protectedRange sqref="D695:D696" name="범위5_1_2_1_2_1_1_1"/>
    <protectedRange sqref="M695:M696" name="범위26_2_1_2_1_1_10_1_1"/>
    <protectedRange sqref="G695:I696" name="범위6_1_1_1_2_1_2_10_1"/>
  </protectedRanges>
  <autoFilter ref="A73:Z73" xr:uid="{00000000-0009-0000-0000-000007000000}"/>
  <mergeCells count="25">
    <mergeCell ref="B9:C9"/>
    <mergeCell ref="D9:I9"/>
    <mergeCell ref="M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  <mergeCell ref="R11:S11"/>
    <mergeCell ref="I28:I29"/>
    <mergeCell ref="M28:M29"/>
    <mergeCell ref="O28:P28"/>
    <mergeCell ref="O29:P29"/>
    <mergeCell ref="B41:E42"/>
    <mergeCell ref="D72:E72"/>
    <mergeCell ref="F722:H722"/>
    <mergeCell ref="F732:H732"/>
    <mergeCell ref="L10:P10"/>
    <mergeCell ref="G11:I11"/>
  </mergeCells>
  <phoneticPr fontId="16" type="noConversion"/>
  <conditionalFormatting sqref="F13:F15 F17:F24">
    <cfRule type="duplicateValues" dxfId="3" priority="164"/>
  </conditionalFormatting>
  <conditionalFormatting sqref="F16 F12">
    <cfRule type="duplicateValues" dxfId="2" priority="4"/>
  </conditionalFormatting>
  <conditionalFormatting sqref="F74:F81">
    <cfRule type="duplicateValues" dxfId="1" priority="1"/>
  </conditionalFormatting>
  <conditionalFormatting sqref="F82:F482 F26:F73 F1:F11 F536:F1048576">
    <cfRule type="duplicateValues" dxfId="0" priority="2"/>
  </conditionalFormatting>
  <dataValidations count="11">
    <dataValidation type="list" allowBlank="1" showInputMessage="1" showErrorMessage="1" sqref="D706 D697:D698 D730:D731 D524:D694" xr:uid="{00000000-0002-0000-0700-000000000000}">
      <formula1>$D$51:$D$122</formula1>
    </dataValidation>
    <dataValidation type="list" allowBlank="1" showInputMessage="1" showErrorMessage="1" sqref="D699:D705 D738:D747 D732:D733 D707:D729" xr:uid="{00000000-0002-0000-0700-000001000000}">
      <formula1>$D$46:$D$70</formula1>
    </dataValidation>
    <dataValidation type="list" allowBlank="1" showInputMessage="1" showErrorMessage="1" sqref="D734:D737" xr:uid="{00000000-0002-0000-0700-000002000000}">
      <formula1>$D$46:$D$68</formula1>
    </dataValidation>
    <dataValidation type="list" allowBlank="1" showInputMessage="1" showErrorMessage="1" sqref="D695:D696" xr:uid="{00000000-0002-0000-0700-000003000000}">
      <formula1>$D$51:$D$123</formula1>
    </dataValidation>
    <dataValidation type="list" allowBlank="1" showInputMessage="1" showErrorMessage="1" sqref="F692:F694 F550 F652:F653 F658:F661 F585 F530" xr:uid="{00000000-0002-0000-0700-000004000000}">
      <formula1>$A$3:$A$568</formula1>
    </dataValidation>
    <dataValidation type="list" allowBlank="1" showInputMessage="1" showErrorMessage="1" sqref="F228 F177:F181 F171:F172 F213:F215" xr:uid="{00000000-0002-0000-0700-000005000000}">
      <formula1>$A$3:$A$341</formula1>
    </dataValidation>
    <dataValidation type="list" allowBlank="1" showInputMessage="1" showErrorMessage="1" sqref="L9" xr:uid="{00000000-0002-0000-0700-000006000000}">
      <formula1>$G$45:$G$70</formula1>
    </dataValidation>
    <dataValidation type="list" allowBlank="1" showInputMessage="1" showErrorMessage="1" sqref="L8:M8" xr:uid="{00000000-0002-0000-0700-000007000000}">
      <formula1>$M$49:$M$70</formula1>
    </dataValidation>
    <dataValidation type="list" allowBlank="1" showInputMessage="1" showErrorMessage="1" sqref="D27" xr:uid="{00000000-0002-0000-0700-000008000000}">
      <formula1>$D$49:$D$70</formula1>
    </dataValidation>
    <dataValidation type="list" allowBlank="1" showInputMessage="1" showErrorMessage="1" sqref="D517" xr:uid="{00000000-0002-0000-0700-000009000000}">
      <formula1>$D$47:$D$72</formula1>
    </dataValidation>
    <dataValidation type="list" allowBlank="1" showInputMessage="1" showErrorMessage="1" sqref="D12:D26" xr:uid="{00000000-0002-0000-0700-00000A000000}">
      <formula1>$D$45:$D$70</formula1>
    </dataValidation>
  </dataValidations>
  <printOptions horizontalCentered="1"/>
  <pageMargins left="7.874015748031496E-2" right="7.874015748031496E-2" top="0.3" bottom="0.28999999999999998" header="0.27559055118110237" footer="0.23622047244094491"/>
  <pageSetup paperSize="9" scale="70" orientation="landscape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indexed="12"/>
    <pageSetUpPr fitToPage="1"/>
  </sheetPr>
  <dimension ref="A1:Z539"/>
  <sheetViews>
    <sheetView topLeftCell="A111" zoomScale="90" zoomScaleNormal="90" workbookViewId="0">
      <selection activeCell="I125" sqref="I125"/>
    </sheetView>
  </sheetViews>
  <sheetFormatPr defaultRowHeight="13.5"/>
  <cols>
    <col min="1" max="1" width="1.21875" customWidth="1"/>
    <col min="2" max="2" width="4.6640625" style="1" customWidth="1"/>
    <col min="3" max="3" width="11.21875" style="1" customWidth="1"/>
    <col min="4" max="4" width="17.88671875" customWidth="1"/>
    <col min="5" max="6" width="10.109375" style="1" customWidth="1"/>
    <col min="7" max="7" width="13.88671875" customWidth="1"/>
    <col min="8" max="8" width="14.21875" customWidth="1"/>
    <col min="9" max="9" width="9.5546875" style="12" customWidth="1"/>
    <col min="10" max="10" width="8.6640625" style="15" customWidth="1"/>
    <col min="11" max="11" width="8.6640625" style="1" customWidth="1"/>
    <col min="12" max="12" width="7.77734375" customWidth="1"/>
    <col min="13" max="13" width="8.6640625" customWidth="1"/>
    <col min="14" max="14" width="12.109375" customWidth="1"/>
    <col min="15" max="15" width="13.33203125" customWidth="1"/>
    <col min="16" max="16" width="13.21875" customWidth="1"/>
    <col min="17" max="17" width="1.21875" customWidth="1"/>
    <col min="18" max="18" width="7.44140625" bestFit="1" customWidth="1"/>
    <col min="19" max="19" width="4.88671875" bestFit="1" customWidth="1"/>
    <col min="20" max="20" width="1.44140625" customWidth="1"/>
    <col min="21" max="21" width="10" style="42" bestFit="1" customWidth="1"/>
    <col min="22" max="22" width="7.88671875" style="21" bestFit="1" customWidth="1"/>
    <col min="23" max="23" width="8.33203125" style="21" bestFit="1" customWidth="1"/>
    <col min="24" max="24" width="11.5546875" style="21" customWidth="1"/>
    <col min="25" max="25" width="7.44140625" style="43" bestFit="1" customWidth="1"/>
    <col min="26" max="26" width="9.44140625" style="43" bestFit="1" customWidth="1"/>
  </cols>
  <sheetData>
    <row r="1" spans="1:26" ht="14.25" customHeight="1" thickBot="1">
      <c r="A1" s="5"/>
      <c r="B1" s="6"/>
      <c r="C1" s="6"/>
      <c r="D1" s="5"/>
      <c r="E1" s="6"/>
      <c r="F1" s="97"/>
      <c r="G1" s="7"/>
      <c r="H1" s="7"/>
      <c r="I1" s="9"/>
      <c r="J1" s="17"/>
      <c r="K1" s="7"/>
      <c r="L1" s="7"/>
      <c r="M1" s="5"/>
      <c r="N1" s="5"/>
      <c r="O1" s="5"/>
      <c r="P1" s="5"/>
    </row>
    <row r="2" spans="1:26" s="43" customFormat="1" ht="18" customHeight="1">
      <c r="A2" s="4"/>
      <c r="B2" s="572" t="s">
        <v>1</v>
      </c>
      <c r="C2" s="573"/>
      <c r="D2" s="573"/>
      <c r="E2" s="574"/>
      <c r="F2" s="578"/>
      <c r="G2" s="579"/>
      <c r="H2" s="579"/>
      <c r="I2" s="579"/>
      <c r="J2" s="579"/>
      <c r="K2" s="579"/>
      <c r="L2" s="579"/>
      <c r="M2" s="102" t="s">
        <v>2</v>
      </c>
      <c r="N2" s="102"/>
      <c r="O2" s="101"/>
      <c r="P2" s="101"/>
      <c r="U2" s="42"/>
      <c r="V2" s="21"/>
      <c r="W2" s="21"/>
      <c r="X2" s="21"/>
    </row>
    <row r="3" spans="1:26" s="43" customFormat="1" ht="16.5" customHeight="1" thickBot="1">
      <c r="A3" s="4"/>
      <c r="B3" s="575"/>
      <c r="C3" s="576"/>
      <c r="D3" s="576"/>
      <c r="E3" s="577"/>
      <c r="F3" s="579"/>
      <c r="G3" s="579"/>
      <c r="H3" s="579"/>
      <c r="I3" s="579"/>
      <c r="J3" s="579"/>
      <c r="K3" s="579"/>
      <c r="L3" s="579"/>
      <c r="M3" s="103" t="s">
        <v>416</v>
      </c>
      <c r="N3" s="100"/>
      <c r="O3" s="4"/>
      <c r="P3" s="4"/>
      <c r="U3" s="42"/>
      <c r="V3" s="21"/>
      <c r="W3" s="21"/>
      <c r="X3" s="21"/>
    </row>
    <row r="4" spans="1:26" s="43" customFormat="1" ht="16.5" customHeight="1">
      <c r="A4" s="4"/>
      <c r="B4" s="112"/>
      <c r="C4" s="112"/>
      <c r="D4" s="4"/>
      <c r="E4" s="112"/>
      <c r="F4" s="579"/>
      <c r="G4" s="579"/>
      <c r="H4" s="579"/>
      <c r="I4" s="579"/>
      <c r="J4" s="579"/>
      <c r="K4" s="579"/>
      <c r="L4" s="579"/>
      <c r="M4" s="103" t="s">
        <v>3</v>
      </c>
      <c r="N4" s="100"/>
      <c r="O4" s="4"/>
      <c r="P4" s="4"/>
      <c r="U4" s="42"/>
      <c r="V4" s="21"/>
      <c r="W4" s="21"/>
      <c r="X4" s="21"/>
    </row>
    <row r="5" spans="1:26" s="43" customFormat="1" ht="16.5" customHeight="1">
      <c r="A5" s="4"/>
      <c r="B5" s="112"/>
      <c r="C5" s="112"/>
      <c r="D5" s="4"/>
      <c r="E5" s="112"/>
      <c r="F5" s="350"/>
      <c r="G5" s="113"/>
      <c r="H5" s="113"/>
      <c r="I5" s="114"/>
      <c r="J5" s="115"/>
      <c r="K5" s="113"/>
      <c r="L5" s="113"/>
      <c r="M5" s="103" t="s">
        <v>4</v>
      </c>
      <c r="N5" s="100"/>
      <c r="O5" s="4"/>
      <c r="P5" s="4"/>
      <c r="U5" s="42"/>
      <c r="V5" s="21"/>
      <c r="W5" s="21"/>
      <c r="X5" s="21"/>
    </row>
    <row r="6" spans="1:26" s="43" customFormat="1" ht="9" customHeight="1" thickBot="1">
      <c r="A6" s="4"/>
      <c r="B6" s="112"/>
      <c r="C6" s="112"/>
      <c r="D6" s="4"/>
      <c r="E6" s="112"/>
      <c r="F6" s="116"/>
      <c r="G6" s="4"/>
      <c r="H6" s="4"/>
      <c r="I6" s="117"/>
      <c r="J6" s="118"/>
      <c r="K6" s="112"/>
      <c r="L6" s="4"/>
      <c r="M6" s="4"/>
      <c r="N6" s="4"/>
      <c r="O6" s="4"/>
      <c r="P6" s="4"/>
      <c r="U6" s="42"/>
      <c r="V6" s="21"/>
      <c r="W6" s="21"/>
      <c r="X6" s="21"/>
    </row>
    <row r="7" spans="1:26" s="28" customFormat="1" ht="25.5" customHeight="1" thickTop="1">
      <c r="A7" s="100"/>
      <c r="B7" s="580" t="s">
        <v>5</v>
      </c>
      <c r="C7" s="581"/>
      <c r="D7" s="582" t="s">
        <v>6</v>
      </c>
      <c r="E7" s="583"/>
      <c r="F7" s="119" t="s">
        <v>7</v>
      </c>
      <c r="G7" s="584" t="s">
        <v>75</v>
      </c>
      <c r="H7" s="585"/>
      <c r="I7" s="586"/>
      <c r="J7" s="120"/>
      <c r="K7" s="121" t="s">
        <v>8</v>
      </c>
      <c r="L7" s="587">
        <f ca="1">TODAY()</f>
        <v>45981</v>
      </c>
      <c r="M7" s="588"/>
      <c r="N7" s="122" t="s">
        <v>9</v>
      </c>
      <c r="O7" s="123">
        <v>45715</v>
      </c>
      <c r="P7" s="124"/>
      <c r="U7" s="29"/>
      <c r="V7" s="20"/>
      <c r="W7" s="20"/>
      <c r="X7" s="20"/>
    </row>
    <row r="8" spans="1:26" s="28" customFormat="1" ht="25.5" customHeight="1">
      <c r="A8" s="100"/>
      <c r="B8" s="589" t="s">
        <v>10</v>
      </c>
      <c r="C8" s="590"/>
      <c r="D8" s="591" t="s">
        <v>11</v>
      </c>
      <c r="E8" s="592"/>
      <c r="F8" s="125" t="s">
        <v>12</v>
      </c>
      <c r="G8" s="592" t="s">
        <v>13</v>
      </c>
      <c r="H8" s="592"/>
      <c r="I8" s="593"/>
      <c r="J8" s="120"/>
      <c r="K8" s="126" t="s">
        <v>14</v>
      </c>
      <c r="L8" s="594" t="s">
        <v>91</v>
      </c>
      <c r="M8" s="595"/>
      <c r="N8" s="127" t="s">
        <v>15</v>
      </c>
      <c r="O8" s="625" t="s">
        <v>92</v>
      </c>
      <c r="P8" s="626"/>
      <c r="U8" s="29"/>
      <c r="V8" s="20"/>
      <c r="W8" s="20"/>
      <c r="X8" s="20"/>
    </row>
    <row r="9" spans="1:26" s="28" customFormat="1" ht="25.5" customHeight="1" thickBot="1">
      <c r="A9" s="100"/>
      <c r="B9" s="564" t="s">
        <v>16</v>
      </c>
      <c r="C9" s="565"/>
      <c r="D9" s="566"/>
      <c r="E9" s="567"/>
      <c r="F9" s="567"/>
      <c r="G9" s="567"/>
      <c r="H9" s="567"/>
      <c r="I9" s="568"/>
      <c r="J9" s="120"/>
      <c r="K9" s="128" t="s">
        <v>17</v>
      </c>
      <c r="L9" s="129"/>
      <c r="M9" s="569" t="str">
        <f>IF($L9&lt;&gt;0,VLOOKUP($L9,$G$49:$K$63,2,FALSE),"")</f>
        <v/>
      </c>
      <c r="N9" s="570"/>
      <c r="O9" s="570"/>
      <c r="P9" s="571"/>
      <c r="U9" s="44"/>
      <c r="V9" s="20"/>
      <c r="W9" s="20"/>
      <c r="X9" s="20"/>
    </row>
    <row r="10" spans="1:26" ht="18" customHeight="1" thickBot="1">
      <c r="A10" s="5"/>
      <c r="B10" s="6"/>
      <c r="C10" s="6"/>
      <c r="D10" s="5"/>
      <c r="E10" s="6"/>
      <c r="F10" s="6"/>
      <c r="G10" s="5"/>
      <c r="H10" s="5"/>
      <c r="I10" s="11"/>
      <c r="J10" s="14"/>
      <c r="K10" s="6"/>
      <c r="L10" s="606"/>
      <c r="M10" s="606"/>
      <c r="N10" s="606"/>
      <c r="O10" s="606"/>
      <c r="P10" s="606"/>
    </row>
    <row r="11" spans="1:26" s="28" customFormat="1" ht="27" customHeight="1" thickTop="1">
      <c r="A11" s="100"/>
      <c r="B11" s="371" t="s">
        <v>415</v>
      </c>
      <c r="C11" s="219" t="s">
        <v>88</v>
      </c>
      <c r="D11" s="219" t="s">
        <v>408</v>
      </c>
      <c r="E11" s="219" t="s">
        <v>409</v>
      </c>
      <c r="F11" s="349" t="s">
        <v>109</v>
      </c>
      <c r="G11" s="627" t="s">
        <v>108</v>
      </c>
      <c r="H11" s="628"/>
      <c r="I11" s="629"/>
      <c r="J11" s="377" t="s">
        <v>410</v>
      </c>
      <c r="K11" s="219" t="s">
        <v>405</v>
      </c>
      <c r="L11" s="219" t="s">
        <v>406</v>
      </c>
      <c r="M11" s="219" t="s">
        <v>411</v>
      </c>
      <c r="N11" s="219" t="s">
        <v>407</v>
      </c>
      <c r="O11" s="219" t="s">
        <v>412</v>
      </c>
      <c r="P11" s="220" t="s">
        <v>93</v>
      </c>
      <c r="R11" s="610" t="s">
        <v>398</v>
      </c>
      <c r="S11" s="611"/>
      <c r="U11" s="327" t="s">
        <v>399</v>
      </c>
      <c r="V11" s="98" t="s">
        <v>402</v>
      </c>
      <c r="W11" s="98" t="s">
        <v>403</v>
      </c>
      <c r="X11" s="98" t="s">
        <v>404</v>
      </c>
      <c r="Y11" s="98" t="s">
        <v>400</v>
      </c>
      <c r="Z11" s="99" t="s">
        <v>401</v>
      </c>
    </row>
    <row r="12" spans="1:26" s="28" customFormat="1" ht="22.5" customHeight="1">
      <c r="B12" s="221">
        <v>1</v>
      </c>
      <c r="C12" s="222"/>
      <c r="D12" s="82" t="s">
        <v>924</v>
      </c>
      <c r="E12" s="85">
        <f t="shared" ref="E12" si="0">IF($D12&lt;&gt;0,VLOOKUP($D12,$D$45:$E$63,2,FALSE),"")</f>
        <v>231054</v>
      </c>
      <c r="F12" s="83">
        <v>141746</v>
      </c>
      <c r="G12" s="224" t="str">
        <f t="shared" ref="G12:G26" si="1">IF($F12&lt;&gt;0,VLOOKUP($F12,$E$67:$M$516,2,FALSE),"")</f>
        <v>MOBIL DTE 25 ULTRA DRUM 200L:KR</v>
      </c>
      <c r="H12" s="225"/>
      <c r="I12" s="226"/>
      <c r="J12" s="84" t="str">
        <f t="shared" ref="J12:J26" si="2">IF($F12&lt;&gt;0,VLOOKUP($F12,$E$67:$M$516,7,FALSE),"")</f>
        <v>DRUM</v>
      </c>
      <c r="K12" s="85" t="str">
        <f t="shared" ref="K12:K26" si="3">IF($F12&lt;&gt;0,VLOOKUP($F12,$E$67:$M$516,8,FALSE),"")</f>
        <v>IND</v>
      </c>
      <c r="L12" s="86">
        <v>51</v>
      </c>
      <c r="M12" s="87">
        <f t="shared" ref="M12:M26" si="4">IF($L12&lt;&gt;0,VLOOKUP($F12,$E$67:$M$516,9,FALSE)*$L12,"")</f>
        <v>10200</v>
      </c>
      <c r="N12" s="88">
        <v>440000</v>
      </c>
      <c r="O12" s="89">
        <f t="shared" ref="O12:O27" si="5">IF(L12&lt;&gt;0,$L12*$N12,"")</f>
        <v>22440000</v>
      </c>
      <c r="P12" s="502">
        <v>132</v>
      </c>
      <c r="R12" s="75" t="str">
        <f>VLOOKUP(F12,'파레트 제품 리스트'!$B:$F,4,0)</f>
        <v>DRUM</v>
      </c>
      <c r="S12" s="76">
        <f>VLOOKUP(F12,'파레트 제품 리스트'!$B:$F,5,0)</f>
        <v>1</v>
      </c>
      <c r="U12" s="328">
        <f>O12*1.1</f>
        <v>24684000.000000004</v>
      </c>
      <c r="V12" s="78" t="e">
        <f>VLOOKUP(F12,미출!$D:$F,3,0)</f>
        <v>#N/A</v>
      </c>
      <c r="W12" s="78">
        <f>COUNTIF($F$11:F12,F12)</f>
        <v>1</v>
      </c>
      <c r="X12" s="78" t="e">
        <f>VLOOKUP(F12,#REF!,7,0)</f>
        <v>#REF!</v>
      </c>
      <c r="Y12" s="79">
        <v>390000</v>
      </c>
      <c r="Z12" s="80" t="b">
        <f>N12=Y12</f>
        <v>0</v>
      </c>
    </row>
    <row r="13" spans="1:26" s="28" customFormat="1" ht="22.5" customHeight="1">
      <c r="B13" s="221">
        <v>2</v>
      </c>
      <c r="C13" s="222"/>
      <c r="D13" s="82" t="s">
        <v>924</v>
      </c>
      <c r="E13" s="85">
        <f t="shared" ref="E13:E26" si="6">IF($D13&lt;&gt;0,VLOOKUP($D13,$D$45:$E$63,2,FALSE),"")</f>
        <v>231054</v>
      </c>
      <c r="F13" s="83">
        <v>139130</v>
      </c>
      <c r="G13" s="224" t="str">
        <f t="shared" si="1"/>
        <v>MOBILGEAR 600 XP 150 DRUM 200L:KR</v>
      </c>
      <c r="H13" s="225"/>
      <c r="I13" s="226"/>
      <c r="J13" s="84" t="str">
        <f t="shared" si="2"/>
        <v>DRUM</v>
      </c>
      <c r="K13" s="85" t="str">
        <f t="shared" si="3"/>
        <v>IND</v>
      </c>
      <c r="L13" s="86">
        <v>25</v>
      </c>
      <c r="M13" s="87">
        <f t="shared" si="4"/>
        <v>5000</v>
      </c>
      <c r="N13" s="88">
        <v>600000</v>
      </c>
      <c r="O13" s="89">
        <f t="shared" si="5"/>
        <v>15000000</v>
      </c>
      <c r="P13" s="502">
        <v>56</v>
      </c>
      <c r="R13" s="75" t="str">
        <f>VLOOKUP(F13,'파레트 제품 리스트'!$B:$F,4,0)</f>
        <v>DRUM</v>
      </c>
      <c r="S13" s="76">
        <f>VLOOKUP(F13,'파레트 제품 리스트'!$B:$F,5,0)</f>
        <v>1</v>
      </c>
      <c r="U13" s="328">
        <f>O13*1.1</f>
        <v>16500000.000000002</v>
      </c>
      <c r="V13" s="78" t="e">
        <f>VLOOKUP(F13,미출!$D:$F,3,0)</f>
        <v>#N/A</v>
      </c>
      <c r="W13" s="78">
        <f>COUNTIF($F$11:F14,F13)</f>
        <v>1</v>
      </c>
      <c r="X13" s="78" t="e">
        <f>VLOOKUP(F13,#REF!,7,0)</f>
        <v>#REF!</v>
      </c>
      <c r="Y13" s="79">
        <v>4800000</v>
      </c>
      <c r="Z13" s="80" t="b">
        <f t="shared" ref="Z13" si="7">N13=Y13</f>
        <v>0</v>
      </c>
    </row>
    <row r="14" spans="1:26" s="28" customFormat="1" ht="22.5" customHeight="1">
      <c r="B14" s="221">
        <v>3</v>
      </c>
      <c r="C14" s="222"/>
      <c r="D14" s="82" t="s">
        <v>924</v>
      </c>
      <c r="E14" s="85">
        <f t="shared" si="6"/>
        <v>231054</v>
      </c>
      <c r="F14" s="83">
        <v>139128</v>
      </c>
      <c r="G14" s="224" t="str">
        <f t="shared" si="1"/>
        <v>MOBILGEAR 600 XP 100 DRUM 200L:KR</v>
      </c>
      <c r="H14" s="225"/>
      <c r="I14" s="226"/>
      <c r="J14" s="84" t="str">
        <f t="shared" si="2"/>
        <v>DRUM</v>
      </c>
      <c r="K14" s="85" t="str">
        <f t="shared" si="3"/>
        <v>IND</v>
      </c>
      <c r="L14" s="86">
        <v>3</v>
      </c>
      <c r="M14" s="87">
        <f t="shared" si="4"/>
        <v>600</v>
      </c>
      <c r="N14" s="88">
        <f t="shared" ref="N14:N20" si="8">IF($F14&lt;&gt;0,VLOOKUP($F14,$E$67:$L$516,5,FALSE),"")</f>
        <v>607000</v>
      </c>
      <c r="O14" s="89">
        <f t="shared" si="5"/>
        <v>1821000</v>
      </c>
      <c r="P14" s="502">
        <v>24</v>
      </c>
      <c r="R14" s="75" t="str">
        <f>VLOOKUP(F14,'파레트 제품 리스트'!$B:$F,4,0)</f>
        <v>DRUM</v>
      </c>
      <c r="S14" s="76">
        <f>VLOOKUP(F14,'파레트 제품 리스트'!$B:$F,5,0)</f>
        <v>1</v>
      </c>
      <c r="U14" s="328">
        <f>O14*1.1</f>
        <v>2003100.0000000002</v>
      </c>
      <c r="V14" s="78" t="e">
        <f>VLOOKUP(F14,미출!$D:$F,3,0)</f>
        <v>#N/A</v>
      </c>
      <c r="W14" s="78">
        <f>COUNTIF($F$11:F14,F14)</f>
        <v>1</v>
      </c>
      <c r="X14" s="78" t="e">
        <f>VLOOKUP(F14,#REF!,7,0)</f>
        <v>#REF!</v>
      </c>
      <c r="Y14" s="79"/>
      <c r="Z14" s="80" t="b">
        <f>N14=Y14</f>
        <v>0</v>
      </c>
    </row>
    <row r="15" spans="1:26" s="28" customFormat="1" ht="22.5" customHeight="1">
      <c r="B15" s="221">
        <v>4</v>
      </c>
      <c r="C15" s="337"/>
      <c r="D15" s="82" t="s">
        <v>924</v>
      </c>
      <c r="E15" s="339">
        <f t="shared" si="6"/>
        <v>231054</v>
      </c>
      <c r="F15" s="336">
        <v>139132</v>
      </c>
      <c r="G15" s="340" t="str">
        <f t="shared" si="1"/>
        <v>MOBILGEAR 600 XP 220 DRUM 200L:KR</v>
      </c>
      <c r="H15" s="341"/>
      <c r="I15" s="342"/>
      <c r="J15" s="343" t="str">
        <f t="shared" si="2"/>
        <v>DRUM</v>
      </c>
      <c r="K15" s="339" t="str">
        <f t="shared" si="3"/>
        <v>IND</v>
      </c>
      <c r="L15" s="326">
        <v>1</v>
      </c>
      <c r="M15" s="344">
        <f t="shared" si="4"/>
        <v>200</v>
      </c>
      <c r="N15" s="88">
        <f t="shared" si="8"/>
        <v>623000</v>
      </c>
      <c r="O15" s="346">
        <f t="shared" si="5"/>
        <v>623000</v>
      </c>
      <c r="P15" s="503">
        <v>0</v>
      </c>
      <c r="R15" s="75" t="str">
        <f>VLOOKUP(F15,'파레트 제품 리스트'!$B:$F,4,0)</f>
        <v>DRUM</v>
      </c>
      <c r="S15" s="76">
        <f>VLOOKUP(F15,'파레트 제품 리스트'!$B:$F,5,0)</f>
        <v>1</v>
      </c>
      <c r="U15" s="328">
        <f t="shared" ref="U15:U16" si="9">O15*1.1</f>
        <v>685300</v>
      </c>
      <c r="V15" s="78" t="e">
        <f>VLOOKUP(F15,미출!$D:$F,3,0)</f>
        <v>#N/A</v>
      </c>
      <c r="W15" s="78">
        <f>COUNTIF($F$11:F17,F15)</f>
        <v>1</v>
      </c>
      <c r="X15" s="78" t="e">
        <f>VLOOKUP(F15,#REF!,7,0)</f>
        <v>#REF!</v>
      </c>
      <c r="Y15" s="79"/>
      <c r="Z15" s="80" t="b">
        <f t="shared" ref="Z15:Z16" si="10">N15=Y15</f>
        <v>0</v>
      </c>
    </row>
    <row r="16" spans="1:26" s="28" customFormat="1" ht="22.5" customHeight="1">
      <c r="B16" s="221">
        <v>5</v>
      </c>
      <c r="C16" s="222"/>
      <c r="D16" s="82"/>
      <c r="E16" s="85" t="str">
        <f t="shared" si="6"/>
        <v/>
      </c>
      <c r="F16" s="83"/>
      <c r="G16" s="224" t="str">
        <f t="shared" si="1"/>
        <v/>
      </c>
      <c r="H16" s="225"/>
      <c r="I16" s="226"/>
      <c r="J16" s="84" t="str">
        <f t="shared" si="2"/>
        <v/>
      </c>
      <c r="K16" s="85" t="str">
        <f t="shared" si="3"/>
        <v/>
      </c>
      <c r="L16" s="86"/>
      <c r="M16" s="87" t="str">
        <f t="shared" si="4"/>
        <v/>
      </c>
      <c r="N16" s="88" t="str">
        <f t="shared" si="8"/>
        <v/>
      </c>
      <c r="O16" s="89" t="str">
        <f t="shared" si="5"/>
        <v/>
      </c>
      <c r="P16" s="231"/>
      <c r="R16" s="75" t="e">
        <f>VLOOKUP(F16,'파레트 제품 리스트'!$B:$F,4,0)</f>
        <v>#N/A</v>
      </c>
      <c r="S16" s="76" t="e">
        <f>VLOOKUP(F16,'파레트 제품 리스트'!$B:$F,5,0)</f>
        <v>#N/A</v>
      </c>
      <c r="U16" s="328" t="e">
        <f t="shared" si="9"/>
        <v>#VALUE!</v>
      </c>
      <c r="V16" s="78" t="e">
        <f>VLOOKUP(F16,미출!$D:$F,3,0)</f>
        <v>#N/A</v>
      </c>
      <c r="W16" s="78">
        <f>COUNTIF($F5:F$11,F16)</f>
        <v>0</v>
      </c>
      <c r="X16" s="78" t="e">
        <f>VLOOKUP(F16,#REF!,7,0)</f>
        <v>#REF!</v>
      </c>
      <c r="Y16" s="79"/>
      <c r="Z16" s="80" t="b">
        <f t="shared" si="10"/>
        <v>1</v>
      </c>
    </row>
    <row r="17" spans="1:26" s="28" customFormat="1" ht="22.5" customHeight="1">
      <c r="B17" s="221">
        <v>6</v>
      </c>
      <c r="C17" s="222"/>
      <c r="D17" s="82"/>
      <c r="E17" s="85" t="str">
        <f t="shared" si="6"/>
        <v/>
      </c>
      <c r="F17" s="83"/>
      <c r="G17" s="224" t="str">
        <f t="shared" si="1"/>
        <v/>
      </c>
      <c r="H17" s="225"/>
      <c r="I17" s="226"/>
      <c r="J17" s="84" t="str">
        <f t="shared" si="2"/>
        <v/>
      </c>
      <c r="K17" s="85" t="str">
        <f t="shared" si="3"/>
        <v/>
      </c>
      <c r="L17" s="86"/>
      <c r="M17" s="87" t="str">
        <f t="shared" si="4"/>
        <v/>
      </c>
      <c r="N17" s="88" t="str">
        <f t="shared" si="8"/>
        <v/>
      </c>
      <c r="O17" s="89" t="str">
        <f t="shared" si="5"/>
        <v/>
      </c>
      <c r="P17" s="231"/>
      <c r="R17" s="75" t="e">
        <f>VLOOKUP(F17,'파레트 제품 리스트'!$B:$F,4,0)</f>
        <v>#N/A</v>
      </c>
      <c r="S17" s="76" t="e">
        <f>VLOOKUP(F17,'파레트 제품 리스트'!$B:$F,5,0)</f>
        <v>#N/A</v>
      </c>
      <c r="U17" s="328" t="e">
        <f>O17*1.1</f>
        <v>#VALUE!</v>
      </c>
      <c r="V17" s="78" t="e">
        <f>VLOOKUP(F17,미출!$D:$F,3,0)</f>
        <v>#N/A</v>
      </c>
      <c r="W17" s="78">
        <f>COUNTIF($F$11:F17,F17)</f>
        <v>0</v>
      </c>
      <c r="X17" s="78" t="e">
        <f>VLOOKUP(F17,#REF!,7,0)</f>
        <v>#REF!</v>
      </c>
      <c r="Y17" s="79"/>
      <c r="Z17" s="80" t="b">
        <f>N17=Y17</f>
        <v>1</v>
      </c>
    </row>
    <row r="18" spans="1:26" s="28" customFormat="1" ht="22.5" customHeight="1">
      <c r="B18" s="221">
        <v>7</v>
      </c>
      <c r="C18" s="222"/>
      <c r="D18" s="82"/>
      <c r="E18" s="85" t="str">
        <f t="shared" si="6"/>
        <v/>
      </c>
      <c r="F18" s="83"/>
      <c r="G18" s="224" t="str">
        <f t="shared" si="1"/>
        <v/>
      </c>
      <c r="H18" s="225"/>
      <c r="I18" s="226"/>
      <c r="J18" s="84" t="str">
        <f t="shared" si="2"/>
        <v/>
      </c>
      <c r="K18" s="85" t="str">
        <f t="shared" si="3"/>
        <v/>
      </c>
      <c r="L18" s="86"/>
      <c r="M18" s="87" t="str">
        <f t="shared" si="4"/>
        <v/>
      </c>
      <c r="N18" s="88" t="str">
        <f t="shared" si="8"/>
        <v/>
      </c>
      <c r="O18" s="89" t="str">
        <f t="shared" si="5"/>
        <v/>
      </c>
      <c r="P18" s="231"/>
      <c r="R18" s="75" t="e">
        <f>VLOOKUP(F18,'파레트 제품 리스트'!$B:$F,4,0)</f>
        <v>#N/A</v>
      </c>
      <c r="S18" s="76" t="e">
        <f>VLOOKUP(F18,'파레트 제품 리스트'!$B:$F,5,0)</f>
        <v>#N/A</v>
      </c>
      <c r="U18" s="328" t="e">
        <f>O18*1.1</f>
        <v>#VALUE!</v>
      </c>
      <c r="V18" s="78" t="e">
        <f>VLOOKUP(F18,미출!$D:$F,3,0)</f>
        <v>#N/A</v>
      </c>
      <c r="W18" s="78">
        <f>COUNTIF($F$11:F19,F18)</f>
        <v>0</v>
      </c>
      <c r="X18" s="78" t="e">
        <f>VLOOKUP(F18,#REF!,7,0)</f>
        <v>#REF!</v>
      </c>
      <c r="Y18" s="79"/>
      <c r="Z18" s="80" t="b">
        <f t="shared" ref="Z18" si="11">N18=Y18</f>
        <v>1</v>
      </c>
    </row>
    <row r="19" spans="1:26" s="28" customFormat="1" ht="22.5" customHeight="1">
      <c r="B19" s="221">
        <v>8</v>
      </c>
      <c r="C19" s="222"/>
      <c r="D19" s="82"/>
      <c r="E19" s="85" t="str">
        <f t="shared" si="6"/>
        <v/>
      </c>
      <c r="F19" s="83"/>
      <c r="G19" s="224" t="str">
        <f t="shared" si="1"/>
        <v/>
      </c>
      <c r="H19" s="225"/>
      <c r="I19" s="226"/>
      <c r="J19" s="84" t="str">
        <f t="shared" si="2"/>
        <v/>
      </c>
      <c r="K19" s="85" t="str">
        <f t="shared" si="3"/>
        <v/>
      </c>
      <c r="L19" s="86"/>
      <c r="M19" s="87" t="str">
        <f t="shared" si="4"/>
        <v/>
      </c>
      <c r="N19" s="88" t="str">
        <f t="shared" si="8"/>
        <v/>
      </c>
      <c r="O19" s="89" t="str">
        <f t="shared" si="5"/>
        <v/>
      </c>
      <c r="P19" s="231"/>
      <c r="R19" s="75" t="e">
        <f>VLOOKUP(F19,'파레트 제품 리스트'!$B:$F,4,0)</f>
        <v>#N/A</v>
      </c>
      <c r="S19" s="76" t="e">
        <f>VLOOKUP(F19,'파레트 제품 리스트'!$B:$F,5,0)</f>
        <v>#N/A</v>
      </c>
      <c r="U19" s="328" t="e">
        <f>O19*1.1</f>
        <v>#VALUE!</v>
      </c>
      <c r="V19" s="78" t="e">
        <f>VLOOKUP(F19,미출!$D:$F,3,0)</f>
        <v>#N/A</v>
      </c>
      <c r="W19" s="78">
        <f>COUNTIF($F$11:F19,F19)</f>
        <v>0</v>
      </c>
      <c r="X19" s="78" t="e">
        <f>VLOOKUP(F19,#REF!,7,0)</f>
        <v>#REF!</v>
      </c>
      <c r="Y19" s="79"/>
      <c r="Z19" s="80" t="b">
        <f>N19=Y19</f>
        <v>1</v>
      </c>
    </row>
    <row r="20" spans="1:26" s="28" customFormat="1" ht="22.5" customHeight="1">
      <c r="B20" s="221">
        <v>9</v>
      </c>
      <c r="C20" s="337"/>
      <c r="D20" s="338"/>
      <c r="E20" s="339" t="str">
        <f t="shared" si="6"/>
        <v/>
      </c>
      <c r="F20" s="348"/>
      <c r="G20" s="340" t="str">
        <f t="shared" si="1"/>
        <v/>
      </c>
      <c r="H20" s="341"/>
      <c r="I20" s="342"/>
      <c r="J20" s="343" t="str">
        <f t="shared" si="2"/>
        <v/>
      </c>
      <c r="K20" s="339" t="str">
        <f t="shared" si="3"/>
        <v/>
      </c>
      <c r="L20" s="326"/>
      <c r="M20" s="344" t="str">
        <f t="shared" si="4"/>
        <v/>
      </c>
      <c r="N20" s="88" t="str">
        <f t="shared" si="8"/>
        <v/>
      </c>
      <c r="O20" s="346" t="str">
        <f t="shared" si="5"/>
        <v/>
      </c>
      <c r="P20" s="347"/>
      <c r="R20" s="75" t="e">
        <f>VLOOKUP(F20,'파레트 제품 리스트'!$B:$F,4,0)</f>
        <v>#N/A</v>
      </c>
      <c r="S20" s="76" t="e">
        <f>VLOOKUP(F20,'파레트 제품 리스트'!$B:$F,5,0)</f>
        <v>#N/A</v>
      </c>
      <c r="U20" s="328" t="e">
        <f t="shared" ref="U20:U21" si="12">O20*1.1</f>
        <v>#VALUE!</v>
      </c>
      <c r="V20" s="78" t="e">
        <f>VLOOKUP(F20,미출!$D:$F,3,0)</f>
        <v>#N/A</v>
      </c>
      <c r="W20" s="78">
        <f>COUNTIF($F$11:F22,F20)</f>
        <v>0</v>
      </c>
      <c r="X20" s="78" t="e">
        <f>VLOOKUP(F20,#REF!,7,0)</f>
        <v>#REF!</v>
      </c>
      <c r="Y20" s="79"/>
      <c r="Z20" s="80" t="b">
        <f t="shared" ref="Z20:Z21" si="13">N20=Y20</f>
        <v>1</v>
      </c>
    </row>
    <row r="21" spans="1:26" s="28" customFormat="1" ht="22.5" customHeight="1">
      <c r="B21" s="221">
        <v>10</v>
      </c>
      <c r="C21" s="222"/>
      <c r="D21" s="338"/>
      <c r="E21" s="85" t="str">
        <f t="shared" si="6"/>
        <v/>
      </c>
      <c r="F21" s="83"/>
      <c r="G21" s="224" t="str">
        <f t="shared" si="1"/>
        <v/>
      </c>
      <c r="H21" s="225"/>
      <c r="I21" s="226"/>
      <c r="J21" s="84" t="str">
        <f t="shared" si="2"/>
        <v/>
      </c>
      <c r="K21" s="85" t="str">
        <f t="shared" si="3"/>
        <v/>
      </c>
      <c r="L21" s="86"/>
      <c r="M21" s="87" t="str">
        <f t="shared" si="4"/>
        <v/>
      </c>
      <c r="N21" s="88" t="str">
        <f t="shared" ref="N21" si="14">IF($F21&lt;&gt;0,VLOOKUP($F21,$E$67:$L$516,5,FALSE),"")</f>
        <v/>
      </c>
      <c r="O21" s="89" t="str">
        <f t="shared" si="5"/>
        <v/>
      </c>
      <c r="P21" s="231"/>
      <c r="R21" s="75" t="e">
        <f>VLOOKUP(F21,'파레트 제품 리스트'!$B:$F,4,0)</f>
        <v>#N/A</v>
      </c>
      <c r="S21" s="76" t="e">
        <f>VLOOKUP(F21,'파레트 제품 리스트'!$B:$F,5,0)</f>
        <v>#N/A</v>
      </c>
      <c r="U21" s="328" t="e">
        <f t="shared" si="12"/>
        <v>#VALUE!</v>
      </c>
      <c r="V21" s="78" t="e">
        <f>VLOOKUP(F21,미출!$D:$F,3,0)</f>
        <v>#N/A</v>
      </c>
      <c r="W21" s="78">
        <f>COUNTIF($F10:F$11,F21)</f>
        <v>0</v>
      </c>
      <c r="X21" s="78" t="e">
        <f>VLOOKUP(F21,#REF!,7,0)</f>
        <v>#REF!</v>
      </c>
      <c r="Y21" s="79"/>
      <c r="Z21" s="80" t="b">
        <f t="shared" si="13"/>
        <v>1</v>
      </c>
    </row>
    <row r="22" spans="1:26" s="28" customFormat="1" ht="22.5" customHeight="1">
      <c r="B22" s="221">
        <v>11</v>
      </c>
      <c r="C22" s="222"/>
      <c r="D22" s="82"/>
      <c r="E22" s="85" t="str">
        <f t="shared" si="6"/>
        <v/>
      </c>
      <c r="F22" s="83"/>
      <c r="G22" s="224" t="str">
        <f t="shared" si="1"/>
        <v/>
      </c>
      <c r="H22" s="225"/>
      <c r="I22" s="226"/>
      <c r="J22" s="84" t="str">
        <f t="shared" si="2"/>
        <v/>
      </c>
      <c r="K22" s="85" t="str">
        <f t="shared" si="3"/>
        <v/>
      </c>
      <c r="L22" s="86"/>
      <c r="M22" s="87" t="str">
        <f t="shared" si="4"/>
        <v/>
      </c>
      <c r="N22" s="88" t="str">
        <f>IF($F22&lt;&gt;0,VLOOKUP($F22,$E$67:$L$516,5,FALSE),"")</f>
        <v/>
      </c>
      <c r="O22" s="89" t="str">
        <f t="shared" si="5"/>
        <v/>
      </c>
      <c r="P22" s="231"/>
      <c r="R22" s="75" t="e">
        <f>VLOOKUP(F22,'파레트 제품 리스트'!$B:$F,4,0)</f>
        <v>#N/A</v>
      </c>
      <c r="S22" s="76" t="e">
        <f>VLOOKUP(F22,'파레트 제품 리스트'!$B:$F,5,0)</f>
        <v>#N/A</v>
      </c>
      <c r="U22" s="328" t="e">
        <f>O22*1.1</f>
        <v>#VALUE!</v>
      </c>
      <c r="V22" s="78" t="e">
        <f>VLOOKUP(F22,미출!$D:$F,3,0)</f>
        <v>#N/A</v>
      </c>
      <c r="W22" s="78">
        <f>COUNTIF($F$11:F22,F22)</f>
        <v>0</v>
      </c>
      <c r="X22" s="78" t="e">
        <f>VLOOKUP(F22,#REF!,7,0)</f>
        <v>#REF!</v>
      </c>
      <c r="Y22" s="79"/>
      <c r="Z22" s="80" t="b">
        <f>N22=Y22</f>
        <v>1</v>
      </c>
    </row>
    <row r="23" spans="1:26" s="28" customFormat="1" ht="22.5" customHeight="1">
      <c r="B23" s="221">
        <v>12</v>
      </c>
      <c r="C23" s="222"/>
      <c r="D23" s="82"/>
      <c r="E23" s="85" t="str">
        <f t="shared" si="6"/>
        <v/>
      </c>
      <c r="F23" s="83"/>
      <c r="G23" s="224" t="str">
        <f t="shared" si="1"/>
        <v/>
      </c>
      <c r="H23" s="225"/>
      <c r="I23" s="226"/>
      <c r="J23" s="84" t="str">
        <f t="shared" si="2"/>
        <v/>
      </c>
      <c r="K23" s="85" t="str">
        <f t="shared" si="3"/>
        <v/>
      </c>
      <c r="L23" s="86"/>
      <c r="M23" s="87" t="str">
        <f t="shared" si="4"/>
        <v/>
      </c>
      <c r="N23" s="88" t="str">
        <f>IF($F23&lt;&gt;0,VLOOKUP($F23,$E$67:$L$516,5,FALSE),"")</f>
        <v/>
      </c>
      <c r="O23" s="89" t="str">
        <f t="shared" si="5"/>
        <v/>
      </c>
      <c r="P23" s="231"/>
      <c r="R23" s="75" t="e">
        <f>VLOOKUP(F23,'파레트 제품 리스트'!$B:$F,4,0)</f>
        <v>#N/A</v>
      </c>
      <c r="S23" s="76" t="e">
        <f>VLOOKUP(F23,'파레트 제품 리스트'!$B:$F,5,0)</f>
        <v>#N/A</v>
      </c>
      <c r="U23" s="328" t="e">
        <f>O23*1.1</f>
        <v>#VALUE!</v>
      </c>
      <c r="V23" s="78" t="e">
        <f>VLOOKUP(F23,미출!$D:$F,3,0)</f>
        <v>#N/A</v>
      </c>
      <c r="W23" s="78">
        <f>COUNTIF($F$11:F24,F23)</f>
        <v>0</v>
      </c>
      <c r="X23" s="78" t="e">
        <f>VLOOKUP(F23,#REF!,7,0)</f>
        <v>#REF!</v>
      </c>
      <c r="Y23" s="79"/>
      <c r="Z23" s="80" t="b">
        <f t="shared" ref="Z23" si="15">N23=Y23</f>
        <v>1</v>
      </c>
    </row>
    <row r="24" spans="1:26" s="28" customFormat="1" ht="22.5" customHeight="1">
      <c r="B24" s="221">
        <v>13</v>
      </c>
      <c r="C24" s="222"/>
      <c r="D24" s="82"/>
      <c r="E24" s="85" t="str">
        <f t="shared" si="6"/>
        <v/>
      </c>
      <c r="F24" s="83"/>
      <c r="G24" s="224" t="str">
        <f t="shared" si="1"/>
        <v/>
      </c>
      <c r="H24" s="225"/>
      <c r="I24" s="226"/>
      <c r="J24" s="84" t="str">
        <f t="shared" si="2"/>
        <v/>
      </c>
      <c r="K24" s="85" t="str">
        <f t="shared" si="3"/>
        <v/>
      </c>
      <c r="L24" s="86"/>
      <c r="M24" s="87" t="str">
        <f t="shared" si="4"/>
        <v/>
      </c>
      <c r="N24" s="88" t="str">
        <f>IF($F24&lt;&gt;0,VLOOKUP($F24,$E$67:$L$516,5,FALSE),"")</f>
        <v/>
      </c>
      <c r="O24" s="89" t="str">
        <f t="shared" si="5"/>
        <v/>
      </c>
      <c r="P24" s="231"/>
      <c r="R24" s="75" t="e">
        <f>VLOOKUP(F24,'파레트 제품 리스트'!$B:$F,4,0)</f>
        <v>#N/A</v>
      </c>
      <c r="S24" s="76" t="e">
        <f>VLOOKUP(F24,'파레트 제품 리스트'!$B:$F,5,0)</f>
        <v>#N/A</v>
      </c>
      <c r="U24" s="328" t="e">
        <f>O24*1.1</f>
        <v>#VALUE!</v>
      </c>
      <c r="V24" s="78" t="e">
        <f>VLOOKUP(F24,미출!$D:$F,3,0)</f>
        <v>#N/A</v>
      </c>
      <c r="W24" s="78">
        <f>COUNTIF($F$11:F24,F24)</f>
        <v>0</v>
      </c>
      <c r="X24" s="78" t="e">
        <f>VLOOKUP(F24,#REF!,7,0)</f>
        <v>#REF!</v>
      </c>
      <c r="Y24" s="79"/>
      <c r="Z24" s="80" t="b">
        <f>N24=Y24</f>
        <v>1</v>
      </c>
    </row>
    <row r="25" spans="1:26" s="28" customFormat="1" ht="22.5" customHeight="1">
      <c r="B25" s="221">
        <v>14</v>
      </c>
      <c r="C25" s="222"/>
      <c r="D25" s="82"/>
      <c r="E25" s="85" t="str">
        <f t="shared" si="6"/>
        <v/>
      </c>
      <c r="F25" s="83"/>
      <c r="G25" s="224" t="str">
        <f t="shared" si="1"/>
        <v/>
      </c>
      <c r="H25" s="225"/>
      <c r="I25" s="226"/>
      <c r="J25" s="84" t="str">
        <f t="shared" si="2"/>
        <v/>
      </c>
      <c r="K25" s="85" t="str">
        <f t="shared" si="3"/>
        <v/>
      </c>
      <c r="L25" s="86"/>
      <c r="M25" s="87" t="str">
        <f t="shared" si="4"/>
        <v/>
      </c>
      <c r="N25" s="345"/>
      <c r="O25" s="89" t="str">
        <f t="shared" si="5"/>
        <v/>
      </c>
      <c r="P25" s="231"/>
      <c r="R25" s="75" t="e">
        <f>VLOOKUP(F25,'파레트 제품 리스트'!$B:$F,4,0)</f>
        <v>#N/A</v>
      </c>
      <c r="S25" s="76" t="e">
        <f>VLOOKUP(F25,'파레트 제품 리스트'!$B:$F,5,0)</f>
        <v>#N/A</v>
      </c>
      <c r="U25" s="328" t="e">
        <f t="shared" ref="U25:U26" si="16">O25*1.1</f>
        <v>#VALUE!</v>
      </c>
      <c r="V25" s="78" t="e">
        <f>VLOOKUP(F25,미출!$D:$F,3,0)</f>
        <v>#N/A</v>
      </c>
      <c r="W25" s="78">
        <f>COUNTIF($F$11:F11,F25)</f>
        <v>0</v>
      </c>
      <c r="X25" s="78" t="e">
        <f>VLOOKUP(F25,#REF!,7,0)</f>
        <v>#REF!</v>
      </c>
      <c r="Y25" s="79"/>
      <c r="Z25" s="80" t="b">
        <f t="shared" ref="Z25:Z26" si="17">N25=Y25</f>
        <v>1</v>
      </c>
    </row>
    <row r="26" spans="1:26" s="28" customFormat="1" ht="22.5" customHeight="1" thickBot="1">
      <c r="B26" s="355">
        <v>15</v>
      </c>
      <c r="C26" s="223"/>
      <c r="D26" s="90"/>
      <c r="E26" s="92" t="str">
        <f t="shared" si="6"/>
        <v/>
      </c>
      <c r="F26" s="104"/>
      <c r="G26" s="227" t="str">
        <f t="shared" si="1"/>
        <v/>
      </c>
      <c r="H26" s="228"/>
      <c r="I26" s="229"/>
      <c r="J26" s="91" t="str">
        <f t="shared" si="2"/>
        <v/>
      </c>
      <c r="K26" s="92" t="str">
        <f t="shared" si="3"/>
        <v/>
      </c>
      <c r="L26" s="93"/>
      <c r="M26" s="94" t="str">
        <f t="shared" si="4"/>
        <v/>
      </c>
      <c r="N26" s="95" t="str">
        <f>IF($F26&lt;&gt;0,VLOOKUP($F26,$E$67:$L$516,5,FALSE),"")</f>
        <v/>
      </c>
      <c r="O26" s="96" t="str">
        <f t="shared" si="5"/>
        <v/>
      </c>
      <c r="P26" s="230"/>
      <c r="R26" s="75" t="e">
        <f>VLOOKUP(F26,'파레트 제품 리스트'!$B:$F,4,0)</f>
        <v>#N/A</v>
      </c>
      <c r="S26" s="76" t="e">
        <f>VLOOKUP(F26,'파레트 제품 리스트'!$B:$F,5,0)</f>
        <v>#N/A</v>
      </c>
      <c r="U26" s="328" t="e">
        <f t="shared" si="16"/>
        <v>#VALUE!</v>
      </c>
      <c r="V26" s="78" t="e">
        <f>VLOOKUP(F26,미출!$D:$F,3,0)</f>
        <v>#N/A</v>
      </c>
      <c r="W26" s="78">
        <f>COUNTIF($F$11:F26,F26)</f>
        <v>0</v>
      </c>
      <c r="X26" s="78" t="e">
        <f>VLOOKUP(F26,#REF!,7,0)</f>
        <v>#REF!</v>
      </c>
      <c r="Y26" s="79"/>
      <c r="Z26" s="80" t="b">
        <f t="shared" si="17"/>
        <v>1</v>
      </c>
    </row>
    <row r="27" spans="1:26" s="43" customFormat="1" ht="12" customHeight="1" thickTop="1" thickBot="1">
      <c r="A27" s="4"/>
      <c r="B27" s="105"/>
      <c r="C27" s="105"/>
      <c r="D27" s="130"/>
      <c r="E27" s="105"/>
      <c r="F27" s="105"/>
      <c r="G27" s="131"/>
      <c r="H27" s="131"/>
      <c r="I27" s="132"/>
      <c r="J27" s="120" t="str">
        <f>IF($F27&lt;&gt;0,VLOOKUP($F27,$E$68:$M$464,7,FALSE),"")</f>
        <v/>
      </c>
      <c r="K27" s="105" t="str">
        <f>IF($F27&lt;&gt;0,VLOOKUP($F27,$E$68:$M$464,8,FALSE),"")</f>
        <v/>
      </c>
      <c r="L27" s="100"/>
      <c r="M27" s="100" t="str">
        <f>IF($L27&lt;&gt;0,VLOOKUP($F27,$E$68:$M$464,9,FALSE)*$L27,"")</f>
        <v/>
      </c>
      <c r="N27" s="100" t="str">
        <f>IF($F27&lt;&gt;0,VLOOKUP($F27,$E$68:$M$464,5,FALSE),"")</f>
        <v/>
      </c>
      <c r="O27" s="100" t="str">
        <f t="shared" si="5"/>
        <v/>
      </c>
      <c r="P27" s="100"/>
      <c r="U27" s="55"/>
      <c r="V27" s="20"/>
      <c r="W27" s="20"/>
      <c r="X27" s="21"/>
    </row>
    <row r="28" spans="1:26" s="43" customFormat="1" ht="18" customHeight="1" thickBot="1">
      <c r="A28" s="4"/>
      <c r="B28" s="105"/>
      <c r="C28" s="105"/>
      <c r="D28" s="100"/>
      <c r="E28" s="105"/>
      <c r="F28" s="105"/>
      <c r="G28" s="100"/>
      <c r="H28" s="100"/>
      <c r="I28" s="612" t="s">
        <v>18</v>
      </c>
      <c r="J28" s="106" t="s">
        <v>413</v>
      </c>
      <c r="K28" s="107">
        <f>SUM(M12:M26)</f>
        <v>16000</v>
      </c>
      <c r="L28" s="100"/>
      <c r="M28" s="614" t="s">
        <v>19</v>
      </c>
      <c r="N28" s="108" t="s">
        <v>20</v>
      </c>
      <c r="O28" s="616">
        <f>SUM(O12:O26)</f>
        <v>39884000</v>
      </c>
      <c r="P28" s="617"/>
      <c r="U28" s="55"/>
      <c r="V28" s="20"/>
      <c r="W28" s="20"/>
      <c r="X28" s="21"/>
    </row>
    <row r="29" spans="1:26" s="43" customFormat="1" ht="18" customHeight="1" thickBot="1">
      <c r="A29" s="4"/>
      <c r="B29" s="105"/>
      <c r="C29" s="105"/>
      <c r="D29" s="100"/>
      <c r="E29"/>
      <c r="F29" s="105"/>
      <c r="G29" s="100"/>
      <c r="H29" s="100"/>
      <c r="I29" s="613"/>
      <c r="J29" s="109" t="s">
        <v>414</v>
      </c>
      <c r="K29" s="110">
        <f>$K$28/200</f>
        <v>80</v>
      </c>
      <c r="L29" s="100"/>
      <c r="M29" s="615"/>
      <c r="N29" s="111" t="s">
        <v>21</v>
      </c>
      <c r="O29" s="618">
        <f>O28*1.1</f>
        <v>43872400</v>
      </c>
      <c r="P29" s="619"/>
      <c r="U29" s="55"/>
      <c r="V29" s="20"/>
      <c r="W29" s="20"/>
      <c r="X29" s="21"/>
    </row>
    <row r="30" spans="1:26" s="43" customFormat="1" ht="16.5" customHeight="1">
      <c r="B30" s="21"/>
      <c r="C30" s="21"/>
      <c r="E30"/>
      <c r="F30" s="21"/>
      <c r="I30" s="42"/>
      <c r="J30" s="61"/>
      <c r="K30" s="21"/>
      <c r="U30" s="42"/>
      <c r="V30" s="21"/>
      <c r="W30" s="21"/>
      <c r="X30" s="21"/>
    </row>
    <row r="31" spans="1:26" ht="16.5" customHeight="1">
      <c r="K31" s="58"/>
    </row>
    <row r="32" spans="1:26" ht="16.5" customHeight="1">
      <c r="A32" s="43"/>
      <c r="P32" s="12"/>
    </row>
    <row r="33" spans="2:26" ht="16.5" customHeight="1">
      <c r="P33" s="12"/>
    </row>
    <row r="34" spans="2:26" ht="16.5" customHeight="1">
      <c r="P34" s="12"/>
      <c r="Y34"/>
    </row>
    <row r="35" spans="2:26" ht="16.5" customHeight="1"/>
    <row r="36" spans="2:26" ht="16.5" customHeight="1"/>
    <row r="37" spans="2:26" ht="16.5" customHeight="1"/>
    <row r="38" spans="2:26" ht="16.5" customHeight="1"/>
    <row r="39" spans="2:26" ht="16.5" customHeight="1"/>
    <row r="40" spans="2:26" s="3" customFormat="1" ht="16.5" customHeight="1" thickBot="1">
      <c r="B40" s="2"/>
      <c r="C40" s="2"/>
      <c r="E40" s="2"/>
      <c r="F40" s="2"/>
      <c r="I40" s="13"/>
      <c r="J40" s="16"/>
      <c r="K40" s="2"/>
      <c r="U40" s="45"/>
      <c r="V40" s="22"/>
      <c r="W40" s="56"/>
      <c r="X40" s="56"/>
      <c r="Y40" s="81"/>
      <c r="Z40" s="81"/>
    </row>
    <row r="41" spans="2:26" ht="13.5" customHeight="1">
      <c r="B41" s="598" t="s">
        <v>22</v>
      </c>
      <c r="C41" s="599"/>
      <c r="D41" s="599"/>
      <c r="E41" s="600"/>
    </row>
    <row r="42" spans="2:26" ht="14.25" customHeight="1" thickBot="1">
      <c r="B42" s="601"/>
      <c r="C42" s="602"/>
      <c r="D42" s="602"/>
      <c r="E42" s="603"/>
    </row>
    <row r="43" spans="2:26" ht="14.25" customHeight="1">
      <c r="B43" s="269"/>
      <c r="C43" s="269"/>
      <c r="D43" s="269"/>
      <c r="E43" s="269"/>
      <c r="I43" s="260"/>
      <c r="J43" s="261"/>
      <c r="U43" s="285"/>
    </row>
    <row r="44" spans="2:26" ht="14.25" customHeight="1">
      <c r="B44" s="269"/>
      <c r="C44" s="269"/>
      <c r="D44" s="259" t="s">
        <v>76</v>
      </c>
      <c r="E44" s="259" t="s">
        <v>23</v>
      </c>
      <c r="G44" s="280" t="s">
        <v>77</v>
      </c>
      <c r="H44" s="286" t="s">
        <v>16</v>
      </c>
      <c r="I44" s="232"/>
      <c r="J44" s="232"/>
      <c r="K44" s="233"/>
      <c r="M44" s="274" t="s">
        <v>14</v>
      </c>
      <c r="N44" s="259" t="s">
        <v>15</v>
      </c>
      <c r="O44" s="259"/>
      <c r="U44" s="285"/>
    </row>
    <row r="45" spans="2:26">
      <c r="D45" s="281" t="s">
        <v>955</v>
      </c>
      <c r="E45" s="282">
        <v>194667</v>
      </c>
      <c r="G45" s="281" t="s">
        <v>793</v>
      </c>
      <c r="H45" s="284" t="s">
        <v>792</v>
      </c>
      <c r="I45" s="275"/>
      <c r="J45" s="276"/>
      <c r="K45" s="254"/>
      <c r="L45" s="28"/>
      <c r="M45" s="255"/>
      <c r="N45" s="255"/>
      <c r="O45" s="255"/>
    </row>
    <row r="46" spans="2:26" s="28" customFormat="1" ht="13.5" customHeight="1">
      <c r="B46" s="21"/>
      <c r="C46" s="21"/>
      <c r="D46" s="281" t="s">
        <v>753</v>
      </c>
      <c r="E46" s="282">
        <v>200584</v>
      </c>
      <c r="F46" s="20"/>
      <c r="G46" s="281" t="s">
        <v>801</v>
      </c>
      <c r="H46" s="284" t="s">
        <v>792</v>
      </c>
      <c r="I46" s="275"/>
      <c r="J46" s="276"/>
      <c r="K46" s="254"/>
      <c r="M46" s="255"/>
      <c r="N46" s="255"/>
      <c r="O46" s="255"/>
      <c r="U46" s="29"/>
      <c r="V46" s="20"/>
      <c r="W46" s="20"/>
      <c r="X46" s="20"/>
    </row>
    <row r="47" spans="2:26" s="28" customFormat="1" ht="13.5" customHeight="1">
      <c r="B47" s="21"/>
      <c r="C47" s="21"/>
      <c r="D47" s="281" t="s">
        <v>26</v>
      </c>
      <c r="E47" s="282">
        <v>194729</v>
      </c>
      <c r="F47" s="20"/>
      <c r="G47" s="281" t="s">
        <v>794</v>
      </c>
      <c r="H47" s="284" t="s">
        <v>792</v>
      </c>
      <c r="I47" s="275"/>
      <c r="J47" s="276"/>
      <c r="K47" s="254"/>
      <c r="M47" s="255"/>
      <c r="N47" s="255"/>
      <c r="O47" s="255"/>
      <c r="U47" s="29"/>
      <c r="V47" s="20"/>
      <c r="W47" s="20"/>
      <c r="X47" s="20"/>
    </row>
    <row r="48" spans="2:26" s="28" customFormat="1" ht="13.5" customHeight="1">
      <c r="B48" s="21"/>
      <c r="C48" s="21"/>
      <c r="D48" s="281" t="s">
        <v>817</v>
      </c>
      <c r="E48" s="282">
        <v>194638</v>
      </c>
      <c r="F48" s="20"/>
      <c r="G48" s="281" t="s">
        <v>807</v>
      </c>
      <c r="H48" s="284" t="s">
        <v>792</v>
      </c>
      <c r="I48" s="275"/>
      <c r="J48" s="276"/>
      <c r="K48" s="254"/>
      <c r="M48" s="255"/>
      <c r="N48" s="255"/>
      <c r="O48" s="255"/>
      <c r="U48" s="29"/>
      <c r="V48" s="20"/>
      <c r="W48" s="20"/>
      <c r="X48" s="20"/>
    </row>
    <row r="49" spans="1:24" s="28" customFormat="1" ht="13.5" customHeight="1">
      <c r="B49" s="21"/>
      <c r="C49" s="21"/>
      <c r="D49" s="281" t="s">
        <v>759</v>
      </c>
      <c r="E49" s="282">
        <v>202724</v>
      </c>
      <c r="F49" s="20"/>
      <c r="G49" s="281" t="s">
        <v>799</v>
      </c>
      <c r="H49" s="284" t="s">
        <v>792</v>
      </c>
      <c r="I49" s="275"/>
      <c r="J49" s="276"/>
      <c r="K49" s="254"/>
      <c r="M49" s="255"/>
      <c r="N49" s="255"/>
      <c r="O49" s="255"/>
      <c r="U49" s="29"/>
      <c r="V49" s="20"/>
      <c r="W49" s="20"/>
      <c r="X49" s="20"/>
    </row>
    <row r="50" spans="1:24" s="28" customFormat="1" ht="13.5" customHeight="1">
      <c r="B50" s="21"/>
      <c r="C50" s="21"/>
      <c r="D50" s="283" t="s">
        <v>785</v>
      </c>
      <c r="E50" s="282">
        <v>203805</v>
      </c>
      <c r="F50" s="20"/>
      <c r="G50" s="281" t="s">
        <v>800</v>
      </c>
      <c r="H50" s="284" t="s">
        <v>792</v>
      </c>
      <c r="I50" s="275"/>
      <c r="J50" s="276"/>
      <c r="K50" s="254"/>
      <c r="M50" s="255"/>
      <c r="N50" s="255"/>
      <c r="O50" s="255"/>
      <c r="U50" s="29"/>
      <c r="V50" s="20"/>
      <c r="W50" s="20"/>
      <c r="X50" s="20"/>
    </row>
    <row r="51" spans="1:24" s="28" customFormat="1" ht="13.5" customHeight="1">
      <c r="B51" s="21"/>
      <c r="C51" s="21"/>
      <c r="D51" s="281" t="s">
        <v>788</v>
      </c>
      <c r="E51" s="282">
        <v>215691</v>
      </c>
      <c r="F51" s="20"/>
      <c r="G51" s="281" t="s">
        <v>805</v>
      </c>
      <c r="H51" s="284" t="s">
        <v>792</v>
      </c>
      <c r="I51" s="275"/>
      <c r="J51" s="276"/>
      <c r="K51" s="254"/>
      <c r="M51" s="255"/>
      <c r="N51" s="255"/>
      <c r="O51" s="255"/>
      <c r="U51" s="29"/>
      <c r="V51" s="20"/>
      <c r="W51" s="20"/>
      <c r="X51" s="20"/>
    </row>
    <row r="52" spans="1:24" s="28" customFormat="1" ht="13.5" customHeight="1">
      <c r="B52" s="21"/>
      <c r="C52" s="21"/>
      <c r="D52" s="281" t="s">
        <v>814</v>
      </c>
      <c r="E52" s="282">
        <v>208008</v>
      </c>
      <c r="F52" s="20"/>
      <c r="G52" s="281" t="s">
        <v>808</v>
      </c>
      <c r="H52" s="284" t="s">
        <v>792</v>
      </c>
      <c r="I52" s="275"/>
      <c r="J52" s="276"/>
      <c r="K52" s="254"/>
      <c r="M52" s="255"/>
      <c r="N52" s="255"/>
      <c r="O52" s="255"/>
      <c r="U52" s="29"/>
      <c r="V52" s="20"/>
      <c r="W52" s="20"/>
      <c r="X52" s="20"/>
    </row>
    <row r="53" spans="1:24" s="28" customFormat="1" ht="13.5" customHeight="1">
      <c r="B53" s="21"/>
      <c r="C53" s="21"/>
      <c r="D53" s="281" t="s">
        <v>815</v>
      </c>
      <c r="E53" s="282">
        <v>207998</v>
      </c>
      <c r="F53" s="20"/>
      <c r="G53" s="281" t="s">
        <v>802</v>
      </c>
      <c r="H53" s="284" t="s">
        <v>792</v>
      </c>
      <c r="I53" s="275"/>
      <c r="J53" s="276"/>
      <c r="K53" s="254"/>
      <c r="M53" s="255"/>
      <c r="N53" s="255"/>
      <c r="O53" s="255"/>
      <c r="U53" s="29"/>
      <c r="V53" s="20"/>
      <c r="W53" s="20"/>
      <c r="X53" s="20"/>
    </row>
    <row r="54" spans="1:24" s="28" customFormat="1" ht="13.5" customHeight="1">
      <c r="B54" s="21"/>
      <c r="C54" s="21"/>
      <c r="D54" s="281" t="s">
        <v>813</v>
      </c>
      <c r="E54" s="282">
        <v>194819</v>
      </c>
      <c r="F54" s="20"/>
      <c r="G54" s="281" t="s">
        <v>74</v>
      </c>
      <c r="H54" s="284" t="s">
        <v>818</v>
      </c>
      <c r="I54" s="275"/>
      <c r="J54" s="276"/>
      <c r="K54" s="254"/>
      <c r="M54" s="255"/>
      <c r="N54" s="255"/>
      <c r="O54" s="255"/>
      <c r="U54" s="29"/>
      <c r="V54" s="20"/>
      <c r="W54" s="20"/>
      <c r="X54" s="20"/>
    </row>
    <row r="55" spans="1:24" s="28" customFormat="1" ht="13.5" customHeight="1">
      <c r="B55" s="21"/>
      <c r="C55" s="21"/>
      <c r="D55" s="283" t="s">
        <v>816</v>
      </c>
      <c r="E55" s="282">
        <v>229113</v>
      </c>
      <c r="F55" s="20"/>
      <c r="G55" s="281" t="s">
        <v>809</v>
      </c>
      <c r="H55" s="284" t="s">
        <v>792</v>
      </c>
      <c r="I55" s="275"/>
      <c r="J55" s="276"/>
      <c r="K55" s="254"/>
      <c r="M55" s="255"/>
      <c r="N55" s="255"/>
      <c r="O55" s="255"/>
      <c r="U55" s="29"/>
      <c r="V55" s="20"/>
      <c r="W55" s="20"/>
      <c r="X55" s="20"/>
    </row>
    <row r="56" spans="1:24" s="28" customFormat="1" ht="13.5" customHeight="1">
      <c r="B56" s="21"/>
      <c r="C56" s="21"/>
      <c r="D56" s="281" t="s">
        <v>812</v>
      </c>
      <c r="E56" s="282">
        <v>237074</v>
      </c>
      <c r="F56" s="20"/>
      <c r="G56" s="281" t="s">
        <v>811</v>
      </c>
      <c r="H56" s="284" t="s">
        <v>819</v>
      </c>
      <c r="I56" s="275"/>
      <c r="J56" s="276"/>
      <c r="K56" s="254"/>
      <c r="M56" s="255"/>
      <c r="N56" s="255"/>
      <c r="O56" s="255"/>
      <c r="U56" s="29"/>
      <c r="V56" s="20"/>
      <c r="W56" s="20"/>
      <c r="X56" s="20"/>
    </row>
    <row r="57" spans="1:24" s="28" customFormat="1" ht="13.5" customHeight="1">
      <c r="B57" s="21"/>
      <c r="C57" s="21"/>
      <c r="D57" s="281" t="s">
        <v>833</v>
      </c>
      <c r="E57" s="282">
        <v>231778</v>
      </c>
      <c r="F57" s="20"/>
      <c r="G57" s="281" t="s">
        <v>810</v>
      </c>
      <c r="H57" s="284" t="s">
        <v>792</v>
      </c>
      <c r="I57" s="275"/>
      <c r="J57" s="276"/>
      <c r="K57" s="254"/>
      <c r="M57" s="255"/>
      <c r="N57" s="255"/>
      <c r="O57" s="255"/>
      <c r="U57" s="29"/>
      <c r="V57" s="20"/>
      <c r="W57" s="20"/>
      <c r="X57" s="20"/>
    </row>
    <row r="58" spans="1:24" s="28" customFormat="1" ht="13.5" customHeight="1">
      <c r="B58" s="21"/>
      <c r="C58" s="21"/>
      <c r="D58" s="283" t="s">
        <v>851</v>
      </c>
      <c r="E58" s="282">
        <v>269187</v>
      </c>
      <c r="F58" s="20"/>
      <c r="G58" s="283" t="s">
        <v>851</v>
      </c>
      <c r="H58" s="284" t="s">
        <v>852</v>
      </c>
      <c r="I58" s="275"/>
      <c r="J58" s="276"/>
      <c r="K58" s="254"/>
      <c r="M58" s="255"/>
      <c r="N58" s="255"/>
      <c r="O58" s="255"/>
      <c r="U58" s="29"/>
      <c r="V58" s="20"/>
      <c r="W58" s="20"/>
      <c r="X58" s="20"/>
    </row>
    <row r="59" spans="1:24" s="28" customFormat="1" ht="13.5" customHeight="1">
      <c r="B59" s="21"/>
      <c r="C59" s="21"/>
      <c r="D59" s="283" t="s">
        <v>840</v>
      </c>
      <c r="E59" s="282">
        <v>238419</v>
      </c>
      <c r="F59" s="20"/>
      <c r="G59" s="281" t="s">
        <v>841</v>
      </c>
      <c r="H59" s="284" t="s">
        <v>842</v>
      </c>
      <c r="I59" s="277"/>
      <c r="J59" s="278"/>
      <c r="K59" s="20"/>
      <c r="M59" s="255"/>
      <c r="N59" s="255"/>
      <c r="O59" s="255"/>
      <c r="U59" s="29"/>
      <c r="V59" s="20"/>
      <c r="W59" s="20"/>
      <c r="X59" s="20"/>
    </row>
    <row r="60" spans="1:24" s="28" customFormat="1" ht="13.5" customHeight="1">
      <c r="B60" s="21"/>
      <c r="C60" s="21"/>
      <c r="D60" s="283" t="s">
        <v>925</v>
      </c>
      <c r="E60" s="282">
        <v>231054</v>
      </c>
      <c r="F60" s="20"/>
      <c r="G60" s="281"/>
      <c r="H60" s="284"/>
      <c r="I60" s="277"/>
      <c r="J60" s="278"/>
      <c r="K60" s="20"/>
      <c r="M60" s="255"/>
      <c r="N60" s="255"/>
      <c r="O60" s="255"/>
      <c r="U60" s="29"/>
      <c r="V60" s="20"/>
      <c r="W60" s="20"/>
      <c r="X60" s="20"/>
    </row>
    <row r="61" spans="1:24" s="28" customFormat="1" ht="13.5" customHeight="1">
      <c r="B61" s="21"/>
      <c r="C61" s="21"/>
      <c r="D61" s="283" t="s">
        <v>848</v>
      </c>
      <c r="E61" s="282">
        <v>207463</v>
      </c>
      <c r="F61" s="20"/>
      <c r="G61" s="281"/>
      <c r="H61" s="284"/>
      <c r="I61" s="275"/>
      <c r="J61" s="276"/>
      <c r="K61" s="254"/>
      <c r="M61" s="255"/>
      <c r="N61" s="255"/>
      <c r="O61" s="255"/>
      <c r="U61" s="29"/>
      <c r="V61" s="20"/>
      <c r="W61" s="20"/>
      <c r="X61" s="20"/>
    </row>
    <row r="62" spans="1:24" s="28" customFormat="1" ht="13.5" customHeight="1">
      <c r="B62" s="21"/>
      <c r="C62" s="21"/>
      <c r="D62" s="283" t="s">
        <v>849</v>
      </c>
      <c r="E62" s="282">
        <v>241490</v>
      </c>
      <c r="F62" s="20"/>
      <c r="G62" s="281"/>
      <c r="H62" s="284"/>
      <c r="I62" s="275"/>
      <c r="J62" s="279"/>
      <c r="K62" s="254"/>
      <c r="M62" s="255"/>
      <c r="N62" s="255"/>
      <c r="O62" s="255"/>
      <c r="U62" s="29"/>
      <c r="V62" s="20"/>
      <c r="W62" s="20"/>
      <c r="X62" s="20"/>
    </row>
    <row r="63" spans="1:24" s="28" customFormat="1" ht="13.5" customHeight="1">
      <c r="B63" s="21"/>
      <c r="C63" s="21"/>
      <c r="D63" s="283" t="s">
        <v>850</v>
      </c>
      <c r="E63" s="282">
        <v>269534</v>
      </c>
      <c r="F63" s="20"/>
      <c r="G63" s="283" t="s">
        <v>850</v>
      </c>
      <c r="H63" s="284" t="s">
        <v>792</v>
      </c>
      <c r="I63" s="275"/>
      <c r="J63" s="276"/>
      <c r="K63" s="254"/>
      <c r="M63" s="283"/>
      <c r="N63" s="283"/>
      <c r="O63" s="283"/>
      <c r="U63" s="29"/>
      <c r="V63" s="20"/>
      <c r="W63" s="20"/>
      <c r="X63" s="20"/>
    </row>
    <row r="64" spans="1:24" s="43" customFormat="1">
      <c r="A64"/>
      <c r="B64" s="1"/>
      <c r="C64" s="1"/>
      <c r="D64"/>
      <c r="E64" s="1"/>
      <c r="F64" s="1"/>
      <c r="G64"/>
      <c r="H64"/>
      <c r="I64" s="260"/>
      <c r="J64" s="261"/>
      <c r="K64" s="1"/>
      <c r="L64"/>
      <c r="M64"/>
      <c r="N64"/>
      <c r="O64"/>
      <c r="P64"/>
      <c r="Q64"/>
      <c r="R64"/>
      <c r="S64"/>
      <c r="T64"/>
      <c r="U64" s="42"/>
      <c r="V64" s="21"/>
      <c r="W64" s="21"/>
      <c r="X64" s="21"/>
    </row>
    <row r="65" spans="1:21" s="43" customFormat="1" ht="14.25" thickBot="1">
      <c r="A65"/>
      <c r="B65" s="1"/>
      <c r="C65" s="1"/>
      <c r="D65"/>
      <c r="E65" s="1"/>
      <c r="F65" s="1"/>
      <c r="G65"/>
      <c r="H65"/>
      <c r="I65" s="260"/>
      <c r="J65" s="261"/>
      <c r="K65" s="1"/>
      <c r="L65"/>
      <c r="M65"/>
      <c r="N65"/>
      <c r="O65"/>
      <c r="P65"/>
      <c r="Q65"/>
      <c r="R65"/>
      <c r="S65"/>
      <c r="T65"/>
      <c r="U65" s="42"/>
    </row>
    <row r="66" spans="1:21" s="43" customFormat="1" ht="18" customHeight="1" thickBot="1">
      <c r="A66"/>
      <c r="B66" s="1"/>
      <c r="C66" s="1"/>
      <c r="D66" s="604"/>
      <c r="E66" s="605"/>
      <c r="F66" s="1"/>
      <c r="G66"/>
      <c r="H66"/>
      <c r="I66" s="12"/>
      <c r="J66" s="15"/>
      <c r="K66" s="1"/>
      <c r="L66"/>
      <c r="M66"/>
      <c r="N66"/>
      <c r="O66"/>
      <c r="P66"/>
      <c r="Q66"/>
      <c r="R66"/>
      <c r="S66"/>
      <c r="T66"/>
      <c r="U66" s="42"/>
    </row>
    <row r="67" spans="1:21" s="28" customFormat="1" ht="16.5" customHeight="1">
      <c r="D67" s="329" t="s">
        <v>27</v>
      </c>
      <c r="E67" s="330" t="s">
        <v>23</v>
      </c>
      <c r="F67" s="331" t="s">
        <v>28</v>
      </c>
      <c r="G67" s="332" t="s">
        <v>28</v>
      </c>
      <c r="H67" s="332" t="s">
        <v>28</v>
      </c>
      <c r="I67" s="333" t="s">
        <v>29</v>
      </c>
      <c r="J67" s="334" t="s">
        <v>30</v>
      </c>
      <c r="K67" s="335" t="s">
        <v>31</v>
      </c>
      <c r="L67" s="335" t="s">
        <v>32</v>
      </c>
      <c r="M67" s="335" t="s">
        <v>33</v>
      </c>
      <c r="U67" s="29"/>
    </row>
    <row r="68" spans="1:21" s="28" customFormat="1" ht="16.5" customHeight="1">
      <c r="B68" s="20"/>
      <c r="C68" s="20"/>
      <c r="D68" s="254"/>
      <c r="E68" s="379">
        <v>120645</v>
      </c>
      <c r="F68" s="380" t="s">
        <v>53</v>
      </c>
      <c r="G68" s="381"/>
      <c r="H68" s="382"/>
      <c r="I68" s="383">
        <v>2213000</v>
      </c>
      <c r="J68" s="384">
        <v>120645</v>
      </c>
      <c r="K68" s="378" t="s">
        <v>71</v>
      </c>
      <c r="L68" s="378" t="s">
        <v>78</v>
      </c>
      <c r="M68" s="378">
        <v>200</v>
      </c>
      <c r="N68" s="356">
        <f>VLOOKUP(E68,[3]Sheet1!$A:$C,3,0)</f>
        <v>2213000</v>
      </c>
      <c r="O68" s="28" t="b">
        <f>I68=N68</f>
        <v>1</v>
      </c>
    </row>
    <row r="69" spans="1:21" s="28" customFormat="1" ht="16.5" customHeight="1">
      <c r="B69" s="20"/>
      <c r="C69" s="20"/>
      <c r="D69" s="254"/>
      <c r="E69" s="379">
        <v>122916</v>
      </c>
      <c r="F69" s="380" t="s">
        <v>54</v>
      </c>
      <c r="G69" s="381"/>
      <c r="H69" s="382"/>
      <c r="I69" s="383">
        <v>140000</v>
      </c>
      <c r="J69" s="384">
        <v>122916</v>
      </c>
      <c r="K69" s="378" t="s">
        <v>72</v>
      </c>
      <c r="L69" s="378" t="s">
        <v>78</v>
      </c>
      <c r="M69" s="378">
        <v>12</v>
      </c>
      <c r="N69" s="356">
        <f>VLOOKUP(E69,[3]Sheet1!$A:$C,3,0)</f>
        <v>140000</v>
      </c>
      <c r="O69" s="28" t="b">
        <f t="shared" ref="O69:O132" si="18">I69=N69</f>
        <v>1</v>
      </c>
    </row>
    <row r="70" spans="1:21" s="28" customFormat="1" ht="16.5" customHeight="1">
      <c r="B70" s="20"/>
      <c r="C70" s="20"/>
      <c r="D70" s="254"/>
      <c r="E70" s="379">
        <v>129171</v>
      </c>
      <c r="F70" s="380" t="s">
        <v>58</v>
      </c>
      <c r="G70" s="381"/>
      <c r="H70" s="382"/>
      <c r="I70" s="383">
        <v>59700</v>
      </c>
      <c r="J70" s="384">
        <v>129171</v>
      </c>
      <c r="K70" s="378" t="s">
        <v>70</v>
      </c>
      <c r="L70" s="378" t="s">
        <v>0</v>
      </c>
      <c r="M70" s="378">
        <v>20</v>
      </c>
      <c r="N70" s="356">
        <f>VLOOKUP(E70,[3]Sheet1!$A:$C,3,0)</f>
        <v>59700</v>
      </c>
      <c r="O70" s="28" t="b">
        <f t="shared" si="18"/>
        <v>1</v>
      </c>
    </row>
    <row r="71" spans="1:21" s="28" customFormat="1" ht="16.5" customHeight="1">
      <c r="B71" s="20"/>
      <c r="C71" s="20"/>
      <c r="D71" s="254"/>
      <c r="E71" s="379">
        <v>129174</v>
      </c>
      <c r="F71" s="380" t="s">
        <v>60</v>
      </c>
      <c r="G71" s="381"/>
      <c r="H71" s="382"/>
      <c r="I71" s="383">
        <v>70200</v>
      </c>
      <c r="J71" s="384">
        <v>129174</v>
      </c>
      <c r="K71" s="378" t="s">
        <v>70</v>
      </c>
      <c r="L71" s="378" t="s">
        <v>0</v>
      </c>
      <c r="M71" s="378">
        <v>20</v>
      </c>
      <c r="N71" s="356">
        <f>VLOOKUP(E71,[3]Sheet1!$A:$C,3,0)</f>
        <v>70200</v>
      </c>
      <c r="O71" s="28" t="b">
        <f t="shared" si="18"/>
        <v>1</v>
      </c>
    </row>
    <row r="72" spans="1:21" s="28" customFormat="1" ht="16.5" customHeight="1">
      <c r="B72" s="20"/>
      <c r="C72" s="20"/>
      <c r="D72" s="254"/>
      <c r="E72" s="379">
        <v>134989</v>
      </c>
      <c r="F72" s="380" t="s">
        <v>42</v>
      </c>
      <c r="G72" s="381"/>
      <c r="H72" s="382"/>
      <c r="I72" s="383">
        <v>90900</v>
      </c>
      <c r="J72" s="384">
        <v>134989</v>
      </c>
      <c r="K72" s="378" t="s">
        <v>70</v>
      </c>
      <c r="L72" s="378" t="s">
        <v>0</v>
      </c>
      <c r="M72" s="378">
        <v>20</v>
      </c>
      <c r="N72" s="356">
        <f>VLOOKUP(E72,[3]Sheet1!$A:$C,3,0)</f>
        <v>90900</v>
      </c>
      <c r="O72" s="28" t="b">
        <f t="shared" si="18"/>
        <v>1</v>
      </c>
    </row>
    <row r="73" spans="1:21" s="28" customFormat="1" ht="16.5" customHeight="1">
      <c r="B73" s="20"/>
      <c r="C73" s="20"/>
      <c r="D73" s="254"/>
      <c r="E73" s="379">
        <v>135691</v>
      </c>
      <c r="F73" s="380" t="s">
        <v>62</v>
      </c>
      <c r="G73" s="381"/>
      <c r="H73" s="382"/>
      <c r="I73" s="383">
        <v>91100</v>
      </c>
      <c r="J73" s="384">
        <v>135691</v>
      </c>
      <c r="K73" s="378" t="s">
        <v>70</v>
      </c>
      <c r="L73" s="378" t="s">
        <v>0</v>
      </c>
      <c r="M73" s="378">
        <v>20</v>
      </c>
      <c r="N73" s="356">
        <f>VLOOKUP(E73,[3]Sheet1!$A:$C,3,0)</f>
        <v>95700</v>
      </c>
      <c r="O73" s="28" t="b">
        <f t="shared" si="18"/>
        <v>0</v>
      </c>
    </row>
    <row r="74" spans="1:21" s="28" customFormat="1" ht="16.5" customHeight="1">
      <c r="B74" s="20"/>
      <c r="C74" s="20"/>
      <c r="D74" s="254"/>
      <c r="E74" s="379">
        <v>138838</v>
      </c>
      <c r="F74" s="380" t="s">
        <v>40</v>
      </c>
      <c r="G74" s="381"/>
      <c r="H74" s="382"/>
      <c r="I74" s="383">
        <v>615000</v>
      </c>
      <c r="J74" s="384">
        <v>138838</v>
      </c>
      <c r="K74" s="378" t="s">
        <v>71</v>
      </c>
      <c r="L74" s="378" t="s">
        <v>0</v>
      </c>
      <c r="M74" s="378">
        <v>200</v>
      </c>
      <c r="N74" s="356">
        <f>VLOOKUP(E74,[3]Sheet1!$A:$C,3,0)</f>
        <v>646000</v>
      </c>
      <c r="O74" s="28" t="b">
        <f t="shared" si="18"/>
        <v>0</v>
      </c>
    </row>
    <row r="75" spans="1:21" s="28" customFormat="1" ht="16.5" customHeight="1">
      <c r="B75" s="20"/>
      <c r="C75" s="20"/>
      <c r="D75" s="254"/>
      <c r="E75" s="379">
        <v>138840</v>
      </c>
      <c r="F75" s="380" t="s">
        <v>87</v>
      </c>
      <c r="G75" s="381"/>
      <c r="H75" s="382"/>
      <c r="I75" s="383">
        <v>65600</v>
      </c>
      <c r="J75" s="384">
        <v>138840</v>
      </c>
      <c r="K75" s="378" t="s">
        <v>70</v>
      </c>
      <c r="L75" s="378" t="s">
        <v>0</v>
      </c>
      <c r="M75" s="378">
        <v>20</v>
      </c>
      <c r="N75" s="356">
        <f>VLOOKUP(E75,[3]Sheet1!$A:$C,3,0)</f>
        <v>68900</v>
      </c>
      <c r="O75" s="28" t="b">
        <f t="shared" si="18"/>
        <v>0</v>
      </c>
    </row>
    <row r="76" spans="1:21" s="28" customFormat="1" ht="16.5" customHeight="1">
      <c r="B76" s="20"/>
      <c r="C76" s="20"/>
      <c r="D76" s="254"/>
      <c r="E76" s="379">
        <v>138851</v>
      </c>
      <c r="F76" s="380" t="s">
        <v>48</v>
      </c>
      <c r="G76" s="381"/>
      <c r="H76" s="382"/>
      <c r="I76" s="383">
        <v>1193000</v>
      </c>
      <c r="J76" s="384">
        <v>138851</v>
      </c>
      <c r="K76" s="378" t="s">
        <v>71</v>
      </c>
      <c r="L76" s="378" t="s">
        <v>0</v>
      </c>
      <c r="M76" s="378">
        <v>208</v>
      </c>
      <c r="N76" s="356">
        <f>VLOOKUP(E76,[3]Sheet1!$A:$C,3,0)</f>
        <v>1193000</v>
      </c>
      <c r="O76" s="28" t="b">
        <f t="shared" si="18"/>
        <v>1</v>
      </c>
    </row>
    <row r="77" spans="1:21" s="28" customFormat="1" ht="16.5" customHeight="1">
      <c r="B77" s="20"/>
      <c r="C77" s="20"/>
      <c r="D77" s="254"/>
      <c r="E77" s="379">
        <v>138889</v>
      </c>
      <c r="F77" s="380" t="s">
        <v>55</v>
      </c>
      <c r="G77" s="381"/>
      <c r="H77" s="382"/>
      <c r="I77" s="383">
        <v>520000</v>
      </c>
      <c r="J77" s="384">
        <v>138889</v>
      </c>
      <c r="K77" s="378" t="s">
        <v>71</v>
      </c>
      <c r="L77" s="378" t="s">
        <v>0</v>
      </c>
      <c r="M77" s="378">
        <v>200</v>
      </c>
      <c r="N77" s="356">
        <f>VLOOKUP(E77,[3]Sheet1!$A:$C,3,0)</f>
        <v>520000</v>
      </c>
      <c r="O77" s="28" t="b">
        <f t="shared" si="18"/>
        <v>1</v>
      </c>
    </row>
    <row r="78" spans="1:21" s="28" customFormat="1" ht="16.5" customHeight="1">
      <c r="B78" s="20"/>
      <c r="C78" s="20"/>
      <c r="D78" s="254"/>
      <c r="E78" s="379">
        <v>138890</v>
      </c>
      <c r="F78" s="380" t="s">
        <v>56</v>
      </c>
      <c r="G78" s="381"/>
      <c r="H78" s="382"/>
      <c r="I78" s="383">
        <v>54000</v>
      </c>
      <c r="J78" s="384">
        <v>138890</v>
      </c>
      <c r="K78" s="378" t="s">
        <v>70</v>
      </c>
      <c r="L78" s="378" t="s">
        <v>0</v>
      </c>
      <c r="M78" s="378">
        <v>20</v>
      </c>
      <c r="N78" s="356">
        <f>VLOOKUP(E78,[3]Sheet1!$A:$C,3,0)</f>
        <v>54000</v>
      </c>
      <c r="O78" s="28" t="b">
        <f t="shared" si="18"/>
        <v>1</v>
      </c>
    </row>
    <row r="79" spans="1:21" s="28" customFormat="1" ht="16.5" customHeight="1">
      <c r="B79" s="20"/>
      <c r="C79" s="20"/>
      <c r="D79" s="254"/>
      <c r="E79" s="379">
        <v>138893</v>
      </c>
      <c r="F79" s="380" t="s">
        <v>57</v>
      </c>
      <c r="G79" s="381"/>
      <c r="H79" s="382"/>
      <c r="I79" s="383">
        <v>552000</v>
      </c>
      <c r="J79" s="384">
        <v>138893</v>
      </c>
      <c r="K79" s="378" t="s">
        <v>71</v>
      </c>
      <c r="L79" s="378" t="s">
        <v>0</v>
      </c>
      <c r="M79" s="378">
        <v>200</v>
      </c>
      <c r="N79" s="356">
        <f>VLOOKUP(E79,[3]Sheet1!$A:$C,3,0)</f>
        <v>552000</v>
      </c>
      <c r="O79" s="28" t="b">
        <f t="shared" si="18"/>
        <v>1</v>
      </c>
    </row>
    <row r="80" spans="1:21" s="28" customFormat="1" ht="16.5" customHeight="1">
      <c r="B80" s="20"/>
      <c r="C80" s="20"/>
      <c r="D80" s="254"/>
      <c r="E80" s="379">
        <v>138895</v>
      </c>
      <c r="F80" s="380" t="s">
        <v>59</v>
      </c>
      <c r="G80" s="381"/>
      <c r="H80" s="382"/>
      <c r="I80" s="383">
        <v>662000</v>
      </c>
      <c r="J80" s="384">
        <v>138895</v>
      </c>
      <c r="K80" s="378" t="s">
        <v>71</v>
      </c>
      <c r="L80" s="378" t="s">
        <v>0</v>
      </c>
      <c r="M80" s="378">
        <v>200</v>
      </c>
      <c r="N80" s="356">
        <f>VLOOKUP(E80,[3]Sheet1!$A:$C,3,0)</f>
        <v>662000</v>
      </c>
      <c r="O80" s="28" t="b">
        <f t="shared" si="18"/>
        <v>1</v>
      </c>
    </row>
    <row r="81" spans="2:15" s="28" customFormat="1" ht="16.5" customHeight="1">
      <c r="B81" s="20"/>
      <c r="C81" s="20"/>
      <c r="D81" s="254"/>
      <c r="E81" s="379">
        <v>138897</v>
      </c>
      <c r="F81" s="380" t="s">
        <v>61</v>
      </c>
      <c r="G81" s="381"/>
      <c r="H81" s="382"/>
      <c r="I81" s="383">
        <v>885000</v>
      </c>
      <c r="J81" s="384">
        <v>138897</v>
      </c>
      <c r="K81" s="378" t="s">
        <v>71</v>
      </c>
      <c r="L81" s="378" t="s">
        <v>0</v>
      </c>
      <c r="M81" s="378">
        <v>200</v>
      </c>
      <c r="N81" s="356">
        <f>VLOOKUP(E81,[3]Sheet1!$A:$C,3,0)</f>
        <v>929000</v>
      </c>
      <c r="O81" s="28" t="b">
        <f t="shared" si="18"/>
        <v>0</v>
      </c>
    </row>
    <row r="82" spans="2:15" s="28" customFormat="1" ht="16.5" customHeight="1">
      <c r="B82" s="20"/>
      <c r="C82" s="20"/>
      <c r="D82" s="254"/>
      <c r="E82" s="379">
        <v>138898</v>
      </c>
      <c r="F82" s="380" t="s">
        <v>63</v>
      </c>
      <c r="G82" s="381"/>
      <c r="H82" s="382"/>
      <c r="I82" s="383">
        <v>755000</v>
      </c>
      <c r="J82" s="384">
        <v>138898</v>
      </c>
      <c r="K82" s="378" t="s">
        <v>71</v>
      </c>
      <c r="L82" s="378" t="s">
        <v>0</v>
      </c>
      <c r="M82" s="378">
        <v>200</v>
      </c>
      <c r="N82" s="356">
        <f>VLOOKUP(E82,[3]Sheet1!$A:$C,3,0)</f>
        <v>755000</v>
      </c>
      <c r="O82" s="28" t="b">
        <f t="shared" si="18"/>
        <v>1</v>
      </c>
    </row>
    <row r="83" spans="2:15" s="28" customFormat="1" ht="16.5" customHeight="1">
      <c r="B83" s="20"/>
      <c r="C83" s="20"/>
      <c r="D83" s="254"/>
      <c r="E83" s="379">
        <v>138899</v>
      </c>
      <c r="F83" s="380" t="s">
        <v>64</v>
      </c>
      <c r="G83" s="381"/>
      <c r="H83" s="382"/>
      <c r="I83" s="383">
        <v>78100</v>
      </c>
      <c r="J83" s="384">
        <v>138899</v>
      </c>
      <c r="K83" s="378" t="s">
        <v>70</v>
      </c>
      <c r="L83" s="378" t="s">
        <v>0</v>
      </c>
      <c r="M83" s="378">
        <v>20</v>
      </c>
      <c r="N83" s="356">
        <f>VLOOKUP(E83,[3]Sheet1!$A:$C,3,0)</f>
        <v>78100</v>
      </c>
      <c r="O83" s="28" t="b">
        <f t="shared" si="18"/>
        <v>1</v>
      </c>
    </row>
    <row r="84" spans="2:15" s="28" customFormat="1" ht="16.5" customHeight="1">
      <c r="B84" s="20"/>
      <c r="C84" s="20"/>
      <c r="D84" s="254"/>
      <c r="E84" s="379">
        <v>139641</v>
      </c>
      <c r="F84" s="380" t="s">
        <v>90</v>
      </c>
      <c r="G84" s="381"/>
      <c r="H84" s="382"/>
      <c r="I84" s="383">
        <v>43600</v>
      </c>
      <c r="J84" s="384">
        <v>139641</v>
      </c>
      <c r="K84" s="378" t="s">
        <v>73</v>
      </c>
      <c r="L84" s="378" t="s">
        <v>0</v>
      </c>
      <c r="M84" s="378">
        <v>12</v>
      </c>
      <c r="N84" s="356">
        <f>VLOOKUP(E84,[3]Sheet1!$A:$C,3,0)</f>
        <v>43600</v>
      </c>
      <c r="O84" s="28" t="b">
        <f t="shared" si="18"/>
        <v>1</v>
      </c>
    </row>
    <row r="85" spans="2:15" s="28" customFormat="1" ht="16.5" customHeight="1">
      <c r="B85" s="20"/>
      <c r="C85" s="20"/>
      <c r="D85" s="254"/>
      <c r="E85" s="379">
        <v>139881</v>
      </c>
      <c r="F85" s="385" t="s">
        <v>101</v>
      </c>
      <c r="G85" s="386"/>
      <c r="H85" s="387"/>
      <c r="I85" s="383">
        <v>771000</v>
      </c>
      <c r="J85" s="384">
        <v>139881</v>
      </c>
      <c r="K85" s="378" t="s">
        <v>71</v>
      </c>
      <c r="L85" s="378" t="s">
        <v>78</v>
      </c>
      <c r="M85" s="378">
        <v>200</v>
      </c>
      <c r="N85" s="356">
        <f>VLOOKUP(E85,[3]Sheet1!$A:$C,3,0)</f>
        <v>810000</v>
      </c>
      <c r="O85" s="28" t="b">
        <f t="shared" si="18"/>
        <v>0</v>
      </c>
    </row>
    <row r="86" spans="2:15" s="28" customFormat="1" ht="16.5" customHeight="1">
      <c r="B86" s="20"/>
      <c r="C86" s="20"/>
      <c r="D86" s="254"/>
      <c r="E86" s="379">
        <v>140382</v>
      </c>
      <c r="F86" s="380" t="s">
        <v>83</v>
      </c>
      <c r="G86" s="381"/>
      <c r="H86" s="382"/>
      <c r="I86" s="383">
        <v>2212000</v>
      </c>
      <c r="J86" s="384">
        <v>140382</v>
      </c>
      <c r="K86" s="378" t="s">
        <v>71</v>
      </c>
      <c r="L86" s="378" t="s">
        <v>0</v>
      </c>
      <c r="M86" s="378">
        <v>208</v>
      </c>
      <c r="N86" s="356">
        <f>VLOOKUP(E86,[3]Sheet1!$A:$C,3,0)</f>
        <v>2212000</v>
      </c>
      <c r="O86" s="28" t="b">
        <f t="shared" si="18"/>
        <v>1</v>
      </c>
    </row>
    <row r="87" spans="2:15" s="28" customFormat="1" ht="16.5" customHeight="1">
      <c r="B87" s="20"/>
      <c r="C87" s="20"/>
      <c r="D87" s="254"/>
      <c r="E87" s="379">
        <v>140563</v>
      </c>
      <c r="F87" s="388" t="s">
        <v>124</v>
      </c>
      <c r="G87" s="389"/>
      <c r="H87" s="390"/>
      <c r="I87" s="383">
        <v>216000</v>
      </c>
      <c r="J87" s="391">
        <v>140563</v>
      </c>
      <c r="K87" s="392" t="s">
        <v>70</v>
      </c>
      <c r="L87" s="392" t="s">
        <v>0</v>
      </c>
      <c r="M87" s="392">
        <v>16</v>
      </c>
      <c r="N87" s="356">
        <f>VLOOKUP(E87,[3]Sheet1!$A:$C,3,0)</f>
        <v>216000</v>
      </c>
      <c r="O87" s="28" t="b">
        <f t="shared" si="18"/>
        <v>1</v>
      </c>
    </row>
    <row r="88" spans="2:15" s="28" customFormat="1" ht="16.5" customHeight="1">
      <c r="B88" s="20"/>
      <c r="C88" s="20"/>
      <c r="D88" s="254"/>
      <c r="E88" s="379">
        <v>143003</v>
      </c>
      <c r="F88" s="380" t="s">
        <v>132</v>
      </c>
      <c r="G88" s="381"/>
      <c r="H88" s="382"/>
      <c r="I88" s="383">
        <v>150000</v>
      </c>
      <c r="J88" s="384">
        <v>143003</v>
      </c>
      <c r="K88" s="378" t="s">
        <v>70</v>
      </c>
      <c r="L88" s="378" t="s">
        <v>0</v>
      </c>
      <c r="M88" s="378">
        <v>20</v>
      </c>
      <c r="N88" s="356">
        <f>VLOOKUP(E88,[3]Sheet1!$A:$C,3,0)</f>
        <v>150000</v>
      </c>
      <c r="O88" s="28" t="b">
        <f t="shared" si="18"/>
        <v>1</v>
      </c>
    </row>
    <row r="89" spans="2:15" s="28" customFormat="1" ht="16.5" customHeight="1">
      <c r="B89" s="20"/>
      <c r="C89" s="20"/>
      <c r="D89" s="254"/>
      <c r="E89" s="379">
        <v>143240</v>
      </c>
      <c r="F89" s="380" t="s">
        <v>746</v>
      </c>
      <c r="G89" s="381"/>
      <c r="H89" s="382"/>
      <c r="I89" s="383">
        <v>107800</v>
      </c>
      <c r="J89" s="384">
        <v>143240</v>
      </c>
      <c r="K89" s="378" t="s">
        <v>73</v>
      </c>
      <c r="L89" s="378" t="s">
        <v>0</v>
      </c>
      <c r="M89" s="378">
        <v>16</v>
      </c>
      <c r="N89" s="356">
        <f>VLOOKUP(E89,[3]Sheet1!$A:$C,3,0)</f>
        <v>139100</v>
      </c>
      <c r="O89" s="28" t="b">
        <f t="shared" si="18"/>
        <v>0</v>
      </c>
    </row>
    <row r="90" spans="2:15" s="28" customFormat="1" ht="16.5" customHeight="1">
      <c r="B90" s="20"/>
      <c r="C90" s="20"/>
      <c r="D90" s="254"/>
      <c r="E90" s="379">
        <v>138583</v>
      </c>
      <c r="F90" s="380" t="s">
        <v>740</v>
      </c>
      <c r="G90" s="381"/>
      <c r="H90" s="382"/>
      <c r="I90" s="383">
        <v>44600</v>
      </c>
      <c r="J90" s="378">
        <v>138583</v>
      </c>
      <c r="K90" s="378" t="s">
        <v>73</v>
      </c>
      <c r="L90" s="378" t="s">
        <v>741</v>
      </c>
      <c r="M90" s="378">
        <v>12</v>
      </c>
      <c r="N90" s="356" t="e">
        <f>VLOOKUP(E90,[3]Sheet1!$A:$C,3,0)</f>
        <v>#N/A</v>
      </c>
      <c r="O90" s="28" t="e">
        <f t="shared" si="18"/>
        <v>#N/A</v>
      </c>
    </row>
    <row r="91" spans="2:15" s="28" customFormat="1" ht="16.5" customHeight="1">
      <c r="B91" s="20"/>
      <c r="C91" s="20"/>
      <c r="D91" s="254"/>
      <c r="E91" s="379">
        <v>123205</v>
      </c>
      <c r="F91" s="380" t="s">
        <v>49</v>
      </c>
      <c r="G91" s="381"/>
      <c r="H91" s="382"/>
      <c r="I91" s="383">
        <v>60300</v>
      </c>
      <c r="J91" s="384">
        <v>123205</v>
      </c>
      <c r="K91" s="393" t="s">
        <v>73</v>
      </c>
      <c r="L91" s="378" t="s">
        <v>35</v>
      </c>
      <c r="M91" s="378">
        <v>6</v>
      </c>
      <c r="N91" s="356">
        <f>VLOOKUP(E91,[3]Sheet1!$A:$C,3,0)</f>
        <v>63300</v>
      </c>
      <c r="O91" s="28" t="b">
        <f t="shared" si="18"/>
        <v>0</v>
      </c>
    </row>
    <row r="92" spans="2:15" s="28" customFormat="1" ht="16.5" customHeight="1">
      <c r="B92" s="20"/>
      <c r="C92" s="20"/>
      <c r="D92" s="254"/>
      <c r="E92" s="379">
        <v>124476</v>
      </c>
      <c r="F92" s="380" t="s">
        <v>52</v>
      </c>
      <c r="G92" s="381"/>
      <c r="H92" s="382"/>
      <c r="I92" s="383">
        <v>63200</v>
      </c>
      <c r="J92" s="384">
        <v>124476</v>
      </c>
      <c r="K92" s="378" t="s">
        <v>70</v>
      </c>
      <c r="L92" s="378" t="s">
        <v>79</v>
      </c>
      <c r="M92" s="378">
        <v>20</v>
      </c>
      <c r="N92" s="356">
        <f>VLOOKUP(E92,[3]Sheet1!$A:$C,3,0)</f>
        <v>63200</v>
      </c>
      <c r="O92" s="28" t="b">
        <f t="shared" si="18"/>
        <v>1</v>
      </c>
    </row>
    <row r="93" spans="2:15" s="28" customFormat="1" ht="16.5" customHeight="1">
      <c r="B93" s="20"/>
      <c r="C93" s="20"/>
      <c r="D93" s="254"/>
      <c r="E93" s="379">
        <v>135080</v>
      </c>
      <c r="F93" s="380" t="s">
        <v>44</v>
      </c>
      <c r="G93" s="381"/>
      <c r="H93" s="382"/>
      <c r="I93" s="383">
        <v>110000</v>
      </c>
      <c r="J93" s="378">
        <v>135080</v>
      </c>
      <c r="K93" s="393" t="s">
        <v>73</v>
      </c>
      <c r="L93" s="378" t="s">
        <v>35</v>
      </c>
      <c r="M93" s="378">
        <v>12</v>
      </c>
      <c r="N93" s="356">
        <f>VLOOKUP(E93,[3]Sheet1!$A:$C,3,0)</f>
        <v>110000</v>
      </c>
      <c r="O93" s="28" t="b">
        <f t="shared" si="18"/>
        <v>1</v>
      </c>
    </row>
    <row r="94" spans="2:15" s="28" customFormat="1" ht="16.5" customHeight="1">
      <c r="B94" s="20"/>
      <c r="C94" s="20"/>
      <c r="D94" s="254"/>
      <c r="E94" s="379">
        <v>138806</v>
      </c>
      <c r="F94" s="380" t="s">
        <v>50</v>
      </c>
      <c r="G94" s="381"/>
      <c r="H94" s="382"/>
      <c r="I94" s="383">
        <v>148600</v>
      </c>
      <c r="J94" s="384">
        <v>138806</v>
      </c>
      <c r="K94" s="378" t="s">
        <v>72</v>
      </c>
      <c r="L94" s="378" t="s">
        <v>35</v>
      </c>
      <c r="M94" s="378">
        <v>9.94</v>
      </c>
      <c r="N94" s="356">
        <f>VLOOKUP(E94,[3]Sheet1!$A:$C,3,0)</f>
        <v>148600</v>
      </c>
      <c r="O94" s="28" t="b">
        <f t="shared" si="18"/>
        <v>1</v>
      </c>
    </row>
    <row r="95" spans="2:15" s="28" customFormat="1" ht="16.5" customHeight="1">
      <c r="B95" s="20"/>
      <c r="C95" s="20"/>
      <c r="D95" s="254"/>
      <c r="E95" s="379">
        <v>138827</v>
      </c>
      <c r="F95" s="380" t="s">
        <v>51</v>
      </c>
      <c r="G95" s="381"/>
      <c r="H95" s="382"/>
      <c r="I95" s="383">
        <v>595000</v>
      </c>
      <c r="J95" s="384">
        <v>138827</v>
      </c>
      <c r="K95" s="378" t="s">
        <v>71</v>
      </c>
      <c r="L95" s="378" t="s">
        <v>35</v>
      </c>
      <c r="M95" s="378">
        <v>200</v>
      </c>
      <c r="N95" s="356">
        <f>VLOOKUP(E95,[3]Sheet1!$A:$C,3,0)</f>
        <v>595000</v>
      </c>
      <c r="O95" s="28" t="b">
        <f t="shared" si="18"/>
        <v>1</v>
      </c>
    </row>
    <row r="96" spans="2:15" s="28" customFormat="1" ht="16.5" customHeight="1">
      <c r="B96" s="20"/>
      <c r="C96" s="20"/>
      <c r="D96" s="254"/>
      <c r="E96" s="379">
        <v>138888</v>
      </c>
      <c r="F96" s="380" t="s">
        <v>102</v>
      </c>
      <c r="G96" s="381"/>
      <c r="H96" s="382"/>
      <c r="I96" s="383">
        <v>233000</v>
      </c>
      <c r="J96" s="384">
        <v>138888</v>
      </c>
      <c r="K96" s="378" t="s">
        <v>70</v>
      </c>
      <c r="L96" s="378" t="s">
        <v>79</v>
      </c>
      <c r="M96" s="378">
        <v>20</v>
      </c>
      <c r="N96" s="356">
        <f>VLOOKUP(E96,[3]Sheet1!$A:$C,3,0)</f>
        <v>233000</v>
      </c>
      <c r="O96" s="28" t="b">
        <f t="shared" si="18"/>
        <v>1</v>
      </c>
    </row>
    <row r="97" spans="2:15" s="28" customFormat="1" ht="16.5" customHeight="1">
      <c r="B97" s="20"/>
      <c r="C97" s="20"/>
      <c r="D97" s="254"/>
      <c r="E97" s="379">
        <v>138892</v>
      </c>
      <c r="F97" s="380" t="s">
        <v>85</v>
      </c>
      <c r="G97" s="381"/>
      <c r="H97" s="382"/>
      <c r="I97" s="383">
        <v>46500</v>
      </c>
      <c r="J97" s="384">
        <v>138892</v>
      </c>
      <c r="K97" s="378" t="s">
        <v>72</v>
      </c>
      <c r="L97" s="378" t="s">
        <v>35</v>
      </c>
      <c r="M97" s="378">
        <v>16</v>
      </c>
      <c r="N97" s="356">
        <f>VLOOKUP(E97,[3]Sheet1!$A:$C,3,0)</f>
        <v>46500</v>
      </c>
      <c r="O97" s="28" t="b">
        <f t="shared" si="18"/>
        <v>1</v>
      </c>
    </row>
    <row r="98" spans="2:15" s="28" customFormat="1" ht="16.5" customHeight="1">
      <c r="B98" s="20"/>
      <c r="C98" s="20"/>
      <c r="D98" s="254"/>
      <c r="E98" s="379">
        <v>142227</v>
      </c>
      <c r="F98" s="380" t="s">
        <v>117</v>
      </c>
      <c r="G98" s="381"/>
      <c r="H98" s="382"/>
      <c r="I98" s="383">
        <v>853000</v>
      </c>
      <c r="J98" s="384">
        <v>142227</v>
      </c>
      <c r="K98" s="378" t="s">
        <v>103</v>
      </c>
      <c r="L98" s="378" t="s">
        <v>35</v>
      </c>
      <c r="M98" s="378">
        <v>200</v>
      </c>
      <c r="N98" s="356" t="e">
        <f>VLOOKUP(E98,[3]Sheet1!$A:$C,3,0)</f>
        <v>#N/A</v>
      </c>
      <c r="O98" s="28" t="e">
        <f t="shared" si="18"/>
        <v>#N/A</v>
      </c>
    </row>
    <row r="99" spans="2:15" s="28" customFormat="1" ht="16.5" customHeight="1">
      <c r="B99" s="20"/>
      <c r="C99" s="20"/>
      <c r="D99" s="254"/>
      <c r="E99" s="379">
        <v>140169</v>
      </c>
      <c r="F99" s="380" t="s">
        <v>84</v>
      </c>
      <c r="G99" s="381"/>
      <c r="H99" s="382"/>
      <c r="I99" s="383">
        <v>62400</v>
      </c>
      <c r="J99" s="384">
        <v>140169</v>
      </c>
      <c r="K99" s="393" t="s">
        <v>73</v>
      </c>
      <c r="L99" s="378" t="s">
        <v>35</v>
      </c>
      <c r="M99" s="378">
        <v>12</v>
      </c>
      <c r="N99" s="356" t="e">
        <f>VLOOKUP(E99,[3]Sheet1!$A:$C,3,0)</f>
        <v>#N/A</v>
      </c>
      <c r="O99" s="28" t="e">
        <f t="shared" si="18"/>
        <v>#N/A</v>
      </c>
    </row>
    <row r="100" spans="2:15" s="28" customFormat="1" ht="16.5" customHeight="1">
      <c r="B100" s="20"/>
      <c r="C100" s="20"/>
      <c r="D100" s="254"/>
      <c r="E100" s="379">
        <v>140657</v>
      </c>
      <c r="F100" s="380" t="s">
        <v>43</v>
      </c>
      <c r="G100" s="381"/>
      <c r="H100" s="382"/>
      <c r="I100" s="383">
        <v>118000</v>
      </c>
      <c r="J100" s="384">
        <v>140657</v>
      </c>
      <c r="K100" s="378" t="s">
        <v>73</v>
      </c>
      <c r="L100" s="378" t="s">
        <v>79</v>
      </c>
      <c r="M100" s="378">
        <v>12</v>
      </c>
      <c r="N100" s="356">
        <f>VLOOKUP(E100,[3]Sheet1!$A:$C,3,0)</f>
        <v>118000</v>
      </c>
      <c r="O100" s="28" t="b">
        <f t="shared" si="18"/>
        <v>1</v>
      </c>
    </row>
    <row r="101" spans="2:15" s="28" customFormat="1" ht="16.5" customHeight="1">
      <c r="B101" s="20"/>
      <c r="C101" s="20"/>
      <c r="D101" s="254"/>
      <c r="E101" s="379">
        <v>140660</v>
      </c>
      <c r="F101" s="380" t="s">
        <v>100</v>
      </c>
      <c r="G101" s="381"/>
      <c r="H101" s="382"/>
      <c r="I101" s="383">
        <v>118000</v>
      </c>
      <c r="J101" s="384">
        <v>140660</v>
      </c>
      <c r="K101" s="378" t="s">
        <v>73</v>
      </c>
      <c r="L101" s="378" t="s">
        <v>79</v>
      </c>
      <c r="M101" s="378">
        <v>12</v>
      </c>
      <c r="N101" s="356">
        <f>VLOOKUP(E101,[3]Sheet1!$A:$C,3,0)</f>
        <v>118000</v>
      </c>
      <c r="O101" s="28" t="b">
        <f t="shared" si="18"/>
        <v>1</v>
      </c>
    </row>
    <row r="102" spans="2:15" s="28" customFormat="1" ht="16.5" customHeight="1">
      <c r="B102" s="20"/>
      <c r="C102" s="20"/>
      <c r="D102" s="254"/>
      <c r="E102" s="379">
        <v>140661</v>
      </c>
      <c r="F102" s="380" t="s">
        <v>106</v>
      </c>
      <c r="G102" s="381"/>
      <c r="H102" s="382"/>
      <c r="I102" s="383">
        <v>1789000</v>
      </c>
      <c r="J102" s="378">
        <v>140661</v>
      </c>
      <c r="K102" s="378" t="s">
        <v>103</v>
      </c>
      <c r="L102" s="378" t="s">
        <v>79</v>
      </c>
      <c r="M102" s="378">
        <v>200</v>
      </c>
      <c r="N102" s="356">
        <f>VLOOKUP(E102,[3]Sheet1!$A:$C,3,0)</f>
        <v>1789000</v>
      </c>
      <c r="O102" s="28" t="b">
        <f t="shared" si="18"/>
        <v>1</v>
      </c>
    </row>
    <row r="103" spans="2:15" s="28" customFormat="1" ht="16.5" customHeight="1">
      <c r="B103" s="20"/>
      <c r="C103" s="20"/>
      <c r="D103" s="254"/>
      <c r="E103" s="379">
        <v>141593</v>
      </c>
      <c r="F103" s="380" t="s">
        <v>104</v>
      </c>
      <c r="G103" s="381"/>
      <c r="H103" s="382"/>
      <c r="I103" s="383">
        <v>479000</v>
      </c>
      <c r="J103" s="384">
        <v>141593</v>
      </c>
      <c r="K103" s="378" t="s">
        <v>71</v>
      </c>
      <c r="L103" s="378" t="s">
        <v>35</v>
      </c>
      <c r="M103" s="378">
        <v>200</v>
      </c>
      <c r="N103" s="356">
        <f>VLOOKUP(E103,[3]Sheet1!$A:$C,3,0)</f>
        <v>478800</v>
      </c>
      <c r="O103" s="28" t="b">
        <f t="shared" si="18"/>
        <v>0</v>
      </c>
    </row>
    <row r="104" spans="2:15" s="28" customFormat="1" ht="16.5" customHeight="1">
      <c r="B104" s="20"/>
      <c r="C104" s="20"/>
      <c r="D104" s="254"/>
      <c r="E104" s="379">
        <v>120082</v>
      </c>
      <c r="F104" s="380" t="s">
        <v>97</v>
      </c>
      <c r="G104" s="381"/>
      <c r="H104" s="382"/>
      <c r="I104" s="383">
        <v>605000</v>
      </c>
      <c r="J104" s="384">
        <v>120082</v>
      </c>
      <c r="K104" s="378" t="s">
        <v>70</v>
      </c>
      <c r="L104" s="378" t="s">
        <v>69</v>
      </c>
      <c r="M104" s="378">
        <v>16</v>
      </c>
      <c r="N104" s="356">
        <f>VLOOKUP(E104,[3]Sheet1!$A:$C,3,0)</f>
        <v>605000</v>
      </c>
      <c r="O104" s="28" t="b">
        <f t="shared" si="18"/>
        <v>1</v>
      </c>
    </row>
    <row r="105" spans="2:15" s="28" customFormat="1" ht="16.5" customHeight="1">
      <c r="B105" s="20"/>
      <c r="C105" s="20"/>
      <c r="D105" s="254"/>
      <c r="E105" s="379">
        <v>120084</v>
      </c>
      <c r="F105" s="380" t="s">
        <v>760</v>
      </c>
      <c r="G105" s="381"/>
      <c r="H105" s="382"/>
      <c r="I105" s="383">
        <v>458000</v>
      </c>
      <c r="J105" s="394">
        <v>120084</v>
      </c>
      <c r="K105" s="393" t="s">
        <v>761</v>
      </c>
      <c r="L105" s="378" t="s">
        <v>69</v>
      </c>
      <c r="M105" s="378">
        <v>22.8</v>
      </c>
      <c r="N105" s="356">
        <f>VLOOKUP(E105,[3]Sheet1!$A:$C,3,0)</f>
        <v>458000</v>
      </c>
      <c r="O105" s="28" t="b">
        <f t="shared" si="18"/>
        <v>1</v>
      </c>
    </row>
    <row r="106" spans="2:15" s="28" customFormat="1" ht="16.5" customHeight="1">
      <c r="B106" s="20"/>
      <c r="C106" s="20"/>
      <c r="D106" s="254"/>
      <c r="E106" s="379">
        <v>120088</v>
      </c>
      <c r="F106" s="380" t="s">
        <v>118</v>
      </c>
      <c r="G106" s="381"/>
      <c r="H106" s="382"/>
      <c r="I106" s="383">
        <v>4264030</v>
      </c>
      <c r="J106" s="384">
        <v>120088</v>
      </c>
      <c r="K106" s="378" t="s">
        <v>71</v>
      </c>
      <c r="L106" s="378" t="s">
        <v>69</v>
      </c>
      <c r="M106" s="378">
        <v>208</v>
      </c>
      <c r="N106" s="356" t="e">
        <f>VLOOKUP(E106,[3]Sheet1!$A:$C,3,0)</f>
        <v>#N/A</v>
      </c>
      <c r="O106" s="28" t="e">
        <f t="shared" si="18"/>
        <v>#N/A</v>
      </c>
    </row>
    <row r="107" spans="2:15" s="28" customFormat="1" ht="16.5" customHeight="1">
      <c r="B107" s="20"/>
      <c r="C107" s="20"/>
      <c r="D107" s="254"/>
      <c r="E107" s="379">
        <v>120089</v>
      </c>
      <c r="F107" s="380" t="s">
        <v>762</v>
      </c>
      <c r="G107" s="381"/>
      <c r="H107" s="382"/>
      <c r="I107" s="383">
        <v>380000</v>
      </c>
      <c r="J107" s="384">
        <v>120089</v>
      </c>
      <c r="K107" s="378" t="s">
        <v>761</v>
      </c>
      <c r="L107" s="378" t="s">
        <v>69</v>
      </c>
      <c r="M107" s="378">
        <v>22.8</v>
      </c>
      <c r="N107" s="356">
        <f>VLOOKUP(E107,[3]Sheet1!$A:$C,3,0)</f>
        <v>380000</v>
      </c>
      <c r="O107" s="28" t="b">
        <f t="shared" si="18"/>
        <v>1</v>
      </c>
    </row>
    <row r="108" spans="2:15" s="28" customFormat="1" ht="16.5" customHeight="1">
      <c r="B108" s="20"/>
      <c r="C108" s="20"/>
      <c r="D108" s="254"/>
      <c r="E108" s="379">
        <v>134601</v>
      </c>
      <c r="F108" s="380" t="s">
        <v>763</v>
      </c>
      <c r="G108" s="381"/>
      <c r="H108" s="382"/>
      <c r="I108" s="383">
        <v>3724000</v>
      </c>
      <c r="J108" s="384">
        <v>134601</v>
      </c>
      <c r="K108" s="378" t="s">
        <v>71</v>
      </c>
      <c r="L108" s="378" t="s">
        <v>69</v>
      </c>
      <c r="M108" s="378">
        <v>200</v>
      </c>
      <c r="N108" s="356">
        <f>VLOOKUP(E108,[3]Sheet1!$A:$C,3,0)</f>
        <v>3724000</v>
      </c>
      <c r="O108" s="28" t="b">
        <f t="shared" si="18"/>
        <v>1</v>
      </c>
    </row>
    <row r="109" spans="2:15" s="28" customFormat="1" ht="16.5" customHeight="1">
      <c r="B109" s="20"/>
      <c r="C109" s="20"/>
      <c r="D109" s="254"/>
      <c r="E109" s="379">
        <v>134756</v>
      </c>
      <c r="F109" s="380" t="s">
        <v>107</v>
      </c>
      <c r="G109" s="381"/>
      <c r="H109" s="382"/>
      <c r="I109" s="383">
        <v>662000</v>
      </c>
      <c r="J109" s="378">
        <v>134756</v>
      </c>
      <c r="K109" s="378" t="s">
        <v>70</v>
      </c>
      <c r="L109" s="378" t="s">
        <v>69</v>
      </c>
      <c r="M109" s="378">
        <v>16</v>
      </c>
      <c r="N109" s="356">
        <f>VLOOKUP(E109,[3]Sheet1!$A:$C,3,0)</f>
        <v>662000</v>
      </c>
      <c r="O109" s="28" t="b">
        <f t="shared" si="18"/>
        <v>1</v>
      </c>
    </row>
    <row r="110" spans="2:15" s="28" customFormat="1" ht="16.5" customHeight="1">
      <c r="B110" s="20"/>
      <c r="C110" s="20"/>
      <c r="D110" s="254"/>
      <c r="E110" s="379">
        <v>135390</v>
      </c>
      <c r="F110" s="380" t="s">
        <v>764</v>
      </c>
      <c r="G110" s="381"/>
      <c r="H110" s="382"/>
      <c r="I110" s="383">
        <v>524000</v>
      </c>
      <c r="J110" s="378">
        <v>135390</v>
      </c>
      <c r="K110" s="378" t="s">
        <v>70</v>
      </c>
      <c r="L110" s="378" t="s">
        <v>69</v>
      </c>
      <c r="M110" s="378">
        <v>20</v>
      </c>
      <c r="N110" s="356">
        <f>VLOOKUP(E110,[3]Sheet1!$A:$C,3,0)</f>
        <v>524000</v>
      </c>
      <c r="O110" s="28" t="b">
        <f t="shared" si="18"/>
        <v>1</v>
      </c>
    </row>
    <row r="111" spans="2:15" s="28" customFormat="1" ht="16.5" customHeight="1">
      <c r="B111" s="20"/>
      <c r="C111" s="20"/>
      <c r="D111" s="254"/>
      <c r="E111" s="379">
        <v>120969</v>
      </c>
      <c r="F111" s="395" t="s">
        <v>254</v>
      </c>
      <c r="G111" s="396"/>
      <c r="H111" s="397"/>
      <c r="I111" s="383">
        <v>235000</v>
      </c>
      <c r="J111" s="398">
        <v>120969</v>
      </c>
      <c r="K111" s="399" t="s">
        <v>70</v>
      </c>
      <c r="L111" s="399" t="s">
        <v>34</v>
      </c>
      <c r="M111" s="399">
        <v>18.899999999999999</v>
      </c>
      <c r="N111" s="356">
        <f>VLOOKUP(E111,[3]Sheet1!$A:$C,3,0)</f>
        <v>235000</v>
      </c>
      <c r="O111" s="28" t="b">
        <f t="shared" si="18"/>
        <v>1</v>
      </c>
    </row>
    <row r="112" spans="2:15" s="28" customFormat="1" ht="16.5" customHeight="1">
      <c r="B112" s="20"/>
      <c r="C112" s="20"/>
      <c r="D112" s="254"/>
      <c r="E112" s="379">
        <v>121540</v>
      </c>
      <c r="F112" s="395" t="s">
        <v>419</v>
      </c>
      <c r="G112" s="396"/>
      <c r="H112" s="397"/>
      <c r="I112" s="383">
        <v>1684000</v>
      </c>
      <c r="J112" s="398">
        <v>121540</v>
      </c>
      <c r="K112" s="399" t="s">
        <v>71</v>
      </c>
      <c r="L112" s="399" t="s">
        <v>34</v>
      </c>
      <c r="M112" s="399">
        <v>208</v>
      </c>
      <c r="N112" s="356">
        <f>VLOOKUP(E112,[3]Sheet1!$A:$C,3,0)</f>
        <v>1785000</v>
      </c>
      <c r="O112" s="28" t="b">
        <f t="shared" si="18"/>
        <v>0</v>
      </c>
    </row>
    <row r="113" spans="2:15" s="28" customFormat="1" ht="16.5" customHeight="1">
      <c r="B113" s="20"/>
      <c r="C113" s="20"/>
      <c r="D113" s="254"/>
      <c r="E113" s="379">
        <v>121558</v>
      </c>
      <c r="F113" s="395" t="s">
        <v>255</v>
      </c>
      <c r="G113" s="396"/>
      <c r="H113" s="397"/>
      <c r="I113" s="383">
        <v>311000</v>
      </c>
      <c r="J113" s="398">
        <v>121558</v>
      </c>
      <c r="K113" s="399" t="s">
        <v>70</v>
      </c>
      <c r="L113" s="399" t="s">
        <v>34</v>
      </c>
      <c r="M113" s="399">
        <v>17.251999999999999</v>
      </c>
      <c r="N113" s="356">
        <f>VLOOKUP(E113,[3]Sheet1!$A:$C,3,0)</f>
        <v>330000</v>
      </c>
      <c r="O113" s="28" t="b">
        <f t="shared" si="18"/>
        <v>0</v>
      </c>
    </row>
    <row r="114" spans="2:15" s="28" customFormat="1" ht="16.5" customHeight="1">
      <c r="B114" s="20"/>
      <c r="C114" s="20"/>
      <c r="D114" s="254"/>
      <c r="E114" s="379">
        <v>121759</v>
      </c>
      <c r="F114" s="395" t="s">
        <v>765</v>
      </c>
      <c r="G114" s="396"/>
      <c r="H114" s="397"/>
      <c r="I114" s="383">
        <v>1230000</v>
      </c>
      <c r="J114" s="399">
        <v>121759</v>
      </c>
      <c r="K114" s="399" t="s">
        <v>71</v>
      </c>
      <c r="L114" s="399" t="s">
        <v>34</v>
      </c>
      <c r="M114" s="399">
        <v>208</v>
      </c>
      <c r="N114" s="356">
        <f>VLOOKUP(E114,[3]Sheet1!$A:$C,3,0)</f>
        <v>1304000</v>
      </c>
      <c r="O114" s="28" t="b">
        <f t="shared" si="18"/>
        <v>0</v>
      </c>
    </row>
    <row r="115" spans="2:15" s="28" customFormat="1" ht="16.5" customHeight="1">
      <c r="B115" s="20"/>
      <c r="C115" s="20"/>
      <c r="D115" s="254"/>
      <c r="E115" s="379">
        <v>121762</v>
      </c>
      <c r="F115" s="395" t="s">
        <v>434</v>
      </c>
      <c r="G115" s="396"/>
      <c r="H115" s="397"/>
      <c r="I115" s="383">
        <v>1302000</v>
      </c>
      <c r="J115" s="399">
        <v>121762</v>
      </c>
      <c r="K115" s="399" t="s">
        <v>71</v>
      </c>
      <c r="L115" s="399" t="s">
        <v>34</v>
      </c>
      <c r="M115" s="399">
        <v>208</v>
      </c>
      <c r="N115" s="356">
        <f>VLOOKUP(E115,[3]Sheet1!$A:$C,3,0)</f>
        <v>1380000</v>
      </c>
      <c r="O115" s="28" t="b">
        <f t="shared" si="18"/>
        <v>0</v>
      </c>
    </row>
    <row r="116" spans="2:15" s="28" customFormat="1" ht="16.5" customHeight="1">
      <c r="B116" s="20"/>
      <c r="C116" s="20"/>
      <c r="D116" s="254"/>
      <c r="E116" s="379">
        <v>121764</v>
      </c>
      <c r="F116" s="395" t="s">
        <v>435</v>
      </c>
      <c r="G116" s="396"/>
      <c r="H116" s="397"/>
      <c r="I116" s="383">
        <v>1246000</v>
      </c>
      <c r="J116" s="399">
        <v>121764</v>
      </c>
      <c r="K116" s="399" t="s">
        <v>71</v>
      </c>
      <c r="L116" s="399" t="s">
        <v>34</v>
      </c>
      <c r="M116" s="399">
        <v>208</v>
      </c>
      <c r="N116" s="356">
        <f>VLOOKUP(E116,[3]Sheet1!$A:$C,3,0)</f>
        <v>1321000</v>
      </c>
      <c r="O116" s="28" t="b">
        <f t="shared" si="18"/>
        <v>0</v>
      </c>
    </row>
    <row r="117" spans="2:15" s="28" customFormat="1" ht="16.5" customHeight="1">
      <c r="B117" s="20"/>
      <c r="C117" s="20"/>
      <c r="D117" s="254"/>
      <c r="E117" s="379">
        <v>121892</v>
      </c>
      <c r="F117" s="395" t="s">
        <v>256</v>
      </c>
      <c r="G117" s="396"/>
      <c r="H117" s="397"/>
      <c r="I117" s="383">
        <v>481000</v>
      </c>
      <c r="J117" s="399">
        <v>121892</v>
      </c>
      <c r="K117" s="399" t="s">
        <v>70</v>
      </c>
      <c r="L117" s="399" t="s">
        <v>34</v>
      </c>
      <c r="M117" s="399">
        <v>18.899999999999999</v>
      </c>
      <c r="N117" s="356">
        <f>VLOOKUP(E117,[3]Sheet1!$A:$C,3,0)</f>
        <v>481000</v>
      </c>
      <c r="O117" s="28" t="b">
        <f t="shared" si="18"/>
        <v>1</v>
      </c>
    </row>
    <row r="118" spans="2:15" s="28" customFormat="1" ht="16.5" customHeight="1">
      <c r="B118" s="20"/>
      <c r="C118" s="20"/>
      <c r="D118" s="254"/>
      <c r="E118" s="379">
        <v>121902</v>
      </c>
      <c r="F118" s="395" t="s">
        <v>257</v>
      </c>
      <c r="G118" s="396"/>
      <c r="H118" s="397"/>
      <c r="I118" s="383">
        <v>410000</v>
      </c>
      <c r="J118" s="398">
        <v>121902</v>
      </c>
      <c r="K118" s="399" t="s">
        <v>70</v>
      </c>
      <c r="L118" s="399" t="s">
        <v>34</v>
      </c>
      <c r="M118" s="399">
        <v>18.899999999999999</v>
      </c>
      <c r="N118" s="356">
        <f>VLOOKUP(E118,[3]Sheet1!$A:$C,3,0)</f>
        <v>410000</v>
      </c>
      <c r="O118" s="28" t="b">
        <f t="shared" si="18"/>
        <v>1</v>
      </c>
    </row>
    <row r="119" spans="2:15" s="28" customFormat="1" ht="16.5" customHeight="1">
      <c r="B119" s="20"/>
      <c r="C119" s="20"/>
      <c r="D119" s="254"/>
      <c r="E119" s="379">
        <v>121904</v>
      </c>
      <c r="F119" s="395" t="s">
        <v>258</v>
      </c>
      <c r="G119" s="396"/>
      <c r="H119" s="397"/>
      <c r="I119" s="383">
        <v>430000</v>
      </c>
      <c r="J119" s="398">
        <v>121904</v>
      </c>
      <c r="K119" s="399" t="s">
        <v>70</v>
      </c>
      <c r="L119" s="399" t="s">
        <v>34</v>
      </c>
      <c r="M119" s="399">
        <v>18.899999999999999</v>
      </c>
      <c r="N119" s="356">
        <f>VLOOKUP(E119,[3]Sheet1!$A:$C,3,0)</f>
        <v>430000</v>
      </c>
      <c r="O119" s="28" t="b">
        <f t="shared" si="18"/>
        <v>1</v>
      </c>
    </row>
    <row r="120" spans="2:15" s="28" customFormat="1" ht="16.5" customHeight="1">
      <c r="B120" s="20"/>
      <c r="C120" s="20"/>
      <c r="D120" s="254"/>
      <c r="E120" s="379">
        <v>121907</v>
      </c>
      <c r="F120" s="395" t="s">
        <v>259</v>
      </c>
      <c r="G120" s="396"/>
      <c r="H120" s="397"/>
      <c r="I120" s="383">
        <v>398000</v>
      </c>
      <c r="J120" s="398">
        <v>121907</v>
      </c>
      <c r="K120" s="399" t="s">
        <v>70</v>
      </c>
      <c r="L120" s="399" t="s">
        <v>34</v>
      </c>
      <c r="M120" s="399">
        <v>18.899999999999999</v>
      </c>
      <c r="N120" s="356">
        <f>VLOOKUP(E120,[3]Sheet1!$A:$C,3,0)</f>
        <v>398000</v>
      </c>
      <c r="O120" s="28" t="b">
        <f t="shared" si="18"/>
        <v>1</v>
      </c>
    </row>
    <row r="121" spans="2:15" s="28" customFormat="1" ht="16.5" customHeight="1">
      <c r="B121" s="20"/>
      <c r="C121" s="20"/>
      <c r="D121" s="254"/>
      <c r="E121" s="379">
        <v>122135</v>
      </c>
      <c r="F121" s="395" t="s">
        <v>437</v>
      </c>
      <c r="G121" s="396"/>
      <c r="H121" s="397"/>
      <c r="I121" s="383">
        <v>1207000</v>
      </c>
      <c r="J121" s="399">
        <v>122135</v>
      </c>
      <c r="K121" s="399" t="s">
        <v>71</v>
      </c>
      <c r="L121" s="399" t="s">
        <v>34</v>
      </c>
      <c r="M121" s="399">
        <v>208</v>
      </c>
      <c r="N121" s="356">
        <f>VLOOKUP(E121,[3]Sheet1!$A:$C,3,0)</f>
        <v>1279000</v>
      </c>
      <c r="O121" s="28" t="b">
        <f t="shared" si="18"/>
        <v>0</v>
      </c>
    </row>
    <row r="122" spans="2:15" s="28" customFormat="1" ht="16.5" customHeight="1">
      <c r="B122" s="20"/>
      <c r="C122" s="20"/>
      <c r="D122" s="254"/>
      <c r="E122" s="379">
        <v>122167</v>
      </c>
      <c r="F122" s="395" t="s">
        <v>438</v>
      </c>
      <c r="G122" s="396"/>
      <c r="H122" s="397"/>
      <c r="I122" s="383">
        <v>3124000</v>
      </c>
      <c r="J122" s="398">
        <v>122167</v>
      </c>
      <c r="K122" s="399" t="s">
        <v>71</v>
      </c>
      <c r="L122" s="399" t="s">
        <v>34</v>
      </c>
      <c r="M122" s="399">
        <v>208</v>
      </c>
      <c r="N122" s="356">
        <f>VLOOKUP(E122,[3]Sheet1!$A:$C,3,0)</f>
        <v>3124000</v>
      </c>
      <c r="O122" s="28" t="b">
        <f t="shared" si="18"/>
        <v>1</v>
      </c>
    </row>
    <row r="123" spans="2:15" s="28" customFormat="1" ht="16.5" customHeight="1">
      <c r="B123" s="20"/>
      <c r="C123" s="20"/>
      <c r="D123" s="254"/>
      <c r="E123" s="379">
        <v>122187</v>
      </c>
      <c r="F123" s="395" t="s">
        <v>439</v>
      </c>
      <c r="G123" s="396"/>
      <c r="H123" s="397"/>
      <c r="I123" s="383">
        <v>2760000</v>
      </c>
      <c r="J123" s="398">
        <v>122187</v>
      </c>
      <c r="K123" s="399" t="s">
        <v>71</v>
      </c>
      <c r="L123" s="399" t="s">
        <v>34</v>
      </c>
      <c r="M123" s="399">
        <v>208</v>
      </c>
      <c r="N123" s="356">
        <f>VLOOKUP(E123,[3]Sheet1!$A:$C,3,0)</f>
        <v>2760000</v>
      </c>
      <c r="O123" s="28" t="b">
        <f t="shared" si="18"/>
        <v>1</v>
      </c>
    </row>
    <row r="124" spans="2:15" s="28" customFormat="1" ht="16.5" customHeight="1">
      <c r="B124" s="20"/>
      <c r="C124" s="20"/>
      <c r="D124" s="254"/>
      <c r="E124" s="379">
        <v>122612</v>
      </c>
      <c r="F124" s="395" t="s">
        <v>446</v>
      </c>
      <c r="G124" s="396"/>
      <c r="H124" s="397"/>
      <c r="I124" s="383">
        <v>1525000</v>
      </c>
      <c r="J124" s="398">
        <v>122612</v>
      </c>
      <c r="K124" s="399" t="s">
        <v>71</v>
      </c>
      <c r="L124" s="399" t="s">
        <v>34</v>
      </c>
      <c r="M124" s="399">
        <v>208</v>
      </c>
      <c r="N124" s="356">
        <f>VLOOKUP(E124,[3]Sheet1!$A:$C,3,0)</f>
        <v>1617000</v>
      </c>
      <c r="O124" s="28" t="b">
        <f t="shared" si="18"/>
        <v>0</v>
      </c>
    </row>
    <row r="125" spans="2:15" s="28" customFormat="1" ht="16.5" customHeight="1">
      <c r="B125" s="20"/>
      <c r="C125" s="20"/>
      <c r="D125" s="254"/>
      <c r="E125" s="379">
        <v>122650</v>
      </c>
      <c r="F125" s="395" t="s">
        <v>447</v>
      </c>
      <c r="G125" s="396"/>
      <c r="H125" s="397"/>
      <c r="I125" s="383">
        <v>3190000</v>
      </c>
      <c r="J125" s="398">
        <v>122650</v>
      </c>
      <c r="K125" s="399" t="s">
        <v>71</v>
      </c>
      <c r="L125" s="399" t="s">
        <v>34</v>
      </c>
      <c r="M125" s="399">
        <v>208</v>
      </c>
      <c r="N125" s="356">
        <f>VLOOKUP(E125,[3]Sheet1!$A:$C,3,0)</f>
        <v>3190000</v>
      </c>
      <c r="O125" s="28" t="b">
        <f t="shared" si="18"/>
        <v>1</v>
      </c>
    </row>
    <row r="126" spans="2:15" s="28" customFormat="1" ht="16.5" customHeight="1">
      <c r="B126" s="20"/>
      <c r="C126" s="20"/>
      <c r="D126" s="254"/>
      <c r="E126" s="379">
        <v>122713</v>
      </c>
      <c r="F126" s="395" t="s">
        <v>67</v>
      </c>
      <c r="G126" s="396"/>
      <c r="H126" s="397"/>
      <c r="I126" s="383">
        <v>106000</v>
      </c>
      <c r="J126" s="399">
        <v>122713</v>
      </c>
      <c r="K126" s="399" t="s">
        <v>70</v>
      </c>
      <c r="L126" s="399" t="s">
        <v>34</v>
      </c>
      <c r="M126" s="399">
        <v>20</v>
      </c>
      <c r="N126" s="356">
        <f>VLOOKUP(E126,[3]Sheet1!$A:$C,3,0)</f>
        <v>112000</v>
      </c>
      <c r="O126" s="28" t="b">
        <f t="shared" si="18"/>
        <v>0</v>
      </c>
    </row>
    <row r="127" spans="2:15" s="28" customFormat="1" ht="16.5" customHeight="1">
      <c r="B127" s="20"/>
      <c r="C127" s="20"/>
      <c r="D127" s="254"/>
      <c r="E127" s="379">
        <v>122766</v>
      </c>
      <c r="F127" s="395" t="s">
        <v>68</v>
      </c>
      <c r="G127" s="396"/>
      <c r="H127" s="397"/>
      <c r="I127" s="383">
        <v>83600</v>
      </c>
      <c r="J127" s="398">
        <v>122766</v>
      </c>
      <c r="K127" s="399" t="s">
        <v>70</v>
      </c>
      <c r="L127" s="399" t="s">
        <v>34</v>
      </c>
      <c r="M127" s="399">
        <v>20</v>
      </c>
      <c r="N127" s="356">
        <f>VLOOKUP(E127,[3]Sheet1!$A:$C,3,0)</f>
        <v>88600</v>
      </c>
      <c r="O127" s="28" t="b">
        <f t="shared" si="18"/>
        <v>0</v>
      </c>
    </row>
    <row r="128" spans="2:15" s="28" customFormat="1" ht="16.5" customHeight="1">
      <c r="B128" s="20"/>
      <c r="C128" s="20"/>
      <c r="D128" s="254"/>
      <c r="E128" s="379">
        <v>122821</v>
      </c>
      <c r="F128" s="395" t="s">
        <v>448</v>
      </c>
      <c r="G128" s="396"/>
      <c r="H128" s="397"/>
      <c r="I128" s="383"/>
      <c r="J128" s="398">
        <v>122821</v>
      </c>
      <c r="K128" s="399" t="s">
        <v>71</v>
      </c>
      <c r="L128" s="399" t="s">
        <v>34</v>
      </c>
      <c r="M128" s="399">
        <v>208</v>
      </c>
      <c r="N128" s="356" t="e">
        <f>VLOOKUP(E128,[3]Sheet1!$A:$C,3,0)</f>
        <v>#N/A</v>
      </c>
      <c r="O128" s="28" t="e">
        <f t="shared" si="18"/>
        <v>#N/A</v>
      </c>
    </row>
    <row r="129" spans="2:15" s="28" customFormat="1" ht="16.5" customHeight="1">
      <c r="B129" s="20"/>
      <c r="C129" s="20"/>
      <c r="D129" s="254"/>
      <c r="E129" s="379">
        <v>122837</v>
      </c>
      <c r="F129" s="395" t="s">
        <v>65</v>
      </c>
      <c r="G129" s="396"/>
      <c r="H129" s="397"/>
      <c r="I129" s="383">
        <v>62800</v>
      </c>
      <c r="J129" s="398">
        <v>122837</v>
      </c>
      <c r="K129" s="399" t="s">
        <v>70</v>
      </c>
      <c r="L129" s="399" t="s">
        <v>34</v>
      </c>
      <c r="M129" s="399">
        <v>20</v>
      </c>
      <c r="N129" s="356">
        <f>VLOOKUP(E129,[3]Sheet1!$A:$C,3,0)</f>
        <v>66600</v>
      </c>
      <c r="O129" s="28" t="b">
        <f t="shared" si="18"/>
        <v>0</v>
      </c>
    </row>
    <row r="130" spans="2:15" s="28" customFormat="1" ht="16.5" customHeight="1">
      <c r="B130" s="20"/>
      <c r="C130" s="20"/>
      <c r="D130" s="254"/>
      <c r="E130" s="379">
        <v>122842</v>
      </c>
      <c r="F130" s="395" t="s">
        <v>238</v>
      </c>
      <c r="G130" s="396"/>
      <c r="H130" s="397"/>
      <c r="I130" s="383">
        <v>79200</v>
      </c>
      <c r="J130" s="399">
        <v>122842</v>
      </c>
      <c r="K130" s="399" t="s">
        <v>70</v>
      </c>
      <c r="L130" s="399" t="s">
        <v>34</v>
      </c>
      <c r="M130" s="399">
        <v>20</v>
      </c>
      <c r="N130" s="356">
        <f>VLOOKUP(E130,[3]Sheet1!$A:$C,3,0)</f>
        <v>84000</v>
      </c>
      <c r="O130" s="28" t="b">
        <f t="shared" si="18"/>
        <v>0</v>
      </c>
    </row>
    <row r="131" spans="2:15" s="28" customFormat="1" ht="16.5" customHeight="1">
      <c r="B131" s="20"/>
      <c r="C131" s="20"/>
      <c r="D131" s="254"/>
      <c r="E131" s="379">
        <v>144277</v>
      </c>
      <c r="F131" s="395" t="s">
        <v>232</v>
      </c>
      <c r="G131" s="396"/>
      <c r="H131" s="397"/>
      <c r="I131" s="383">
        <v>46600</v>
      </c>
      <c r="J131" s="398">
        <v>122885</v>
      </c>
      <c r="K131" s="399" t="s">
        <v>70</v>
      </c>
      <c r="L131" s="399" t="s">
        <v>34</v>
      </c>
      <c r="M131" s="399">
        <v>20</v>
      </c>
      <c r="N131" s="356">
        <f>VLOOKUP(E131,[3]Sheet1!$A:$C,3,0)</f>
        <v>51800</v>
      </c>
      <c r="O131" s="28" t="b">
        <f t="shared" si="18"/>
        <v>0</v>
      </c>
    </row>
    <row r="132" spans="2:15" s="28" customFormat="1" ht="16.5" customHeight="1">
      <c r="B132" s="20"/>
      <c r="C132" s="20"/>
      <c r="D132" s="254"/>
      <c r="E132" s="379">
        <v>123004</v>
      </c>
      <c r="F132" s="395" t="s">
        <v>41</v>
      </c>
      <c r="G132" s="396"/>
      <c r="H132" s="397"/>
      <c r="I132" s="383">
        <v>402000</v>
      </c>
      <c r="J132" s="398">
        <v>123004</v>
      </c>
      <c r="K132" s="399" t="s">
        <v>70</v>
      </c>
      <c r="L132" s="399" t="s">
        <v>34</v>
      </c>
      <c r="M132" s="399">
        <v>18</v>
      </c>
      <c r="N132" s="356">
        <f>VLOOKUP(E132,[3]Sheet1!$A:$C,3,0)</f>
        <v>402000</v>
      </c>
      <c r="O132" s="28" t="b">
        <f t="shared" si="18"/>
        <v>1</v>
      </c>
    </row>
    <row r="133" spans="2:15" s="28" customFormat="1" ht="16.5" customHeight="1">
      <c r="B133" s="20"/>
      <c r="C133" s="20"/>
      <c r="D133" s="254"/>
      <c r="E133" s="379">
        <v>123291</v>
      </c>
      <c r="F133" s="395" t="s">
        <v>261</v>
      </c>
      <c r="G133" s="396"/>
      <c r="H133" s="397"/>
      <c r="I133" s="383">
        <v>326000</v>
      </c>
      <c r="J133" s="398">
        <v>123291</v>
      </c>
      <c r="K133" s="399" t="s">
        <v>70</v>
      </c>
      <c r="L133" s="399" t="s">
        <v>34</v>
      </c>
      <c r="M133" s="399">
        <v>20</v>
      </c>
      <c r="N133" s="356">
        <f>VLOOKUP(E133,[3]Sheet1!$A:$C,3,0)</f>
        <v>326000</v>
      </c>
      <c r="O133" s="28" t="b">
        <f t="shared" ref="O133:O196" si="19">I133=N133</f>
        <v>1</v>
      </c>
    </row>
    <row r="134" spans="2:15" s="28" customFormat="1" ht="16.5" customHeight="1">
      <c r="B134" s="20"/>
      <c r="C134" s="20"/>
      <c r="D134" s="254"/>
      <c r="E134" s="379">
        <v>123328</v>
      </c>
      <c r="F134" s="395" t="s">
        <v>262</v>
      </c>
      <c r="G134" s="396"/>
      <c r="H134" s="397"/>
      <c r="I134" s="383">
        <v>66800</v>
      </c>
      <c r="J134" s="398">
        <v>123328</v>
      </c>
      <c r="K134" s="399" t="s">
        <v>70</v>
      </c>
      <c r="L134" s="399" t="s">
        <v>34</v>
      </c>
      <c r="M134" s="399">
        <v>20</v>
      </c>
      <c r="N134" s="356">
        <f>VLOOKUP(E134,[3]Sheet1!$A:$C,3,0)</f>
        <v>70800</v>
      </c>
      <c r="O134" s="28" t="b">
        <f t="shared" si="19"/>
        <v>0</v>
      </c>
    </row>
    <row r="135" spans="2:15" s="28" customFormat="1" ht="16.5" customHeight="1">
      <c r="B135" s="20"/>
      <c r="C135" s="20"/>
      <c r="D135" s="254"/>
      <c r="E135" s="379">
        <v>123330</v>
      </c>
      <c r="F135" s="395" t="s">
        <v>263</v>
      </c>
      <c r="G135" s="396"/>
      <c r="H135" s="397"/>
      <c r="I135" s="383">
        <v>62700</v>
      </c>
      <c r="J135" s="398">
        <v>123330</v>
      </c>
      <c r="K135" s="399" t="s">
        <v>70</v>
      </c>
      <c r="L135" s="399" t="s">
        <v>34</v>
      </c>
      <c r="M135" s="399">
        <v>20</v>
      </c>
      <c r="N135" s="356">
        <f>VLOOKUP(E135,[3]Sheet1!$A:$C,3,0)</f>
        <v>66500</v>
      </c>
      <c r="O135" s="28" t="b">
        <f t="shared" si="19"/>
        <v>0</v>
      </c>
    </row>
    <row r="136" spans="2:15" s="28" customFormat="1" ht="16.5" customHeight="1">
      <c r="B136" s="20"/>
      <c r="C136" s="20"/>
      <c r="D136" s="254"/>
      <c r="E136" s="379">
        <v>123331</v>
      </c>
      <c r="F136" s="395" t="s">
        <v>264</v>
      </c>
      <c r="G136" s="396"/>
      <c r="H136" s="397"/>
      <c r="I136" s="383">
        <v>54200</v>
      </c>
      <c r="J136" s="398">
        <v>123331</v>
      </c>
      <c r="K136" s="399" t="s">
        <v>70</v>
      </c>
      <c r="L136" s="399" t="s">
        <v>34</v>
      </c>
      <c r="M136" s="399">
        <v>20</v>
      </c>
      <c r="N136" s="356">
        <f>VLOOKUP(E136,[3]Sheet1!$A:$C,3,0)</f>
        <v>57500</v>
      </c>
      <c r="O136" s="28" t="b">
        <f t="shared" si="19"/>
        <v>0</v>
      </c>
    </row>
    <row r="137" spans="2:15" s="28" customFormat="1" ht="16.5" customHeight="1">
      <c r="B137" s="20"/>
      <c r="C137" s="20"/>
      <c r="D137" s="254"/>
      <c r="E137" s="379">
        <v>123336</v>
      </c>
      <c r="F137" s="395" t="s">
        <v>235</v>
      </c>
      <c r="G137" s="396"/>
      <c r="H137" s="397"/>
      <c r="I137" s="383">
        <v>63400</v>
      </c>
      <c r="J137" s="398">
        <v>123336</v>
      </c>
      <c r="K137" s="399" t="s">
        <v>70</v>
      </c>
      <c r="L137" s="399" t="s">
        <v>34</v>
      </c>
      <c r="M137" s="399">
        <v>20</v>
      </c>
      <c r="N137" s="356">
        <f>VLOOKUP(E137,[3]Sheet1!$A:$C,3,0)</f>
        <v>67200</v>
      </c>
      <c r="O137" s="28" t="b">
        <f t="shared" si="19"/>
        <v>0</v>
      </c>
    </row>
    <row r="138" spans="2:15" s="28" customFormat="1" ht="16.5" customHeight="1">
      <c r="B138" s="20"/>
      <c r="C138" s="20"/>
      <c r="D138" s="254"/>
      <c r="E138" s="379">
        <v>123339</v>
      </c>
      <c r="F138" s="395" t="s">
        <v>225</v>
      </c>
      <c r="G138" s="396"/>
      <c r="H138" s="397"/>
      <c r="I138" s="383">
        <v>55400</v>
      </c>
      <c r="J138" s="399">
        <v>123339</v>
      </c>
      <c r="K138" s="399" t="s">
        <v>70</v>
      </c>
      <c r="L138" s="399" t="s">
        <v>34</v>
      </c>
      <c r="M138" s="399">
        <v>20</v>
      </c>
      <c r="N138" s="356">
        <f>VLOOKUP(E138,[3]Sheet1!$A:$C,3,0)</f>
        <v>58700</v>
      </c>
      <c r="O138" s="28" t="b">
        <f t="shared" si="19"/>
        <v>0</v>
      </c>
    </row>
    <row r="139" spans="2:15" s="28" customFormat="1" ht="16.5" customHeight="1">
      <c r="B139" s="20"/>
      <c r="C139" s="20"/>
      <c r="D139" s="254"/>
      <c r="E139" s="379">
        <v>124528</v>
      </c>
      <c r="F139" s="395" t="s">
        <v>450</v>
      </c>
      <c r="G139" s="396"/>
      <c r="H139" s="397"/>
      <c r="I139" s="383">
        <v>3634000</v>
      </c>
      <c r="J139" s="398">
        <v>124528</v>
      </c>
      <c r="K139" s="399" t="s">
        <v>71</v>
      </c>
      <c r="L139" s="399" t="s">
        <v>34</v>
      </c>
      <c r="M139" s="399">
        <v>208</v>
      </c>
      <c r="N139" s="356">
        <f>VLOOKUP(E139,[3]Sheet1!$A:$C,3,0)</f>
        <v>3634000</v>
      </c>
      <c r="O139" s="28" t="b">
        <f t="shared" si="19"/>
        <v>1</v>
      </c>
    </row>
    <row r="140" spans="2:15" s="28" customFormat="1" ht="16.5" customHeight="1">
      <c r="B140" s="20"/>
      <c r="C140" s="20"/>
      <c r="D140" s="254"/>
      <c r="E140" s="379">
        <v>126328</v>
      </c>
      <c r="F140" s="395" t="s">
        <v>453</v>
      </c>
      <c r="G140" s="396"/>
      <c r="H140" s="397"/>
      <c r="I140" s="383">
        <v>4056000</v>
      </c>
      <c r="J140" s="399">
        <v>126328</v>
      </c>
      <c r="K140" s="399" t="s">
        <v>71</v>
      </c>
      <c r="L140" s="399" t="s">
        <v>34</v>
      </c>
      <c r="M140" s="399">
        <v>208</v>
      </c>
      <c r="N140" s="356">
        <f>VLOOKUP(E140,[3]Sheet1!$A:$C,3,0)</f>
        <v>4056000</v>
      </c>
      <c r="O140" s="28" t="b">
        <f t="shared" si="19"/>
        <v>1</v>
      </c>
    </row>
    <row r="141" spans="2:15" s="28" customFormat="1" ht="16.5" customHeight="1">
      <c r="B141" s="20"/>
      <c r="C141" s="20"/>
      <c r="D141" s="254"/>
      <c r="E141" s="379">
        <v>127356</v>
      </c>
      <c r="F141" s="395" t="s">
        <v>265</v>
      </c>
      <c r="G141" s="396"/>
      <c r="H141" s="397"/>
      <c r="I141" s="383">
        <v>337000</v>
      </c>
      <c r="J141" s="398">
        <v>127356</v>
      </c>
      <c r="K141" s="399" t="s">
        <v>70</v>
      </c>
      <c r="L141" s="399" t="s">
        <v>34</v>
      </c>
      <c r="M141" s="399">
        <v>20</v>
      </c>
      <c r="N141" s="356">
        <f>VLOOKUP(E141,[3]Sheet1!$A:$C,3,0)</f>
        <v>337000</v>
      </c>
      <c r="O141" s="28" t="b">
        <f t="shared" si="19"/>
        <v>1</v>
      </c>
    </row>
    <row r="142" spans="2:15" s="28" customFormat="1" ht="16.5" customHeight="1">
      <c r="B142" s="20"/>
      <c r="C142" s="20"/>
      <c r="D142" s="254"/>
      <c r="E142" s="379">
        <v>128773</v>
      </c>
      <c r="F142" s="395" t="s">
        <v>766</v>
      </c>
      <c r="G142" s="396"/>
      <c r="H142" s="397"/>
      <c r="I142" s="383">
        <v>346000</v>
      </c>
      <c r="J142" s="398">
        <v>128773</v>
      </c>
      <c r="K142" s="399" t="s">
        <v>70</v>
      </c>
      <c r="L142" s="399" t="s">
        <v>34</v>
      </c>
      <c r="M142" s="399">
        <v>18.899999999999999</v>
      </c>
      <c r="N142" s="356">
        <f>VLOOKUP(E142,[3]Sheet1!$A:$C,3,0)</f>
        <v>346000</v>
      </c>
      <c r="O142" s="28" t="b">
        <f t="shared" si="19"/>
        <v>1</v>
      </c>
    </row>
    <row r="143" spans="2:15" s="28" customFormat="1" ht="16.5" customHeight="1">
      <c r="B143" s="20"/>
      <c r="C143" s="20"/>
      <c r="D143" s="254"/>
      <c r="E143" s="379">
        <v>129351</v>
      </c>
      <c r="F143" s="395" t="s">
        <v>266</v>
      </c>
      <c r="G143" s="396"/>
      <c r="H143" s="397"/>
      <c r="I143" s="383">
        <v>415000</v>
      </c>
      <c r="J143" s="398">
        <v>129351</v>
      </c>
      <c r="K143" s="399" t="s">
        <v>70</v>
      </c>
      <c r="L143" s="399" t="s">
        <v>34</v>
      </c>
      <c r="M143" s="399">
        <v>20</v>
      </c>
      <c r="N143" s="356">
        <f>VLOOKUP(E143,[3]Sheet1!$A:$C,3,0)</f>
        <v>415000</v>
      </c>
      <c r="O143" s="28" t="b">
        <f t="shared" si="19"/>
        <v>1</v>
      </c>
    </row>
    <row r="144" spans="2:15" s="28" customFormat="1" ht="16.5" customHeight="1">
      <c r="B144" s="20"/>
      <c r="C144" s="20"/>
      <c r="D144" s="254"/>
      <c r="E144" s="379">
        <v>129364</v>
      </c>
      <c r="F144" s="395" t="s">
        <v>458</v>
      </c>
      <c r="G144" s="396"/>
      <c r="H144" s="397"/>
      <c r="I144" s="383"/>
      <c r="J144" s="398">
        <v>129364</v>
      </c>
      <c r="K144" s="399" t="s">
        <v>71</v>
      </c>
      <c r="L144" s="399" t="s">
        <v>34</v>
      </c>
      <c r="M144" s="399">
        <v>208</v>
      </c>
      <c r="N144" s="356" t="e">
        <f>VLOOKUP(E144,[3]Sheet1!$A:$C,3,0)</f>
        <v>#N/A</v>
      </c>
      <c r="O144" s="28" t="e">
        <f t="shared" si="19"/>
        <v>#N/A</v>
      </c>
    </row>
    <row r="145" spans="2:15" s="28" customFormat="1" ht="16.5" customHeight="1">
      <c r="B145" s="20"/>
      <c r="C145" s="20"/>
      <c r="D145" s="254"/>
      <c r="E145" s="379">
        <v>129389</v>
      </c>
      <c r="F145" s="395" t="s">
        <v>459</v>
      </c>
      <c r="G145" s="396"/>
      <c r="H145" s="397"/>
      <c r="I145" s="383">
        <v>3962000</v>
      </c>
      <c r="J145" s="398">
        <v>129389</v>
      </c>
      <c r="K145" s="399" t="s">
        <v>71</v>
      </c>
      <c r="L145" s="399" t="s">
        <v>34</v>
      </c>
      <c r="M145" s="399">
        <v>208</v>
      </c>
      <c r="N145" s="356">
        <f>VLOOKUP(E145,[3]Sheet1!$A:$C,3,0)</f>
        <v>3962000</v>
      </c>
      <c r="O145" s="28" t="b">
        <f t="shared" si="19"/>
        <v>1</v>
      </c>
    </row>
    <row r="146" spans="2:15" s="28" customFormat="1" ht="16.5" customHeight="1">
      <c r="B146" s="20"/>
      <c r="C146" s="20"/>
      <c r="D146" s="254"/>
      <c r="E146" s="379">
        <v>130938</v>
      </c>
      <c r="F146" s="395" t="s">
        <v>461</v>
      </c>
      <c r="G146" s="396"/>
      <c r="H146" s="397"/>
      <c r="I146" s="383">
        <v>1918000</v>
      </c>
      <c r="J146" s="398">
        <v>130938</v>
      </c>
      <c r="K146" s="399" t="s">
        <v>71</v>
      </c>
      <c r="L146" s="399" t="s">
        <v>34</v>
      </c>
      <c r="M146" s="399">
        <v>181</v>
      </c>
      <c r="N146" s="356">
        <f>VLOOKUP(E146,[3]Sheet1!$A:$C,3,0)</f>
        <v>2033000</v>
      </c>
      <c r="O146" s="28" t="b">
        <f t="shared" si="19"/>
        <v>0</v>
      </c>
    </row>
    <row r="147" spans="2:15" s="28" customFormat="1" ht="16.5" customHeight="1">
      <c r="B147" s="20"/>
      <c r="C147" s="20"/>
      <c r="D147" s="254"/>
      <c r="E147" s="379">
        <v>130939</v>
      </c>
      <c r="F147" s="395" t="s">
        <v>267</v>
      </c>
      <c r="G147" s="396"/>
      <c r="H147" s="397"/>
      <c r="I147" s="383">
        <v>179000</v>
      </c>
      <c r="J147" s="398">
        <v>130939</v>
      </c>
      <c r="K147" s="399" t="s">
        <v>70</v>
      </c>
      <c r="L147" s="399" t="s">
        <v>34</v>
      </c>
      <c r="M147" s="399">
        <v>15.87</v>
      </c>
      <c r="N147" s="356">
        <f>VLOOKUP(E147,[3]Sheet1!$A:$C,3,0)</f>
        <v>190000</v>
      </c>
      <c r="O147" s="28" t="b">
        <f t="shared" si="19"/>
        <v>0</v>
      </c>
    </row>
    <row r="148" spans="2:15" s="28" customFormat="1" ht="16.5" customHeight="1">
      <c r="B148" s="20"/>
      <c r="C148" s="20"/>
      <c r="D148" s="254"/>
      <c r="E148" s="379">
        <v>131773</v>
      </c>
      <c r="F148" s="395" t="s">
        <v>462</v>
      </c>
      <c r="G148" s="396"/>
      <c r="H148" s="397"/>
      <c r="I148" s="383"/>
      <c r="J148" s="398">
        <v>131773</v>
      </c>
      <c r="K148" s="399" t="s">
        <v>71</v>
      </c>
      <c r="L148" s="399" t="s">
        <v>34</v>
      </c>
      <c r="M148" s="399">
        <v>208</v>
      </c>
      <c r="N148" s="356" t="e">
        <f>VLOOKUP(E148,[3]Sheet1!$A:$C,3,0)</f>
        <v>#N/A</v>
      </c>
      <c r="O148" s="28" t="e">
        <f t="shared" si="19"/>
        <v>#N/A</v>
      </c>
    </row>
    <row r="149" spans="2:15" s="28" customFormat="1" ht="16.5" customHeight="1">
      <c r="B149" s="20"/>
      <c r="C149" s="20"/>
      <c r="D149" s="254"/>
      <c r="E149" s="379">
        <v>132528</v>
      </c>
      <c r="F149" s="395" t="s">
        <v>270</v>
      </c>
      <c r="G149" s="396"/>
      <c r="H149" s="397"/>
      <c r="I149" s="383">
        <v>269000</v>
      </c>
      <c r="J149" s="398">
        <v>132528</v>
      </c>
      <c r="K149" s="399" t="s">
        <v>70</v>
      </c>
      <c r="L149" s="399" t="s">
        <v>34</v>
      </c>
      <c r="M149" s="399">
        <v>16</v>
      </c>
      <c r="N149" s="356">
        <f>VLOOKUP(E149,[3]Sheet1!$A:$C,3,0)</f>
        <v>285000</v>
      </c>
      <c r="O149" s="28" t="b">
        <f t="shared" si="19"/>
        <v>0</v>
      </c>
    </row>
    <row r="150" spans="2:15" s="28" customFormat="1" ht="16.5" customHeight="1">
      <c r="B150" s="20"/>
      <c r="C150" s="20"/>
      <c r="D150" s="254"/>
      <c r="E150" s="379">
        <v>132549</v>
      </c>
      <c r="F150" s="395" t="s">
        <v>463</v>
      </c>
      <c r="G150" s="396"/>
      <c r="H150" s="397"/>
      <c r="I150" s="383">
        <v>3029000</v>
      </c>
      <c r="J150" s="398">
        <v>132549</v>
      </c>
      <c r="K150" s="399" t="s">
        <v>71</v>
      </c>
      <c r="L150" s="399" t="s">
        <v>34</v>
      </c>
      <c r="M150" s="399">
        <v>208</v>
      </c>
      <c r="N150" s="356">
        <f>VLOOKUP(E150,[3]Sheet1!$A:$C,3,0)</f>
        <v>3029000</v>
      </c>
      <c r="O150" s="28" t="b">
        <f t="shared" si="19"/>
        <v>1</v>
      </c>
    </row>
    <row r="151" spans="2:15" s="28" customFormat="1" ht="16.5" customHeight="1">
      <c r="B151" s="20"/>
      <c r="C151" s="20"/>
      <c r="D151" s="254"/>
      <c r="E151" s="379">
        <v>132550</v>
      </c>
      <c r="F151" s="395" t="s">
        <v>464</v>
      </c>
      <c r="G151" s="396"/>
      <c r="H151" s="397"/>
      <c r="I151" s="383">
        <v>3173000</v>
      </c>
      <c r="J151" s="398">
        <v>132550</v>
      </c>
      <c r="K151" s="399" t="s">
        <v>71</v>
      </c>
      <c r="L151" s="399" t="s">
        <v>34</v>
      </c>
      <c r="M151" s="399">
        <v>208</v>
      </c>
      <c r="N151" s="356">
        <f>VLOOKUP(E151,[3]Sheet1!$A:$C,3,0)</f>
        <v>3173000</v>
      </c>
      <c r="O151" s="28" t="b">
        <f t="shared" si="19"/>
        <v>1</v>
      </c>
    </row>
    <row r="152" spans="2:15" s="28" customFormat="1" ht="16.5" customHeight="1">
      <c r="B152" s="20"/>
      <c r="C152" s="20"/>
      <c r="D152" s="254"/>
      <c r="E152" s="379">
        <v>132558</v>
      </c>
      <c r="F152" s="395" t="s">
        <v>465</v>
      </c>
      <c r="G152" s="396"/>
      <c r="H152" s="397"/>
      <c r="I152" s="383">
        <v>3541000</v>
      </c>
      <c r="J152" s="398">
        <v>132558</v>
      </c>
      <c r="K152" s="399" t="s">
        <v>71</v>
      </c>
      <c r="L152" s="399" t="s">
        <v>34</v>
      </c>
      <c r="M152" s="399">
        <v>208</v>
      </c>
      <c r="N152" s="356">
        <f>VLOOKUP(E152,[3]Sheet1!$A:$C,3,0)</f>
        <v>3541000</v>
      </c>
      <c r="O152" s="28" t="b">
        <f t="shared" si="19"/>
        <v>1</v>
      </c>
    </row>
    <row r="153" spans="2:15" s="28" customFormat="1" ht="16.5" customHeight="1">
      <c r="B153" s="20"/>
      <c r="C153" s="20"/>
      <c r="D153" s="254"/>
      <c r="E153" s="379">
        <v>140202</v>
      </c>
      <c r="F153" s="395" t="s">
        <v>377</v>
      </c>
      <c r="G153" s="396"/>
      <c r="H153" s="397"/>
      <c r="I153" s="383">
        <v>352000</v>
      </c>
      <c r="J153" s="398">
        <v>140202</v>
      </c>
      <c r="K153" s="399" t="s">
        <v>70</v>
      </c>
      <c r="L153" s="399" t="s">
        <v>34</v>
      </c>
      <c r="M153" s="399">
        <v>16</v>
      </c>
      <c r="N153" s="356">
        <f>VLOOKUP(E153,[3]Sheet1!$A:$C,3,0)</f>
        <v>352000</v>
      </c>
      <c r="O153" s="28" t="b">
        <f t="shared" si="19"/>
        <v>1</v>
      </c>
    </row>
    <row r="154" spans="2:15" s="28" customFormat="1" ht="16.5" customHeight="1">
      <c r="B154" s="20"/>
      <c r="C154" s="20"/>
      <c r="D154" s="254"/>
      <c r="E154" s="379">
        <v>140203</v>
      </c>
      <c r="F154" s="395" t="s">
        <v>273</v>
      </c>
      <c r="G154" s="396"/>
      <c r="H154" s="397"/>
      <c r="I154" s="383">
        <v>355000</v>
      </c>
      <c r="J154" s="398">
        <v>140203</v>
      </c>
      <c r="K154" s="399" t="s">
        <v>70</v>
      </c>
      <c r="L154" s="399" t="s">
        <v>34</v>
      </c>
      <c r="M154" s="399">
        <v>16</v>
      </c>
      <c r="N154" s="356">
        <f>VLOOKUP(E154,[3]Sheet1!$A:$C,3,0)</f>
        <v>355000</v>
      </c>
      <c r="O154" s="28" t="b">
        <f t="shared" si="19"/>
        <v>1</v>
      </c>
    </row>
    <row r="155" spans="2:15" s="28" customFormat="1" ht="16.5" customHeight="1">
      <c r="B155" s="20"/>
      <c r="C155" s="20"/>
      <c r="D155" s="254"/>
      <c r="E155" s="379">
        <v>132575</v>
      </c>
      <c r="F155" s="400" t="s">
        <v>274</v>
      </c>
      <c r="G155" s="401"/>
      <c r="H155" s="402"/>
      <c r="I155" s="383">
        <v>394000</v>
      </c>
      <c r="J155" s="398">
        <v>132575</v>
      </c>
      <c r="K155" s="399" t="s">
        <v>70</v>
      </c>
      <c r="L155" s="399" t="s">
        <v>34</v>
      </c>
      <c r="M155" s="399">
        <v>16</v>
      </c>
      <c r="N155" s="356">
        <f>VLOOKUP(E155,[3]Sheet1!$A:$C,3,0)</f>
        <v>394000</v>
      </c>
      <c r="O155" s="28" t="b">
        <f t="shared" si="19"/>
        <v>1</v>
      </c>
    </row>
    <row r="156" spans="2:15" s="28" customFormat="1" ht="16.5" customHeight="1">
      <c r="B156" s="20"/>
      <c r="C156" s="20"/>
      <c r="D156" s="254"/>
      <c r="E156" s="379">
        <v>132610</v>
      </c>
      <c r="F156" s="395" t="s">
        <v>466</v>
      </c>
      <c r="G156" s="396"/>
      <c r="H156" s="397"/>
      <c r="I156" s="383">
        <v>3730000</v>
      </c>
      <c r="J156" s="398">
        <v>132610</v>
      </c>
      <c r="K156" s="399" t="s">
        <v>71</v>
      </c>
      <c r="L156" s="399" t="s">
        <v>34</v>
      </c>
      <c r="M156" s="399">
        <v>174</v>
      </c>
      <c r="N156" s="356">
        <f>VLOOKUP(E156,[3]Sheet1!$A:$C,3,0)</f>
        <v>3730000</v>
      </c>
      <c r="O156" s="28" t="b">
        <f t="shared" si="19"/>
        <v>1</v>
      </c>
    </row>
    <row r="157" spans="2:15" s="28" customFormat="1" ht="16.5" customHeight="1">
      <c r="B157" s="20"/>
      <c r="C157" s="20"/>
      <c r="D157" s="254"/>
      <c r="E157" s="379">
        <v>132611</v>
      </c>
      <c r="F157" s="395" t="s">
        <v>275</v>
      </c>
      <c r="G157" s="396"/>
      <c r="H157" s="397"/>
      <c r="I157" s="383">
        <v>338000</v>
      </c>
      <c r="J157" s="398">
        <v>132611</v>
      </c>
      <c r="K157" s="399" t="s">
        <v>70</v>
      </c>
      <c r="L157" s="399" t="s">
        <v>34</v>
      </c>
      <c r="M157" s="399">
        <v>15.87</v>
      </c>
      <c r="N157" s="356">
        <f>VLOOKUP(E157,[3]Sheet1!$A:$C,3,0)</f>
        <v>338000</v>
      </c>
      <c r="O157" s="28" t="b">
        <f t="shared" si="19"/>
        <v>1</v>
      </c>
    </row>
    <row r="158" spans="2:15" s="28" customFormat="1" ht="16.5" customHeight="1">
      <c r="B158" s="20"/>
      <c r="C158" s="20"/>
      <c r="D158" s="254"/>
      <c r="E158" s="379">
        <v>132642</v>
      </c>
      <c r="F158" s="395" t="s">
        <v>276</v>
      </c>
      <c r="G158" s="396"/>
      <c r="H158" s="397"/>
      <c r="I158" s="383">
        <v>351000</v>
      </c>
      <c r="J158" s="398">
        <v>132642</v>
      </c>
      <c r="K158" s="399" t="s">
        <v>70</v>
      </c>
      <c r="L158" s="399" t="s">
        <v>34</v>
      </c>
      <c r="M158" s="399">
        <v>16</v>
      </c>
      <c r="N158" s="356">
        <f>VLOOKUP(E158,[3]Sheet1!$A:$C,3,0)</f>
        <v>351000</v>
      </c>
      <c r="O158" s="28" t="b">
        <f t="shared" si="19"/>
        <v>1</v>
      </c>
    </row>
    <row r="159" spans="2:15" s="28" customFormat="1" ht="16.5" customHeight="1">
      <c r="B159" s="20"/>
      <c r="C159" s="20"/>
      <c r="D159" s="254"/>
      <c r="E159" s="379">
        <v>132796</v>
      </c>
      <c r="F159" s="403" t="s">
        <v>278</v>
      </c>
      <c r="G159" s="404"/>
      <c r="H159" s="405"/>
      <c r="I159" s="383">
        <v>562000</v>
      </c>
      <c r="J159" s="398">
        <v>132796</v>
      </c>
      <c r="K159" s="406" t="s">
        <v>70</v>
      </c>
      <c r="L159" s="406" t="s">
        <v>34</v>
      </c>
      <c r="M159" s="406">
        <v>18</v>
      </c>
      <c r="N159" s="356">
        <f>VLOOKUP(E159,[3]Sheet1!$A:$C,3,0)</f>
        <v>562000</v>
      </c>
      <c r="O159" s="28" t="b">
        <f t="shared" si="19"/>
        <v>1</v>
      </c>
    </row>
    <row r="160" spans="2:15" s="28" customFormat="1" ht="16.5" customHeight="1">
      <c r="B160" s="20"/>
      <c r="C160" s="20"/>
      <c r="D160" s="254"/>
      <c r="E160" s="379">
        <v>132835</v>
      </c>
      <c r="F160" s="395" t="s">
        <v>474</v>
      </c>
      <c r="G160" s="396"/>
      <c r="H160" s="397"/>
      <c r="I160" s="383">
        <v>3480000</v>
      </c>
      <c r="J160" s="398">
        <v>132835</v>
      </c>
      <c r="K160" s="399" t="s">
        <v>71</v>
      </c>
      <c r="L160" s="399" t="s">
        <v>34</v>
      </c>
      <c r="M160" s="399">
        <v>208</v>
      </c>
      <c r="N160" s="356">
        <f>VLOOKUP(E160,[3]Sheet1!$A:$C,3,0)</f>
        <v>3480000</v>
      </c>
      <c r="O160" s="28" t="b">
        <f t="shared" si="19"/>
        <v>1</v>
      </c>
    </row>
    <row r="161" spans="2:15" s="28" customFormat="1" ht="16.5" customHeight="1">
      <c r="B161" s="20"/>
      <c r="C161" s="20"/>
      <c r="D161" s="254"/>
      <c r="E161" s="379">
        <v>133450</v>
      </c>
      <c r="F161" s="395" t="s">
        <v>475</v>
      </c>
      <c r="G161" s="396"/>
      <c r="H161" s="397"/>
      <c r="I161" s="383">
        <v>4688000</v>
      </c>
      <c r="J161" s="398">
        <v>133450</v>
      </c>
      <c r="K161" s="399" t="s">
        <v>71</v>
      </c>
      <c r="L161" s="399" t="s">
        <v>34</v>
      </c>
      <c r="M161" s="399">
        <v>208</v>
      </c>
      <c r="N161" s="356">
        <f>VLOOKUP(E161,[3]Sheet1!$A:$C,3,0)</f>
        <v>4688000</v>
      </c>
      <c r="O161" s="28" t="b">
        <f t="shared" si="19"/>
        <v>1</v>
      </c>
    </row>
    <row r="162" spans="2:15" s="28" customFormat="1" ht="16.5" customHeight="1">
      <c r="B162" s="20"/>
      <c r="C162" s="20"/>
      <c r="D162" s="254"/>
      <c r="E162" s="379">
        <v>134221</v>
      </c>
      <c r="F162" s="400" t="s">
        <v>476</v>
      </c>
      <c r="G162" s="401"/>
      <c r="H162" s="402"/>
      <c r="I162" s="383">
        <v>4412000</v>
      </c>
      <c r="J162" s="407">
        <v>134221</v>
      </c>
      <c r="K162" s="399" t="s">
        <v>71</v>
      </c>
      <c r="L162" s="399" t="s">
        <v>34</v>
      </c>
      <c r="M162" s="399">
        <v>216</v>
      </c>
      <c r="N162" s="356">
        <f>VLOOKUP(E162,[3]Sheet1!$A:$C,3,0)</f>
        <v>4412000</v>
      </c>
      <c r="O162" s="28" t="b">
        <f t="shared" si="19"/>
        <v>1</v>
      </c>
    </row>
    <row r="163" spans="2:15" s="28" customFormat="1" ht="16.5" customHeight="1">
      <c r="B163" s="20"/>
      <c r="C163" s="20"/>
      <c r="D163" s="254"/>
      <c r="E163" s="379">
        <v>134320</v>
      </c>
      <c r="F163" s="400" t="s">
        <v>477</v>
      </c>
      <c r="G163" s="396"/>
      <c r="H163" s="397"/>
      <c r="I163" s="383">
        <v>3144000</v>
      </c>
      <c r="J163" s="398">
        <v>134320</v>
      </c>
      <c r="K163" s="399" t="s">
        <v>71</v>
      </c>
      <c r="L163" s="399" t="s">
        <v>34</v>
      </c>
      <c r="M163" s="399">
        <v>208</v>
      </c>
      <c r="N163" s="356">
        <f>VLOOKUP(E163,[3]Sheet1!$A:$C,3,0)</f>
        <v>3144000</v>
      </c>
      <c r="O163" s="28" t="b">
        <f t="shared" si="19"/>
        <v>1</v>
      </c>
    </row>
    <row r="164" spans="2:15" s="28" customFormat="1" ht="16.5" customHeight="1">
      <c r="B164" s="20"/>
      <c r="C164" s="20"/>
      <c r="D164" s="254"/>
      <c r="E164" s="379">
        <v>134445</v>
      </c>
      <c r="F164" s="400" t="s">
        <v>239</v>
      </c>
      <c r="G164" s="396"/>
      <c r="H164" s="397"/>
      <c r="I164" s="383">
        <v>66900</v>
      </c>
      <c r="J164" s="398">
        <v>134445</v>
      </c>
      <c r="K164" s="399" t="s">
        <v>70</v>
      </c>
      <c r="L164" s="399" t="s">
        <v>34</v>
      </c>
      <c r="M164" s="399">
        <v>20</v>
      </c>
      <c r="N164" s="356">
        <f>VLOOKUP(E164,[3]Sheet1!$A:$C,3,0)</f>
        <v>70900</v>
      </c>
      <c r="O164" s="28" t="b">
        <f t="shared" si="19"/>
        <v>0</v>
      </c>
    </row>
    <row r="165" spans="2:15" s="28" customFormat="1" ht="16.5" customHeight="1">
      <c r="B165" s="20"/>
      <c r="C165" s="20"/>
      <c r="D165" s="254"/>
      <c r="E165" s="379">
        <v>134602</v>
      </c>
      <c r="F165" s="400" t="s">
        <v>481</v>
      </c>
      <c r="G165" s="396"/>
      <c r="H165" s="397"/>
      <c r="I165" s="383">
        <v>3680000</v>
      </c>
      <c r="J165" s="407">
        <v>134602</v>
      </c>
      <c r="K165" s="399" t="s">
        <v>71</v>
      </c>
      <c r="L165" s="399" t="s">
        <v>34</v>
      </c>
      <c r="M165" s="399">
        <v>208</v>
      </c>
      <c r="N165" s="356">
        <f>VLOOKUP(E165,[3]Sheet1!$A:$C,3,0)</f>
        <v>3680000</v>
      </c>
      <c r="O165" s="28" t="b">
        <f t="shared" si="19"/>
        <v>1</v>
      </c>
    </row>
    <row r="166" spans="2:15" s="28" customFormat="1" ht="16.5" customHeight="1">
      <c r="B166" s="20"/>
      <c r="C166" s="20"/>
      <c r="D166" s="254"/>
      <c r="E166" s="379">
        <v>134604</v>
      </c>
      <c r="F166" s="400" t="s">
        <v>280</v>
      </c>
      <c r="G166" s="396"/>
      <c r="H166" s="397"/>
      <c r="I166" s="383">
        <v>120000</v>
      </c>
      <c r="J166" s="398">
        <v>134604</v>
      </c>
      <c r="K166" s="399" t="s">
        <v>70</v>
      </c>
      <c r="L166" s="399" t="s">
        <v>34</v>
      </c>
      <c r="M166" s="399">
        <v>16</v>
      </c>
      <c r="N166" s="356">
        <f>VLOOKUP(E166,[3]Sheet1!$A:$C,3,0)</f>
        <v>127000</v>
      </c>
      <c r="O166" s="28" t="b">
        <f t="shared" si="19"/>
        <v>0</v>
      </c>
    </row>
    <row r="167" spans="2:15" s="28" customFormat="1" ht="16.5" customHeight="1">
      <c r="B167" s="20"/>
      <c r="C167" s="20"/>
      <c r="D167" s="254"/>
      <c r="E167" s="379">
        <v>134884</v>
      </c>
      <c r="F167" s="400" t="s">
        <v>281</v>
      </c>
      <c r="G167" s="396"/>
      <c r="H167" s="397"/>
      <c r="I167" s="383">
        <v>80500</v>
      </c>
      <c r="J167" s="407">
        <v>134884</v>
      </c>
      <c r="K167" s="399" t="s">
        <v>70</v>
      </c>
      <c r="L167" s="399" t="s">
        <v>34</v>
      </c>
      <c r="M167" s="399">
        <v>20</v>
      </c>
      <c r="N167" s="356">
        <f>VLOOKUP(E167,[3]Sheet1!$A:$C,3,0)</f>
        <v>85300</v>
      </c>
      <c r="O167" s="28" t="b">
        <f t="shared" si="19"/>
        <v>0</v>
      </c>
    </row>
    <row r="168" spans="2:15" s="28" customFormat="1" ht="16.5" customHeight="1">
      <c r="B168" s="20"/>
      <c r="C168" s="20"/>
      <c r="D168" s="254"/>
      <c r="E168" s="379">
        <v>134937</v>
      </c>
      <c r="F168" s="400" t="s">
        <v>486</v>
      </c>
      <c r="G168" s="396"/>
      <c r="H168" s="397"/>
      <c r="I168" s="383">
        <v>3079000</v>
      </c>
      <c r="J168" s="407">
        <v>134937</v>
      </c>
      <c r="K168" s="399" t="s">
        <v>71</v>
      </c>
      <c r="L168" s="399" t="s">
        <v>34</v>
      </c>
      <c r="M168" s="399">
        <v>208</v>
      </c>
      <c r="N168" s="356">
        <f>VLOOKUP(E168,[3]Sheet1!$A:$C,3,0)</f>
        <v>3079000</v>
      </c>
      <c r="O168" s="28" t="b">
        <f t="shared" si="19"/>
        <v>1</v>
      </c>
    </row>
    <row r="169" spans="2:15" s="28" customFormat="1" ht="16.5" customHeight="1">
      <c r="B169" s="20"/>
      <c r="C169" s="20"/>
      <c r="D169" s="254"/>
      <c r="E169" s="379">
        <v>134962</v>
      </c>
      <c r="F169" s="395" t="s">
        <v>47</v>
      </c>
      <c r="G169" s="396"/>
      <c r="H169" s="397"/>
      <c r="I169" s="383">
        <v>364000</v>
      </c>
      <c r="J169" s="398">
        <v>134962</v>
      </c>
      <c r="K169" s="399" t="s">
        <v>70</v>
      </c>
      <c r="L169" s="399" t="s">
        <v>34</v>
      </c>
      <c r="M169" s="399">
        <v>20</v>
      </c>
      <c r="N169" s="356">
        <f>VLOOKUP(E169,[3]Sheet1!$A:$C,3,0)</f>
        <v>364000</v>
      </c>
      <c r="O169" s="28" t="b">
        <f t="shared" si="19"/>
        <v>1</v>
      </c>
    </row>
    <row r="170" spans="2:15" s="28" customFormat="1" ht="16.5" customHeight="1">
      <c r="B170" s="20"/>
      <c r="C170" s="20"/>
      <c r="D170" s="254"/>
      <c r="E170" s="379">
        <v>134995</v>
      </c>
      <c r="F170" s="395" t="s">
        <v>283</v>
      </c>
      <c r="G170" s="396"/>
      <c r="H170" s="397"/>
      <c r="I170" s="383">
        <v>475000</v>
      </c>
      <c r="J170" s="398">
        <v>134995</v>
      </c>
      <c r="K170" s="399" t="s">
        <v>70</v>
      </c>
      <c r="L170" s="399" t="s">
        <v>34</v>
      </c>
      <c r="M170" s="399">
        <v>16</v>
      </c>
      <c r="N170" s="356">
        <f>VLOOKUP(E170,[3]Sheet1!$A:$C,3,0)</f>
        <v>475000</v>
      </c>
      <c r="O170" s="28" t="b">
        <f t="shared" si="19"/>
        <v>1</v>
      </c>
    </row>
    <row r="171" spans="2:15" s="28" customFormat="1" ht="16.5" customHeight="1">
      <c r="B171" s="20"/>
      <c r="C171" s="20"/>
      <c r="D171" s="254"/>
      <c r="E171" s="379">
        <v>134997</v>
      </c>
      <c r="F171" s="408" t="s">
        <v>284</v>
      </c>
      <c r="G171" s="409"/>
      <c r="H171" s="410"/>
      <c r="I171" s="383">
        <v>316000</v>
      </c>
      <c r="J171" s="398">
        <v>134997</v>
      </c>
      <c r="K171" s="378" t="s">
        <v>70</v>
      </c>
      <c r="L171" s="378" t="s">
        <v>34</v>
      </c>
      <c r="M171" s="378">
        <v>15.87</v>
      </c>
      <c r="N171" s="356">
        <f>VLOOKUP(E171,[3]Sheet1!$A:$C,3,0)</f>
        <v>316000</v>
      </c>
      <c r="O171" s="28" t="b">
        <f t="shared" si="19"/>
        <v>1</v>
      </c>
    </row>
    <row r="172" spans="2:15" s="28" customFormat="1" ht="16.5" customHeight="1">
      <c r="B172" s="20"/>
      <c r="C172" s="20"/>
      <c r="D172" s="254"/>
      <c r="E172" s="379">
        <v>134999</v>
      </c>
      <c r="F172" s="395" t="s">
        <v>285</v>
      </c>
      <c r="G172" s="396"/>
      <c r="H172" s="397"/>
      <c r="I172" s="383">
        <v>476000</v>
      </c>
      <c r="J172" s="398">
        <v>134999</v>
      </c>
      <c r="K172" s="399" t="s">
        <v>70</v>
      </c>
      <c r="L172" s="399" t="s">
        <v>34</v>
      </c>
      <c r="M172" s="399">
        <v>15.87</v>
      </c>
      <c r="N172" s="356">
        <f>VLOOKUP(E172,[3]Sheet1!$A:$C,3,0)</f>
        <v>505000</v>
      </c>
      <c r="O172" s="28" t="b">
        <f t="shared" si="19"/>
        <v>0</v>
      </c>
    </row>
    <row r="173" spans="2:15" s="28" customFormat="1" ht="16.5" customHeight="1">
      <c r="B173" s="20"/>
      <c r="C173" s="20"/>
      <c r="D173" s="254"/>
      <c r="E173" s="379">
        <v>135000</v>
      </c>
      <c r="F173" s="395" t="s">
        <v>487</v>
      </c>
      <c r="G173" s="396"/>
      <c r="H173" s="397"/>
      <c r="I173" s="383">
        <v>2918000</v>
      </c>
      <c r="J173" s="398">
        <v>135000</v>
      </c>
      <c r="K173" s="399" t="s">
        <v>71</v>
      </c>
      <c r="L173" s="399" t="s">
        <v>34</v>
      </c>
      <c r="M173" s="399">
        <v>208</v>
      </c>
      <c r="N173" s="356">
        <f>VLOOKUP(E173,[3]Sheet1!$A:$C,3,0)</f>
        <v>2918000</v>
      </c>
      <c r="O173" s="28" t="b">
        <f t="shared" si="19"/>
        <v>1</v>
      </c>
    </row>
    <row r="174" spans="2:15" s="28" customFormat="1" ht="16.5" customHeight="1">
      <c r="B174" s="20"/>
      <c r="C174" s="20"/>
      <c r="D174" s="254"/>
      <c r="E174" s="379">
        <v>135002</v>
      </c>
      <c r="F174" s="395" t="s">
        <v>286</v>
      </c>
      <c r="G174" s="396"/>
      <c r="H174" s="397"/>
      <c r="I174" s="383">
        <v>364000</v>
      </c>
      <c r="J174" s="398">
        <v>135002</v>
      </c>
      <c r="K174" s="399" t="s">
        <v>70</v>
      </c>
      <c r="L174" s="399" t="s">
        <v>34</v>
      </c>
      <c r="M174" s="399">
        <v>20</v>
      </c>
      <c r="N174" s="356">
        <f>VLOOKUP(E174,[3]Sheet1!$A:$C,3,0)</f>
        <v>364000</v>
      </c>
      <c r="O174" s="28" t="b">
        <f t="shared" si="19"/>
        <v>1</v>
      </c>
    </row>
    <row r="175" spans="2:15" s="28" customFormat="1" ht="16.5" customHeight="1">
      <c r="B175" s="20"/>
      <c r="C175" s="20"/>
      <c r="D175" s="254"/>
      <c r="E175" s="379">
        <v>135004</v>
      </c>
      <c r="F175" s="395" t="s">
        <v>287</v>
      </c>
      <c r="G175" s="396"/>
      <c r="H175" s="397"/>
      <c r="I175" s="383">
        <v>300000</v>
      </c>
      <c r="J175" s="398">
        <v>135004</v>
      </c>
      <c r="K175" s="399" t="s">
        <v>70</v>
      </c>
      <c r="L175" s="399" t="s">
        <v>34</v>
      </c>
      <c r="M175" s="399">
        <v>18.899999999999999</v>
      </c>
      <c r="N175" s="356">
        <f>VLOOKUP(E175,[3]Sheet1!$A:$C,3,0)</f>
        <v>300000</v>
      </c>
      <c r="O175" s="28" t="b">
        <f t="shared" si="19"/>
        <v>1</v>
      </c>
    </row>
    <row r="176" spans="2:15" s="28" customFormat="1" ht="16.5" customHeight="1">
      <c r="B176" s="20"/>
      <c r="C176" s="20"/>
      <c r="D176" s="254"/>
      <c r="E176" s="379">
        <v>135008</v>
      </c>
      <c r="F176" s="395" t="s">
        <v>288</v>
      </c>
      <c r="G176" s="396"/>
      <c r="H176" s="397"/>
      <c r="I176" s="383">
        <v>274000</v>
      </c>
      <c r="J176" s="398">
        <v>135008</v>
      </c>
      <c r="K176" s="399" t="s">
        <v>70</v>
      </c>
      <c r="L176" s="399" t="s">
        <v>34</v>
      </c>
      <c r="M176" s="399">
        <v>20</v>
      </c>
      <c r="N176" s="356">
        <f>VLOOKUP(E176,[3]Sheet1!$A:$C,3,0)</f>
        <v>274000</v>
      </c>
      <c r="O176" s="28" t="b">
        <f t="shared" si="19"/>
        <v>1</v>
      </c>
    </row>
    <row r="177" spans="2:15" s="28" customFormat="1" ht="16.5" customHeight="1">
      <c r="B177" s="20"/>
      <c r="C177" s="20"/>
      <c r="D177" s="254"/>
      <c r="E177" s="379">
        <v>135010</v>
      </c>
      <c r="F177" s="395" t="s">
        <v>488</v>
      </c>
      <c r="G177" s="396"/>
      <c r="H177" s="397"/>
      <c r="I177" s="383">
        <v>3777000</v>
      </c>
      <c r="J177" s="398">
        <v>135010</v>
      </c>
      <c r="K177" s="399" t="s">
        <v>71</v>
      </c>
      <c r="L177" s="399" t="s">
        <v>34</v>
      </c>
      <c r="M177" s="399">
        <v>174</v>
      </c>
      <c r="N177" s="356">
        <f>VLOOKUP(E177,[3]Sheet1!$A:$C,3,0)</f>
        <v>3777000</v>
      </c>
      <c r="O177" s="28" t="b">
        <f t="shared" si="19"/>
        <v>1</v>
      </c>
    </row>
    <row r="178" spans="2:15" s="28" customFormat="1" ht="16.5" customHeight="1">
      <c r="B178" s="20"/>
      <c r="C178" s="20"/>
      <c r="D178" s="254"/>
      <c r="E178" s="379">
        <v>135013</v>
      </c>
      <c r="F178" s="395" t="s">
        <v>489</v>
      </c>
      <c r="G178" s="396"/>
      <c r="H178" s="397"/>
      <c r="I178" s="383">
        <v>2922000</v>
      </c>
      <c r="J178" s="398">
        <v>135013</v>
      </c>
      <c r="K178" s="399" t="s">
        <v>71</v>
      </c>
      <c r="L178" s="399" t="s">
        <v>34</v>
      </c>
      <c r="M178" s="399">
        <v>208</v>
      </c>
      <c r="N178" s="356">
        <f>VLOOKUP(E178,[3]Sheet1!$A:$C,3,0)</f>
        <v>2922000</v>
      </c>
      <c r="O178" s="28" t="b">
        <f t="shared" si="19"/>
        <v>1</v>
      </c>
    </row>
    <row r="179" spans="2:15" s="28" customFormat="1" ht="16.5" customHeight="1">
      <c r="B179" s="20"/>
      <c r="C179" s="20"/>
      <c r="D179" s="254"/>
      <c r="E179" s="379">
        <v>135014</v>
      </c>
      <c r="F179" s="395" t="s">
        <v>490</v>
      </c>
      <c r="G179" s="396"/>
      <c r="H179" s="397"/>
      <c r="I179" s="383">
        <v>3151000</v>
      </c>
      <c r="J179" s="398">
        <v>135014</v>
      </c>
      <c r="K179" s="399" t="s">
        <v>71</v>
      </c>
      <c r="L179" s="399" t="s">
        <v>34</v>
      </c>
      <c r="M179" s="399">
        <v>208</v>
      </c>
      <c r="N179" s="356">
        <f>VLOOKUP(E179,[3]Sheet1!$A:$C,3,0)</f>
        <v>3151000</v>
      </c>
      <c r="O179" s="28" t="b">
        <f t="shared" si="19"/>
        <v>1</v>
      </c>
    </row>
    <row r="180" spans="2:15" s="28" customFormat="1" ht="16.5" customHeight="1">
      <c r="B180" s="20"/>
      <c r="C180" s="20"/>
      <c r="D180" s="254"/>
      <c r="E180" s="379">
        <v>135016</v>
      </c>
      <c r="F180" s="395" t="s">
        <v>289</v>
      </c>
      <c r="G180" s="396"/>
      <c r="H180" s="397"/>
      <c r="I180" s="383">
        <v>353000</v>
      </c>
      <c r="J180" s="398">
        <v>135016</v>
      </c>
      <c r="K180" s="399" t="s">
        <v>70</v>
      </c>
      <c r="L180" s="399" t="s">
        <v>34</v>
      </c>
      <c r="M180" s="399">
        <v>20</v>
      </c>
      <c r="N180" s="356">
        <f>VLOOKUP(E180,[3]Sheet1!$A:$C,3,0)</f>
        <v>353000</v>
      </c>
      <c r="O180" s="28" t="b">
        <f t="shared" si="19"/>
        <v>1</v>
      </c>
    </row>
    <row r="181" spans="2:15" s="28" customFormat="1" ht="16.5" customHeight="1">
      <c r="B181" s="20"/>
      <c r="C181" s="20"/>
      <c r="D181" s="254"/>
      <c r="E181" s="379">
        <v>135152</v>
      </c>
      <c r="F181" s="395" t="s">
        <v>290</v>
      </c>
      <c r="G181" s="396"/>
      <c r="H181" s="397"/>
      <c r="I181" s="383">
        <v>327000</v>
      </c>
      <c r="J181" s="398">
        <v>135152</v>
      </c>
      <c r="K181" s="399" t="s">
        <v>70</v>
      </c>
      <c r="L181" s="399" t="s">
        <v>34</v>
      </c>
      <c r="M181" s="399">
        <v>20</v>
      </c>
      <c r="N181" s="356">
        <f>VLOOKUP(E181,[3]Sheet1!$A:$C,3,0)</f>
        <v>327000</v>
      </c>
      <c r="O181" s="28" t="b">
        <f t="shared" si="19"/>
        <v>1</v>
      </c>
    </row>
    <row r="182" spans="2:15" s="28" customFormat="1" ht="16.5" customHeight="1">
      <c r="B182" s="20"/>
      <c r="C182" s="20"/>
      <c r="D182" s="254"/>
      <c r="E182" s="379">
        <v>135153</v>
      </c>
      <c r="F182" s="395" t="s">
        <v>291</v>
      </c>
      <c r="G182" s="396"/>
      <c r="H182" s="397"/>
      <c r="I182" s="383">
        <v>277000</v>
      </c>
      <c r="J182" s="398">
        <v>135153</v>
      </c>
      <c r="K182" s="399" t="s">
        <v>70</v>
      </c>
      <c r="L182" s="399" t="s">
        <v>34</v>
      </c>
      <c r="M182" s="399">
        <v>20</v>
      </c>
      <c r="N182" s="356">
        <f>VLOOKUP(E182,[3]Sheet1!$A:$C,3,0)</f>
        <v>277000</v>
      </c>
      <c r="O182" s="28" t="b">
        <f t="shared" si="19"/>
        <v>1</v>
      </c>
    </row>
    <row r="183" spans="2:15" s="28" customFormat="1" ht="16.5" customHeight="1">
      <c r="B183" s="20"/>
      <c r="C183" s="20"/>
      <c r="D183" s="254"/>
      <c r="E183" s="379">
        <v>135179</v>
      </c>
      <c r="F183" s="395" t="s">
        <v>491</v>
      </c>
      <c r="G183" s="396"/>
      <c r="H183" s="397"/>
      <c r="I183" s="383">
        <v>2733000</v>
      </c>
      <c r="J183" s="398">
        <v>135179</v>
      </c>
      <c r="K183" s="399" t="s">
        <v>71</v>
      </c>
      <c r="L183" s="399" t="s">
        <v>34</v>
      </c>
      <c r="M183" s="399">
        <v>208</v>
      </c>
      <c r="N183" s="356">
        <f>VLOOKUP(E183,[3]Sheet1!$A:$C,3,0)</f>
        <v>2733000</v>
      </c>
      <c r="O183" s="28" t="b">
        <f t="shared" si="19"/>
        <v>1</v>
      </c>
    </row>
    <row r="184" spans="2:15" s="28" customFormat="1" ht="16.5" customHeight="1">
      <c r="B184" s="20"/>
      <c r="C184" s="20"/>
      <c r="D184" s="254"/>
      <c r="E184" s="379">
        <v>135180</v>
      </c>
      <c r="F184" s="395" t="s">
        <v>492</v>
      </c>
      <c r="G184" s="401"/>
      <c r="H184" s="402"/>
      <c r="I184" s="383">
        <v>3124000</v>
      </c>
      <c r="J184" s="398">
        <v>135180</v>
      </c>
      <c r="K184" s="399" t="s">
        <v>71</v>
      </c>
      <c r="L184" s="399" t="s">
        <v>34</v>
      </c>
      <c r="M184" s="399">
        <v>208</v>
      </c>
      <c r="N184" s="356">
        <f>VLOOKUP(E184,[3]Sheet1!$A:$C,3,0)</f>
        <v>3124000</v>
      </c>
      <c r="O184" s="28" t="b">
        <f t="shared" si="19"/>
        <v>1</v>
      </c>
    </row>
    <row r="185" spans="2:15" s="28" customFormat="1" ht="16.5" customHeight="1">
      <c r="B185" s="20"/>
      <c r="C185" s="20"/>
      <c r="D185" s="254"/>
      <c r="E185" s="379">
        <v>135181</v>
      </c>
      <c r="F185" s="395" t="s">
        <v>292</v>
      </c>
      <c r="G185" s="396"/>
      <c r="H185" s="397"/>
      <c r="I185" s="383">
        <v>269000</v>
      </c>
      <c r="J185" s="398">
        <v>135181</v>
      </c>
      <c r="K185" s="399" t="s">
        <v>70</v>
      </c>
      <c r="L185" s="399" t="s">
        <v>34</v>
      </c>
      <c r="M185" s="399">
        <v>20</v>
      </c>
      <c r="N185" s="356">
        <f>VLOOKUP(E185,[3]Sheet1!$A:$C,3,0)</f>
        <v>269000</v>
      </c>
      <c r="O185" s="28" t="b">
        <f t="shared" si="19"/>
        <v>1</v>
      </c>
    </row>
    <row r="186" spans="2:15" s="28" customFormat="1" ht="16.5" customHeight="1">
      <c r="B186" s="20"/>
      <c r="C186" s="20"/>
      <c r="D186" s="254"/>
      <c r="E186" s="379">
        <v>135182</v>
      </c>
      <c r="F186" s="395" t="s">
        <v>493</v>
      </c>
      <c r="G186" s="396"/>
      <c r="H186" s="397"/>
      <c r="I186" s="383">
        <v>2995000</v>
      </c>
      <c r="J186" s="398">
        <v>135182</v>
      </c>
      <c r="K186" s="399" t="s">
        <v>71</v>
      </c>
      <c r="L186" s="399" t="s">
        <v>34</v>
      </c>
      <c r="M186" s="399">
        <v>208</v>
      </c>
      <c r="N186" s="356">
        <f>VLOOKUP(E186,[3]Sheet1!$A:$C,3,0)</f>
        <v>2995000</v>
      </c>
      <c r="O186" s="28" t="b">
        <f t="shared" si="19"/>
        <v>1</v>
      </c>
    </row>
    <row r="187" spans="2:15" s="28" customFormat="1" ht="16.5" customHeight="1">
      <c r="B187" s="20"/>
      <c r="C187" s="20"/>
      <c r="D187" s="254"/>
      <c r="E187" s="379">
        <v>135183</v>
      </c>
      <c r="F187" s="395" t="s">
        <v>293</v>
      </c>
      <c r="G187" s="396"/>
      <c r="H187" s="397"/>
      <c r="I187" s="383">
        <v>302000</v>
      </c>
      <c r="J187" s="398">
        <v>135183</v>
      </c>
      <c r="K187" s="399" t="s">
        <v>70</v>
      </c>
      <c r="L187" s="399" t="s">
        <v>34</v>
      </c>
      <c r="M187" s="399">
        <v>20</v>
      </c>
      <c r="N187" s="356">
        <f>VLOOKUP(E187,[3]Sheet1!$A:$C,3,0)</f>
        <v>302000</v>
      </c>
      <c r="O187" s="28" t="b">
        <f t="shared" si="19"/>
        <v>1</v>
      </c>
    </row>
    <row r="188" spans="2:15" s="28" customFormat="1" ht="16.5" customHeight="1">
      <c r="B188" s="20"/>
      <c r="C188" s="20"/>
      <c r="D188" s="254"/>
      <c r="E188" s="379">
        <v>135184</v>
      </c>
      <c r="F188" s="395" t="s">
        <v>494</v>
      </c>
      <c r="G188" s="396"/>
      <c r="H188" s="397"/>
      <c r="I188" s="383">
        <v>3255000</v>
      </c>
      <c r="J188" s="398">
        <v>135184</v>
      </c>
      <c r="K188" s="399" t="s">
        <v>71</v>
      </c>
      <c r="L188" s="399" t="s">
        <v>34</v>
      </c>
      <c r="M188" s="399">
        <v>208</v>
      </c>
      <c r="N188" s="356">
        <f>VLOOKUP(E188,[3]Sheet1!$A:$C,3,0)</f>
        <v>3255000</v>
      </c>
      <c r="O188" s="28" t="b">
        <f t="shared" si="19"/>
        <v>1</v>
      </c>
    </row>
    <row r="189" spans="2:15" s="28" customFormat="1" ht="16.5" customHeight="1">
      <c r="B189" s="20"/>
      <c r="C189" s="20"/>
      <c r="D189" s="254"/>
      <c r="E189" s="379">
        <v>135185</v>
      </c>
      <c r="F189" s="395" t="s">
        <v>495</v>
      </c>
      <c r="G189" s="396"/>
      <c r="H189" s="397"/>
      <c r="I189" s="383">
        <v>3450000</v>
      </c>
      <c r="J189" s="398">
        <v>135185</v>
      </c>
      <c r="K189" s="399" t="s">
        <v>71</v>
      </c>
      <c r="L189" s="399" t="s">
        <v>34</v>
      </c>
      <c r="M189" s="399">
        <v>208</v>
      </c>
      <c r="N189" s="356">
        <f>VLOOKUP(E189,[3]Sheet1!$A:$C,3,0)</f>
        <v>3450000</v>
      </c>
      <c r="O189" s="28" t="b">
        <f t="shared" si="19"/>
        <v>1</v>
      </c>
    </row>
    <row r="190" spans="2:15" s="28" customFormat="1" ht="16.5" customHeight="1">
      <c r="B190" s="20"/>
      <c r="C190" s="20"/>
      <c r="D190" s="254"/>
      <c r="E190" s="379">
        <v>135186</v>
      </c>
      <c r="F190" s="395" t="s">
        <v>496</v>
      </c>
      <c r="G190" s="396"/>
      <c r="H190" s="397"/>
      <c r="I190" s="383">
        <v>3644000</v>
      </c>
      <c r="J190" s="398">
        <v>135186</v>
      </c>
      <c r="K190" s="399" t="s">
        <v>71</v>
      </c>
      <c r="L190" s="399" t="s">
        <v>34</v>
      </c>
      <c r="M190" s="399">
        <v>208</v>
      </c>
      <c r="N190" s="356">
        <f>VLOOKUP(E190,[3]Sheet1!$A:$C,3,0)</f>
        <v>3644000</v>
      </c>
      <c r="O190" s="28" t="b">
        <f t="shared" si="19"/>
        <v>1</v>
      </c>
    </row>
    <row r="191" spans="2:15" s="28" customFormat="1" ht="16.5" customHeight="1">
      <c r="B191" s="20"/>
      <c r="C191" s="20"/>
      <c r="D191" s="254"/>
      <c r="E191" s="379">
        <v>135187</v>
      </c>
      <c r="F191" s="395" t="s">
        <v>497</v>
      </c>
      <c r="G191" s="396"/>
      <c r="H191" s="397"/>
      <c r="I191" s="383">
        <v>3124000</v>
      </c>
      <c r="J191" s="398">
        <v>135187</v>
      </c>
      <c r="K191" s="399" t="s">
        <v>71</v>
      </c>
      <c r="L191" s="399" t="s">
        <v>34</v>
      </c>
      <c r="M191" s="399">
        <v>208</v>
      </c>
      <c r="N191" s="356">
        <f>VLOOKUP(E191,[3]Sheet1!$A:$C,3,0)</f>
        <v>3124000</v>
      </c>
      <c r="O191" s="28" t="b">
        <f t="shared" si="19"/>
        <v>1</v>
      </c>
    </row>
    <row r="192" spans="2:15" s="28" customFormat="1" ht="16.5" customHeight="1">
      <c r="B192" s="20"/>
      <c r="C192" s="20"/>
      <c r="D192" s="254"/>
      <c r="E192" s="379">
        <v>135188</v>
      </c>
      <c r="F192" s="395" t="s">
        <v>294</v>
      </c>
      <c r="G192" s="396"/>
      <c r="H192" s="397"/>
      <c r="I192" s="383">
        <v>315000</v>
      </c>
      <c r="J192" s="398">
        <v>135188</v>
      </c>
      <c r="K192" s="399" t="s">
        <v>70</v>
      </c>
      <c r="L192" s="399" t="s">
        <v>34</v>
      </c>
      <c r="M192" s="399">
        <v>20</v>
      </c>
      <c r="N192" s="356">
        <f>VLOOKUP(E192,[3]Sheet1!$A:$C,3,0)</f>
        <v>315000</v>
      </c>
      <c r="O192" s="28" t="b">
        <f t="shared" si="19"/>
        <v>1</v>
      </c>
    </row>
    <row r="193" spans="2:15" s="28" customFormat="1" ht="16.5" customHeight="1">
      <c r="B193" s="20"/>
      <c r="C193" s="20"/>
      <c r="D193" s="254"/>
      <c r="E193" s="379">
        <v>135190</v>
      </c>
      <c r="F193" s="395" t="s">
        <v>295</v>
      </c>
      <c r="G193" s="396"/>
      <c r="H193" s="397"/>
      <c r="I193" s="383">
        <v>346000</v>
      </c>
      <c r="J193" s="398">
        <v>135190</v>
      </c>
      <c r="K193" s="399" t="s">
        <v>70</v>
      </c>
      <c r="L193" s="399" t="s">
        <v>34</v>
      </c>
      <c r="M193" s="399">
        <v>20</v>
      </c>
      <c r="N193" s="356">
        <f>VLOOKUP(E193,[3]Sheet1!$A:$C,3,0)</f>
        <v>346000</v>
      </c>
      <c r="O193" s="28" t="b">
        <f t="shared" si="19"/>
        <v>1</v>
      </c>
    </row>
    <row r="194" spans="2:15" s="28" customFormat="1" ht="16.5" customHeight="1">
      <c r="B194" s="20"/>
      <c r="C194" s="20"/>
      <c r="D194" s="254"/>
      <c r="E194" s="379">
        <v>135249</v>
      </c>
      <c r="F194" s="395" t="s">
        <v>498</v>
      </c>
      <c r="G194" s="401"/>
      <c r="H194" s="402"/>
      <c r="I194" s="383">
        <v>1871000</v>
      </c>
      <c r="J194" s="398">
        <v>135249</v>
      </c>
      <c r="K194" s="399" t="s">
        <v>71</v>
      </c>
      <c r="L194" s="399" t="s">
        <v>34</v>
      </c>
      <c r="M194" s="399">
        <v>180</v>
      </c>
      <c r="N194" s="356" t="e">
        <f>VLOOKUP(E194,[3]Sheet1!$A:$C,3,0)</f>
        <v>#N/A</v>
      </c>
      <c r="O194" s="28" t="e">
        <f t="shared" si="19"/>
        <v>#N/A</v>
      </c>
    </row>
    <row r="195" spans="2:15" s="28" customFormat="1" ht="16.5" customHeight="1">
      <c r="B195" s="20"/>
      <c r="C195" s="20"/>
      <c r="D195" s="254"/>
      <c r="E195" s="379">
        <v>135304</v>
      </c>
      <c r="F195" s="395" t="s">
        <v>499</v>
      </c>
      <c r="G195" s="396"/>
      <c r="H195" s="397"/>
      <c r="I195" s="383">
        <v>3473000</v>
      </c>
      <c r="J195" s="398">
        <v>135304</v>
      </c>
      <c r="K195" s="399" t="s">
        <v>71</v>
      </c>
      <c r="L195" s="399" t="s">
        <v>34</v>
      </c>
      <c r="M195" s="399">
        <v>208</v>
      </c>
      <c r="N195" s="356">
        <f>VLOOKUP(E195,[3]Sheet1!$A:$C,3,0)</f>
        <v>3473000</v>
      </c>
      <c r="O195" s="28" t="b">
        <f t="shared" si="19"/>
        <v>1</v>
      </c>
    </row>
    <row r="196" spans="2:15" s="28" customFormat="1" ht="16.5" customHeight="1">
      <c r="B196" s="20"/>
      <c r="C196" s="20"/>
      <c r="D196" s="254"/>
      <c r="E196" s="379">
        <v>135361</v>
      </c>
      <c r="F196" s="395" t="s">
        <v>296</v>
      </c>
      <c r="G196" s="396"/>
      <c r="H196" s="397"/>
      <c r="I196" s="383">
        <v>317000</v>
      </c>
      <c r="J196" s="398">
        <v>135361</v>
      </c>
      <c r="K196" s="399" t="s">
        <v>70</v>
      </c>
      <c r="L196" s="399" t="s">
        <v>34</v>
      </c>
      <c r="M196" s="399">
        <v>18.899999999999999</v>
      </c>
      <c r="N196" s="356">
        <f>VLOOKUP(E196,[3]Sheet1!$A:$C,3,0)</f>
        <v>317000</v>
      </c>
      <c r="O196" s="28" t="b">
        <f t="shared" si="19"/>
        <v>1</v>
      </c>
    </row>
    <row r="197" spans="2:15" s="28" customFormat="1" ht="16.5" customHeight="1">
      <c r="B197" s="20"/>
      <c r="C197" s="20"/>
      <c r="D197" s="254"/>
      <c r="E197" s="379">
        <v>135421</v>
      </c>
      <c r="F197" s="395" t="s">
        <v>500</v>
      </c>
      <c r="G197" s="396"/>
      <c r="H197" s="397"/>
      <c r="I197" s="383">
        <v>5049000</v>
      </c>
      <c r="J197" s="398">
        <v>135421</v>
      </c>
      <c r="K197" s="399" t="s">
        <v>71</v>
      </c>
      <c r="L197" s="399" t="s">
        <v>34</v>
      </c>
      <c r="M197" s="399">
        <v>208</v>
      </c>
      <c r="N197" s="356">
        <f>VLOOKUP(E197,[3]Sheet1!$A:$C,3,0)</f>
        <v>5049000</v>
      </c>
      <c r="O197" s="28" t="b">
        <f t="shared" ref="O197:O260" si="20">I197=N197</f>
        <v>1</v>
      </c>
    </row>
    <row r="198" spans="2:15" s="28" customFormat="1" ht="16.5" customHeight="1">
      <c r="B198" s="20"/>
      <c r="C198" s="20"/>
      <c r="D198" s="254"/>
      <c r="E198" s="379">
        <v>135431</v>
      </c>
      <c r="F198" s="395" t="s">
        <v>501</v>
      </c>
      <c r="G198" s="396"/>
      <c r="H198" s="397"/>
      <c r="I198" s="383">
        <v>3873000</v>
      </c>
      <c r="J198" s="398">
        <v>135431</v>
      </c>
      <c r="K198" s="399" t="s">
        <v>71</v>
      </c>
      <c r="L198" s="399" t="s">
        <v>34</v>
      </c>
      <c r="M198" s="399">
        <v>177</v>
      </c>
      <c r="N198" s="356">
        <f>VLOOKUP(E198,[3]Sheet1!$A:$C,3,0)</f>
        <v>3873000</v>
      </c>
      <c r="O198" s="28" t="b">
        <f t="shared" si="20"/>
        <v>1</v>
      </c>
    </row>
    <row r="199" spans="2:15" s="28" customFormat="1" ht="16.5" customHeight="1">
      <c r="B199" s="20"/>
      <c r="C199" s="20"/>
      <c r="D199" s="254"/>
      <c r="E199" s="379">
        <v>135432</v>
      </c>
      <c r="F199" s="395" t="s">
        <v>502</v>
      </c>
      <c r="G199" s="396"/>
      <c r="H199" s="397"/>
      <c r="I199" s="383">
        <v>3962000</v>
      </c>
      <c r="J199" s="398">
        <v>135432</v>
      </c>
      <c r="K199" s="399" t="s">
        <v>71</v>
      </c>
      <c r="L199" s="399" t="s">
        <v>34</v>
      </c>
      <c r="M199" s="399">
        <v>177</v>
      </c>
      <c r="N199" s="356">
        <f>VLOOKUP(E199,[3]Sheet1!$A:$C,3,0)</f>
        <v>3962000</v>
      </c>
      <c r="O199" s="28" t="b">
        <f t="shared" si="20"/>
        <v>1</v>
      </c>
    </row>
    <row r="200" spans="2:15" s="28" customFormat="1" ht="16.5" customHeight="1">
      <c r="B200" s="20"/>
      <c r="C200" s="20"/>
      <c r="D200" s="254"/>
      <c r="E200" s="379">
        <v>135437</v>
      </c>
      <c r="F200" s="395" t="s">
        <v>503</v>
      </c>
      <c r="G200" s="396"/>
      <c r="H200" s="397"/>
      <c r="I200" s="383">
        <v>3634000</v>
      </c>
      <c r="J200" s="398">
        <v>135437</v>
      </c>
      <c r="K200" s="399" t="s">
        <v>71</v>
      </c>
      <c r="L200" s="399" t="s">
        <v>34</v>
      </c>
      <c r="M200" s="399">
        <v>176.9</v>
      </c>
      <c r="N200" s="356">
        <f>VLOOKUP(E200,[3]Sheet1!$A:$C,3,0)</f>
        <v>4122000</v>
      </c>
      <c r="O200" s="28" t="b">
        <f t="shared" si="20"/>
        <v>0</v>
      </c>
    </row>
    <row r="201" spans="2:15" s="28" customFormat="1" ht="16.5" customHeight="1">
      <c r="B201" s="20"/>
      <c r="C201" s="20"/>
      <c r="D201" s="254"/>
      <c r="E201" s="379">
        <v>135439</v>
      </c>
      <c r="F201" s="395" t="s">
        <v>504</v>
      </c>
      <c r="G201" s="396"/>
      <c r="H201" s="397"/>
      <c r="I201" s="383">
        <v>4035000</v>
      </c>
      <c r="J201" s="398">
        <v>135439</v>
      </c>
      <c r="K201" s="399" t="s">
        <v>71</v>
      </c>
      <c r="L201" s="399" t="s">
        <v>34</v>
      </c>
      <c r="M201" s="399">
        <v>176.9</v>
      </c>
      <c r="N201" s="356">
        <f>VLOOKUP(E201,[3]Sheet1!$A:$C,3,0)</f>
        <v>4035000</v>
      </c>
      <c r="O201" s="28" t="b">
        <f t="shared" si="20"/>
        <v>1</v>
      </c>
    </row>
    <row r="202" spans="2:15" s="28" customFormat="1" ht="16.5" customHeight="1">
      <c r="B202" s="20"/>
      <c r="C202" s="20"/>
      <c r="D202" s="254"/>
      <c r="E202" s="379">
        <v>135440</v>
      </c>
      <c r="F202" s="395" t="s">
        <v>505</v>
      </c>
      <c r="G202" s="396"/>
      <c r="H202" s="397"/>
      <c r="I202" s="383">
        <v>2915000</v>
      </c>
      <c r="J202" s="398">
        <v>135440</v>
      </c>
      <c r="K202" s="399" t="s">
        <v>71</v>
      </c>
      <c r="L202" s="399" t="s">
        <v>34</v>
      </c>
      <c r="M202" s="399">
        <v>208</v>
      </c>
      <c r="N202" s="356">
        <f>VLOOKUP(E202,[3]Sheet1!$A:$C,3,0)</f>
        <v>2915000</v>
      </c>
      <c r="O202" s="28" t="b">
        <f t="shared" si="20"/>
        <v>1</v>
      </c>
    </row>
    <row r="203" spans="2:15" s="28" customFormat="1" ht="16.5" customHeight="1">
      <c r="B203" s="20"/>
      <c r="C203" s="20"/>
      <c r="D203" s="254"/>
      <c r="E203" s="379">
        <v>135444</v>
      </c>
      <c r="F203" s="395" t="s">
        <v>507</v>
      </c>
      <c r="G203" s="396"/>
      <c r="H203" s="397"/>
      <c r="I203" s="383">
        <v>4131000</v>
      </c>
      <c r="J203" s="399">
        <v>135444</v>
      </c>
      <c r="K203" s="399" t="s">
        <v>71</v>
      </c>
      <c r="L203" s="399" t="s">
        <v>34</v>
      </c>
      <c r="M203" s="399">
        <v>177</v>
      </c>
      <c r="N203" s="356">
        <f>VLOOKUP(E203,[3]Sheet1!$A:$C,3,0)</f>
        <v>4131000</v>
      </c>
      <c r="O203" s="28" t="b">
        <f t="shared" si="20"/>
        <v>1</v>
      </c>
    </row>
    <row r="204" spans="2:15" s="28" customFormat="1" ht="16.5" customHeight="1">
      <c r="B204" s="20"/>
      <c r="C204" s="20"/>
      <c r="D204" s="254"/>
      <c r="E204" s="379">
        <v>135448</v>
      </c>
      <c r="F204" s="395" t="s">
        <v>508</v>
      </c>
      <c r="G204" s="396"/>
      <c r="H204" s="397"/>
      <c r="I204" s="383">
        <v>3842000</v>
      </c>
      <c r="J204" s="398">
        <v>135448</v>
      </c>
      <c r="K204" s="399" t="s">
        <v>71</v>
      </c>
      <c r="L204" s="399" t="s">
        <v>34</v>
      </c>
      <c r="M204" s="399">
        <v>177</v>
      </c>
      <c r="N204" s="356">
        <f>VLOOKUP(E204,[3]Sheet1!$A:$C,3,0)</f>
        <v>3842000</v>
      </c>
      <c r="O204" s="28" t="b">
        <f t="shared" si="20"/>
        <v>1</v>
      </c>
    </row>
    <row r="205" spans="2:15" s="28" customFormat="1" ht="16.5" customHeight="1">
      <c r="B205" s="20"/>
      <c r="C205" s="20"/>
      <c r="D205" s="254"/>
      <c r="E205" s="379">
        <v>135449</v>
      </c>
      <c r="F205" s="395" t="s">
        <v>300</v>
      </c>
      <c r="G205" s="396"/>
      <c r="H205" s="397"/>
      <c r="I205" s="383"/>
      <c r="J205" s="398">
        <v>135449</v>
      </c>
      <c r="K205" s="399" t="s">
        <v>73</v>
      </c>
      <c r="L205" s="399" t="s">
        <v>34</v>
      </c>
      <c r="M205" s="399">
        <v>21.1</v>
      </c>
      <c r="N205" s="356" t="e">
        <f>VLOOKUP(E205,[3]Sheet1!$A:$C,3,0)</f>
        <v>#N/A</v>
      </c>
      <c r="O205" s="28" t="e">
        <f t="shared" si="20"/>
        <v>#N/A</v>
      </c>
    </row>
    <row r="206" spans="2:15" s="28" customFormat="1" ht="16.5" customHeight="1">
      <c r="B206" s="20"/>
      <c r="C206" s="20"/>
      <c r="D206" s="254"/>
      <c r="E206" s="379">
        <v>135451</v>
      </c>
      <c r="F206" s="395" t="s">
        <v>509</v>
      </c>
      <c r="G206" s="396"/>
      <c r="H206" s="397"/>
      <c r="I206" s="383">
        <v>3847000</v>
      </c>
      <c r="J206" s="398">
        <v>135451</v>
      </c>
      <c r="K206" s="399" t="s">
        <v>71</v>
      </c>
      <c r="L206" s="399" t="s">
        <v>34</v>
      </c>
      <c r="M206" s="399">
        <v>177</v>
      </c>
      <c r="N206" s="356">
        <f>VLOOKUP(E206,[3]Sheet1!$A:$C,3,0)</f>
        <v>3847000</v>
      </c>
      <c r="O206" s="28" t="b">
        <f t="shared" si="20"/>
        <v>1</v>
      </c>
    </row>
    <row r="207" spans="2:15" s="28" customFormat="1" ht="16.5" customHeight="1">
      <c r="B207" s="20"/>
      <c r="C207" s="20"/>
      <c r="D207" s="254"/>
      <c r="E207" s="379">
        <v>135452</v>
      </c>
      <c r="F207" s="395" t="s">
        <v>510</v>
      </c>
      <c r="G207" s="396"/>
      <c r="H207" s="397"/>
      <c r="I207" s="383">
        <v>2586000</v>
      </c>
      <c r="J207" s="398">
        <v>135452</v>
      </c>
      <c r="K207" s="399" t="s">
        <v>71</v>
      </c>
      <c r="L207" s="399" t="s">
        <v>34</v>
      </c>
      <c r="M207" s="399">
        <v>208</v>
      </c>
      <c r="N207" s="356">
        <f>VLOOKUP(E207,[3]Sheet1!$A:$C,3,0)</f>
        <v>2586000</v>
      </c>
      <c r="O207" s="28" t="b">
        <f t="shared" si="20"/>
        <v>1</v>
      </c>
    </row>
    <row r="208" spans="2:15" s="28" customFormat="1" ht="16.5" customHeight="1">
      <c r="B208" s="20"/>
      <c r="C208" s="20"/>
      <c r="D208" s="254"/>
      <c r="E208" s="379">
        <v>135453</v>
      </c>
      <c r="F208" s="395" t="s">
        <v>301</v>
      </c>
      <c r="G208" s="396"/>
      <c r="H208" s="397"/>
      <c r="I208" s="383">
        <v>262000</v>
      </c>
      <c r="J208" s="398">
        <v>135453</v>
      </c>
      <c r="K208" s="399" t="s">
        <v>70</v>
      </c>
      <c r="L208" s="399" t="s">
        <v>34</v>
      </c>
      <c r="M208" s="399">
        <v>18.899999999999999</v>
      </c>
      <c r="N208" s="356">
        <f>VLOOKUP(E208,[3]Sheet1!$A:$C,3,0)</f>
        <v>262000</v>
      </c>
      <c r="O208" s="28" t="b">
        <f t="shared" si="20"/>
        <v>1</v>
      </c>
    </row>
    <row r="209" spans="2:15" s="28" customFormat="1" ht="16.5" customHeight="1">
      <c r="B209" s="20"/>
      <c r="C209" s="20"/>
      <c r="D209" s="254"/>
      <c r="E209" s="379">
        <v>135454</v>
      </c>
      <c r="F209" s="395" t="s">
        <v>511</v>
      </c>
      <c r="G209" s="396"/>
      <c r="H209" s="397"/>
      <c r="I209" s="383">
        <v>2602000</v>
      </c>
      <c r="J209" s="398">
        <v>135454</v>
      </c>
      <c r="K209" s="399" t="s">
        <v>71</v>
      </c>
      <c r="L209" s="399" t="s">
        <v>34</v>
      </c>
      <c r="M209" s="399">
        <v>208</v>
      </c>
      <c r="N209" s="356">
        <f>VLOOKUP(E209,[3]Sheet1!$A:$C,3,0)</f>
        <v>2602000</v>
      </c>
      <c r="O209" s="28" t="b">
        <f t="shared" si="20"/>
        <v>1</v>
      </c>
    </row>
    <row r="210" spans="2:15" s="28" customFormat="1" ht="16.5" customHeight="1">
      <c r="B210" s="20"/>
      <c r="C210" s="20"/>
      <c r="D210" s="254"/>
      <c r="E210" s="379">
        <v>135455</v>
      </c>
      <c r="F210" s="395" t="s">
        <v>302</v>
      </c>
      <c r="G210" s="396"/>
      <c r="H210" s="397"/>
      <c r="I210" s="383">
        <v>282000</v>
      </c>
      <c r="J210" s="398">
        <v>135455</v>
      </c>
      <c r="K210" s="399" t="s">
        <v>70</v>
      </c>
      <c r="L210" s="399" t="s">
        <v>34</v>
      </c>
      <c r="M210" s="399">
        <v>18.899999999999999</v>
      </c>
      <c r="N210" s="356">
        <f>VLOOKUP(E210,[3]Sheet1!$A:$C,3,0)</f>
        <v>282000</v>
      </c>
      <c r="O210" s="28" t="b">
        <f t="shared" si="20"/>
        <v>1</v>
      </c>
    </row>
    <row r="211" spans="2:15" s="28" customFormat="1" ht="16.5" customHeight="1">
      <c r="B211" s="20"/>
      <c r="C211" s="20"/>
      <c r="D211" s="254"/>
      <c r="E211" s="379">
        <v>135456</v>
      </c>
      <c r="F211" s="395" t="s">
        <v>512</v>
      </c>
      <c r="G211" s="396"/>
      <c r="H211" s="397"/>
      <c r="I211" s="383">
        <v>2995000</v>
      </c>
      <c r="J211" s="398">
        <v>135456</v>
      </c>
      <c r="K211" s="399" t="s">
        <v>71</v>
      </c>
      <c r="L211" s="399" t="s">
        <v>34</v>
      </c>
      <c r="M211" s="399">
        <v>208</v>
      </c>
      <c r="N211" s="356">
        <f>VLOOKUP(E211,[3]Sheet1!$A:$C,3,0)</f>
        <v>2995000</v>
      </c>
      <c r="O211" s="28" t="b">
        <f t="shared" si="20"/>
        <v>1</v>
      </c>
    </row>
    <row r="212" spans="2:15" s="28" customFormat="1" ht="16.5" customHeight="1">
      <c r="B212" s="20"/>
      <c r="C212" s="20"/>
      <c r="D212" s="254"/>
      <c r="E212" s="379">
        <v>135457</v>
      </c>
      <c r="F212" s="395" t="s">
        <v>303</v>
      </c>
      <c r="G212" s="396"/>
      <c r="H212" s="397"/>
      <c r="I212" s="383">
        <v>287000</v>
      </c>
      <c r="J212" s="398">
        <v>135457</v>
      </c>
      <c r="K212" s="399" t="s">
        <v>70</v>
      </c>
      <c r="L212" s="399" t="s">
        <v>34</v>
      </c>
      <c r="M212" s="399">
        <v>18.899999999999999</v>
      </c>
      <c r="N212" s="356">
        <f>VLOOKUP(E212,[3]Sheet1!$A:$C,3,0)</f>
        <v>287000</v>
      </c>
      <c r="O212" s="28" t="b">
        <f t="shared" si="20"/>
        <v>1</v>
      </c>
    </row>
    <row r="213" spans="2:15" s="28" customFormat="1" ht="16.5" customHeight="1">
      <c r="B213" s="20"/>
      <c r="C213" s="20"/>
      <c r="D213" s="254"/>
      <c r="E213" s="379">
        <v>135458</v>
      </c>
      <c r="F213" s="395" t="s">
        <v>420</v>
      </c>
      <c r="G213" s="396"/>
      <c r="H213" s="397"/>
      <c r="I213" s="383">
        <v>2763000</v>
      </c>
      <c r="J213" s="398">
        <v>135458</v>
      </c>
      <c r="K213" s="399" t="s">
        <v>71</v>
      </c>
      <c r="L213" s="399" t="s">
        <v>34</v>
      </c>
      <c r="M213" s="399">
        <v>208</v>
      </c>
      <c r="N213" s="356">
        <f>VLOOKUP(E213,[3]Sheet1!$A:$C,3,0)</f>
        <v>2763000</v>
      </c>
      <c r="O213" s="28" t="b">
        <f t="shared" si="20"/>
        <v>1</v>
      </c>
    </row>
    <row r="214" spans="2:15" s="28" customFormat="1" ht="16.5" customHeight="1">
      <c r="B214" s="20"/>
      <c r="C214" s="20"/>
      <c r="D214" s="254"/>
      <c r="E214" s="379">
        <v>135460</v>
      </c>
      <c r="F214" s="395" t="s">
        <v>304</v>
      </c>
      <c r="G214" s="396"/>
      <c r="H214" s="397"/>
      <c r="I214" s="383">
        <v>337000</v>
      </c>
      <c r="J214" s="398">
        <v>135460</v>
      </c>
      <c r="K214" s="399" t="s">
        <v>70</v>
      </c>
      <c r="L214" s="399" t="s">
        <v>34</v>
      </c>
      <c r="M214" s="399">
        <v>18.899999999999999</v>
      </c>
      <c r="N214" s="356">
        <f>VLOOKUP(E214,[3]Sheet1!$A:$C,3,0)</f>
        <v>337000</v>
      </c>
      <c r="O214" s="28" t="b">
        <f t="shared" si="20"/>
        <v>1</v>
      </c>
    </row>
    <row r="215" spans="2:15" s="28" customFormat="1" ht="16.5" customHeight="1">
      <c r="B215" s="20"/>
      <c r="C215" s="20"/>
      <c r="D215" s="254"/>
      <c r="E215" s="379">
        <v>135461</v>
      </c>
      <c r="F215" s="395" t="s">
        <v>513</v>
      </c>
      <c r="G215" s="396"/>
      <c r="H215" s="397"/>
      <c r="I215" s="383">
        <v>3255000</v>
      </c>
      <c r="J215" s="398">
        <v>135461</v>
      </c>
      <c r="K215" s="399" t="s">
        <v>71</v>
      </c>
      <c r="L215" s="399" t="s">
        <v>34</v>
      </c>
      <c r="M215" s="399">
        <v>208</v>
      </c>
      <c r="N215" s="356">
        <f>VLOOKUP(E215,[3]Sheet1!$A:$C,3,0)</f>
        <v>3255000</v>
      </c>
      <c r="O215" s="28" t="b">
        <f t="shared" si="20"/>
        <v>1</v>
      </c>
    </row>
    <row r="216" spans="2:15" s="28" customFormat="1" ht="16.5" customHeight="1">
      <c r="B216" s="20"/>
      <c r="C216" s="20"/>
      <c r="D216" s="254"/>
      <c r="E216" s="379">
        <v>135462</v>
      </c>
      <c r="F216" s="395" t="s">
        <v>305</v>
      </c>
      <c r="G216" s="396"/>
      <c r="H216" s="397"/>
      <c r="I216" s="383">
        <v>351000</v>
      </c>
      <c r="J216" s="398">
        <v>135462</v>
      </c>
      <c r="K216" s="399" t="s">
        <v>70</v>
      </c>
      <c r="L216" s="399" t="s">
        <v>34</v>
      </c>
      <c r="M216" s="399">
        <v>18.899999999999999</v>
      </c>
      <c r="N216" s="356">
        <f>VLOOKUP(E216,[3]Sheet1!$A:$C,3,0)</f>
        <v>351000</v>
      </c>
      <c r="O216" s="28" t="b">
        <f t="shared" si="20"/>
        <v>1</v>
      </c>
    </row>
    <row r="217" spans="2:15" s="28" customFormat="1" ht="16.5" customHeight="1">
      <c r="B217" s="20"/>
      <c r="C217" s="20"/>
      <c r="D217" s="254"/>
      <c r="E217" s="379">
        <v>135463</v>
      </c>
      <c r="F217" s="395" t="s">
        <v>514</v>
      </c>
      <c r="G217" s="396"/>
      <c r="H217" s="397"/>
      <c r="I217" s="383">
        <v>3383000</v>
      </c>
      <c r="J217" s="398">
        <v>135463</v>
      </c>
      <c r="K217" s="399" t="s">
        <v>71</v>
      </c>
      <c r="L217" s="399" t="s">
        <v>34</v>
      </c>
      <c r="M217" s="399">
        <v>208</v>
      </c>
      <c r="N217" s="356">
        <f>VLOOKUP(E217,[3]Sheet1!$A:$C,3,0)</f>
        <v>3383000</v>
      </c>
      <c r="O217" s="28" t="b">
        <f t="shared" si="20"/>
        <v>1</v>
      </c>
    </row>
    <row r="218" spans="2:15" s="28" customFormat="1" ht="16.5" customHeight="1">
      <c r="B218" s="20"/>
      <c r="C218" s="20"/>
      <c r="D218" s="254"/>
      <c r="E218" s="379">
        <v>135464</v>
      </c>
      <c r="F218" s="395" t="s">
        <v>306</v>
      </c>
      <c r="G218" s="396"/>
      <c r="H218" s="397"/>
      <c r="I218" s="383">
        <v>364000</v>
      </c>
      <c r="J218" s="398">
        <v>135464</v>
      </c>
      <c r="K218" s="399" t="s">
        <v>70</v>
      </c>
      <c r="L218" s="399" t="s">
        <v>34</v>
      </c>
      <c r="M218" s="399">
        <v>18.899999999999999</v>
      </c>
      <c r="N218" s="356">
        <f>VLOOKUP(E218,[3]Sheet1!$A:$C,3,0)</f>
        <v>364000</v>
      </c>
      <c r="O218" s="28" t="b">
        <f t="shared" si="20"/>
        <v>1</v>
      </c>
    </row>
    <row r="219" spans="2:15" s="28" customFormat="1" ht="16.5" customHeight="1">
      <c r="B219" s="20"/>
      <c r="C219" s="20"/>
      <c r="D219" s="254"/>
      <c r="E219" s="379">
        <v>135488</v>
      </c>
      <c r="F219" s="395" t="s">
        <v>240</v>
      </c>
      <c r="G219" s="396"/>
      <c r="H219" s="397"/>
      <c r="I219" s="383">
        <v>47600</v>
      </c>
      <c r="J219" s="398">
        <v>135488</v>
      </c>
      <c r="K219" s="399" t="s">
        <v>70</v>
      </c>
      <c r="L219" s="399" t="s">
        <v>34</v>
      </c>
      <c r="M219" s="399">
        <v>20</v>
      </c>
      <c r="N219" s="356">
        <f>VLOOKUP(E219,[3]Sheet1!$A:$C,3,0)</f>
        <v>51400</v>
      </c>
      <c r="O219" s="28" t="b">
        <f t="shared" si="20"/>
        <v>0</v>
      </c>
    </row>
    <row r="220" spans="2:15" s="28" customFormat="1" ht="16.5" customHeight="1">
      <c r="B220" s="20"/>
      <c r="C220" s="20"/>
      <c r="D220" s="254"/>
      <c r="E220" s="379">
        <v>135542</v>
      </c>
      <c r="F220" s="395" t="s">
        <v>307</v>
      </c>
      <c r="G220" s="396"/>
      <c r="H220" s="397"/>
      <c r="I220" s="383">
        <v>69500</v>
      </c>
      <c r="J220" s="398">
        <v>135542</v>
      </c>
      <c r="K220" s="399" t="s">
        <v>70</v>
      </c>
      <c r="L220" s="399" t="s">
        <v>34</v>
      </c>
      <c r="M220" s="399">
        <v>20</v>
      </c>
      <c r="N220" s="356">
        <f>VLOOKUP(E220,[3]Sheet1!$A:$C,3,0)</f>
        <v>73700</v>
      </c>
      <c r="O220" s="28" t="b">
        <f t="shared" si="20"/>
        <v>0</v>
      </c>
    </row>
    <row r="221" spans="2:15" s="28" customFormat="1" ht="16.5" customHeight="1">
      <c r="B221" s="20"/>
      <c r="C221" s="20"/>
      <c r="D221" s="254"/>
      <c r="E221" s="379">
        <v>135627</v>
      </c>
      <c r="F221" s="395" t="s">
        <v>36</v>
      </c>
      <c r="G221" s="396"/>
      <c r="H221" s="397"/>
      <c r="I221" s="383">
        <v>4915000</v>
      </c>
      <c r="J221" s="398">
        <v>135627</v>
      </c>
      <c r="K221" s="399" t="s">
        <v>71</v>
      </c>
      <c r="L221" s="399" t="s">
        <v>34</v>
      </c>
      <c r="M221" s="399">
        <v>175</v>
      </c>
      <c r="N221" s="356">
        <f>VLOOKUP(E221,[3]Sheet1!$A:$C,3,0)</f>
        <v>4915000</v>
      </c>
      <c r="O221" s="28" t="b">
        <f t="shared" si="20"/>
        <v>1</v>
      </c>
    </row>
    <row r="222" spans="2:15" s="28" customFormat="1" ht="16.5" customHeight="1">
      <c r="B222" s="20"/>
      <c r="C222" s="20"/>
      <c r="D222" s="254"/>
      <c r="E222" s="379">
        <v>135836</v>
      </c>
      <c r="F222" s="395" t="s">
        <v>66</v>
      </c>
      <c r="G222" s="396"/>
      <c r="H222" s="397"/>
      <c r="I222" s="383">
        <v>3321000</v>
      </c>
      <c r="J222" s="398">
        <v>135836</v>
      </c>
      <c r="K222" s="399" t="s">
        <v>71</v>
      </c>
      <c r="L222" s="399" t="s">
        <v>34</v>
      </c>
      <c r="M222" s="399">
        <v>208</v>
      </c>
      <c r="N222" s="356">
        <f>VLOOKUP(E222,[3]Sheet1!$A:$C,3,0)</f>
        <v>3321000</v>
      </c>
      <c r="O222" s="28" t="b">
        <f t="shared" si="20"/>
        <v>1</v>
      </c>
    </row>
    <row r="223" spans="2:15" s="28" customFormat="1" ht="16.5" customHeight="1">
      <c r="B223" s="20"/>
      <c r="C223" s="20"/>
      <c r="D223" s="254"/>
      <c r="E223" s="379">
        <v>135877</v>
      </c>
      <c r="F223" s="395" t="s">
        <v>308</v>
      </c>
      <c r="G223" s="396"/>
      <c r="H223" s="397"/>
      <c r="I223" s="383">
        <v>474000</v>
      </c>
      <c r="J223" s="398">
        <v>135877</v>
      </c>
      <c r="K223" s="399" t="s">
        <v>70</v>
      </c>
      <c r="L223" s="399" t="s">
        <v>34</v>
      </c>
      <c r="M223" s="399">
        <v>20</v>
      </c>
      <c r="N223" s="356">
        <f>VLOOKUP(E223,[3]Sheet1!$A:$C,3,0)</f>
        <v>474000</v>
      </c>
      <c r="O223" s="28" t="b">
        <f t="shared" si="20"/>
        <v>1</v>
      </c>
    </row>
    <row r="224" spans="2:15" s="28" customFormat="1" ht="16.5" customHeight="1">
      <c r="B224" s="20"/>
      <c r="C224" s="20"/>
      <c r="D224" s="254"/>
      <c r="E224" s="379">
        <v>135916</v>
      </c>
      <c r="F224" s="395" t="s">
        <v>516</v>
      </c>
      <c r="G224" s="396"/>
      <c r="H224" s="397"/>
      <c r="I224" s="383">
        <v>547000</v>
      </c>
      <c r="J224" s="398">
        <v>135916</v>
      </c>
      <c r="K224" s="399" t="s">
        <v>71</v>
      </c>
      <c r="L224" s="399" t="s">
        <v>34</v>
      </c>
      <c r="M224" s="399">
        <v>200</v>
      </c>
      <c r="N224" s="356">
        <f>VLOOKUP(E224,[3]Sheet1!$A:$C,3,0)</f>
        <v>574000</v>
      </c>
      <c r="O224" s="28" t="b">
        <f t="shared" si="20"/>
        <v>0</v>
      </c>
    </row>
    <row r="225" spans="2:15" s="28" customFormat="1" ht="16.5" customHeight="1">
      <c r="B225" s="20"/>
      <c r="C225" s="20"/>
      <c r="D225" s="254"/>
      <c r="E225" s="379">
        <v>148680</v>
      </c>
      <c r="F225" s="395" t="s">
        <v>45</v>
      </c>
      <c r="G225" s="396"/>
      <c r="H225" s="397"/>
      <c r="I225" s="383">
        <v>850000</v>
      </c>
      <c r="J225" s="398">
        <v>148680</v>
      </c>
      <c r="K225" s="399" t="s">
        <v>71</v>
      </c>
      <c r="L225" s="399" t="s">
        <v>34</v>
      </c>
      <c r="M225" s="399">
        <v>208</v>
      </c>
      <c r="N225" s="356" t="e">
        <f>VLOOKUP(E225,[3]Sheet1!$A:$C,3,0)</f>
        <v>#N/A</v>
      </c>
      <c r="O225" s="28" t="e">
        <f t="shared" si="20"/>
        <v>#N/A</v>
      </c>
    </row>
    <row r="226" spans="2:15" s="28" customFormat="1" ht="16.5" customHeight="1">
      <c r="B226" s="20"/>
      <c r="C226" s="20"/>
      <c r="D226" s="254"/>
      <c r="E226" s="379">
        <v>135934</v>
      </c>
      <c r="F226" s="395" t="s">
        <v>309</v>
      </c>
      <c r="G226" s="396"/>
      <c r="H226" s="397"/>
      <c r="I226" s="383">
        <v>183000</v>
      </c>
      <c r="J226" s="398">
        <v>135934</v>
      </c>
      <c r="K226" s="399" t="s">
        <v>70</v>
      </c>
      <c r="L226" s="399" t="s">
        <v>34</v>
      </c>
      <c r="M226" s="399">
        <v>16</v>
      </c>
      <c r="N226" s="356">
        <f>VLOOKUP(E226,[3]Sheet1!$A:$C,3,0)</f>
        <v>194000</v>
      </c>
      <c r="O226" s="28" t="b">
        <f t="shared" si="20"/>
        <v>0</v>
      </c>
    </row>
    <row r="227" spans="2:15" s="28" customFormat="1" ht="16.5" customHeight="1">
      <c r="B227" s="20"/>
      <c r="C227" s="20"/>
      <c r="D227" s="254"/>
      <c r="E227" s="379">
        <v>135935</v>
      </c>
      <c r="F227" s="395" t="s">
        <v>517</v>
      </c>
      <c r="G227" s="401"/>
      <c r="H227" s="402"/>
      <c r="I227" s="383">
        <v>1871000</v>
      </c>
      <c r="J227" s="398">
        <v>135935</v>
      </c>
      <c r="K227" s="399" t="s">
        <v>71</v>
      </c>
      <c r="L227" s="399" t="s">
        <v>34</v>
      </c>
      <c r="M227" s="399">
        <v>180</v>
      </c>
      <c r="N227" s="356">
        <f>VLOOKUP(E227,[3]Sheet1!$A:$C,3,0)</f>
        <v>1983000</v>
      </c>
      <c r="O227" s="28" t="b">
        <f t="shared" si="20"/>
        <v>0</v>
      </c>
    </row>
    <row r="228" spans="2:15" s="28" customFormat="1" ht="16.5" customHeight="1">
      <c r="B228" s="20"/>
      <c r="C228" s="20"/>
      <c r="D228" s="254"/>
      <c r="E228" s="379">
        <v>148676</v>
      </c>
      <c r="F228" s="395" t="s">
        <v>520</v>
      </c>
      <c r="G228" s="396"/>
      <c r="H228" s="397"/>
      <c r="I228" s="383">
        <v>645000</v>
      </c>
      <c r="J228" s="398">
        <v>148676</v>
      </c>
      <c r="K228" s="399" t="s">
        <v>71</v>
      </c>
      <c r="L228" s="399" t="s">
        <v>34</v>
      </c>
      <c r="M228" s="399">
        <v>208</v>
      </c>
      <c r="N228" s="356" t="e">
        <f>VLOOKUP(E228,[3]Sheet1!$A:$C,3,0)</f>
        <v>#N/A</v>
      </c>
      <c r="O228" s="28" t="e">
        <f t="shared" si="20"/>
        <v>#N/A</v>
      </c>
    </row>
    <row r="229" spans="2:15" s="28" customFormat="1" ht="16.5" customHeight="1">
      <c r="B229" s="20"/>
      <c r="C229" s="20"/>
      <c r="D229" s="254"/>
      <c r="E229" s="379">
        <v>136130</v>
      </c>
      <c r="F229" s="395" t="s">
        <v>311</v>
      </c>
      <c r="G229" s="396"/>
      <c r="H229" s="397"/>
      <c r="I229" s="383">
        <v>198000</v>
      </c>
      <c r="J229" s="398">
        <v>136130</v>
      </c>
      <c r="K229" s="399" t="s">
        <v>70</v>
      </c>
      <c r="L229" s="399" t="s">
        <v>34</v>
      </c>
      <c r="M229" s="399">
        <v>16</v>
      </c>
      <c r="N229" s="356">
        <f>VLOOKUP(E229,[3]Sheet1!$A:$C,3,0)</f>
        <v>210000</v>
      </c>
      <c r="O229" s="28" t="b">
        <f t="shared" si="20"/>
        <v>0</v>
      </c>
    </row>
    <row r="230" spans="2:15" s="28" customFormat="1" ht="16.5" customHeight="1">
      <c r="B230" s="20"/>
      <c r="C230" s="20"/>
      <c r="D230" s="254"/>
      <c r="E230" s="379">
        <v>136131</v>
      </c>
      <c r="F230" s="395" t="s">
        <v>521</v>
      </c>
      <c r="G230" s="396"/>
      <c r="H230" s="397"/>
      <c r="I230" s="383">
        <v>2166000</v>
      </c>
      <c r="J230" s="398">
        <v>136131</v>
      </c>
      <c r="K230" s="399" t="s">
        <v>71</v>
      </c>
      <c r="L230" s="399" t="s">
        <v>34</v>
      </c>
      <c r="M230" s="399">
        <v>180</v>
      </c>
      <c r="N230" s="356">
        <f>VLOOKUP(E230,[3]Sheet1!$A:$C,3,0)</f>
        <v>2296000</v>
      </c>
      <c r="O230" s="28" t="b">
        <f t="shared" si="20"/>
        <v>0</v>
      </c>
    </row>
    <row r="231" spans="2:15" s="28" customFormat="1" ht="16.5" customHeight="1">
      <c r="B231" s="20"/>
      <c r="C231" s="20"/>
      <c r="D231" s="254"/>
      <c r="E231" s="379">
        <v>136132</v>
      </c>
      <c r="F231" s="395" t="s">
        <v>312</v>
      </c>
      <c r="G231" s="396"/>
      <c r="H231" s="397"/>
      <c r="I231" s="383">
        <v>198000</v>
      </c>
      <c r="J231" s="398">
        <v>136132</v>
      </c>
      <c r="K231" s="399" t="s">
        <v>70</v>
      </c>
      <c r="L231" s="399" t="s">
        <v>34</v>
      </c>
      <c r="M231" s="399">
        <v>16</v>
      </c>
      <c r="N231" s="356">
        <f>VLOOKUP(E231,[3]Sheet1!$A:$C,3,0)</f>
        <v>210000</v>
      </c>
      <c r="O231" s="28" t="b">
        <f t="shared" si="20"/>
        <v>0</v>
      </c>
    </row>
    <row r="232" spans="2:15" s="28" customFormat="1" ht="16.5" customHeight="1">
      <c r="B232" s="20"/>
      <c r="C232" s="20"/>
      <c r="D232" s="254"/>
      <c r="E232" s="379">
        <v>136133</v>
      </c>
      <c r="F232" s="395" t="s">
        <v>522</v>
      </c>
      <c r="G232" s="396"/>
      <c r="H232" s="397"/>
      <c r="I232" s="383">
        <v>2222000</v>
      </c>
      <c r="J232" s="398">
        <v>136133</v>
      </c>
      <c r="K232" s="399" t="s">
        <v>71</v>
      </c>
      <c r="L232" s="399" t="s">
        <v>34</v>
      </c>
      <c r="M232" s="399">
        <v>180</v>
      </c>
      <c r="N232" s="356">
        <f>VLOOKUP(E232,[3]Sheet1!$A:$C,3,0)</f>
        <v>2355000</v>
      </c>
      <c r="O232" s="28" t="b">
        <f t="shared" si="20"/>
        <v>0</v>
      </c>
    </row>
    <row r="233" spans="2:15" s="28" customFormat="1" ht="16.5" customHeight="1">
      <c r="B233" s="20"/>
      <c r="C233" s="20"/>
      <c r="D233" s="254"/>
      <c r="E233" s="379">
        <v>136141</v>
      </c>
      <c r="F233" s="395" t="s">
        <v>523</v>
      </c>
      <c r="G233" s="396"/>
      <c r="H233" s="397"/>
      <c r="I233" s="383">
        <v>3527000</v>
      </c>
      <c r="J233" s="398">
        <v>136141</v>
      </c>
      <c r="K233" s="399" t="s">
        <v>71</v>
      </c>
      <c r="L233" s="399" t="s">
        <v>34</v>
      </c>
      <c r="M233" s="399">
        <v>181</v>
      </c>
      <c r="N233" s="356">
        <f>VLOOKUP(E233,[3]Sheet1!$A:$C,3,0)</f>
        <v>3739000</v>
      </c>
      <c r="O233" s="28" t="b">
        <f t="shared" si="20"/>
        <v>0</v>
      </c>
    </row>
    <row r="234" spans="2:15" s="28" customFormat="1" ht="16.5" customHeight="1">
      <c r="B234" s="20"/>
      <c r="C234" s="20"/>
      <c r="D234" s="254"/>
      <c r="E234" s="379">
        <v>136159</v>
      </c>
      <c r="F234" s="395" t="s">
        <v>525</v>
      </c>
      <c r="G234" s="396"/>
      <c r="H234" s="397"/>
      <c r="I234" s="383">
        <v>4607000</v>
      </c>
      <c r="J234" s="398">
        <v>136159</v>
      </c>
      <c r="K234" s="399" t="s">
        <v>71</v>
      </c>
      <c r="L234" s="399" t="s">
        <v>34</v>
      </c>
      <c r="M234" s="399">
        <v>208</v>
      </c>
      <c r="N234" s="356">
        <f>VLOOKUP(E234,[3]Sheet1!$A:$C,3,0)</f>
        <v>4607000</v>
      </c>
      <c r="O234" s="28" t="b">
        <f t="shared" si="20"/>
        <v>1</v>
      </c>
    </row>
    <row r="235" spans="2:15" s="28" customFormat="1" ht="16.5" customHeight="1">
      <c r="B235" s="20"/>
      <c r="C235" s="20"/>
      <c r="D235" s="254"/>
      <c r="E235" s="379">
        <v>136174</v>
      </c>
      <c r="F235" s="395" t="s">
        <v>526</v>
      </c>
      <c r="G235" s="396"/>
      <c r="H235" s="397"/>
      <c r="I235" s="383">
        <v>630000</v>
      </c>
      <c r="J235" s="398">
        <v>136174</v>
      </c>
      <c r="K235" s="399" t="s">
        <v>71</v>
      </c>
      <c r="L235" s="399" t="s">
        <v>34</v>
      </c>
      <c r="M235" s="399">
        <v>200</v>
      </c>
      <c r="N235" s="356">
        <f>VLOOKUP(E235,[3]Sheet1!$A:$C,3,0)</f>
        <v>668000</v>
      </c>
      <c r="O235" s="28" t="b">
        <f t="shared" si="20"/>
        <v>0</v>
      </c>
    </row>
    <row r="236" spans="2:15" s="28" customFormat="1" ht="16.5" customHeight="1">
      <c r="B236" s="20"/>
      <c r="C236" s="20"/>
      <c r="D236" s="254"/>
      <c r="E236" s="379">
        <v>136235</v>
      </c>
      <c r="F236" s="395" t="s">
        <v>739</v>
      </c>
      <c r="G236" s="396"/>
      <c r="H236" s="397"/>
      <c r="I236" s="383">
        <v>858000</v>
      </c>
      <c r="J236" s="398">
        <v>136235</v>
      </c>
      <c r="K236" s="399" t="s">
        <v>71</v>
      </c>
      <c r="L236" s="399" t="s">
        <v>34</v>
      </c>
      <c r="M236" s="399">
        <v>208</v>
      </c>
      <c r="N236" s="356">
        <f>VLOOKUP(E236,[3]Sheet1!$A:$C,3,0)</f>
        <v>909000</v>
      </c>
      <c r="O236" s="28" t="b">
        <f t="shared" si="20"/>
        <v>0</v>
      </c>
    </row>
    <row r="237" spans="2:15" s="28" customFormat="1" ht="16.5" customHeight="1">
      <c r="B237" s="20"/>
      <c r="C237" s="20"/>
      <c r="D237" s="254"/>
      <c r="E237" s="379">
        <v>148678</v>
      </c>
      <c r="F237" s="395" t="s">
        <v>527</v>
      </c>
      <c r="G237" s="396"/>
      <c r="H237" s="397"/>
      <c r="I237" s="383">
        <v>645000</v>
      </c>
      <c r="J237" s="398">
        <v>148678</v>
      </c>
      <c r="K237" s="399" t="s">
        <v>71</v>
      </c>
      <c r="L237" s="399" t="s">
        <v>34</v>
      </c>
      <c r="M237" s="399">
        <v>208</v>
      </c>
      <c r="N237" s="356" t="e">
        <f>VLOOKUP(E237,[3]Sheet1!$A:$C,3,0)</f>
        <v>#N/A</v>
      </c>
      <c r="O237" s="28" t="e">
        <f t="shared" si="20"/>
        <v>#N/A</v>
      </c>
    </row>
    <row r="238" spans="2:15" s="28" customFormat="1" ht="16.5" customHeight="1">
      <c r="B238" s="20"/>
      <c r="C238" s="20"/>
      <c r="D238" s="254"/>
      <c r="E238" s="379">
        <v>143561</v>
      </c>
      <c r="F238" s="395" t="s">
        <v>558</v>
      </c>
      <c r="G238" s="396"/>
      <c r="H238" s="397"/>
      <c r="I238" s="383">
        <v>728000</v>
      </c>
      <c r="J238" s="398">
        <v>138959</v>
      </c>
      <c r="K238" s="399" t="s">
        <v>71</v>
      </c>
      <c r="L238" s="399" t="s">
        <v>34</v>
      </c>
      <c r="M238" s="399">
        <v>200</v>
      </c>
      <c r="N238" s="356">
        <f>VLOOKUP(E238,[3]Sheet1!$A:$C,3,0)</f>
        <v>772000</v>
      </c>
      <c r="O238" s="28" t="b">
        <f t="shared" si="20"/>
        <v>0</v>
      </c>
    </row>
    <row r="239" spans="2:15" s="28" customFormat="1" ht="16.5" customHeight="1">
      <c r="B239" s="20"/>
      <c r="C239" s="20"/>
      <c r="D239" s="254"/>
      <c r="E239" s="379">
        <v>143560</v>
      </c>
      <c r="F239" s="395" t="s">
        <v>559</v>
      </c>
      <c r="G239" s="396"/>
      <c r="H239" s="397"/>
      <c r="I239" s="383">
        <v>728000</v>
      </c>
      <c r="J239" s="398">
        <v>138960</v>
      </c>
      <c r="K239" s="399" t="s">
        <v>71</v>
      </c>
      <c r="L239" s="399" t="s">
        <v>34</v>
      </c>
      <c r="M239" s="399">
        <v>200</v>
      </c>
      <c r="N239" s="356">
        <f>VLOOKUP(E239,[3]Sheet1!$A:$C,3,0)</f>
        <v>772000</v>
      </c>
      <c r="O239" s="28" t="b">
        <f t="shared" si="20"/>
        <v>0</v>
      </c>
    </row>
    <row r="240" spans="2:15" s="28" customFormat="1" ht="16.5" customHeight="1">
      <c r="B240" s="20"/>
      <c r="C240" s="20"/>
      <c r="D240" s="254"/>
      <c r="E240" s="379">
        <v>141666</v>
      </c>
      <c r="F240" s="395" t="s">
        <v>560</v>
      </c>
      <c r="G240" s="396"/>
      <c r="H240" s="397"/>
      <c r="I240" s="383">
        <v>755000</v>
      </c>
      <c r="J240" s="398">
        <v>138961</v>
      </c>
      <c r="K240" s="399" t="s">
        <v>71</v>
      </c>
      <c r="L240" s="399" t="s">
        <v>34</v>
      </c>
      <c r="M240" s="399">
        <v>200</v>
      </c>
      <c r="N240" s="356">
        <f>VLOOKUP(E240,[3]Sheet1!$A:$C,3,0)</f>
        <v>800000</v>
      </c>
      <c r="O240" s="28" t="b">
        <f t="shared" si="20"/>
        <v>0</v>
      </c>
    </row>
    <row r="241" spans="2:15" s="28" customFormat="1" ht="16.5" customHeight="1">
      <c r="B241" s="20"/>
      <c r="C241" s="20"/>
      <c r="D241" s="254"/>
      <c r="E241" s="379">
        <v>138963</v>
      </c>
      <c r="F241" s="395" t="s">
        <v>562</v>
      </c>
      <c r="G241" s="396"/>
      <c r="H241" s="397"/>
      <c r="I241" s="383">
        <v>755000</v>
      </c>
      <c r="J241" s="398">
        <v>138963</v>
      </c>
      <c r="K241" s="399" t="s">
        <v>71</v>
      </c>
      <c r="L241" s="399" t="s">
        <v>34</v>
      </c>
      <c r="M241" s="399">
        <v>200</v>
      </c>
      <c r="N241" s="356">
        <f>VLOOKUP(E241,[3]Sheet1!$A:$C,3,0)</f>
        <v>800000</v>
      </c>
      <c r="O241" s="28" t="b">
        <f t="shared" si="20"/>
        <v>0</v>
      </c>
    </row>
    <row r="242" spans="2:15" s="28" customFormat="1" ht="16.5" customHeight="1">
      <c r="B242" s="20"/>
      <c r="C242" s="20"/>
      <c r="D242" s="254"/>
      <c r="E242" s="379">
        <v>138964</v>
      </c>
      <c r="F242" s="395" t="s">
        <v>315</v>
      </c>
      <c r="G242" s="396"/>
      <c r="H242" s="397"/>
      <c r="I242" s="383">
        <v>79600</v>
      </c>
      <c r="J242" s="398">
        <v>138964</v>
      </c>
      <c r="K242" s="399" t="s">
        <v>70</v>
      </c>
      <c r="L242" s="399" t="s">
        <v>34</v>
      </c>
      <c r="M242" s="399">
        <v>20</v>
      </c>
      <c r="N242" s="356">
        <f>VLOOKUP(E242,[3]Sheet1!$A:$C,3,0)</f>
        <v>84400</v>
      </c>
      <c r="O242" s="28" t="b">
        <f t="shared" si="20"/>
        <v>0</v>
      </c>
    </row>
    <row r="243" spans="2:15" s="28" customFormat="1" ht="16.5" customHeight="1">
      <c r="B243" s="20"/>
      <c r="C243" s="20"/>
      <c r="D243" s="254"/>
      <c r="E243" s="379">
        <v>136234</v>
      </c>
      <c r="F243" s="395" t="s">
        <v>316</v>
      </c>
      <c r="G243" s="396"/>
      <c r="H243" s="397"/>
      <c r="I243" s="383">
        <v>94600</v>
      </c>
      <c r="J243" s="398">
        <v>138980</v>
      </c>
      <c r="K243" s="399" t="s">
        <v>70</v>
      </c>
      <c r="L243" s="399" t="s">
        <v>34</v>
      </c>
      <c r="M243" s="399">
        <v>20</v>
      </c>
      <c r="N243" s="356">
        <f>VLOOKUP(E243,[3]Sheet1!$A:$C,3,0)</f>
        <v>100000</v>
      </c>
      <c r="O243" s="28" t="b">
        <f t="shared" si="20"/>
        <v>0</v>
      </c>
    </row>
    <row r="244" spans="2:15" s="28" customFormat="1" ht="16.5" customHeight="1">
      <c r="B244" s="20"/>
      <c r="C244" s="20"/>
      <c r="D244" s="254"/>
      <c r="E244" s="379">
        <v>139023</v>
      </c>
      <c r="F244" s="395" t="s">
        <v>569</v>
      </c>
      <c r="G244" s="396"/>
      <c r="H244" s="397"/>
      <c r="I244" s="383">
        <v>893000</v>
      </c>
      <c r="J244" s="398">
        <v>139023</v>
      </c>
      <c r="K244" s="399" t="s">
        <v>71</v>
      </c>
      <c r="L244" s="399" t="s">
        <v>34</v>
      </c>
      <c r="M244" s="399">
        <v>200</v>
      </c>
      <c r="N244" s="356">
        <f>VLOOKUP(E244,[3]Sheet1!$A:$C,3,0)</f>
        <v>947000</v>
      </c>
      <c r="O244" s="28" t="b">
        <f t="shared" si="20"/>
        <v>0</v>
      </c>
    </row>
    <row r="245" spans="2:15" s="28" customFormat="1" ht="16.5" customHeight="1">
      <c r="B245" s="20"/>
      <c r="C245" s="20"/>
      <c r="D245" s="254"/>
      <c r="E245" s="379">
        <v>139026</v>
      </c>
      <c r="F245" s="395" t="s">
        <v>571</v>
      </c>
      <c r="G245" s="396"/>
      <c r="H245" s="397"/>
      <c r="I245" s="383">
        <v>670000</v>
      </c>
      <c r="J245" s="398">
        <v>139026</v>
      </c>
      <c r="K245" s="399" t="s">
        <v>71</v>
      </c>
      <c r="L245" s="399" t="s">
        <v>34</v>
      </c>
      <c r="M245" s="399">
        <v>200</v>
      </c>
      <c r="N245" s="356">
        <f>VLOOKUP(E245,[3]Sheet1!$A:$C,3,0)</f>
        <v>710000</v>
      </c>
      <c r="O245" s="28" t="b">
        <f t="shared" si="20"/>
        <v>0</v>
      </c>
    </row>
    <row r="246" spans="2:15" s="28" customFormat="1" ht="16.5" customHeight="1">
      <c r="B246" s="20"/>
      <c r="C246" s="20"/>
      <c r="D246" s="254"/>
      <c r="E246" s="379">
        <v>139027</v>
      </c>
      <c r="F246" s="395" t="s">
        <v>572</v>
      </c>
      <c r="G246" s="396"/>
      <c r="H246" s="397"/>
      <c r="I246" s="383">
        <v>749000</v>
      </c>
      <c r="J246" s="398">
        <v>139027</v>
      </c>
      <c r="K246" s="399" t="s">
        <v>71</v>
      </c>
      <c r="L246" s="399" t="s">
        <v>34</v>
      </c>
      <c r="M246" s="399">
        <v>200</v>
      </c>
      <c r="N246" s="356">
        <f>VLOOKUP(E246,[3]Sheet1!$A:$C,3,0)</f>
        <v>794000</v>
      </c>
      <c r="O246" s="28" t="b">
        <f t="shared" si="20"/>
        <v>0</v>
      </c>
    </row>
    <row r="247" spans="2:15" s="28" customFormat="1" ht="16.5" customHeight="1">
      <c r="B247" s="20"/>
      <c r="C247" s="20"/>
      <c r="D247" s="254"/>
      <c r="E247" s="379">
        <v>139028</v>
      </c>
      <c r="F247" s="395" t="s">
        <v>573</v>
      </c>
      <c r="G247" s="396"/>
      <c r="H247" s="397"/>
      <c r="I247" s="383">
        <v>893000</v>
      </c>
      <c r="J247" s="398">
        <v>139028</v>
      </c>
      <c r="K247" s="399" t="s">
        <v>71</v>
      </c>
      <c r="L247" s="399" t="s">
        <v>34</v>
      </c>
      <c r="M247" s="399">
        <v>200</v>
      </c>
      <c r="N247" s="356">
        <f>VLOOKUP(E247,[3]Sheet1!$A:$C,3,0)</f>
        <v>947000</v>
      </c>
      <c r="O247" s="28" t="b">
        <f t="shared" si="20"/>
        <v>0</v>
      </c>
    </row>
    <row r="248" spans="2:15" s="28" customFormat="1" ht="16.5" customHeight="1">
      <c r="B248" s="20"/>
      <c r="C248" s="20"/>
      <c r="D248" s="254"/>
      <c r="E248" s="379">
        <v>139029</v>
      </c>
      <c r="F248" s="395" t="s">
        <v>574</v>
      </c>
      <c r="G248" s="396"/>
      <c r="H248" s="397"/>
      <c r="I248" s="383">
        <v>535000</v>
      </c>
      <c r="J248" s="398">
        <v>139029</v>
      </c>
      <c r="K248" s="399" t="s">
        <v>71</v>
      </c>
      <c r="L248" s="399" t="s">
        <v>34</v>
      </c>
      <c r="M248" s="399">
        <v>200</v>
      </c>
      <c r="N248" s="356">
        <f>VLOOKUP(E248,[3]Sheet1!$A:$C,3,0)</f>
        <v>564000</v>
      </c>
      <c r="O248" s="28" t="b">
        <f t="shared" si="20"/>
        <v>0</v>
      </c>
    </row>
    <row r="249" spans="2:15" s="28" customFormat="1" ht="16.5" customHeight="1">
      <c r="B249" s="20"/>
      <c r="C249" s="20"/>
      <c r="D249" s="254"/>
      <c r="E249" s="379">
        <v>139030</v>
      </c>
      <c r="F249" s="395" t="s">
        <v>236</v>
      </c>
      <c r="G249" s="396"/>
      <c r="H249" s="397"/>
      <c r="I249" s="383">
        <v>54500</v>
      </c>
      <c r="J249" s="398">
        <v>139030</v>
      </c>
      <c r="K249" s="399" t="s">
        <v>70</v>
      </c>
      <c r="L249" s="399" t="s">
        <v>34</v>
      </c>
      <c r="M249" s="399">
        <v>20</v>
      </c>
      <c r="N249" s="356">
        <f>VLOOKUP(E249,[3]Sheet1!$A:$C,3,0)</f>
        <v>60500</v>
      </c>
      <c r="O249" s="28" t="b">
        <f t="shared" si="20"/>
        <v>0</v>
      </c>
    </row>
    <row r="250" spans="2:15" s="28" customFormat="1" ht="16.5" customHeight="1">
      <c r="B250" s="20"/>
      <c r="C250" s="20"/>
      <c r="D250" s="254"/>
      <c r="E250" s="379">
        <v>139032</v>
      </c>
      <c r="F250" s="395" t="s">
        <v>322</v>
      </c>
      <c r="G250" s="396"/>
      <c r="H250" s="397"/>
      <c r="I250" s="383">
        <v>371000</v>
      </c>
      <c r="J250" s="398">
        <v>139032</v>
      </c>
      <c r="K250" s="399" t="s">
        <v>70</v>
      </c>
      <c r="L250" s="399" t="s">
        <v>34</v>
      </c>
      <c r="M250" s="399">
        <v>20</v>
      </c>
      <c r="N250" s="356">
        <f>VLOOKUP(E250,[3]Sheet1!$A:$C,3,0)</f>
        <v>371000</v>
      </c>
      <c r="O250" s="28" t="b">
        <f t="shared" si="20"/>
        <v>1</v>
      </c>
    </row>
    <row r="251" spans="2:15" s="28" customFormat="1" ht="16.5" customHeight="1">
      <c r="B251" s="20"/>
      <c r="C251" s="20"/>
      <c r="D251" s="254"/>
      <c r="E251" s="379">
        <v>139033</v>
      </c>
      <c r="F251" s="395" t="s">
        <v>323</v>
      </c>
      <c r="G251" s="396"/>
      <c r="H251" s="397"/>
      <c r="I251" s="383">
        <v>392000</v>
      </c>
      <c r="J251" s="398">
        <v>139033</v>
      </c>
      <c r="K251" s="399" t="s">
        <v>70</v>
      </c>
      <c r="L251" s="399" t="s">
        <v>34</v>
      </c>
      <c r="M251" s="399">
        <v>20</v>
      </c>
      <c r="N251" s="356">
        <f>VLOOKUP(E251,[3]Sheet1!$A:$C,3,0)</f>
        <v>392000</v>
      </c>
      <c r="O251" s="28" t="b">
        <f t="shared" si="20"/>
        <v>1</v>
      </c>
    </row>
    <row r="252" spans="2:15" s="28" customFormat="1" ht="16.5" customHeight="1">
      <c r="B252" s="20"/>
      <c r="C252" s="20"/>
      <c r="D252" s="254"/>
      <c r="E252" s="379">
        <v>139036</v>
      </c>
      <c r="F252" s="395" t="s">
        <v>575</v>
      </c>
      <c r="G252" s="396"/>
      <c r="H252" s="397"/>
      <c r="I252" s="383">
        <v>649000</v>
      </c>
      <c r="J252" s="398">
        <v>139036</v>
      </c>
      <c r="K252" s="399" t="s">
        <v>71</v>
      </c>
      <c r="L252" s="399" t="s">
        <v>34</v>
      </c>
      <c r="M252" s="399">
        <v>200</v>
      </c>
      <c r="N252" s="356">
        <f>VLOOKUP(E252,[3]Sheet1!$A:$C,3,0)</f>
        <v>688000</v>
      </c>
      <c r="O252" s="28" t="b">
        <f t="shared" si="20"/>
        <v>0</v>
      </c>
    </row>
    <row r="253" spans="2:15" s="28" customFormat="1" ht="16.5" customHeight="1">
      <c r="B253" s="20"/>
      <c r="C253" s="20"/>
      <c r="D253" s="254"/>
      <c r="E253" s="379">
        <v>139037</v>
      </c>
      <c r="F253" s="395" t="s">
        <v>324</v>
      </c>
      <c r="G253" s="396"/>
      <c r="H253" s="397"/>
      <c r="I253" s="383">
        <v>82400</v>
      </c>
      <c r="J253" s="398">
        <v>139037</v>
      </c>
      <c r="K253" s="399" t="s">
        <v>70</v>
      </c>
      <c r="L253" s="399" t="s">
        <v>34</v>
      </c>
      <c r="M253" s="399">
        <v>20</v>
      </c>
      <c r="N253" s="356">
        <f>VLOOKUP(E253,[3]Sheet1!$A:$C,3,0)</f>
        <v>87300</v>
      </c>
      <c r="O253" s="28" t="b">
        <f t="shared" si="20"/>
        <v>0</v>
      </c>
    </row>
    <row r="254" spans="2:15" s="28" customFormat="1" ht="16.5" customHeight="1">
      <c r="B254" s="20"/>
      <c r="C254" s="20"/>
      <c r="D254" s="254"/>
      <c r="E254" s="379">
        <v>139038</v>
      </c>
      <c r="F254" s="395" t="s">
        <v>576</v>
      </c>
      <c r="G254" s="396"/>
      <c r="H254" s="397"/>
      <c r="I254" s="383">
        <v>746000</v>
      </c>
      <c r="J254" s="398">
        <v>139038</v>
      </c>
      <c r="K254" s="399" t="s">
        <v>71</v>
      </c>
      <c r="L254" s="399" t="s">
        <v>34</v>
      </c>
      <c r="M254" s="399">
        <v>200</v>
      </c>
      <c r="N254" s="356">
        <f>VLOOKUP(E254,[3]Sheet1!$A:$C,3,0)</f>
        <v>791000</v>
      </c>
      <c r="O254" s="28" t="b">
        <f t="shared" si="20"/>
        <v>0</v>
      </c>
    </row>
    <row r="255" spans="2:15" s="28" customFormat="1" ht="16.5" customHeight="1">
      <c r="B255" s="20"/>
      <c r="C255" s="20"/>
      <c r="D255" s="254"/>
      <c r="E255" s="379">
        <v>139040</v>
      </c>
      <c r="F255" s="395" t="s">
        <v>577</v>
      </c>
      <c r="G255" s="396"/>
      <c r="H255" s="397"/>
      <c r="I255" s="383">
        <v>575000</v>
      </c>
      <c r="J255" s="398">
        <v>139040</v>
      </c>
      <c r="K255" s="399" t="s">
        <v>71</v>
      </c>
      <c r="L255" s="399" t="s">
        <v>34</v>
      </c>
      <c r="M255" s="399">
        <v>200</v>
      </c>
      <c r="N255" s="356">
        <f>VLOOKUP(E255,[3]Sheet1!$A:$C,3,0)</f>
        <v>610000</v>
      </c>
      <c r="O255" s="28" t="b">
        <f t="shared" si="20"/>
        <v>0</v>
      </c>
    </row>
    <row r="256" spans="2:15" s="28" customFormat="1" ht="16.5" customHeight="1">
      <c r="B256" s="20"/>
      <c r="C256" s="20"/>
      <c r="D256" s="254"/>
      <c r="E256" s="379">
        <v>139041</v>
      </c>
      <c r="F256" s="395" t="s">
        <v>325</v>
      </c>
      <c r="G256" s="396"/>
      <c r="H256" s="397"/>
      <c r="I256" s="383">
        <v>61300</v>
      </c>
      <c r="J256" s="398">
        <v>139041</v>
      </c>
      <c r="K256" s="399" t="s">
        <v>70</v>
      </c>
      <c r="L256" s="399" t="s">
        <v>34</v>
      </c>
      <c r="M256" s="399">
        <v>20</v>
      </c>
      <c r="N256" s="356">
        <f>VLOOKUP(E256,[3]Sheet1!$A:$C,3,0)</f>
        <v>65000</v>
      </c>
      <c r="O256" s="28" t="b">
        <f t="shared" si="20"/>
        <v>0</v>
      </c>
    </row>
    <row r="257" spans="2:15" s="28" customFormat="1" ht="16.5" customHeight="1">
      <c r="B257" s="20"/>
      <c r="C257" s="20"/>
      <c r="D257" s="254"/>
      <c r="E257" s="379">
        <v>139042</v>
      </c>
      <c r="F257" s="395" t="s">
        <v>578</v>
      </c>
      <c r="G257" s="396"/>
      <c r="H257" s="397"/>
      <c r="I257" s="383">
        <v>575000</v>
      </c>
      <c r="J257" s="398">
        <v>139042</v>
      </c>
      <c r="K257" s="399" t="s">
        <v>71</v>
      </c>
      <c r="L257" s="399" t="s">
        <v>34</v>
      </c>
      <c r="M257" s="399">
        <v>200</v>
      </c>
      <c r="N257" s="356">
        <f>VLOOKUP(E257,[3]Sheet1!$A:$C,3,0)</f>
        <v>610000</v>
      </c>
      <c r="O257" s="28" t="b">
        <f t="shared" si="20"/>
        <v>0</v>
      </c>
    </row>
    <row r="258" spans="2:15" s="28" customFormat="1" ht="16.5" customHeight="1">
      <c r="B258" s="20"/>
      <c r="C258" s="20"/>
      <c r="D258" s="254"/>
      <c r="E258" s="379">
        <v>139043</v>
      </c>
      <c r="F258" s="395" t="s">
        <v>326</v>
      </c>
      <c r="G258" s="396"/>
      <c r="H258" s="397"/>
      <c r="I258" s="383">
        <v>100000</v>
      </c>
      <c r="J258" s="398">
        <v>139043</v>
      </c>
      <c r="K258" s="399" t="s">
        <v>70</v>
      </c>
      <c r="L258" s="399" t="s">
        <v>34</v>
      </c>
      <c r="M258" s="399">
        <v>20</v>
      </c>
      <c r="N258" s="356">
        <f>VLOOKUP(E258,[3]Sheet1!$A:$C,3,0)</f>
        <v>106000</v>
      </c>
      <c r="O258" s="28" t="b">
        <f t="shared" si="20"/>
        <v>0</v>
      </c>
    </row>
    <row r="259" spans="2:15" s="28" customFormat="1" ht="16.5" customHeight="1">
      <c r="B259" s="20"/>
      <c r="C259" s="20"/>
      <c r="D259" s="254"/>
      <c r="E259" s="379">
        <v>139044</v>
      </c>
      <c r="F259" s="395" t="s">
        <v>579</v>
      </c>
      <c r="G259" s="396"/>
      <c r="H259" s="397"/>
      <c r="I259" s="383">
        <v>960000</v>
      </c>
      <c r="J259" s="398">
        <v>139044</v>
      </c>
      <c r="K259" s="399" t="s">
        <v>71</v>
      </c>
      <c r="L259" s="399" t="s">
        <v>34</v>
      </c>
      <c r="M259" s="399">
        <v>200</v>
      </c>
      <c r="N259" s="356">
        <f>VLOOKUP(E259,[3]Sheet1!$A:$C,3,0)</f>
        <v>1018000</v>
      </c>
      <c r="O259" s="28" t="b">
        <f t="shared" si="20"/>
        <v>0</v>
      </c>
    </row>
    <row r="260" spans="2:15" s="28" customFormat="1" ht="16.5" customHeight="1">
      <c r="B260" s="20"/>
      <c r="C260" s="20"/>
      <c r="D260" s="254"/>
      <c r="E260" s="379">
        <v>139045</v>
      </c>
      <c r="F260" s="395" t="s">
        <v>327</v>
      </c>
      <c r="G260" s="396"/>
      <c r="H260" s="397"/>
      <c r="I260" s="383">
        <v>100000</v>
      </c>
      <c r="J260" s="398">
        <v>139045</v>
      </c>
      <c r="K260" s="399" t="s">
        <v>70</v>
      </c>
      <c r="L260" s="399" t="s">
        <v>34</v>
      </c>
      <c r="M260" s="399">
        <v>20</v>
      </c>
      <c r="N260" s="356">
        <f>VLOOKUP(E260,[3]Sheet1!$A:$C,3,0)</f>
        <v>106000</v>
      </c>
      <c r="O260" s="28" t="b">
        <f t="shared" si="20"/>
        <v>0</v>
      </c>
    </row>
    <row r="261" spans="2:15" s="28" customFormat="1" ht="16.5" customHeight="1">
      <c r="B261" s="20"/>
      <c r="C261" s="20"/>
      <c r="D261" s="254"/>
      <c r="E261" s="379">
        <v>139048</v>
      </c>
      <c r="F261" s="395" t="s">
        <v>328</v>
      </c>
      <c r="G261" s="396"/>
      <c r="H261" s="397"/>
      <c r="I261" s="383">
        <v>166000</v>
      </c>
      <c r="J261" s="398">
        <v>139048</v>
      </c>
      <c r="K261" s="399" t="s">
        <v>70</v>
      </c>
      <c r="L261" s="399" t="s">
        <v>34</v>
      </c>
      <c r="M261" s="399">
        <v>20</v>
      </c>
      <c r="N261" s="356">
        <f>VLOOKUP(E261,[3]Sheet1!$A:$C,3,0)</f>
        <v>176000</v>
      </c>
      <c r="O261" s="28" t="b">
        <f t="shared" ref="O261:O324" si="21">I261=N261</f>
        <v>0</v>
      </c>
    </row>
    <row r="262" spans="2:15" s="28" customFormat="1" ht="16.5" customHeight="1">
      <c r="B262" s="20"/>
      <c r="C262" s="20"/>
      <c r="D262" s="254"/>
      <c r="E262" s="379">
        <v>139049</v>
      </c>
      <c r="F262" s="395" t="s">
        <v>329</v>
      </c>
      <c r="G262" s="396"/>
      <c r="H262" s="397"/>
      <c r="I262" s="383">
        <v>146000</v>
      </c>
      <c r="J262" s="398">
        <v>139049</v>
      </c>
      <c r="K262" s="399" t="s">
        <v>70</v>
      </c>
      <c r="L262" s="399" t="s">
        <v>34</v>
      </c>
      <c r="M262" s="399">
        <v>20</v>
      </c>
      <c r="N262" s="356">
        <f>VLOOKUP(E262,[3]Sheet1!$A:$C,3,0)</f>
        <v>155000</v>
      </c>
      <c r="O262" s="28" t="b">
        <f t="shared" si="21"/>
        <v>0</v>
      </c>
    </row>
    <row r="263" spans="2:15" s="28" customFormat="1" ht="16.5" customHeight="1">
      <c r="B263" s="20"/>
      <c r="C263" s="20"/>
      <c r="D263" s="254"/>
      <c r="E263" s="379">
        <v>139050</v>
      </c>
      <c r="F263" s="395" t="s">
        <v>330</v>
      </c>
      <c r="G263" s="396"/>
      <c r="H263" s="397"/>
      <c r="I263" s="383"/>
      <c r="J263" s="398">
        <v>139050</v>
      </c>
      <c r="K263" s="399" t="s">
        <v>70</v>
      </c>
      <c r="L263" s="399" t="s">
        <v>34</v>
      </c>
      <c r="M263" s="399">
        <v>20</v>
      </c>
      <c r="N263" s="356" t="e">
        <f>VLOOKUP(E263,[3]Sheet1!$A:$C,3,0)</f>
        <v>#N/A</v>
      </c>
      <c r="O263" s="28" t="e">
        <f t="shared" si="21"/>
        <v>#N/A</v>
      </c>
    </row>
    <row r="264" spans="2:15" s="28" customFormat="1" ht="16.5" customHeight="1">
      <c r="B264" s="20"/>
      <c r="C264" s="20"/>
      <c r="D264" s="254"/>
      <c r="E264" s="379">
        <v>139051</v>
      </c>
      <c r="F264" s="395" t="s">
        <v>331</v>
      </c>
      <c r="G264" s="396"/>
      <c r="H264" s="397"/>
      <c r="I264" s="383">
        <v>169000</v>
      </c>
      <c r="J264" s="398">
        <v>139051</v>
      </c>
      <c r="K264" s="399" t="s">
        <v>70</v>
      </c>
      <c r="L264" s="399" t="s">
        <v>34</v>
      </c>
      <c r="M264" s="399">
        <v>18.899999999999999</v>
      </c>
      <c r="N264" s="356">
        <f>VLOOKUP(E264,[3]Sheet1!$A:$C,3,0)</f>
        <v>179000</v>
      </c>
      <c r="O264" s="28" t="b">
        <f t="shared" si="21"/>
        <v>0</v>
      </c>
    </row>
    <row r="265" spans="2:15" s="28" customFormat="1" ht="16.5" customHeight="1">
      <c r="B265" s="20"/>
      <c r="C265" s="20"/>
      <c r="D265" s="254"/>
      <c r="E265" s="379">
        <v>139052</v>
      </c>
      <c r="F265" s="395" t="s">
        <v>582</v>
      </c>
      <c r="G265" s="396"/>
      <c r="H265" s="397"/>
      <c r="I265" s="383"/>
      <c r="J265" s="398">
        <v>139052</v>
      </c>
      <c r="K265" s="399" t="s">
        <v>71</v>
      </c>
      <c r="L265" s="399" t="s">
        <v>34</v>
      </c>
      <c r="M265" s="399">
        <v>200</v>
      </c>
      <c r="N265" s="356" t="e">
        <f>VLOOKUP(E265,[3]Sheet1!$A:$C,3,0)</f>
        <v>#N/A</v>
      </c>
      <c r="O265" s="28" t="e">
        <f t="shared" si="21"/>
        <v>#N/A</v>
      </c>
    </row>
    <row r="266" spans="2:15" s="28" customFormat="1" ht="16.5" customHeight="1">
      <c r="B266" s="20"/>
      <c r="C266" s="20"/>
      <c r="D266" s="254"/>
      <c r="E266" s="379">
        <v>139057</v>
      </c>
      <c r="F266" s="395" t="s">
        <v>583</v>
      </c>
      <c r="G266" s="396"/>
      <c r="H266" s="397"/>
      <c r="I266" s="383">
        <v>721000</v>
      </c>
      <c r="J266" s="398">
        <v>139057</v>
      </c>
      <c r="K266" s="399" t="s">
        <v>71</v>
      </c>
      <c r="L266" s="399" t="s">
        <v>34</v>
      </c>
      <c r="M266" s="399">
        <v>200</v>
      </c>
      <c r="N266" s="356">
        <f>VLOOKUP(E266,[3]Sheet1!$A:$C,3,0)</f>
        <v>764000</v>
      </c>
      <c r="O266" s="28" t="b">
        <f t="shared" si="21"/>
        <v>0</v>
      </c>
    </row>
    <row r="267" spans="2:15" s="28" customFormat="1" ht="16.5" customHeight="1">
      <c r="B267" s="20"/>
      <c r="C267" s="20"/>
      <c r="D267" s="254"/>
      <c r="E267" s="379">
        <v>139058</v>
      </c>
      <c r="F267" s="395" t="s">
        <v>584</v>
      </c>
      <c r="G267" s="396"/>
      <c r="H267" s="397"/>
      <c r="I267" s="383">
        <v>893000</v>
      </c>
      <c r="J267" s="398">
        <v>139058</v>
      </c>
      <c r="K267" s="399" t="s">
        <v>71</v>
      </c>
      <c r="L267" s="399" t="s">
        <v>34</v>
      </c>
      <c r="M267" s="399">
        <v>200</v>
      </c>
      <c r="N267" s="356">
        <f>VLOOKUP(E267,[3]Sheet1!$A:$C,3,0)</f>
        <v>947000</v>
      </c>
      <c r="O267" s="28" t="b">
        <f t="shared" si="21"/>
        <v>0</v>
      </c>
    </row>
    <row r="268" spans="2:15" s="28" customFormat="1" ht="16.5" customHeight="1">
      <c r="B268" s="20"/>
      <c r="C268" s="20"/>
      <c r="D268" s="254"/>
      <c r="E268" s="379">
        <v>139059</v>
      </c>
      <c r="F268" s="395" t="s">
        <v>585</v>
      </c>
      <c r="G268" s="396"/>
      <c r="H268" s="397"/>
      <c r="I268" s="383">
        <v>691000</v>
      </c>
      <c r="J268" s="398">
        <v>139059</v>
      </c>
      <c r="K268" s="399" t="s">
        <v>71</v>
      </c>
      <c r="L268" s="399" t="s">
        <v>34</v>
      </c>
      <c r="M268" s="399">
        <v>200</v>
      </c>
      <c r="N268" s="356">
        <f>VLOOKUP(E268,[3]Sheet1!$A:$C,3,0)</f>
        <v>732000</v>
      </c>
      <c r="O268" s="28" t="b">
        <f t="shared" si="21"/>
        <v>0</v>
      </c>
    </row>
    <row r="269" spans="2:15" s="28" customFormat="1" ht="16.5" customHeight="1">
      <c r="B269" s="20"/>
      <c r="C269" s="20"/>
      <c r="D269" s="254"/>
      <c r="E269" s="379">
        <v>139061</v>
      </c>
      <c r="F269" s="395" t="s">
        <v>242</v>
      </c>
      <c r="G269" s="396"/>
      <c r="H269" s="397"/>
      <c r="I269" s="383">
        <v>83600</v>
      </c>
      <c r="J269" s="398">
        <v>139061</v>
      </c>
      <c r="K269" s="399" t="s">
        <v>70</v>
      </c>
      <c r="L269" s="399" t="s">
        <v>34</v>
      </c>
      <c r="M269" s="399">
        <v>20</v>
      </c>
      <c r="N269" s="356">
        <f>VLOOKUP(E269,[3]Sheet1!$A:$C,3,0)</f>
        <v>88600</v>
      </c>
      <c r="O269" s="28" t="b">
        <f t="shared" si="21"/>
        <v>0</v>
      </c>
    </row>
    <row r="270" spans="2:15" s="28" customFormat="1" ht="16.5" customHeight="1">
      <c r="B270" s="20"/>
      <c r="C270" s="20"/>
      <c r="D270" s="254"/>
      <c r="E270" s="379">
        <v>139062</v>
      </c>
      <c r="F270" s="395" t="s">
        <v>586</v>
      </c>
      <c r="G270" s="396"/>
      <c r="H270" s="397"/>
      <c r="I270" s="383">
        <v>687000</v>
      </c>
      <c r="J270" s="398">
        <v>139062</v>
      </c>
      <c r="K270" s="399" t="s">
        <v>71</v>
      </c>
      <c r="L270" s="399" t="s">
        <v>34</v>
      </c>
      <c r="M270" s="399">
        <v>200</v>
      </c>
      <c r="N270" s="356">
        <f>VLOOKUP(E270,[3]Sheet1!$A:$C,3,0)</f>
        <v>728000</v>
      </c>
      <c r="O270" s="28" t="b">
        <f t="shared" si="21"/>
        <v>0</v>
      </c>
    </row>
    <row r="271" spans="2:15" s="28" customFormat="1" ht="16.5" customHeight="1">
      <c r="B271" s="20"/>
      <c r="C271" s="20"/>
      <c r="D271" s="254"/>
      <c r="E271" s="379">
        <v>139063</v>
      </c>
      <c r="F271" s="395" t="s">
        <v>587</v>
      </c>
      <c r="G271" s="396"/>
      <c r="H271" s="397"/>
      <c r="I271" s="383">
        <v>670000</v>
      </c>
      <c r="J271" s="398">
        <v>139063</v>
      </c>
      <c r="K271" s="399" t="s">
        <v>71</v>
      </c>
      <c r="L271" s="399" t="s">
        <v>34</v>
      </c>
      <c r="M271" s="399">
        <v>200</v>
      </c>
      <c r="N271" s="356">
        <f>VLOOKUP(E271,[3]Sheet1!$A:$C,3,0)</f>
        <v>710000</v>
      </c>
      <c r="O271" s="28" t="b">
        <f t="shared" si="21"/>
        <v>0</v>
      </c>
    </row>
    <row r="272" spans="2:15" s="28" customFormat="1" ht="16.5" customHeight="1">
      <c r="B272" s="20"/>
      <c r="C272" s="20"/>
      <c r="D272" s="254"/>
      <c r="E272" s="379">
        <v>139064</v>
      </c>
      <c r="F272" s="395" t="s">
        <v>233</v>
      </c>
      <c r="G272" s="396"/>
      <c r="H272" s="397"/>
      <c r="I272" s="383">
        <v>66400</v>
      </c>
      <c r="J272" s="398">
        <v>139064</v>
      </c>
      <c r="K272" s="399" t="s">
        <v>70</v>
      </c>
      <c r="L272" s="399" t="s">
        <v>34</v>
      </c>
      <c r="M272" s="399">
        <v>20</v>
      </c>
      <c r="N272" s="356">
        <f>VLOOKUP(E272,[3]Sheet1!$A:$C,3,0)</f>
        <v>70400</v>
      </c>
      <c r="O272" s="28" t="b">
        <f t="shared" si="21"/>
        <v>0</v>
      </c>
    </row>
    <row r="273" spans="2:15" s="28" customFormat="1" ht="16.5" customHeight="1">
      <c r="B273" s="20"/>
      <c r="C273" s="20"/>
      <c r="D273" s="254"/>
      <c r="E273" s="379">
        <v>139065</v>
      </c>
      <c r="F273" s="395" t="s">
        <v>588</v>
      </c>
      <c r="G273" s="396"/>
      <c r="H273" s="397"/>
      <c r="I273" s="383">
        <v>685000</v>
      </c>
      <c r="J273" s="398">
        <v>139065</v>
      </c>
      <c r="K273" s="399" t="s">
        <v>71</v>
      </c>
      <c r="L273" s="399" t="s">
        <v>34</v>
      </c>
      <c r="M273" s="399">
        <v>200</v>
      </c>
      <c r="N273" s="356">
        <f>VLOOKUP(E273,[3]Sheet1!$A:$C,3,0)</f>
        <v>726000</v>
      </c>
      <c r="O273" s="28" t="b">
        <f t="shared" si="21"/>
        <v>0</v>
      </c>
    </row>
    <row r="274" spans="2:15" s="28" customFormat="1" ht="16.5" customHeight="1">
      <c r="B274" s="20"/>
      <c r="C274" s="20"/>
      <c r="D274" s="254"/>
      <c r="E274" s="379">
        <v>139066</v>
      </c>
      <c r="F274" s="395" t="s">
        <v>332</v>
      </c>
      <c r="G274" s="396"/>
      <c r="H274" s="397"/>
      <c r="I274" s="383">
        <v>69100</v>
      </c>
      <c r="J274" s="398">
        <v>139066</v>
      </c>
      <c r="K274" s="399" t="s">
        <v>70</v>
      </c>
      <c r="L274" s="399" t="s">
        <v>34</v>
      </c>
      <c r="M274" s="399">
        <v>20</v>
      </c>
      <c r="N274" s="356">
        <f>VLOOKUP(E274,[3]Sheet1!$A:$C,3,0)</f>
        <v>73200</v>
      </c>
      <c r="O274" s="28" t="b">
        <f t="shared" si="21"/>
        <v>0</v>
      </c>
    </row>
    <row r="275" spans="2:15" s="28" customFormat="1" ht="16.5" customHeight="1">
      <c r="B275" s="20"/>
      <c r="C275" s="20"/>
      <c r="D275" s="254"/>
      <c r="E275" s="379">
        <v>139067</v>
      </c>
      <c r="F275" s="395" t="s">
        <v>333</v>
      </c>
      <c r="G275" s="396"/>
      <c r="H275" s="397"/>
      <c r="I275" s="383"/>
      <c r="J275" s="398">
        <v>139067</v>
      </c>
      <c r="K275" s="399" t="s">
        <v>70</v>
      </c>
      <c r="L275" s="399" t="s">
        <v>34</v>
      </c>
      <c r="M275" s="399">
        <v>18.899999999999999</v>
      </c>
      <c r="N275" s="356" t="e">
        <f>VLOOKUP(E275,[3]Sheet1!$A:$C,3,0)</f>
        <v>#N/A</v>
      </c>
      <c r="O275" s="28" t="e">
        <f t="shared" si="21"/>
        <v>#N/A</v>
      </c>
    </row>
    <row r="276" spans="2:15" s="28" customFormat="1" ht="16.5" customHeight="1">
      <c r="B276" s="20"/>
      <c r="C276" s="20"/>
      <c r="D276" s="254"/>
      <c r="E276" s="379">
        <v>139068</v>
      </c>
      <c r="F276" s="395" t="s">
        <v>589</v>
      </c>
      <c r="G276" s="396"/>
      <c r="H276" s="397"/>
      <c r="I276" s="383">
        <v>4688000</v>
      </c>
      <c r="J276" s="398">
        <v>139068</v>
      </c>
      <c r="K276" s="399" t="s">
        <v>71</v>
      </c>
      <c r="L276" s="399" t="s">
        <v>34</v>
      </c>
      <c r="M276" s="399">
        <v>208</v>
      </c>
      <c r="N276" s="356">
        <f>VLOOKUP(E276,[3]Sheet1!$A:$C,3,0)</f>
        <v>4688000</v>
      </c>
      <c r="O276" s="28" t="b">
        <f t="shared" si="21"/>
        <v>1</v>
      </c>
    </row>
    <row r="277" spans="2:15" s="28" customFormat="1" ht="16.5" customHeight="1">
      <c r="B277" s="20"/>
      <c r="C277" s="20"/>
      <c r="D277" s="254"/>
      <c r="E277" s="379">
        <v>139069</v>
      </c>
      <c r="F277" s="395" t="s">
        <v>334</v>
      </c>
      <c r="G277" s="396"/>
      <c r="H277" s="397"/>
      <c r="I277" s="383">
        <v>296000</v>
      </c>
      <c r="J277" s="398">
        <v>139069</v>
      </c>
      <c r="K277" s="399" t="s">
        <v>70</v>
      </c>
      <c r="L277" s="399" t="s">
        <v>34</v>
      </c>
      <c r="M277" s="399">
        <v>20</v>
      </c>
      <c r="N277" s="356">
        <f>VLOOKUP(E277,[3]Sheet1!$A:$C,3,0)</f>
        <v>296000</v>
      </c>
      <c r="O277" s="28" t="b">
        <f t="shared" si="21"/>
        <v>1</v>
      </c>
    </row>
    <row r="278" spans="2:15" s="28" customFormat="1" ht="16.5" customHeight="1">
      <c r="B278" s="20"/>
      <c r="C278" s="20"/>
      <c r="D278" s="254"/>
      <c r="E278" s="379">
        <v>139070</v>
      </c>
      <c r="F278" s="395" t="s">
        <v>335</v>
      </c>
      <c r="G278" s="396"/>
      <c r="H278" s="397"/>
      <c r="I278" s="383">
        <v>318000</v>
      </c>
      <c r="J278" s="398">
        <v>139070</v>
      </c>
      <c r="K278" s="399" t="s">
        <v>70</v>
      </c>
      <c r="L278" s="399" t="s">
        <v>34</v>
      </c>
      <c r="M278" s="399">
        <v>20</v>
      </c>
      <c r="N278" s="356">
        <f>VLOOKUP(E278,[3]Sheet1!$A:$C,3,0)</f>
        <v>318000</v>
      </c>
      <c r="O278" s="28" t="b">
        <f t="shared" si="21"/>
        <v>1</v>
      </c>
    </row>
    <row r="279" spans="2:15" s="28" customFormat="1" ht="16.5" customHeight="1">
      <c r="B279" s="20"/>
      <c r="C279" s="20"/>
      <c r="D279" s="254"/>
      <c r="E279" s="379">
        <v>139071</v>
      </c>
      <c r="F279" s="395" t="s">
        <v>590</v>
      </c>
      <c r="G279" s="396"/>
      <c r="H279" s="397"/>
      <c r="I279" s="383">
        <v>746000</v>
      </c>
      <c r="J279" s="398">
        <v>139071</v>
      </c>
      <c r="K279" s="399" t="s">
        <v>71</v>
      </c>
      <c r="L279" s="399" t="s">
        <v>34</v>
      </c>
      <c r="M279" s="399">
        <v>200</v>
      </c>
      <c r="N279" s="356">
        <f>VLOOKUP(E279,[3]Sheet1!$A:$C,3,0)</f>
        <v>791000</v>
      </c>
      <c r="O279" s="28" t="b">
        <f t="shared" si="21"/>
        <v>0</v>
      </c>
    </row>
    <row r="280" spans="2:15" s="28" customFormat="1" ht="16.5" customHeight="1">
      <c r="B280" s="20"/>
      <c r="C280" s="20"/>
      <c r="D280" s="254"/>
      <c r="E280" s="379">
        <v>139074</v>
      </c>
      <c r="F280" s="395" t="s">
        <v>591</v>
      </c>
      <c r="G280" s="396"/>
      <c r="H280" s="397"/>
      <c r="I280" s="383">
        <v>746000</v>
      </c>
      <c r="J280" s="398">
        <v>139074</v>
      </c>
      <c r="K280" s="399" t="s">
        <v>71</v>
      </c>
      <c r="L280" s="399" t="s">
        <v>34</v>
      </c>
      <c r="M280" s="399">
        <v>200</v>
      </c>
      <c r="N280" s="356">
        <f>VLOOKUP(E280,[3]Sheet1!$A:$C,3,0)</f>
        <v>791000</v>
      </c>
      <c r="O280" s="28" t="b">
        <f t="shared" si="21"/>
        <v>0</v>
      </c>
    </row>
    <row r="281" spans="2:15" s="28" customFormat="1" ht="16.5" customHeight="1">
      <c r="B281" s="20"/>
      <c r="C281" s="20"/>
      <c r="D281" s="254"/>
      <c r="E281" s="379">
        <v>139075</v>
      </c>
      <c r="F281" s="395" t="s">
        <v>592</v>
      </c>
      <c r="G281" s="396"/>
      <c r="H281" s="397"/>
      <c r="I281" s="383">
        <v>746000</v>
      </c>
      <c r="J281" s="398">
        <v>139075</v>
      </c>
      <c r="K281" s="399" t="s">
        <v>71</v>
      </c>
      <c r="L281" s="399" t="s">
        <v>34</v>
      </c>
      <c r="M281" s="399">
        <v>200</v>
      </c>
      <c r="N281" s="356">
        <f>VLOOKUP(E281,[3]Sheet1!$A:$C,3,0)</f>
        <v>791000</v>
      </c>
      <c r="O281" s="28" t="b">
        <f t="shared" si="21"/>
        <v>0</v>
      </c>
    </row>
    <row r="282" spans="2:15" s="28" customFormat="1" ht="16.5" customHeight="1">
      <c r="B282" s="20"/>
      <c r="C282" s="20"/>
      <c r="D282" s="254"/>
      <c r="E282" s="379">
        <v>135303</v>
      </c>
      <c r="F282" s="395" t="s">
        <v>336</v>
      </c>
      <c r="G282" s="396"/>
      <c r="H282" s="397"/>
      <c r="I282" s="383">
        <v>370000</v>
      </c>
      <c r="J282" s="398">
        <v>135303</v>
      </c>
      <c r="K282" s="399" t="s">
        <v>70</v>
      </c>
      <c r="L282" s="399" t="s">
        <v>34</v>
      </c>
      <c r="M282" s="399">
        <v>20</v>
      </c>
      <c r="N282" s="356" t="e">
        <f>VLOOKUP(E282,[3]Sheet1!$A:$C,3,0)</f>
        <v>#N/A</v>
      </c>
      <c r="O282" s="28" t="e">
        <f t="shared" si="21"/>
        <v>#N/A</v>
      </c>
    </row>
    <row r="283" spans="2:15" s="28" customFormat="1" ht="16.5" customHeight="1">
      <c r="B283" s="20"/>
      <c r="C283" s="20"/>
      <c r="D283" s="254"/>
      <c r="E283" s="379">
        <v>139080</v>
      </c>
      <c r="F283" s="395" t="s">
        <v>337</v>
      </c>
      <c r="G283" s="396"/>
      <c r="H283" s="397"/>
      <c r="I283" s="383">
        <v>300000</v>
      </c>
      <c r="J283" s="398">
        <v>139080</v>
      </c>
      <c r="K283" s="399" t="s">
        <v>70</v>
      </c>
      <c r="L283" s="399" t="s">
        <v>34</v>
      </c>
      <c r="M283" s="399">
        <v>20</v>
      </c>
      <c r="N283" s="356">
        <f>VLOOKUP(E283,[3]Sheet1!$A:$C,3,0)</f>
        <v>300000</v>
      </c>
      <c r="O283" s="28" t="b">
        <f t="shared" si="21"/>
        <v>1</v>
      </c>
    </row>
    <row r="284" spans="2:15" s="28" customFormat="1" ht="16.5" customHeight="1">
      <c r="B284" s="20"/>
      <c r="C284" s="20"/>
      <c r="D284" s="254"/>
      <c r="E284" s="379">
        <v>139082</v>
      </c>
      <c r="F284" s="395" t="s">
        <v>338</v>
      </c>
      <c r="G284" s="396"/>
      <c r="H284" s="397"/>
      <c r="I284" s="383">
        <v>366000</v>
      </c>
      <c r="J284" s="398">
        <v>139082</v>
      </c>
      <c r="K284" s="399" t="s">
        <v>70</v>
      </c>
      <c r="L284" s="399" t="s">
        <v>34</v>
      </c>
      <c r="M284" s="399">
        <v>20</v>
      </c>
      <c r="N284" s="356">
        <f>VLOOKUP(E284,[3]Sheet1!$A:$C,3,0)</f>
        <v>366000</v>
      </c>
      <c r="O284" s="28" t="b">
        <f t="shared" si="21"/>
        <v>1</v>
      </c>
    </row>
    <row r="285" spans="2:15" s="28" customFormat="1" ht="16.5" customHeight="1">
      <c r="B285" s="20"/>
      <c r="C285" s="20"/>
      <c r="D285" s="254"/>
      <c r="E285" s="379">
        <v>139084</v>
      </c>
      <c r="F285" s="395" t="s">
        <v>243</v>
      </c>
      <c r="G285" s="401"/>
      <c r="H285" s="402"/>
      <c r="I285" s="383">
        <v>58600</v>
      </c>
      <c r="J285" s="399">
        <v>139084</v>
      </c>
      <c r="K285" s="399" t="s">
        <v>70</v>
      </c>
      <c r="L285" s="399" t="s">
        <v>34</v>
      </c>
      <c r="M285" s="399">
        <v>20</v>
      </c>
      <c r="N285" s="356">
        <f>VLOOKUP(E285,[3]Sheet1!$A:$C,3,0)</f>
        <v>61500</v>
      </c>
      <c r="O285" s="28" t="b">
        <f t="shared" si="21"/>
        <v>0</v>
      </c>
    </row>
    <row r="286" spans="2:15" s="28" customFormat="1" ht="16.5" customHeight="1">
      <c r="B286" s="20"/>
      <c r="C286" s="20"/>
      <c r="D286" s="254"/>
      <c r="E286" s="379">
        <v>139085</v>
      </c>
      <c r="F286" s="395" t="s">
        <v>593</v>
      </c>
      <c r="G286" s="401"/>
      <c r="H286" s="402"/>
      <c r="I286" s="383">
        <v>535000</v>
      </c>
      <c r="J286" s="398">
        <v>139085</v>
      </c>
      <c r="K286" s="399" t="s">
        <v>71</v>
      </c>
      <c r="L286" s="399" t="s">
        <v>34</v>
      </c>
      <c r="M286" s="399">
        <v>200</v>
      </c>
      <c r="N286" s="356">
        <f>VLOOKUP(E286,[3]Sheet1!$A:$C,3,0)</f>
        <v>564000</v>
      </c>
      <c r="O286" s="28" t="b">
        <f t="shared" si="21"/>
        <v>0</v>
      </c>
    </row>
    <row r="287" spans="2:15" s="28" customFormat="1" ht="16.5" customHeight="1">
      <c r="B287" s="20"/>
      <c r="C287" s="20"/>
      <c r="D287" s="254"/>
      <c r="E287" s="379">
        <v>139086</v>
      </c>
      <c r="F287" s="395" t="s">
        <v>226</v>
      </c>
      <c r="G287" s="401"/>
      <c r="H287" s="402"/>
      <c r="I287" s="383">
        <v>54500</v>
      </c>
      <c r="J287" s="398">
        <v>139086</v>
      </c>
      <c r="K287" s="399" t="s">
        <v>70</v>
      </c>
      <c r="L287" s="399" t="s">
        <v>34</v>
      </c>
      <c r="M287" s="399">
        <v>20</v>
      </c>
      <c r="N287" s="356">
        <f>VLOOKUP(E287,[3]Sheet1!$A:$C,3,0)</f>
        <v>60500</v>
      </c>
      <c r="O287" s="28" t="b">
        <f t="shared" si="21"/>
        <v>0</v>
      </c>
    </row>
    <row r="288" spans="2:15" s="28" customFormat="1" ht="16.5" customHeight="1">
      <c r="B288" s="20"/>
      <c r="C288" s="20"/>
      <c r="D288" s="254"/>
      <c r="E288" s="379">
        <v>139087</v>
      </c>
      <c r="F288" s="395" t="s">
        <v>594</v>
      </c>
      <c r="G288" s="401"/>
      <c r="H288" s="402"/>
      <c r="I288" s="383">
        <v>547000</v>
      </c>
      <c r="J288" s="398">
        <v>139087</v>
      </c>
      <c r="K288" s="399" t="s">
        <v>71</v>
      </c>
      <c r="L288" s="399" t="s">
        <v>34</v>
      </c>
      <c r="M288" s="399">
        <v>200</v>
      </c>
      <c r="N288" s="356">
        <f>VLOOKUP(E288,[3]Sheet1!$A:$C,3,0)</f>
        <v>574000</v>
      </c>
      <c r="O288" s="28" t="b">
        <f t="shared" si="21"/>
        <v>0</v>
      </c>
    </row>
    <row r="289" spans="2:15" s="28" customFormat="1" ht="16.5" customHeight="1">
      <c r="B289" s="20"/>
      <c r="C289" s="20"/>
      <c r="D289" s="254"/>
      <c r="E289" s="379">
        <v>139088</v>
      </c>
      <c r="F289" s="395" t="s">
        <v>234</v>
      </c>
      <c r="G289" s="401"/>
      <c r="H289" s="402"/>
      <c r="I289" s="383">
        <v>58600</v>
      </c>
      <c r="J289" s="398">
        <v>139088</v>
      </c>
      <c r="K289" s="399" t="s">
        <v>70</v>
      </c>
      <c r="L289" s="399" t="s">
        <v>34</v>
      </c>
      <c r="M289" s="399">
        <v>20</v>
      </c>
      <c r="N289" s="356">
        <f>VLOOKUP(E289,[3]Sheet1!$A:$C,3,0)</f>
        <v>61500</v>
      </c>
      <c r="O289" s="28" t="b">
        <f t="shared" si="21"/>
        <v>0</v>
      </c>
    </row>
    <row r="290" spans="2:15" s="28" customFormat="1" ht="16.5" customHeight="1">
      <c r="B290" s="20"/>
      <c r="C290" s="20"/>
      <c r="D290" s="254"/>
      <c r="E290" s="379">
        <v>139089</v>
      </c>
      <c r="F290" s="395" t="s">
        <v>595</v>
      </c>
      <c r="G290" s="401"/>
      <c r="H290" s="402"/>
      <c r="I290" s="383">
        <v>663000</v>
      </c>
      <c r="J290" s="398">
        <v>139089</v>
      </c>
      <c r="K290" s="399" t="s">
        <v>71</v>
      </c>
      <c r="L290" s="399" t="s">
        <v>34</v>
      </c>
      <c r="M290" s="399">
        <v>200</v>
      </c>
      <c r="N290" s="356">
        <f>VLOOKUP(E290,[3]Sheet1!$A:$C,3,0)</f>
        <v>703000</v>
      </c>
      <c r="O290" s="28" t="b">
        <f t="shared" si="21"/>
        <v>0</v>
      </c>
    </row>
    <row r="291" spans="2:15" s="28" customFormat="1" ht="16.5" customHeight="1">
      <c r="B291" s="20"/>
      <c r="C291" s="20"/>
      <c r="D291" s="254"/>
      <c r="E291" s="379">
        <v>139090</v>
      </c>
      <c r="F291" s="395" t="s">
        <v>596</v>
      </c>
      <c r="G291" s="396"/>
      <c r="H291" s="397"/>
      <c r="I291" s="383">
        <v>626000</v>
      </c>
      <c r="J291" s="398">
        <v>139090</v>
      </c>
      <c r="K291" s="399" t="s">
        <v>71</v>
      </c>
      <c r="L291" s="399" t="s">
        <v>34</v>
      </c>
      <c r="M291" s="399">
        <v>200</v>
      </c>
      <c r="N291" s="356">
        <f>VLOOKUP(E291,[3]Sheet1!$A:$C,3,0)</f>
        <v>664000</v>
      </c>
      <c r="O291" s="28" t="b">
        <f t="shared" si="21"/>
        <v>0</v>
      </c>
    </row>
    <row r="292" spans="2:15" s="28" customFormat="1" ht="16.5" customHeight="1">
      <c r="B292" s="20"/>
      <c r="C292" s="20"/>
      <c r="D292" s="254"/>
      <c r="E292" s="379">
        <v>139091</v>
      </c>
      <c r="F292" s="395" t="s">
        <v>597</v>
      </c>
      <c r="G292" s="401"/>
      <c r="H292" s="402"/>
      <c r="I292" s="383">
        <v>508000</v>
      </c>
      <c r="J292" s="399">
        <v>139091</v>
      </c>
      <c r="K292" s="399" t="s">
        <v>71</v>
      </c>
      <c r="L292" s="399" t="s">
        <v>34</v>
      </c>
      <c r="M292" s="399">
        <v>200</v>
      </c>
      <c r="N292" s="356">
        <f>VLOOKUP(E292,[3]Sheet1!$A:$C,3,0)</f>
        <v>538000</v>
      </c>
      <c r="O292" s="28" t="b">
        <f t="shared" si="21"/>
        <v>0</v>
      </c>
    </row>
    <row r="293" spans="2:15" s="28" customFormat="1" ht="16.5" customHeight="1">
      <c r="B293" s="20"/>
      <c r="C293" s="20"/>
      <c r="D293" s="254"/>
      <c r="E293" s="379">
        <v>139092</v>
      </c>
      <c r="F293" s="395" t="s">
        <v>598</v>
      </c>
      <c r="G293" s="401"/>
      <c r="H293" s="402"/>
      <c r="I293" s="383">
        <v>907000</v>
      </c>
      <c r="J293" s="398">
        <v>139092</v>
      </c>
      <c r="K293" s="399" t="s">
        <v>71</v>
      </c>
      <c r="L293" s="399" t="s">
        <v>34</v>
      </c>
      <c r="M293" s="399">
        <v>200</v>
      </c>
      <c r="N293" s="356">
        <f>VLOOKUP(E293,[3]Sheet1!$A:$C,3,0)</f>
        <v>961000</v>
      </c>
      <c r="O293" s="28" t="b">
        <f t="shared" si="21"/>
        <v>0</v>
      </c>
    </row>
    <row r="294" spans="2:15" s="28" customFormat="1" ht="16.5" customHeight="1">
      <c r="B294" s="20"/>
      <c r="C294" s="20"/>
      <c r="D294" s="254"/>
      <c r="E294" s="379">
        <v>139094</v>
      </c>
      <c r="F294" s="395" t="s">
        <v>599</v>
      </c>
      <c r="G294" s="401"/>
      <c r="H294" s="402"/>
      <c r="I294" s="383">
        <v>781000</v>
      </c>
      <c r="J294" s="398">
        <v>139094</v>
      </c>
      <c r="K294" s="399" t="s">
        <v>71</v>
      </c>
      <c r="L294" s="399" t="s">
        <v>34</v>
      </c>
      <c r="M294" s="399">
        <v>200</v>
      </c>
      <c r="N294" s="356">
        <f>VLOOKUP(E294,[3]Sheet1!$A:$C,3,0)</f>
        <v>828000</v>
      </c>
      <c r="O294" s="28" t="b">
        <f t="shared" si="21"/>
        <v>0</v>
      </c>
    </row>
    <row r="295" spans="2:15" s="28" customFormat="1" ht="16.5" customHeight="1">
      <c r="B295" s="20"/>
      <c r="C295" s="20"/>
      <c r="D295" s="254"/>
      <c r="E295" s="379">
        <v>139095</v>
      </c>
      <c r="F295" s="395" t="s">
        <v>600</v>
      </c>
      <c r="G295" s="401"/>
      <c r="H295" s="402"/>
      <c r="I295" s="383">
        <v>843000</v>
      </c>
      <c r="J295" s="398">
        <v>139095</v>
      </c>
      <c r="K295" s="399" t="s">
        <v>71</v>
      </c>
      <c r="L295" s="399" t="s">
        <v>34</v>
      </c>
      <c r="M295" s="399">
        <v>200</v>
      </c>
      <c r="N295" s="356">
        <f>VLOOKUP(E295,[3]Sheet1!$A:$C,3,0)</f>
        <v>894000</v>
      </c>
      <c r="O295" s="28" t="b">
        <f t="shared" si="21"/>
        <v>0</v>
      </c>
    </row>
    <row r="296" spans="2:15" s="28" customFormat="1" ht="16.5" customHeight="1">
      <c r="B296" s="20"/>
      <c r="C296" s="20"/>
      <c r="D296" s="254"/>
      <c r="E296" s="379">
        <v>139096</v>
      </c>
      <c r="F296" s="395" t="s">
        <v>339</v>
      </c>
      <c r="G296" s="401"/>
      <c r="H296" s="402"/>
      <c r="I296" s="383">
        <v>89700</v>
      </c>
      <c r="J296" s="398">
        <v>139096</v>
      </c>
      <c r="K296" s="399" t="s">
        <v>70</v>
      </c>
      <c r="L296" s="399" t="s">
        <v>34</v>
      </c>
      <c r="M296" s="399">
        <v>20</v>
      </c>
      <c r="N296" s="356">
        <f>VLOOKUP(E296,[3]Sheet1!$A:$C,3,0)</f>
        <v>95100</v>
      </c>
      <c r="O296" s="28" t="b">
        <f t="shared" si="21"/>
        <v>0</v>
      </c>
    </row>
    <row r="297" spans="2:15" s="28" customFormat="1" ht="16.5" customHeight="1">
      <c r="B297" s="20"/>
      <c r="C297" s="20"/>
      <c r="D297" s="254"/>
      <c r="E297" s="379">
        <v>139097</v>
      </c>
      <c r="F297" s="395" t="s">
        <v>601</v>
      </c>
      <c r="G297" s="401"/>
      <c r="H297" s="402"/>
      <c r="I297" s="383">
        <v>987000</v>
      </c>
      <c r="J297" s="398">
        <v>139097</v>
      </c>
      <c r="K297" s="399" t="s">
        <v>71</v>
      </c>
      <c r="L297" s="399" t="s">
        <v>34</v>
      </c>
      <c r="M297" s="399">
        <v>200</v>
      </c>
      <c r="N297" s="356">
        <f>VLOOKUP(E297,[3]Sheet1!$A:$C,3,0)</f>
        <v>1046000</v>
      </c>
      <c r="O297" s="28" t="b">
        <f t="shared" si="21"/>
        <v>0</v>
      </c>
    </row>
    <row r="298" spans="2:15" s="28" customFormat="1" ht="16.5" customHeight="1">
      <c r="B298" s="20"/>
      <c r="C298" s="20"/>
      <c r="D298" s="254"/>
      <c r="E298" s="379">
        <v>139099</v>
      </c>
      <c r="F298" s="395" t="s">
        <v>602</v>
      </c>
      <c r="G298" s="396"/>
      <c r="H298" s="397"/>
      <c r="I298" s="383">
        <v>637000</v>
      </c>
      <c r="J298" s="398">
        <v>139099</v>
      </c>
      <c r="K298" s="399" t="s">
        <v>71</v>
      </c>
      <c r="L298" s="399" t="s">
        <v>34</v>
      </c>
      <c r="M298" s="399">
        <v>200</v>
      </c>
      <c r="N298" s="356">
        <f>VLOOKUP(E298,[3]Sheet1!$A:$C,3,0)</f>
        <v>675000</v>
      </c>
      <c r="O298" s="28" t="b">
        <f t="shared" si="21"/>
        <v>0</v>
      </c>
    </row>
    <row r="299" spans="2:15" s="28" customFormat="1" ht="16.5" customHeight="1">
      <c r="B299" s="20"/>
      <c r="C299" s="20"/>
      <c r="D299" s="254"/>
      <c r="E299" s="379">
        <v>139101</v>
      </c>
      <c r="F299" s="395" t="s">
        <v>603</v>
      </c>
      <c r="G299" s="396"/>
      <c r="H299" s="397"/>
      <c r="I299" s="383">
        <v>616000</v>
      </c>
      <c r="J299" s="398">
        <v>139101</v>
      </c>
      <c r="K299" s="399" t="s">
        <v>71</v>
      </c>
      <c r="L299" s="399" t="s">
        <v>34</v>
      </c>
      <c r="M299" s="399">
        <v>200</v>
      </c>
      <c r="N299" s="356">
        <f>VLOOKUP(E299,[3]Sheet1!$A:$C,3,0)</f>
        <v>653000</v>
      </c>
      <c r="O299" s="28" t="b">
        <f t="shared" si="21"/>
        <v>0</v>
      </c>
    </row>
    <row r="300" spans="2:15" s="28" customFormat="1" ht="16.5" customHeight="1">
      <c r="B300" s="20"/>
      <c r="C300" s="20"/>
      <c r="D300" s="254"/>
      <c r="E300" s="379">
        <v>139103</v>
      </c>
      <c r="F300" s="395" t="s">
        <v>604</v>
      </c>
      <c r="G300" s="396"/>
      <c r="H300" s="397"/>
      <c r="I300" s="383">
        <v>564000</v>
      </c>
      <c r="J300" s="398">
        <v>139103</v>
      </c>
      <c r="K300" s="399" t="s">
        <v>71</v>
      </c>
      <c r="L300" s="399" t="s">
        <v>34</v>
      </c>
      <c r="M300" s="399">
        <v>200</v>
      </c>
      <c r="N300" s="356">
        <f>VLOOKUP(E300,[3]Sheet1!$A:$C,3,0)</f>
        <v>598000</v>
      </c>
      <c r="O300" s="28" t="b">
        <f t="shared" si="21"/>
        <v>0</v>
      </c>
    </row>
    <row r="301" spans="2:15" s="28" customFormat="1" ht="16.5" customHeight="1">
      <c r="B301" s="20"/>
      <c r="C301" s="20"/>
      <c r="D301" s="254"/>
      <c r="E301" s="379">
        <v>139105</v>
      </c>
      <c r="F301" s="395" t="s">
        <v>605</v>
      </c>
      <c r="G301" s="396"/>
      <c r="H301" s="397"/>
      <c r="I301" s="383">
        <v>628000</v>
      </c>
      <c r="J301" s="398">
        <v>139105</v>
      </c>
      <c r="K301" s="399" t="s">
        <v>71</v>
      </c>
      <c r="L301" s="399" t="s">
        <v>34</v>
      </c>
      <c r="M301" s="399">
        <v>200</v>
      </c>
      <c r="N301" s="356">
        <f>VLOOKUP(E301,[3]Sheet1!$A:$C,3,0)</f>
        <v>666000</v>
      </c>
      <c r="O301" s="28" t="b">
        <f t="shared" si="21"/>
        <v>0</v>
      </c>
    </row>
    <row r="302" spans="2:15" s="28" customFormat="1" ht="16.5" customHeight="1">
      <c r="B302" s="20"/>
      <c r="C302" s="20"/>
      <c r="D302" s="254"/>
      <c r="E302" s="379">
        <v>139106</v>
      </c>
      <c r="F302" s="395" t="s">
        <v>340</v>
      </c>
      <c r="G302" s="396"/>
      <c r="H302" s="397"/>
      <c r="I302" s="383">
        <v>76400</v>
      </c>
      <c r="J302" s="398">
        <v>139106</v>
      </c>
      <c r="K302" s="399" t="s">
        <v>70</v>
      </c>
      <c r="L302" s="399" t="s">
        <v>34</v>
      </c>
      <c r="M302" s="399">
        <v>20</v>
      </c>
      <c r="N302" s="356">
        <f>VLOOKUP(E302,[3]Sheet1!$A:$C,3,0)</f>
        <v>81000</v>
      </c>
      <c r="O302" s="28" t="b">
        <f t="shared" si="21"/>
        <v>0</v>
      </c>
    </row>
    <row r="303" spans="2:15" s="28" customFormat="1" ht="16.5" customHeight="1">
      <c r="B303" s="20"/>
      <c r="C303" s="20"/>
      <c r="D303" s="254"/>
      <c r="E303" s="379">
        <v>139107</v>
      </c>
      <c r="F303" s="395" t="s">
        <v>606</v>
      </c>
      <c r="G303" s="396"/>
      <c r="H303" s="397"/>
      <c r="I303" s="383">
        <v>630000</v>
      </c>
      <c r="J303" s="398">
        <v>139107</v>
      </c>
      <c r="K303" s="399" t="s">
        <v>71</v>
      </c>
      <c r="L303" s="399" t="s">
        <v>34</v>
      </c>
      <c r="M303" s="399">
        <v>200</v>
      </c>
      <c r="N303" s="356">
        <f>VLOOKUP(E303,[3]Sheet1!$A:$C,3,0)</f>
        <v>668000</v>
      </c>
      <c r="O303" s="28" t="b">
        <f t="shared" si="21"/>
        <v>0</v>
      </c>
    </row>
    <row r="304" spans="2:15" s="28" customFormat="1" ht="16.5" customHeight="1">
      <c r="B304" s="20"/>
      <c r="C304" s="20"/>
      <c r="D304" s="254"/>
      <c r="E304" s="379">
        <v>139108</v>
      </c>
      <c r="F304" s="395" t="s">
        <v>341</v>
      </c>
      <c r="G304" s="396"/>
      <c r="H304" s="397"/>
      <c r="I304" s="383" t="e">
        <v>#N/A</v>
      </c>
      <c r="J304" s="398">
        <v>139108</v>
      </c>
      <c r="K304" s="399" t="s">
        <v>70</v>
      </c>
      <c r="L304" s="399" t="s">
        <v>34</v>
      </c>
      <c r="M304" s="399">
        <v>20</v>
      </c>
      <c r="N304" s="356" t="e">
        <f>VLOOKUP(E304,[3]Sheet1!$A:$C,3,0)</f>
        <v>#N/A</v>
      </c>
      <c r="O304" s="28" t="e">
        <f t="shared" si="21"/>
        <v>#N/A</v>
      </c>
    </row>
    <row r="305" spans="2:15" s="28" customFormat="1" ht="16.5" customHeight="1">
      <c r="B305" s="20"/>
      <c r="C305" s="20"/>
      <c r="D305" s="254"/>
      <c r="E305" s="379">
        <v>139109</v>
      </c>
      <c r="F305" s="395" t="s">
        <v>607</v>
      </c>
      <c r="G305" s="396"/>
      <c r="H305" s="397"/>
      <c r="I305" s="383">
        <v>593000</v>
      </c>
      <c r="J305" s="398">
        <v>139109</v>
      </c>
      <c r="K305" s="399" t="s">
        <v>71</v>
      </c>
      <c r="L305" s="399" t="s">
        <v>34</v>
      </c>
      <c r="M305" s="399">
        <v>200</v>
      </c>
      <c r="N305" s="356">
        <f>VLOOKUP(E305,[3]Sheet1!$A:$C,3,0)</f>
        <v>629000</v>
      </c>
      <c r="O305" s="28" t="b">
        <f t="shared" si="21"/>
        <v>0</v>
      </c>
    </row>
    <row r="306" spans="2:15" s="28" customFormat="1" ht="16.5" customHeight="1">
      <c r="B306" s="20"/>
      <c r="C306" s="20"/>
      <c r="D306" s="254"/>
      <c r="E306" s="379">
        <v>139110</v>
      </c>
      <c r="F306" s="395" t="s">
        <v>342</v>
      </c>
      <c r="G306" s="396"/>
      <c r="H306" s="397"/>
      <c r="I306" s="383">
        <v>72300</v>
      </c>
      <c r="J306" s="398">
        <v>139110</v>
      </c>
      <c r="K306" s="399" t="s">
        <v>70</v>
      </c>
      <c r="L306" s="399" t="s">
        <v>34</v>
      </c>
      <c r="M306" s="399">
        <v>20</v>
      </c>
      <c r="N306" s="356">
        <f>VLOOKUP(E306,[3]Sheet1!$A:$C,3,0)</f>
        <v>76600</v>
      </c>
      <c r="O306" s="28" t="b">
        <f t="shared" si="21"/>
        <v>0</v>
      </c>
    </row>
    <row r="307" spans="2:15" s="28" customFormat="1" ht="16.5" customHeight="1">
      <c r="B307" s="20"/>
      <c r="C307" s="20"/>
      <c r="D307" s="254"/>
      <c r="E307" s="379">
        <v>139111</v>
      </c>
      <c r="F307" s="395" t="s">
        <v>608</v>
      </c>
      <c r="G307" s="396"/>
      <c r="H307" s="397"/>
      <c r="I307" s="383">
        <v>654000</v>
      </c>
      <c r="J307" s="398">
        <v>139111</v>
      </c>
      <c r="K307" s="399" t="s">
        <v>71</v>
      </c>
      <c r="L307" s="399" t="s">
        <v>34</v>
      </c>
      <c r="M307" s="399">
        <v>200</v>
      </c>
      <c r="N307" s="356">
        <f>VLOOKUP(E307,[3]Sheet1!$A:$C,3,0)</f>
        <v>693000</v>
      </c>
      <c r="O307" s="28" t="b">
        <f t="shared" si="21"/>
        <v>0</v>
      </c>
    </row>
    <row r="308" spans="2:15" s="28" customFormat="1" ht="16.5" customHeight="1">
      <c r="B308" s="20"/>
      <c r="C308" s="20"/>
      <c r="D308" s="254"/>
      <c r="E308" s="379">
        <v>139112</v>
      </c>
      <c r="F308" s="395" t="s">
        <v>343</v>
      </c>
      <c r="G308" s="396"/>
      <c r="H308" s="397"/>
      <c r="I308" s="383">
        <v>465000</v>
      </c>
      <c r="J308" s="398">
        <v>139112</v>
      </c>
      <c r="K308" s="399" t="s">
        <v>70</v>
      </c>
      <c r="L308" s="399" t="s">
        <v>34</v>
      </c>
      <c r="M308" s="399">
        <v>20</v>
      </c>
      <c r="N308" s="356">
        <f>VLOOKUP(E308,[3]Sheet1!$A:$C,3,0)</f>
        <v>465000</v>
      </c>
      <c r="O308" s="28" t="b">
        <f t="shared" si="21"/>
        <v>1</v>
      </c>
    </row>
    <row r="309" spans="2:15" s="28" customFormat="1" ht="16.5" customHeight="1">
      <c r="B309" s="20"/>
      <c r="C309" s="20"/>
      <c r="D309" s="254"/>
      <c r="E309" s="379">
        <v>139113</v>
      </c>
      <c r="F309" s="395" t="s">
        <v>344</v>
      </c>
      <c r="G309" s="396"/>
      <c r="H309" s="397"/>
      <c r="I309" s="383">
        <v>364000</v>
      </c>
      <c r="J309" s="398">
        <v>139113</v>
      </c>
      <c r="K309" s="399" t="s">
        <v>70</v>
      </c>
      <c r="L309" s="399" t="s">
        <v>34</v>
      </c>
      <c r="M309" s="399">
        <v>20</v>
      </c>
      <c r="N309" s="356">
        <f>VLOOKUP(E309,[3]Sheet1!$A:$C,3,0)</f>
        <v>364000</v>
      </c>
      <c r="O309" s="28" t="b">
        <f t="shared" si="21"/>
        <v>1</v>
      </c>
    </row>
    <row r="310" spans="2:15" s="28" customFormat="1" ht="16.5" customHeight="1">
      <c r="B310" s="20"/>
      <c r="C310" s="20"/>
      <c r="D310" s="254"/>
      <c r="E310" s="379">
        <v>139118</v>
      </c>
      <c r="F310" s="395" t="s">
        <v>609</v>
      </c>
      <c r="G310" s="396"/>
      <c r="H310" s="397"/>
      <c r="I310" s="383">
        <v>952000</v>
      </c>
      <c r="J310" s="398">
        <v>139118</v>
      </c>
      <c r="K310" s="399" t="s">
        <v>71</v>
      </c>
      <c r="L310" s="399" t="s">
        <v>34</v>
      </c>
      <c r="M310" s="399">
        <v>200</v>
      </c>
      <c r="N310" s="356">
        <f>VLOOKUP(E310,[3]Sheet1!$A:$C,3,0)</f>
        <v>1009000</v>
      </c>
      <c r="O310" s="28" t="b">
        <f t="shared" si="21"/>
        <v>0</v>
      </c>
    </row>
    <row r="311" spans="2:15" s="28" customFormat="1" ht="16.5" customHeight="1">
      <c r="B311" s="20"/>
      <c r="C311" s="20"/>
      <c r="D311" s="254"/>
      <c r="E311" s="379">
        <v>139121</v>
      </c>
      <c r="F311" s="395" t="s">
        <v>610</v>
      </c>
      <c r="G311" s="396"/>
      <c r="H311" s="397"/>
      <c r="I311" s="383">
        <v>952000</v>
      </c>
      <c r="J311" s="398">
        <v>139121</v>
      </c>
      <c r="K311" s="399" t="s">
        <v>71</v>
      </c>
      <c r="L311" s="399" t="s">
        <v>34</v>
      </c>
      <c r="M311" s="399">
        <v>200</v>
      </c>
      <c r="N311" s="356">
        <f>VLOOKUP(E311,[3]Sheet1!$A:$C,3,0)</f>
        <v>1009000</v>
      </c>
      <c r="O311" s="28" t="b">
        <f t="shared" si="21"/>
        <v>0</v>
      </c>
    </row>
    <row r="312" spans="2:15" s="28" customFormat="1" ht="16.5" customHeight="1">
      <c r="B312" s="20"/>
      <c r="C312" s="20"/>
      <c r="D312" s="254"/>
      <c r="E312" s="379">
        <v>139123</v>
      </c>
      <c r="F312" s="395" t="s">
        <v>611</v>
      </c>
      <c r="G312" s="396"/>
      <c r="H312" s="397"/>
      <c r="I312" s="383">
        <v>952000</v>
      </c>
      <c r="J312" s="398">
        <v>139123</v>
      </c>
      <c r="K312" s="399" t="s">
        <v>71</v>
      </c>
      <c r="L312" s="399" t="s">
        <v>34</v>
      </c>
      <c r="M312" s="399">
        <v>200</v>
      </c>
      <c r="N312" s="356">
        <f>VLOOKUP(E312,[3]Sheet1!$A:$C,3,0)</f>
        <v>1009000</v>
      </c>
      <c r="O312" s="28" t="b">
        <f t="shared" si="21"/>
        <v>0</v>
      </c>
    </row>
    <row r="313" spans="2:15" s="28" customFormat="1" ht="16.5" customHeight="1">
      <c r="B313" s="20"/>
      <c r="C313" s="20"/>
      <c r="D313" s="254"/>
      <c r="E313" s="379">
        <v>139125</v>
      </c>
      <c r="F313" s="395" t="s">
        <v>612</v>
      </c>
      <c r="G313" s="396"/>
      <c r="H313" s="397"/>
      <c r="I313" s="383">
        <v>618000</v>
      </c>
      <c r="J313" s="398">
        <v>139125</v>
      </c>
      <c r="K313" s="399" t="s">
        <v>71</v>
      </c>
      <c r="L313" s="399" t="s">
        <v>34</v>
      </c>
      <c r="M313" s="399">
        <v>200</v>
      </c>
      <c r="N313" s="356">
        <f>VLOOKUP(E313,[3]Sheet1!$A:$C,3,0)</f>
        <v>655000</v>
      </c>
      <c r="O313" s="28" t="b">
        <f t="shared" si="21"/>
        <v>0</v>
      </c>
    </row>
    <row r="314" spans="2:15" s="28" customFormat="1" ht="16.5" customHeight="1">
      <c r="B314" s="20"/>
      <c r="C314" s="20"/>
      <c r="D314" s="254"/>
      <c r="E314" s="379">
        <v>139127</v>
      </c>
      <c r="F314" s="395" t="s">
        <v>244</v>
      </c>
      <c r="G314" s="396"/>
      <c r="H314" s="397"/>
      <c r="I314" s="383">
        <v>71000</v>
      </c>
      <c r="J314" s="398">
        <v>139127</v>
      </c>
      <c r="K314" s="399" t="s">
        <v>70</v>
      </c>
      <c r="L314" s="399" t="s">
        <v>34</v>
      </c>
      <c r="M314" s="399">
        <v>20</v>
      </c>
      <c r="N314" s="356">
        <f>VLOOKUP(E314,[3]Sheet1!$A:$C,3,0)</f>
        <v>75300</v>
      </c>
      <c r="O314" s="28" t="b">
        <f t="shared" si="21"/>
        <v>0</v>
      </c>
    </row>
    <row r="315" spans="2:15" s="28" customFormat="1" ht="16.5" customHeight="1">
      <c r="B315" s="20"/>
      <c r="C315" s="20"/>
      <c r="D315" s="254"/>
      <c r="E315" s="379">
        <v>139128</v>
      </c>
      <c r="F315" s="395" t="s">
        <v>613</v>
      </c>
      <c r="G315" s="396"/>
      <c r="H315" s="397"/>
      <c r="I315" s="383">
        <v>607000</v>
      </c>
      <c r="J315" s="398">
        <v>139128</v>
      </c>
      <c r="K315" s="399" t="s">
        <v>71</v>
      </c>
      <c r="L315" s="399" t="s">
        <v>34</v>
      </c>
      <c r="M315" s="399">
        <v>200</v>
      </c>
      <c r="N315" s="356">
        <f>VLOOKUP(E315,[3]Sheet1!$A:$C,3,0)</f>
        <v>643000</v>
      </c>
      <c r="O315" s="28" t="b">
        <f t="shared" si="21"/>
        <v>0</v>
      </c>
    </row>
    <row r="316" spans="2:15" s="28" customFormat="1" ht="16.5" customHeight="1">
      <c r="B316" s="20"/>
      <c r="C316" s="20"/>
      <c r="D316" s="254"/>
      <c r="E316" s="379">
        <v>139129</v>
      </c>
      <c r="F316" s="395" t="s">
        <v>245</v>
      </c>
      <c r="G316" s="396"/>
      <c r="H316" s="397"/>
      <c r="I316" s="383">
        <v>69800</v>
      </c>
      <c r="J316" s="398">
        <v>139129</v>
      </c>
      <c r="K316" s="399" t="s">
        <v>70</v>
      </c>
      <c r="L316" s="399" t="s">
        <v>34</v>
      </c>
      <c r="M316" s="399">
        <v>20</v>
      </c>
      <c r="N316" s="356">
        <f>VLOOKUP(E316,[3]Sheet1!$A:$C,3,0)</f>
        <v>74000</v>
      </c>
      <c r="O316" s="28" t="b">
        <f t="shared" si="21"/>
        <v>0</v>
      </c>
    </row>
    <row r="317" spans="2:15" s="28" customFormat="1" ht="16.5" customHeight="1">
      <c r="B317" s="20"/>
      <c r="C317" s="20"/>
      <c r="D317" s="254"/>
      <c r="E317" s="379">
        <v>139130</v>
      </c>
      <c r="F317" s="395" t="s">
        <v>614</v>
      </c>
      <c r="G317" s="396"/>
      <c r="H317" s="397"/>
      <c r="I317" s="383">
        <v>623000</v>
      </c>
      <c r="J317" s="398">
        <v>139130</v>
      </c>
      <c r="K317" s="399" t="s">
        <v>71</v>
      </c>
      <c r="L317" s="399" t="s">
        <v>34</v>
      </c>
      <c r="M317" s="399">
        <v>200</v>
      </c>
      <c r="N317" s="356">
        <f>VLOOKUP(E317,[3]Sheet1!$A:$C,3,0)</f>
        <v>660000</v>
      </c>
      <c r="O317" s="28" t="b">
        <f t="shared" si="21"/>
        <v>0</v>
      </c>
    </row>
    <row r="318" spans="2:15" s="28" customFormat="1" ht="16.5" customHeight="1">
      <c r="B318" s="20"/>
      <c r="C318" s="20"/>
      <c r="D318" s="254"/>
      <c r="E318" s="379">
        <v>139131</v>
      </c>
      <c r="F318" s="395" t="s">
        <v>237</v>
      </c>
      <c r="G318" s="396"/>
      <c r="H318" s="397"/>
      <c r="I318" s="383">
        <v>74600</v>
      </c>
      <c r="J318" s="398">
        <v>139131</v>
      </c>
      <c r="K318" s="399" t="s">
        <v>70</v>
      </c>
      <c r="L318" s="399" t="s">
        <v>34</v>
      </c>
      <c r="M318" s="399">
        <v>20</v>
      </c>
      <c r="N318" s="356">
        <f>VLOOKUP(E318,[3]Sheet1!$A:$C,3,0)</f>
        <v>79100</v>
      </c>
      <c r="O318" s="28" t="b">
        <f t="shared" si="21"/>
        <v>0</v>
      </c>
    </row>
    <row r="319" spans="2:15" s="28" customFormat="1" ht="16.5" customHeight="1">
      <c r="B319" s="20"/>
      <c r="C319" s="20"/>
      <c r="D319" s="254"/>
      <c r="E319" s="379">
        <v>139132</v>
      </c>
      <c r="F319" s="395" t="s">
        <v>615</v>
      </c>
      <c r="G319" s="396"/>
      <c r="H319" s="397"/>
      <c r="I319" s="383">
        <v>623000</v>
      </c>
      <c r="J319" s="398">
        <v>139132</v>
      </c>
      <c r="K319" s="399" t="s">
        <v>71</v>
      </c>
      <c r="L319" s="399" t="s">
        <v>34</v>
      </c>
      <c r="M319" s="399">
        <v>200</v>
      </c>
      <c r="N319" s="356">
        <f>VLOOKUP(E319,[3]Sheet1!$A:$C,3,0)</f>
        <v>660000</v>
      </c>
      <c r="O319" s="28" t="b">
        <f t="shared" si="21"/>
        <v>0</v>
      </c>
    </row>
    <row r="320" spans="2:15" s="28" customFormat="1" ht="16.5" customHeight="1">
      <c r="B320" s="20"/>
      <c r="C320" s="20"/>
      <c r="D320" s="254"/>
      <c r="E320" s="379">
        <v>139134</v>
      </c>
      <c r="F320" s="395" t="s">
        <v>227</v>
      </c>
      <c r="G320" s="396"/>
      <c r="H320" s="397"/>
      <c r="I320" s="383">
        <v>70900</v>
      </c>
      <c r="J320" s="398">
        <v>139134</v>
      </c>
      <c r="K320" s="399" t="s">
        <v>70</v>
      </c>
      <c r="L320" s="399" t="s">
        <v>34</v>
      </c>
      <c r="M320" s="399">
        <v>20</v>
      </c>
      <c r="N320" s="356">
        <f>VLOOKUP(E320,[3]Sheet1!$A:$C,3,0)</f>
        <v>75200</v>
      </c>
      <c r="O320" s="28" t="b">
        <f t="shared" si="21"/>
        <v>0</v>
      </c>
    </row>
    <row r="321" spans="2:15" s="28" customFormat="1" ht="16.5" customHeight="1">
      <c r="B321" s="20"/>
      <c r="C321" s="20"/>
      <c r="D321" s="254"/>
      <c r="E321" s="379">
        <v>139135</v>
      </c>
      <c r="F321" s="395" t="s">
        <v>616</v>
      </c>
      <c r="G321" s="396"/>
      <c r="H321" s="397"/>
      <c r="I321" s="383">
        <v>641000</v>
      </c>
      <c r="J321" s="398">
        <v>139135</v>
      </c>
      <c r="K321" s="399" t="s">
        <v>71</v>
      </c>
      <c r="L321" s="399" t="s">
        <v>34</v>
      </c>
      <c r="M321" s="399">
        <v>200</v>
      </c>
      <c r="N321" s="356">
        <f>VLOOKUP(E321,[3]Sheet1!$A:$C,3,0)</f>
        <v>679000</v>
      </c>
      <c r="O321" s="28" t="b">
        <f t="shared" si="21"/>
        <v>0</v>
      </c>
    </row>
    <row r="322" spans="2:15" s="28" customFormat="1" ht="16.5" customHeight="1">
      <c r="B322" s="20"/>
      <c r="C322" s="20"/>
      <c r="D322" s="254"/>
      <c r="E322" s="379">
        <v>139137</v>
      </c>
      <c r="F322" s="395" t="s">
        <v>246</v>
      </c>
      <c r="G322" s="396"/>
      <c r="H322" s="397"/>
      <c r="I322" s="383">
        <v>80900</v>
      </c>
      <c r="J322" s="398">
        <v>139137</v>
      </c>
      <c r="K322" s="399" t="s">
        <v>70</v>
      </c>
      <c r="L322" s="399" t="s">
        <v>34</v>
      </c>
      <c r="M322" s="399">
        <v>20</v>
      </c>
      <c r="N322" s="356">
        <f>VLOOKUP(E322,[3]Sheet1!$A:$C,3,0)</f>
        <v>85800</v>
      </c>
      <c r="O322" s="28" t="b">
        <f t="shared" si="21"/>
        <v>0</v>
      </c>
    </row>
    <row r="323" spans="2:15" s="28" customFormat="1" ht="16.5" customHeight="1">
      <c r="B323" s="20"/>
      <c r="C323" s="20"/>
      <c r="D323" s="254"/>
      <c r="E323" s="379">
        <v>139138</v>
      </c>
      <c r="F323" s="395" t="s">
        <v>617</v>
      </c>
      <c r="G323" s="396"/>
      <c r="H323" s="397"/>
      <c r="I323" s="383">
        <v>740000</v>
      </c>
      <c r="J323" s="398">
        <v>139138</v>
      </c>
      <c r="K323" s="399" t="s">
        <v>71</v>
      </c>
      <c r="L323" s="399" t="s">
        <v>34</v>
      </c>
      <c r="M323" s="399">
        <v>200</v>
      </c>
      <c r="N323" s="356">
        <f>VLOOKUP(E323,[3]Sheet1!$A:$C,3,0)</f>
        <v>784000</v>
      </c>
      <c r="O323" s="28" t="b">
        <f t="shared" si="21"/>
        <v>0</v>
      </c>
    </row>
    <row r="324" spans="2:15" s="28" customFormat="1" ht="16.5" customHeight="1">
      <c r="B324" s="20"/>
      <c r="C324" s="20"/>
      <c r="D324" s="254"/>
      <c r="E324" s="379">
        <v>139139</v>
      </c>
      <c r="F324" s="395" t="s">
        <v>247</v>
      </c>
      <c r="G324" s="396"/>
      <c r="H324" s="397"/>
      <c r="I324" s="383">
        <v>80900</v>
      </c>
      <c r="J324" s="398">
        <v>139139</v>
      </c>
      <c r="K324" s="399" t="s">
        <v>70</v>
      </c>
      <c r="L324" s="399" t="s">
        <v>34</v>
      </c>
      <c r="M324" s="399">
        <v>20</v>
      </c>
      <c r="N324" s="356">
        <f>VLOOKUP(E324,[3]Sheet1!$A:$C,3,0)</f>
        <v>85800</v>
      </c>
      <c r="O324" s="28" t="b">
        <f t="shared" si="21"/>
        <v>0</v>
      </c>
    </row>
    <row r="325" spans="2:15" s="28" customFormat="1" ht="16.5" customHeight="1">
      <c r="B325" s="20"/>
      <c r="C325" s="20"/>
      <c r="D325" s="254"/>
      <c r="E325" s="379">
        <v>139140</v>
      </c>
      <c r="F325" s="395" t="s">
        <v>618</v>
      </c>
      <c r="G325" s="396"/>
      <c r="H325" s="397"/>
      <c r="I325" s="383">
        <v>750000</v>
      </c>
      <c r="J325" s="398">
        <v>139140</v>
      </c>
      <c r="K325" s="399" t="s">
        <v>71</v>
      </c>
      <c r="L325" s="399" t="s">
        <v>34</v>
      </c>
      <c r="M325" s="399">
        <v>200</v>
      </c>
      <c r="N325" s="356">
        <f>VLOOKUP(E325,[3]Sheet1!$A:$C,3,0)</f>
        <v>795000</v>
      </c>
      <c r="O325" s="28" t="b">
        <f t="shared" ref="O325:O388" si="22">I325=N325</f>
        <v>0</v>
      </c>
    </row>
    <row r="326" spans="2:15" s="28" customFormat="1" ht="16.5" customHeight="1">
      <c r="B326" s="20"/>
      <c r="C326" s="20"/>
      <c r="D326" s="254"/>
      <c r="E326" s="379">
        <v>139141</v>
      </c>
      <c r="F326" s="395" t="s">
        <v>345</v>
      </c>
      <c r="G326" s="396"/>
      <c r="H326" s="397"/>
      <c r="I326" s="383">
        <v>87100</v>
      </c>
      <c r="J326" s="398">
        <v>139141</v>
      </c>
      <c r="K326" s="399" t="s">
        <v>70</v>
      </c>
      <c r="L326" s="399" t="s">
        <v>34</v>
      </c>
      <c r="M326" s="399">
        <v>20</v>
      </c>
      <c r="N326" s="356">
        <f>VLOOKUP(E326,[3]Sheet1!$A:$C,3,0)</f>
        <v>92300</v>
      </c>
      <c r="O326" s="28" t="b">
        <f t="shared" si="22"/>
        <v>0</v>
      </c>
    </row>
    <row r="327" spans="2:15" s="28" customFormat="1" ht="16.5" customHeight="1">
      <c r="B327" s="20"/>
      <c r="C327" s="20"/>
      <c r="D327" s="254"/>
      <c r="E327" s="379">
        <v>139142</v>
      </c>
      <c r="F327" s="395" t="s">
        <v>619</v>
      </c>
      <c r="G327" s="396"/>
      <c r="H327" s="397"/>
      <c r="I327" s="383">
        <v>423000</v>
      </c>
      <c r="J327" s="398">
        <v>139142</v>
      </c>
      <c r="K327" s="399" t="s">
        <v>71</v>
      </c>
      <c r="L327" s="399" t="s">
        <v>34</v>
      </c>
      <c r="M327" s="399">
        <v>200</v>
      </c>
      <c r="N327" s="356">
        <f>VLOOKUP(E327,[3]Sheet1!$A:$C,3,0)</f>
        <v>457000</v>
      </c>
      <c r="O327" s="28" t="b">
        <f t="shared" si="22"/>
        <v>0</v>
      </c>
    </row>
    <row r="328" spans="2:15" s="28" customFormat="1" ht="16.5" customHeight="1">
      <c r="B328" s="20"/>
      <c r="C328" s="20"/>
      <c r="D328" s="254"/>
      <c r="E328" s="379">
        <v>139143</v>
      </c>
      <c r="F328" s="395" t="s">
        <v>248</v>
      </c>
      <c r="G328" s="396"/>
      <c r="H328" s="397"/>
      <c r="I328" s="383">
        <v>44000</v>
      </c>
      <c r="J328" s="398">
        <v>139143</v>
      </c>
      <c r="K328" s="399" t="s">
        <v>70</v>
      </c>
      <c r="L328" s="399" t="s">
        <v>34</v>
      </c>
      <c r="M328" s="399">
        <v>20</v>
      </c>
      <c r="N328" s="356">
        <f>VLOOKUP(E328,[3]Sheet1!$A:$C,3,0)</f>
        <v>47500</v>
      </c>
      <c r="O328" s="28" t="b">
        <f t="shared" si="22"/>
        <v>0</v>
      </c>
    </row>
    <row r="329" spans="2:15" s="28" customFormat="1" ht="16.5" customHeight="1">
      <c r="B329" s="20"/>
      <c r="C329" s="20"/>
      <c r="D329" s="254"/>
      <c r="E329" s="379">
        <v>139144</v>
      </c>
      <c r="F329" s="395" t="s">
        <v>620</v>
      </c>
      <c r="G329" s="396"/>
      <c r="H329" s="397"/>
      <c r="I329" s="383">
        <v>423000</v>
      </c>
      <c r="J329" s="398">
        <v>139144</v>
      </c>
      <c r="K329" s="399" t="s">
        <v>71</v>
      </c>
      <c r="L329" s="399" t="s">
        <v>34</v>
      </c>
      <c r="M329" s="399">
        <v>200</v>
      </c>
      <c r="N329" s="356">
        <f>VLOOKUP(E329,[3]Sheet1!$A:$C,3,0)</f>
        <v>457000</v>
      </c>
      <c r="O329" s="28" t="b">
        <f t="shared" si="22"/>
        <v>0</v>
      </c>
    </row>
    <row r="330" spans="2:15" s="28" customFormat="1" ht="16.5" customHeight="1">
      <c r="B330" s="20"/>
      <c r="C330" s="20"/>
      <c r="D330" s="254"/>
      <c r="E330" s="379">
        <v>139145</v>
      </c>
      <c r="F330" s="395" t="s">
        <v>228</v>
      </c>
      <c r="G330" s="396"/>
      <c r="H330" s="397"/>
      <c r="I330" s="383">
        <v>44000</v>
      </c>
      <c r="J330" s="398">
        <v>139145</v>
      </c>
      <c r="K330" s="399" t="s">
        <v>70</v>
      </c>
      <c r="L330" s="399" t="s">
        <v>34</v>
      </c>
      <c r="M330" s="399">
        <v>20</v>
      </c>
      <c r="N330" s="356">
        <f>VLOOKUP(E330,[3]Sheet1!$A:$C,3,0)</f>
        <v>47500</v>
      </c>
      <c r="O330" s="28" t="b">
        <f t="shared" si="22"/>
        <v>0</v>
      </c>
    </row>
    <row r="331" spans="2:15" s="28" customFormat="1" ht="16.5" customHeight="1">
      <c r="B331" s="20"/>
      <c r="C331" s="20"/>
      <c r="D331" s="254"/>
      <c r="E331" s="379">
        <v>139146</v>
      </c>
      <c r="F331" s="395" t="s">
        <v>621</v>
      </c>
      <c r="G331" s="396"/>
      <c r="H331" s="397"/>
      <c r="I331" s="383">
        <v>455000</v>
      </c>
      <c r="J331" s="398">
        <v>139146</v>
      </c>
      <c r="K331" s="399" t="s">
        <v>71</v>
      </c>
      <c r="L331" s="399" t="s">
        <v>34</v>
      </c>
      <c r="M331" s="399">
        <v>200</v>
      </c>
      <c r="N331" s="356">
        <f>VLOOKUP(E331,[3]Sheet1!$A:$C,3,0)</f>
        <v>491000</v>
      </c>
      <c r="O331" s="28" t="b">
        <f t="shared" si="22"/>
        <v>0</v>
      </c>
    </row>
    <row r="332" spans="2:15" s="28" customFormat="1" ht="16.5" customHeight="1">
      <c r="B332" s="20"/>
      <c r="C332" s="20"/>
      <c r="D332" s="254"/>
      <c r="E332" s="379">
        <v>139147</v>
      </c>
      <c r="F332" s="395" t="s">
        <v>622</v>
      </c>
      <c r="G332" s="396"/>
      <c r="H332" s="397"/>
      <c r="I332" s="383">
        <v>475000</v>
      </c>
      <c r="J332" s="398">
        <v>139147</v>
      </c>
      <c r="K332" s="399" t="s">
        <v>71</v>
      </c>
      <c r="L332" s="399" t="s">
        <v>34</v>
      </c>
      <c r="M332" s="399">
        <v>200</v>
      </c>
      <c r="N332" s="356">
        <f>VLOOKUP(E332,[3]Sheet1!$A:$C,3,0)</f>
        <v>523000</v>
      </c>
      <c r="O332" s="28" t="b">
        <f t="shared" si="22"/>
        <v>0</v>
      </c>
    </row>
    <row r="333" spans="2:15" s="28" customFormat="1" ht="16.5" customHeight="1">
      <c r="B333" s="20"/>
      <c r="C333" s="20"/>
      <c r="D333" s="254"/>
      <c r="E333" s="379">
        <v>139148</v>
      </c>
      <c r="F333" s="395" t="s">
        <v>346</v>
      </c>
      <c r="G333" s="396"/>
      <c r="H333" s="397"/>
      <c r="I333" s="383">
        <v>50600</v>
      </c>
      <c r="J333" s="398">
        <v>139148</v>
      </c>
      <c r="K333" s="399" t="s">
        <v>70</v>
      </c>
      <c r="L333" s="399" t="s">
        <v>34</v>
      </c>
      <c r="M333" s="399">
        <v>20</v>
      </c>
      <c r="N333" s="356">
        <f>VLOOKUP(E333,[3]Sheet1!$A:$C,3,0)</f>
        <v>55700</v>
      </c>
      <c r="O333" s="28" t="b">
        <f t="shared" si="22"/>
        <v>0</v>
      </c>
    </row>
    <row r="334" spans="2:15" s="28" customFormat="1" ht="16.5" customHeight="1">
      <c r="B334" s="20"/>
      <c r="C334" s="20"/>
      <c r="D334" s="254"/>
      <c r="E334" s="379">
        <v>139149</v>
      </c>
      <c r="F334" s="395" t="s">
        <v>623</v>
      </c>
      <c r="G334" s="396"/>
      <c r="H334" s="397"/>
      <c r="I334" s="383">
        <v>539000</v>
      </c>
      <c r="J334" s="398">
        <v>139149</v>
      </c>
      <c r="K334" s="399" t="s">
        <v>71</v>
      </c>
      <c r="L334" s="399" t="s">
        <v>34</v>
      </c>
      <c r="M334" s="399">
        <v>200</v>
      </c>
      <c r="N334" s="356">
        <f>VLOOKUP(E334,[3]Sheet1!$A:$C,3,0)</f>
        <v>571000</v>
      </c>
      <c r="O334" s="28" t="b">
        <f t="shared" si="22"/>
        <v>0</v>
      </c>
    </row>
    <row r="335" spans="2:15" s="28" customFormat="1" ht="16.5" customHeight="1">
      <c r="B335" s="20"/>
      <c r="C335" s="20"/>
      <c r="D335" s="254"/>
      <c r="E335" s="379">
        <v>139150</v>
      </c>
      <c r="F335" s="395" t="s">
        <v>249</v>
      </c>
      <c r="G335" s="396"/>
      <c r="H335" s="397"/>
      <c r="I335" s="383">
        <v>56700</v>
      </c>
      <c r="J335" s="398">
        <v>139150</v>
      </c>
      <c r="K335" s="399" t="s">
        <v>70</v>
      </c>
      <c r="L335" s="399" t="s">
        <v>34</v>
      </c>
      <c r="M335" s="399">
        <v>20</v>
      </c>
      <c r="N335" s="356">
        <f>VLOOKUP(E335,[3]Sheet1!$A:$C,3,0)</f>
        <v>60100</v>
      </c>
      <c r="O335" s="28" t="b">
        <f t="shared" si="22"/>
        <v>0</v>
      </c>
    </row>
    <row r="336" spans="2:15" s="28" customFormat="1" ht="16.5" customHeight="1">
      <c r="B336" s="20"/>
      <c r="C336" s="20"/>
      <c r="D336" s="254"/>
      <c r="E336" s="379">
        <v>139151</v>
      </c>
      <c r="F336" s="395" t="s">
        <v>624</v>
      </c>
      <c r="G336" s="396"/>
      <c r="H336" s="397"/>
      <c r="I336" s="383">
        <v>539000</v>
      </c>
      <c r="J336" s="398">
        <v>139151</v>
      </c>
      <c r="K336" s="399" t="s">
        <v>71</v>
      </c>
      <c r="L336" s="399" t="s">
        <v>34</v>
      </c>
      <c r="M336" s="399">
        <v>200</v>
      </c>
      <c r="N336" s="356">
        <f>VLOOKUP(E336,[3]Sheet1!$A:$C,3,0)</f>
        <v>571000</v>
      </c>
      <c r="O336" s="28" t="b">
        <f t="shared" si="22"/>
        <v>0</v>
      </c>
    </row>
    <row r="337" spans="2:15" s="28" customFormat="1" ht="16.5" customHeight="1">
      <c r="B337" s="20"/>
      <c r="C337" s="20"/>
      <c r="D337" s="254"/>
      <c r="E337" s="379">
        <v>139152</v>
      </c>
      <c r="F337" s="395" t="s">
        <v>250</v>
      </c>
      <c r="G337" s="396"/>
      <c r="H337" s="397"/>
      <c r="I337" s="383">
        <v>56700</v>
      </c>
      <c r="J337" s="398">
        <v>139152</v>
      </c>
      <c r="K337" s="399" t="s">
        <v>70</v>
      </c>
      <c r="L337" s="399" t="s">
        <v>34</v>
      </c>
      <c r="M337" s="399">
        <v>20</v>
      </c>
      <c r="N337" s="356">
        <f>VLOOKUP(E337,[3]Sheet1!$A:$C,3,0)</f>
        <v>60100</v>
      </c>
      <c r="O337" s="28" t="b">
        <f t="shared" si="22"/>
        <v>0</v>
      </c>
    </row>
    <row r="338" spans="2:15" s="28" customFormat="1" ht="16.5" customHeight="1">
      <c r="B338" s="20"/>
      <c r="C338" s="20"/>
      <c r="D338" s="254"/>
      <c r="E338" s="379">
        <v>139153</v>
      </c>
      <c r="F338" s="395" t="s">
        <v>625</v>
      </c>
      <c r="G338" s="396"/>
      <c r="H338" s="397"/>
      <c r="I338" s="383">
        <v>580000</v>
      </c>
      <c r="J338" s="398">
        <v>139153</v>
      </c>
      <c r="K338" s="399" t="s">
        <v>71</v>
      </c>
      <c r="L338" s="399" t="s">
        <v>34</v>
      </c>
      <c r="M338" s="399">
        <v>200</v>
      </c>
      <c r="N338" s="356">
        <f>VLOOKUP(E338,[3]Sheet1!$A:$C,3,0)</f>
        <v>615000</v>
      </c>
      <c r="O338" s="28" t="b">
        <f t="shared" si="22"/>
        <v>0</v>
      </c>
    </row>
    <row r="339" spans="2:15" s="28" customFormat="1" ht="16.5" customHeight="1">
      <c r="B339" s="20"/>
      <c r="C339" s="20"/>
      <c r="D339" s="254"/>
      <c r="E339" s="379">
        <v>139154</v>
      </c>
      <c r="F339" s="395" t="s">
        <v>251</v>
      </c>
      <c r="G339" s="396"/>
      <c r="H339" s="397"/>
      <c r="I339" s="383">
        <v>60600</v>
      </c>
      <c r="J339" s="398">
        <v>139154</v>
      </c>
      <c r="K339" s="399" t="s">
        <v>70</v>
      </c>
      <c r="L339" s="399" t="s">
        <v>34</v>
      </c>
      <c r="M339" s="399">
        <v>20</v>
      </c>
      <c r="N339" s="356">
        <f>VLOOKUP(E339,[3]Sheet1!$A:$C,3,0)</f>
        <v>64200</v>
      </c>
      <c r="O339" s="28" t="b">
        <f t="shared" si="22"/>
        <v>0</v>
      </c>
    </row>
    <row r="340" spans="2:15" s="28" customFormat="1" ht="16.5" customHeight="1">
      <c r="B340" s="20"/>
      <c r="C340" s="20"/>
      <c r="D340" s="254"/>
      <c r="E340" s="379">
        <v>139155</v>
      </c>
      <c r="F340" s="395" t="s">
        <v>626</v>
      </c>
      <c r="G340" s="396"/>
      <c r="H340" s="397"/>
      <c r="I340" s="383">
        <v>610000</v>
      </c>
      <c r="J340" s="398">
        <v>139155</v>
      </c>
      <c r="K340" s="399" t="s">
        <v>71</v>
      </c>
      <c r="L340" s="399" t="s">
        <v>34</v>
      </c>
      <c r="M340" s="399">
        <v>200</v>
      </c>
      <c r="N340" s="356">
        <f>VLOOKUP(E340,[3]Sheet1!$A:$C,3,0)</f>
        <v>647000</v>
      </c>
      <c r="O340" s="28" t="b">
        <f t="shared" si="22"/>
        <v>0</v>
      </c>
    </row>
    <row r="341" spans="2:15" s="28" customFormat="1" ht="16.5" customHeight="1">
      <c r="B341" s="20"/>
      <c r="C341" s="20"/>
      <c r="D341" s="254"/>
      <c r="E341" s="379">
        <v>139156</v>
      </c>
      <c r="F341" s="395" t="s">
        <v>252</v>
      </c>
      <c r="G341" s="396"/>
      <c r="H341" s="397"/>
      <c r="I341" s="383">
        <v>64600</v>
      </c>
      <c r="J341" s="398">
        <v>139156</v>
      </c>
      <c r="K341" s="399" t="s">
        <v>70</v>
      </c>
      <c r="L341" s="399" t="s">
        <v>34</v>
      </c>
      <c r="M341" s="399">
        <v>20</v>
      </c>
      <c r="N341" s="356">
        <f>VLOOKUP(E341,[3]Sheet1!$A:$C,3,0)</f>
        <v>68500</v>
      </c>
      <c r="O341" s="28" t="b">
        <f t="shared" si="22"/>
        <v>0</v>
      </c>
    </row>
    <row r="342" spans="2:15" s="28" customFormat="1" ht="16.5" customHeight="1">
      <c r="B342" s="20"/>
      <c r="C342" s="20"/>
      <c r="D342" s="254"/>
      <c r="E342" s="379">
        <v>139158</v>
      </c>
      <c r="F342" s="395" t="s">
        <v>627</v>
      </c>
      <c r="G342" s="396"/>
      <c r="H342" s="397"/>
      <c r="I342" s="383">
        <v>636000</v>
      </c>
      <c r="J342" s="398">
        <v>139158</v>
      </c>
      <c r="K342" s="399" t="s">
        <v>71</v>
      </c>
      <c r="L342" s="399" t="s">
        <v>34</v>
      </c>
      <c r="M342" s="399">
        <v>200</v>
      </c>
      <c r="N342" s="356">
        <f>VLOOKUP(E342,[3]Sheet1!$A:$C,3,0)</f>
        <v>674000</v>
      </c>
      <c r="O342" s="28" t="b">
        <f t="shared" si="22"/>
        <v>0</v>
      </c>
    </row>
    <row r="343" spans="2:15" s="28" customFormat="1" ht="16.5" customHeight="1">
      <c r="B343" s="20"/>
      <c r="C343" s="20"/>
      <c r="D343" s="254"/>
      <c r="E343" s="379">
        <v>139160</v>
      </c>
      <c r="F343" s="395" t="s">
        <v>628</v>
      </c>
      <c r="G343" s="396"/>
      <c r="H343" s="397"/>
      <c r="I343" s="383">
        <v>683000</v>
      </c>
      <c r="J343" s="398">
        <v>139160</v>
      </c>
      <c r="K343" s="399" t="s">
        <v>71</v>
      </c>
      <c r="L343" s="399" t="s">
        <v>34</v>
      </c>
      <c r="M343" s="399">
        <v>200</v>
      </c>
      <c r="N343" s="356">
        <f>VLOOKUP(E343,[3]Sheet1!$A:$C,3,0)</f>
        <v>724000</v>
      </c>
      <c r="O343" s="28" t="b">
        <f t="shared" si="22"/>
        <v>0</v>
      </c>
    </row>
    <row r="344" spans="2:15" s="28" customFormat="1" ht="16.5" customHeight="1">
      <c r="B344" s="20"/>
      <c r="C344" s="20"/>
      <c r="D344" s="254"/>
      <c r="E344" s="379">
        <v>139161</v>
      </c>
      <c r="F344" s="395" t="s">
        <v>347</v>
      </c>
      <c r="G344" s="396"/>
      <c r="H344" s="397"/>
      <c r="I344" s="383">
        <v>80500</v>
      </c>
      <c r="J344" s="398">
        <v>139161</v>
      </c>
      <c r="K344" s="399" t="s">
        <v>70</v>
      </c>
      <c r="L344" s="399" t="s">
        <v>34</v>
      </c>
      <c r="M344" s="399">
        <v>20</v>
      </c>
      <c r="N344" s="356">
        <f>VLOOKUP(E344,[3]Sheet1!$A:$C,3,0)</f>
        <v>85300</v>
      </c>
      <c r="O344" s="28" t="b">
        <f t="shared" si="22"/>
        <v>0</v>
      </c>
    </row>
    <row r="345" spans="2:15" s="28" customFormat="1" ht="16.5" customHeight="1">
      <c r="B345" s="20"/>
      <c r="C345" s="20"/>
      <c r="D345" s="254"/>
      <c r="E345" s="379">
        <v>139163</v>
      </c>
      <c r="F345" s="395" t="s">
        <v>629</v>
      </c>
      <c r="G345" s="396"/>
      <c r="H345" s="397"/>
      <c r="I345" s="383">
        <v>763000</v>
      </c>
      <c r="J345" s="398">
        <v>139163</v>
      </c>
      <c r="K345" s="399" t="s">
        <v>71</v>
      </c>
      <c r="L345" s="399" t="s">
        <v>34</v>
      </c>
      <c r="M345" s="399">
        <v>200</v>
      </c>
      <c r="N345" s="356">
        <f>VLOOKUP(E345,[3]Sheet1!$A:$C,3,0)</f>
        <v>809000</v>
      </c>
      <c r="O345" s="28" t="b">
        <f t="shared" si="22"/>
        <v>0</v>
      </c>
    </row>
    <row r="346" spans="2:15" s="28" customFormat="1" ht="16.5" customHeight="1">
      <c r="B346" s="20"/>
      <c r="C346" s="20"/>
      <c r="D346" s="254"/>
      <c r="E346" s="379">
        <v>139164</v>
      </c>
      <c r="F346" s="395" t="s">
        <v>348</v>
      </c>
      <c r="G346" s="396"/>
      <c r="H346" s="397"/>
      <c r="I346" s="383">
        <v>80500</v>
      </c>
      <c r="J346" s="398">
        <v>139164</v>
      </c>
      <c r="K346" s="399" t="s">
        <v>70</v>
      </c>
      <c r="L346" s="399" t="s">
        <v>34</v>
      </c>
      <c r="M346" s="399">
        <v>20</v>
      </c>
      <c r="N346" s="356">
        <f>VLOOKUP(E346,[3]Sheet1!$A:$C,3,0)</f>
        <v>85300</v>
      </c>
      <c r="O346" s="28" t="b">
        <f t="shared" si="22"/>
        <v>0</v>
      </c>
    </row>
    <row r="347" spans="2:15" s="28" customFormat="1" ht="16.5" customHeight="1">
      <c r="B347" s="20"/>
      <c r="C347" s="20"/>
      <c r="D347" s="254"/>
      <c r="E347" s="379">
        <v>139167</v>
      </c>
      <c r="F347" s="395" t="s">
        <v>630</v>
      </c>
      <c r="G347" s="396"/>
      <c r="H347" s="397"/>
      <c r="I347" s="383">
        <v>499000</v>
      </c>
      <c r="J347" s="398">
        <v>139167</v>
      </c>
      <c r="K347" s="399" t="s">
        <v>71</v>
      </c>
      <c r="L347" s="399" t="s">
        <v>34</v>
      </c>
      <c r="M347" s="399">
        <v>200</v>
      </c>
      <c r="N347" s="356">
        <f>VLOOKUP(E347,[3]Sheet1!$A:$C,3,0)</f>
        <v>529000</v>
      </c>
      <c r="O347" s="28" t="b">
        <f t="shared" si="22"/>
        <v>0</v>
      </c>
    </row>
    <row r="348" spans="2:15" s="28" customFormat="1" ht="16.5" customHeight="1">
      <c r="B348" s="20"/>
      <c r="C348" s="20"/>
      <c r="D348" s="254"/>
      <c r="E348" s="379">
        <v>140145</v>
      </c>
      <c r="F348" s="395" t="s">
        <v>46</v>
      </c>
      <c r="G348" s="396"/>
      <c r="H348" s="397"/>
      <c r="I348" s="383">
        <v>183000</v>
      </c>
      <c r="J348" s="398">
        <v>140145</v>
      </c>
      <c r="K348" s="399" t="s">
        <v>70</v>
      </c>
      <c r="L348" s="399" t="s">
        <v>34</v>
      </c>
      <c r="M348" s="399">
        <v>16</v>
      </c>
      <c r="N348" s="356">
        <f>VLOOKUP(E348,[3]Sheet1!$A:$C,3,0)</f>
        <v>194000</v>
      </c>
      <c r="O348" s="28" t="b">
        <f t="shared" si="22"/>
        <v>0</v>
      </c>
    </row>
    <row r="349" spans="2:15" s="28" customFormat="1" ht="16.5" customHeight="1">
      <c r="B349" s="20"/>
      <c r="C349" s="20"/>
      <c r="D349" s="254"/>
      <c r="E349" s="379">
        <v>139600</v>
      </c>
      <c r="F349" s="395" t="s">
        <v>767</v>
      </c>
      <c r="G349" s="396"/>
      <c r="H349" s="397"/>
      <c r="I349" s="383">
        <v>482000</v>
      </c>
      <c r="J349" s="398">
        <v>139600</v>
      </c>
      <c r="K349" s="399" t="s">
        <v>70</v>
      </c>
      <c r="L349" s="399" t="s">
        <v>34</v>
      </c>
      <c r="M349" s="399">
        <v>20</v>
      </c>
      <c r="N349" s="356">
        <f>VLOOKUP(E349,[3]Sheet1!$A:$C,3,0)</f>
        <v>482000</v>
      </c>
      <c r="O349" s="28" t="b">
        <f t="shared" si="22"/>
        <v>1</v>
      </c>
    </row>
    <row r="350" spans="2:15" s="28" customFormat="1" ht="16.5" customHeight="1">
      <c r="B350" s="20"/>
      <c r="C350" s="20"/>
      <c r="D350" s="254"/>
      <c r="E350" s="379">
        <v>139639</v>
      </c>
      <c r="F350" s="395" t="s">
        <v>353</v>
      </c>
      <c r="G350" s="396"/>
      <c r="H350" s="397"/>
      <c r="I350" s="383">
        <v>94100</v>
      </c>
      <c r="J350" s="398">
        <v>139639</v>
      </c>
      <c r="K350" s="399" t="s">
        <v>70</v>
      </c>
      <c r="L350" s="399" t="s">
        <v>34</v>
      </c>
      <c r="M350" s="399">
        <v>20</v>
      </c>
      <c r="N350" s="356">
        <f>VLOOKUP(E350,[3]Sheet1!$A:$C,3,0)</f>
        <v>99700</v>
      </c>
      <c r="O350" s="28" t="b">
        <f t="shared" si="22"/>
        <v>0</v>
      </c>
    </row>
    <row r="351" spans="2:15" s="28" customFormat="1" ht="16.5" customHeight="1">
      <c r="B351" s="20"/>
      <c r="C351" s="20"/>
      <c r="D351" s="254"/>
      <c r="E351" s="379">
        <v>139643</v>
      </c>
      <c r="F351" s="395" t="s">
        <v>354</v>
      </c>
      <c r="G351" s="396"/>
      <c r="H351" s="397"/>
      <c r="I351" s="383">
        <v>79200</v>
      </c>
      <c r="J351" s="398">
        <v>139643</v>
      </c>
      <c r="K351" s="399" t="s">
        <v>70</v>
      </c>
      <c r="L351" s="399" t="s">
        <v>34</v>
      </c>
      <c r="M351" s="399">
        <v>20</v>
      </c>
      <c r="N351" s="356">
        <f>VLOOKUP(E351,[3]Sheet1!$A:$C,3,0)</f>
        <v>84000</v>
      </c>
      <c r="O351" s="28" t="b">
        <f t="shared" si="22"/>
        <v>0</v>
      </c>
    </row>
    <row r="352" spans="2:15" s="28" customFormat="1" ht="16.5" customHeight="1">
      <c r="B352" s="20"/>
      <c r="C352" s="20"/>
      <c r="D352" s="254"/>
      <c r="E352" s="379">
        <v>148679</v>
      </c>
      <c r="F352" s="395" t="s">
        <v>421</v>
      </c>
      <c r="G352" s="396"/>
      <c r="H352" s="397"/>
      <c r="I352" s="383">
        <v>645000</v>
      </c>
      <c r="J352" s="398">
        <v>148679</v>
      </c>
      <c r="K352" s="399" t="s">
        <v>71</v>
      </c>
      <c r="L352" s="399" t="s">
        <v>34</v>
      </c>
      <c r="M352" s="399">
        <v>208</v>
      </c>
      <c r="N352" s="356" t="e">
        <f>VLOOKUP(E352,[3]Sheet1!$A:$C,3,0)</f>
        <v>#N/A</v>
      </c>
      <c r="O352" s="28" t="e">
        <f t="shared" si="22"/>
        <v>#N/A</v>
      </c>
    </row>
    <row r="353" spans="2:15" s="28" customFormat="1" ht="16.5" customHeight="1">
      <c r="B353" s="20"/>
      <c r="C353" s="20"/>
      <c r="D353" s="254"/>
      <c r="E353" s="379">
        <v>141825</v>
      </c>
      <c r="F353" s="395" t="s">
        <v>641</v>
      </c>
      <c r="G353" s="396"/>
      <c r="H353" s="397"/>
      <c r="I353" s="383">
        <v>2660000</v>
      </c>
      <c r="J353" s="398">
        <v>141825</v>
      </c>
      <c r="K353" s="399" t="s">
        <v>71</v>
      </c>
      <c r="L353" s="399" t="s">
        <v>34</v>
      </c>
      <c r="M353" s="399">
        <v>208</v>
      </c>
      <c r="N353" s="356">
        <f>VLOOKUP(E353,[3]Sheet1!$A:$C,3,0)</f>
        <v>2660000</v>
      </c>
      <c r="O353" s="28" t="b">
        <f t="shared" si="22"/>
        <v>1</v>
      </c>
    </row>
    <row r="354" spans="2:15" s="28" customFormat="1" ht="16.5" customHeight="1">
      <c r="B354" s="20"/>
      <c r="C354" s="20"/>
      <c r="D354" s="254"/>
      <c r="E354" s="379">
        <v>139819</v>
      </c>
      <c r="F354" s="395" t="s">
        <v>642</v>
      </c>
      <c r="G354" s="396"/>
      <c r="H354" s="397"/>
      <c r="I354" s="383">
        <v>2692000</v>
      </c>
      <c r="J354" s="398">
        <v>139819</v>
      </c>
      <c r="K354" s="399" t="s">
        <v>71</v>
      </c>
      <c r="L354" s="399" t="s">
        <v>34</v>
      </c>
      <c r="M354" s="399">
        <v>208</v>
      </c>
      <c r="N354" s="356">
        <f>VLOOKUP(E354,[3]Sheet1!$A:$C,3,0)</f>
        <v>2692000</v>
      </c>
      <c r="O354" s="28" t="b">
        <f t="shared" si="22"/>
        <v>1</v>
      </c>
    </row>
    <row r="355" spans="2:15" s="28" customFormat="1" ht="16.5" customHeight="1">
      <c r="B355" s="20"/>
      <c r="C355" s="20"/>
      <c r="D355" s="254"/>
      <c r="E355" s="379">
        <v>139821</v>
      </c>
      <c r="F355" s="395" t="s">
        <v>643</v>
      </c>
      <c r="G355" s="396"/>
      <c r="H355" s="397"/>
      <c r="I355" s="383">
        <v>3429000</v>
      </c>
      <c r="J355" s="398">
        <v>139821</v>
      </c>
      <c r="K355" s="399" t="s">
        <v>71</v>
      </c>
      <c r="L355" s="399" t="s">
        <v>34</v>
      </c>
      <c r="M355" s="399">
        <v>208</v>
      </c>
      <c r="N355" s="356">
        <f>VLOOKUP(E355,[3]Sheet1!$A:$C,3,0)</f>
        <v>3429000</v>
      </c>
      <c r="O355" s="28" t="b">
        <f t="shared" si="22"/>
        <v>1</v>
      </c>
    </row>
    <row r="356" spans="2:15" s="28" customFormat="1" ht="16.5" customHeight="1">
      <c r="B356" s="20"/>
      <c r="C356" s="20"/>
      <c r="D356" s="254"/>
      <c r="E356" s="379">
        <v>143919</v>
      </c>
      <c r="F356" s="395" t="s">
        <v>863</v>
      </c>
      <c r="G356" s="396"/>
      <c r="H356" s="397"/>
      <c r="I356" s="383">
        <v>64000</v>
      </c>
      <c r="J356" s="398">
        <v>143919</v>
      </c>
      <c r="K356" s="399" t="s">
        <v>73</v>
      </c>
      <c r="L356" s="399" t="s">
        <v>34</v>
      </c>
      <c r="M356" s="399">
        <v>4.68</v>
      </c>
      <c r="N356" s="356" t="e">
        <f>VLOOKUP(E356,[3]Sheet1!$A:$C,3,0)</f>
        <v>#N/A</v>
      </c>
      <c r="O356" s="28" t="e">
        <f t="shared" si="22"/>
        <v>#N/A</v>
      </c>
    </row>
    <row r="357" spans="2:15" s="28" customFormat="1" ht="16.5" customHeight="1">
      <c r="B357" s="20"/>
      <c r="C357" s="20"/>
      <c r="D357" s="254"/>
      <c r="E357" s="379">
        <v>141840</v>
      </c>
      <c r="F357" s="395" t="s">
        <v>358</v>
      </c>
      <c r="G357" s="396"/>
      <c r="H357" s="397"/>
      <c r="I357" s="383">
        <v>270000</v>
      </c>
      <c r="J357" s="398">
        <v>141840</v>
      </c>
      <c r="K357" s="399" t="s">
        <v>70</v>
      </c>
      <c r="L357" s="399" t="s">
        <v>34</v>
      </c>
      <c r="M357" s="399">
        <v>20</v>
      </c>
      <c r="N357" s="356">
        <f>VLOOKUP(E357,[3]Sheet1!$A:$C,3,0)</f>
        <v>270000</v>
      </c>
      <c r="O357" s="28" t="b">
        <f t="shared" si="22"/>
        <v>1</v>
      </c>
    </row>
    <row r="358" spans="2:15" s="28" customFormat="1" ht="16.5" customHeight="1">
      <c r="B358" s="20"/>
      <c r="C358" s="20"/>
      <c r="D358" s="254"/>
      <c r="E358" s="379">
        <v>139962</v>
      </c>
      <c r="F358" s="395" t="s">
        <v>359</v>
      </c>
      <c r="G358" s="396"/>
      <c r="H358" s="397"/>
      <c r="I358" s="383">
        <v>255000</v>
      </c>
      <c r="J358" s="398">
        <v>139962</v>
      </c>
      <c r="K358" s="399" t="s">
        <v>70</v>
      </c>
      <c r="L358" s="399" t="s">
        <v>34</v>
      </c>
      <c r="M358" s="399">
        <v>20</v>
      </c>
      <c r="N358" s="356">
        <f>VLOOKUP(E358,[3]Sheet1!$A:$C,3,0)</f>
        <v>255000</v>
      </c>
      <c r="O358" s="28" t="b">
        <f t="shared" si="22"/>
        <v>1</v>
      </c>
    </row>
    <row r="359" spans="2:15" s="28" customFormat="1" ht="16.5" customHeight="1">
      <c r="B359" s="20"/>
      <c r="C359" s="20"/>
      <c r="D359" s="254"/>
      <c r="E359" s="379">
        <v>139963</v>
      </c>
      <c r="F359" s="395" t="s">
        <v>360</v>
      </c>
      <c r="G359" s="396"/>
      <c r="H359" s="397"/>
      <c r="I359" s="383">
        <v>271000</v>
      </c>
      <c r="J359" s="398">
        <v>139963</v>
      </c>
      <c r="K359" s="399" t="s">
        <v>70</v>
      </c>
      <c r="L359" s="399" t="s">
        <v>34</v>
      </c>
      <c r="M359" s="399">
        <v>20</v>
      </c>
      <c r="N359" s="356">
        <f>VLOOKUP(E359,[3]Sheet1!$A:$C,3,0)</f>
        <v>271000</v>
      </c>
      <c r="O359" s="28" t="b">
        <f t="shared" si="22"/>
        <v>1</v>
      </c>
    </row>
    <row r="360" spans="2:15" s="28" customFormat="1" ht="16.5" customHeight="1">
      <c r="B360" s="20"/>
      <c r="C360" s="20"/>
      <c r="D360" s="254"/>
      <c r="E360" s="379">
        <v>140058</v>
      </c>
      <c r="F360" s="395" t="s">
        <v>645</v>
      </c>
      <c r="G360" s="396"/>
      <c r="H360" s="397"/>
      <c r="I360" s="383">
        <v>520000</v>
      </c>
      <c r="J360" s="398">
        <v>140058</v>
      </c>
      <c r="K360" s="399" t="s">
        <v>71</v>
      </c>
      <c r="L360" s="399" t="s">
        <v>34</v>
      </c>
      <c r="M360" s="399">
        <v>200</v>
      </c>
      <c r="N360" s="356">
        <f>VLOOKUP(E360,[3]Sheet1!$A:$C,3,0)</f>
        <v>572000</v>
      </c>
      <c r="O360" s="28" t="b">
        <f t="shared" si="22"/>
        <v>0</v>
      </c>
    </row>
    <row r="361" spans="2:15" s="28" customFormat="1" ht="16.5" customHeight="1">
      <c r="B361" s="20"/>
      <c r="C361" s="20"/>
      <c r="D361" s="254"/>
      <c r="E361" s="379">
        <v>140059</v>
      </c>
      <c r="F361" s="395" t="s">
        <v>361</v>
      </c>
      <c r="G361" s="396"/>
      <c r="H361" s="397"/>
      <c r="I361" s="383">
        <v>54000</v>
      </c>
      <c r="J361" s="398">
        <v>140059</v>
      </c>
      <c r="K361" s="399" t="s">
        <v>70</v>
      </c>
      <c r="L361" s="399" t="s">
        <v>34</v>
      </c>
      <c r="M361" s="399">
        <v>20</v>
      </c>
      <c r="N361" s="356">
        <f>VLOOKUP(E361,[3]Sheet1!$A:$C,3,0)</f>
        <v>59400</v>
      </c>
      <c r="O361" s="28" t="b">
        <f t="shared" si="22"/>
        <v>0</v>
      </c>
    </row>
    <row r="362" spans="2:15" s="28" customFormat="1" ht="16.5" customHeight="1">
      <c r="B362" s="20"/>
      <c r="C362" s="20"/>
      <c r="D362" s="254"/>
      <c r="E362" s="379">
        <v>140107</v>
      </c>
      <c r="F362" s="395" t="s">
        <v>646</v>
      </c>
      <c r="G362" s="396"/>
      <c r="H362" s="397"/>
      <c r="I362" s="383">
        <v>3193000</v>
      </c>
      <c r="J362" s="398">
        <v>140107</v>
      </c>
      <c r="K362" s="399" t="s">
        <v>71</v>
      </c>
      <c r="L362" s="399" t="s">
        <v>34</v>
      </c>
      <c r="M362" s="399">
        <v>193.8</v>
      </c>
      <c r="N362" s="356">
        <f>VLOOKUP(E362,[3]Sheet1!$A:$C,3,0)</f>
        <v>3193000</v>
      </c>
      <c r="O362" s="28" t="b">
        <f t="shared" si="22"/>
        <v>1</v>
      </c>
    </row>
    <row r="363" spans="2:15" s="28" customFormat="1" ht="16.5" customHeight="1">
      <c r="B363" s="20"/>
      <c r="C363" s="20"/>
      <c r="D363" s="254"/>
      <c r="E363" s="379">
        <v>140108</v>
      </c>
      <c r="F363" s="395" t="s">
        <v>647</v>
      </c>
      <c r="G363" s="396"/>
      <c r="H363" s="397"/>
      <c r="I363" s="383">
        <v>3403000</v>
      </c>
      <c r="J363" s="398">
        <v>140108</v>
      </c>
      <c r="K363" s="399" t="s">
        <v>71</v>
      </c>
      <c r="L363" s="399" t="s">
        <v>34</v>
      </c>
      <c r="M363" s="399">
        <v>193.8</v>
      </c>
      <c r="N363" s="356">
        <f>VLOOKUP(E363,[3]Sheet1!$A:$C,3,0)</f>
        <v>3403000</v>
      </c>
      <c r="O363" s="28" t="b">
        <f t="shared" si="22"/>
        <v>1</v>
      </c>
    </row>
    <row r="364" spans="2:15" s="28" customFormat="1" ht="16.5" customHeight="1">
      <c r="B364" s="20"/>
      <c r="C364" s="20"/>
      <c r="D364" s="254"/>
      <c r="E364" s="379">
        <v>140109</v>
      </c>
      <c r="F364" s="395" t="s">
        <v>362</v>
      </c>
      <c r="G364" s="396"/>
      <c r="H364" s="397"/>
      <c r="I364" s="383">
        <v>320000</v>
      </c>
      <c r="J364" s="398">
        <v>140109</v>
      </c>
      <c r="K364" s="399" t="s">
        <v>70</v>
      </c>
      <c r="L364" s="399" t="s">
        <v>34</v>
      </c>
      <c r="M364" s="399">
        <v>17.457000000000001</v>
      </c>
      <c r="N364" s="356">
        <f>VLOOKUP(E364,[3]Sheet1!$A:$C,3,0)</f>
        <v>320000</v>
      </c>
      <c r="O364" s="28" t="b">
        <f t="shared" si="22"/>
        <v>1</v>
      </c>
    </row>
    <row r="365" spans="2:15" s="28" customFormat="1" ht="16.5" customHeight="1">
      <c r="B365" s="20"/>
      <c r="C365" s="20"/>
      <c r="D365" s="254"/>
      <c r="E365" s="379">
        <v>140110</v>
      </c>
      <c r="F365" s="395" t="s">
        <v>648</v>
      </c>
      <c r="G365" s="396"/>
      <c r="H365" s="397"/>
      <c r="I365" s="383">
        <v>3231000</v>
      </c>
      <c r="J365" s="398">
        <v>140110</v>
      </c>
      <c r="K365" s="399" t="s">
        <v>71</v>
      </c>
      <c r="L365" s="399" t="s">
        <v>34</v>
      </c>
      <c r="M365" s="399">
        <v>193.8</v>
      </c>
      <c r="N365" s="356">
        <f>VLOOKUP(E365,[3]Sheet1!$A:$C,3,0)</f>
        <v>3231000</v>
      </c>
      <c r="O365" s="28" t="b">
        <f t="shared" si="22"/>
        <v>1</v>
      </c>
    </row>
    <row r="366" spans="2:15" s="28" customFormat="1" ht="16.5" customHeight="1">
      <c r="B366" s="20"/>
      <c r="C366" s="20"/>
      <c r="D366" s="254"/>
      <c r="E366" s="379">
        <v>140111</v>
      </c>
      <c r="F366" s="395" t="s">
        <v>363</v>
      </c>
      <c r="G366" s="396"/>
      <c r="H366" s="397"/>
      <c r="I366" s="383">
        <v>326000</v>
      </c>
      <c r="J366" s="398">
        <v>140111</v>
      </c>
      <c r="K366" s="399" t="s">
        <v>70</v>
      </c>
      <c r="L366" s="399" t="s">
        <v>34</v>
      </c>
      <c r="M366" s="399">
        <v>17.329999999999998</v>
      </c>
      <c r="N366" s="356">
        <f>VLOOKUP(E366,[3]Sheet1!$A:$C,3,0)</f>
        <v>326000</v>
      </c>
      <c r="O366" s="28" t="b">
        <f t="shared" si="22"/>
        <v>1</v>
      </c>
    </row>
    <row r="367" spans="2:15" s="28" customFormat="1" ht="16.5" customHeight="1">
      <c r="B367" s="20"/>
      <c r="C367" s="20"/>
      <c r="D367" s="254"/>
      <c r="E367" s="379">
        <v>140112</v>
      </c>
      <c r="F367" s="395" t="s">
        <v>364</v>
      </c>
      <c r="G367" s="396"/>
      <c r="H367" s="397"/>
      <c r="I367" s="383">
        <v>340000</v>
      </c>
      <c r="J367" s="398">
        <v>140112</v>
      </c>
      <c r="K367" s="399" t="s">
        <v>70</v>
      </c>
      <c r="L367" s="399" t="s">
        <v>34</v>
      </c>
      <c r="M367" s="399">
        <v>17.329999999999998</v>
      </c>
      <c r="N367" s="356">
        <f>VLOOKUP(E367,[3]Sheet1!$A:$C,3,0)</f>
        <v>340000</v>
      </c>
      <c r="O367" s="28" t="b">
        <f t="shared" si="22"/>
        <v>1</v>
      </c>
    </row>
    <row r="368" spans="2:15" s="28" customFormat="1" ht="16.5" customHeight="1">
      <c r="B368" s="20"/>
      <c r="C368" s="20"/>
      <c r="D368" s="254"/>
      <c r="E368" s="379">
        <v>140139</v>
      </c>
      <c r="F368" s="395" t="s">
        <v>368</v>
      </c>
      <c r="G368" s="396"/>
      <c r="H368" s="397"/>
      <c r="I368" s="383">
        <v>140000</v>
      </c>
      <c r="J368" s="398">
        <v>140139</v>
      </c>
      <c r="K368" s="399" t="s">
        <v>70</v>
      </c>
      <c r="L368" s="399" t="s">
        <v>34</v>
      </c>
      <c r="M368" s="399">
        <v>16</v>
      </c>
      <c r="N368" s="356">
        <f>VLOOKUP(E368,[3]Sheet1!$A:$C,3,0)</f>
        <v>148000</v>
      </c>
      <c r="O368" s="28" t="b">
        <f t="shared" si="22"/>
        <v>0</v>
      </c>
    </row>
    <row r="369" spans="2:15" s="28" customFormat="1" ht="16.5" customHeight="1">
      <c r="B369" s="20"/>
      <c r="C369" s="20"/>
      <c r="D369" s="254"/>
      <c r="E369" s="379">
        <v>140140</v>
      </c>
      <c r="F369" s="395" t="s">
        <v>369</v>
      </c>
      <c r="G369" s="396"/>
      <c r="H369" s="397"/>
      <c r="I369" s="383">
        <v>120000</v>
      </c>
      <c r="J369" s="398">
        <v>140140</v>
      </c>
      <c r="K369" s="399" t="s">
        <v>70</v>
      </c>
      <c r="L369" s="399" t="s">
        <v>34</v>
      </c>
      <c r="M369" s="399">
        <v>16</v>
      </c>
      <c r="N369" s="356">
        <f>VLOOKUP(E369,[3]Sheet1!$A:$C,3,0)</f>
        <v>127000</v>
      </c>
      <c r="O369" s="28" t="b">
        <f t="shared" si="22"/>
        <v>0</v>
      </c>
    </row>
    <row r="370" spans="2:15" s="28" customFormat="1" ht="16.5" customHeight="1">
      <c r="B370" s="20"/>
      <c r="C370" s="20"/>
      <c r="D370" s="254"/>
      <c r="E370" s="379">
        <v>140141</v>
      </c>
      <c r="F370" s="395" t="s">
        <v>370</v>
      </c>
      <c r="G370" s="396"/>
      <c r="H370" s="397"/>
      <c r="I370" s="383">
        <v>188000</v>
      </c>
      <c r="J370" s="398">
        <v>140141</v>
      </c>
      <c r="K370" s="399" t="s">
        <v>70</v>
      </c>
      <c r="L370" s="399" t="s">
        <v>34</v>
      </c>
      <c r="M370" s="399">
        <v>16</v>
      </c>
      <c r="N370" s="356">
        <f>VLOOKUP(E370,[3]Sheet1!$A:$C,3,0)</f>
        <v>199000</v>
      </c>
      <c r="O370" s="28" t="b">
        <f t="shared" si="22"/>
        <v>0</v>
      </c>
    </row>
    <row r="371" spans="2:15" s="28" customFormat="1" ht="16.5" customHeight="1">
      <c r="B371" s="20"/>
      <c r="C371" s="20"/>
      <c r="D371" s="254"/>
      <c r="E371" s="379">
        <v>140142</v>
      </c>
      <c r="F371" s="395" t="s">
        <v>371</v>
      </c>
      <c r="G371" s="396"/>
      <c r="H371" s="397"/>
      <c r="I371" s="383">
        <v>130000</v>
      </c>
      <c r="J371" s="398">
        <v>140142</v>
      </c>
      <c r="K371" s="399" t="s">
        <v>70</v>
      </c>
      <c r="L371" s="399" t="s">
        <v>34</v>
      </c>
      <c r="M371" s="399">
        <v>16</v>
      </c>
      <c r="N371" s="356">
        <f>VLOOKUP(E371,[3]Sheet1!$A:$C,3,0)</f>
        <v>138000</v>
      </c>
      <c r="O371" s="28" t="b">
        <f t="shared" si="22"/>
        <v>0</v>
      </c>
    </row>
    <row r="372" spans="2:15" s="28" customFormat="1" ht="16.5" customHeight="1">
      <c r="B372" s="20"/>
      <c r="C372" s="20"/>
      <c r="D372" s="254"/>
      <c r="E372" s="379">
        <v>140143</v>
      </c>
      <c r="F372" s="395" t="s">
        <v>372</v>
      </c>
      <c r="G372" s="396"/>
      <c r="H372" s="397"/>
      <c r="I372" s="383">
        <v>203000</v>
      </c>
      <c r="J372" s="398">
        <v>140143</v>
      </c>
      <c r="K372" s="399" t="s">
        <v>70</v>
      </c>
      <c r="L372" s="399" t="s">
        <v>34</v>
      </c>
      <c r="M372" s="399">
        <v>16</v>
      </c>
      <c r="N372" s="356">
        <f>VLOOKUP(E372,[3]Sheet1!$A:$C,3,0)</f>
        <v>215000</v>
      </c>
      <c r="O372" s="28" t="b">
        <f t="shared" si="22"/>
        <v>0</v>
      </c>
    </row>
    <row r="373" spans="2:15" s="28" customFormat="1" ht="16.5" customHeight="1">
      <c r="B373" s="20"/>
      <c r="C373" s="20"/>
      <c r="D373" s="254"/>
      <c r="E373" s="379">
        <v>140148</v>
      </c>
      <c r="F373" s="395" t="s">
        <v>650</v>
      </c>
      <c r="G373" s="401"/>
      <c r="H373" s="402"/>
      <c r="I373" s="383">
        <v>1484000</v>
      </c>
      <c r="J373" s="398">
        <v>140148</v>
      </c>
      <c r="K373" s="399" t="s">
        <v>71</v>
      </c>
      <c r="L373" s="399" t="s">
        <v>34</v>
      </c>
      <c r="M373" s="399">
        <v>180</v>
      </c>
      <c r="N373" s="356">
        <f>VLOOKUP(E373,[3]Sheet1!$A:$C,3,0)</f>
        <v>1573000</v>
      </c>
      <c r="O373" s="28" t="b">
        <f t="shared" si="22"/>
        <v>0</v>
      </c>
    </row>
    <row r="374" spans="2:15" s="28" customFormat="1" ht="16.5" customHeight="1">
      <c r="B374" s="20"/>
      <c r="C374" s="20"/>
      <c r="D374" s="254"/>
      <c r="E374" s="379">
        <v>140149</v>
      </c>
      <c r="F374" s="395" t="s">
        <v>651</v>
      </c>
      <c r="G374" s="396"/>
      <c r="H374" s="397"/>
      <c r="I374" s="383">
        <v>1303000</v>
      </c>
      <c r="J374" s="398">
        <v>140149</v>
      </c>
      <c r="K374" s="399" t="s">
        <v>71</v>
      </c>
      <c r="L374" s="399" t="s">
        <v>34</v>
      </c>
      <c r="M374" s="399">
        <v>180</v>
      </c>
      <c r="N374" s="356">
        <f>VLOOKUP(E374,[3]Sheet1!$A:$C,3,0)</f>
        <v>1381000</v>
      </c>
      <c r="O374" s="28" t="b">
        <f t="shared" si="22"/>
        <v>0</v>
      </c>
    </row>
    <row r="375" spans="2:15" s="28" customFormat="1" ht="16.5" customHeight="1">
      <c r="B375" s="20"/>
      <c r="C375" s="20"/>
      <c r="D375" s="254"/>
      <c r="E375" s="379">
        <v>140150</v>
      </c>
      <c r="F375" s="395" t="s">
        <v>652</v>
      </c>
      <c r="G375" s="396"/>
      <c r="H375" s="397"/>
      <c r="I375" s="383">
        <v>1484000</v>
      </c>
      <c r="J375" s="398">
        <v>140150</v>
      </c>
      <c r="K375" s="399" t="s">
        <v>71</v>
      </c>
      <c r="L375" s="399" t="s">
        <v>34</v>
      </c>
      <c r="M375" s="399">
        <v>180</v>
      </c>
      <c r="N375" s="356">
        <f>VLOOKUP(E375,[3]Sheet1!$A:$C,3,0)</f>
        <v>1573000</v>
      </c>
      <c r="O375" s="28" t="b">
        <f t="shared" si="22"/>
        <v>0</v>
      </c>
    </row>
    <row r="376" spans="2:15" s="28" customFormat="1" ht="16.5" customHeight="1">
      <c r="B376" s="20"/>
      <c r="C376" s="20"/>
      <c r="D376" s="254"/>
      <c r="E376" s="379">
        <v>140151</v>
      </c>
      <c r="F376" s="395" t="s">
        <v>653</v>
      </c>
      <c r="G376" s="396"/>
      <c r="H376" s="397"/>
      <c r="I376" s="383">
        <v>1568000</v>
      </c>
      <c r="J376" s="398">
        <v>140151</v>
      </c>
      <c r="K376" s="399" t="s">
        <v>71</v>
      </c>
      <c r="L376" s="399" t="s">
        <v>34</v>
      </c>
      <c r="M376" s="399">
        <v>180</v>
      </c>
      <c r="N376" s="356">
        <f>VLOOKUP(E376,[3]Sheet1!$A:$C,3,0)</f>
        <v>1662000</v>
      </c>
      <c r="O376" s="28" t="b">
        <f t="shared" si="22"/>
        <v>0</v>
      </c>
    </row>
    <row r="377" spans="2:15" s="28" customFormat="1" ht="16.5" customHeight="1">
      <c r="B377" s="20"/>
      <c r="C377" s="20"/>
      <c r="D377" s="254"/>
      <c r="E377" s="379">
        <v>140152</v>
      </c>
      <c r="F377" s="395" t="s">
        <v>654</v>
      </c>
      <c r="G377" s="396"/>
      <c r="H377" s="397"/>
      <c r="I377" s="383">
        <v>2126000</v>
      </c>
      <c r="J377" s="398">
        <v>140152</v>
      </c>
      <c r="K377" s="399" t="s">
        <v>71</v>
      </c>
      <c r="L377" s="399" t="s">
        <v>34</v>
      </c>
      <c r="M377" s="399">
        <v>180</v>
      </c>
      <c r="N377" s="356">
        <f>VLOOKUP(E377,[3]Sheet1!$A:$C,3,0)</f>
        <v>2254000</v>
      </c>
      <c r="O377" s="28" t="b">
        <f t="shared" si="22"/>
        <v>0</v>
      </c>
    </row>
    <row r="378" spans="2:15" s="28" customFormat="1" ht="16.5" customHeight="1">
      <c r="B378" s="20"/>
      <c r="C378" s="20"/>
      <c r="D378" s="254"/>
      <c r="E378" s="379">
        <v>140153</v>
      </c>
      <c r="F378" s="395" t="s">
        <v>655</v>
      </c>
      <c r="G378" s="396"/>
      <c r="H378" s="397"/>
      <c r="I378" s="383">
        <v>2128000</v>
      </c>
      <c r="J378" s="398">
        <v>140153</v>
      </c>
      <c r="K378" s="399" t="s">
        <v>71</v>
      </c>
      <c r="L378" s="399" t="s">
        <v>34</v>
      </c>
      <c r="M378" s="399">
        <v>180</v>
      </c>
      <c r="N378" s="356">
        <f>VLOOKUP(E378,[3]Sheet1!$A:$C,3,0)</f>
        <v>2256000</v>
      </c>
      <c r="O378" s="28" t="b">
        <f t="shared" si="22"/>
        <v>0</v>
      </c>
    </row>
    <row r="379" spans="2:15" s="28" customFormat="1" ht="16.5" customHeight="1">
      <c r="B379" s="20"/>
      <c r="C379" s="20"/>
      <c r="D379" s="254"/>
      <c r="E379" s="379">
        <v>140154</v>
      </c>
      <c r="F379" s="395" t="s">
        <v>656</v>
      </c>
      <c r="G379" s="396"/>
      <c r="H379" s="397"/>
      <c r="I379" s="383" t="e">
        <v>#N/A</v>
      </c>
      <c r="J379" s="398">
        <v>140154</v>
      </c>
      <c r="K379" s="399" t="s">
        <v>71</v>
      </c>
      <c r="L379" s="399" t="s">
        <v>34</v>
      </c>
      <c r="M379" s="399">
        <v>180</v>
      </c>
      <c r="N379" s="356" t="e">
        <f>VLOOKUP(E379,[3]Sheet1!$A:$C,3,0)</f>
        <v>#N/A</v>
      </c>
      <c r="O379" s="28" t="e">
        <f t="shared" si="22"/>
        <v>#N/A</v>
      </c>
    </row>
    <row r="380" spans="2:15" s="28" customFormat="1" ht="16.5" customHeight="1">
      <c r="B380" s="20"/>
      <c r="C380" s="20"/>
      <c r="D380" s="254"/>
      <c r="E380" s="379">
        <v>140204</v>
      </c>
      <c r="F380" s="395" t="s">
        <v>379</v>
      </c>
      <c r="G380" s="396"/>
      <c r="H380" s="397"/>
      <c r="I380" s="383">
        <v>352000</v>
      </c>
      <c r="J380" s="398">
        <v>140204</v>
      </c>
      <c r="K380" s="399" t="s">
        <v>70</v>
      </c>
      <c r="L380" s="399" t="s">
        <v>34</v>
      </c>
      <c r="M380" s="399">
        <v>16</v>
      </c>
      <c r="N380" s="356">
        <f>VLOOKUP(E380,[3]Sheet1!$A:$C,3,0)</f>
        <v>352000</v>
      </c>
      <c r="O380" s="28" t="b">
        <f t="shared" si="22"/>
        <v>1</v>
      </c>
    </row>
    <row r="381" spans="2:15" s="28" customFormat="1" ht="16.5" customHeight="1">
      <c r="B381" s="20"/>
      <c r="C381" s="20"/>
      <c r="D381" s="254"/>
      <c r="E381" s="379">
        <v>140205</v>
      </c>
      <c r="F381" s="395" t="s">
        <v>380</v>
      </c>
      <c r="G381" s="401"/>
      <c r="H381" s="402"/>
      <c r="I381" s="383">
        <v>355000</v>
      </c>
      <c r="J381" s="398">
        <v>140205</v>
      </c>
      <c r="K381" s="399" t="s">
        <v>70</v>
      </c>
      <c r="L381" s="399" t="s">
        <v>34</v>
      </c>
      <c r="M381" s="399">
        <v>16</v>
      </c>
      <c r="N381" s="356">
        <f>VLOOKUP(E381,[3]Sheet1!$A:$C,3,0)</f>
        <v>355000</v>
      </c>
      <c r="O381" s="28" t="b">
        <f t="shared" si="22"/>
        <v>1</v>
      </c>
    </row>
    <row r="382" spans="2:15" s="28" customFormat="1" ht="16.5" customHeight="1">
      <c r="B382" s="20"/>
      <c r="C382" s="20"/>
      <c r="D382" s="254"/>
      <c r="E382" s="379">
        <v>140206</v>
      </c>
      <c r="F382" s="395" t="s">
        <v>659</v>
      </c>
      <c r="G382" s="396"/>
      <c r="H382" s="397"/>
      <c r="I382" s="383">
        <v>3685000</v>
      </c>
      <c r="J382" s="398">
        <v>140206</v>
      </c>
      <c r="K382" s="399" t="s">
        <v>71</v>
      </c>
      <c r="L382" s="399" t="s">
        <v>34</v>
      </c>
      <c r="M382" s="399">
        <v>174</v>
      </c>
      <c r="N382" s="356">
        <f>VLOOKUP(E382,[3]Sheet1!$A:$C,3,0)</f>
        <v>3685000</v>
      </c>
      <c r="O382" s="28" t="b">
        <f t="shared" si="22"/>
        <v>1</v>
      </c>
    </row>
    <row r="383" spans="2:15" s="28" customFormat="1" ht="16.5" customHeight="1">
      <c r="B383" s="20"/>
      <c r="C383" s="20"/>
      <c r="D383" s="254"/>
      <c r="E383" s="379">
        <v>140207</v>
      </c>
      <c r="F383" s="395" t="s">
        <v>660</v>
      </c>
      <c r="G383" s="396"/>
      <c r="H383" s="397"/>
      <c r="I383" s="383">
        <v>3777000</v>
      </c>
      <c r="J383" s="398">
        <v>140207</v>
      </c>
      <c r="K383" s="399" t="s">
        <v>71</v>
      </c>
      <c r="L383" s="399" t="s">
        <v>34</v>
      </c>
      <c r="M383" s="399">
        <v>174</v>
      </c>
      <c r="N383" s="356">
        <f>VLOOKUP(E383,[3]Sheet1!$A:$C,3,0)</f>
        <v>3777000</v>
      </c>
      <c r="O383" s="28" t="b">
        <f t="shared" si="22"/>
        <v>1</v>
      </c>
    </row>
    <row r="384" spans="2:15" s="28" customFormat="1" ht="16.5" customHeight="1">
      <c r="B384" s="20"/>
      <c r="C384" s="20"/>
      <c r="D384" s="254"/>
      <c r="E384" s="379">
        <v>140208</v>
      </c>
      <c r="F384" s="395" t="s">
        <v>661</v>
      </c>
      <c r="G384" s="396"/>
      <c r="H384" s="397"/>
      <c r="I384" s="383">
        <v>3689000</v>
      </c>
      <c r="J384" s="398">
        <v>140208</v>
      </c>
      <c r="K384" s="399" t="s">
        <v>71</v>
      </c>
      <c r="L384" s="399" t="s">
        <v>34</v>
      </c>
      <c r="M384" s="399">
        <v>174</v>
      </c>
      <c r="N384" s="356">
        <f>VLOOKUP(E384,[3]Sheet1!$A:$C,3,0)</f>
        <v>3689000</v>
      </c>
      <c r="O384" s="28" t="b">
        <f t="shared" si="22"/>
        <v>1</v>
      </c>
    </row>
    <row r="385" spans="2:15" s="28" customFormat="1" ht="16.5" customHeight="1">
      <c r="B385" s="20"/>
      <c r="C385" s="20"/>
      <c r="D385" s="254"/>
      <c r="E385" s="379">
        <v>140209</v>
      </c>
      <c r="F385" s="395" t="s">
        <v>662</v>
      </c>
      <c r="G385" s="396"/>
      <c r="H385" s="397"/>
      <c r="I385" s="383">
        <v>3730000</v>
      </c>
      <c r="J385" s="398">
        <v>140209</v>
      </c>
      <c r="K385" s="399" t="s">
        <v>71</v>
      </c>
      <c r="L385" s="399" t="s">
        <v>34</v>
      </c>
      <c r="M385" s="399">
        <v>174</v>
      </c>
      <c r="N385" s="356">
        <f>VLOOKUP(E385,[3]Sheet1!$A:$C,3,0)</f>
        <v>3730000</v>
      </c>
      <c r="O385" s="28" t="b">
        <f t="shared" si="22"/>
        <v>1</v>
      </c>
    </row>
    <row r="386" spans="2:15" s="28" customFormat="1" ht="16.5" customHeight="1">
      <c r="B386" s="20"/>
      <c r="C386" s="20"/>
      <c r="D386" s="254"/>
      <c r="E386" s="379">
        <v>140210</v>
      </c>
      <c r="F386" s="395" t="s">
        <v>663</v>
      </c>
      <c r="G386" s="396"/>
      <c r="H386" s="397"/>
      <c r="I386" s="383">
        <v>3687000</v>
      </c>
      <c r="J386" s="398">
        <v>140210</v>
      </c>
      <c r="K386" s="399" t="s">
        <v>71</v>
      </c>
      <c r="L386" s="399" t="s">
        <v>34</v>
      </c>
      <c r="M386" s="399">
        <v>174</v>
      </c>
      <c r="N386" s="356">
        <f>VLOOKUP(E386,[3]Sheet1!$A:$C,3,0)</f>
        <v>3687000</v>
      </c>
      <c r="O386" s="28" t="b">
        <f t="shared" si="22"/>
        <v>1</v>
      </c>
    </row>
    <row r="387" spans="2:15" s="28" customFormat="1" ht="16.5" customHeight="1">
      <c r="B387" s="20"/>
      <c r="C387" s="20"/>
      <c r="D387" s="254"/>
      <c r="E387" s="379">
        <v>140211</v>
      </c>
      <c r="F387" s="395" t="s">
        <v>664</v>
      </c>
      <c r="G387" s="396"/>
      <c r="H387" s="397"/>
      <c r="I387" s="383">
        <v>3730000</v>
      </c>
      <c r="J387" s="398">
        <v>140211</v>
      </c>
      <c r="K387" s="399" t="s">
        <v>71</v>
      </c>
      <c r="L387" s="399" t="s">
        <v>34</v>
      </c>
      <c r="M387" s="399">
        <v>174</v>
      </c>
      <c r="N387" s="356">
        <f>VLOOKUP(E387,[3]Sheet1!$A:$C,3,0)</f>
        <v>3730000</v>
      </c>
      <c r="O387" s="28" t="b">
        <f t="shared" si="22"/>
        <v>1</v>
      </c>
    </row>
    <row r="388" spans="2:15" s="28" customFormat="1" ht="16.5" customHeight="1">
      <c r="B388" s="20"/>
      <c r="C388" s="20"/>
      <c r="D388" s="254"/>
      <c r="E388" s="379">
        <v>140252</v>
      </c>
      <c r="F388" s="395" t="s">
        <v>381</v>
      </c>
      <c r="G388" s="396"/>
      <c r="H388" s="397"/>
      <c r="I388" s="383">
        <v>81000</v>
      </c>
      <c r="J388" s="398">
        <v>140252</v>
      </c>
      <c r="K388" s="399" t="s">
        <v>70</v>
      </c>
      <c r="L388" s="399" t="s">
        <v>34</v>
      </c>
      <c r="M388" s="399">
        <v>16</v>
      </c>
      <c r="N388" s="356">
        <f>VLOOKUP(E388,[3]Sheet1!$A:$C,3,0)</f>
        <v>85900</v>
      </c>
      <c r="O388" s="28" t="b">
        <f t="shared" si="22"/>
        <v>0</v>
      </c>
    </row>
    <row r="389" spans="2:15" s="28" customFormat="1" ht="16.5" customHeight="1">
      <c r="B389" s="20"/>
      <c r="C389" s="20"/>
      <c r="D389" s="254"/>
      <c r="E389" s="379">
        <v>140254</v>
      </c>
      <c r="F389" s="395" t="s">
        <v>382</v>
      </c>
      <c r="G389" s="396"/>
      <c r="H389" s="397"/>
      <c r="I389" s="383">
        <v>81000</v>
      </c>
      <c r="J389" s="398">
        <v>140254</v>
      </c>
      <c r="K389" s="399" t="s">
        <v>70</v>
      </c>
      <c r="L389" s="399" t="s">
        <v>34</v>
      </c>
      <c r="M389" s="399">
        <v>16</v>
      </c>
      <c r="N389" s="356">
        <f>VLOOKUP(E389,[3]Sheet1!$A:$C,3,0)</f>
        <v>85900</v>
      </c>
      <c r="O389" s="28" t="b">
        <f t="shared" ref="O389:O452" si="23">I389=N389</f>
        <v>0</v>
      </c>
    </row>
    <row r="390" spans="2:15" s="28" customFormat="1" ht="16.5" customHeight="1">
      <c r="B390" s="20"/>
      <c r="C390" s="20"/>
      <c r="D390" s="254"/>
      <c r="E390" s="379">
        <v>140255</v>
      </c>
      <c r="F390" s="395" t="s">
        <v>383</v>
      </c>
      <c r="G390" s="396"/>
      <c r="H390" s="397"/>
      <c r="I390" s="383">
        <v>81000</v>
      </c>
      <c r="J390" s="398">
        <v>140255</v>
      </c>
      <c r="K390" s="399" t="s">
        <v>70</v>
      </c>
      <c r="L390" s="399" t="s">
        <v>34</v>
      </c>
      <c r="M390" s="399">
        <v>16</v>
      </c>
      <c r="N390" s="356">
        <f>VLOOKUP(E390,[3]Sheet1!$A:$C,3,0)</f>
        <v>85900</v>
      </c>
      <c r="O390" s="28" t="b">
        <f t="shared" si="23"/>
        <v>0</v>
      </c>
    </row>
    <row r="391" spans="2:15" s="28" customFormat="1" ht="16.5" customHeight="1">
      <c r="B391" s="20"/>
      <c r="C391" s="20"/>
      <c r="D391" s="254"/>
      <c r="E391" s="379">
        <v>140256</v>
      </c>
      <c r="F391" s="395" t="s">
        <v>384</v>
      </c>
      <c r="G391" s="396"/>
      <c r="H391" s="397"/>
      <c r="I391" s="383">
        <v>81000</v>
      </c>
      <c r="J391" s="398">
        <v>140256</v>
      </c>
      <c r="K391" s="399" t="s">
        <v>70</v>
      </c>
      <c r="L391" s="399" t="s">
        <v>34</v>
      </c>
      <c r="M391" s="399">
        <v>16</v>
      </c>
      <c r="N391" s="356">
        <f>VLOOKUP(E391,[3]Sheet1!$A:$C,3,0)</f>
        <v>85900</v>
      </c>
      <c r="O391" s="28" t="b">
        <f t="shared" si="23"/>
        <v>0</v>
      </c>
    </row>
    <row r="392" spans="2:15" s="28" customFormat="1" ht="16.5" customHeight="1">
      <c r="B392" s="20"/>
      <c r="C392" s="20"/>
      <c r="D392" s="254"/>
      <c r="E392" s="379">
        <v>140257</v>
      </c>
      <c r="F392" s="395" t="s">
        <v>127</v>
      </c>
      <c r="G392" s="396"/>
      <c r="H392" s="397"/>
      <c r="I392" s="383">
        <v>728000</v>
      </c>
      <c r="J392" s="398">
        <v>140257</v>
      </c>
      <c r="K392" s="399" t="s">
        <v>71</v>
      </c>
      <c r="L392" s="399" t="s">
        <v>34</v>
      </c>
      <c r="M392" s="399">
        <v>180</v>
      </c>
      <c r="N392" s="356">
        <f>VLOOKUP(E392,[3]Sheet1!$A:$C,3,0)</f>
        <v>772000</v>
      </c>
      <c r="O392" s="28" t="b">
        <f t="shared" si="23"/>
        <v>0</v>
      </c>
    </row>
    <row r="393" spans="2:15" s="28" customFormat="1" ht="16.5" customHeight="1">
      <c r="B393" s="20"/>
      <c r="C393" s="20"/>
      <c r="D393" s="254"/>
      <c r="E393" s="379">
        <v>140259</v>
      </c>
      <c r="F393" s="395" t="s">
        <v>665</v>
      </c>
      <c r="G393" s="396"/>
      <c r="H393" s="397"/>
      <c r="I393" s="383">
        <v>728000</v>
      </c>
      <c r="J393" s="398">
        <v>140259</v>
      </c>
      <c r="K393" s="399" t="s">
        <v>71</v>
      </c>
      <c r="L393" s="399" t="s">
        <v>34</v>
      </c>
      <c r="M393" s="399">
        <v>180</v>
      </c>
      <c r="N393" s="356">
        <f>VLOOKUP(E393,[3]Sheet1!$A:$C,3,0)</f>
        <v>772000</v>
      </c>
      <c r="O393" s="28" t="b">
        <f t="shared" si="23"/>
        <v>0</v>
      </c>
    </row>
    <row r="394" spans="2:15" s="28" customFormat="1" ht="16.5" customHeight="1">
      <c r="B394" s="20"/>
      <c r="C394" s="20"/>
      <c r="D394" s="254"/>
      <c r="E394" s="379">
        <v>140260</v>
      </c>
      <c r="F394" s="395" t="s">
        <v>666</v>
      </c>
      <c r="G394" s="396"/>
      <c r="H394" s="397"/>
      <c r="I394" s="383">
        <v>728000</v>
      </c>
      <c r="J394" s="398">
        <v>140260</v>
      </c>
      <c r="K394" s="399" t="s">
        <v>71</v>
      </c>
      <c r="L394" s="399" t="s">
        <v>34</v>
      </c>
      <c r="M394" s="399">
        <v>180</v>
      </c>
      <c r="N394" s="356">
        <f>VLOOKUP(E394,[3]Sheet1!$A:$C,3,0)</f>
        <v>772000</v>
      </c>
      <c r="O394" s="28" t="b">
        <f t="shared" si="23"/>
        <v>0</v>
      </c>
    </row>
    <row r="395" spans="2:15" s="28" customFormat="1" ht="16.5" customHeight="1">
      <c r="B395" s="20"/>
      <c r="C395" s="20"/>
      <c r="D395" s="254"/>
      <c r="E395" s="379">
        <v>140261</v>
      </c>
      <c r="F395" s="395" t="s">
        <v>667</v>
      </c>
      <c r="G395" s="396"/>
      <c r="H395" s="397"/>
      <c r="I395" s="383">
        <v>728000</v>
      </c>
      <c r="J395" s="398">
        <v>140261</v>
      </c>
      <c r="K395" s="399" t="s">
        <v>71</v>
      </c>
      <c r="L395" s="399" t="s">
        <v>34</v>
      </c>
      <c r="M395" s="399">
        <v>180</v>
      </c>
      <c r="N395" s="356">
        <f>VLOOKUP(E395,[3]Sheet1!$A:$C,3,0)</f>
        <v>772000</v>
      </c>
      <c r="O395" s="28" t="b">
        <f t="shared" si="23"/>
        <v>0</v>
      </c>
    </row>
    <row r="396" spans="2:15" s="28" customFormat="1" ht="16.5" customHeight="1">
      <c r="B396" s="20"/>
      <c r="C396" s="20"/>
      <c r="D396" s="254"/>
      <c r="E396" s="379">
        <v>140262</v>
      </c>
      <c r="F396" s="395" t="s">
        <v>668</v>
      </c>
      <c r="G396" s="396"/>
      <c r="H396" s="397"/>
      <c r="I396" s="383">
        <v>728000</v>
      </c>
      <c r="J396" s="398">
        <v>140262</v>
      </c>
      <c r="K396" s="399" t="s">
        <v>71</v>
      </c>
      <c r="L396" s="399" t="s">
        <v>34</v>
      </c>
      <c r="M396" s="399">
        <v>180</v>
      </c>
      <c r="N396" s="356">
        <f>VLOOKUP(E396,[3]Sheet1!$A:$C,3,0)</f>
        <v>772000</v>
      </c>
      <c r="O396" s="28" t="b">
        <f t="shared" si="23"/>
        <v>0</v>
      </c>
    </row>
    <row r="397" spans="2:15" s="28" customFormat="1" ht="16.5" customHeight="1">
      <c r="B397" s="20"/>
      <c r="C397" s="20"/>
      <c r="D397" s="254"/>
      <c r="E397" s="379">
        <v>140263</v>
      </c>
      <c r="F397" s="395" t="s">
        <v>126</v>
      </c>
      <c r="G397" s="396"/>
      <c r="H397" s="397"/>
      <c r="I397" s="383">
        <v>81000</v>
      </c>
      <c r="J397" s="398">
        <v>140263</v>
      </c>
      <c r="K397" s="399" t="s">
        <v>70</v>
      </c>
      <c r="L397" s="399" t="s">
        <v>34</v>
      </c>
      <c r="M397" s="399">
        <v>16</v>
      </c>
      <c r="N397" s="356">
        <f>VLOOKUP(E397,[3]Sheet1!$A:$C,3,0)</f>
        <v>85900</v>
      </c>
      <c r="O397" s="28" t="b">
        <f t="shared" si="23"/>
        <v>0</v>
      </c>
    </row>
    <row r="398" spans="2:15" s="28" customFormat="1" ht="16.5" customHeight="1">
      <c r="B398" s="20"/>
      <c r="C398" s="20"/>
      <c r="D398" s="254"/>
      <c r="E398" s="379">
        <v>140355</v>
      </c>
      <c r="F398" s="395" t="s">
        <v>385</v>
      </c>
      <c r="G398" s="396"/>
      <c r="H398" s="397"/>
      <c r="I398" s="383" t="e">
        <v>#N/A</v>
      </c>
      <c r="J398" s="398">
        <v>140355</v>
      </c>
      <c r="K398" s="399" t="s">
        <v>70</v>
      </c>
      <c r="L398" s="399" t="s">
        <v>34</v>
      </c>
      <c r="M398" s="399">
        <v>18</v>
      </c>
      <c r="N398" s="356" t="e">
        <f>VLOOKUP(E398,[3]Sheet1!$A:$C,3,0)</f>
        <v>#N/A</v>
      </c>
      <c r="O398" s="28" t="e">
        <f t="shared" si="23"/>
        <v>#N/A</v>
      </c>
    </row>
    <row r="399" spans="2:15" s="28" customFormat="1" ht="16.5" customHeight="1">
      <c r="B399" s="20"/>
      <c r="C399" s="20"/>
      <c r="D399" s="254"/>
      <c r="E399" s="379">
        <v>140435</v>
      </c>
      <c r="F399" s="395" t="s">
        <v>89</v>
      </c>
      <c r="G399" s="396"/>
      <c r="H399" s="397"/>
      <c r="I399" s="383">
        <v>395000</v>
      </c>
      <c r="J399" s="398">
        <v>140435</v>
      </c>
      <c r="K399" s="399" t="s">
        <v>70</v>
      </c>
      <c r="L399" s="399" t="s">
        <v>34</v>
      </c>
      <c r="M399" s="399">
        <v>20</v>
      </c>
      <c r="N399" s="356">
        <f>VLOOKUP(E399,[3]Sheet1!$A:$C,3,0)</f>
        <v>395000</v>
      </c>
      <c r="O399" s="28" t="b">
        <f t="shared" si="23"/>
        <v>1</v>
      </c>
    </row>
    <row r="400" spans="2:15" s="28" customFormat="1" ht="16.5" customHeight="1">
      <c r="B400" s="20"/>
      <c r="C400" s="20"/>
      <c r="D400" s="254"/>
      <c r="E400" s="379">
        <v>140485</v>
      </c>
      <c r="F400" s="395" t="s">
        <v>386</v>
      </c>
      <c r="G400" s="396"/>
      <c r="H400" s="397"/>
      <c r="I400" s="383">
        <v>107000</v>
      </c>
      <c r="J400" s="398">
        <v>140485</v>
      </c>
      <c r="K400" s="399" t="s">
        <v>70</v>
      </c>
      <c r="L400" s="399" t="s">
        <v>34</v>
      </c>
      <c r="M400" s="399">
        <v>20</v>
      </c>
      <c r="N400" s="356">
        <f>VLOOKUP(E400,[3]Sheet1!$A:$C,3,0)</f>
        <v>113000</v>
      </c>
      <c r="O400" s="28" t="b">
        <f t="shared" si="23"/>
        <v>0</v>
      </c>
    </row>
    <row r="401" spans="2:15" s="28" customFormat="1" ht="16.5" customHeight="1">
      <c r="B401" s="20"/>
      <c r="C401" s="20"/>
      <c r="D401" s="254"/>
      <c r="E401" s="379">
        <v>140499</v>
      </c>
      <c r="F401" s="395" t="s">
        <v>670</v>
      </c>
      <c r="G401" s="396"/>
      <c r="H401" s="397"/>
      <c r="I401" s="383">
        <v>3384000</v>
      </c>
      <c r="J401" s="398">
        <v>140499</v>
      </c>
      <c r="K401" s="399" t="s">
        <v>71</v>
      </c>
      <c r="L401" s="399" t="s">
        <v>34</v>
      </c>
      <c r="M401" s="399">
        <v>208</v>
      </c>
      <c r="N401" s="356">
        <f>VLOOKUP(E401,[3]Sheet1!$A:$C,3,0)</f>
        <v>3384000</v>
      </c>
      <c r="O401" s="28" t="b">
        <f t="shared" si="23"/>
        <v>1</v>
      </c>
    </row>
    <row r="402" spans="2:15" s="28" customFormat="1" ht="16.5" customHeight="1">
      <c r="B402" s="20"/>
      <c r="C402" s="20"/>
      <c r="D402" s="254"/>
      <c r="E402" s="379">
        <v>140501</v>
      </c>
      <c r="F402" s="395" t="s">
        <v>671</v>
      </c>
      <c r="G402" s="396"/>
      <c r="H402" s="397"/>
      <c r="I402" s="383">
        <v>4442000</v>
      </c>
      <c r="J402" s="398">
        <v>140501</v>
      </c>
      <c r="K402" s="399" t="s">
        <v>71</v>
      </c>
      <c r="L402" s="399" t="s">
        <v>34</v>
      </c>
      <c r="M402" s="399">
        <v>208</v>
      </c>
      <c r="N402" s="356">
        <f>VLOOKUP(E402,[3]Sheet1!$A:$C,3,0)</f>
        <v>4442000</v>
      </c>
      <c r="O402" s="28" t="b">
        <f t="shared" si="23"/>
        <v>1</v>
      </c>
    </row>
    <row r="403" spans="2:15" s="28" customFormat="1" ht="16.5" customHeight="1">
      <c r="B403" s="20"/>
      <c r="C403" s="20"/>
      <c r="D403" s="254"/>
      <c r="E403" s="379">
        <v>140503</v>
      </c>
      <c r="F403" s="395" t="s">
        <v>672</v>
      </c>
      <c r="G403" s="396"/>
      <c r="H403" s="397"/>
      <c r="I403" s="383">
        <v>4515000</v>
      </c>
      <c r="J403" s="398">
        <v>140503</v>
      </c>
      <c r="K403" s="399" t="s">
        <v>71</v>
      </c>
      <c r="L403" s="399" t="s">
        <v>34</v>
      </c>
      <c r="M403" s="399">
        <v>208</v>
      </c>
      <c r="N403" s="356">
        <f>VLOOKUP(E403,[3]Sheet1!$A:$C,3,0)</f>
        <v>4515000</v>
      </c>
      <c r="O403" s="28" t="b">
        <f t="shared" si="23"/>
        <v>1</v>
      </c>
    </row>
    <row r="404" spans="2:15" s="28" customFormat="1" ht="16.5" customHeight="1">
      <c r="B404" s="20"/>
      <c r="C404" s="20"/>
      <c r="D404" s="254"/>
      <c r="E404" s="379">
        <v>140541</v>
      </c>
      <c r="F404" s="395" t="s">
        <v>387</v>
      </c>
      <c r="G404" s="396"/>
      <c r="H404" s="397"/>
      <c r="I404" s="383"/>
      <c r="J404" s="398">
        <v>140541</v>
      </c>
      <c r="K404" s="399" t="s">
        <v>70</v>
      </c>
      <c r="L404" s="399" t="s">
        <v>34</v>
      </c>
      <c r="M404" s="399">
        <v>20</v>
      </c>
      <c r="N404" s="356" t="e">
        <f>VLOOKUP(E404,[3]Sheet1!$A:$C,3,0)</f>
        <v>#N/A</v>
      </c>
      <c r="O404" s="28" t="e">
        <f t="shared" si="23"/>
        <v>#N/A</v>
      </c>
    </row>
    <row r="405" spans="2:15" s="28" customFormat="1" ht="16.5" customHeight="1">
      <c r="B405" s="20"/>
      <c r="C405" s="20"/>
      <c r="D405" s="254"/>
      <c r="E405" s="379">
        <v>140627</v>
      </c>
      <c r="F405" s="395" t="s">
        <v>676</v>
      </c>
      <c r="G405" s="396"/>
      <c r="H405" s="397"/>
      <c r="I405" s="383">
        <v>746000</v>
      </c>
      <c r="J405" s="398">
        <v>140627</v>
      </c>
      <c r="K405" s="399" t="s">
        <v>71</v>
      </c>
      <c r="L405" s="399" t="s">
        <v>34</v>
      </c>
      <c r="M405" s="399">
        <v>200</v>
      </c>
      <c r="N405" s="356">
        <f>VLOOKUP(E405,[3]Sheet1!$A:$C,3,0)</f>
        <v>791000</v>
      </c>
      <c r="O405" s="28" t="b">
        <f t="shared" si="23"/>
        <v>0</v>
      </c>
    </row>
    <row r="406" spans="2:15" s="28" customFormat="1" ht="16.5" customHeight="1">
      <c r="B406" s="20"/>
      <c r="C406" s="20"/>
      <c r="D406" s="254"/>
      <c r="E406" s="379">
        <v>140629</v>
      </c>
      <c r="F406" s="395" t="s">
        <v>677</v>
      </c>
      <c r="G406" s="396"/>
      <c r="H406" s="397"/>
      <c r="I406" s="383">
        <v>746000</v>
      </c>
      <c r="J406" s="398">
        <v>140629</v>
      </c>
      <c r="K406" s="399" t="s">
        <v>71</v>
      </c>
      <c r="L406" s="399" t="s">
        <v>34</v>
      </c>
      <c r="M406" s="399">
        <v>200</v>
      </c>
      <c r="N406" s="356">
        <f>VLOOKUP(E406,[3]Sheet1!$A:$C,3,0)</f>
        <v>791000</v>
      </c>
      <c r="O406" s="28" t="b">
        <f t="shared" si="23"/>
        <v>0</v>
      </c>
    </row>
    <row r="407" spans="2:15" s="28" customFormat="1" ht="16.5" customHeight="1">
      <c r="B407" s="20"/>
      <c r="C407" s="20"/>
      <c r="D407" s="254"/>
      <c r="E407" s="379">
        <v>140631</v>
      </c>
      <c r="F407" s="395" t="s">
        <v>678</v>
      </c>
      <c r="G407" s="396"/>
      <c r="H407" s="397"/>
      <c r="I407" s="383">
        <v>746000</v>
      </c>
      <c r="J407" s="398">
        <v>140631</v>
      </c>
      <c r="K407" s="399" t="s">
        <v>71</v>
      </c>
      <c r="L407" s="399" t="s">
        <v>34</v>
      </c>
      <c r="M407" s="399">
        <v>200</v>
      </c>
      <c r="N407" s="356">
        <f>VLOOKUP(E407,[3]Sheet1!$A:$C,3,0)</f>
        <v>791000</v>
      </c>
      <c r="O407" s="28" t="b">
        <f t="shared" si="23"/>
        <v>0</v>
      </c>
    </row>
    <row r="408" spans="2:15" s="28" customFormat="1" ht="16.5" customHeight="1">
      <c r="B408" s="20"/>
      <c r="C408" s="20"/>
      <c r="D408" s="254"/>
      <c r="E408" s="379">
        <v>140675</v>
      </c>
      <c r="F408" s="395" t="s">
        <v>388</v>
      </c>
      <c r="G408" s="396"/>
      <c r="H408" s="397"/>
      <c r="I408" s="383">
        <v>79200</v>
      </c>
      <c r="J408" s="398">
        <v>140675</v>
      </c>
      <c r="K408" s="399" t="s">
        <v>70</v>
      </c>
      <c r="L408" s="399" t="s">
        <v>34</v>
      </c>
      <c r="M408" s="399">
        <v>20</v>
      </c>
      <c r="N408" s="356">
        <f>VLOOKUP(E408,[3]Sheet1!$A:$C,3,0)</f>
        <v>84000</v>
      </c>
      <c r="O408" s="28" t="b">
        <f t="shared" si="23"/>
        <v>0</v>
      </c>
    </row>
    <row r="409" spans="2:15" s="28" customFormat="1" ht="16.5" customHeight="1">
      <c r="B409" s="20"/>
      <c r="C409" s="20"/>
      <c r="D409" s="254"/>
      <c r="E409" s="379">
        <v>140676</v>
      </c>
      <c r="F409" s="395" t="s">
        <v>389</v>
      </c>
      <c r="G409" s="396"/>
      <c r="H409" s="397"/>
      <c r="I409" s="383">
        <v>79200</v>
      </c>
      <c r="J409" s="398">
        <v>140676</v>
      </c>
      <c r="K409" s="399" t="s">
        <v>70</v>
      </c>
      <c r="L409" s="399" t="s">
        <v>34</v>
      </c>
      <c r="M409" s="399">
        <v>20</v>
      </c>
      <c r="N409" s="356">
        <f>VLOOKUP(E409,[3]Sheet1!$A:$C,3,0)</f>
        <v>84000</v>
      </c>
      <c r="O409" s="28" t="b">
        <f t="shared" si="23"/>
        <v>0</v>
      </c>
    </row>
    <row r="410" spans="2:15" s="28" customFormat="1" ht="16.5" customHeight="1">
      <c r="B410" s="20"/>
      <c r="C410" s="20"/>
      <c r="D410" s="254"/>
      <c r="E410" s="379">
        <v>140677</v>
      </c>
      <c r="F410" s="395" t="s">
        <v>390</v>
      </c>
      <c r="G410" s="396"/>
      <c r="H410" s="397"/>
      <c r="I410" s="383">
        <v>79200</v>
      </c>
      <c r="J410" s="398">
        <v>140677</v>
      </c>
      <c r="K410" s="399" t="s">
        <v>70</v>
      </c>
      <c r="L410" s="399" t="s">
        <v>34</v>
      </c>
      <c r="M410" s="399">
        <v>20</v>
      </c>
      <c r="N410" s="356">
        <f>VLOOKUP(E410,[3]Sheet1!$A:$C,3,0)</f>
        <v>84000</v>
      </c>
      <c r="O410" s="28" t="b">
        <f t="shared" si="23"/>
        <v>0</v>
      </c>
    </row>
    <row r="411" spans="2:15" s="28" customFormat="1" ht="16.5" customHeight="1">
      <c r="B411" s="20"/>
      <c r="C411" s="20"/>
      <c r="D411" s="254"/>
      <c r="E411" s="379">
        <v>140787</v>
      </c>
      <c r="F411" s="395" t="s">
        <v>682</v>
      </c>
      <c r="G411" s="396"/>
      <c r="H411" s="397"/>
      <c r="I411" s="383">
        <v>1151000</v>
      </c>
      <c r="J411" s="398">
        <v>140787</v>
      </c>
      <c r="K411" s="399" t="s">
        <v>71</v>
      </c>
      <c r="L411" s="399" t="s">
        <v>34</v>
      </c>
      <c r="M411" s="399">
        <v>208</v>
      </c>
      <c r="N411" s="356">
        <f>VLOOKUP(E411,[3]Sheet1!$A:$C,3,0)</f>
        <v>1220000</v>
      </c>
      <c r="O411" s="28" t="b">
        <f t="shared" si="23"/>
        <v>0</v>
      </c>
    </row>
    <row r="412" spans="2:15" s="28" customFormat="1" ht="16.5" customHeight="1">
      <c r="B412" s="20"/>
      <c r="C412" s="20"/>
      <c r="D412" s="254"/>
      <c r="E412" s="379">
        <v>140817</v>
      </c>
      <c r="F412" s="395" t="s">
        <v>122</v>
      </c>
      <c r="G412" s="396"/>
      <c r="H412" s="397"/>
      <c r="I412" s="383" t="e">
        <v>#N/A</v>
      </c>
      <c r="J412" s="398">
        <v>140817</v>
      </c>
      <c r="K412" s="399" t="s">
        <v>71</v>
      </c>
      <c r="L412" s="399" t="s">
        <v>34</v>
      </c>
      <c r="M412" s="399">
        <v>208</v>
      </c>
      <c r="N412" s="356" t="e">
        <f>VLOOKUP(E412,[3]Sheet1!$A:$C,3,0)</f>
        <v>#N/A</v>
      </c>
      <c r="O412" s="28" t="e">
        <f t="shared" si="23"/>
        <v>#N/A</v>
      </c>
    </row>
    <row r="413" spans="2:15" s="28" customFormat="1" ht="16.5" customHeight="1">
      <c r="B413" s="20"/>
      <c r="C413" s="20"/>
      <c r="D413" s="254"/>
      <c r="E413" s="379">
        <v>140854</v>
      </c>
      <c r="F413" s="395" t="s">
        <v>756</v>
      </c>
      <c r="G413" s="396"/>
      <c r="H413" s="397"/>
      <c r="I413" s="383">
        <v>287000</v>
      </c>
      <c r="J413" s="398">
        <v>140854</v>
      </c>
      <c r="K413" s="399" t="s">
        <v>70</v>
      </c>
      <c r="L413" s="399" t="s">
        <v>34</v>
      </c>
      <c r="M413" s="399">
        <v>20</v>
      </c>
      <c r="N413" s="356">
        <f>VLOOKUP(E413,[3]Sheet1!$A:$C,3,0)</f>
        <v>287000</v>
      </c>
      <c r="O413" s="28" t="b">
        <f t="shared" si="23"/>
        <v>1</v>
      </c>
    </row>
    <row r="414" spans="2:15" s="28" customFormat="1" ht="16.5" customHeight="1">
      <c r="B414" s="20"/>
      <c r="C414" s="20"/>
      <c r="D414" s="254"/>
      <c r="E414" s="379">
        <v>141187</v>
      </c>
      <c r="F414" s="395" t="s">
        <v>125</v>
      </c>
      <c r="G414" s="396"/>
      <c r="H414" s="397"/>
      <c r="I414" s="383"/>
      <c r="J414" s="398">
        <v>141187</v>
      </c>
      <c r="K414" s="399" t="s">
        <v>71</v>
      </c>
      <c r="L414" s="399" t="s">
        <v>34</v>
      </c>
      <c r="M414" s="399">
        <v>200</v>
      </c>
      <c r="N414" s="356" t="e">
        <f>VLOOKUP(E414,[3]Sheet1!$A:$C,3,0)</f>
        <v>#N/A</v>
      </c>
      <c r="O414" s="28" t="e">
        <f t="shared" si="23"/>
        <v>#N/A</v>
      </c>
    </row>
    <row r="415" spans="2:15" s="28" customFormat="1" ht="16.5" customHeight="1">
      <c r="B415" s="20"/>
      <c r="C415" s="20"/>
      <c r="D415" s="254"/>
      <c r="E415" s="379">
        <v>141361</v>
      </c>
      <c r="F415" s="395" t="s">
        <v>391</v>
      </c>
      <c r="G415" s="396"/>
      <c r="H415" s="397"/>
      <c r="I415" s="383">
        <v>476000</v>
      </c>
      <c r="J415" s="398">
        <v>141361</v>
      </c>
      <c r="K415" s="399" t="s">
        <v>70</v>
      </c>
      <c r="L415" s="399" t="s">
        <v>34</v>
      </c>
      <c r="M415" s="399">
        <v>16</v>
      </c>
      <c r="N415" s="356">
        <f>VLOOKUP(E415,[3]Sheet1!$A:$C,3,0)</f>
        <v>476000</v>
      </c>
      <c r="O415" s="28" t="b">
        <f t="shared" si="23"/>
        <v>1</v>
      </c>
    </row>
    <row r="416" spans="2:15" s="28" customFormat="1" ht="16.5" customHeight="1">
      <c r="B416" s="20"/>
      <c r="C416" s="20"/>
      <c r="D416" s="254"/>
      <c r="E416" s="379">
        <v>141367</v>
      </c>
      <c r="F416" s="395" t="s">
        <v>392</v>
      </c>
      <c r="G416" s="396"/>
      <c r="H416" s="397"/>
      <c r="I416" s="383">
        <v>107000</v>
      </c>
      <c r="J416" s="398">
        <v>141367</v>
      </c>
      <c r="K416" s="399" t="s">
        <v>70</v>
      </c>
      <c r="L416" s="399" t="s">
        <v>34</v>
      </c>
      <c r="M416" s="399">
        <v>20</v>
      </c>
      <c r="N416" s="356">
        <f>VLOOKUP(E416,[3]Sheet1!$A:$C,3,0)</f>
        <v>113000</v>
      </c>
      <c r="O416" s="28" t="b">
        <f t="shared" si="23"/>
        <v>0</v>
      </c>
    </row>
    <row r="417" spans="2:15" s="28" customFormat="1" ht="16.5" customHeight="1">
      <c r="B417" s="20"/>
      <c r="C417" s="20"/>
      <c r="D417" s="254"/>
      <c r="E417" s="379">
        <v>148677</v>
      </c>
      <c r="F417" s="395" t="s">
        <v>134</v>
      </c>
      <c r="G417" s="396"/>
      <c r="H417" s="397"/>
      <c r="I417" s="383">
        <v>1029000</v>
      </c>
      <c r="J417" s="398">
        <v>148677</v>
      </c>
      <c r="K417" s="399" t="s">
        <v>71</v>
      </c>
      <c r="L417" s="399" t="s">
        <v>34</v>
      </c>
      <c r="M417" s="399">
        <v>200</v>
      </c>
      <c r="N417" s="356" t="e">
        <f>VLOOKUP(E417,[3]Sheet1!$A:$C,3,0)</f>
        <v>#N/A</v>
      </c>
      <c r="O417" s="28" t="e">
        <f t="shared" si="23"/>
        <v>#N/A</v>
      </c>
    </row>
    <row r="418" spans="2:15" s="28" customFormat="1" ht="16.5" customHeight="1">
      <c r="B418" s="20"/>
      <c r="C418" s="20"/>
      <c r="D418" s="254"/>
      <c r="E418" s="379">
        <v>141429</v>
      </c>
      <c r="F418" s="395" t="s">
        <v>119</v>
      </c>
      <c r="G418" s="396"/>
      <c r="H418" s="397"/>
      <c r="I418" s="383">
        <v>4915000</v>
      </c>
      <c r="J418" s="398">
        <v>141429</v>
      </c>
      <c r="K418" s="399" t="s">
        <v>71</v>
      </c>
      <c r="L418" s="399" t="s">
        <v>34</v>
      </c>
      <c r="M418" s="399">
        <v>174</v>
      </c>
      <c r="N418" s="356">
        <f>VLOOKUP(E418,[3]Sheet1!$A:$C,3,0)</f>
        <v>4915000</v>
      </c>
      <c r="O418" s="28" t="b">
        <f t="shared" si="23"/>
        <v>1</v>
      </c>
    </row>
    <row r="419" spans="2:15" s="28" customFormat="1" ht="16.5" customHeight="1">
      <c r="B419" s="20"/>
      <c r="C419" s="20"/>
      <c r="D419" s="254"/>
      <c r="E419" s="379">
        <v>141467</v>
      </c>
      <c r="F419" s="395" t="s">
        <v>393</v>
      </c>
      <c r="G419" s="396"/>
      <c r="H419" s="397"/>
      <c r="I419" s="383">
        <v>233000</v>
      </c>
      <c r="J419" s="398">
        <v>141467</v>
      </c>
      <c r="K419" s="399" t="s">
        <v>70</v>
      </c>
      <c r="L419" s="399" t="s">
        <v>34</v>
      </c>
      <c r="M419" s="399">
        <v>15.87</v>
      </c>
      <c r="N419" s="356">
        <f>VLOOKUP(E419,[3]Sheet1!$A:$C,3,0)</f>
        <v>247000</v>
      </c>
      <c r="O419" s="28" t="b">
        <f t="shared" si="23"/>
        <v>0</v>
      </c>
    </row>
    <row r="420" spans="2:15" s="28" customFormat="1" ht="16.5" customHeight="1">
      <c r="B420" s="20"/>
      <c r="C420" s="20"/>
      <c r="D420" s="254"/>
      <c r="E420" s="379">
        <v>141468</v>
      </c>
      <c r="F420" s="395" t="s">
        <v>686</v>
      </c>
      <c r="G420" s="396"/>
      <c r="H420" s="397"/>
      <c r="I420" s="383">
        <v>2439000</v>
      </c>
      <c r="J420" s="398">
        <v>141468</v>
      </c>
      <c r="K420" s="399" t="s">
        <v>71</v>
      </c>
      <c r="L420" s="399" t="s">
        <v>34</v>
      </c>
      <c r="M420" s="399">
        <v>180</v>
      </c>
      <c r="N420" s="356">
        <f>VLOOKUP(E420,[3]Sheet1!$A:$C,3,0)</f>
        <v>2585000</v>
      </c>
      <c r="O420" s="28" t="b">
        <f t="shared" si="23"/>
        <v>0</v>
      </c>
    </row>
    <row r="421" spans="2:15" s="28" customFormat="1" ht="16.5" customHeight="1">
      <c r="B421" s="20"/>
      <c r="C421" s="20"/>
      <c r="D421" s="254"/>
      <c r="E421" s="379">
        <v>141654</v>
      </c>
      <c r="F421" s="395" t="s">
        <v>394</v>
      </c>
      <c r="G421" s="396"/>
      <c r="H421" s="397"/>
      <c r="I421" s="383">
        <v>62700</v>
      </c>
      <c r="J421" s="398">
        <v>141654</v>
      </c>
      <c r="K421" s="399" t="s">
        <v>70</v>
      </c>
      <c r="L421" s="399" t="s">
        <v>34</v>
      </c>
      <c r="M421" s="399">
        <v>20</v>
      </c>
      <c r="N421" s="356">
        <f>VLOOKUP(E421,[3]Sheet1!$A:$C,3,0)</f>
        <v>66500</v>
      </c>
      <c r="O421" s="28" t="b">
        <f t="shared" si="23"/>
        <v>0</v>
      </c>
    </row>
    <row r="422" spans="2:15" s="28" customFormat="1" ht="16.5" customHeight="1">
      <c r="B422" s="20"/>
      <c r="C422" s="20"/>
      <c r="D422" s="254"/>
      <c r="E422" s="379">
        <v>141655</v>
      </c>
      <c r="F422" s="395" t="s">
        <v>689</v>
      </c>
      <c r="G422" s="396"/>
      <c r="H422" s="397"/>
      <c r="I422" s="383">
        <v>582000</v>
      </c>
      <c r="J422" s="398">
        <v>141655</v>
      </c>
      <c r="K422" s="399" t="s">
        <v>71</v>
      </c>
      <c r="L422" s="399" t="s">
        <v>34</v>
      </c>
      <c r="M422" s="399">
        <v>200</v>
      </c>
      <c r="N422" s="356">
        <f>VLOOKUP(E422,[3]Sheet1!$A:$C,3,0)</f>
        <v>617000</v>
      </c>
      <c r="O422" s="28" t="b">
        <f t="shared" si="23"/>
        <v>0</v>
      </c>
    </row>
    <row r="423" spans="2:15" s="28" customFormat="1" ht="16.5" customHeight="1">
      <c r="B423" s="20"/>
      <c r="C423" s="20"/>
      <c r="D423" s="254"/>
      <c r="E423" s="379">
        <v>141657</v>
      </c>
      <c r="F423" s="395" t="s">
        <v>395</v>
      </c>
      <c r="G423" s="396"/>
      <c r="H423" s="397"/>
      <c r="I423" s="383">
        <v>62700</v>
      </c>
      <c r="J423" s="398">
        <v>141657</v>
      </c>
      <c r="K423" s="399" t="s">
        <v>70</v>
      </c>
      <c r="L423" s="399" t="s">
        <v>34</v>
      </c>
      <c r="M423" s="399">
        <v>20</v>
      </c>
      <c r="N423" s="356">
        <f>VLOOKUP(E423,[3]Sheet1!$A:$C,3,0)</f>
        <v>66500</v>
      </c>
      <c r="O423" s="28" t="b">
        <f t="shared" si="23"/>
        <v>0</v>
      </c>
    </row>
    <row r="424" spans="2:15" s="28" customFormat="1" ht="16.5" customHeight="1">
      <c r="B424" s="20"/>
      <c r="C424" s="20"/>
      <c r="D424" s="254"/>
      <c r="E424" s="379">
        <v>141658</v>
      </c>
      <c r="F424" s="395" t="s">
        <v>691</v>
      </c>
      <c r="G424" s="396"/>
      <c r="H424" s="397"/>
      <c r="I424" s="383">
        <v>582000</v>
      </c>
      <c r="J424" s="398">
        <v>141658</v>
      </c>
      <c r="K424" s="399" t="s">
        <v>71</v>
      </c>
      <c r="L424" s="399" t="s">
        <v>34</v>
      </c>
      <c r="M424" s="399">
        <v>200</v>
      </c>
      <c r="N424" s="356">
        <f>VLOOKUP(E424,[3]Sheet1!$A:$C,3,0)</f>
        <v>617000</v>
      </c>
      <c r="O424" s="28" t="b">
        <f t="shared" si="23"/>
        <v>0</v>
      </c>
    </row>
    <row r="425" spans="2:15" s="28" customFormat="1" ht="16.5" customHeight="1">
      <c r="B425" s="20"/>
      <c r="C425" s="20"/>
      <c r="D425" s="254"/>
      <c r="E425" s="379">
        <v>141666</v>
      </c>
      <c r="F425" s="395" t="s">
        <v>693</v>
      </c>
      <c r="G425" s="396"/>
      <c r="H425" s="397"/>
      <c r="I425" s="383">
        <v>755000</v>
      </c>
      <c r="J425" s="398">
        <v>141666</v>
      </c>
      <c r="K425" s="399" t="s">
        <v>71</v>
      </c>
      <c r="L425" s="399" t="s">
        <v>34</v>
      </c>
      <c r="M425" s="399">
        <v>200</v>
      </c>
      <c r="N425" s="356">
        <f>VLOOKUP(E425,[3]Sheet1!$A:$C,3,0)</f>
        <v>800000</v>
      </c>
      <c r="O425" s="28" t="b">
        <f t="shared" si="23"/>
        <v>0</v>
      </c>
    </row>
    <row r="426" spans="2:15" s="28" customFormat="1" ht="16.5" customHeight="1">
      <c r="B426" s="20"/>
      <c r="C426" s="20"/>
      <c r="D426" s="254"/>
      <c r="E426" s="379">
        <v>141667</v>
      </c>
      <c r="F426" s="395" t="s">
        <v>694</v>
      </c>
      <c r="G426" s="396"/>
      <c r="H426" s="397"/>
      <c r="I426" s="383">
        <v>755000</v>
      </c>
      <c r="J426" s="398">
        <v>141667</v>
      </c>
      <c r="K426" s="399" t="s">
        <v>71</v>
      </c>
      <c r="L426" s="399" t="s">
        <v>34</v>
      </c>
      <c r="M426" s="399">
        <v>200</v>
      </c>
      <c r="N426" s="356">
        <f>VLOOKUP(E426,[3]Sheet1!$A:$C,3,0)</f>
        <v>800000</v>
      </c>
      <c r="O426" s="28" t="b">
        <f t="shared" si="23"/>
        <v>0</v>
      </c>
    </row>
    <row r="427" spans="2:15" s="28" customFormat="1" ht="16.5" customHeight="1">
      <c r="B427" s="20"/>
      <c r="C427" s="20"/>
      <c r="D427" s="254"/>
      <c r="E427" s="379">
        <v>141737</v>
      </c>
      <c r="F427" s="395" t="s">
        <v>116</v>
      </c>
      <c r="G427" s="396"/>
      <c r="H427" s="397"/>
      <c r="I427" s="383">
        <v>56300</v>
      </c>
      <c r="J427" s="398">
        <v>141737</v>
      </c>
      <c r="K427" s="399" t="s">
        <v>70</v>
      </c>
      <c r="L427" s="399" t="s">
        <v>34</v>
      </c>
      <c r="M427" s="399">
        <v>20</v>
      </c>
      <c r="N427" s="356">
        <f>VLOOKUP(E427,[3]Sheet1!$A:$C,3,0)</f>
        <v>59700</v>
      </c>
      <c r="O427" s="28" t="b">
        <f t="shared" si="23"/>
        <v>0</v>
      </c>
    </row>
    <row r="428" spans="2:15" s="28" customFormat="1" ht="16.5" customHeight="1">
      <c r="B428" s="20"/>
      <c r="C428" s="20"/>
      <c r="D428" s="254"/>
      <c r="E428" s="379">
        <v>141738</v>
      </c>
      <c r="F428" s="395" t="s">
        <v>115</v>
      </c>
      <c r="G428" s="396"/>
      <c r="H428" s="397"/>
      <c r="I428" s="383">
        <v>520000</v>
      </c>
      <c r="J428" s="398">
        <v>141738</v>
      </c>
      <c r="K428" s="399" t="s">
        <v>71</v>
      </c>
      <c r="L428" s="399" t="s">
        <v>34</v>
      </c>
      <c r="M428" s="399">
        <v>200</v>
      </c>
      <c r="N428" s="356">
        <f>VLOOKUP(E428,[3]Sheet1!$A:$C,3,0)</f>
        <v>551000</v>
      </c>
      <c r="O428" s="28" t="b">
        <f t="shared" si="23"/>
        <v>0</v>
      </c>
    </row>
    <row r="429" spans="2:15" s="28" customFormat="1" ht="16.5" customHeight="1">
      <c r="B429" s="20"/>
      <c r="C429" s="20"/>
      <c r="D429" s="254"/>
      <c r="E429" s="379">
        <v>141741</v>
      </c>
      <c r="F429" s="395" t="s">
        <v>114</v>
      </c>
      <c r="G429" s="396"/>
      <c r="H429" s="397"/>
      <c r="I429" s="383">
        <v>53900</v>
      </c>
      <c r="J429" s="398">
        <v>141741</v>
      </c>
      <c r="K429" s="399" t="s">
        <v>70</v>
      </c>
      <c r="L429" s="399" t="s">
        <v>34</v>
      </c>
      <c r="M429" s="399">
        <v>20</v>
      </c>
      <c r="N429" s="356">
        <f>VLOOKUP(E429,[3]Sheet1!$A:$C,3,0)</f>
        <v>57100</v>
      </c>
      <c r="O429" s="28" t="b">
        <f t="shared" si="23"/>
        <v>0</v>
      </c>
    </row>
    <row r="430" spans="2:15" s="28" customFormat="1" ht="16.5" customHeight="1">
      <c r="B430" s="20"/>
      <c r="C430" s="20"/>
      <c r="D430" s="254"/>
      <c r="E430" s="379">
        <v>141742</v>
      </c>
      <c r="F430" s="395" t="s">
        <v>113</v>
      </c>
      <c r="G430" s="396"/>
      <c r="H430" s="397"/>
      <c r="I430" s="383">
        <v>492000</v>
      </c>
      <c r="J430" s="398">
        <v>141742</v>
      </c>
      <c r="K430" s="399" t="s">
        <v>71</v>
      </c>
      <c r="L430" s="399" t="s">
        <v>34</v>
      </c>
      <c r="M430" s="399">
        <v>200</v>
      </c>
      <c r="N430" s="356">
        <f>VLOOKUP(E430,[3]Sheet1!$A:$C,3,0)</f>
        <v>522000</v>
      </c>
      <c r="O430" s="28" t="b">
        <f t="shared" si="23"/>
        <v>0</v>
      </c>
    </row>
    <row r="431" spans="2:15" s="28" customFormat="1" ht="16.5" customHeight="1">
      <c r="B431" s="20"/>
      <c r="C431" s="20"/>
      <c r="D431" s="254"/>
      <c r="E431" s="379">
        <v>141745</v>
      </c>
      <c r="F431" s="395" t="s">
        <v>112</v>
      </c>
      <c r="G431" s="396"/>
      <c r="H431" s="397"/>
      <c r="I431" s="383">
        <v>53900</v>
      </c>
      <c r="J431" s="398">
        <v>141745</v>
      </c>
      <c r="K431" s="399" t="s">
        <v>70</v>
      </c>
      <c r="L431" s="399" t="s">
        <v>34</v>
      </c>
      <c r="M431" s="399">
        <v>20</v>
      </c>
      <c r="N431" s="356">
        <f>VLOOKUP(E431,[3]Sheet1!$A:$C,3,0)</f>
        <v>57100</v>
      </c>
      <c r="O431" s="28" t="b">
        <f t="shared" si="23"/>
        <v>0</v>
      </c>
    </row>
    <row r="432" spans="2:15" s="28" customFormat="1" ht="16.5" customHeight="1">
      <c r="B432" s="20"/>
      <c r="C432" s="20"/>
      <c r="D432" s="254"/>
      <c r="E432" s="379">
        <v>141746</v>
      </c>
      <c r="F432" s="395" t="s">
        <v>111</v>
      </c>
      <c r="G432" s="396"/>
      <c r="H432" s="397"/>
      <c r="I432" s="383">
        <v>492000</v>
      </c>
      <c r="J432" s="398">
        <v>141746</v>
      </c>
      <c r="K432" s="399" t="s">
        <v>71</v>
      </c>
      <c r="L432" s="399" t="s">
        <v>34</v>
      </c>
      <c r="M432" s="399">
        <v>200</v>
      </c>
      <c r="N432" s="356">
        <f>VLOOKUP(E432,[3]Sheet1!$A:$C,3,0)</f>
        <v>522000</v>
      </c>
      <c r="O432" s="28" t="b">
        <f t="shared" si="23"/>
        <v>0</v>
      </c>
    </row>
    <row r="433" spans="2:15" s="28" customFormat="1" ht="16.5" customHeight="1">
      <c r="B433" s="20"/>
      <c r="C433" s="20"/>
      <c r="D433" s="254"/>
      <c r="E433" s="379">
        <v>141750</v>
      </c>
      <c r="F433" s="395" t="s">
        <v>231</v>
      </c>
      <c r="G433" s="396"/>
      <c r="H433" s="397"/>
      <c r="I433" s="383">
        <v>53900</v>
      </c>
      <c r="J433" s="398">
        <v>141750</v>
      </c>
      <c r="K433" s="399" t="s">
        <v>70</v>
      </c>
      <c r="L433" s="399" t="s">
        <v>34</v>
      </c>
      <c r="M433" s="399">
        <v>20</v>
      </c>
      <c r="N433" s="356">
        <f>VLOOKUP(E433,[3]Sheet1!$A:$C,3,0)</f>
        <v>57100</v>
      </c>
      <c r="O433" s="28" t="b">
        <f t="shared" si="23"/>
        <v>0</v>
      </c>
    </row>
    <row r="434" spans="2:15" s="28" customFormat="1" ht="16.5" customHeight="1">
      <c r="B434" s="20"/>
      <c r="C434" s="20"/>
      <c r="D434" s="254"/>
      <c r="E434" s="379">
        <v>141751</v>
      </c>
      <c r="F434" s="395" t="s">
        <v>110</v>
      </c>
      <c r="G434" s="396"/>
      <c r="H434" s="397"/>
      <c r="I434" s="383">
        <v>492000</v>
      </c>
      <c r="J434" s="398">
        <v>141751</v>
      </c>
      <c r="K434" s="399" t="s">
        <v>71</v>
      </c>
      <c r="L434" s="399" t="s">
        <v>34</v>
      </c>
      <c r="M434" s="399">
        <v>200</v>
      </c>
      <c r="N434" s="356">
        <f>VLOOKUP(E434,[3]Sheet1!$A:$C,3,0)</f>
        <v>522000</v>
      </c>
      <c r="O434" s="28" t="b">
        <f t="shared" si="23"/>
        <v>0</v>
      </c>
    </row>
    <row r="435" spans="2:15" s="28" customFormat="1" ht="16.5" customHeight="1">
      <c r="B435" s="20"/>
      <c r="C435" s="20"/>
      <c r="D435" s="254"/>
      <c r="E435" s="379">
        <v>141763</v>
      </c>
      <c r="F435" s="395" t="s">
        <v>396</v>
      </c>
      <c r="G435" s="396"/>
      <c r="H435" s="397"/>
      <c r="I435" s="383">
        <v>79600</v>
      </c>
      <c r="J435" s="398">
        <v>141763</v>
      </c>
      <c r="K435" s="399" t="s">
        <v>70</v>
      </c>
      <c r="L435" s="399" t="s">
        <v>34</v>
      </c>
      <c r="M435" s="399">
        <v>20</v>
      </c>
      <c r="N435" s="356">
        <f>VLOOKUP(E435,[3]Sheet1!$A:$C,3,0)</f>
        <v>84400</v>
      </c>
      <c r="O435" s="28" t="b">
        <f t="shared" si="23"/>
        <v>0</v>
      </c>
    </row>
    <row r="436" spans="2:15" s="28" customFormat="1" ht="16.5" customHeight="1">
      <c r="B436" s="20"/>
      <c r="C436" s="20"/>
      <c r="D436" s="254"/>
      <c r="E436" s="379">
        <v>142012</v>
      </c>
      <c r="F436" s="395" t="s">
        <v>129</v>
      </c>
      <c r="G436" s="396"/>
      <c r="H436" s="397"/>
      <c r="I436" s="383">
        <v>46900</v>
      </c>
      <c r="J436" s="398">
        <v>142012</v>
      </c>
      <c r="K436" s="399" t="s">
        <v>70</v>
      </c>
      <c r="L436" s="399" t="s">
        <v>34</v>
      </c>
      <c r="M436" s="399">
        <v>20</v>
      </c>
      <c r="N436" s="356">
        <f>VLOOKUP(E436,[3]Sheet1!$A:$C,3,0)</f>
        <v>49700</v>
      </c>
      <c r="O436" s="28" t="b">
        <f t="shared" si="23"/>
        <v>0</v>
      </c>
    </row>
    <row r="437" spans="2:15" s="28" customFormat="1" ht="16.5" customHeight="1">
      <c r="B437" s="20"/>
      <c r="C437" s="20"/>
      <c r="D437" s="254"/>
      <c r="E437" s="379">
        <v>142028</v>
      </c>
      <c r="F437" s="395" t="s">
        <v>768</v>
      </c>
      <c r="G437" s="396"/>
      <c r="H437" s="397"/>
      <c r="I437" s="383">
        <v>318000</v>
      </c>
      <c r="J437" s="398">
        <v>142028</v>
      </c>
      <c r="K437" s="399" t="s">
        <v>70</v>
      </c>
      <c r="L437" s="399" t="s">
        <v>34</v>
      </c>
      <c r="M437" s="399">
        <v>16</v>
      </c>
      <c r="N437" s="356">
        <f>VLOOKUP(E437,[3]Sheet1!$A:$C,3,0)</f>
        <v>318000</v>
      </c>
      <c r="O437" s="28" t="b">
        <f t="shared" si="23"/>
        <v>1</v>
      </c>
    </row>
    <row r="438" spans="2:15" s="28" customFormat="1" ht="16.5" customHeight="1">
      <c r="B438" s="20"/>
      <c r="C438" s="20"/>
      <c r="D438" s="254"/>
      <c r="E438" s="379">
        <v>142288</v>
      </c>
      <c r="F438" s="395" t="s">
        <v>121</v>
      </c>
      <c r="G438" s="396"/>
      <c r="H438" s="397"/>
      <c r="I438" s="383">
        <v>6002000</v>
      </c>
      <c r="J438" s="398">
        <v>142288</v>
      </c>
      <c r="K438" s="399" t="s">
        <v>71</v>
      </c>
      <c r="L438" s="399" t="s">
        <v>34</v>
      </c>
      <c r="M438" s="399">
        <v>208</v>
      </c>
      <c r="N438" s="356">
        <f>VLOOKUP(E438,[3]Sheet1!$A:$C,3,0)</f>
        <v>6002000</v>
      </c>
      <c r="O438" s="28" t="b">
        <f t="shared" si="23"/>
        <v>1</v>
      </c>
    </row>
    <row r="439" spans="2:15" s="28" customFormat="1" ht="16.5" customHeight="1">
      <c r="B439" s="20"/>
      <c r="C439" s="20"/>
      <c r="D439" s="254"/>
      <c r="E439" s="379">
        <v>142411</v>
      </c>
      <c r="F439" s="395" t="s">
        <v>705</v>
      </c>
      <c r="G439" s="396"/>
      <c r="H439" s="397"/>
      <c r="I439" s="383">
        <v>777000</v>
      </c>
      <c r="J439" s="398">
        <v>142411</v>
      </c>
      <c r="K439" s="399" t="s">
        <v>71</v>
      </c>
      <c r="L439" s="399" t="s">
        <v>34</v>
      </c>
      <c r="M439" s="399">
        <v>200</v>
      </c>
      <c r="N439" s="356">
        <f>VLOOKUP(E439,[3]Sheet1!$A:$C,3,0)</f>
        <v>824000</v>
      </c>
      <c r="O439" s="28" t="b">
        <f t="shared" si="23"/>
        <v>0</v>
      </c>
    </row>
    <row r="440" spans="2:15" s="28" customFormat="1" ht="16.5" customHeight="1">
      <c r="B440" s="20"/>
      <c r="C440" s="20"/>
      <c r="D440" s="254"/>
      <c r="E440" s="379">
        <v>142637</v>
      </c>
      <c r="F440" s="395" t="s">
        <v>707</v>
      </c>
      <c r="G440" s="396"/>
      <c r="H440" s="397"/>
      <c r="I440" s="383">
        <v>4494000</v>
      </c>
      <c r="J440" s="399">
        <v>142637</v>
      </c>
      <c r="K440" s="399" t="s">
        <v>71</v>
      </c>
      <c r="L440" s="399" t="s">
        <v>34</v>
      </c>
      <c r="M440" s="399">
        <v>200</v>
      </c>
      <c r="N440" s="356">
        <f>VLOOKUP(E440,[3]Sheet1!$A:$C,3,0)</f>
        <v>4494000</v>
      </c>
      <c r="O440" s="28" t="b">
        <f t="shared" si="23"/>
        <v>1</v>
      </c>
    </row>
    <row r="441" spans="2:15" s="28" customFormat="1" ht="16.5" customHeight="1">
      <c r="B441" s="20"/>
      <c r="C441" s="20"/>
      <c r="D441" s="254"/>
      <c r="E441" s="379">
        <v>143560</v>
      </c>
      <c r="F441" s="395" t="s">
        <v>724</v>
      </c>
      <c r="G441" s="396"/>
      <c r="H441" s="397"/>
      <c r="I441" s="383">
        <v>728000</v>
      </c>
      <c r="J441" s="398">
        <v>143560</v>
      </c>
      <c r="K441" s="399" t="s">
        <v>71</v>
      </c>
      <c r="L441" s="399" t="s">
        <v>34</v>
      </c>
      <c r="M441" s="399">
        <v>200</v>
      </c>
      <c r="N441" s="356">
        <f>VLOOKUP(E441,[3]Sheet1!$A:$C,3,0)</f>
        <v>772000</v>
      </c>
      <c r="O441" s="28" t="b">
        <f t="shared" si="23"/>
        <v>0</v>
      </c>
    </row>
    <row r="442" spans="2:15" s="28" customFormat="1" ht="16.5" customHeight="1">
      <c r="B442" s="20"/>
      <c r="C442" s="20"/>
      <c r="D442" s="254"/>
      <c r="E442" s="379">
        <v>143561</v>
      </c>
      <c r="F442" s="395" t="s">
        <v>725</v>
      </c>
      <c r="G442" s="396"/>
      <c r="H442" s="397"/>
      <c r="I442" s="383">
        <v>728000</v>
      </c>
      <c r="J442" s="398">
        <v>143561</v>
      </c>
      <c r="K442" s="399" t="s">
        <v>71</v>
      </c>
      <c r="L442" s="399" t="s">
        <v>34</v>
      </c>
      <c r="M442" s="399">
        <v>200</v>
      </c>
      <c r="N442" s="356">
        <f>VLOOKUP(E442,[3]Sheet1!$A:$C,3,0)</f>
        <v>772000</v>
      </c>
      <c r="O442" s="28" t="b">
        <f t="shared" si="23"/>
        <v>0</v>
      </c>
    </row>
    <row r="443" spans="2:15" s="28" customFormat="1" ht="16.5" customHeight="1">
      <c r="B443" s="20"/>
      <c r="C443" s="20"/>
      <c r="D443" s="254"/>
      <c r="E443" s="379">
        <v>143563</v>
      </c>
      <c r="F443" s="395" t="s">
        <v>726</v>
      </c>
      <c r="G443" s="396"/>
      <c r="H443" s="397"/>
      <c r="I443" s="383">
        <v>728000</v>
      </c>
      <c r="J443" s="398">
        <v>143563</v>
      </c>
      <c r="K443" s="399" t="s">
        <v>71</v>
      </c>
      <c r="L443" s="399" t="s">
        <v>34</v>
      </c>
      <c r="M443" s="399">
        <v>200</v>
      </c>
      <c r="N443" s="356">
        <f>VLOOKUP(E443,[3]Sheet1!$A:$C,3,0)</f>
        <v>772000</v>
      </c>
      <c r="O443" s="28" t="b">
        <f t="shared" si="23"/>
        <v>0</v>
      </c>
    </row>
    <row r="444" spans="2:15" s="28" customFormat="1" ht="16.5" customHeight="1">
      <c r="B444" s="20"/>
      <c r="C444" s="20"/>
      <c r="D444" s="254"/>
      <c r="E444" s="379">
        <v>143982</v>
      </c>
      <c r="F444" s="395" t="s">
        <v>749</v>
      </c>
      <c r="G444" s="396"/>
      <c r="H444" s="397"/>
      <c r="I444" s="383">
        <v>2995000</v>
      </c>
      <c r="J444" s="398">
        <v>143982</v>
      </c>
      <c r="K444" s="399" t="s">
        <v>71</v>
      </c>
      <c r="L444" s="399" t="s">
        <v>34</v>
      </c>
      <c r="M444" s="399">
        <v>208</v>
      </c>
      <c r="N444" s="356">
        <f>VLOOKUP(E444,[3]Sheet1!$A:$C,3,0)</f>
        <v>2995000</v>
      </c>
      <c r="O444" s="28" t="b">
        <f t="shared" si="23"/>
        <v>1</v>
      </c>
    </row>
    <row r="445" spans="2:15" s="28" customFormat="1" ht="16.5" customHeight="1">
      <c r="B445" s="20"/>
      <c r="C445" s="20"/>
      <c r="D445" s="254"/>
      <c r="E445" s="379">
        <v>143983</v>
      </c>
      <c r="F445" s="395" t="s">
        <v>743</v>
      </c>
      <c r="G445" s="396"/>
      <c r="H445" s="397"/>
      <c r="I445" s="383">
        <v>287000</v>
      </c>
      <c r="J445" s="399">
        <v>143983</v>
      </c>
      <c r="K445" s="399" t="s">
        <v>70</v>
      </c>
      <c r="L445" s="399" t="s">
        <v>34</v>
      </c>
      <c r="M445" s="399">
        <v>20</v>
      </c>
      <c r="N445" s="356">
        <f>VLOOKUP(E445,[3]Sheet1!$A:$C,3,0)</f>
        <v>287000</v>
      </c>
      <c r="O445" s="28" t="b">
        <f t="shared" si="23"/>
        <v>1</v>
      </c>
    </row>
    <row r="446" spans="2:15" s="28" customFormat="1" ht="16.5" customHeight="1">
      <c r="B446" s="20"/>
      <c r="C446" s="20"/>
      <c r="D446" s="254"/>
      <c r="E446" s="379">
        <v>143985</v>
      </c>
      <c r="F446" s="395" t="s">
        <v>769</v>
      </c>
      <c r="G446" s="396"/>
      <c r="H446" s="397"/>
      <c r="I446" s="383">
        <v>2763000</v>
      </c>
      <c r="J446" s="398">
        <v>143985</v>
      </c>
      <c r="K446" s="399" t="s">
        <v>71</v>
      </c>
      <c r="L446" s="399" t="s">
        <v>34</v>
      </c>
      <c r="M446" s="399">
        <v>208</v>
      </c>
      <c r="N446" s="356">
        <f>VLOOKUP(E446,[3]Sheet1!$A:$C,3,0)</f>
        <v>2763000</v>
      </c>
      <c r="O446" s="28" t="b">
        <f t="shared" si="23"/>
        <v>1</v>
      </c>
    </row>
    <row r="447" spans="2:15" s="28" customFormat="1" ht="16.5" customHeight="1">
      <c r="B447" s="20"/>
      <c r="C447" s="20"/>
      <c r="D447" s="254"/>
      <c r="E447" s="379">
        <v>143987</v>
      </c>
      <c r="F447" s="395" t="s">
        <v>747</v>
      </c>
      <c r="G447" s="396"/>
      <c r="H447" s="397"/>
      <c r="I447" s="383">
        <v>2938000</v>
      </c>
      <c r="J447" s="398">
        <v>143987</v>
      </c>
      <c r="K447" s="399" t="s">
        <v>71</v>
      </c>
      <c r="L447" s="399" t="s">
        <v>34</v>
      </c>
      <c r="M447" s="399">
        <v>208</v>
      </c>
      <c r="N447" s="356">
        <f>VLOOKUP(E447,[3]Sheet1!$A:$C,3,0)</f>
        <v>2938000</v>
      </c>
      <c r="O447" s="28" t="b">
        <f t="shared" si="23"/>
        <v>1</v>
      </c>
    </row>
    <row r="448" spans="2:15" s="28" customFormat="1" ht="16.5" customHeight="1">
      <c r="B448" s="20"/>
      <c r="C448" s="20"/>
      <c r="D448" s="254"/>
      <c r="E448" s="379">
        <v>143988</v>
      </c>
      <c r="F448" s="395" t="s">
        <v>742</v>
      </c>
      <c r="G448" s="396"/>
      <c r="H448" s="397"/>
      <c r="I448" s="383">
        <v>289000</v>
      </c>
      <c r="J448" s="398">
        <v>143988</v>
      </c>
      <c r="K448" s="399" t="s">
        <v>70</v>
      </c>
      <c r="L448" s="399" t="s">
        <v>34</v>
      </c>
      <c r="M448" s="399">
        <v>20</v>
      </c>
      <c r="N448" s="356">
        <f>VLOOKUP(E448,[3]Sheet1!$A:$C,3,0)</f>
        <v>289000</v>
      </c>
      <c r="O448" s="28" t="b">
        <f t="shared" si="23"/>
        <v>1</v>
      </c>
    </row>
    <row r="449" spans="2:15" s="28" customFormat="1" ht="16.5" customHeight="1">
      <c r="B449" s="20"/>
      <c r="C449" s="20"/>
      <c r="D449" s="254"/>
      <c r="E449" s="379">
        <v>143990</v>
      </c>
      <c r="F449" s="395" t="s">
        <v>770</v>
      </c>
      <c r="G449" s="396"/>
      <c r="H449" s="397"/>
      <c r="I449" s="383">
        <v>3124000</v>
      </c>
      <c r="J449" s="398">
        <v>143990</v>
      </c>
      <c r="K449" s="399" t="s">
        <v>71</v>
      </c>
      <c r="L449" s="399" t="s">
        <v>34</v>
      </c>
      <c r="M449" s="399">
        <v>208</v>
      </c>
      <c r="N449" s="356">
        <f>VLOOKUP(E449,[3]Sheet1!$A:$C,3,0)</f>
        <v>3124000</v>
      </c>
      <c r="O449" s="28" t="b">
        <f t="shared" si="23"/>
        <v>1</v>
      </c>
    </row>
    <row r="450" spans="2:15" s="28" customFormat="1" ht="16.5" customHeight="1">
      <c r="B450" s="20"/>
      <c r="C450" s="20"/>
      <c r="D450" s="254"/>
      <c r="E450" s="379">
        <v>143991</v>
      </c>
      <c r="F450" s="395" t="s">
        <v>771</v>
      </c>
      <c r="G450" s="396"/>
      <c r="H450" s="397"/>
      <c r="I450" s="383">
        <v>337000</v>
      </c>
      <c r="J450" s="398">
        <v>143991</v>
      </c>
      <c r="K450" s="399" t="s">
        <v>70</v>
      </c>
      <c r="L450" s="399" t="s">
        <v>34</v>
      </c>
      <c r="M450" s="399">
        <v>20</v>
      </c>
      <c r="N450" s="356">
        <f>VLOOKUP(E450,[3]Sheet1!$A:$C,3,0)</f>
        <v>337000</v>
      </c>
      <c r="O450" s="28" t="b">
        <f t="shared" si="23"/>
        <v>1</v>
      </c>
    </row>
    <row r="451" spans="2:15" s="28" customFormat="1" ht="16.5" customHeight="1">
      <c r="B451" s="20"/>
      <c r="C451" s="20"/>
      <c r="D451" s="254"/>
      <c r="E451" s="379">
        <v>143993</v>
      </c>
      <c r="F451" s="395" t="s">
        <v>772</v>
      </c>
      <c r="G451" s="396"/>
      <c r="H451" s="397"/>
      <c r="I451" s="383">
        <v>3255000</v>
      </c>
      <c r="J451" s="399">
        <v>143993</v>
      </c>
      <c r="K451" s="399" t="s">
        <v>71</v>
      </c>
      <c r="L451" s="399" t="s">
        <v>34</v>
      </c>
      <c r="M451" s="399">
        <v>208</v>
      </c>
      <c r="N451" s="356">
        <f>VLOOKUP(E451,[3]Sheet1!$A:$C,3,0)</f>
        <v>3255000</v>
      </c>
      <c r="O451" s="28" t="b">
        <f t="shared" si="23"/>
        <v>1</v>
      </c>
    </row>
    <row r="452" spans="2:15" s="28" customFormat="1" ht="16.5" customHeight="1">
      <c r="B452" s="20"/>
      <c r="C452" s="20"/>
      <c r="D452" s="254"/>
      <c r="E452" s="379">
        <v>143994</v>
      </c>
      <c r="F452" s="395" t="s">
        <v>773</v>
      </c>
      <c r="G452" s="396"/>
      <c r="H452" s="397"/>
      <c r="I452" s="383">
        <v>351000</v>
      </c>
      <c r="J452" s="398">
        <v>143994</v>
      </c>
      <c r="K452" s="399" t="s">
        <v>70</v>
      </c>
      <c r="L452" s="399" t="s">
        <v>34</v>
      </c>
      <c r="M452" s="399">
        <v>20</v>
      </c>
      <c r="N452" s="356">
        <f>VLOOKUP(E452,[3]Sheet1!$A:$C,3,0)</f>
        <v>351000</v>
      </c>
      <c r="O452" s="28" t="b">
        <f t="shared" si="23"/>
        <v>1</v>
      </c>
    </row>
    <row r="453" spans="2:15" s="28" customFormat="1" ht="16.5" customHeight="1">
      <c r="B453" s="20"/>
      <c r="C453" s="20"/>
      <c r="D453" s="254"/>
      <c r="E453" s="379">
        <v>144165</v>
      </c>
      <c r="F453" s="395" t="s">
        <v>750</v>
      </c>
      <c r="G453" s="396"/>
      <c r="H453" s="397"/>
      <c r="I453" s="383">
        <v>32800</v>
      </c>
      <c r="J453" s="398">
        <v>144165</v>
      </c>
      <c r="K453" s="399" t="s">
        <v>70</v>
      </c>
      <c r="L453" s="399" t="s">
        <v>34</v>
      </c>
      <c r="M453" s="399">
        <v>20</v>
      </c>
      <c r="N453" s="356">
        <f>VLOOKUP(E453,[3]Sheet1!$A:$C,3,0)</f>
        <v>34200</v>
      </c>
      <c r="O453" s="28" t="b">
        <f t="shared" ref="O453:O506" si="24">I453=N453</f>
        <v>0</v>
      </c>
    </row>
    <row r="454" spans="2:15" s="28" customFormat="1" ht="16.5" customHeight="1">
      <c r="B454" s="20"/>
      <c r="C454" s="20"/>
      <c r="D454" s="254"/>
      <c r="E454" s="379">
        <v>144166</v>
      </c>
      <c r="F454" s="395" t="s">
        <v>748</v>
      </c>
      <c r="G454" s="396"/>
      <c r="H454" s="397"/>
      <c r="I454" s="383">
        <v>303000</v>
      </c>
      <c r="J454" s="398">
        <v>144166</v>
      </c>
      <c r="K454" s="399" t="s">
        <v>71</v>
      </c>
      <c r="L454" s="399" t="s">
        <v>34</v>
      </c>
      <c r="M454" s="399">
        <v>200</v>
      </c>
      <c r="N454" s="356">
        <f>VLOOKUP(E454,[3]Sheet1!$A:$C,3,0)</f>
        <v>324000</v>
      </c>
      <c r="O454" s="28" t="b">
        <f t="shared" si="24"/>
        <v>0</v>
      </c>
    </row>
    <row r="455" spans="2:15" s="28" customFormat="1" ht="16.5" customHeight="1">
      <c r="B455" s="20"/>
      <c r="C455" s="20"/>
      <c r="D455" s="254"/>
      <c r="E455" s="379">
        <v>144167</v>
      </c>
      <c r="F455" s="395" t="s">
        <v>745</v>
      </c>
      <c r="G455" s="396"/>
      <c r="H455" s="397"/>
      <c r="I455" s="383">
        <v>32800</v>
      </c>
      <c r="J455" s="398">
        <v>144167</v>
      </c>
      <c r="K455" s="399" t="s">
        <v>70</v>
      </c>
      <c r="L455" s="399" t="s">
        <v>34</v>
      </c>
      <c r="M455" s="399">
        <v>20</v>
      </c>
      <c r="N455" s="356">
        <f>VLOOKUP(E455,[3]Sheet1!$A:$C,3,0)</f>
        <v>34200</v>
      </c>
      <c r="O455" s="28" t="b">
        <f t="shared" si="24"/>
        <v>0</v>
      </c>
    </row>
    <row r="456" spans="2:15" s="28" customFormat="1" ht="16.5" customHeight="1">
      <c r="B456" s="20"/>
      <c r="C456" s="20"/>
      <c r="D456" s="254"/>
      <c r="E456" s="379">
        <v>144168</v>
      </c>
      <c r="F456" s="395" t="s">
        <v>744</v>
      </c>
      <c r="G456" s="396"/>
      <c r="H456" s="397"/>
      <c r="I456" s="383">
        <v>303000</v>
      </c>
      <c r="J456" s="398">
        <v>144168</v>
      </c>
      <c r="K456" s="399" t="s">
        <v>71</v>
      </c>
      <c r="L456" s="399" t="s">
        <v>34</v>
      </c>
      <c r="M456" s="399">
        <v>200</v>
      </c>
      <c r="N456" s="356">
        <f>VLOOKUP(E456,[3]Sheet1!$A:$C,3,0)</f>
        <v>324000</v>
      </c>
      <c r="O456" s="28" t="b">
        <f t="shared" si="24"/>
        <v>0</v>
      </c>
    </row>
    <row r="457" spans="2:15" s="28" customFormat="1" ht="16.5" customHeight="1">
      <c r="B457" s="20"/>
      <c r="C457" s="20"/>
      <c r="D457" s="254"/>
      <c r="E457" s="379">
        <v>144169</v>
      </c>
      <c r="F457" s="395" t="s">
        <v>751</v>
      </c>
      <c r="G457" s="396"/>
      <c r="H457" s="397"/>
      <c r="I457" s="383">
        <v>33800</v>
      </c>
      <c r="J457" s="398">
        <v>144169</v>
      </c>
      <c r="K457" s="399" t="s">
        <v>70</v>
      </c>
      <c r="L457" s="399" t="s">
        <v>34</v>
      </c>
      <c r="M457" s="399">
        <v>20</v>
      </c>
      <c r="N457" s="356">
        <f>VLOOKUP(E457,[3]Sheet1!$A:$C,3,0)</f>
        <v>35300</v>
      </c>
      <c r="O457" s="28" t="b">
        <f t="shared" si="24"/>
        <v>0</v>
      </c>
    </row>
    <row r="458" spans="2:15" s="28" customFormat="1" ht="16.5" customHeight="1">
      <c r="B458" s="20"/>
      <c r="C458" s="20"/>
      <c r="D458" s="254"/>
      <c r="E458" s="379">
        <v>144170</v>
      </c>
      <c r="F458" s="395" t="s">
        <v>752</v>
      </c>
      <c r="G458" s="396"/>
      <c r="H458" s="397"/>
      <c r="I458" s="383">
        <v>313000</v>
      </c>
      <c r="J458" s="398">
        <v>144170</v>
      </c>
      <c r="K458" s="399" t="s">
        <v>71</v>
      </c>
      <c r="L458" s="399" t="s">
        <v>34</v>
      </c>
      <c r="M458" s="399">
        <v>200</v>
      </c>
      <c r="N458" s="356">
        <f>VLOOKUP(E458,[3]Sheet1!$A:$C,3,0)</f>
        <v>335000</v>
      </c>
      <c r="O458" s="28" t="b">
        <f t="shared" si="24"/>
        <v>0</v>
      </c>
    </row>
    <row r="459" spans="2:15" s="28" customFormat="1" ht="16.5" customHeight="1">
      <c r="B459" s="20"/>
      <c r="C459" s="20"/>
      <c r="D459" s="254"/>
      <c r="E459" s="379">
        <v>138924</v>
      </c>
      <c r="F459" s="395" t="s">
        <v>555</v>
      </c>
      <c r="G459" s="396"/>
      <c r="H459" s="397"/>
      <c r="I459" s="383"/>
      <c r="J459" s="398">
        <v>138924</v>
      </c>
      <c r="K459" s="399" t="s">
        <v>71</v>
      </c>
      <c r="L459" s="399" t="s">
        <v>34</v>
      </c>
      <c r="M459" s="399">
        <v>200</v>
      </c>
      <c r="N459" s="356" t="e">
        <f>VLOOKUP(E459,[3]Sheet1!$A:$C,3,0)</f>
        <v>#N/A</v>
      </c>
      <c r="O459" s="28" t="e">
        <f t="shared" si="24"/>
        <v>#N/A</v>
      </c>
    </row>
    <row r="460" spans="2:15" s="28" customFormat="1" ht="16.5" customHeight="1">
      <c r="B460" s="20"/>
      <c r="C460" s="20"/>
      <c r="D460" s="254"/>
      <c r="E460" s="379">
        <v>144364</v>
      </c>
      <c r="F460" s="395" t="s">
        <v>780</v>
      </c>
      <c r="G460" s="396"/>
      <c r="H460" s="397"/>
      <c r="I460" s="383">
        <v>713000</v>
      </c>
      <c r="J460" s="398">
        <v>144364</v>
      </c>
      <c r="K460" s="399" t="s">
        <v>71</v>
      </c>
      <c r="L460" s="399" t="s">
        <v>34</v>
      </c>
      <c r="M460" s="399">
        <v>200</v>
      </c>
      <c r="N460" s="356">
        <f>VLOOKUP(E460,[3]Sheet1!$A:$C,3,0)</f>
        <v>756000</v>
      </c>
      <c r="O460" s="28" t="b">
        <f t="shared" si="24"/>
        <v>0</v>
      </c>
    </row>
    <row r="461" spans="2:15" s="28" customFormat="1" ht="16.5" customHeight="1">
      <c r="B461" s="20"/>
      <c r="C461" s="20"/>
      <c r="D461" s="254"/>
      <c r="E461" s="379">
        <v>136171</v>
      </c>
      <c r="F461" s="395" t="s">
        <v>39</v>
      </c>
      <c r="G461" s="396"/>
      <c r="H461" s="397"/>
      <c r="I461" s="383"/>
      <c r="J461" s="398">
        <v>136171</v>
      </c>
      <c r="K461" s="399" t="s">
        <v>70</v>
      </c>
      <c r="L461" s="399" t="s">
        <v>34</v>
      </c>
      <c r="M461" s="399">
        <v>20</v>
      </c>
      <c r="N461" s="356" t="e">
        <f>VLOOKUP(E461,[3]Sheet1!$A:$C,3,0)</f>
        <v>#N/A</v>
      </c>
      <c r="O461" s="28" t="e">
        <f t="shared" si="24"/>
        <v>#N/A</v>
      </c>
    </row>
    <row r="462" spans="2:15" s="28" customFormat="1" ht="16.5" customHeight="1">
      <c r="B462" s="20"/>
      <c r="C462" s="20"/>
      <c r="D462" s="254"/>
      <c r="E462" s="379">
        <v>144363</v>
      </c>
      <c r="F462" s="395" t="s">
        <v>779</v>
      </c>
      <c r="G462" s="396"/>
      <c r="H462" s="397"/>
      <c r="I462" s="383">
        <v>76100</v>
      </c>
      <c r="J462" s="398">
        <v>144363</v>
      </c>
      <c r="K462" s="399" t="s">
        <v>70</v>
      </c>
      <c r="L462" s="399" t="s">
        <v>34</v>
      </c>
      <c r="M462" s="399">
        <v>20</v>
      </c>
      <c r="N462" s="356">
        <f>VLOOKUP(E462,[3]Sheet1!$A:$C,3,0)</f>
        <v>80700</v>
      </c>
      <c r="O462" s="28" t="b">
        <f t="shared" si="24"/>
        <v>0</v>
      </c>
    </row>
    <row r="463" spans="2:15" s="28" customFormat="1" ht="16.5" customHeight="1">
      <c r="B463" s="20"/>
      <c r="C463" s="20"/>
      <c r="D463" s="254"/>
      <c r="E463" s="379">
        <v>144353</v>
      </c>
      <c r="F463" s="395" t="s">
        <v>774</v>
      </c>
      <c r="G463" s="396"/>
      <c r="H463" s="397"/>
      <c r="I463" s="383">
        <v>670000</v>
      </c>
      <c r="J463" s="398">
        <v>144353</v>
      </c>
      <c r="K463" s="399" t="s">
        <v>71</v>
      </c>
      <c r="L463" s="399" t="s">
        <v>34</v>
      </c>
      <c r="M463" s="399">
        <v>200</v>
      </c>
      <c r="N463" s="356">
        <f>VLOOKUP(E463,[3]Sheet1!$A:$C,3,0)</f>
        <v>710000</v>
      </c>
      <c r="O463" s="28" t="b">
        <f t="shared" si="24"/>
        <v>0</v>
      </c>
    </row>
    <row r="464" spans="2:15" s="28" customFormat="1" ht="16.5" customHeight="1">
      <c r="B464" s="20"/>
      <c r="C464" s="20"/>
      <c r="D464" s="254"/>
      <c r="E464" s="379">
        <v>144351</v>
      </c>
      <c r="F464" s="395" t="s">
        <v>758</v>
      </c>
      <c r="G464" s="396"/>
      <c r="H464" s="397"/>
      <c r="I464" s="383">
        <v>71700</v>
      </c>
      <c r="J464" s="398">
        <v>144351</v>
      </c>
      <c r="K464" s="399" t="s">
        <v>70</v>
      </c>
      <c r="L464" s="399" t="s">
        <v>34</v>
      </c>
      <c r="M464" s="399">
        <v>20</v>
      </c>
      <c r="N464" s="356">
        <f>VLOOKUP(E464,[3]Sheet1!$A:$C,3,0)</f>
        <v>76000</v>
      </c>
      <c r="O464" s="28" t="b">
        <f t="shared" si="24"/>
        <v>0</v>
      </c>
    </row>
    <row r="465" spans="2:15" s="28" customFormat="1" ht="16.5" customHeight="1">
      <c r="B465" s="20"/>
      <c r="C465" s="20"/>
      <c r="D465" s="254"/>
      <c r="E465" s="379">
        <v>138925</v>
      </c>
      <c r="F465" s="395" t="s">
        <v>556</v>
      </c>
      <c r="G465" s="396"/>
      <c r="H465" s="397"/>
      <c r="I465" s="383"/>
      <c r="J465" s="398">
        <v>138925</v>
      </c>
      <c r="K465" s="399" t="s">
        <v>71</v>
      </c>
      <c r="L465" s="399" t="s">
        <v>34</v>
      </c>
      <c r="M465" s="399">
        <v>200</v>
      </c>
      <c r="N465" s="356" t="e">
        <f>VLOOKUP(E465,[3]Sheet1!$A:$C,3,0)</f>
        <v>#N/A</v>
      </c>
      <c r="O465" s="28" t="e">
        <f t="shared" si="24"/>
        <v>#N/A</v>
      </c>
    </row>
    <row r="466" spans="2:15" s="28" customFormat="1" ht="16.5" customHeight="1">
      <c r="B466" s="20"/>
      <c r="C466" s="20"/>
      <c r="D466" s="254"/>
      <c r="E466" s="379">
        <v>144367</v>
      </c>
      <c r="F466" s="395" t="s">
        <v>782</v>
      </c>
      <c r="G466" s="396"/>
      <c r="H466" s="397"/>
      <c r="I466" s="383">
        <v>756000</v>
      </c>
      <c r="J466" s="398">
        <v>144367</v>
      </c>
      <c r="K466" s="399" t="s">
        <v>71</v>
      </c>
      <c r="L466" s="399" t="s">
        <v>34</v>
      </c>
      <c r="M466" s="399">
        <v>200</v>
      </c>
      <c r="N466" s="356">
        <f>VLOOKUP(E466,[3]Sheet1!$A:$C,3,0)</f>
        <v>801000</v>
      </c>
      <c r="O466" s="28" t="b">
        <f t="shared" si="24"/>
        <v>0</v>
      </c>
    </row>
    <row r="467" spans="2:15" s="28" customFormat="1" ht="16.5" customHeight="1">
      <c r="B467" s="20"/>
      <c r="C467" s="20"/>
      <c r="D467" s="254"/>
      <c r="E467" s="379">
        <v>136172</v>
      </c>
      <c r="F467" s="395" t="s">
        <v>38</v>
      </c>
      <c r="G467" s="396"/>
      <c r="H467" s="397"/>
      <c r="I467" s="383"/>
      <c r="J467" s="398">
        <v>136172</v>
      </c>
      <c r="K467" s="399" t="s">
        <v>70</v>
      </c>
      <c r="L467" s="399" t="s">
        <v>34</v>
      </c>
      <c r="M467" s="399">
        <v>20</v>
      </c>
      <c r="N467" s="356" t="e">
        <f>VLOOKUP(E467,[3]Sheet1!$A:$C,3,0)</f>
        <v>#N/A</v>
      </c>
      <c r="O467" s="28" t="e">
        <f t="shared" si="24"/>
        <v>#N/A</v>
      </c>
    </row>
    <row r="468" spans="2:15" s="28" customFormat="1" ht="16.5" customHeight="1">
      <c r="B468" s="20"/>
      <c r="C468" s="20"/>
      <c r="D468" s="254"/>
      <c r="E468" s="379">
        <v>144366</v>
      </c>
      <c r="F468" s="395" t="s">
        <v>781</v>
      </c>
      <c r="G468" s="396"/>
      <c r="H468" s="397"/>
      <c r="I468" s="383">
        <v>80200</v>
      </c>
      <c r="J468" s="398">
        <v>144366</v>
      </c>
      <c r="K468" s="399" t="s">
        <v>70</v>
      </c>
      <c r="L468" s="399" t="s">
        <v>34</v>
      </c>
      <c r="M468" s="399">
        <v>20</v>
      </c>
      <c r="N468" s="356">
        <f>VLOOKUP(E468,[3]Sheet1!$A:$C,3,0)</f>
        <v>85000</v>
      </c>
      <c r="O468" s="28" t="b">
        <f t="shared" si="24"/>
        <v>0</v>
      </c>
    </row>
    <row r="469" spans="2:15" s="28" customFormat="1" ht="16.5" customHeight="1">
      <c r="B469" s="20"/>
      <c r="C469" s="20"/>
      <c r="D469" s="254"/>
      <c r="E469" s="379">
        <v>144355</v>
      </c>
      <c r="F469" s="395" t="s">
        <v>775</v>
      </c>
      <c r="G469" s="396"/>
      <c r="H469" s="397"/>
      <c r="I469" s="383">
        <v>670000</v>
      </c>
      <c r="J469" s="398">
        <v>144355</v>
      </c>
      <c r="K469" s="399" t="s">
        <v>71</v>
      </c>
      <c r="L469" s="399" t="s">
        <v>34</v>
      </c>
      <c r="M469" s="399">
        <v>200</v>
      </c>
      <c r="N469" s="356">
        <f>VLOOKUP(E469,[3]Sheet1!$A:$C,3,0)</f>
        <v>710000</v>
      </c>
      <c r="O469" s="28" t="b">
        <f t="shared" si="24"/>
        <v>0</v>
      </c>
    </row>
    <row r="470" spans="2:15" s="28" customFormat="1" ht="16.5" customHeight="1">
      <c r="B470" s="20"/>
      <c r="C470" s="20"/>
      <c r="D470" s="254"/>
      <c r="E470" s="379">
        <v>144352</v>
      </c>
      <c r="F470" s="395" t="s">
        <v>755</v>
      </c>
      <c r="G470" s="396"/>
      <c r="H470" s="397"/>
      <c r="I470" s="383">
        <v>71700</v>
      </c>
      <c r="J470" s="398">
        <v>144352</v>
      </c>
      <c r="K470" s="399" t="s">
        <v>70</v>
      </c>
      <c r="L470" s="399" t="s">
        <v>34</v>
      </c>
      <c r="M470" s="399">
        <v>20</v>
      </c>
      <c r="N470" s="356">
        <f>VLOOKUP(E470,[3]Sheet1!$A:$C,3,0)</f>
        <v>76000</v>
      </c>
      <c r="O470" s="28" t="b">
        <f t="shared" si="24"/>
        <v>0</v>
      </c>
    </row>
    <row r="471" spans="2:15" s="28" customFormat="1" ht="16.5" customHeight="1">
      <c r="B471" s="20"/>
      <c r="C471" s="20"/>
      <c r="D471" s="254"/>
      <c r="E471" s="379">
        <v>144358</v>
      </c>
      <c r="F471" s="395" t="s">
        <v>754</v>
      </c>
      <c r="G471" s="396"/>
      <c r="H471" s="397"/>
      <c r="I471" s="383">
        <v>670000</v>
      </c>
      <c r="J471" s="398">
        <v>144358</v>
      </c>
      <c r="K471" s="399" t="s">
        <v>71</v>
      </c>
      <c r="L471" s="399" t="s">
        <v>34</v>
      </c>
      <c r="M471" s="399">
        <v>200</v>
      </c>
      <c r="N471" s="356">
        <f>VLOOKUP(E471,[3]Sheet1!$A:$C,3,0)</f>
        <v>710000</v>
      </c>
      <c r="O471" s="28" t="b">
        <f t="shared" si="24"/>
        <v>0</v>
      </c>
    </row>
    <row r="472" spans="2:15" s="28" customFormat="1" ht="16.5" customHeight="1">
      <c r="B472" s="20"/>
      <c r="C472" s="20"/>
      <c r="D472" s="254"/>
      <c r="E472" s="379">
        <v>144357</v>
      </c>
      <c r="F472" s="395" t="s">
        <v>776</v>
      </c>
      <c r="G472" s="396"/>
      <c r="H472" s="397"/>
      <c r="I472" s="383">
        <v>71700</v>
      </c>
      <c r="J472" s="398">
        <v>144357</v>
      </c>
      <c r="K472" s="399" t="s">
        <v>70</v>
      </c>
      <c r="L472" s="399" t="s">
        <v>34</v>
      </c>
      <c r="M472" s="399">
        <v>20</v>
      </c>
      <c r="N472" s="356">
        <f>VLOOKUP(E472,[3]Sheet1!$A:$C,3,0)</f>
        <v>76000</v>
      </c>
      <c r="O472" s="28" t="b">
        <f t="shared" si="24"/>
        <v>0</v>
      </c>
    </row>
    <row r="473" spans="2:15" s="28" customFormat="1" ht="16.5" customHeight="1">
      <c r="B473" s="20"/>
      <c r="C473" s="20"/>
      <c r="D473" s="254"/>
      <c r="E473" s="379">
        <v>144361</v>
      </c>
      <c r="F473" s="395" t="s">
        <v>778</v>
      </c>
      <c r="G473" s="396"/>
      <c r="H473" s="397"/>
      <c r="I473" s="383">
        <v>670000</v>
      </c>
      <c r="J473" s="398">
        <v>144361</v>
      </c>
      <c r="K473" s="399" t="s">
        <v>71</v>
      </c>
      <c r="L473" s="399" t="s">
        <v>34</v>
      </c>
      <c r="M473" s="399">
        <v>200</v>
      </c>
      <c r="N473" s="356">
        <f>VLOOKUP(E473,[3]Sheet1!$A:$C,3,0)</f>
        <v>710000</v>
      </c>
      <c r="O473" s="28" t="b">
        <f t="shared" si="24"/>
        <v>0</v>
      </c>
    </row>
    <row r="474" spans="2:15" s="28" customFormat="1" ht="16.5" customHeight="1">
      <c r="B474" s="20"/>
      <c r="C474" s="20"/>
      <c r="D474" s="254"/>
      <c r="E474" s="379">
        <v>144360</v>
      </c>
      <c r="F474" s="395" t="s">
        <v>777</v>
      </c>
      <c r="G474" s="396"/>
      <c r="H474" s="397"/>
      <c r="I474" s="383">
        <v>71700</v>
      </c>
      <c r="J474" s="398">
        <v>144360</v>
      </c>
      <c r="K474" s="399" t="s">
        <v>70</v>
      </c>
      <c r="L474" s="399" t="s">
        <v>34</v>
      </c>
      <c r="M474" s="399">
        <v>20</v>
      </c>
      <c r="N474" s="356">
        <f>VLOOKUP(E474,[3]Sheet1!$A:$C,3,0)</f>
        <v>76000</v>
      </c>
      <c r="O474" s="28" t="b">
        <f t="shared" si="24"/>
        <v>0</v>
      </c>
    </row>
    <row r="475" spans="2:15" s="28" customFormat="1" ht="16.5" customHeight="1">
      <c r="B475" s="20"/>
      <c r="C475" s="20"/>
      <c r="D475" s="254"/>
      <c r="E475" s="379">
        <v>144355</v>
      </c>
      <c r="F475" s="395" t="s">
        <v>775</v>
      </c>
      <c r="G475" s="396"/>
      <c r="H475" s="397"/>
      <c r="I475" s="383">
        <v>670000</v>
      </c>
      <c r="J475" s="398">
        <v>144355</v>
      </c>
      <c r="K475" s="399" t="s">
        <v>71</v>
      </c>
      <c r="L475" s="399" t="s">
        <v>34</v>
      </c>
      <c r="M475" s="399">
        <v>200</v>
      </c>
      <c r="N475" s="356">
        <f>VLOOKUP(E475,[3]Sheet1!$A:$C,3,0)</f>
        <v>710000</v>
      </c>
      <c r="O475" s="28" t="b">
        <f t="shared" si="24"/>
        <v>0</v>
      </c>
    </row>
    <row r="476" spans="2:15" s="28" customFormat="1" ht="16.5" customHeight="1">
      <c r="B476" s="20"/>
      <c r="C476" s="20"/>
      <c r="D476" s="254"/>
      <c r="E476" s="379">
        <v>144352</v>
      </c>
      <c r="F476" s="395" t="s">
        <v>755</v>
      </c>
      <c r="G476" s="396"/>
      <c r="H476" s="397"/>
      <c r="I476" s="383">
        <v>71700</v>
      </c>
      <c r="J476" s="398">
        <v>144352</v>
      </c>
      <c r="K476" s="399" t="s">
        <v>70</v>
      </c>
      <c r="L476" s="399" t="s">
        <v>34</v>
      </c>
      <c r="M476" s="399">
        <v>20</v>
      </c>
      <c r="N476" s="356">
        <f>VLOOKUP(E476,[3]Sheet1!$A:$C,3,0)</f>
        <v>76000</v>
      </c>
      <c r="O476" s="28" t="b">
        <f t="shared" si="24"/>
        <v>0</v>
      </c>
    </row>
    <row r="477" spans="2:15" s="28" customFormat="1" ht="16.5" customHeight="1">
      <c r="B477" s="20"/>
      <c r="C477" s="20"/>
      <c r="D477" s="254"/>
      <c r="E477" s="379">
        <v>144358</v>
      </c>
      <c r="F477" s="395" t="s">
        <v>754</v>
      </c>
      <c r="G477" s="396"/>
      <c r="H477" s="397"/>
      <c r="I477" s="383">
        <v>670000</v>
      </c>
      <c r="J477" s="398">
        <v>144358</v>
      </c>
      <c r="K477" s="399" t="s">
        <v>71</v>
      </c>
      <c r="L477" s="399" t="s">
        <v>34</v>
      </c>
      <c r="M477" s="399">
        <v>200</v>
      </c>
      <c r="N477" s="356">
        <f>VLOOKUP(E477,[3]Sheet1!$A:$C,3,0)</f>
        <v>710000</v>
      </c>
      <c r="O477" s="28" t="b">
        <f t="shared" si="24"/>
        <v>0</v>
      </c>
    </row>
    <row r="478" spans="2:15" s="28" customFormat="1" ht="16.5" customHeight="1">
      <c r="B478" s="20"/>
      <c r="C478" s="20"/>
      <c r="D478" s="254"/>
      <c r="E478" s="379">
        <v>144357</v>
      </c>
      <c r="F478" s="395" t="s">
        <v>776</v>
      </c>
      <c r="G478" s="396"/>
      <c r="H478" s="397"/>
      <c r="I478" s="383">
        <v>71700</v>
      </c>
      <c r="J478" s="398">
        <v>144357</v>
      </c>
      <c r="K478" s="399" t="s">
        <v>70</v>
      </c>
      <c r="L478" s="399" t="s">
        <v>34</v>
      </c>
      <c r="M478" s="399">
        <v>20</v>
      </c>
      <c r="N478" s="356">
        <f>VLOOKUP(E478,[3]Sheet1!$A:$C,3,0)</f>
        <v>76000</v>
      </c>
      <c r="O478" s="28" t="b">
        <f t="shared" si="24"/>
        <v>0</v>
      </c>
    </row>
    <row r="479" spans="2:15" s="28" customFormat="1" ht="16.5" customHeight="1">
      <c r="B479" s="20"/>
      <c r="C479" s="20"/>
      <c r="D479" s="254"/>
      <c r="E479" s="379">
        <v>144361</v>
      </c>
      <c r="F479" s="395" t="s">
        <v>778</v>
      </c>
      <c r="G479" s="396"/>
      <c r="H479" s="397"/>
      <c r="I479" s="383">
        <v>670000</v>
      </c>
      <c r="J479" s="398">
        <v>144361</v>
      </c>
      <c r="K479" s="399" t="s">
        <v>71</v>
      </c>
      <c r="L479" s="399" t="s">
        <v>34</v>
      </c>
      <c r="M479" s="399">
        <v>200</v>
      </c>
      <c r="N479" s="356">
        <f>VLOOKUP(E479,[3]Sheet1!$A:$C,3,0)</f>
        <v>710000</v>
      </c>
      <c r="O479" s="28" t="b">
        <f t="shared" si="24"/>
        <v>0</v>
      </c>
    </row>
    <row r="480" spans="2:15" s="28" customFormat="1" ht="16.5" customHeight="1">
      <c r="B480" s="20"/>
      <c r="C480" s="20"/>
      <c r="D480" s="254"/>
      <c r="E480" s="379">
        <v>144360</v>
      </c>
      <c r="F480" s="395" t="s">
        <v>777</v>
      </c>
      <c r="G480" s="396"/>
      <c r="H480" s="397"/>
      <c r="I480" s="383">
        <v>71700</v>
      </c>
      <c r="J480" s="398">
        <v>144360</v>
      </c>
      <c r="K480" s="399" t="s">
        <v>70</v>
      </c>
      <c r="L480" s="399" t="s">
        <v>34</v>
      </c>
      <c r="M480" s="399">
        <v>20</v>
      </c>
      <c r="N480" s="356">
        <f>VLOOKUP(E480,[3]Sheet1!$A:$C,3,0)</f>
        <v>76000</v>
      </c>
      <c r="O480" s="28" t="b">
        <f t="shared" si="24"/>
        <v>0</v>
      </c>
    </row>
    <row r="481" spans="2:15" s="28" customFormat="1" ht="16.5" customHeight="1">
      <c r="B481" s="20"/>
      <c r="C481" s="20"/>
      <c r="D481" s="254"/>
      <c r="E481" s="379">
        <v>144270</v>
      </c>
      <c r="F481" s="395" t="s">
        <v>843</v>
      </c>
      <c r="G481" s="396"/>
      <c r="H481" s="397"/>
      <c r="I481" s="383">
        <v>1005000</v>
      </c>
      <c r="J481" s="398">
        <v>144270</v>
      </c>
      <c r="K481" s="399" t="s">
        <v>71</v>
      </c>
      <c r="L481" s="399" t="s">
        <v>34</v>
      </c>
      <c r="M481" s="399">
        <v>200</v>
      </c>
      <c r="N481" s="356" t="e">
        <f>VLOOKUP(E481,[3]Sheet1!$A:$C,3,0)</f>
        <v>#N/A</v>
      </c>
      <c r="O481" s="28" t="e">
        <f t="shared" si="24"/>
        <v>#N/A</v>
      </c>
    </row>
    <row r="482" spans="2:15" s="28" customFormat="1" ht="16.5" customHeight="1">
      <c r="B482" s="20"/>
      <c r="C482" s="20"/>
      <c r="D482" s="254"/>
      <c r="E482" s="379">
        <v>135441</v>
      </c>
      <c r="F482" s="395" t="s">
        <v>298</v>
      </c>
      <c r="G482" s="396"/>
      <c r="H482" s="397"/>
      <c r="I482" s="383">
        <v>287000</v>
      </c>
      <c r="J482" s="398">
        <v>135441</v>
      </c>
      <c r="K482" s="399" t="s">
        <v>70</v>
      </c>
      <c r="L482" s="399" t="s">
        <v>34</v>
      </c>
      <c r="M482" s="399">
        <v>20</v>
      </c>
      <c r="N482" s="356">
        <f>VLOOKUP(E482,[3]Sheet1!$A:$C,3,0)</f>
        <v>287000</v>
      </c>
      <c r="O482" s="28" t="b">
        <f t="shared" si="24"/>
        <v>1</v>
      </c>
    </row>
    <row r="483" spans="2:15" s="28" customFormat="1" ht="16.5" customHeight="1">
      <c r="B483" s="20"/>
      <c r="C483" s="20"/>
      <c r="D483" s="254"/>
      <c r="E483" s="379">
        <v>128430</v>
      </c>
      <c r="F483" s="395" t="s">
        <v>847</v>
      </c>
      <c r="G483" s="396"/>
      <c r="H483" s="397"/>
      <c r="I483" s="383">
        <v>1800000</v>
      </c>
      <c r="J483" s="398">
        <v>128430</v>
      </c>
      <c r="K483" s="399" t="s">
        <v>71</v>
      </c>
      <c r="L483" s="399" t="s">
        <v>34</v>
      </c>
      <c r="M483" s="399">
        <v>181</v>
      </c>
      <c r="N483" s="356">
        <f>VLOOKUP(E483,[3]Sheet1!$A:$C,3,0)</f>
        <v>1800000</v>
      </c>
      <c r="O483" s="28" t="b">
        <f t="shared" si="24"/>
        <v>1</v>
      </c>
    </row>
    <row r="484" spans="2:15" s="28" customFormat="1" ht="16.5" customHeight="1">
      <c r="B484" s="20"/>
      <c r="C484" s="20"/>
      <c r="D484" s="254"/>
      <c r="E484" s="379">
        <v>141257</v>
      </c>
      <c r="F484" s="395" t="s">
        <v>856</v>
      </c>
      <c r="G484" s="396"/>
      <c r="H484" s="397"/>
      <c r="I484" s="383">
        <v>85932</v>
      </c>
      <c r="J484" s="398">
        <v>141257</v>
      </c>
      <c r="K484" s="378" t="s">
        <v>73</v>
      </c>
      <c r="L484" s="378" t="s">
        <v>35</v>
      </c>
      <c r="M484" s="399">
        <v>12</v>
      </c>
      <c r="N484" s="356" t="e">
        <f>VLOOKUP(E484,[3]Sheet1!$A:$C,3,0)</f>
        <v>#N/A</v>
      </c>
      <c r="O484" s="28" t="e">
        <f t="shared" si="24"/>
        <v>#N/A</v>
      </c>
    </row>
    <row r="485" spans="2:15" s="28" customFormat="1" ht="16.5" customHeight="1">
      <c r="B485" s="20"/>
      <c r="C485" s="20"/>
      <c r="D485" s="254"/>
      <c r="E485" s="411">
        <v>147122</v>
      </c>
      <c r="F485" s="395" t="s">
        <v>868</v>
      </c>
      <c r="G485" s="396"/>
      <c r="H485" s="397"/>
      <c r="I485" s="383">
        <f>VLOOKUP(E485,'[1]Table 1'!$A$6:$C$21,3,0)</f>
        <v>51828</v>
      </c>
      <c r="J485" s="398">
        <v>147122</v>
      </c>
      <c r="K485" s="399" t="s">
        <v>761</v>
      </c>
      <c r="L485" s="399" t="s">
        <v>872</v>
      </c>
      <c r="M485" s="399">
        <v>12</v>
      </c>
      <c r="N485" s="356" t="e">
        <f>VLOOKUP(E485,[3]Sheet1!$A:$C,3,0)</f>
        <v>#N/A</v>
      </c>
      <c r="O485" s="28" t="e">
        <f t="shared" si="24"/>
        <v>#N/A</v>
      </c>
    </row>
    <row r="486" spans="2:15" s="28" customFormat="1" ht="16.5" customHeight="1">
      <c r="B486" s="20"/>
      <c r="C486" s="20"/>
      <c r="D486" s="254"/>
      <c r="E486" s="411">
        <v>140901</v>
      </c>
      <c r="F486" s="395" t="s">
        <v>98</v>
      </c>
      <c r="G486" s="396"/>
      <c r="H486" s="397"/>
      <c r="I486" s="383">
        <f>VLOOKUP(E486,'[1]Table 1'!$A$6:$C$21,3,0)</f>
        <v>88308</v>
      </c>
      <c r="J486" s="398">
        <v>140901</v>
      </c>
      <c r="K486" s="399" t="s">
        <v>761</v>
      </c>
      <c r="L486" s="399" t="s">
        <v>872</v>
      </c>
      <c r="M486" s="399">
        <v>20</v>
      </c>
      <c r="N486" s="356" t="e">
        <f>VLOOKUP(E486,[3]Sheet1!$A:$C,3,0)</f>
        <v>#N/A</v>
      </c>
      <c r="O486" s="28" t="e">
        <f t="shared" si="24"/>
        <v>#N/A</v>
      </c>
    </row>
    <row r="487" spans="2:15" s="28" customFormat="1" ht="16.5" customHeight="1">
      <c r="B487" s="20"/>
      <c r="C487" s="20"/>
      <c r="D487" s="254"/>
      <c r="E487" s="411">
        <v>140904</v>
      </c>
      <c r="F487" s="395" t="s">
        <v>859</v>
      </c>
      <c r="G487" s="396"/>
      <c r="H487" s="397"/>
      <c r="I487" s="383">
        <f>VLOOKUP(E487,'[1]Table 1'!$A$6:$C$21,3,0)</f>
        <v>96792</v>
      </c>
      <c r="J487" s="398">
        <v>140904</v>
      </c>
      <c r="K487" s="399" t="s">
        <v>761</v>
      </c>
      <c r="L487" s="399" t="s">
        <v>872</v>
      </c>
      <c r="M487" s="399">
        <v>20</v>
      </c>
      <c r="N487" s="356" t="e">
        <f>VLOOKUP(E487,[3]Sheet1!$A:$C,3,0)</f>
        <v>#N/A</v>
      </c>
      <c r="O487" s="28" t="e">
        <f t="shared" si="24"/>
        <v>#N/A</v>
      </c>
    </row>
    <row r="488" spans="2:15" s="28" customFormat="1" ht="16.5" customHeight="1">
      <c r="B488" s="20"/>
      <c r="C488" s="20"/>
      <c r="D488" s="254"/>
      <c r="E488" s="411">
        <v>147379</v>
      </c>
      <c r="F488" s="395" t="s">
        <v>862</v>
      </c>
      <c r="G488" s="396"/>
      <c r="H488" s="397"/>
      <c r="I488" s="383">
        <f>VLOOKUP(E488,'[1]Table 1'!$A$6:$C$21,3,0)</f>
        <v>37740</v>
      </c>
      <c r="J488" s="398">
        <v>147379</v>
      </c>
      <c r="K488" s="399" t="s">
        <v>761</v>
      </c>
      <c r="L488" s="399" t="s">
        <v>872</v>
      </c>
      <c r="M488" s="399">
        <v>12</v>
      </c>
      <c r="N488" s="356" t="e">
        <f>VLOOKUP(E488,[3]Sheet1!$A:$C,3,0)</f>
        <v>#N/A</v>
      </c>
      <c r="O488" s="28" t="e">
        <f t="shared" si="24"/>
        <v>#N/A</v>
      </c>
    </row>
    <row r="489" spans="2:15" s="28" customFormat="1" ht="16.5" customHeight="1">
      <c r="B489" s="20"/>
      <c r="C489" s="20"/>
      <c r="D489" s="254"/>
      <c r="E489" s="411">
        <v>138583</v>
      </c>
      <c r="F489" s="395" t="s">
        <v>740</v>
      </c>
      <c r="G489" s="396"/>
      <c r="H489" s="397"/>
      <c r="I489" s="383">
        <f>VLOOKUP(E489,'[1]Table 1'!$A$6:$C$21,3,0)</f>
        <v>44600</v>
      </c>
      <c r="J489" s="398">
        <v>138583</v>
      </c>
      <c r="K489" s="399" t="s">
        <v>761</v>
      </c>
      <c r="L489" s="399" t="s">
        <v>872</v>
      </c>
      <c r="M489" s="399">
        <v>12</v>
      </c>
      <c r="N489" s="356" t="e">
        <f>VLOOKUP(E489,[3]Sheet1!$A:$C,3,0)</f>
        <v>#N/A</v>
      </c>
      <c r="O489" s="28" t="e">
        <f t="shared" si="24"/>
        <v>#N/A</v>
      </c>
    </row>
    <row r="490" spans="2:15" s="28" customFormat="1" ht="16.5" customHeight="1">
      <c r="B490" s="20"/>
      <c r="C490" s="20"/>
      <c r="D490" s="254"/>
      <c r="E490" s="411">
        <v>140876</v>
      </c>
      <c r="F490" s="395" t="s">
        <v>105</v>
      </c>
      <c r="G490" s="396"/>
      <c r="H490" s="397"/>
      <c r="I490" s="383">
        <f>VLOOKUP(E490,'[1]Table 1'!$A$6:$C$21,3,0)</f>
        <v>529893</v>
      </c>
      <c r="J490" s="398">
        <v>140876</v>
      </c>
      <c r="K490" s="399" t="s">
        <v>70</v>
      </c>
      <c r="L490" s="399" t="s">
        <v>872</v>
      </c>
      <c r="M490" s="399">
        <v>20</v>
      </c>
      <c r="N490" s="356" t="e">
        <f>VLOOKUP(E490,[3]Sheet1!$A:$C,3,0)</f>
        <v>#N/A</v>
      </c>
      <c r="O490" s="28" t="e">
        <f t="shared" si="24"/>
        <v>#N/A</v>
      </c>
    </row>
    <row r="491" spans="2:15" s="28" customFormat="1" ht="16.5" customHeight="1">
      <c r="B491" s="20"/>
      <c r="C491" s="20"/>
      <c r="D491" s="254"/>
      <c r="E491" s="411">
        <v>140877</v>
      </c>
      <c r="F491" s="395" t="s">
        <v>99</v>
      </c>
      <c r="G491" s="396"/>
      <c r="H491" s="397"/>
      <c r="I491" s="383">
        <f>VLOOKUP(E491,'[1]Table 1'!$A$6:$C$21,3,0)</f>
        <v>80739</v>
      </c>
      <c r="J491" s="398">
        <v>140877</v>
      </c>
      <c r="K491" s="399" t="s">
        <v>70</v>
      </c>
      <c r="L491" s="399" t="s">
        <v>872</v>
      </c>
      <c r="M491" s="399">
        <v>20</v>
      </c>
      <c r="N491" s="356" t="e">
        <f>VLOOKUP(E491,[3]Sheet1!$A:$C,3,0)</f>
        <v>#N/A</v>
      </c>
      <c r="O491" s="28" t="e">
        <f t="shared" si="24"/>
        <v>#N/A</v>
      </c>
    </row>
    <row r="492" spans="2:15" s="28" customFormat="1" ht="16.5" customHeight="1">
      <c r="B492" s="20"/>
      <c r="C492" s="20"/>
      <c r="D492" s="254"/>
      <c r="E492" s="411">
        <v>140878</v>
      </c>
      <c r="F492" s="395" t="s">
        <v>860</v>
      </c>
      <c r="G492" s="396"/>
      <c r="H492" s="397"/>
      <c r="I492" s="383">
        <f>VLOOKUP(E492,'[1]Table 1'!$A$6:$C$21,3,0)</f>
        <v>121830</v>
      </c>
      <c r="J492" s="398">
        <v>140878</v>
      </c>
      <c r="K492" s="399" t="s">
        <v>70</v>
      </c>
      <c r="L492" s="399" t="s">
        <v>872</v>
      </c>
      <c r="M492" s="399">
        <v>20</v>
      </c>
      <c r="N492" s="356" t="e">
        <f>VLOOKUP(E492,[3]Sheet1!$A:$C,3,0)</f>
        <v>#N/A</v>
      </c>
      <c r="O492" s="28" t="e">
        <f t="shared" si="24"/>
        <v>#N/A</v>
      </c>
    </row>
    <row r="493" spans="2:15" s="28" customFormat="1" ht="16.5" customHeight="1">
      <c r="B493" s="20"/>
      <c r="C493" s="20"/>
      <c r="D493" s="254"/>
      <c r="E493" s="411">
        <v>140922</v>
      </c>
      <c r="F493" s="395" t="s">
        <v>94</v>
      </c>
      <c r="G493" s="396"/>
      <c r="H493" s="397"/>
      <c r="I493" s="383">
        <f>VLOOKUP(E493,'[1]Table 1'!$A$6:$C$21,3,0)</f>
        <v>210521</v>
      </c>
      <c r="J493" s="398">
        <v>140922</v>
      </c>
      <c r="K493" s="399" t="s">
        <v>70</v>
      </c>
      <c r="L493" s="399" t="s">
        <v>872</v>
      </c>
      <c r="M493" s="399">
        <v>20</v>
      </c>
      <c r="N493" s="356" t="e">
        <f>VLOOKUP(E493,[3]Sheet1!$A:$C,3,0)</f>
        <v>#N/A</v>
      </c>
      <c r="O493" s="28" t="e">
        <f t="shared" si="24"/>
        <v>#N/A</v>
      </c>
    </row>
    <row r="494" spans="2:15" s="28" customFormat="1" ht="16.5" customHeight="1">
      <c r="B494" s="20"/>
      <c r="C494" s="20"/>
      <c r="D494" s="254"/>
      <c r="E494" s="411">
        <v>140902</v>
      </c>
      <c r="F494" s="395" t="s">
        <v>95</v>
      </c>
      <c r="G494" s="396"/>
      <c r="H494" s="397"/>
      <c r="I494" s="383">
        <f>VLOOKUP(E494,'[1]Table 1'!$A$6:$C$21,3,0)</f>
        <v>870316</v>
      </c>
      <c r="J494" s="398">
        <v>140902</v>
      </c>
      <c r="K494" s="399" t="s">
        <v>873</v>
      </c>
      <c r="L494" s="399" t="s">
        <v>872</v>
      </c>
      <c r="M494" s="399">
        <v>200</v>
      </c>
      <c r="N494" s="356" t="e">
        <f>VLOOKUP(E494,[3]Sheet1!$A:$C,3,0)</f>
        <v>#N/A</v>
      </c>
      <c r="O494" s="28" t="e">
        <f t="shared" si="24"/>
        <v>#N/A</v>
      </c>
    </row>
    <row r="495" spans="2:15" s="28" customFormat="1" ht="16.5" customHeight="1">
      <c r="B495" s="20"/>
      <c r="C495" s="20"/>
      <c r="D495" s="254"/>
      <c r="E495" s="411">
        <v>140905</v>
      </c>
      <c r="F495" s="395" t="s">
        <v>96</v>
      </c>
      <c r="G495" s="396"/>
      <c r="H495" s="397"/>
      <c r="I495" s="383">
        <f>VLOOKUP(E495,'[1]Table 1'!$A$6:$C$21,3,0)</f>
        <v>874413</v>
      </c>
      <c r="J495" s="398">
        <v>140905</v>
      </c>
      <c r="K495" s="399" t="s">
        <v>873</v>
      </c>
      <c r="L495" s="399" t="s">
        <v>872</v>
      </c>
      <c r="M495" s="399">
        <v>200</v>
      </c>
      <c r="N495" s="356" t="e">
        <f>VLOOKUP(E495,[3]Sheet1!$A:$C,3,0)</f>
        <v>#N/A</v>
      </c>
      <c r="O495" s="28" t="e">
        <f t="shared" si="24"/>
        <v>#N/A</v>
      </c>
    </row>
    <row r="496" spans="2:15" s="28" customFormat="1" ht="16.5" customHeight="1">
      <c r="B496" s="20"/>
      <c r="C496" s="20"/>
      <c r="D496" s="254"/>
      <c r="E496" s="411">
        <v>147284</v>
      </c>
      <c r="F496" s="395" t="s">
        <v>837</v>
      </c>
      <c r="G496" s="396"/>
      <c r="H496" s="397"/>
      <c r="I496" s="383">
        <f>VLOOKUP(E496,'[1]Table 1'!$A$6:$C$21,3,0)</f>
        <v>530625</v>
      </c>
      <c r="J496" s="398">
        <v>147284</v>
      </c>
      <c r="K496" s="399" t="s">
        <v>873</v>
      </c>
      <c r="L496" s="399" t="s">
        <v>872</v>
      </c>
      <c r="M496" s="399">
        <v>208</v>
      </c>
      <c r="N496" s="356" t="e">
        <f>VLOOKUP(E496,[3]Sheet1!$A:$C,3,0)</f>
        <v>#N/A</v>
      </c>
      <c r="O496" s="28" t="e">
        <f t="shared" si="24"/>
        <v>#N/A</v>
      </c>
    </row>
    <row r="497" spans="2:26" s="28" customFormat="1" ht="16.5" customHeight="1">
      <c r="B497" s="20"/>
      <c r="C497" s="20"/>
      <c r="D497" s="254"/>
      <c r="E497" s="411">
        <v>147391</v>
      </c>
      <c r="F497" s="395" t="s">
        <v>838</v>
      </c>
      <c r="G497" s="396"/>
      <c r="H497" s="397"/>
      <c r="I497" s="383">
        <f>VLOOKUP(E497,'[1]Table 1'!$A$6:$C$21,3,0)</f>
        <v>522994</v>
      </c>
      <c r="J497" s="398">
        <v>147391</v>
      </c>
      <c r="K497" s="399" t="s">
        <v>873</v>
      </c>
      <c r="L497" s="399" t="s">
        <v>872</v>
      </c>
      <c r="M497" s="399">
        <v>208</v>
      </c>
      <c r="N497" s="356" t="e">
        <f>VLOOKUP(E497,[3]Sheet1!$A:$C,3,0)</f>
        <v>#N/A</v>
      </c>
      <c r="O497" s="28" t="e">
        <f t="shared" si="24"/>
        <v>#N/A</v>
      </c>
    </row>
    <row r="498" spans="2:26" s="28" customFormat="1" ht="16.5" customHeight="1">
      <c r="B498" s="20"/>
      <c r="C498" s="20"/>
      <c r="D498" s="254"/>
      <c r="E498" s="411">
        <v>144515</v>
      </c>
      <c r="F498" s="395" t="s">
        <v>839</v>
      </c>
      <c r="G498" s="396"/>
      <c r="H498" s="397"/>
      <c r="I498" s="383">
        <v>631617</v>
      </c>
      <c r="J498" s="398">
        <v>144515</v>
      </c>
      <c r="K498" s="399" t="s">
        <v>873</v>
      </c>
      <c r="L498" s="399" t="s">
        <v>872</v>
      </c>
      <c r="M498" s="399">
        <v>208</v>
      </c>
      <c r="N498" s="356" t="e">
        <f>VLOOKUP(E498,[3]Sheet1!$A:$C,3,0)</f>
        <v>#N/A</v>
      </c>
      <c r="O498" s="28" t="e">
        <f t="shared" si="24"/>
        <v>#N/A</v>
      </c>
    </row>
    <row r="499" spans="2:26" s="28" customFormat="1" ht="16.5" customHeight="1">
      <c r="B499" s="20"/>
      <c r="C499" s="20"/>
      <c r="D499" s="254"/>
      <c r="E499" s="411">
        <v>147370</v>
      </c>
      <c r="F499" s="395" t="s">
        <v>839</v>
      </c>
      <c r="G499" s="396"/>
      <c r="H499" s="397"/>
      <c r="I499" s="383">
        <f>VLOOKUP(E499,'[1]Table 1'!$A$6:$C$21,3,0)</f>
        <v>528082</v>
      </c>
      <c r="J499" s="398">
        <v>147370</v>
      </c>
      <c r="K499" s="399" t="s">
        <v>873</v>
      </c>
      <c r="L499" s="399" t="s">
        <v>872</v>
      </c>
      <c r="M499" s="399">
        <v>208</v>
      </c>
      <c r="N499" s="356" t="e">
        <f>VLOOKUP(E499,[3]Sheet1!$A:$C,3,0)</f>
        <v>#N/A</v>
      </c>
      <c r="O499" s="28" t="e">
        <f t="shared" si="24"/>
        <v>#N/A</v>
      </c>
    </row>
    <row r="500" spans="2:26" s="28" customFormat="1" ht="16.5" customHeight="1">
      <c r="B500" s="20"/>
      <c r="C500" s="20"/>
      <c r="D500" s="254"/>
      <c r="E500" s="411">
        <v>140597</v>
      </c>
      <c r="F500" s="395" t="s">
        <v>869</v>
      </c>
      <c r="G500" s="396"/>
      <c r="H500" s="397"/>
      <c r="I500" s="383">
        <v>124000</v>
      </c>
      <c r="J500" s="398">
        <v>140597</v>
      </c>
      <c r="K500" s="399" t="s">
        <v>761</v>
      </c>
      <c r="L500" s="399" t="s">
        <v>872</v>
      </c>
      <c r="M500" s="399">
        <v>12</v>
      </c>
      <c r="N500" s="356" t="e">
        <f>VLOOKUP(E500,[3]Sheet1!$A:$C,3,0)</f>
        <v>#N/A</v>
      </c>
      <c r="O500" s="28" t="e">
        <f t="shared" si="24"/>
        <v>#N/A</v>
      </c>
    </row>
    <row r="501" spans="2:26" s="28" customFormat="1" ht="16.5" customHeight="1">
      <c r="B501" s="20"/>
      <c r="C501" s="20"/>
      <c r="D501" s="254"/>
      <c r="E501" s="411">
        <v>147279</v>
      </c>
      <c r="F501" s="395" t="s">
        <v>870</v>
      </c>
      <c r="G501" s="396"/>
      <c r="H501" s="397"/>
      <c r="I501" s="383">
        <f>VLOOKUP(E501,'[1]Table 1'!$A$6:$C$21,3,0)</f>
        <v>50796</v>
      </c>
      <c r="J501" s="398">
        <v>147279</v>
      </c>
      <c r="K501" s="399" t="s">
        <v>761</v>
      </c>
      <c r="L501" s="399" t="s">
        <v>872</v>
      </c>
      <c r="M501" s="399">
        <v>12</v>
      </c>
      <c r="N501" s="356" t="e">
        <f>VLOOKUP(E501,[3]Sheet1!$A:$C,3,0)</f>
        <v>#N/A</v>
      </c>
      <c r="O501" s="28" t="e">
        <f t="shared" si="24"/>
        <v>#N/A</v>
      </c>
    </row>
    <row r="502" spans="2:26" s="28" customFormat="1" ht="16.5" customHeight="1">
      <c r="B502" s="20"/>
      <c r="C502" s="20"/>
      <c r="D502" s="254"/>
      <c r="E502" s="411">
        <v>141257</v>
      </c>
      <c r="F502" s="395" t="s">
        <v>871</v>
      </c>
      <c r="G502" s="396"/>
      <c r="H502" s="397"/>
      <c r="I502" s="383">
        <f>VLOOKUP(E502,'[1]Table 1'!$A$6:$C$21,3,0)</f>
        <v>82344</v>
      </c>
      <c r="J502" s="398">
        <v>141257</v>
      </c>
      <c r="K502" s="399" t="s">
        <v>761</v>
      </c>
      <c r="L502" s="399" t="s">
        <v>872</v>
      </c>
      <c r="M502" s="399">
        <v>12</v>
      </c>
      <c r="N502" s="356" t="e">
        <f>VLOOKUP(E502,[3]Sheet1!$A:$C,3,0)</f>
        <v>#N/A</v>
      </c>
      <c r="O502" s="28" t="e">
        <f t="shared" si="24"/>
        <v>#N/A</v>
      </c>
    </row>
    <row r="503" spans="2:26" s="28" customFormat="1" ht="16.5" customHeight="1">
      <c r="B503" s="20"/>
      <c r="C503" s="20"/>
      <c r="D503" s="254"/>
      <c r="E503" s="379"/>
      <c r="F503" s="395"/>
      <c r="G503" s="396"/>
      <c r="H503" s="397"/>
      <c r="I503" s="383"/>
      <c r="J503" s="398"/>
      <c r="K503" s="399"/>
      <c r="L503" s="399"/>
      <c r="M503" s="399"/>
      <c r="N503" s="356" t="e">
        <f>VLOOKUP(E503,[3]Sheet1!$A:$C,3,0)</f>
        <v>#N/A</v>
      </c>
      <c r="O503" s="28" t="e">
        <f t="shared" si="24"/>
        <v>#N/A</v>
      </c>
    </row>
    <row r="504" spans="2:26" s="28" customFormat="1" ht="16.5" customHeight="1">
      <c r="B504" s="20"/>
      <c r="C504" s="20"/>
      <c r="D504" s="254"/>
      <c r="E504" s="379"/>
      <c r="F504" s="395"/>
      <c r="G504" s="396"/>
      <c r="H504" s="397"/>
      <c r="I504" s="383"/>
      <c r="J504" s="398"/>
      <c r="K504" s="399"/>
      <c r="L504" s="399"/>
      <c r="M504" s="399"/>
      <c r="N504" s="356" t="e">
        <f>VLOOKUP(E504,[3]Sheet1!$A:$C,3,0)</f>
        <v>#N/A</v>
      </c>
      <c r="O504" s="28" t="e">
        <f t="shared" si="24"/>
        <v>#N/A</v>
      </c>
    </row>
    <row r="505" spans="2:26" s="28" customFormat="1" ht="16.5" customHeight="1">
      <c r="B505" s="20"/>
      <c r="C505" s="20"/>
      <c r="D505" s="254"/>
      <c r="E505" s="379"/>
      <c r="F505" s="395"/>
      <c r="G505" s="396"/>
      <c r="H505" s="397"/>
      <c r="I505" s="383"/>
      <c r="J505" s="398"/>
      <c r="K505" s="399"/>
      <c r="L505" s="399"/>
      <c r="M505" s="399"/>
      <c r="N505" s="356" t="e">
        <f>VLOOKUP(E505,[3]Sheet1!$A:$C,3,0)</f>
        <v>#N/A</v>
      </c>
      <c r="O505" s="28" t="e">
        <f t="shared" si="24"/>
        <v>#N/A</v>
      </c>
    </row>
    <row r="506" spans="2:26" s="28" customFormat="1" ht="16.5" customHeight="1">
      <c r="B506" s="20"/>
      <c r="C506" s="20"/>
      <c r="D506" s="254"/>
      <c r="E506" s="379"/>
      <c r="F506" s="395"/>
      <c r="G506" s="396"/>
      <c r="H506" s="397"/>
      <c r="I506" s="383"/>
      <c r="J506" s="398"/>
      <c r="K506" s="399"/>
      <c r="L506" s="399"/>
      <c r="M506" s="399"/>
      <c r="N506" s="356" t="e">
        <f>VLOOKUP(E506,[3]Sheet1!$A:$C,3,0)</f>
        <v>#N/A</v>
      </c>
      <c r="O506" s="28" t="e">
        <f t="shared" si="24"/>
        <v>#N/A</v>
      </c>
    </row>
    <row r="507" spans="2:26" ht="16.5" customHeight="1">
      <c r="D507" s="254"/>
      <c r="E507" s="379"/>
      <c r="F507" s="395"/>
      <c r="G507" s="396"/>
      <c r="H507" s="397"/>
      <c r="I507" s="383"/>
      <c r="J507" s="398"/>
      <c r="K507" s="399"/>
      <c r="L507" s="399"/>
      <c r="M507" s="399"/>
      <c r="U507" s="12"/>
      <c r="V507"/>
      <c r="W507"/>
      <c r="X507"/>
      <c r="Y507"/>
      <c r="Z507"/>
    </row>
    <row r="508" spans="2:26" ht="16.5" customHeight="1">
      <c r="D508" s="254"/>
      <c r="E508" s="379"/>
      <c r="F508" s="395"/>
      <c r="G508" s="396"/>
      <c r="H508" s="397"/>
      <c r="I508" s="383"/>
      <c r="J508" s="398"/>
      <c r="K508" s="399"/>
      <c r="L508" s="399"/>
      <c r="M508" s="399"/>
      <c r="U508" s="12"/>
      <c r="V508"/>
      <c r="W508"/>
      <c r="X508"/>
      <c r="Y508"/>
      <c r="Z508"/>
    </row>
    <row r="509" spans="2:26" ht="16.5" customHeight="1">
      <c r="D509" s="254"/>
      <c r="E509" s="379"/>
      <c r="F509" s="395"/>
      <c r="G509" s="396"/>
      <c r="H509" s="397"/>
      <c r="I509" s="383"/>
      <c r="J509" s="398"/>
      <c r="K509" s="399"/>
      <c r="L509" s="399"/>
      <c r="M509" s="399"/>
      <c r="U509" s="12"/>
      <c r="V509"/>
      <c r="W509"/>
      <c r="X509"/>
      <c r="Y509"/>
      <c r="Z509"/>
    </row>
    <row r="510" spans="2:26" ht="16.5" customHeight="1">
      <c r="D510" s="254"/>
      <c r="E510" s="379"/>
      <c r="F510" s="395"/>
      <c r="G510" s="396"/>
      <c r="H510" s="397"/>
      <c r="I510" s="383"/>
      <c r="J510" s="398"/>
      <c r="K510" s="399"/>
      <c r="L510" s="399"/>
      <c r="M510" s="399"/>
      <c r="U510" s="12"/>
      <c r="V510"/>
      <c r="W510"/>
      <c r="X510"/>
      <c r="Y510"/>
      <c r="Z510"/>
    </row>
    <row r="511" spans="2:26" ht="16.5" customHeight="1">
      <c r="D511" s="254"/>
      <c r="E511" s="379"/>
      <c r="F511" s="395"/>
      <c r="G511" s="396"/>
      <c r="H511" s="397"/>
      <c r="I511" s="383"/>
      <c r="J511" s="398"/>
      <c r="K511" s="399"/>
      <c r="L511" s="399"/>
      <c r="M511" s="399"/>
      <c r="U511" s="12"/>
      <c r="V511"/>
      <c r="W511"/>
      <c r="X511"/>
      <c r="Y511"/>
      <c r="Z511"/>
    </row>
    <row r="512" spans="2:26" ht="16.5" customHeight="1">
      <c r="D512" s="254"/>
      <c r="E512" s="379"/>
      <c r="F512" s="395"/>
      <c r="G512" s="396"/>
      <c r="H512" s="397"/>
      <c r="I512" s="383"/>
      <c r="J512" s="398"/>
      <c r="K512" s="399"/>
      <c r="L512" s="399"/>
      <c r="M512" s="399"/>
      <c r="U512" s="12"/>
      <c r="V512"/>
      <c r="W512"/>
      <c r="X512"/>
      <c r="Y512"/>
      <c r="Z512"/>
    </row>
    <row r="513" spans="4:26" ht="16.5" customHeight="1">
      <c r="D513" s="254"/>
      <c r="E513" s="379"/>
      <c r="F513" s="395"/>
      <c r="G513" s="396"/>
      <c r="H513" s="397"/>
      <c r="I513" s="383"/>
      <c r="J513" s="398"/>
      <c r="K513" s="399"/>
      <c r="L513" s="399"/>
      <c r="M513" s="399"/>
      <c r="U513" s="12"/>
      <c r="V513"/>
      <c r="W513"/>
      <c r="X513"/>
      <c r="Y513"/>
      <c r="Z513"/>
    </row>
    <row r="514" spans="4:26">
      <c r="E514" s="379"/>
      <c r="F514" s="395"/>
      <c r="G514" s="396"/>
      <c r="H514" s="397"/>
      <c r="I514" s="383"/>
      <c r="J514" s="398"/>
      <c r="K514" s="399"/>
      <c r="L514" s="399"/>
      <c r="M514" s="399"/>
      <c r="U514" s="12"/>
      <c r="V514"/>
      <c r="W514"/>
      <c r="X514"/>
      <c r="Y514"/>
      <c r="Z514"/>
    </row>
    <row r="515" spans="4:26">
      <c r="E515" s="379"/>
      <c r="F515" s="395"/>
      <c r="G515" s="396"/>
      <c r="H515" s="397"/>
      <c r="I515" s="383"/>
      <c r="J515" s="398"/>
      <c r="K515" s="399"/>
      <c r="L515" s="399"/>
      <c r="M515" s="399"/>
      <c r="U515" s="12"/>
      <c r="V515"/>
      <c r="W515"/>
      <c r="X515"/>
      <c r="Y515"/>
      <c r="Z515"/>
    </row>
    <row r="516" spans="4:26">
      <c r="U516" s="12"/>
      <c r="V516"/>
      <c r="W516"/>
      <c r="X516"/>
      <c r="Y516"/>
      <c r="Z516"/>
    </row>
    <row r="517" spans="4:26">
      <c r="U517" s="12"/>
      <c r="V517"/>
      <c r="W517"/>
      <c r="X517"/>
      <c r="Y517"/>
      <c r="Z517"/>
    </row>
    <row r="518" spans="4:26">
      <c r="U518" s="12"/>
      <c r="V518"/>
      <c r="W518"/>
      <c r="X518"/>
      <c r="Y518"/>
      <c r="Z518"/>
    </row>
    <row r="519" spans="4:26">
      <c r="U519" s="12"/>
      <c r="V519"/>
      <c r="W519"/>
      <c r="X519"/>
      <c r="Y519"/>
      <c r="Z519"/>
    </row>
    <row r="520" spans="4:26">
      <c r="U520" s="12"/>
      <c r="V520"/>
      <c r="W520"/>
      <c r="X520"/>
      <c r="Y520"/>
      <c r="Z520"/>
    </row>
    <row r="521" spans="4:26">
      <c r="U521" s="12"/>
      <c r="V521"/>
      <c r="W521"/>
      <c r="X521"/>
      <c r="Y521"/>
      <c r="Z521"/>
    </row>
    <row r="522" spans="4:26">
      <c r="U522" s="12"/>
      <c r="V522"/>
      <c r="W522"/>
      <c r="X522"/>
      <c r="Y522"/>
      <c r="Z522"/>
    </row>
    <row r="523" spans="4:26">
      <c r="U523" s="12"/>
      <c r="V523"/>
      <c r="W523"/>
      <c r="X523"/>
      <c r="Y523"/>
      <c r="Z523"/>
    </row>
    <row r="524" spans="4:26">
      <c r="U524" s="12"/>
      <c r="V524"/>
      <c r="W524"/>
      <c r="X524"/>
      <c r="Y524"/>
      <c r="Z524"/>
    </row>
    <row r="525" spans="4:26">
      <c r="U525" s="12"/>
      <c r="V525"/>
      <c r="W525"/>
      <c r="X525"/>
      <c r="Y525"/>
      <c r="Z525"/>
    </row>
    <row r="526" spans="4:26">
      <c r="U526" s="12"/>
      <c r="V526"/>
      <c r="W526"/>
      <c r="X526"/>
      <c r="Y526"/>
      <c r="Z526"/>
    </row>
    <row r="527" spans="4:26">
      <c r="U527" s="12"/>
      <c r="V527"/>
      <c r="W527"/>
      <c r="X527"/>
      <c r="Y527"/>
      <c r="Z527"/>
    </row>
    <row r="528" spans="4:26">
      <c r="U528" s="12"/>
      <c r="V528"/>
      <c r="W528"/>
      <c r="X528"/>
      <c r="Y528"/>
      <c r="Z528"/>
    </row>
    <row r="529" spans="21:26">
      <c r="U529" s="12"/>
      <c r="V529"/>
      <c r="W529"/>
      <c r="X529"/>
      <c r="Y529"/>
      <c r="Z529"/>
    </row>
    <row r="530" spans="21:26">
      <c r="U530" s="12"/>
      <c r="V530"/>
      <c r="W530"/>
      <c r="X530"/>
      <c r="Y530"/>
      <c r="Z530"/>
    </row>
    <row r="531" spans="21:26">
      <c r="U531" s="12"/>
      <c r="V531"/>
      <c r="W531"/>
      <c r="X531"/>
      <c r="Y531"/>
      <c r="Z531"/>
    </row>
    <row r="532" spans="21:26">
      <c r="U532" s="12"/>
      <c r="V532"/>
      <c r="W532"/>
      <c r="X532"/>
      <c r="Y532"/>
      <c r="Z532"/>
    </row>
    <row r="533" spans="21:26">
      <c r="U533" s="12"/>
      <c r="V533"/>
      <c r="W533"/>
      <c r="X533"/>
      <c r="Y533"/>
      <c r="Z533"/>
    </row>
    <row r="534" spans="21:26">
      <c r="U534" s="12"/>
      <c r="V534"/>
      <c r="W534"/>
      <c r="X534"/>
      <c r="Y534"/>
      <c r="Z534"/>
    </row>
    <row r="535" spans="21:26">
      <c r="U535" s="12"/>
      <c r="V535"/>
      <c r="W535"/>
      <c r="X535"/>
      <c r="Y535"/>
      <c r="Z535"/>
    </row>
    <row r="536" spans="21:26">
      <c r="U536" s="12"/>
      <c r="V536"/>
      <c r="W536"/>
      <c r="X536"/>
      <c r="Y536"/>
      <c r="Z536"/>
    </row>
    <row r="537" spans="21:26">
      <c r="U537" s="12"/>
      <c r="V537"/>
      <c r="W537"/>
      <c r="X537"/>
      <c r="Y537"/>
      <c r="Z537"/>
    </row>
    <row r="538" spans="21:26">
      <c r="U538" s="12"/>
      <c r="V538"/>
      <c r="W538"/>
      <c r="X538"/>
      <c r="Y538"/>
      <c r="Z538"/>
    </row>
    <row r="539" spans="21:26">
      <c r="U539" s="12"/>
      <c r="V539"/>
      <c r="W539"/>
      <c r="X539"/>
      <c r="Y539"/>
      <c r="Z539"/>
    </row>
  </sheetData>
  <protectedRanges>
    <protectedRange sqref="M45:O58 M61:O62" name="범위10_1_1"/>
    <protectedRange sqref="D507:D512" name="범위5_1_3"/>
    <protectedRange sqref="L8" name="범위11_1"/>
    <protectedRange sqref="L8" name="범위4_1"/>
    <protectedRange sqref="D9" name="범위13_1_1"/>
    <protectedRange sqref="G8:H8" name="범위15_1_1"/>
    <protectedRange sqref="E29:E30 D45:E58 D61:E63 G61:G63 G45:G58" name="범위8_1_1_2_1_1_1"/>
    <protectedRange sqref="H61:H62 I62:J62 J61:K62 I61:K61 H45:K58 H63:K63" name="범위9_1_1_1_1_2"/>
    <protectedRange sqref="G7:H7" name="범위15_1_1_1"/>
    <protectedRange sqref="L9" name="범위16_1_1_1_1_1_1_1_1_1_1_1_1_1"/>
    <protectedRange sqref="L12:L26" name="범위3_2_1_1_1"/>
    <protectedRange sqref="D27" name="범위23_1_1_1_2_1_1"/>
    <protectedRange sqref="D27" name="범위1_3_1_1_1_1_2_1_1"/>
    <protectedRange sqref="C12:C26" name="범위1_3_1_2_1"/>
    <protectedRange sqref="C12:C26" name="범위1_3_1_2_2"/>
    <protectedRange sqref="D17:D26" name="범위23_1_1_1_2_1_1_1_2"/>
    <protectedRange sqref="D17:D26" name="범위1_3_1_1_1_1_2_1_1_1_2"/>
    <protectedRange sqref="D12:D16" name="범위23_1_1_1_2_1_1_1_2_1_1"/>
    <protectedRange sqref="D12:D16" name="범위1_3_1_1_1_1_2_1_1_1_2_1_1"/>
    <protectedRange sqref="M59:O60" name="범위10_1_1_1"/>
    <protectedRange sqref="D59:E60 G59:G60" name="범위8_1_1_2_1_1_1_1"/>
    <protectedRange sqref="H59:H60" name="범위9_1_1_1_1_2_1"/>
    <protectedRange sqref="D505" name="범위5_1_3_2_2"/>
    <protectedRange sqref="D495:D504" name="범위5_1_2_1_2_1_2_3"/>
    <protectedRange sqref="D68:D494" name="범위5_1_2_1_2_1_2_1_2"/>
    <protectedRange sqref="D506" name="범위5_1_3_2_1_2"/>
    <protectedRange sqref="I481" name="범위6_1_1_1_2_1_2_8_3"/>
    <protectedRange sqref="G481:H481" name="범위6_1_1_1_2_1_9_1_2"/>
    <protectedRange sqref="M475:M477" name="범위26_2_1_2_1_1_7_3_2_1"/>
    <protectedRange sqref="G475:H477" name="범위6_1_1_1_2_1_2_8_1_3"/>
    <protectedRange sqref="M481" name="범위26_2_1_2_1_19_1_1_1_2"/>
    <protectedRange sqref="G479:H479" name="범위6_1_1_1_2_1_2_1_2_2"/>
    <protectedRange sqref="M478:M479" name="범위26_2_1_2_1_1_7_2_1_3"/>
    <protectedRange sqref="M480" name="범위26_2_1_2_1_1_8_2"/>
    <protectedRange sqref="G480:H480" name="범위6_1_1_1_2_1_2_8_1_1_2_1"/>
    <protectedRange sqref="F480" name="범위1_3_1_1_1_2"/>
    <protectedRange sqref="M95 M93" name="범위26_2_1_2_1_8_1_2_1"/>
    <protectedRange sqref="G97:H97 G95:H95 G93:H93" name="범위6_1_1_1_2_1_9_2_1_1"/>
    <protectedRange sqref="F95" name="범위1_1_2_1_1"/>
    <protectedRange sqref="M96 M94 M69:M91 M99:M110" name="범위26_2_1_2_1_1_7_1_1_1"/>
    <protectedRange sqref="G96:H96 G107:H110 G84:H84 I68:I69 G69:H69 G94:H94 G70:I83 I84:I480 G86:H89 G99:H104 I482:I515" name="범위6_1_1_1_2_1_2_8_2_1"/>
    <protectedRange sqref="F107 F110" name="범위1_3_1_1_2_1"/>
    <protectedRange sqref="G90:H91" name="범위6_1_1_1_2_1_1_1_1_2_1_1"/>
    <protectedRange sqref="M98" name="범위26_2_1_2_1_1_1_1_1_1_1"/>
    <protectedRange sqref="G98:H98" name="범위6_1_1_1_2_1_2_1_1_1_1_1"/>
    <protectedRange sqref="M97" name="범위26_2_1_2_1_19_1_1_2_1_1"/>
    <protectedRange sqref="M92" name="범위26_2_1_2_1_1_4_1_2_1_1"/>
    <protectedRange sqref="G92:H92" name="범위6_1_1_1_2_1_2_4_1_2_1_1"/>
    <protectedRange sqref="M68" name="범위26_2_1_2_1_1_3_1_1_1_1"/>
    <protectedRange sqref="G68:H68" name="범위6_1_1_1_2_1_2_2_1_1_1_1"/>
    <protectedRange sqref="F68" name="범위1_3_3_1_1_1_1"/>
    <protectedRange sqref="M416 M386:M388 M396:M398" name="범위26_2_1_2_1_8_2_1_1_1"/>
    <protectedRange sqref="G386:H388 G396:H398 G402:H416 G482:H482" name="범위6_1_1_1_2_1_9_1_1_1_1"/>
    <protectedRange sqref="F396:F398" name="범위1_1_1_1_1_1"/>
    <protectedRange sqref="F416" name="범위1_4_2_1_1_1_1"/>
    <protectedRange sqref="M399:M401 M417:M422 M426:M454 M389:M393 M456 M467:M471 M111:M292 M294:M384" name="범위26_2_1_2_1_1_7_3_1_1_1"/>
    <protectedRange sqref="G137:H139 G147:H147 G371:H373 G145:H145 G156:H157 G442:H442 G220:H221 G360:H362 G229:H229 G251:H251 G244:H244 G242:H242 G253:H253 G246:H246 G257:H257 G467:H471 G213:H214 G325:H325 G315:H323 G335:H335 G365:H369 G390:H393 G295:H296 G271:H292 G298:H300 G302:H312 G327:H332 G399:H401 G426:H434 G436:H440 G445:H453 G456:H456 G203:H210 G111:H123 G259:H266 G194:H199 G417:H422 G125:H132 G344:H355" name="범위6_1_1_1_2_1_2_8_1_2_1_1"/>
    <protectedRange sqref="G441:H441" name="범위6_1_1_1_1_1_1_1_1_1_1_1_1"/>
    <protectedRange sqref="F281:F282 F177:F179 F226:F228 F169:F171 F298 F344 F324:F325 F393 F292 F365 F271 F126:F127 F216:F219 F254:F258 F399 F247:F252 F130:F132 F230:F245" name="범위1_3_1_3_1_1_1"/>
    <protectedRange sqref="G374:H374 G376:H384" name="범위6_1_1_1_2_1_1_1_1_1_1_1_1"/>
    <protectedRange sqref="F353" name="범위1_2_1_1_1_1_1_1"/>
    <protectedRange sqref="F342" name="범위1_5_1_1_1_1_1_1"/>
    <protectedRange sqref="M402:M415 M482" name="범위26_2_1_2_1_19_1_1_1_1_1_1"/>
    <protectedRange sqref="M385" name="범위26_2_1_2_1_1_4_1_1_1_1_1"/>
    <protectedRange sqref="G385:H385" name="범위6_1_1_1_2_1_2_4_1_1_1_1_1"/>
    <protectedRange sqref="G389:H389" name="범위6_1_1_1_2_1_2_5_1_1_1_1_1"/>
    <protectedRange sqref="M455 M466" name="범위26_2_1_2_1_1_2_1_1_1_1_1"/>
    <protectedRange sqref="F455" name="범위1_3_2_1_1_1_1_1"/>
    <protectedRange sqref="M394:M395" name="범위26_2_1_2_1_3_1_1_1_1_1"/>
    <protectedRange sqref="G394:H395" name="범위6_1_1_1_2_1_3_1_1_1_1_1"/>
    <protectedRange sqref="F394:F395" name="범위1_2_2_1_1_1_1"/>
    <protectedRange sqref="M423:M425" name="범위26_2_1_2_1_1_5_1_1_1_1_1"/>
    <protectedRange sqref="G423:H425" name="범위6_1_1_1_2_1_2_3_1_1_1_1_1"/>
    <protectedRange sqref="M293" name="범위26_2_1_2_1_1_6_1_1_1_1_1"/>
    <protectedRange sqref="G293:H293" name="범위6_1_1_1_2_1_2_6_1_1_1_1_1"/>
    <protectedRange sqref="G466:H466" name="범위6_1_1_1_2_1_4_1_1_1_1_1"/>
    <protectedRange sqref="F466" name="범위1_5_2_1_1_1_1"/>
    <protectedRange sqref="G473:H473 G458:H458" name="범위6_1_1_1_2_1_2_1_2_1_1_1"/>
    <protectedRange sqref="M472:M473 M457:M458" name="범위26_2_1_2_1_1_7_2_1_2_1_1"/>
    <protectedRange sqref="M474 M459" name="범위26_2_1_2_1_1_8_1_1_1"/>
    <protectedRange sqref="G474:H474 G459:H459" name="범위6_1_1_1_2_1_2_8_1_1_1_1_1"/>
    <protectedRange sqref="F474 F459" name="범위1_3_1_1_1_1_1_1"/>
    <protectedRange sqref="M460" name="범위26_2_1_2_1_8_1_1_2_1_1"/>
    <protectedRange sqref="M461" name="범위26_2_1_2_1_1_7_2_1_1_1_1_1"/>
    <protectedRange sqref="F462:F465" name="범위1_2_1_1_1_1_1"/>
    <protectedRange sqref="M465 M462" name="범위26_2_1_2_1_8_1_1_1_1_1_1"/>
    <protectedRange sqref="M463:M464" name="범위26_2_1_2_1_1_7_2_2_1_1_1"/>
    <protectedRange sqref="F483:F515" name="범위1_2_1_2_1_1"/>
    <protectedRange sqref="M483:M515" name="범위26_2_1_2_1_1_7_2_2_2_1_1"/>
  </protectedRanges>
  <autoFilter ref="D67:M506" xr:uid="{00000000-0009-0000-0000-000008000000}"/>
  <mergeCells count="23">
    <mergeCell ref="B41:E42"/>
    <mergeCell ref="D66:E66"/>
    <mergeCell ref="L10:P10"/>
    <mergeCell ref="G11:I11"/>
    <mergeCell ref="R11:S11"/>
    <mergeCell ref="I28:I29"/>
    <mergeCell ref="M28:M29"/>
    <mergeCell ref="O28:P28"/>
    <mergeCell ref="O29:P29"/>
    <mergeCell ref="B9:C9"/>
    <mergeCell ref="D9:I9"/>
    <mergeCell ref="M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</mergeCells>
  <phoneticPr fontId="16" type="noConversion"/>
  <dataValidations disablePrompts="1" count="5">
    <dataValidation type="list" allowBlank="1" showInputMessage="1" showErrorMessage="1" sqref="D27" xr:uid="{00000000-0002-0000-0800-000000000000}">
      <formula1>$D$49:$D$63</formula1>
    </dataValidation>
    <dataValidation type="list" allowBlank="1" showInputMessage="1" showErrorMessage="1" sqref="L8:M8" xr:uid="{00000000-0002-0000-0800-000001000000}">
      <formula1>$M$49:$M$63</formula1>
    </dataValidation>
    <dataValidation type="list" allowBlank="1" showInputMessage="1" showErrorMessage="1" sqref="L9" xr:uid="{00000000-0002-0000-0800-000002000000}">
      <formula1>$G$49:$G$63</formula1>
    </dataValidation>
    <dataValidation type="list" allowBlank="1" showInputMessage="1" showErrorMessage="1" sqref="D12:D26" xr:uid="{00000000-0002-0000-0800-000003000000}">
      <formula1>$D$45:$D$63</formula1>
    </dataValidation>
    <dataValidation type="list" allowBlank="1" showInputMessage="1" showErrorMessage="1" sqref="F215 F164:F168 F158:F159 F200:F202" xr:uid="{00000000-0002-0000-0800-000004000000}">
      <formula1>$A$3:$A$328</formula1>
    </dataValidation>
  </dataValidations>
  <printOptions horizontalCentered="1"/>
  <pageMargins left="7.874015748031496E-2" right="7.874015748031496E-2" top="0.3" bottom="0.28999999999999998" header="0.27559055118110237" footer="0.23622047244094491"/>
  <pageSetup paperSize="9" scale="75" orientation="landscape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>
    <tabColor indexed="12"/>
    <pageSetUpPr fitToPage="1"/>
  </sheetPr>
  <dimension ref="A1:U518"/>
  <sheetViews>
    <sheetView topLeftCell="A114" zoomScale="85" zoomScaleNormal="85" workbookViewId="0">
      <selection activeCell="I128" sqref="I128"/>
    </sheetView>
  </sheetViews>
  <sheetFormatPr defaultRowHeight="13.5"/>
  <cols>
    <col min="1" max="1" width="1.21875" customWidth="1"/>
    <col min="2" max="2" width="4.6640625" style="1" customWidth="1"/>
    <col min="3" max="3" width="11.44140625" style="1" bestFit="1" customWidth="1"/>
    <col min="4" max="4" width="18.5546875" customWidth="1"/>
    <col min="5" max="5" width="11.33203125" customWidth="1"/>
    <col min="6" max="6" width="11.88671875" customWidth="1"/>
    <col min="7" max="7" width="18.5546875" customWidth="1"/>
    <col min="8" max="8" width="14.6640625" customWidth="1"/>
    <col min="9" max="9" width="9.88671875" style="12" customWidth="1"/>
    <col min="10" max="10" width="9.88671875" style="15" customWidth="1"/>
    <col min="11" max="11" width="9.88671875" style="1" customWidth="1"/>
    <col min="12" max="12" width="10.88671875" customWidth="1"/>
    <col min="13" max="13" width="9.88671875" customWidth="1"/>
    <col min="14" max="14" width="14.6640625" customWidth="1"/>
    <col min="15" max="15" width="15.5546875" customWidth="1"/>
    <col min="16" max="16" width="17" customWidth="1"/>
    <col min="17" max="17" width="1.21875" customWidth="1"/>
    <col min="18" max="18" width="9" style="21" bestFit="1" customWidth="1"/>
    <col min="19" max="20" width="8.88671875" style="256" customWidth="1"/>
    <col min="21" max="21" width="8.88671875" style="21"/>
  </cols>
  <sheetData>
    <row r="1" spans="1:21" s="8" customFormat="1" ht="14.25" customHeight="1" thickBot="1">
      <c r="A1" s="59"/>
      <c r="B1" s="287"/>
      <c r="C1" s="287"/>
      <c r="D1" s="59"/>
      <c r="E1" s="59"/>
      <c r="F1" s="7"/>
      <c r="G1" s="7"/>
      <c r="H1" s="7"/>
      <c r="I1" s="9"/>
      <c r="J1" s="17"/>
      <c r="K1" s="7"/>
      <c r="L1" s="7"/>
      <c r="M1" s="59"/>
      <c r="N1" s="59"/>
      <c r="O1" s="59"/>
      <c r="P1" s="59"/>
      <c r="R1" s="20"/>
      <c r="S1" s="257"/>
      <c r="T1" s="257"/>
      <c r="U1" s="20"/>
    </row>
    <row r="2" spans="1:21" s="8" customFormat="1" ht="18" customHeight="1">
      <c r="A2" s="59"/>
      <c r="B2" s="640" t="s">
        <v>1</v>
      </c>
      <c r="C2" s="641"/>
      <c r="D2" s="641"/>
      <c r="E2" s="642"/>
      <c r="F2" s="646"/>
      <c r="G2" s="647"/>
      <c r="H2" s="647"/>
      <c r="I2" s="647"/>
      <c r="J2" s="647"/>
      <c r="K2" s="647"/>
      <c r="L2" s="647"/>
      <c r="M2" s="288" t="s">
        <v>2</v>
      </c>
      <c r="N2" s="288"/>
      <c r="O2" s="288"/>
      <c r="P2" s="288"/>
      <c r="R2" s="20"/>
      <c r="S2" s="257"/>
      <c r="T2" s="257"/>
      <c r="U2" s="20"/>
    </row>
    <row r="3" spans="1:21" s="8" customFormat="1" ht="16.5" customHeight="1" thickBot="1">
      <c r="A3" s="59"/>
      <c r="B3" s="643"/>
      <c r="C3" s="644"/>
      <c r="D3" s="644"/>
      <c r="E3" s="645"/>
      <c r="F3" s="647"/>
      <c r="G3" s="647"/>
      <c r="H3" s="647"/>
      <c r="I3" s="647"/>
      <c r="J3" s="647"/>
      <c r="K3" s="647"/>
      <c r="L3" s="647"/>
      <c r="M3" s="289" t="s">
        <v>820</v>
      </c>
      <c r="N3" s="59"/>
      <c r="O3" s="59"/>
      <c r="P3" s="59"/>
      <c r="R3" s="20"/>
      <c r="S3" s="257"/>
      <c r="T3" s="257"/>
      <c r="U3" s="20"/>
    </row>
    <row r="4" spans="1:21" s="8" customFormat="1" ht="16.5" customHeight="1">
      <c r="A4" s="59"/>
      <c r="B4" s="287"/>
      <c r="C4" s="287"/>
      <c r="D4" s="59"/>
      <c r="E4" s="59"/>
      <c r="F4" s="647"/>
      <c r="G4" s="647"/>
      <c r="H4" s="647"/>
      <c r="I4" s="647"/>
      <c r="J4" s="647"/>
      <c r="K4" s="647"/>
      <c r="L4" s="647"/>
      <c r="M4" s="289" t="s">
        <v>3</v>
      </c>
      <c r="N4" s="59"/>
      <c r="O4" s="59"/>
      <c r="P4" s="59"/>
      <c r="R4" s="20"/>
      <c r="S4" s="257"/>
      <c r="T4" s="257"/>
      <c r="U4" s="20"/>
    </row>
    <row r="5" spans="1:21" s="8" customFormat="1" ht="16.5" customHeight="1">
      <c r="A5" s="59"/>
      <c r="B5" s="287"/>
      <c r="C5" s="287"/>
      <c r="D5" s="59"/>
      <c r="E5" s="59"/>
      <c r="F5" s="7"/>
      <c r="G5" s="7"/>
      <c r="H5" s="7"/>
      <c r="I5" s="10"/>
      <c r="J5" s="18"/>
      <c r="K5" s="7"/>
      <c r="L5" s="7"/>
      <c r="M5" s="289" t="s">
        <v>4</v>
      </c>
      <c r="N5" s="59"/>
      <c r="O5" s="59"/>
      <c r="P5" s="59"/>
      <c r="R5" s="20"/>
      <c r="S5" s="257"/>
      <c r="T5" s="257"/>
      <c r="U5" s="20"/>
    </row>
    <row r="6" spans="1:21" s="8" customFormat="1" ht="9" customHeight="1" thickBot="1">
      <c r="A6" s="59"/>
      <c r="B6" s="287"/>
      <c r="C6" s="287"/>
      <c r="D6" s="59"/>
      <c r="E6" s="59"/>
      <c r="F6" s="290"/>
      <c r="G6" s="59"/>
      <c r="H6" s="59"/>
      <c r="I6" s="291"/>
      <c r="J6" s="292"/>
      <c r="K6" s="287"/>
      <c r="L6" s="59"/>
      <c r="M6" s="59"/>
      <c r="N6" s="59"/>
      <c r="O6" s="59"/>
      <c r="P6" s="59"/>
      <c r="R6" s="20"/>
      <c r="S6" s="257"/>
      <c r="T6" s="257"/>
      <c r="U6" s="20"/>
    </row>
    <row r="7" spans="1:21" s="41" customFormat="1" ht="25.5" customHeight="1" thickTop="1">
      <c r="A7" s="40"/>
      <c r="B7" s="648" t="s">
        <v>5</v>
      </c>
      <c r="C7" s="649"/>
      <c r="D7" s="650" t="s">
        <v>6</v>
      </c>
      <c r="E7" s="651"/>
      <c r="F7" s="46" t="s">
        <v>7</v>
      </c>
      <c r="G7" s="652" t="s">
        <v>75</v>
      </c>
      <c r="H7" s="653"/>
      <c r="I7" s="654"/>
      <c r="J7" s="293"/>
      <c r="K7" s="294" t="s">
        <v>8</v>
      </c>
      <c r="L7" s="655">
        <f ca="1">TODAY()</f>
        <v>45981</v>
      </c>
      <c r="M7" s="656"/>
      <c r="N7" s="47" t="s">
        <v>9</v>
      </c>
      <c r="O7" s="48"/>
      <c r="P7" s="49"/>
      <c r="R7" s="20"/>
      <c r="S7" s="257"/>
      <c r="T7" s="257"/>
      <c r="U7" s="20"/>
    </row>
    <row r="8" spans="1:21" s="41" customFormat="1" ht="25.5" customHeight="1">
      <c r="A8" s="40"/>
      <c r="B8" s="657" t="s">
        <v>10</v>
      </c>
      <c r="C8" s="658"/>
      <c r="D8" s="659" t="s">
        <v>11</v>
      </c>
      <c r="E8" s="660"/>
      <c r="F8" s="50" t="s">
        <v>12</v>
      </c>
      <c r="G8" s="660" t="s">
        <v>13</v>
      </c>
      <c r="H8" s="660"/>
      <c r="I8" s="661"/>
      <c r="J8" s="293"/>
      <c r="K8" s="51" t="s">
        <v>14</v>
      </c>
      <c r="L8" s="662"/>
      <c r="M8" s="663"/>
      <c r="N8" s="52" t="s">
        <v>15</v>
      </c>
      <c r="O8" s="630"/>
      <c r="P8" s="631"/>
      <c r="R8" s="20"/>
      <c r="S8" s="257"/>
      <c r="T8" s="257"/>
      <c r="U8" s="20"/>
    </row>
    <row r="9" spans="1:21" s="41" customFormat="1" ht="25.5" customHeight="1" thickBot="1">
      <c r="A9" s="40"/>
      <c r="B9" s="635" t="s">
        <v>16</v>
      </c>
      <c r="C9" s="636"/>
      <c r="D9" s="637"/>
      <c r="E9" s="638"/>
      <c r="F9" s="638"/>
      <c r="G9" s="638"/>
      <c r="H9" s="638"/>
      <c r="I9" s="639"/>
      <c r="J9" s="293"/>
      <c r="K9" s="53" t="s">
        <v>17</v>
      </c>
      <c r="L9" s="632"/>
      <c r="M9" s="633"/>
      <c r="N9" s="633"/>
      <c r="O9" s="633"/>
      <c r="P9" s="634"/>
      <c r="R9" s="20"/>
      <c r="S9" s="257"/>
      <c r="T9" s="257"/>
      <c r="U9" s="20"/>
    </row>
    <row r="10" spans="1:21" s="8" customFormat="1" ht="18" customHeight="1" thickBot="1">
      <c r="A10" s="59"/>
      <c r="B10" s="287"/>
      <c r="C10" s="287"/>
      <c r="D10" s="59"/>
      <c r="E10" s="59"/>
      <c r="F10" s="59"/>
      <c r="G10" s="59"/>
      <c r="H10" s="59"/>
      <c r="I10" s="291"/>
      <c r="J10" s="292"/>
      <c r="K10" s="287"/>
      <c r="L10" s="664"/>
      <c r="M10" s="664"/>
      <c r="N10" s="664"/>
      <c r="O10" s="664"/>
      <c r="P10" s="664"/>
      <c r="R10" s="20"/>
      <c r="S10" s="257"/>
      <c r="T10" s="257"/>
      <c r="U10" s="20"/>
    </row>
    <row r="11" spans="1:21" s="8" customFormat="1" ht="33.75" customHeight="1" thickTop="1">
      <c r="A11" s="59"/>
      <c r="B11" s="295" t="s">
        <v>821</v>
      </c>
      <c r="C11" s="296" t="s">
        <v>88</v>
      </c>
      <c r="D11" s="296" t="s">
        <v>822</v>
      </c>
      <c r="E11" s="296" t="s">
        <v>823</v>
      </c>
      <c r="F11" s="297" t="s">
        <v>109</v>
      </c>
      <c r="G11" s="665" t="s">
        <v>108</v>
      </c>
      <c r="H11" s="666"/>
      <c r="I11" s="667"/>
      <c r="J11" s="298" t="s">
        <v>824</v>
      </c>
      <c r="K11" s="296" t="s">
        <v>825</v>
      </c>
      <c r="L11" s="296" t="s">
        <v>826</v>
      </c>
      <c r="M11" s="296" t="s">
        <v>827</v>
      </c>
      <c r="N11" s="296" t="s">
        <v>828</v>
      </c>
      <c r="O11" s="296" t="s">
        <v>829</v>
      </c>
      <c r="P11" s="299" t="s">
        <v>93</v>
      </c>
      <c r="R11" s="20" t="s">
        <v>123</v>
      </c>
      <c r="S11" s="257"/>
      <c r="T11" s="257"/>
      <c r="U11" s="20"/>
    </row>
    <row r="12" spans="1:21" s="41" customFormat="1" ht="28.5" customHeight="1">
      <c r="A12" s="40"/>
      <c r="B12" s="221">
        <v>1</v>
      </c>
      <c r="C12" s="222" t="s">
        <v>853</v>
      </c>
      <c r="D12" s="82" t="s">
        <v>955</v>
      </c>
      <c r="E12" s="85">
        <f t="shared" ref="E12:E26" si="0">IF($D12&lt;&gt;0,VLOOKUP($D12,$D$45:$E$64,2,FALSE),"")</f>
        <v>194667</v>
      </c>
      <c r="F12" s="83">
        <v>135013</v>
      </c>
      <c r="G12" s="224" t="str">
        <f>IF($F12&lt;&gt;0,VLOOKUP($F12,$E$71:$M$516,2,FALSE),"")</f>
        <v>MOBIL GLYGOYLE 22, 208LT DRUM</v>
      </c>
      <c r="H12" s="225"/>
      <c r="I12" s="226"/>
      <c r="J12" s="84" t="str">
        <f>IF($F12&lt;&gt;0,VLOOKUP($F12,$E$71:$M$516,7,FALSE),"")</f>
        <v>DRUM</v>
      </c>
      <c r="K12" s="85" t="str">
        <f>IF($F12&lt;&gt;0,VLOOKUP($F12,$E$71:$M$516,8,FALSE),"")</f>
        <v>IND</v>
      </c>
      <c r="L12" s="86">
        <v>2</v>
      </c>
      <c r="M12" s="87">
        <f>IF($L12&lt;&gt;0,VLOOKUP($F12,$E$71:$M$516,9,FALSE)*$L12,"")</f>
        <v>416</v>
      </c>
      <c r="N12" s="88">
        <f>IF($F12&lt;&gt;0,VLOOKUP($F12,$E$71:$M$516,5,FALSE),"")</f>
        <v>2922000</v>
      </c>
      <c r="O12" s="89">
        <f t="shared" ref="O12:O20" si="1">IF(L12&lt;&gt;0,$L12*$N12,"")</f>
        <v>5844000</v>
      </c>
      <c r="P12" s="231"/>
      <c r="R12" s="20">
        <f>COUNTIF($F$11:F17,F12)</f>
        <v>1</v>
      </c>
      <c r="S12" s="257">
        <f t="shared" ref="S12:S26" si="2">O12*1.1</f>
        <v>6428400.0000000009</v>
      </c>
      <c r="T12" s="257">
        <v>2602000</v>
      </c>
      <c r="U12" s="20" t="b">
        <f>N12=T12</f>
        <v>0</v>
      </c>
    </row>
    <row r="13" spans="1:21" s="41" customFormat="1" ht="28.5" customHeight="1">
      <c r="A13" s="40"/>
      <c r="B13" s="221">
        <v>2</v>
      </c>
      <c r="C13" s="222" t="s">
        <v>949</v>
      </c>
      <c r="D13" s="82"/>
      <c r="E13" s="85" t="str">
        <f t="shared" si="0"/>
        <v/>
      </c>
      <c r="F13" s="83"/>
      <c r="G13" s="224" t="str">
        <f t="shared" ref="G13:G26" si="3">IF($F13&lt;&gt;0,VLOOKUP($F13,$E$71:$M$516,2,FALSE),"")</f>
        <v/>
      </c>
      <c r="H13" s="225"/>
      <c r="I13" s="226"/>
      <c r="J13" s="84" t="str">
        <f t="shared" ref="J13:J26" si="4">IF($F13&lt;&gt;0,VLOOKUP($F13,$E$71:$M$516,7,FALSE),"")</f>
        <v/>
      </c>
      <c r="K13" s="85" t="str">
        <f t="shared" ref="K13:K26" si="5">IF($F13&lt;&gt;0,VLOOKUP($F13,$E$71:$M$516,8,FALSE),"")</f>
        <v/>
      </c>
      <c r="L13" s="86"/>
      <c r="M13" s="87" t="str">
        <f t="shared" ref="M13:M26" si="6">IF($L13&lt;&gt;0,VLOOKUP($F13,$E$71:$M$516,9,FALSE)*$L13,"")</f>
        <v/>
      </c>
      <c r="N13" s="88" t="str">
        <f t="shared" ref="N13:N26" si="7">IF($F13&lt;&gt;0,VLOOKUP($F13,$E$71:$M$516,5,FALSE),"")</f>
        <v/>
      </c>
      <c r="O13" s="89" t="str">
        <f t="shared" si="1"/>
        <v/>
      </c>
      <c r="P13" s="231"/>
      <c r="R13" s="20">
        <f>COUNTIF($F$11:F18,F13)</f>
        <v>0</v>
      </c>
      <c r="S13" s="257" t="e">
        <f t="shared" si="2"/>
        <v>#VALUE!</v>
      </c>
      <c r="T13" s="257">
        <v>2995000</v>
      </c>
      <c r="U13" s="20" t="b">
        <f>N13=T13</f>
        <v>0</v>
      </c>
    </row>
    <row r="14" spans="1:21" s="41" customFormat="1" ht="28.5" customHeight="1">
      <c r="A14" s="40"/>
      <c r="B14" s="221">
        <v>3</v>
      </c>
      <c r="C14" s="222"/>
      <c r="D14" s="82"/>
      <c r="E14" s="85" t="str">
        <f t="shared" si="0"/>
        <v/>
      </c>
      <c r="F14" s="83"/>
      <c r="G14" s="224" t="str">
        <f t="shared" si="3"/>
        <v/>
      </c>
      <c r="H14" s="225"/>
      <c r="I14" s="226"/>
      <c r="J14" s="84" t="str">
        <f t="shared" si="4"/>
        <v/>
      </c>
      <c r="K14" s="85" t="str">
        <f t="shared" si="5"/>
        <v/>
      </c>
      <c r="L14" s="86"/>
      <c r="M14" s="87" t="str">
        <f t="shared" si="6"/>
        <v/>
      </c>
      <c r="N14" s="88" t="str">
        <f t="shared" si="7"/>
        <v/>
      </c>
      <c r="O14" s="89" t="str">
        <f t="shared" si="1"/>
        <v/>
      </c>
      <c r="P14" s="231"/>
      <c r="R14" s="20">
        <f>COUNTIF($F$11:F18,F14)</f>
        <v>0</v>
      </c>
      <c r="S14" s="257" t="e">
        <f t="shared" si="2"/>
        <v>#VALUE!</v>
      </c>
      <c r="T14" s="257">
        <v>2763000</v>
      </c>
      <c r="U14" s="20" t="b">
        <f>N14=T14</f>
        <v>0</v>
      </c>
    </row>
    <row r="15" spans="1:21" s="41" customFormat="1" ht="28.5" customHeight="1">
      <c r="A15" s="40"/>
      <c r="B15" s="221">
        <v>4</v>
      </c>
      <c r="C15" s="222"/>
      <c r="D15" s="82"/>
      <c r="E15" s="85" t="str">
        <f t="shared" si="0"/>
        <v/>
      </c>
      <c r="F15" s="83"/>
      <c r="G15" s="224" t="str">
        <f t="shared" si="3"/>
        <v/>
      </c>
      <c r="H15" s="225"/>
      <c r="I15" s="226"/>
      <c r="J15" s="84" t="str">
        <f t="shared" si="4"/>
        <v/>
      </c>
      <c r="K15" s="85" t="str">
        <f t="shared" si="5"/>
        <v/>
      </c>
      <c r="L15" s="86"/>
      <c r="M15" s="87" t="str">
        <f t="shared" si="6"/>
        <v/>
      </c>
      <c r="N15" s="88" t="str">
        <f t="shared" si="7"/>
        <v/>
      </c>
      <c r="O15" s="89" t="str">
        <f t="shared" si="1"/>
        <v/>
      </c>
      <c r="P15" s="231"/>
      <c r="R15" s="20">
        <f>COUNTIF($F$11:F19,F15)</f>
        <v>0</v>
      </c>
      <c r="S15" s="257" t="e">
        <f t="shared" si="2"/>
        <v>#VALUE!</v>
      </c>
      <c r="T15" s="77">
        <v>2938000</v>
      </c>
      <c r="U15" s="20" t="b">
        <f t="shared" ref="U15:U26" si="8">N15=T15</f>
        <v>0</v>
      </c>
    </row>
    <row r="16" spans="1:21" s="41" customFormat="1" ht="28.5" customHeight="1">
      <c r="A16" s="40"/>
      <c r="B16" s="221">
        <v>5</v>
      </c>
      <c r="C16" s="222"/>
      <c r="D16" s="82"/>
      <c r="E16" s="85" t="str">
        <f t="shared" si="0"/>
        <v/>
      </c>
      <c r="F16" s="83"/>
      <c r="G16" s="224" t="str">
        <f t="shared" si="3"/>
        <v/>
      </c>
      <c r="H16" s="225"/>
      <c r="I16" s="226"/>
      <c r="J16" s="84" t="str">
        <f t="shared" si="4"/>
        <v/>
      </c>
      <c r="K16" s="85" t="str">
        <f t="shared" si="5"/>
        <v/>
      </c>
      <c r="L16" s="86"/>
      <c r="M16" s="87" t="str">
        <f t="shared" si="6"/>
        <v/>
      </c>
      <c r="N16" s="88" t="str">
        <f t="shared" si="7"/>
        <v/>
      </c>
      <c r="O16" s="89" t="str">
        <f t="shared" si="1"/>
        <v/>
      </c>
      <c r="P16" s="231"/>
      <c r="R16" s="20">
        <f>COUNTIF($F$11:F20,F16)</f>
        <v>0</v>
      </c>
      <c r="S16" s="257" t="e">
        <f>O16*1.1</f>
        <v>#VALUE!</v>
      </c>
      <c r="T16" s="77">
        <v>684000</v>
      </c>
      <c r="U16" s="20" t="b">
        <f>N16=T16</f>
        <v>0</v>
      </c>
    </row>
    <row r="17" spans="1:21" s="41" customFormat="1" ht="28.5" customHeight="1">
      <c r="A17" s="40"/>
      <c r="B17" s="221">
        <v>6</v>
      </c>
      <c r="C17" s="222"/>
      <c r="D17" s="82"/>
      <c r="E17" s="85" t="str">
        <f t="shared" si="0"/>
        <v/>
      </c>
      <c r="F17" s="83"/>
      <c r="G17" s="224" t="str">
        <f t="shared" si="3"/>
        <v/>
      </c>
      <c r="H17" s="225"/>
      <c r="I17" s="226"/>
      <c r="J17" s="84" t="str">
        <f t="shared" si="4"/>
        <v/>
      </c>
      <c r="K17" s="85" t="str">
        <f t="shared" si="5"/>
        <v/>
      </c>
      <c r="L17" s="86"/>
      <c r="M17" s="87" t="str">
        <f t="shared" si="6"/>
        <v/>
      </c>
      <c r="N17" s="88" t="str">
        <f t="shared" si="7"/>
        <v/>
      </c>
      <c r="O17" s="89" t="str">
        <f t="shared" si="1"/>
        <v/>
      </c>
      <c r="P17" s="231"/>
      <c r="R17" s="20">
        <f>COUNTIF($F$11:F21,F17)</f>
        <v>0</v>
      </c>
      <c r="S17" s="257" t="e">
        <f t="shared" si="2"/>
        <v>#VALUE!</v>
      </c>
      <c r="T17" s="257"/>
      <c r="U17" s="20" t="b">
        <f>N17=T17</f>
        <v>1</v>
      </c>
    </row>
    <row r="18" spans="1:21" s="41" customFormat="1" ht="28.5" customHeight="1">
      <c r="A18" s="40"/>
      <c r="B18" s="221">
        <v>7</v>
      </c>
      <c r="C18" s="222"/>
      <c r="D18" s="82"/>
      <c r="E18" s="85" t="str">
        <f t="shared" si="0"/>
        <v/>
      </c>
      <c r="F18" s="83"/>
      <c r="G18" s="224" t="str">
        <f t="shared" si="3"/>
        <v/>
      </c>
      <c r="H18" s="225"/>
      <c r="I18" s="226"/>
      <c r="J18" s="84" t="str">
        <f t="shared" si="4"/>
        <v/>
      </c>
      <c r="K18" s="85" t="str">
        <f t="shared" si="5"/>
        <v/>
      </c>
      <c r="L18" s="86"/>
      <c r="M18" s="87" t="str">
        <f t="shared" si="6"/>
        <v/>
      </c>
      <c r="N18" s="88" t="str">
        <f t="shared" si="7"/>
        <v/>
      </c>
      <c r="O18" s="89" t="str">
        <f t="shared" si="1"/>
        <v/>
      </c>
      <c r="P18" s="231"/>
      <c r="R18" s="20">
        <f>COUNTIF($F$11:F22,F18)</f>
        <v>0</v>
      </c>
      <c r="S18" s="257" t="e">
        <f t="shared" si="2"/>
        <v>#VALUE!</v>
      </c>
      <c r="T18" s="257"/>
      <c r="U18" s="20" t="b">
        <f t="shared" si="8"/>
        <v>1</v>
      </c>
    </row>
    <row r="19" spans="1:21" s="41" customFormat="1" ht="28.5" customHeight="1">
      <c r="A19" s="40"/>
      <c r="B19" s="221">
        <v>8</v>
      </c>
      <c r="C19" s="222"/>
      <c r="D19" s="82"/>
      <c r="E19" s="85" t="str">
        <f t="shared" si="0"/>
        <v/>
      </c>
      <c r="F19" s="83"/>
      <c r="G19" s="224" t="str">
        <f t="shared" si="3"/>
        <v/>
      </c>
      <c r="H19" s="225"/>
      <c r="I19" s="226"/>
      <c r="J19" s="84" t="str">
        <f t="shared" si="4"/>
        <v/>
      </c>
      <c r="K19" s="85" t="str">
        <f t="shared" si="5"/>
        <v/>
      </c>
      <c r="L19" s="86"/>
      <c r="M19" s="87" t="str">
        <f t="shared" si="6"/>
        <v/>
      </c>
      <c r="N19" s="88" t="str">
        <f t="shared" si="7"/>
        <v/>
      </c>
      <c r="O19" s="89" t="str">
        <f t="shared" si="1"/>
        <v/>
      </c>
      <c r="P19" s="231"/>
      <c r="R19" s="20">
        <f>COUNTIF($F$11:F25,F19)</f>
        <v>0</v>
      </c>
      <c r="S19" s="257" t="e">
        <f t="shared" si="2"/>
        <v>#VALUE!</v>
      </c>
      <c r="T19" s="257"/>
      <c r="U19" s="20" t="b">
        <f t="shared" si="8"/>
        <v>1</v>
      </c>
    </row>
    <row r="20" spans="1:21" s="41" customFormat="1" ht="28.5" customHeight="1">
      <c r="A20" s="40"/>
      <c r="B20" s="221">
        <v>9</v>
      </c>
      <c r="C20" s="222"/>
      <c r="D20" s="82"/>
      <c r="E20" s="85" t="str">
        <f t="shared" si="0"/>
        <v/>
      </c>
      <c r="F20" s="83"/>
      <c r="G20" s="224" t="str">
        <f t="shared" si="3"/>
        <v/>
      </c>
      <c r="H20" s="225"/>
      <c r="I20" s="226"/>
      <c r="J20" s="84" t="str">
        <f t="shared" si="4"/>
        <v/>
      </c>
      <c r="K20" s="85" t="str">
        <f t="shared" si="5"/>
        <v/>
      </c>
      <c r="L20" s="86"/>
      <c r="M20" s="87" t="str">
        <f t="shared" si="6"/>
        <v/>
      </c>
      <c r="N20" s="88" t="str">
        <f t="shared" si="7"/>
        <v/>
      </c>
      <c r="O20" s="89" t="str">
        <f t="shared" si="1"/>
        <v/>
      </c>
      <c r="P20" s="231"/>
      <c r="R20" s="20">
        <f>COUNTIF($F$11:F26,F20)</f>
        <v>0</v>
      </c>
      <c r="S20" s="257" t="e">
        <f t="shared" si="2"/>
        <v>#VALUE!</v>
      </c>
      <c r="T20" s="257"/>
      <c r="U20" s="20" t="b">
        <f t="shared" si="8"/>
        <v>1</v>
      </c>
    </row>
    <row r="21" spans="1:21" s="41" customFormat="1" ht="28.5" customHeight="1">
      <c r="A21" s="40"/>
      <c r="B21" s="221">
        <v>10</v>
      </c>
      <c r="C21" s="222"/>
      <c r="D21" s="82"/>
      <c r="E21" s="85" t="str">
        <f t="shared" si="0"/>
        <v/>
      </c>
      <c r="F21" s="83"/>
      <c r="G21" s="224" t="str">
        <f t="shared" si="3"/>
        <v/>
      </c>
      <c r="H21" s="225"/>
      <c r="I21" s="226"/>
      <c r="J21" s="84" t="str">
        <f t="shared" si="4"/>
        <v/>
      </c>
      <c r="K21" s="85" t="str">
        <f t="shared" si="5"/>
        <v/>
      </c>
      <c r="L21" s="86"/>
      <c r="M21" s="87" t="str">
        <f t="shared" si="6"/>
        <v/>
      </c>
      <c r="N21" s="88" t="str">
        <f t="shared" si="7"/>
        <v/>
      </c>
      <c r="O21" s="89" t="str">
        <f t="shared" ref="O21:O24" si="9">IF(L21&lt;&gt;0,$L21*$N21,"")</f>
        <v/>
      </c>
      <c r="P21" s="231"/>
      <c r="R21" s="20">
        <f>COUNTIF($F$11:F27,F21)</f>
        <v>0</v>
      </c>
      <c r="S21" s="257" t="e">
        <f t="shared" si="2"/>
        <v>#VALUE!</v>
      </c>
      <c r="T21" s="257"/>
      <c r="U21" s="20" t="b">
        <f t="shared" ref="U21" si="10">N21=T21</f>
        <v>1</v>
      </c>
    </row>
    <row r="22" spans="1:21" s="41" customFormat="1" ht="28.5" customHeight="1">
      <c r="A22" s="40"/>
      <c r="B22" s="221">
        <v>11</v>
      </c>
      <c r="C22" s="222"/>
      <c r="D22" s="82"/>
      <c r="E22" s="85" t="str">
        <f t="shared" si="0"/>
        <v/>
      </c>
      <c r="F22" s="83"/>
      <c r="G22" s="224" t="str">
        <f t="shared" si="3"/>
        <v/>
      </c>
      <c r="H22" s="225"/>
      <c r="I22" s="226"/>
      <c r="J22" s="84" t="str">
        <f t="shared" si="4"/>
        <v/>
      </c>
      <c r="K22" s="85" t="str">
        <f t="shared" si="5"/>
        <v/>
      </c>
      <c r="L22" s="86"/>
      <c r="M22" s="87" t="str">
        <f t="shared" si="6"/>
        <v/>
      </c>
      <c r="N22" s="88" t="str">
        <f t="shared" si="7"/>
        <v/>
      </c>
      <c r="O22" s="89" t="str">
        <f t="shared" ref="O22:O23" si="11">IF(L22&lt;&gt;0,$L22*$N22,"")</f>
        <v/>
      </c>
      <c r="P22" s="231"/>
      <c r="R22" s="20">
        <f>COUNTIF($F$11:F28,F22)</f>
        <v>0</v>
      </c>
      <c r="S22" s="257" t="e">
        <f t="shared" si="2"/>
        <v>#VALUE!</v>
      </c>
      <c r="T22" s="257"/>
      <c r="U22" s="20" t="b">
        <f t="shared" si="8"/>
        <v>1</v>
      </c>
    </row>
    <row r="23" spans="1:21" s="41" customFormat="1" ht="28.5" customHeight="1">
      <c r="A23" s="40"/>
      <c r="B23" s="221">
        <v>12</v>
      </c>
      <c r="C23" s="222"/>
      <c r="D23" s="82"/>
      <c r="E23" s="85" t="str">
        <f t="shared" si="0"/>
        <v/>
      </c>
      <c r="F23" s="83"/>
      <c r="G23" s="224" t="str">
        <f t="shared" si="3"/>
        <v/>
      </c>
      <c r="H23" s="225"/>
      <c r="I23" s="226"/>
      <c r="J23" s="84" t="str">
        <f t="shared" si="4"/>
        <v/>
      </c>
      <c r="K23" s="85" t="str">
        <f t="shared" si="5"/>
        <v/>
      </c>
      <c r="L23" s="86"/>
      <c r="M23" s="87" t="str">
        <f t="shared" si="6"/>
        <v/>
      </c>
      <c r="N23" s="88" t="str">
        <f t="shared" si="7"/>
        <v/>
      </c>
      <c r="O23" s="89" t="str">
        <f t="shared" si="11"/>
        <v/>
      </c>
      <c r="P23" s="231"/>
      <c r="R23" s="20">
        <f>COUNTIF($F$11:F29,F23)</f>
        <v>0</v>
      </c>
      <c r="S23" s="257" t="e">
        <f t="shared" ref="S23" si="12">O23*1.1</f>
        <v>#VALUE!</v>
      </c>
      <c r="T23" s="257"/>
      <c r="U23" s="20" t="b">
        <f t="shared" ref="U23" si="13">N23=T23</f>
        <v>1</v>
      </c>
    </row>
    <row r="24" spans="1:21" s="41" customFormat="1" ht="28.5" customHeight="1">
      <c r="A24" s="40"/>
      <c r="B24" s="221">
        <v>13</v>
      </c>
      <c r="C24" s="222"/>
      <c r="D24" s="82"/>
      <c r="E24" s="85" t="str">
        <f t="shared" si="0"/>
        <v/>
      </c>
      <c r="F24" s="83"/>
      <c r="G24" s="224" t="str">
        <f t="shared" si="3"/>
        <v/>
      </c>
      <c r="H24" s="225"/>
      <c r="I24" s="226"/>
      <c r="J24" s="84" t="str">
        <f t="shared" si="4"/>
        <v/>
      </c>
      <c r="K24" s="85" t="str">
        <f t="shared" si="5"/>
        <v/>
      </c>
      <c r="L24" s="86"/>
      <c r="M24" s="87" t="str">
        <f t="shared" si="6"/>
        <v/>
      </c>
      <c r="N24" s="88" t="str">
        <f t="shared" si="7"/>
        <v/>
      </c>
      <c r="O24" s="89" t="str">
        <f t="shared" si="9"/>
        <v/>
      </c>
      <c r="P24" s="231"/>
      <c r="R24" s="20">
        <f>COUNTIF($F$11:F29,F24)</f>
        <v>0</v>
      </c>
      <c r="S24" s="257" t="e">
        <f t="shared" si="2"/>
        <v>#VALUE!</v>
      </c>
      <c r="T24" s="257"/>
      <c r="U24" s="20" t="b">
        <f t="shared" si="8"/>
        <v>1</v>
      </c>
    </row>
    <row r="25" spans="1:21" s="41" customFormat="1" ht="28.5" customHeight="1">
      <c r="A25" s="40"/>
      <c r="B25" s="221">
        <v>14</v>
      </c>
      <c r="C25" s="222"/>
      <c r="D25" s="82"/>
      <c r="E25" s="85" t="str">
        <f t="shared" si="0"/>
        <v/>
      </c>
      <c r="F25" s="83"/>
      <c r="G25" s="224" t="str">
        <f t="shared" si="3"/>
        <v/>
      </c>
      <c r="H25" s="225"/>
      <c r="I25" s="226"/>
      <c r="J25" s="84" t="str">
        <f t="shared" si="4"/>
        <v/>
      </c>
      <c r="K25" s="85" t="str">
        <f t="shared" si="5"/>
        <v/>
      </c>
      <c r="L25" s="86"/>
      <c r="M25" s="87" t="str">
        <f t="shared" si="6"/>
        <v/>
      </c>
      <c r="N25" s="88" t="str">
        <f t="shared" si="7"/>
        <v/>
      </c>
      <c r="O25" s="89" t="str">
        <f t="shared" ref="O25" si="14">IF(L25&lt;&gt;0,$L25*$N25,"")</f>
        <v/>
      </c>
      <c r="P25" s="231"/>
      <c r="R25" s="20">
        <f>COUNTIF($F$11:F30,F25)</f>
        <v>0</v>
      </c>
      <c r="S25" s="257" t="e">
        <f t="shared" si="2"/>
        <v>#VALUE!</v>
      </c>
      <c r="T25" s="257"/>
      <c r="U25" s="20" t="b">
        <f t="shared" si="8"/>
        <v>1</v>
      </c>
    </row>
    <row r="26" spans="1:21" s="41" customFormat="1" ht="28.5" customHeight="1" thickBot="1">
      <c r="A26" s="40"/>
      <c r="B26" s="355">
        <v>15</v>
      </c>
      <c r="C26" s="223"/>
      <c r="D26" s="90"/>
      <c r="E26" s="92" t="str">
        <f t="shared" si="0"/>
        <v/>
      </c>
      <c r="F26" s="104"/>
      <c r="G26" s="227" t="str">
        <f t="shared" si="3"/>
        <v/>
      </c>
      <c r="H26" s="228"/>
      <c r="I26" s="229"/>
      <c r="J26" s="91" t="str">
        <f t="shared" si="4"/>
        <v/>
      </c>
      <c r="K26" s="92" t="str">
        <f t="shared" si="5"/>
        <v/>
      </c>
      <c r="L26" s="93"/>
      <c r="M26" s="94" t="str">
        <f t="shared" si="6"/>
        <v/>
      </c>
      <c r="N26" s="95" t="str">
        <f t="shared" si="7"/>
        <v/>
      </c>
      <c r="O26" s="96" t="str">
        <f t="shared" ref="O26:O27" si="15">IF(L26&lt;&gt;0,$L26*$N26,"")</f>
        <v/>
      </c>
      <c r="P26" s="230"/>
      <c r="R26" s="20">
        <f>COUNTIF($F$11:F31,F26)</f>
        <v>0</v>
      </c>
      <c r="S26" s="257" t="e">
        <f t="shared" si="2"/>
        <v>#VALUE!</v>
      </c>
      <c r="T26" s="257"/>
      <c r="U26" s="20" t="b">
        <f t="shared" si="8"/>
        <v>1</v>
      </c>
    </row>
    <row r="27" spans="1:21" s="8" customFormat="1" ht="12" customHeight="1" thickTop="1" thickBot="1">
      <c r="A27" s="59"/>
      <c r="B27" s="19"/>
      <c r="C27" s="287"/>
      <c r="D27" s="54"/>
      <c r="E27" s="59"/>
      <c r="F27" s="19"/>
      <c r="G27" s="300" t="str">
        <f t="shared" ref="G27:G29" si="16">IF($F27&lt;&gt;0,VLOOKUP($F27,$E$71:$M$502,2,FALSE),"")</f>
        <v/>
      </c>
      <c r="H27" s="300"/>
      <c r="I27" s="291"/>
      <c r="J27" s="292" t="str">
        <f t="shared" ref="J27" si="17">IF($F27&lt;&gt;0,VLOOKUP($F27,$E$71:$M$502,7,FALSE),"")</f>
        <v/>
      </c>
      <c r="K27" s="287" t="str">
        <f t="shared" ref="K27" si="18">IF($F27&lt;&gt;0,VLOOKUP($F27,$E$71:$M$502,8,FALSE),"")</f>
        <v/>
      </c>
      <c r="L27" s="59"/>
      <c r="M27" s="59" t="str">
        <f t="shared" ref="M27" si="19">IF($L27&lt;&gt;0,VLOOKUP($F27,$E$71:$M$502,9,FALSE)*$L27,"")</f>
        <v/>
      </c>
      <c r="N27" s="59" t="str">
        <f t="shared" ref="N27" si="20">IF($F27&lt;&gt;0,VLOOKUP($F27,$E$71:$M$502,5,FALSE),"")</f>
        <v/>
      </c>
      <c r="O27" s="59" t="str">
        <f t="shared" si="15"/>
        <v/>
      </c>
      <c r="P27" s="59"/>
      <c r="R27" s="20"/>
      <c r="S27" s="257"/>
      <c r="T27" s="257"/>
      <c r="U27" s="20"/>
    </row>
    <row r="28" spans="1:21" s="8" customFormat="1" ht="18" customHeight="1" thickBot="1">
      <c r="A28" s="59"/>
      <c r="B28" s="287"/>
      <c r="C28" s="287"/>
      <c r="D28" s="59"/>
      <c r="E28" s="59"/>
      <c r="F28" s="59"/>
      <c r="G28" s="59" t="str">
        <f t="shared" si="16"/>
        <v/>
      </c>
      <c r="H28" s="59"/>
      <c r="I28" s="668" t="s">
        <v>846</v>
      </c>
      <c r="J28" s="301" t="s">
        <v>830</v>
      </c>
      <c r="K28" s="302">
        <f>SUM(M12:M26)</f>
        <v>416</v>
      </c>
      <c r="L28" s="59"/>
      <c r="M28" s="670" t="s">
        <v>19</v>
      </c>
      <c r="N28" s="303" t="s">
        <v>20</v>
      </c>
      <c r="O28" s="672">
        <f>SUM(O12:O26)</f>
        <v>5844000</v>
      </c>
      <c r="P28" s="673"/>
      <c r="R28" s="20"/>
      <c r="S28" s="257"/>
      <c r="T28" s="257"/>
      <c r="U28" s="20"/>
    </row>
    <row r="29" spans="1:21" s="8" customFormat="1" ht="18" customHeight="1" thickBot="1">
      <c r="A29" s="59"/>
      <c r="B29" s="287"/>
      <c r="C29" s="287"/>
      <c r="D29" s="59"/>
      <c r="E29" s="59"/>
      <c r="F29" s="59"/>
      <c r="G29" s="59" t="str">
        <f t="shared" si="16"/>
        <v/>
      </c>
      <c r="H29" s="59"/>
      <c r="I29" s="669"/>
      <c r="J29" s="304" t="s">
        <v>831</v>
      </c>
      <c r="K29" s="305">
        <f>$K$28/200</f>
        <v>2.08</v>
      </c>
      <c r="L29" s="59"/>
      <c r="M29" s="671"/>
      <c r="N29" s="306" t="s">
        <v>21</v>
      </c>
      <c r="O29" s="674">
        <f>O28*1.1</f>
        <v>6428400.0000000009</v>
      </c>
      <c r="P29" s="675"/>
      <c r="R29" s="57"/>
      <c r="S29" s="257"/>
      <c r="T29" s="257"/>
      <c r="U29" s="20"/>
    </row>
    <row r="30" spans="1:21" ht="16.5" customHeight="1"/>
    <row r="31" spans="1:21" ht="16.5" customHeight="1">
      <c r="K31" s="58"/>
    </row>
    <row r="32" spans="1:21" ht="16.5" customHeight="1">
      <c r="P32" s="12"/>
    </row>
    <row r="33" spans="2:21" ht="16.5" customHeight="1">
      <c r="P33" s="12"/>
    </row>
    <row r="34" spans="2:21" ht="16.5" customHeight="1">
      <c r="P34" s="12"/>
    </row>
    <row r="35" spans="2:21" ht="16.5" customHeight="1"/>
    <row r="36" spans="2:21" ht="16.5" customHeight="1"/>
    <row r="37" spans="2:21" ht="16.5" customHeight="1"/>
    <row r="38" spans="2:21" ht="16.5" customHeight="1"/>
    <row r="39" spans="2:21" ht="16.5" customHeight="1"/>
    <row r="40" spans="2:21" s="3" customFormat="1" ht="16.5" customHeight="1" thickBot="1">
      <c r="B40" s="2"/>
      <c r="C40" s="2"/>
      <c r="I40" s="13"/>
      <c r="J40" s="16"/>
      <c r="K40" s="2"/>
      <c r="R40" s="22"/>
      <c r="S40" s="258"/>
      <c r="T40" s="258"/>
      <c r="U40" s="22"/>
    </row>
    <row r="41" spans="2:21" ht="13.5" customHeight="1">
      <c r="B41" s="598" t="s">
        <v>22</v>
      </c>
      <c r="C41" s="599"/>
      <c r="D41" s="599"/>
      <c r="E41" s="600"/>
    </row>
    <row r="42" spans="2:21" ht="14.25" customHeight="1" thickBot="1">
      <c r="B42" s="601"/>
      <c r="C42" s="602"/>
      <c r="D42" s="602"/>
      <c r="E42" s="603"/>
    </row>
    <row r="43" spans="2:21" ht="14.25" customHeight="1">
      <c r="B43" s="269"/>
      <c r="C43" s="269"/>
      <c r="D43" s="269"/>
      <c r="E43" s="269"/>
      <c r="I43" s="260"/>
      <c r="J43" s="261"/>
      <c r="S43" s="270"/>
      <c r="T43" s="270"/>
    </row>
    <row r="44" spans="2:21" ht="14.25" customHeight="1">
      <c r="B44" s="269"/>
      <c r="C44" s="269"/>
      <c r="D44" s="269"/>
      <c r="E44" s="269"/>
      <c r="I44" s="260"/>
      <c r="J44" s="261"/>
      <c r="S44" s="270"/>
      <c r="T44" s="270"/>
    </row>
    <row r="45" spans="2:21" ht="13.5" customHeight="1">
      <c r="D45" s="259" t="s">
        <v>76</v>
      </c>
      <c r="E45" s="259" t="s">
        <v>23</v>
      </c>
      <c r="G45" s="259" t="s">
        <v>77</v>
      </c>
      <c r="H45" s="259" t="s">
        <v>16</v>
      </c>
      <c r="I45" s="259"/>
      <c r="J45" s="259"/>
      <c r="K45" s="259"/>
      <c r="M45" s="274" t="s">
        <v>14</v>
      </c>
      <c r="N45" s="259" t="s">
        <v>15</v>
      </c>
      <c r="O45" s="259"/>
    </row>
    <row r="46" spans="2:21">
      <c r="D46" s="262" t="s">
        <v>738</v>
      </c>
      <c r="E46" s="263">
        <v>194712</v>
      </c>
      <c r="G46" s="262" t="s">
        <v>789</v>
      </c>
      <c r="H46" s="264" t="s">
        <v>790</v>
      </c>
      <c r="I46" s="265"/>
      <c r="J46" s="266"/>
      <c r="K46" s="267"/>
      <c r="M46" s="268"/>
      <c r="N46" s="268"/>
      <c r="O46" s="268"/>
    </row>
    <row r="47" spans="2:21">
      <c r="D47" s="262" t="s">
        <v>784</v>
      </c>
      <c r="E47" s="263">
        <v>199210</v>
      </c>
      <c r="G47" s="262" t="s">
        <v>791</v>
      </c>
      <c r="H47" s="264" t="s">
        <v>792</v>
      </c>
      <c r="I47" s="265"/>
      <c r="J47" s="266"/>
      <c r="K47" s="267"/>
      <c r="M47" s="268"/>
      <c r="N47" s="268"/>
      <c r="O47" s="268"/>
    </row>
    <row r="48" spans="2:21">
      <c r="D48" s="262" t="s">
        <v>955</v>
      </c>
      <c r="E48" s="263">
        <v>194667</v>
      </c>
      <c r="G48" s="262" t="s">
        <v>793</v>
      </c>
      <c r="H48" s="264" t="s">
        <v>792</v>
      </c>
      <c r="I48" s="265"/>
      <c r="J48" s="266"/>
      <c r="K48" s="267"/>
      <c r="M48" s="268"/>
      <c r="N48" s="268"/>
      <c r="O48" s="268"/>
    </row>
    <row r="49" spans="4:15">
      <c r="D49" s="262"/>
      <c r="E49" s="263"/>
      <c r="G49" s="262"/>
      <c r="H49" s="264"/>
      <c r="I49" s="265"/>
      <c r="J49" s="266"/>
      <c r="K49" s="267"/>
      <c r="M49" s="268"/>
      <c r="N49" s="268"/>
      <c r="O49" s="268"/>
    </row>
    <row r="50" spans="4:15">
      <c r="D50" s="262" t="s">
        <v>24</v>
      </c>
      <c r="E50" s="263">
        <v>194675</v>
      </c>
      <c r="G50" s="262" t="s">
        <v>795</v>
      </c>
      <c r="H50" s="264" t="s">
        <v>796</v>
      </c>
      <c r="I50" s="265"/>
      <c r="J50" s="266"/>
      <c r="K50" s="267"/>
      <c r="M50" s="268"/>
      <c r="N50" s="268"/>
      <c r="O50" s="268"/>
    </row>
    <row r="51" spans="4:15">
      <c r="D51" s="262" t="s">
        <v>25</v>
      </c>
      <c r="E51" s="263">
        <v>194701</v>
      </c>
      <c r="G51" s="262" t="s">
        <v>797</v>
      </c>
      <c r="H51" s="264" t="s">
        <v>798</v>
      </c>
      <c r="I51" s="265"/>
      <c r="J51" s="266"/>
      <c r="K51" s="267"/>
      <c r="M51" s="268"/>
      <c r="N51" s="268"/>
      <c r="O51" s="268"/>
    </row>
    <row r="52" spans="4:15">
      <c r="D52" s="262" t="s">
        <v>806</v>
      </c>
      <c r="E52" s="263">
        <v>194729</v>
      </c>
      <c r="G52" s="262" t="s">
        <v>794</v>
      </c>
      <c r="H52" s="264" t="s">
        <v>792</v>
      </c>
      <c r="I52" s="265"/>
      <c r="J52" s="266"/>
      <c r="K52" s="267"/>
      <c r="M52" s="268"/>
      <c r="N52" s="268"/>
      <c r="O52" s="268"/>
    </row>
    <row r="53" spans="4:15">
      <c r="D53" s="262" t="s">
        <v>759</v>
      </c>
      <c r="E53" s="263">
        <v>202724</v>
      </c>
      <c r="G53" s="262" t="s">
        <v>799</v>
      </c>
      <c r="H53" s="264" t="s">
        <v>792</v>
      </c>
      <c r="I53" s="265"/>
      <c r="J53" s="266"/>
      <c r="K53" s="267"/>
      <c r="M53" s="268"/>
      <c r="N53" s="268"/>
      <c r="O53" s="268"/>
    </row>
    <row r="54" spans="4:15">
      <c r="D54" s="262" t="s">
        <v>785</v>
      </c>
      <c r="E54" s="263">
        <v>203805</v>
      </c>
      <c r="G54" s="262" t="s">
        <v>800</v>
      </c>
      <c r="H54" s="264" t="s">
        <v>792</v>
      </c>
      <c r="I54" s="265"/>
      <c r="J54" s="266"/>
      <c r="K54" s="267"/>
      <c r="M54" s="268"/>
      <c r="N54" s="268"/>
      <c r="O54" s="268"/>
    </row>
    <row r="55" spans="4:15">
      <c r="D55" s="262" t="s">
        <v>753</v>
      </c>
      <c r="E55" s="263">
        <v>200584</v>
      </c>
      <c r="G55" s="262" t="s">
        <v>801</v>
      </c>
      <c r="H55" s="264" t="s">
        <v>792</v>
      </c>
      <c r="I55" s="265"/>
      <c r="J55" s="266"/>
      <c r="K55" s="267"/>
      <c r="M55" s="268"/>
      <c r="N55" s="268"/>
      <c r="O55" s="268"/>
    </row>
    <row r="56" spans="4:15">
      <c r="D56" s="262" t="s">
        <v>786</v>
      </c>
      <c r="E56" s="263">
        <v>207998</v>
      </c>
      <c r="G56" s="262" t="s">
        <v>802</v>
      </c>
      <c r="H56" s="264" t="s">
        <v>792</v>
      </c>
      <c r="I56" s="265"/>
      <c r="J56" s="266"/>
      <c r="K56" s="267"/>
      <c r="M56" s="268"/>
      <c r="N56" s="268"/>
      <c r="O56" s="268"/>
    </row>
    <row r="57" spans="4:15">
      <c r="D57" s="262" t="s">
        <v>757</v>
      </c>
      <c r="E57" s="263">
        <v>211914</v>
      </c>
      <c r="G57" s="262" t="s">
        <v>803</v>
      </c>
      <c r="H57" s="264" t="s">
        <v>792</v>
      </c>
      <c r="I57" s="265"/>
      <c r="J57" s="266"/>
      <c r="K57" s="267"/>
      <c r="M57" s="268"/>
      <c r="N57" s="268"/>
      <c r="O57" s="268"/>
    </row>
    <row r="58" spans="4:15">
      <c r="D58" s="262" t="s">
        <v>787</v>
      </c>
      <c r="E58" s="263">
        <v>203477</v>
      </c>
      <c r="G58" s="262" t="s">
        <v>804</v>
      </c>
      <c r="H58" s="264" t="s">
        <v>792</v>
      </c>
      <c r="I58" s="265"/>
      <c r="J58" s="266"/>
      <c r="K58" s="267"/>
      <c r="M58" s="268"/>
      <c r="N58" s="268"/>
      <c r="O58" s="268"/>
    </row>
    <row r="59" spans="4:15">
      <c r="D59" s="262" t="s">
        <v>788</v>
      </c>
      <c r="E59" s="263">
        <v>215691</v>
      </c>
      <c r="G59" s="262" t="s">
        <v>805</v>
      </c>
      <c r="H59" s="264" t="s">
        <v>792</v>
      </c>
      <c r="I59" s="265"/>
      <c r="J59" s="266"/>
      <c r="K59" s="267"/>
      <c r="M59" s="268"/>
      <c r="N59" s="268"/>
      <c r="O59" s="268"/>
    </row>
    <row r="60" spans="4:15">
      <c r="D60" s="262"/>
      <c r="E60" s="263"/>
      <c r="G60" s="264"/>
      <c r="H60" s="262"/>
      <c r="I60" s="271"/>
      <c r="J60" s="272"/>
      <c r="K60" s="263"/>
      <c r="M60" s="268"/>
      <c r="N60" s="268"/>
      <c r="O60" s="268"/>
    </row>
    <row r="61" spans="4:15">
      <c r="D61" s="262"/>
      <c r="E61" s="263"/>
      <c r="G61" s="262"/>
      <c r="H61" s="264"/>
      <c r="I61" s="265"/>
      <c r="J61" s="266"/>
      <c r="K61" s="267"/>
      <c r="M61" s="268"/>
      <c r="N61" s="268"/>
      <c r="O61" s="268"/>
    </row>
    <row r="62" spans="4:15">
      <c r="D62" s="262"/>
      <c r="E62" s="263"/>
      <c r="G62" s="264"/>
      <c r="H62" s="262"/>
      <c r="I62" s="271"/>
      <c r="J62" s="272"/>
      <c r="K62" s="263"/>
      <c r="M62" s="268"/>
      <c r="N62" s="268"/>
      <c r="O62" s="268"/>
    </row>
    <row r="63" spans="4:15">
      <c r="D63" s="262"/>
      <c r="E63" s="263"/>
      <c r="G63" s="267"/>
      <c r="H63" s="264"/>
      <c r="I63" s="265"/>
      <c r="J63" s="266"/>
      <c r="K63" s="267"/>
      <c r="M63" s="268"/>
      <c r="N63" s="268"/>
      <c r="O63" s="268"/>
    </row>
    <row r="64" spans="4:15">
      <c r="D64" s="262"/>
      <c r="E64" s="263"/>
      <c r="G64" s="264"/>
      <c r="H64" s="265"/>
      <c r="I64" s="265"/>
      <c r="J64" s="273"/>
      <c r="K64" s="267"/>
      <c r="M64" s="268"/>
      <c r="N64" s="268"/>
      <c r="O64" s="268"/>
    </row>
    <row r="65" spans="1:21" s="43" customFormat="1">
      <c r="A65"/>
      <c r="B65" s="1"/>
      <c r="C65" s="1"/>
      <c r="D65"/>
      <c r="E65"/>
      <c r="F65"/>
      <c r="G65"/>
      <c r="H65"/>
      <c r="I65" s="260"/>
      <c r="J65" s="261"/>
      <c r="K65" s="1"/>
      <c r="L65"/>
      <c r="M65"/>
      <c r="N65"/>
      <c r="O65"/>
      <c r="P65"/>
      <c r="Q65"/>
      <c r="R65" s="21"/>
      <c r="S65" s="256"/>
      <c r="T65" s="257"/>
      <c r="U65" s="20"/>
    </row>
    <row r="66" spans="1:21" s="43" customFormat="1">
      <c r="A66"/>
      <c r="B66" s="1"/>
      <c r="C66" s="1"/>
      <c r="D66"/>
      <c r="E66"/>
      <c r="F66"/>
      <c r="G66"/>
      <c r="H66"/>
      <c r="I66" s="12"/>
      <c r="J66" s="15"/>
      <c r="K66" s="1"/>
      <c r="L66"/>
      <c r="M66"/>
      <c r="N66"/>
      <c r="O66"/>
      <c r="P66"/>
      <c r="Q66"/>
      <c r="R66" s="21"/>
      <c r="S66" s="256"/>
      <c r="T66" s="257"/>
      <c r="U66" s="20"/>
    </row>
    <row r="67" spans="1:21" s="43" customFormat="1">
      <c r="A67"/>
      <c r="B67" s="1"/>
      <c r="C67" s="1"/>
      <c r="D67"/>
      <c r="E67"/>
      <c r="F67"/>
      <c r="G67"/>
      <c r="H67"/>
      <c r="I67" s="12"/>
      <c r="J67" s="15"/>
      <c r="K67" s="1"/>
      <c r="L67"/>
      <c r="M67"/>
      <c r="N67"/>
      <c r="O67"/>
      <c r="P67"/>
      <c r="Q67"/>
      <c r="R67" s="21"/>
      <c r="S67" s="256"/>
      <c r="T67" s="257"/>
      <c r="U67" s="20"/>
    </row>
    <row r="68" spans="1:21" s="43" customFormat="1" ht="14.25" thickBot="1">
      <c r="A68"/>
      <c r="B68" s="1"/>
      <c r="C68" s="1"/>
      <c r="D68"/>
      <c r="E68"/>
      <c r="F68"/>
      <c r="G68"/>
      <c r="H68"/>
      <c r="I68" s="12"/>
      <c r="J68" s="15"/>
      <c r="K68" s="1"/>
      <c r="L68"/>
      <c r="M68"/>
      <c r="N68"/>
      <c r="O68"/>
      <c r="P68"/>
      <c r="Q68"/>
      <c r="R68" s="21"/>
      <c r="S68" s="256"/>
      <c r="T68" s="257"/>
      <c r="U68" s="20"/>
    </row>
    <row r="69" spans="1:21" s="43" customFormat="1" ht="18" customHeight="1" thickBot="1">
      <c r="A69"/>
      <c r="B69" s="1"/>
      <c r="C69" s="1"/>
      <c r="D69" s="604"/>
      <c r="E69" s="605"/>
      <c r="F69"/>
      <c r="G69"/>
      <c r="H69"/>
      <c r="I69" s="12"/>
      <c r="J69" s="15"/>
      <c r="K69" s="1"/>
      <c r="L69"/>
      <c r="M69"/>
      <c r="N69"/>
      <c r="O69"/>
      <c r="P69"/>
      <c r="Q69"/>
      <c r="R69" s="21"/>
      <c r="S69" s="256"/>
      <c r="T69" s="257"/>
      <c r="U69" s="20"/>
    </row>
    <row r="70" spans="1:21" s="28" customFormat="1" ht="21" customHeight="1">
      <c r="D70" s="133" t="s">
        <v>27</v>
      </c>
      <c r="E70" s="23" t="s">
        <v>23</v>
      </c>
      <c r="F70" s="24" t="s">
        <v>28</v>
      </c>
      <c r="G70" s="234" t="s">
        <v>28</v>
      </c>
      <c r="H70" s="234" t="s">
        <v>28</v>
      </c>
      <c r="I70" s="25" t="s">
        <v>29</v>
      </c>
      <c r="J70" s="26" t="s">
        <v>30</v>
      </c>
      <c r="K70" s="27" t="s">
        <v>31</v>
      </c>
      <c r="L70" s="27" t="s">
        <v>32</v>
      </c>
      <c r="M70" s="27" t="s">
        <v>33</v>
      </c>
      <c r="R70" s="20"/>
      <c r="S70" s="257"/>
      <c r="T70" s="257"/>
      <c r="U70" s="20"/>
    </row>
    <row r="71" spans="1:21" s="28" customFormat="1" ht="16.5" customHeight="1">
      <c r="B71" s="20"/>
      <c r="C71" s="20"/>
      <c r="D71" s="254"/>
      <c r="E71" s="379">
        <v>120645</v>
      </c>
      <c r="F71" s="380" t="s">
        <v>53</v>
      </c>
      <c r="G71" s="381"/>
      <c r="H71" s="382"/>
      <c r="I71" s="383">
        <v>2213000</v>
      </c>
      <c r="J71" s="384">
        <v>120645</v>
      </c>
      <c r="K71" s="378" t="s">
        <v>71</v>
      </c>
      <c r="L71" s="378" t="s">
        <v>78</v>
      </c>
      <c r="M71" s="378">
        <v>200</v>
      </c>
      <c r="N71" s="356">
        <v>2213000</v>
      </c>
      <c r="O71" s="28" t="b">
        <v>1</v>
      </c>
    </row>
    <row r="72" spans="1:21" s="28" customFormat="1" ht="16.5" customHeight="1">
      <c r="B72" s="20"/>
      <c r="C72" s="20"/>
      <c r="D72" s="254"/>
      <c r="E72" s="379">
        <v>122916</v>
      </c>
      <c r="F72" s="380" t="s">
        <v>54</v>
      </c>
      <c r="G72" s="381"/>
      <c r="H72" s="382"/>
      <c r="I72" s="383">
        <v>140000</v>
      </c>
      <c r="J72" s="384">
        <v>122916</v>
      </c>
      <c r="K72" s="378" t="s">
        <v>72</v>
      </c>
      <c r="L72" s="378" t="s">
        <v>78</v>
      </c>
      <c r="M72" s="378">
        <v>12</v>
      </c>
      <c r="N72" s="356">
        <v>140000</v>
      </c>
      <c r="O72" s="28" t="b">
        <v>1</v>
      </c>
    </row>
    <row r="73" spans="1:21" s="28" customFormat="1" ht="16.5" customHeight="1">
      <c r="B73" s="20"/>
      <c r="C73" s="20"/>
      <c r="D73" s="254"/>
      <c r="E73" s="379">
        <v>129171</v>
      </c>
      <c r="F73" s="380" t="s">
        <v>58</v>
      </c>
      <c r="G73" s="381"/>
      <c r="H73" s="382"/>
      <c r="I73" s="383">
        <v>59700</v>
      </c>
      <c r="J73" s="384">
        <v>129171</v>
      </c>
      <c r="K73" s="378" t="s">
        <v>70</v>
      </c>
      <c r="L73" s="378" t="s">
        <v>0</v>
      </c>
      <c r="M73" s="378">
        <v>20</v>
      </c>
      <c r="N73" s="356">
        <v>59700</v>
      </c>
      <c r="O73" s="28" t="b">
        <v>1</v>
      </c>
    </row>
    <row r="74" spans="1:21" s="28" customFormat="1" ht="16.5" customHeight="1">
      <c r="B74" s="20"/>
      <c r="C74" s="20"/>
      <c r="D74" s="254"/>
      <c r="E74" s="379">
        <v>129174</v>
      </c>
      <c r="F74" s="380" t="s">
        <v>60</v>
      </c>
      <c r="G74" s="381"/>
      <c r="H74" s="382"/>
      <c r="I74" s="383">
        <v>70200</v>
      </c>
      <c r="J74" s="384">
        <v>129174</v>
      </c>
      <c r="K74" s="378" t="s">
        <v>70</v>
      </c>
      <c r="L74" s="378" t="s">
        <v>0</v>
      </c>
      <c r="M74" s="378">
        <v>20</v>
      </c>
      <c r="N74" s="356">
        <v>70200</v>
      </c>
      <c r="O74" s="28" t="b">
        <v>1</v>
      </c>
    </row>
    <row r="75" spans="1:21" s="28" customFormat="1" ht="16.5" customHeight="1">
      <c r="B75" s="20"/>
      <c r="C75" s="20"/>
      <c r="D75" s="254"/>
      <c r="E75" s="379">
        <v>134989</v>
      </c>
      <c r="F75" s="380" t="s">
        <v>42</v>
      </c>
      <c r="G75" s="381"/>
      <c r="H75" s="382"/>
      <c r="I75" s="383">
        <v>90900</v>
      </c>
      <c r="J75" s="384">
        <v>134989</v>
      </c>
      <c r="K75" s="378" t="s">
        <v>70</v>
      </c>
      <c r="L75" s="378" t="s">
        <v>0</v>
      </c>
      <c r="M75" s="378">
        <v>20</v>
      </c>
      <c r="N75" s="356">
        <v>90900</v>
      </c>
      <c r="O75" s="28" t="b">
        <v>1</v>
      </c>
    </row>
    <row r="76" spans="1:21" s="28" customFormat="1" ht="16.5" customHeight="1">
      <c r="B76" s="20"/>
      <c r="C76" s="20"/>
      <c r="D76" s="254"/>
      <c r="E76" s="379">
        <v>135691</v>
      </c>
      <c r="F76" s="380" t="s">
        <v>62</v>
      </c>
      <c r="G76" s="381"/>
      <c r="H76" s="382"/>
      <c r="I76" s="383">
        <v>91100</v>
      </c>
      <c r="J76" s="384">
        <v>135691</v>
      </c>
      <c r="K76" s="378" t="s">
        <v>70</v>
      </c>
      <c r="L76" s="378" t="s">
        <v>0</v>
      </c>
      <c r="M76" s="378">
        <v>20</v>
      </c>
      <c r="N76" s="356">
        <v>91100</v>
      </c>
      <c r="O76" s="28" t="b">
        <v>1</v>
      </c>
    </row>
    <row r="77" spans="1:21" s="28" customFormat="1" ht="16.5" customHeight="1">
      <c r="B77" s="20"/>
      <c r="C77" s="20"/>
      <c r="D77" s="254"/>
      <c r="E77" s="379">
        <v>138838</v>
      </c>
      <c r="F77" s="380" t="s">
        <v>40</v>
      </c>
      <c r="G77" s="381"/>
      <c r="H77" s="382"/>
      <c r="I77" s="383">
        <v>615000</v>
      </c>
      <c r="J77" s="384">
        <v>138838</v>
      </c>
      <c r="K77" s="378" t="s">
        <v>71</v>
      </c>
      <c r="L77" s="378" t="s">
        <v>0</v>
      </c>
      <c r="M77" s="378">
        <v>200</v>
      </c>
      <c r="N77" s="356">
        <v>615000</v>
      </c>
      <c r="O77" s="28" t="b">
        <v>1</v>
      </c>
    </row>
    <row r="78" spans="1:21" s="28" customFormat="1" ht="16.5" customHeight="1">
      <c r="B78" s="20"/>
      <c r="C78" s="20"/>
      <c r="D78" s="254"/>
      <c r="E78" s="379">
        <v>138840</v>
      </c>
      <c r="F78" s="380" t="s">
        <v>87</v>
      </c>
      <c r="G78" s="381"/>
      <c r="H78" s="382"/>
      <c r="I78" s="383">
        <v>65600</v>
      </c>
      <c r="J78" s="384">
        <v>138840</v>
      </c>
      <c r="K78" s="378" t="s">
        <v>70</v>
      </c>
      <c r="L78" s="378" t="s">
        <v>0</v>
      </c>
      <c r="M78" s="378">
        <v>20</v>
      </c>
      <c r="N78" s="356">
        <v>65600</v>
      </c>
      <c r="O78" s="28" t="b">
        <v>1</v>
      </c>
    </row>
    <row r="79" spans="1:21" s="28" customFormat="1" ht="16.5" customHeight="1">
      <c r="B79" s="20"/>
      <c r="C79" s="20"/>
      <c r="D79" s="254"/>
      <c r="E79" s="379">
        <v>138851</v>
      </c>
      <c r="F79" s="380" t="s">
        <v>48</v>
      </c>
      <c r="G79" s="381"/>
      <c r="H79" s="382"/>
      <c r="I79" s="383">
        <v>1193000</v>
      </c>
      <c r="J79" s="384">
        <v>138851</v>
      </c>
      <c r="K79" s="378" t="s">
        <v>71</v>
      </c>
      <c r="L79" s="378" t="s">
        <v>0</v>
      </c>
      <c r="M79" s="378">
        <v>208</v>
      </c>
      <c r="N79" s="356">
        <v>1193000</v>
      </c>
      <c r="O79" s="28" t="b">
        <v>1</v>
      </c>
    </row>
    <row r="80" spans="1:21" s="28" customFormat="1" ht="16.5" customHeight="1">
      <c r="B80" s="20"/>
      <c r="C80" s="20"/>
      <c r="D80" s="254"/>
      <c r="E80" s="379">
        <v>138889</v>
      </c>
      <c r="F80" s="380" t="s">
        <v>55</v>
      </c>
      <c r="G80" s="381"/>
      <c r="H80" s="382"/>
      <c r="I80" s="383">
        <v>520000</v>
      </c>
      <c r="J80" s="384">
        <v>138889</v>
      </c>
      <c r="K80" s="378" t="s">
        <v>71</v>
      </c>
      <c r="L80" s="378" t="s">
        <v>0</v>
      </c>
      <c r="M80" s="378">
        <v>200</v>
      </c>
      <c r="N80" s="356">
        <v>520000</v>
      </c>
      <c r="O80" s="28" t="b">
        <v>1</v>
      </c>
    </row>
    <row r="81" spans="2:15" s="28" customFormat="1" ht="16.5" customHeight="1">
      <c r="B81" s="20"/>
      <c r="C81" s="20"/>
      <c r="D81" s="254"/>
      <c r="E81" s="379">
        <v>138890</v>
      </c>
      <c r="F81" s="380" t="s">
        <v>56</v>
      </c>
      <c r="G81" s="381"/>
      <c r="H81" s="382"/>
      <c r="I81" s="383">
        <v>54000</v>
      </c>
      <c r="J81" s="384">
        <v>138890</v>
      </c>
      <c r="K81" s="378" t="s">
        <v>70</v>
      </c>
      <c r="L81" s="378" t="s">
        <v>0</v>
      </c>
      <c r="M81" s="378">
        <v>20</v>
      </c>
      <c r="N81" s="356">
        <v>54000</v>
      </c>
      <c r="O81" s="28" t="b">
        <v>1</v>
      </c>
    </row>
    <row r="82" spans="2:15" s="28" customFormat="1" ht="16.5" customHeight="1">
      <c r="B82" s="20"/>
      <c r="C82" s="20"/>
      <c r="D82" s="254"/>
      <c r="E82" s="379">
        <v>138893</v>
      </c>
      <c r="F82" s="380" t="s">
        <v>57</v>
      </c>
      <c r="G82" s="381"/>
      <c r="H82" s="382"/>
      <c r="I82" s="383">
        <v>552000</v>
      </c>
      <c r="J82" s="384">
        <v>138893</v>
      </c>
      <c r="K82" s="378" t="s">
        <v>71</v>
      </c>
      <c r="L82" s="378" t="s">
        <v>0</v>
      </c>
      <c r="M82" s="378">
        <v>200</v>
      </c>
      <c r="N82" s="356">
        <v>552000</v>
      </c>
      <c r="O82" s="28" t="b">
        <v>1</v>
      </c>
    </row>
    <row r="83" spans="2:15" s="28" customFormat="1" ht="16.5" customHeight="1">
      <c r="B83" s="20"/>
      <c r="C83" s="20"/>
      <c r="D83" s="254"/>
      <c r="E83" s="379">
        <v>138895</v>
      </c>
      <c r="F83" s="380" t="s">
        <v>59</v>
      </c>
      <c r="G83" s="381"/>
      <c r="H83" s="382"/>
      <c r="I83" s="383">
        <v>662000</v>
      </c>
      <c r="J83" s="384">
        <v>138895</v>
      </c>
      <c r="K83" s="378" t="s">
        <v>71</v>
      </c>
      <c r="L83" s="378" t="s">
        <v>0</v>
      </c>
      <c r="M83" s="378">
        <v>200</v>
      </c>
      <c r="N83" s="356">
        <v>662000</v>
      </c>
      <c r="O83" s="28" t="b">
        <v>1</v>
      </c>
    </row>
    <row r="84" spans="2:15" s="28" customFormat="1" ht="16.5" customHeight="1">
      <c r="B84" s="20"/>
      <c r="C84" s="20"/>
      <c r="D84" s="254"/>
      <c r="E84" s="379">
        <v>138897</v>
      </c>
      <c r="F84" s="380" t="s">
        <v>61</v>
      </c>
      <c r="G84" s="381"/>
      <c r="H84" s="382"/>
      <c r="I84" s="383">
        <v>885000</v>
      </c>
      <c r="J84" s="384">
        <v>138897</v>
      </c>
      <c r="K84" s="378" t="s">
        <v>71</v>
      </c>
      <c r="L84" s="378" t="s">
        <v>0</v>
      </c>
      <c r="M84" s="378">
        <v>200</v>
      </c>
      <c r="N84" s="356">
        <v>885000</v>
      </c>
      <c r="O84" s="28" t="b">
        <v>1</v>
      </c>
    </row>
    <row r="85" spans="2:15" s="28" customFormat="1" ht="16.5" customHeight="1">
      <c r="B85" s="20"/>
      <c r="C85" s="20"/>
      <c r="D85" s="254"/>
      <c r="E85" s="379">
        <v>138898</v>
      </c>
      <c r="F85" s="380" t="s">
        <v>63</v>
      </c>
      <c r="G85" s="381"/>
      <c r="H85" s="382"/>
      <c r="I85" s="383">
        <v>755000</v>
      </c>
      <c r="J85" s="384">
        <v>138898</v>
      </c>
      <c r="K85" s="378" t="s">
        <v>71</v>
      </c>
      <c r="L85" s="378" t="s">
        <v>0</v>
      </c>
      <c r="M85" s="378">
        <v>200</v>
      </c>
      <c r="N85" s="356">
        <v>755000</v>
      </c>
      <c r="O85" s="28" t="b">
        <v>1</v>
      </c>
    </row>
    <row r="86" spans="2:15" s="28" customFormat="1" ht="16.5" customHeight="1">
      <c r="B86" s="20"/>
      <c r="C86" s="20"/>
      <c r="D86" s="254"/>
      <c r="E86" s="379">
        <v>138899</v>
      </c>
      <c r="F86" s="380" t="s">
        <v>64</v>
      </c>
      <c r="G86" s="381"/>
      <c r="H86" s="382"/>
      <c r="I86" s="383">
        <v>78100</v>
      </c>
      <c r="J86" s="384">
        <v>138899</v>
      </c>
      <c r="K86" s="378" t="s">
        <v>70</v>
      </c>
      <c r="L86" s="378" t="s">
        <v>0</v>
      </c>
      <c r="M86" s="378">
        <v>20</v>
      </c>
      <c r="N86" s="356">
        <v>78100</v>
      </c>
      <c r="O86" s="28" t="b">
        <v>1</v>
      </c>
    </row>
    <row r="87" spans="2:15" s="28" customFormat="1" ht="16.5" customHeight="1">
      <c r="B87" s="20"/>
      <c r="C87" s="20"/>
      <c r="D87" s="254"/>
      <c r="E87" s="379">
        <v>139641</v>
      </c>
      <c r="F87" s="380" t="s">
        <v>90</v>
      </c>
      <c r="G87" s="381"/>
      <c r="H87" s="382"/>
      <c r="I87" s="383">
        <v>43600</v>
      </c>
      <c r="J87" s="384">
        <v>139641</v>
      </c>
      <c r="K87" s="378" t="s">
        <v>73</v>
      </c>
      <c r="L87" s="378" t="s">
        <v>0</v>
      </c>
      <c r="M87" s="378">
        <v>12</v>
      </c>
      <c r="N87" s="356">
        <v>43600</v>
      </c>
      <c r="O87" s="28" t="b">
        <v>1</v>
      </c>
    </row>
    <row r="88" spans="2:15" s="28" customFormat="1" ht="16.5" customHeight="1">
      <c r="B88" s="20"/>
      <c r="C88" s="20"/>
      <c r="D88" s="254"/>
      <c r="E88" s="379">
        <v>139881</v>
      </c>
      <c r="F88" s="385" t="s">
        <v>101</v>
      </c>
      <c r="G88" s="386"/>
      <c r="H88" s="387"/>
      <c r="I88" s="383">
        <v>771000</v>
      </c>
      <c r="J88" s="384">
        <v>139881</v>
      </c>
      <c r="K88" s="378" t="s">
        <v>71</v>
      </c>
      <c r="L88" s="378" t="s">
        <v>78</v>
      </c>
      <c r="M88" s="378">
        <v>200</v>
      </c>
      <c r="N88" s="356">
        <v>771000</v>
      </c>
      <c r="O88" s="28" t="b">
        <v>1</v>
      </c>
    </row>
    <row r="89" spans="2:15" s="28" customFormat="1" ht="16.5" customHeight="1">
      <c r="B89" s="20"/>
      <c r="C89" s="20"/>
      <c r="D89" s="254"/>
      <c r="E89" s="379">
        <v>140382</v>
      </c>
      <c r="F89" s="380" t="s">
        <v>83</v>
      </c>
      <c r="G89" s="381"/>
      <c r="H89" s="382"/>
      <c r="I89" s="383">
        <v>2212000</v>
      </c>
      <c r="J89" s="384">
        <v>140382</v>
      </c>
      <c r="K89" s="378" t="s">
        <v>71</v>
      </c>
      <c r="L89" s="378" t="s">
        <v>0</v>
      </c>
      <c r="M89" s="378">
        <v>208</v>
      </c>
      <c r="N89" s="356">
        <v>2212000</v>
      </c>
      <c r="O89" s="28" t="b">
        <v>1</v>
      </c>
    </row>
    <row r="90" spans="2:15" s="28" customFormat="1" ht="16.5" customHeight="1">
      <c r="B90" s="20"/>
      <c r="C90" s="20"/>
      <c r="D90" s="254"/>
      <c r="E90" s="379">
        <v>140563</v>
      </c>
      <c r="F90" s="388" t="s">
        <v>124</v>
      </c>
      <c r="G90" s="389"/>
      <c r="H90" s="390"/>
      <c r="I90" s="383">
        <v>216000</v>
      </c>
      <c r="J90" s="391">
        <v>140563</v>
      </c>
      <c r="K90" s="392" t="s">
        <v>70</v>
      </c>
      <c r="L90" s="392" t="s">
        <v>0</v>
      </c>
      <c r="M90" s="392">
        <v>16</v>
      </c>
      <c r="N90" s="356" t="e">
        <v>#N/A</v>
      </c>
      <c r="O90" s="28" t="e">
        <v>#N/A</v>
      </c>
    </row>
    <row r="91" spans="2:15" s="28" customFormat="1" ht="16.5" customHeight="1">
      <c r="B91" s="20"/>
      <c r="C91" s="20"/>
      <c r="D91" s="254"/>
      <c r="E91" s="379">
        <v>143003</v>
      </c>
      <c r="F91" s="380" t="s">
        <v>132</v>
      </c>
      <c r="G91" s="381"/>
      <c r="H91" s="382"/>
      <c r="I91" s="383">
        <v>150000</v>
      </c>
      <c r="J91" s="384">
        <v>143003</v>
      </c>
      <c r="K91" s="378" t="s">
        <v>70</v>
      </c>
      <c r="L91" s="378" t="s">
        <v>0</v>
      </c>
      <c r="M91" s="378">
        <v>20</v>
      </c>
      <c r="N91" s="356" t="e">
        <v>#N/A</v>
      </c>
      <c r="O91" s="28" t="e">
        <v>#N/A</v>
      </c>
    </row>
    <row r="92" spans="2:15" s="28" customFormat="1" ht="16.5" customHeight="1">
      <c r="B92" s="20"/>
      <c r="C92" s="20"/>
      <c r="D92" s="254"/>
      <c r="E92" s="379">
        <v>143240</v>
      </c>
      <c r="F92" s="380" t="s">
        <v>746</v>
      </c>
      <c r="G92" s="381"/>
      <c r="H92" s="382"/>
      <c r="I92" s="383">
        <v>107800</v>
      </c>
      <c r="J92" s="384">
        <v>143240</v>
      </c>
      <c r="K92" s="378" t="s">
        <v>73</v>
      </c>
      <c r="L92" s="378" t="s">
        <v>0</v>
      </c>
      <c r="M92" s="378">
        <v>16</v>
      </c>
      <c r="N92" s="356" t="e">
        <v>#N/A</v>
      </c>
      <c r="O92" s="28" t="e">
        <v>#N/A</v>
      </c>
    </row>
    <row r="93" spans="2:15" s="28" customFormat="1" ht="16.5" customHeight="1">
      <c r="B93" s="20"/>
      <c r="C93" s="20"/>
      <c r="D93" s="254"/>
      <c r="E93" s="379">
        <v>138583</v>
      </c>
      <c r="F93" s="380" t="s">
        <v>740</v>
      </c>
      <c r="G93" s="381"/>
      <c r="H93" s="382"/>
      <c r="I93" s="383">
        <v>44600</v>
      </c>
      <c r="J93" s="378">
        <v>138583</v>
      </c>
      <c r="K93" s="378" t="s">
        <v>73</v>
      </c>
      <c r="L93" s="378" t="s">
        <v>741</v>
      </c>
      <c r="M93" s="378">
        <v>12</v>
      </c>
      <c r="N93" s="356" t="e">
        <v>#N/A</v>
      </c>
      <c r="O93" s="28" t="e">
        <v>#N/A</v>
      </c>
    </row>
    <row r="94" spans="2:15" s="28" customFormat="1" ht="16.5" customHeight="1">
      <c r="B94" s="20"/>
      <c r="C94" s="20"/>
      <c r="D94" s="254"/>
      <c r="E94" s="379">
        <v>123205</v>
      </c>
      <c r="F94" s="380" t="s">
        <v>49</v>
      </c>
      <c r="G94" s="381"/>
      <c r="H94" s="382"/>
      <c r="I94" s="383">
        <v>60300</v>
      </c>
      <c r="J94" s="384">
        <v>123205</v>
      </c>
      <c r="K94" s="393" t="s">
        <v>73</v>
      </c>
      <c r="L94" s="378" t="s">
        <v>35</v>
      </c>
      <c r="M94" s="378">
        <v>6</v>
      </c>
      <c r="N94" s="356" t="e">
        <v>#N/A</v>
      </c>
      <c r="O94" s="28" t="e">
        <v>#N/A</v>
      </c>
    </row>
    <row r="95" spans="2:15" s="28" customFormat="1" ht="16.5" customHeight="1">
      <c r="B95" s="20"/>
      <c r="C95" s="20"/>
      <c r="D95" s="254"/>
      <c r="E95" s="379">
        <v>124476</v>
      </c>
      <c r="F95" s="380" t="s">
        <v>52</v>
      </c>
      <c r="G95" s="381"/>
      <c r="H95" s="382"/>
      <c r="I95" s="383">
        <v>63200</v>
      </c>
      <c r="J95" s="384">
        <v>124476</v>
      </c>
      <c r="K95" s="378" t="s">
        <v>70</v>
      </c>
      <c r="L95" s="378" t="s">
        <v>79</v>
      </c>
      <c r="M95" s="378">
        <v>20</v>
      </c>
      <c r="N95" s="356" t="e">
        <v>#N/A</v>
      </c>
      <c r="O95" s="28" t="e">
        <v>#N/A</v>
      </c>
    </row>
    <row r="96" spans="2:15" s="28" customFormat="1" ht="16.5" customHeight="1">
      <c r="B96" s="20"/>
      <c r="C96" s="20"/>
      <c r="D96" s="254"/>
      <c r="E96" s="379">
        <v>135080</v>
      </c>
      <c r="F96" s="380" t="s">
        <v>44</v>
      </c>
      <c r="G96" s="381"/>
      <c r="H96" s="382"/>
      <c r="I96" s="383">
        <v>110000</v>
      </c>
      <c r="J96" s="378">
        <v>135080</v>
      </c>
      <c r="K96" s="393" t="s">
        <v>73</v>
      </c>
      <c r="L96" s="378" t="s">
        <v>35</v>
      </c>
      <c r="M96" s="378">
        <v>12</v>
      </c>
      <c r="N96" s="356" t="e">
        <v>#N/A</v>
      </c>
      <c r="O96" s="28" t="e">
        <v>#N/A</v>
      </c>
    </row>
    <row r="97" spans="2:15" s="28" customFormat="1" ht="16.5" customHeight="1">
      <c r="B97" s="20"/>
      <c r="C97" s="20"/>
      <c r="D97" s="254"/>
      <c r="E97" s="379">
        <v>138806</v>
      </c>
      <c r="F97" s="380" t="s">
        <v>50</v>
      </c>
      <c r="G97" s="381"/>
      <c r="H97" s="382"/>
      <c r="I97" s="383">
        <v>148600</v>
      </c>
      <c r="J97" s="384">
        <v>138806</v>
      </c>
      <c r="K97" s="378" t="s">
        <v>72</v>
      </c>
      <c r="L97" s="378" t="s">
        <v>35</v>
      </c>
      <c r="M97" s="378">
        <v>9.94</v>
      </c>
      <c r="N97" s="356">
        <v>216000</v>
      </c>
      <c r="O97" s="28" t="b">
        <v>1</v>
      </c>
    </row>
    <row r="98" spans="2:15" s="28" customFormat="1" ht="16.5" customHeight="1">
      <c r="B98" s="20"/>
      <c r="C98" s="20"/>
      <c r="D98" s="254"/>
      <c r="E98" s="379">
        <v>138827</v>
      </c>
      <c r="F98" s="380" t="s">
        <v>51</v>
      </c>
      <c r="G98" s="381"/>
      <c r="H98" s="382"/>
      <c r="I98" s="383">
        <v>595000</v>
      </c>
      <c r="J98" s="384">
        <v>138827</v>
      </c>
      <c r="K98" s="378" t="s">
        <v>71</v>
      </c>
      <c r="L98" s="378" t="s">
        <v>35</v>
      </c>
      <c r="M98" s="378">
        <v>200</v>
      </c>
      <c r="N98" s="356">
        <v>150000</v>
      </c>
      <c r="O98" s="28" t="b">
        <v>1</v>
      </c>
    </row>
    <row r="99" spans="2:15" s="28" customFormat="1" ht="16.5" customHeight="1">
      <c r="B99" s="20"/>
      <c r="C99" s="20"/>
      <c r="D99" s="254"/>
      <c r="E99" s="379">
        <v>138888</v>
      </c>
      <c r="F99" s="380" t="s">
        <v>102</v>
      </c>
      <c r="G99" s="381"/>
      <c r="H99" s="382"/>
      <c r="I99" s="383">
        <v>233000</v>
      </c>
      <c r="J99" s="384">
        <v>138888</v>
      </c>
      <c r="K99" s="378" t="s">
        <v>70</v>
      </c>
      <c r="L99" s="378" t="s">
        <v>79</v>
      </c>
      <c r="M99" s="378">
        <v>20</v>
      </c>
      <c r="N99" s="356">
        <v>107800</v>
      </c>
      <c r="O99" s="28" t="b">
        <v>1</v>
      </c>
    </row>
    <row r="100" spans="2:15" s="28" customFormat="1" ht="16.5" customHeight="1">
      <c r="B100" s="20"/>
      <c r="C100" s="20"/>
      <c r="D100" s="254"/>
      <c r="E100" s="379">
        <v>138892</v>
      </c>
      <c r="F100" s="380" t="s">
        <v>85</v>
      </c>
      <c r="G100" s="381"/>
      <c r="H100" s="382"/>
      <c r="I100" s="383">
        <v>46500</v>
      </c>
      <c r="J100" s="384">
        <v>138892</v>
      </c>
      <c r="K100" s="378" t="s">
        <v>72</v>
      </c>
      <c r="L100" s="378" t="s">
        <v>35</v>
      </c>
      <c r="M100" s="378">
        <v>16</v>
      </c>
      <c r="N100" s="356" t="e">
        <v>#N/A</v>
      </c>
      <c r="O100" s="28" t="e">
        <v>#N/A</v>
      </c>
    </row>
    <row r="101" spans="2:15" s="28" customFormat="1" ht="16.5" customHeight="1">
      <c r="B101" s="20"/>
      <c r="C101" s="20"/>
      <c r="D101" s="254"/>
      <c r="E101" s="379">
        <v>142227</v>
      </c>
      <c r="F101" s="380" t="s">
        <v>117</v>
      </c>
      <c r="G101" s="381"/>
      <c r="H101" s="382"/>
      <c r="I101" s="383">
        <v>853000</v>
      </c>
      <c r="J101" s="384">
        <v>142227</v>
      </c>
      <c r="K101" s="378" t="s">
        <v>103</v>
      </c>
      <c r="L101" s="378" t="s">
        <v>35</v>
      </c>
      <c r="M101" s="378">
        <v>200</v>
      </c>
      <c r="N101" s="356">
        <v>60300</v>
      </c>
      <c r="O101" s="28" t="b">
        <v>1</v>
      </c>
    </row>
    <row r="102" spans="2:15" s="28" customFormat="1" ht="16.5" customHeight="1">
      <c r="B102" s="20"/>
      <c r="C102" s="20"/>
      <c r="D102" s="254"/>
      <c r="E102" s="379">
        <v>140169</v>
      </c>
      <c r="F102" s="380" t="s">
        <v>84</v>
      </c>
      <c r="G102" s="381"/>
      <c r="H102" s="382"/>
      <c r="I102" s="383">
        <v>62400</v>
      </c>
      <c r="J102" s="384">
        <v>140169</v>
      </c>
      <c r="K102" s="393" t="s">
        <v>73</v>
      </c>
      <c r="L102" s="378" t="s">
        <v>35</v>
      </c>
      <c r="M102" s="378">
        <v>12</v>
      </c>
      <c r="N102" s="356">
        <v>63200</v>
      </c>
      <c r="O102" s="28" t="b">
        <v>1</v>
      </c>
    </row>
    <row r="103" spans="2:15" s="28" customFormat="1" ht="16.5" customHeight="1">
      <c r="B103" s="20"/>
      <c r="C103" s="20"/>
      <c r="D103" s="254"/>
      <c r="E103" s="379">
        <v>140657</v>
      </c>
      <c r="F103" s="380" t="s">
        <v>43</v>
      </c>
      <c r="G103" s="381"/>
      <c r="H103" s="382"/>
      <c r="I103" s="383">
        <v>118000</v>
      </c>
      <c r="J103" s="384">
        <v>140657</v>
      </c>
      <c r="K103" s="378" t="s">
        <v>73</v>
      </c>
      <c r="L103" s="378" t="s">
        <v>79</v>
      </c>
      <c r="M103" s="378">
        <v>12</v>
      </c>
      <c r="N103" s="356">
        <v>110000</v>
      </c>
      <c r="O103" s="28" t="b">
        <v>1</v>
      </c>
    </row>
    <row r="104" spans="2:15" s="28" customFormat="1" ht="16.5" customHeight="1">
      <c r="B104" s="20"/>
      <c r="C104" s="20"/>
      <c r="D104" s="254"/>
      <c r="E104" s="379">
        <v>140660</v>
      </c>
      <c r="F104" s="380" t="s">
        <v>100</v>
      </c>
      <c r="G104" s="381"/>
      <c r="H104" s="382"/>
      <c r="I104" s="383">
        <v>118000</v>
      </c>
      <c r="J104" s="384">
        <v>140660</v>
      </c>
      <c r="K104" s="378" t="s">
        <v>73</v>
      </c>
      <c r="L104" s="378" t="s">
        <v>79</v>
      </c>
      <c r="M104" s="378">
        <v>12</v>
      </c>
      <c r="N104" s="356">
        <v>148600</v>
      </c>
      <c r="O104" s="28" t="b">
        <v>1</v>
      </c>
    </row>
    <row r="105" spans="2:15" s="28" customFormat="1" ht="16.5" customHeight="1">
      <c r="B105" s="20"/>
      <c r="C105" s="20"/>
      <c r="D105" s="254"/>
      <c r="E105" s="379">
        <v>140661</v>
      </c>
      <c r="F105" s="380" t="s">
        <v>106</v>
      </c>
      <c r="G105" s="381"/>
      <c r="H105" s="382"/>
      <c r="I105" s="383">
        <v>1789000</v>
      </c>
      <c r="J105" s="378">
        <v>140661</v>
      </c>
      <c r="K105" s="378" t="s">
        <v>103</v>
      </c>
      <c r="L105" s="378" t="s">
        <v>79</v>
      </c>
      <c r="M105" s="378">
        <v>200</v>
      </c>
      <c r="N105" s="356">
        <v>595000</v>
      </c>
      <c r="O105" s="28" t="b">
        <v>1</v>
      </c>
    </row>
    <row r="106" spans="2:15" s="28" customFormat="1" ht="16.5" customHeight="1">
      <c r="B106" s="20"/>
      <c r="C106" s="20"/>
      <c r="D106" s="254"/>
      <c r="E106" s="379">
        <v>141593</v>
      </c>
      <c r="F106" s="380" t="s">
        <v>104</v>
      </c>
      <c r="G106" s="381"/>
      <c r="H106" s="382"/>
      <c r="I106" s="383">
        <v>479000</v>
      </c>
      <c r="J106" s="384">
        <v>141593</v>
      </c>
      <c r="K106" s="378" t="s">
        <v>71</v>
      </c>
      <c r="L106" s="378" t="s">
        <v>35</v>
      </c>
      <c r="M106" s="378">
        <v>200</v>
      </c>
      <c r="N106" s="356">
        <v>233000</v>
      </c>
      <c r="O106" s="28" t="b">
        <v>1</v>
      </c>
    </row>
    <row r="107" spans="2:15" s="28" customFormat="1" ht="16.5" customHeight="1">
      <c r="B107" s="20"/>
      <c r="C107" s="20"/>
      <c r="D107" s="254"/>
      <c r="E107" s="379">
        <v>120082</v>
      </c>
      <c r="F107" s="380" t="s">
        <v>97</v>
      </c>
      <c r="G107" s="381"/>
      <c r="H107" s="382"/>
      <c r="I107" s="383">
        <v>605000</v>
      </c>
      <c r="J107" s="384">
        <v>120082</v>
      </c>
      <c r="K107" s="378" t="s">
        <v>70</v>
      </c>
      <c r="L107" s="378" t="s">
        <v>69</v>
      </c>
      <c r="M107" s="378">
        <v>16</v>
      </c>
      <c r="N107" s="356">
        <v>46500</v>
      </c>
      <c r="O107" s="28" t="b">
        <v>1</v>
      </c>
    </row>
    <row r="108" spans="2:15" s="28" customFormat="1" ht="16.5" customHeight="1">
      <c r="B108" s="20"/>
      <c r="C108" s="20"/>
      <c r="D108" s="254"/>
      <c r="E108" s="379">
        <v>120084</v>
      </c>
      <c r="F108" s="380" t="s">
        <v>760</v>
      </c>
      <c r="G108" s="381"/>
      <c r="H108" s="382"/>
      <c r="I108" s="383">
        <v>458000</v>
      </c>
      <c r="J108" s="394">
        <v>120084</v>
      </c>
      <c r="K108" s="393" t="s">
        <v>761</v>
      </c>
      <c r="L108" s="378" t="s">
        <v>69</v>
      </c>
      <c r="M108" s="378">
        <v>22.8</v>
      </c>
      <c r="N108" s="356" t="e">
        <v>#N/A</v>
      </c>
      <c r="O108" s="28" t="e">
        <v>#N/A</v>
      </c>
    </row>
    <row r="109" spans="2:15" s="28" customFormat="1" ht="16.5" customHeight="1">
      <c r="B109" s="20"/>
      <c r="C109" s="20"/>
      <c r="D109" s="254"/>
      <c r="E109" s="379">
        <v>120088</v>
      </c>
      <c r="F109" s="380" t="s">
        <v>118</v>
      </c>
      <c r="G109" s="381"/>
      <c r="H109" s="382"/>
      <c r="I109" s="383">
        <v>4264030</v>
      </c>
      <c r="J109" s="384">
        <v>120088</v>
      </c>
      <c r="K109" s="378" t="s">
        <v>71</v>
      </c>
      <c r="L109" s="378" t="s">
        <v>69</v>
      </c>
      <c r="M109" s="378">
        <v>208</v>
      </c>
      <c r="N109" s="356" t="e">
        <v>#N/A</v>
      </c>
      <c r="O109" s="28" t="e">
        <v>#N/A</v>
      </c>
    </row>
    <row r="110" spans="2:15" s="28" customFormat="1" ht="16.5" customHeight="1">
      <c r="B110" s="20"/>
      <c r="C110" s="20"/>
      <c r="D110" s="254"/>
      <c r="E110" s="379">
        <v>120089</v>
      </c>
      <c r="F110" s="380" t="s">
        <v>762</v>
      </c>
      <c r="G110" s="381"/>
      <c r="H110" s="382"/>
      <c r="I110" s="383">
        <v>380000</v>
      </c>
      <c r="J110" s="384">
        <v>120089</v>
      </c>
      <c r="K110" s="378" t="s">
        <v>761</v>
      </c>
      <c r="L110" s="378" t="s">
        <v>69</v>
      </c>
      <c r="M110" s="378">
        <v>22.8</v>
      </c>
      <c r="N110" s="356">
        <v>118000</v>
      </c>
      <c r="O110" s="28" t="b">
        <v>1</v>
      </c>
    </row>
    <row r="111" spans="2:15" s="28" customFormat="1" ht="16.5" customHeight="1">
      <c r="B111" s="20"/>
      <c r="C111" s="20"/>
      <c r="D111" s="254"/>
      <c r="E111" s="379">
        <v>134601</v>
      </c>
      <c r="F111" s="380" t="s">
        <v>763</v>
      </c>
      <c r="G111" s="381"/>
      <c r="H111" s="382"/>
      <c r="I111" s="383">
        <v>3724000</v>
      </c>
      <c r="J111" s="384">
        <v>134601</v>
      </c>
      <c r="K111" s="378" t="s">
        <v>71</v>
      </c>
      <c r="L111" s="378" t="s">
        <v>69</v>
      </c>
      <c r="M111" s="378">
        <v>200</v>
      </c>
      <c r="N111" s="356">
        <v>118000</v>
      </c>
      <c r="O111" s="28" t="b">
        <v>1</v>
      </c>
    </row>
    <row r="112" spans="2:15" s="28" customFormat="1" ht="16.5" customHeight="1">
      <c r="B112" s="20"/>
      <c r="C112" s="20"/>
      <c r="D112" s="254"/>
      <c r="E112" s="379">
        <v>134756</v>
      </c>
      <c r="F112" s="380" t="s">
        <v>107</v>
      </c>
      <c r="G112" s="381"/>
      <c r="H112" s="382"/>
      <c r="I112" s="383">
        <v>662000</v>
      </c>
      <c r="J112" s="378">
        <v>134756</v>
      </c>
      <c r="K112" s="378" t="s">
        <v>70</v>
      </c>
      <c r="L112" s="378" t="s">
        <v>69</v>
      </c>
      <c r="M112" s="378">
        <v>16</v>
      </c>
      <c r="N112" s="356">
        <v>1789000</v>
      </c>
      <c r="O112" s="28" t="b">
        <v>1</v>
      </c>
    </row>
    <row r="113" spans="2:15" s="28" customFormat="1" ht="16.5" customHeight="1">
      <c r="B113" s="20"/>
      <c r="C113" s="20"/>
      <c r="D113" s="254"/>
      <c r="E113" s="379">
        <v>135390</v>
      </c>
      <c r="F113" s="380" t="s">
        <v>764</v>
      </c>
      <c r="G113" s="381"/>
      <c r="H113" s="382"/>
      <c r="I113" s="383">
        <v>524000</v>
      </c>
      <c r="J113" s="378">
        <v>135390</v>
      </c>
      <c r="K113" s="378" t="s">
        <v>70</v>
      </c>
      <c r="L113" s="378" t="s">
        <v>69</v>
      </c>
      <c r="M113" s="378">
        <v>20</v>
      </c>
      <c r="N113" s="356" t="e">
        <v>#N/A</v>
      </c>
      <c r="O113" s="28" t="e">
        <v>#N/A</v>
      </c>
    </row>
    <row r="114" spans="2:15" s="28" customFormat="1" ht="16.5" customHeight="1">
      <c r="B114" s="20"/>
      <c r="C114" s="20"/>
      <c r="D114" s="254"/>
      <c r="E114" s="379">
        <v>120969</v>
      </c>
      <c r="F114" s="395" t="s">
        <v>254</v>
      </c>
      <c r="G114" s="396"/>
      <c r="H114" s="397"/>
      <c r="I114" s="383">
        <v>235000</v>
      </c>
      <c r="J114" s="398">
        <v>120969</v>
      </c>
      <c r="K114" s="399" t="s">
        <v>70</v>
      </c>
      <c r="L114" s="399" t="s">
        <v>34</v>
      </c>
      <c r="M114" s="399">
        <v>18.899999999999999</v>
      </c>
      <c r="N114" s="356" t="e">
        <v>#N/A</v>
      </c>
      <c r="O114" s="28" t="e">
        <v>#N/A</v>
      </c>
    </row>
    <row r="115" spans="2:15" s="28" customFormat="1" ht="16.5" customHeight="1">
      <c r="B115" s="20"/>
      <c r="C115" s="20"/>
      <c r="D115" s="254"/>
      <c r="E115" s="379">
        <v>121540</v>
      </c>
      <c r="F115" s="395" t="s">
        <v>419</v>
      </c>
      <c r="G115" s="396"/>
      <c r="H115" s="397"/>
      <c r="I115" s="383">
        <v>1684000</v>
      </c>
      <c r="J115" s="398">
        <v>121540</v>
      </c>
      <c r="K115" s="399" t="s">
        <v>71</v>
      </c>
      <c r="L115" s="399" t="s">
        <v>34</v>
      </c>
      <c r="M115" s="399">
        <v>208</v>
      </c>
      <c r="N115" s="356" t="e">
        <v>#N/A</v>
      </c>
      <c r="O115" s="28" t="e">
        <v>#N/A</v>
      </c>
    </row>
    <row r="116" spans="2:15" s="28" customFormat="1" ht="16.5" customHeight="1">
      <c r="B116" s="20"/>
      <c r="C116" s="20"/>
      <c r="D116" s="254"/>
      <c r="E116" s="379">
        <v>121558</v>
      </c>
      <c r="F116" s="395" t="s">
        <v>255</v>
      </c>
      <c r="G116" s="396"/>
      <c r="H116" s="397"/>
      <c r="I116" s="383">
        <v>311000</v>
      </c>
      <c r="J116" s="398">
        <v>121558</v>
      </c>
      <c r="K116" s="399" t="s">
        <v>70</v>
      </c>
      <c r="L116" s="399" t="s">
        <v>34</v>
      </c>
      <c r="M116" s="399">
        <v>17.251999999999999</v>
      </c>
      <c r="N116" s="356" t="e">
        <v>#N/A</v>
      </c>
      <c r="O116" s="28" t="e">
        <v>#N/A</v>
      </c>
    </row>
    <row r="117" spans="2:15" s="28" customFormat="1" ht="16.5" customHeight="1">
      <c r="B117" s="20"/>
      <c r="C117" s="20"/>
      <c r="D117" s="254"/>
      <c r="E117" s="379">
        <v>121759</v>
      </c>
      <c r="F117" s="395" t="s">
        <v>765</v>
      </c>
      <c r="G117" s="396"/>
      <c r="H117" s="397"/>
      <c r="I117" s="383">
        <v>1230000</v>
      </c>
      <c r="J117" s="399">
        <v>121759</v>
      </c>
      <c r="K117" s="399" t="s">
        <v>71</v>
      </c>
      <c r="L117" s="399" t="s">
        <v>34</v>
      </c>
      <c r="M117" s="399">
        <v>208</v>
      </c>
      <c r="N117" s="356" t="e">
        <v>#N/A</v>
      </c>
      <c r="O117" s="28" t="e">
        <v>#N/A</v>
      </c>
    </row>
    <row r="118" spans="2:15" s="28" customFormat="1" ht="16.5" customHeight="1">
      <c r="B118" s="20"/>
      <c r="C118" s="20"/>
      <c r="D118" s="254"/>
      <c r="E118" s="379">
        <v>121762</v>
      </c>
      <c r="F118" s="395" t="s">
        <v>434</v>
      </c>
      <c r="G118" s="396"/>
      <c r="H118" s="397"/>
      <c r="I118" s="383">
        <v>1302000</v>
      </c>
      <c r="J118" s="399">
        <v>121762</v>
      </c>
      <c r="K118" s="399" t="s">
        <v>71</v>
      </c>
      <c r="L118" s="399" t="s">
        <v>34</v>
      </c>
      <c r="M118" s="399">
        <v>208</v>
      </c>
      <c r="N118" s="356" t="e">
        <v>#N/A</v>
      </c>
      <c r="O118" s="28" t="e">
        <v>#N/A</v>
      </c>
    </row>
    <row r="119" spans="2:15" s="28" customFormat="1" ht="16.5" customHeight="1">
      <c r="B119" s="20"/>
      <c r="C119" s="20"/>
      <c r="D119" s="254"/>
      <c r="E119" s="379">
        <v>121764</v>
      </c>
      <c r="F119" s="395" t="s">
        <v>435</v>
      </c>
      <c r="G119" s="396"/>
      <c r="H119" s="397"/>
      <c r="I119" s="383">
        <v>1246000</v>
      </c>
      <c r="J119" s="399">
        <v>121764</v>
      </c>
      <c r="K119" s="399" t="s">
        <v>71</v>
      </c>
      <c r="L119" s="399" t="s">
        <v>34</v>
      </c>
      <c r="M119" s="399">
        <v>208</v>
      </c>
      <c r="N119" s="356" t="e">
        <v>#N/A</v>
      </c>
      <c r="O119" s="28" t="e">
        <v>#N/A</v>
      </c>
    </row>
    <row r="120" spans="2:15" s="28" customFormat="1" ht="16.5" customHeight="1">
      <c r="B120" s="20"/>
      <c r="C120" s="20"/>
      <c r="D120" s="254"/>
      <c r="E120" s="379">
        <v>121892</v>
      </c>
      <c r="F120" s="395" t="s">
        <v>256</v>
      </c>
      <c r="G120" s="396"/>
      <c r="H120" s="397"/>
      <c r="I120" s="383">
        <v>481000</v>
      </c>
      <c r="J120" s="399">
        <v>121892</v>
      </c>
      <c r="K120" s="399" t="s">
        <v>70</v>
      </c>
      <c r="L120" s="399" t="s">
        <v>34</v>
      </c>
      <c r="M120" s="399">
        <v>18.899999999999999</v>
      </c>
      <c r="N120" s="356">
        <v>479000</v>
      </c>
      <c r="O120" s="28" t="b">
        <v>1</v>
      </c>
    </row>
    <row r="121" spans="2:15" s="28" customFormat="1" ht="16.5" customHeight="1">
      <c r="B121" s="20"/>
      <c r="C121" s="20"/>
      <c r="D121" s="254"/>
      <c r="E121" s="379">
        <v>121902</v>
      </c>
      <c r="F121" s="395" t="s">
        <v>257</v>
      </c>
      <c r="G121" s="396"/>
      <c r="H121" s="397"/>
      <c r="I121" s="383">
        <v>410000</v>
      </c>
      <c r="J121" s="398">
        <v>121902</v>
      </c>
      <c r="K121" s="399" t="s">
        <v>70</v>
      </c>
      <c r="L121" s="399" t="s">
        <v>34</v>
      </c>
      <c r="M121" s="399">
        <v>18.899999999999999</v>
      </c>
      <c r="N121" s="356" t="e">
        <v>#N/A</v>
      </c>
      <c r="O121" s="28" t="e">
        <v>#N/A</v>
      </c>
    </row>
    <row r="122" spans="2:15" s="28" customFormat="1" ht="16.5" customHeight="1">
      <c r="B122" s="20"/>
      <c r="C122" s="20"/>
      <c r="D122" s="254"/>
      <c r="E122" s="379">
        <v>121904</v>
      </c>
      <c r="F122" s="395" t="s">
        <v>258</v>
      </c>
      <c r="G122" s="396"/>
      <c r="H122" s="397"/>
      <c r="I122" s="383">
        <v>430000</v>
      </c>
      <c r="J122" s="398">
        <v>121904</v>
      </c>
      <c r="K122" s="399" t="s">
        <v>70</v>
      </c>
      <c r="L122" s="399" t="s">
        <v>34</v>
      </c>
      <c r="M122" s="399">
        <v>18.899999999999999</v>
      </c>
      <c r="N122" s="356" t="e">
        <v>#N/A</v>
      </c>
      <c r="O122" s="28" t="e">
        <v>#N/A</v>
      </c>
    </row>
    <row r="123" spans="2:15" s="28" customFormat="1" ht="16.5" customHeight="1">
      <c r="B123" s="20"/>
      <c r="C123" s="20"/>
      <c r="D123" s="254"/>
      <c r="E123" s="379">
        <v>121907</v>
      </c>
      <c r="F123" s="395" t="s">
        <v>259</v>
      </c>
      <c r="G123" s="396"/>
      <c r="H123" s="397"/>
      <c r="I123" s="383">
        <v>398000</v>
      </c>
      <c r="J123" s="398">
        <v>121907</v>
      </c>
      <c r="K123" s="399" t="s">
        <v>70</v>
      </c>
      <c r="L123" s="399" t="s">
        <v>34</v>
      </c>
      <c r="M123" s="399">
        <v>18.899999999999999</v>
      </c>
      <c r="N123" s="356">
        <v>605000</v>
      </c>
      <c r="O123" s="28" t="b">
        <v>1</v>
      </c>
    </row>
    <row r="124" spans="2:15" s="28" customFormat="1" ht="16.5" customHeight="1">
      <c r="B124" s="20"/>
      <c r="C124" s="20"/>
      <c r="D124" s="254"/>
      <c r="E124" s="379">
        <v>122135</v>
      </c>
      <c r="F124" s="395" t="s">
        <v>437</v>
      </c>
      <c r="G124" s="396"/>
      <c r="H124" s="397"/>
      <c r="I124" s="383">
        <v>1207000</v>
      </c>
      <c r="J124" s="399">
        <v>122135</v>
      </c>
      <c r="K124" s="399" t="s">
        <v>71</v>
      </c>
      <c r="L124" s="399" t="s">
        <v>34</v>
      </c>
      <c r="M124" s="399">
        <v>208</v>
      </c>
      <c r="N124" s="356">
        <v>458000</v>
      </c>
      <c r="O124" s="28" t="b">
        <v>1</v>
      </c>
    </row>
    <row r="125" spans="2:15" s="28" customFormat="1" ht="16.5" customHeight="1">
      <c r="B125" s="20"/>
      <c r="C125" s="20"/>
      <c r="D125" s="254"/>
      <c r="E125" s="379">
        <v>122167</v>
      </c>
      <c r="F125" s="395" t="s">
        <v>438</v>
      </c>
      <c r="G125" s="396"/>
      <c r="H125" s="397"/>
      <c r="I125" s="383">
        <v>3124000</v>
      </c>
      <c r="J125" s="398">
        <v>122167</v>
      </c>
      <c r="K125" s="399" t="s">
        <v>71</v>
      </c>
      <c r="L125" s="399" t="s">
        <v>34</v>
      </c>
      <c r="M125" s="399">
        <v>208</v>
      </c>
      <c r="N125" s="356" t="e">
        <v>#N/A</v>
      </c>
      <c r="O125" s="28" t="e">
        <v>#N/A</v>
      </c>
    </row>
    <row r="126" spans="2:15" s="28" customFormat="1" ht="16.5" customHeight="1">
      <c r="B126" s="20"/>
      <c r="C126" s="20"/>
      <c r="D126" s="254"/>
      <c r="E126" s="379">
        <v>122187</v>
      </c>
      <c r="F126" s="395" t="s">
        <v>439</v>
      </c>
      <c r="G126" s="396"/>
      <c r="H126" s="397"/>
      <c r="I126" s="383">
        <v>2760000</v>
      </c>
      <c r="J126" s="398">
        <v>122187</v>
      </c>
      <c r="K126" s="399" t="s">
        <v>71</v>
      </c>
      <c r="L126" s="399" t="s">
        <v>34</v>
      </c>
      <c r="M126" s="399">
        <v>208</v>
      </c>
      <c r="N126" s="356">
        <v>380000</v>
      </c>
      <c r="O126" s="28" t="b">
        <v>1</v>
      </c>
    </row>
    <row r="127" spans="2:15" s="28" customFormat="1" ht="16.5" customHeight="1">
      <c r="B127" s="20"/>
      <c r="C127" s="20"/>
      <c r="D127" s="254"/>
      <c r="E127" s="379">
        <v>122612</v>
      </c>
      <c r="F127" s="395" t="s">
        <v>446</v>
      </c>
      <c r="G127" s="396"/>
      <c r="H127" s="397"/>
      <c r="I127" s="383">
        <v>1525000</v>
      </c>
      <c r="J127" s="398">
        <v>122612</v>
      </c>
      <c r="K127" s="399" t="s">
        <v>71</v>
      </c>
      <c r="L127" s="399" t="s">
        <v>34</v>
      </c>
      <c r="M127" s="399">
        <v>208</v>
      </c>
      <c r="N127" s="356">
        <v>3724000</v>
      </c>
      <c r="O127" s="28" t="b">
        <v>1</v>
      </c>
    </row>
    <row r="128" spans="2:15" s="28" customFormat="1" ht="16.5" customHeight="1">
      <c r="B128" s="20"/>
      <c r="C128" s="20"/>
      <c r="D128" s="254"/>
      <c r="E128" s="379">
        <v>122650</v>
      </c>
      <c r="F128" s="395" t="s">
        <v>447</v>
      </c>
      <c r="G128" s="396"/>
      <c r="H128" s="397"/>
      <c r="I128" s="383">
        <v>3190000</v>
      </c>
      <c r="J128" s="398">
        <v>122650</v>
      </c>
      <c r="K128" s="399" t="s">
        <v>71</v>
      </c>
      <c r="L128" s="399" t="s">
        <v>34</v>
      </c>
      <c r="M128" s="399">
        <v>208</v>
      </c>
      <c r="N128" s="356">
        <v>662000</v>
      </c>
      <c r="O128" s="28" t="b">
        <v>1</v>
      </c>
    </row>
    <row r="129" spans="2:15" s="28" customFormat="1" ht="16.5" customHeight="1">
      <c r="B129" s="20"/>
      <c r="C129" s="20"/>
      <c r="D129" s="254"/>
      <c r="E129" s="379">
        <v>122713</v>
      </c>
      <c r="F129" s="395" t="s">
        <v>67</v>
      </c>
      <c r="G129" s="396"/>
      <c r="H129" s="397"/>
      <c r="I129" s="383">
        <v>106000</v>
      </c>
      <c r="J129" s="399">
        <v>122713</v>
      </c>
      <c r="K129" s="399" t="s">
        <v>70</v>
      </c>
      <c r="L129" s="399" t="s">
        <v>34</v>
      </c>
      <c r="M129" s="399">
        <v>20</v>
      </c>
      <c r="N129" s="356">
        <v>524000</v>
      </c>
      <c r="O129" s="28" t="b">
        <v>1</v>
      </c>
    </row>
    <row r="130" spans="2:15" s="28" customFormat="1" ht="16.5" customHeight="1">
      <c r="B130" s="20"/>
      <c r="C130" s="20"/>
      <c r="D130" s="254"/>
      <c r="E130" s="379">
        <v>122766</v>
      </c>
      <c r="F130" s="395" t="s">
        <v>68</v>
      </c>
      <c r="G130" s="396"/>
      <c r="H130" s="397"/>
      <c r="I130" s="383">
        <v>83600</v>
      </c>
      <c r="J130" s="398">
        <v>122766</v>
      </c>
      <c r="K130" s="399" t="s">
        <v>70</v>
      </c>
      <c r="L130" s="399" t="s">
        <v>34</v>
      </c>
      <c r="M130" s="399">
        <v>20</v>
      </c>
      <c r="N130" s="356">
        <v>222000</v>
      </c>
      <c r="O130" s="28" t="b">
        <v>0</v>
      </c>
    </row>
    <row r="131" spans="2:15" s="28" customFormat="1" ht="16.5" customHeight="1">
      <c r="B131" s="20"/>
      <c r="C131" s="20"/>
      <c r="D131" s="254"/>
      <c r="E131" s="379">
        <v>122821</v>
      </c>
      <c r="F131" s="395" t="s">
        <v>448</v>
      </c>
      <c r="G131" s="396"/>
      <c r="H131" s="397"/>
      <c r="I131" s="383"/>
      <c r="J131" s="398">
        <v>122821</v>
      </c>
      <c r="K131" s="399" t="s">
        <v>71</v>
      </c>
      <c r="L131" s="399" t="s">
        <v>34</v>
      </c>
      <c r="M131" s="399">
        <v>208</v>
      </c>
      <c r="N131" s="356">
        <v>1684000</v>
      </c>
      <c r="O131" s="28" t="b">
        <v>1</v>
      </c>
    </row>
    <row r="132" spans="2:15" s="28" customFormat="1" ht="16.5" customHeight="1">
      <c r="B132" s="20"/>
      <c r="C132" s="20"/>
      <c r="D132" s="254"/>
      <c r="E132" s="379">
        <v>122837</v>
      </c>
      <c r="F132" s="395" t="s">
        <v>65</v>
      </c>
      <c r="G132" s="396"/>
      <c r="H132" s="397"/>
      <c r="I132" s="383">
        <v>62800</v>
      </c>
      <c r="J132" s="398">
        <v>122837</v>
      </c>
      <c r="K132" s="399" t="s">
        <v>70</v>
      </c>
      <c r="L132" s="399" t="s">
        <v>34</v>
      </c>
      <c r="M132" s="399">
        <v>20</v>
      </c>
      <c r="N132" s="356">
        <v>311000</v>
      </c>
      <c r="O132" s="28" t="b">
        <v>1</v>
      </c>
    </row>
    <row r="133" spans="2:15" s="28" customFormat="1" ht="16.5" customHeight="1">
      <c r="B133" s="20"/>
      <c r="C133" s="20"/>
      <c r="D133" s="254"/>
      <c r="E133" s="379">
        <v>122842</v>
      </c>
      <c r="F133" s="395" t="s">
        <v>238</v>
      </c>
      <c r="G133" s="396"/>
      <c r="H133" s="397"/>
      <c r="I133" s="383">
        <v>79200</v>
      </c>
      <c r="J133" s="399">
        <v>122842</v>
      </c>
      <c r="K133" s="399" t="s">
        <v>70</v>
      </c>
      <c r="L133" s="399" t="s">
        <v>34</v>
      </c>
      <c r="M133" s="399">
        <v>20</v>
      </c>
      <c r="N133" s="356">
        <v>1230000</v>
      </c>
      <c r="O133" s="28" t="b">
        <v>1</v>
      </c>
    </row>
    <row r="134" spans="2:15" s="28" customFormat="1" ht="16.5" customHeight="1">
      <c r="B134" s="20"/>
      <c r="C134" s="20"/>
      <c r="D134" s="254"/>
      <c r="E134" s="379">
        <v>144277</v>
      </c>
      <c r="F134" s="395" t="s">
        <v>232</v>
      </c>
      <c r="G134" s="396"/>
      <c r="H134" s="397"/>
      <c r="I134" s="383">
        <v>46600</v>
      </c>
      <c r="J134" s="398">
        <v>122885</v>
      </c>
      <c r="K134" s="399" t="s">
        <v>70</v>
      </c>
      <c r="L134" s="399" t="s">
        <v>34</v>
      </c>
      <c r="M134" s="399">
        <v>20</v>
      </c>
      <c r="N134" s="356">
        <v>1302000</v>
      </c>
      <c r="O134" s="28" t="b">
        <v>1</v>
      </c>
    </row>
    <row r="135" spans="2:15" s="28" customFormat="1" ht="16.5" customHeight="1">
      <c r="B135" s="20"/>
      <c r="C135" s="20"/>
      <c r="D135" s="254"/>
      <c r="E135" s="379">
        <v>123004</v>
      </c>
      <c r="F135" s="395" t="s">
        <v>41</v>
      </c>
      <c r="G135" s="396"/>
      <c r="H135" s="397"/>
      <c r="I135" s="383">
        <v>402000</v>
      </c>
      <c r="J135" s="398">
        <v>123004</v>
      </c>
      <c r="K135" s="399" t="s">
        <v>70</v>
      </c>
      <c r="L135" s="399" t="s">
        <v>34</v>
      </c>
      <c r="M135" s="399">
        <v>18</v>
      </c>
      <c r="N135" s="356">
        <v>1246000</v>
      </c>
      <c r="O135" s="28" t="b">
        <v>1</v>
      </c>
    </row>
    <row r="136" spans="2:15" s="28" customFormat="1" ht="16.5" customHeight="1">
      <c r="B136" s="20"/>
      <c r="C136" s="20"/>
      <c r="D136" s="254"/>
      <c r="E136" s="379">
        <v>123291</v>
      </c>
      <c r="F136" s="395" t="s">
        <v>261</v>
      </c>
      <c r="G136" s="396"/>
      <c r="H136" s="397"/>
      <c r="I136" s="383">
        <v>326000</v>
      </c>
      <c r="J136" s="398">
        <v>123291</v>
      </c>
      <c r="K136" s="399" t="s">
        <v>70</v>
      </c>
      <c r="L136" s="399" t="s">
        <v>34</v>
      </c>
      <c r="M136" s="399">
        <v>20</v>
      </c>
      <c r="N136" s="356">
        <v>481000</v>
      </c>
      <c r="O136" s="28" t="b">
        <v>1</v>
      </c>
    </row>
    <row r="137" spans="2:15" s="28" customFormat="1" ht="16.5" customHeight="1">
      <c r="B137" s="20"/>
      <c r="C137" s="20"/>
      <c r="D137" s="254"/>
      <c r="E137" s="379">
        <v>123328</v>
      </c>
      <c r="F137" s="395" t="s">
        <v>262</v>
      </c>
      <c r="G137" s="396"/>
      <c r="H137" s="397"/>
      <c r="I137" s="383">
        <v>66800</v>
      </c>
      <c r="J137" s="398">
        <v>123328</v>
      </c>
      <c r="K137" s="399" t="s">
        <v>70</v>
      </c>
      <c r="L137" s="399" t="s">
        <v>34</v>
      </c>
      <c r="M137" s="399">
        <v>20</v>
      </c>
      <c r="N137" s="356">
        <v>410000</v>
      </c>
      <c r="O137" s="28" t="b">
        <v>1</v>
      </c>
    </row>
    <row r="138" spans="2:15" s="28" customFormat="1" ht="16.5" customHeight="1">
      <c r="B138" s="20"/>
      <c r="C138" s="20"/>
      <c r="D138" s="254"/>
      <c r="E138" s="379">
        <v>123330</v>
      </c>
      <c r="F138" s="395" t="s">
        <v>263</v>
      </c>
      <c r="G138" s="396"/>
      <c r="H138" s="397"/>
      <c r="I138" s="383">
        <v>62700</v>
      </c>
      <c r="J138" s="398">
        <v>123330</v>
      </c>
      <c r="K138" s="399" t="s">
        <v>70</v>
      </c>
      <c r="L138" s="399" t="s">
        <v>34</v>
      </c>
      <c r="M138" s="399">
        <v>20</v>
      </c>
      <c r="N138" s="356">
        <v>430000</v>
      </c>
      <c r="O138" s="28" t="b">
        <v>1</v>
      </c>
    </row>
    <row r="139" spans="2:15" s="28" customFormat="1" ht="16.5" customHeight="1">
      <c r="B139" s="20"/>
      <c r="C139" s="20"/>
      <c r="D139" s="254"/>
      <c r="E139" s="379">
        <v>123331</v>
      </c>
      <c r="F139" s="395" t="s">
        <v>264</v>
      </c>
      <c r="G139" s="396"/>
      <c r="H139" s="397"/>
      <c r="I139" s="383">
        <v>54200</v>
      </c>
      <c r="J139" s="398">
        <v>123331</v>
      </c>
      <c r="K139" s="399" t="s">
        <v>70</v>
      </c>
      <c r="L139" s="399" t="s">
        <v>34</v>
      </c>
      <c r="M139" s="399">
        <v>20</v>
      </c>
      <c r="N139" s="356">
        <v>398000</v>
      </c>
      <c r="O139" s="28" t="b">
        <v>1</v>
      </c>
    </row>
    <row r="140" spans="2:15" s="28" customFormat="1" ht="16.5" customHeight="1">
      <c r="B140" s="20"/>
      <c r="C140" s="20"/>
      <c r="D140" s="254"/>
      <c r="E140" s="379">
        <v>123336</v>
      </c>
      <c r="F140" s="395" t="s">
        <v>235</v>
      </c>
      <c r="G140" s="396"/>
      <c r="H140" s="397"/>
      <c r="I140" s="383">
        <v>63400</v>
      </c>
      <c r="J140" s="398">
        <v>123336</v>
      </c>
      <c r="K140" s="399" t="s">
        <v>70</v>
      </c>
      <c r="L140" s="399" t="s">
        <v>34</v>
      </c>
      <c r="M140" s="399">
        <v>20</v>
      </c>
      <c r="N140" s="356">
        <v>1207000</v>
      </c>
      <c r="O140" s="28" t="b">
        <v>1</v>
      </c>
    </row>
    <row r="141" spans="2:15" s="28" customFormat="1" ht="16.5" customHeight="1">
      <c r="B141" s="20"/>
      <c r="C141" s="20"/>
      <c r="D141" s="254"/>
      <c r="E141" s="379">
        <v>123339</v>
      </c>
      <c r="F141" s="395" t="s">
        <v>225</v>
      </c>
      <c r="G141" s="396"/>
      <c r="H141" s="397"/>
      <c r="I141" s="383">
        <v>55400</v>
      </c>
      <c r="J141" s="399">
        <v>123339</v>
      </c>
      <c r="K141" s="399" t="s">
        <v>70</v>
      </c>
      <c r="L141" s="399" t="s">
        <v>34</v>
      </c>
      <c r="M141" s="399">
        <v>20</v>
      </c>
      <c r="N141" s="356">
        <v>3124000</v>
      </c>
      <c r="O141" s="28" t="b">
        <v>1</v>
      </c>
    </row>
    <row r="142" spans="2:15" s="28" customFormat="1" ht="16.5" customHeight="1">
      <c r="B142" s="20"/>
      <c r="C142" s="20"/>
      <c r="D142" s="254"/>
      <c r="E142" s="379">
        <v>124528</v>
      </c>
      <c r="F142" s="395" t="s">
        <v>450</v>
      </c>
      <c r="G142" s="396"/>
      <c r="H142" s="397"/>
      <c r="I142" s="383">
        <v>3634000</v>
      </c>
      <c r="J142" s="398">
        <v>124528</v>
      </c>
      <c r="K142" s="399" t="s">
        <v>71</v>
      </c>
      <c r="L142" s="399" t="s">
        <v>34</v>
      </c>
      <c r="M142" s="399">
        <v>208</v>
      </c>
      <c r="N142" s="356">
        <v>2760000</v>
      </c>
      <c r="O142" s="28" t="b">
        <v>1</v>
      </c>
    </row>
    <row r="143" spans="2:15" s="28" customFormat="1" ht="16.5" customHeight="1">
      <c r="B143" s="20"/>
      <c r="C143" s="20"/>
      <c r="D143" s="254"/>
      <c r="E143" s="379">
        <v>126328</v>
      </c>
      <c r="F143" s="395" t="s">
        <v>453</v>
      </c>
      <c r="G143" s="396"/>
      <c r="H143" s="397"/>
      <c r="I143" s="383">
        <v>4056000</v>
      </c>
      <c r="J143" s="399">
        <v>126328</v>
      </c>
      <c r="K143" s="399" t="s">
        <v>71</v>
      </c>
      <c r="L143" s="399" t="s">
        <v>34</v>
      </c>
      <c r="M143" s="399">
        <v>208</v>
      </c>
      <c r="N143" s="356">
        <v>1525000</v>
      </c>
      <c r="O143" s="28" t="b">
        <v>0</v>
      </c>
    </row>
    <row r="144" spans="2:15" s="28" customFormat="1" ht="16.5" customHeight="1">
      <c r="B144" s="20"/>
      <c r="C144" s="20"/>
      <c r="D144" s="254"/>
      <c r="E144" s="379">
        <v>127356</v>
      </c>
      <c r="F144" s="395" t="s">
        <v>265</v>
      </c>
      <c r="G144" s="396"/>
      <c r="H144" s="397"/>
      <c r="I144" s="383">
        <v>337000</v>
      </c>
      <c r="J144" s="398">
        <v>127356</v>
      </c>
      <c r="K144" s="399" t="s">
        <v>70</v>
      </c>
      <c r="L144" s="399" t="s">
        <v>34</v>
      </c>
      <c r="M144" s="399">
        <v>20</v>
      </c>
      <c r="N144" s="356">
        <v>3190000</v>
      </c>
      <c r="O144" s="28" t="b">
        <v>1</v>
      </c>
    </row>
    <row r="145" spans="2:15" s="28" customFormat="1" ht="16.5" customHeight="1">
      <c r="B145" s="20"/>
      <c r="C145" s="20"/>
      <c r="D145" s="254"/>
      <c r="E145" s="379">
        <v>128773</v>
      </c>
      <c r="F145" s="395" t="s">
        <v>766</v>
      </c>
      <c r="G145" s="396"/>
      <c r="H145" s="397"/>
      <c r="I145" s="383">
        <v>346000</v>
      </c>
      <c r="J145" s="398">
        <v>128773</v>
      </c>
      <c r="K145" s="399" t="s">
        <v>70</v>
      </c>
      <c r="L145" s="399" t="s">
        <v>34</v>
      </c>
      <c r="M145" s="399">
        <v>18.899999999999999</v>
      </c>
      <c r="N145" s="356">
        <v>106000</v>
      </c>
      <c r="O145" s="28" t="b">
        <v>1</v>
      </c>
    </row>
    <row r="146" spans="2:15" s="28" customFormat="1" ht="16.5" customHeight="1">
      <c r="B146" s="20"/>
      <c r="C146" s="20"/>
      <c r="D146" s="254"/>
      <c r="E146" s="379">
        <v>129351</v>
      </c>
      <c r="F146" s="395" t="s">
        <v>266</v>
      </c>
      <c r="G146" s="396"/>
      <c r="H146" s="397"/>
      <c r="I146" s="383">
        <v>415000</v>
      </c>
      <c r="J146" s="398">
        <v>129351</v>
      </c>
      <c r="K146" s="399" t="s">
        <v>70</v>
      </c>
      <c r="L146" s="399" t="s">
        <v>34</v>
      </c>
      <c r="M146" s="399">
        <v>20</v>
      </c>
      <c r="N146" s="356">
        <v>83600</v>
      </c>
      <c r="O146" s="28" t="b">
        <v>1</v>
      </c>
    </row>
    <row r="147" spans="2:15" s="28" customFormat="1" ht="16.5" customHeight="1">
      <c r="B147" s="20"/>
      <c r="C147" s="20"/>
      <c r="D147" s="254"/>
      <c r="E147" s="379">
        <v>129364</v>
      </c>
      <c r="F147" s="395" t="s">
        <v>458</v>
      </c>
      <c r="G147" s="396"/>
      <c r="H147" s="397"/>
      <c r="I147" s="383"/>
      <c r="J147" s="398">
        <v>129364</v>
      </c>
      <c r="K147" s="399" t="s">
        <v>71</v>
      </c>
      <c r="L147" s="399" t="s">
        <v>34</v>
      </c>
      <c r="M147" s="399">
        <v>208</v>
      </c>
      <c r="N147" s="356" t="e">
        <v>#N/A</v>
      </c>
      <c r="O147" s="28" t="e">
        <v>#N/A</v>
      </c>
    </row>
    <row r="148" spans="2:15" s="28" customFormat="1" ht="16.5" customHeight="1">
      <c r="B148" s="20"/>
      <c r="C148" s="20"/>
      <c r="D148" s="254"/>
      <c r="E148" s="379">
        <v>129389</v>
      </c>
      <c r="F148" s="395" t="s">
        <v>459</v>
      </c>
      <c r="G148" s="396"/>
      <c r="H148" s="397"/>
      <c r="I148" s="383">
        <v>3962000</v>
      </c>
      <c r="J148" s="398">
        <v>129389</v>
      </c>
      <c r="K148" s="399" t="s">
        <v>71</v>
      </c>
      <c r="L148" s="399" t="s">
        <v>34</v>
      </c>
      <c r="M148" s="399">
        <v>208</v>
      </c>
      <c r="N148" s="356">
        <v>62800</v>
      </c>
      <c r="O148" s="28" t="b">
        <v>1</v>
      </c>
    </row>
    <row r="149" spans="2:15" s="28" customFormat="1" ht="16.5" customHeight="1">
      <c r="B149" s="20"/>
      <c r="C149" s="20"/>
      <c r="D149" s="254"/>
      <c r="E149" s="379">
        <v>130938</v>
      </c>
      <c r="F149" s="395" t="s">
        <v>461</v>
      </c>
      <c r="G149" s="396"/>
      <c r="H149" s="397"/>
      <c r="I149" s="383">
        <v>1918000</v>
      </c>
      <c r="J149" s="398">
        <v>130938</v>
      </c>
      <c r="K149" s="399" t="s">
        <v>71</v>
      </c>
      <c r="L149" s="399" t="s">
        <v>34</v>
      </c>
      <c r="M149" s="399">
        <v>181</v>
      </c>
      <c r="N149" s="356">
        <v>79200</v>
      </c>
      <c r="O149" s="28" t="b">
        <v>1</v>
      </c>
    </row>
    <row r="150" spans="2:15" s="28" customFormat="1" ht="16.5" customHeight="1">
      <c r="B150" s="20"/>
      <c r="C150" s="20"/>
      <c r="D150" s="254"/>
      <c r="E150" s="379">
        <v>130939</v>
      </c>
      <c r="F150" s="395" t="s">
        <v>267</v>
      </c>
      <c r="G150" s="396"/>
      <c r="H150" s="397"/>
      <c r="I150" s="383">
        <v>179000</v>
      </c>
      <c r="J150" s="398">
        <v>130939</v>
      </c>
      <c r="K150" s="399" t="s">
        <v>70</v>
      </c>
      <c r="L150" s="399" t="s">
        <v>34</v>
      </c>
      <c r="M150" s="399">
        <v>15.87</v>
      </c>
      <c r="N150" s="356">
        <v>46600</v>
      </c>
      <c r="O150" s="28" t="b">
        <v>1</v>
      </c>
    </row>
    <row r="151" spans="2:15" s="28" customFormat="1" ht="16.5" customHeight="1">
      <c r="B151" s="20"/>
      <c r="C151" s="20"/>
      <c r="D151" s="254"/>
      <c r="E151" s="379">
        <v>131773</v>
      </c>
      <c r="F151" s="395" t="s">
        <v>462</v>
      </c>
      <c r="G151" s="396"/>
      <c r="H151" s="397"/>
      <c r="I151" s="383"/>
      <c r="J151" s="398">
        <v>131773</v>
      </c>
      <c r="K151" s="399" t="s">
        <v>71</v>
      </c>
      <c r="L151" s="399" t="s">
        <v>34</v>
      </c>
      <c r="M151" s="399">
        <v>208</v>
      </c>
      <c r="N151" s="356">
        <v>402000</v>
      </c>
      <c r="O151" s="28" t="b">
        <v>1</v>
      </c>
    </row>
    <row r="152" spans="2:15" s="28" customFormat="1" ht="16.5" customHeight="1">
      <c r="B152" s="20"/>
      <c r="C152" s="20"/>
      <c r="D152" s="254"/>
      <c r="E152" s="379">
        <v>132528</v>
      </c>
      <c r="F152" s="395" t="s">
        <v>270</v>
      </c>
      <c r="G152" s="396"/>
      <c r="H152" s="397"/>
      <c r="I152" s="383">
        <v>269000</v>
      </c>
      <c r="J152" s="398">
        <v>132528</v>
      </c>
      <c r="K152" s="399" t="s">
        <v>70</v>
      </c>
      <c r="L152" s="399" t="s">
        <v>34</v>
      </c>
      <c r="M152" s="399">
        <v>16</v>
      </c>
      <c r="N152" s="356">
        <v>326000</v>
      </c>
      <c r="O152" s="28" t="b">
        <v>1</v>
      </c>
    </row>
    <row r="153" spans="2:15" s="28" customFormat="1" ht="16.5" customHeight="1">
      <c r="B153" s="20"/>
      <c r="C153" s="20"/>
      <c r="D153" s="254"/>
      <c r="E153" s="379">
        <v>132549</v>
      </c>
      <c r="F153" s="395" t="s">
        <v>463</v>
      </c>
      <c r="G153" s="396"/>
      <c r="H153" s="397"/>
      <c r="I153" s="383">
        <v>3029000</v>
      </c>
      <c r="J153" s="398">
        <v>132549</v>
      </c>
      <c r="K153" s="399" t="s">
        <v>71</v>
      </c>
      <c r="L153" s="399" t="s">
        <v>34</v>
      </c>
      <c r="M153" s="399">
        <v>208</v>
      </c>
      <c r="N153" s="356">
        <v>66800</v>
      </c>
      <c r="O153" s="28" t="b">
        <v>1</v>
      </c>
    </row>
    <row r="154" spans="2:15" s="28" customFormat="1" ht="16.5" customHeight="1">
      <c r="B154" s="20"/>
      <c r="C154" s="20"/>
      <c r="D154" s="254"/>
      <c r="E154" s="379">
        <v>132550</v>
      </c>
      <c r="F154" s="395" t="s">
        <v>464</v>
      </c>
      <c r="G154" s="396"/>
      <c r="H154" s="397"/>
      <c r="I154" s="383">
        <v>3173000</v>
      </c>
      <c r="J154" s="398">
        <v>132550</v>
      </c>
      <c r="K154" s="399" t="s">
        <v>71</v>
      </c>
      <c r="L154" s="399" t="s">
        <v>34</v>
      </c>
      <c r="M154" s="399">
        <v>208</v>
      </c>
      <c r="N154" s="356">
        <v>62700</v>
      </c>
      <c r="O154" s="28" t="b">
        <v>1</v>
      </c>
    </row>
    <row r="155" spans="2:15" s="28" customFormat="1" ht="16.5" customHeight="1">
      <c r="B155" s="20"/>
      <c r="C155" s="20"/>
      <c r="D155" s="254"/>
      <c r="E155" s="379">
        <v>132558</v>
      </c>
      <c r="F155" s="395" t="s">
        <v>465</v>
      </c>
      <c r="G155" s="396"/>
      <c r="H155" s="397"/>
      <c r="I155" s="383">
        <v>3541000</v>
      </c>
      <c r="J155" s="398">
        <v>132558</v>
      </c>
      <c r="K155" s="399" t="s">
        <v>71</v>
      </c>
      <c r="L155" s="399" t="s">
        <v>34</v>
      </c>
      <c r="M155" s="399">
        <v>208</v>
      </c>
      <c r="N155" s="356">
        <v>54200</v>
      </c>
      <c r="O155" s="28" t="b">
        <v>1</v>
      </c>
    </row>
    <row r="156" spans="2:15" s="28" customFormat="1" ht="16.5" customHeight="1">
      <c r="B156" s="20"/>
      <c r="C156" s="20"/>
      <c r="D156" s="254"/>
      <c r="E156" s="379">
        <v>140202</v>
      </c>
      <c r="F156" s="395" t="s">
        <v>377</v>
      </c>
      <c r="G156" s="396"/>
      <c r="H156" s="397"/>
      <c r="I156" s="383">
        <v>352000</v>
      </c>
      <c r="J156" s="398">
        <v>140202</v>
      </c>
      <c r="K156" s="399" t="s">
        <v>70</v>
      </c>
      <c r="L156" s="399" t="s">
        <v>34</v>
      </c>
      <c r="M156" s="399">
        <v>16</v>
      </c>
      <c r="N156" s="356">
        <v>63400</v>
      </c>
      <c r="O156" s="28" t="b">
        <v>1</v>
      </c>
    </row>
    <row r="157" spans="2:15" s="28" customFormat="1" ht="16.5" customHeight="1">
      <c r="B157" s="20"/>
      <c r="C157" s="20"/>
      <c r="D157" s="254"/>
      <c r="E157" s="379">
        <v>140203</v>
      </c>
      <c r="F157" s="395" t="s">
        <v>273</v>
      </c>
      <c r="G157" s="396"/>
      <c r="H157" s="397"/>
      <c r="I157" s="383">
        <v>355000</v>
      </c>
      <c r="J157" s="398">
        <v>140203</v>
      </c>
      <c r="K157" s="399" t="s">
        <v>70</v>
      </c>
      <c r="L157" s="399" t="s">
        <v>34</v>
      </c>
      <c r="M157" s="399">
        <v>16</v>
      </c>
      <c r="N157" s="356">
        <v>55400</v>
      </c>
      <c r="O157" s="28" t="b">
        <v>1</v>
      </c>
    </row>
    <row r="158" spans="2:15" s="28" customFormat="1" ht="16.5" customHeight="1">
      <c r="B158" s="20"/>
      <c r="C158" s="20"/>
      <c r="D158" s="254"/>
      <c r="E158" s="379">
        <v>132575</v>
      </c>
      <c r="F158" s="400" t="s">
        <v>274</v>
      </c>
      <c r="G158" s="401"/>
      <c r="H158" s="402"/>
      <c r="I158" s="383">
        <v>394000</v>
      </c>
      <c r="J158" s="398">
        <v>132575</v>
      </c>
      <c r="K158" s="399" t="s">
        <v>70</v>
      </c>
      <c r="L158" s="399" t="s">
        <v>34</v>
      </c>
      <c r="M158" s="399">
        <v>16</v>
      </c>
      <c r="N158" s="356">
        <v>3634000</v>
      </c>
      <c r="O158" s="28" t="b">
        <v>1</v>
      </c>
    </row>
    <row r="159" spans="2:15" s="28" customFormat="1" ht="16.5" customHeight="1">
      <c r="B159" s="20"/>
      <c r="C159" s="20"/>
      <c r="D159" s="254"/>
      <c r="E159" s="379">
        <v>132610</v>
      </c>
      <c r="F159" s="395" t="s">
        <v>466</v>
      </c>
      <c r="G159" s="396"/>
      <c r="H159" s="397"/>
      <c r="I159" s="383">
        <v>3730000</v>
      </c>
      <c r="J159" s="398">
        <v>132610</v>
      </c>
      <c r="K159" s="399" t="s">
        <v>71</v>
      </c>
      <c r="L159" s="399" t="s">
        <v>34</v>
      </c>
      <c r="M159" s="399">
        <v>174</v>
      </c>
      <c r="N159" s="356">
        <v>4056000</v>
      </c>
      <c r="O159" s="28" t="b">
        <v>1</v>
      </c>
    </row>
    <row r="160" spans="2:15" s="28" customFormat="1" ht="16.5" customHeight="1">
      <c r="B160" s="20"/>
      <c r="C160" s="20"/>
      <c r="D160" s="254"/>
      <c r="E160" s="379">
        <v>132611</v>
      </c>
      <c r="F160" s="395" t="s">
        <v>275</v>
      </c>
      <c r="G160" s="396"/>
      <c r="H160" s="397"/>
      <c r="I160" s="383">
        <v>338000</v>
      </c>
      <c r="J160" s="398">
        <v>132611</v>
      </c>
      <c r="K160" s="399" t="s">
        <v>70</v>
      </c>
      <c r="L160" s="399" t="s">
        <v>34</v>
      </c>
      <c r="M160" s="399">
        <v>15.87</v>
      </c>
      <c r="N160" s="356">
        <v>337000</v>
      </c>
      <c r="O160" s="28" t="b">
        <v>1</v>
      </c>
    </row>
    <row r="161" spans="2:15" s="28" customFormat="1" ht="16.5" customHeight="1">
      <c r="B161" s="20"/>
      <c r="C161" s="20"/>
      <c r="D161" s="254"/>
      <c r="E161" s="379">
        <v>132642</v>
      </c>
      <c r="F161" s="395" t="s">
        <v>276</v>
      </c>
      <c r="G161" s="396"/>
      <c r="H161" s="397"/>
      <c r="I161" s="383">
        <v>351000</v>
      </c>
      <c r="J161" s="398">
        <v>132642</v>
      </c>
      <c r="K161" s="399" t="s">
        <v>70</v>
      </c>
      <c r="L161" s="399" t="s">
        <v>34</v>
      </c>
      <c r="M161" s="399">
        <v>16</v>
      </c>
      <c r="N161" s="356">
        <v>346000</v>
      </c>
      <c r="O161" s="28" t="b">
        <v>1</v>
      </c>
    </row>
    <row r="162" spans="2:15" s="28" customFormat="1" ht="16.5" customHeight="1">
      <c r="B162" s="20"/>
      <c r="C162" s="20"/>
      <c r="D162" s="254"/>
      <c r="E162" s="379">
        <v>132796</v>
      </c>
      <c r="F162" s="403" t="s">
        <v>278</v>
      </c>
      <c r="G162" s="404"/>
      <c r="H162" s="405"/>
      <c r="I162" s="383">
        <v>562000</v>
      </c>
      <c r="J162" s="398">
        <v>132796</v>
      </c>
      <c r="K162" s="406" t="s">
        <v>70</v>
      </c>
      <c r="L162" s="406" t="s">
        <v>34</v>
      </c>
      <c r="M162" s="406">
        <v>18</v>
      </c>
      <c r="N162" s="356">
        <v>415000</v>
      </c>
      <c r="O162" s="28" t="b">
        <v>1</v>
      </c>
    </row>
    <row r="163" spans="2:15" s="28" customFormat="1" ht="16.5" customHeight="1">
      <c r="B163" s="20"/>
      <c r="C163" s="20"/>
      <c r="D163" s="254"/>
      <c r="E163" s="379">
        <v>132835</v>
      </c>
      <c r="F163" s="395" t="s">
        <v>474</v>
      </c>
      <c r="G163" s="396"/>
      <c r="H163" s="397"/>
      <c r="I163" s="383">
        <v>3480000</v>
      </c>
      <c r="J163" s="398">
        <v>132835</v>
      </c>
      <c r="K163" s="399" t="s">
        <v>71</v>
      </c>
      <c r="L163" s="399" t="s">
        <v>34</v>
      </c>
      <c r="M163" s="399">
        <v>208</v>
      </c>
      <c r="N163" s="356" t="e">
        <v>#N/A</v>
      </c>
      <c r="O163" s="28" t="e">
        <v>#N/A</v>
      </c>
    </row>
    <row r="164" spans="2:15" s="28" customFormat="1" ht="16.5" customHeight="1">
      <c r="B164" s="20"/>
      <c r="C164" s="20"/>
      <c r="D164" s="254"/>
      <c r="E164" s="379">
        <v>133450</v>
      </c>
      <c r="F164" s="395" t="s">
        <v>475</v>
      </c>
      <c r="G164" s="396"/>
      <c r="H164" s="397"/>
      <c r="I164" s="383">
        <v>4688000</v>
      </c>
      <c r="J164" s="398">
        <v>133450</v>
      </c>
      <c r="K164" s="399" t="s">
        <v>71</v>
      </c>
      <c r="L164" s="399" t="s">
        <v>34</v>
      </c>
      <c r="M164" s="399">
        <v>208</v>
      </c>
      <c r="N164" s="356">
        <v>3962000</v>
      </c>
      <c r="O164" s="28" t="b">
        <v>1</v>
      </c>
    </row>
    <row r="165" spans="2:15" s="28" customFormat="1" ht="16.5" customHeight="1">
      <c r="B165" s="20"/>
      <c r="C165" s="20"/>
      <c r="D165" s="254"/>
      <c r="E165" s="379">
        <v>134221</v>
      </c>
      <c r="F165" s="400" t="s">
        <v>476</v>
      </c>
      <c r="G165" s="401"/>
      <c r="H165" s="402"/>
      <c r="I165" s="383">
        <v>4412000</v>
      </c>
      <c r="J165" s="407">
        <v>134221</v>
      </c>
      <c r="K165" s="399" t="s">
        <v>71</v>
      </c>
      <c r="L165" s="399" t="s">
        <v>34</v>
      </c>
      <c r="M165" s="399">
        <v>216</v>
      </c>
      <c r="N165" s="356">
        <v>1918000</v>
      </c>
      <c r="O165" s="28" t="b">
        <v>1</v>
      </c>
    </row>
    <row r="166" spans="2:15" s="28" customFormat="1" ht="16.5" customHeight="1">
      <c r="B166" s="20"/>
      <c r="C166" s="20"/>
      <c r="D166" s="254"/>
      <c r="E166" s="379">
        <v>134320</v>
      </c>
      <c r="F166" s="400" t="s">
        <v>477</v>
      </c>
      <c r="G166" s="396"/>
      <c r="H166" s="397"/>
      <c r="I166" s="383">
        <v>3144000</v>
      </c>
      <c r="J166" s="398">
        <v>134320</v>
      </c>
      <c r="K166" s="399" t="s">
        <v>71</v>
      </c>
      <c r="L166" s="399" t="s">
        <v>34</v>
      </c>
      <c r="M166" s="399">
        <v>208</v>
      </c>
      <c r="N166" s="356">
        <v>179000</v>
      </c>
      <c r="O166" s="28" t="b">
        <v>1</v>
      </c>
    </row>
    <row r="167" spans="2:15" s="28" customFormat="1" ht="16.5" customHeight="1">
      <c r="B167" s="20"/>
      <c r="C167" s="20"/>
      <c r="D167" s="254"/>
      <c r="E167" s="379">
        <v>134445</v>
      </c>
      <c r="F167" s="400" t="s">
        <v>239</v>
      </c>
      <c r="G167" s="396"/>
      <c r="H167" s="397"/>
      <c r="I167" s="383">
        <v>66900</v>
      </c>
      <c r="J167" s="398">
        <v>134445</v>
      </c>
      <c r="K167" s="399" t="s">
        <v>70</v>
      </c>
      <c r="L167" s="399" t="s">
        <v>34</v>
      </c>
      <c r="M167" s="399">
        <v>20</v>
      </c>
      <c r="N167" s="356" t="e">
        <v>#N/A</v>
      </c>
      <c r="O167" s="28" t="e">
        <v>#N/A</v>
      </c>
    </row>
    <row r="168" spans="2:15" s="28" customFormat="1" ht="16.5" customHeight="1">
      <c r="B168" s="20"/>
      <c r="C168" s="20"/>
      <c r="D168" s="254"/>
      <c r="E168" s="379">
        <v>134602</v>
      </c>
      <c r="F168" s="400" t="s">
        <v>481</v>
      </c>
      <c r="G168" s="396"/>
      <c r="H168" s="397"/>
      <c r="I168" s="383">
        <v>3680000</v>
      </c>
      <c r="J168" s="407">
        <v>134602</v>
      </c>
      <c r="K168" s="399" t="s">
        <v>71</v>
      </c>
      <c r="L168" s="399" t="s">
        <v>34</v>
      </c>
      <c r="M168" s="399">
        <v>208</v>
      </c>
      <c r="N168" s="356">
        <v>269000</v>
      </c>
      <c r="O168" s="28" t="b">
        <v>1</v>
      </c>
    </row>
    <row r="169" spans="2:15" s="28" customFormat="1" ht="16.5" customHeight="1">
      <c r="B169" s="20"/>
      <c r="C169" s="20"/>
      <c r="D169" s="254"/>
      <c r="E169" s="379">
        <v>134604</v>
      </c>
      <c r="F169" s="400" t="s">
        <v>280</v>
      </c>
      <c r="G169" s="396"/>
      <c r="H169" s="397"/>
      <c r="I169" s="383">
        <v>120000</v>
      </c>
      <c r="J169" s="398">
        <v>134604</v>
      </c>
      <c r="K169" s="399" t="s">
        <v>70</v>
      </c>
      <c r="L169" s="399" t="s">
        <v>34</v>
      </c>
      <c r="M169" s="399">
        <v>16</v>
      </c>
      <c r="N169" s="356">
        <v>3029000</v>
      </c>
      <c r="O169" s="28" t="b">
        <v>1</v>
      </c>
    </row>
    <row r="170" spans="2:15" s="28" customFormat="1" ht="16.5" customHeight="1">
      <c r="B170" s="20"/>
      <c r="C170" s="20"/>
      <c r="D170" s="254"/>
      <c r="E170" s="379">
        <v>134884</v>
      </c>
      <c r="F170" s="400" t="s">
        <v>281</v>
      </c>
      <c r="G170" s="396"/>
      <c r="H170" s="397"/>
      <c r="I170" s="383">
        <v>80500</v>
      </c>
      <c r="J170" s="407">
        <v>134884</v>
      </c>
      <c r="K170" s="399" t="s">
        <v>70</v>
      </c>
      <c r="L170" s="399" t="s">
        <v>34</v>
      </c>
      <c r="M170" s="399">
        <v>20</v>
      </c>
      <c r="N170" s="356">
        <v>3173000</v>
      </c>
      <c r="O170" s="28" t="b">
        <v>1</v>
      </c>
    </row>
    <row r="171" spans="2:15" s="28" customFormat="1" ht="16.5" customHeight="1">
      <c r="B171" s="20"/>
      <c r="C171" s="20"/>
      <c r="D171" s="254"/>
      <c r="E171" s="379">
        <v>134937</v>
      </c>
      <c r="F171" s="400" t="s">
        <v>486</v>
      </c>
      <c r="G171" s="396"/>
      <c r="H171" s="397"/>
      <c r="I171" s="383">
        <v>3079000</v>
      </c>
      <c r="J171" s="407">
        <v>134937</v>
      </c>
      <c r="K171" s="399" t="s">
        <v>71</v>
      </c>
      <c r="L171" s="399" t="s">
        <v>34</v>
      </c>
      <c r="M171" s="399">
        <v>208</v>
      </c>
      <c r="N171" s="356">
        <v>3541000</v>
      </c>
      <c r="O171" s="28" t="b">
        <v>1</v>
      </c>
    </row>
    <row r="172" spans="2:15" s="28" customFormat="1" ht="16.5" customHeight="1">
      <c r="B172" s="20"/>
      <c r="C172" s="20"/>
      <c r="D172" s="254"/>
      <c r="E172" s="379">
        <v>134962</v>
      </c>
      <c r="F172" s="395" t="s">
        <v>47</v>
      </c>
      <c r="G172" s="396"/>
      <c r="H172" s="397"/>
      <c r="I172" s="383">
        <v>364000</v>
      </c>
      <c r="J172" s="398">
        <v>134962</v>
      </c>
      <c r="K172" s="399" t="s">
        <v>70</v>
      </c>
      <c r="L172" s="399" t="s">
        <v>34</v>
      </c>
      <c r="M172" s="399">
        <v>20</v>
      </c>
      <c r="N172" s="356">
        <v>352000</v>
      </c>
      <c r="O172" s="28" t="b">
        <v>1</v>
      </c>
    </row>
    <row r="173" spans="2:15" s="28" customFormat="1" ht="16.5" customHeight="1">
      <c r="B173" s="20"/>
      <c r="C173" s="20"/>
      <c r="D173" s="254"/>
      <c r="E173" s="379">
        <v>134995</v>
      </c>
      <c r="F173" s="395" t="s">
        <v>283</v>
      </c>
      <c r="G173" s="396"/>
      <c r="H173" s="397"/>
      <c r="I173" s="383">
        <v>475000</v>
      </c>
      <c r="J173" s="398">
        <v>134995</v>
      </c>
      <c r="K173" s="399" t="s">
        <v>70</v>
      </c>
      <c r="L173" s="399" t="s">
        <v>34</v>
      </c>
      <c r="M173" s="399">
        <v>16</v>
      </c>
      <c r="N173" s="356">
        <v>355000</v>
      </c>
      <c r="O173" s="28" t="b">
        <v>1</v>
      </c>
    </row>
    <row r="174" spans="2:15" s="28" customFormat="1" ht="16.5" customHeight="1">
      <c r="B174" s="20"/>
      <c r="C174" s="20"/>
      <c r="D174" s="254"/>
      <c r="E174" s="379">
        <v>134997</v>
      </c>
      <c r="F174" s="408" t="s">
        <v>284</v>
      </c>
      <c r="G174" s="409"/>
      <c r="H174" s="410"/>
      <c r="I174" s="383">
        <v>316000</v>
      </c>
      <c r="J174" s="398">
        <v>134997</v>
      </c>
      <c r="K174" s="378" t="s">
        <v>70</v>
      </c>
      <c r="L174" s="378" t="s">
        <v>34</v>
      </c>
      <c r="M174" s="378">
        <v>15.87</v>
      </c>
      <c r="N174" s="356">
        <v>394000</v>
      </c>
      <c r="O174" s="28" t="b">
        <v>1</v>
      </c>
    </row>
    <row r="175" spans="2:15" s="28" customFormat="1" ht="16.5" customHeight="1">
      <c r="B175" s="20"/>
      <c r="C175" s="20"/>
      <c r="D175" s="254"/>
      <c r="E175" s="379">
        <v>134999</v>
      </c>
      <c r="F175" s="395" t="s">
        <v>285</v>
      </c>
      <c r="G175" s="396"/>
      <c r="H175" s="397"/>
      <c r="I175" s="383">
        <v>476000</v>
      </c>
      <c r="J175" s="398">
        <v>134999</v>
      </c>
      <c r="K175" s="399" t="s">
        <v>70</v>
      </c>
      <c r="L175" s="399" t="s">
        <v>34</v>
      </c>
      <c r="M175" s="399">
        <v>15.87</v>
      </c>
      <c r="N175" s="356">
        <v>3730000</v>
      </c>
      <c r="O175" s="28" t="b">
        <v>1</v>
      </c>
    </row>
    <row r="176" spans="2:15" s="28" customFormat="1" ht="16.5" customHeight="1">
      <c r="B176" s="20"/>
      <c r="C176" s="20"/>
      <c r="D176" s="254"/>
      <c r="E176" s="379">
        <v>135000</v>
      </c>
      <c r="F176" s="395" t="s">
        <v>487</v>
      </c>
      <c r="G176" s="396"/>
      <c r="H176" s="397"/>
      <c r="I176" s="383">
        <v>2918000</v>
      </c>
      <c r="J176" s="398">
        <v>135000</v>
      </c>
      <c r="K176" s="399" t="s">
        <v>71</v>
      </c>
      <c r="L176" s="399" t="s">
        <v>34</v>
      </c>
      <c r="M176" s="399">
        <v>208</v>
      </c>
      <c r="N176" s="356">
        <v>338000</v>
      </c>
      <c r="O176" s="28" t="b">
        <v>1</v>
      </c>
    </row>
    <row r="177" spans="2:15" s="28" customFormat="1" ht="16.5" customHeight="1">
      <c r="B177" s="20"/>
      <c r="C177" s="20"/>
      <c r="D177" s="254"/>
      <c r="E177" s="379">
        <v>135002</v>
      </c>
      <c r="F177" s="395" t="s">
        <v>286</v>
      </c>
      <c r="G177" s="396"/>
      <c r="H177" s="397"/>
      <c r="I177" s="383">
        <v>364000</v>
      </c>
      <c r="J177" s="398">
        <v>135002</v>
      </c>
      <c r="K177" s="399" t="s">
        <v>70</v>
      </c>
      <c r="L177" s="399" t="s">
        <v>34</v>
      </c>
      <c r="M177" s="399">
        <v>20</v>
      </c>
      <c r="N177" s="356">
        <v>351000</v>
      </c>
      <c r="O177" s="28" t="b">
        <v>1</v>
      </c>
    </row>
    <row r="178" spans="2:15" s="28" customFormat="1" ht="16.5" customHeight="1">
      <c r="B178" s="20"/>
      <c r="C178" s="20"/>
      <c r="D178" s="254"/>
      <c r="E178" s="379">
        <v>135004</v>
      </c>
      <c r="F178" s="395" t="s">
        <v>287</v>
      </c>
      <c r="G178" s="396"/>
      <c r="H178" s="397"/>
      <c r="I178" s="383">
        <v>300000</v>
      </c>
      <c r="J178" s="398">
        <v>135004</v>
      </c>
      <c r="K178" s="399" t="s">
        <v>70</v>
      </c>
      <c r="L178" s="399" t="s">
        <v>34</v>
      </c>
      <c r="M178" s="399">
        <v>18.899999999999999</v>
      </c>
      <c r="N178" s="356">
        <v>562000</v>
      </c>
      <c r="O178" s="28" t="b">
        <v>1</v>
      </c>
    </row>
    <row r="179" spans="2:15" s="28" customFormat="1" ht="16.5" customHeight="1">
      <c r="B179" s="20"/>
      <c r="C179" s="20"/>
      <c r="D179" s="254"/>
      <c r="E179" s="379">
        <v>135008</v>
      </c>
      <c r="F179" s="395" t="s">
        <v>288</v>
      </c>
      <c r="G179" s="396"/>
      <c r="H179" s="397"/>
      <c r="I179" s="383">
        <v>274000</v>
      </c>
      <c r="J179" s="398">
        <v>135008</v>
      </c>
      <c r="K179" s="399" t="s">
        <v>70</v>
      </c>
      <c r="L179" s="399" t="s">
        <v>34</v>
      </c>
      <c r="M179" s="399">
        <v>20</v>
      </c>
      <c r="N179" s="356">
        <v>3480000</v>
      </c>
      <c r="O179" s="28" t="b">
        <v>1</v>
      </c>
    </row>
    <row r="180" spans="2:15" s="28" customFormat="1" ht="16.5" customHeight="1">
      <c r="B180" s="20"/>
      <c r="C180" s="20"/>
      <c r="D180" s="254"/>
      <c r="E180" s="379">
        <v>135010</v>
      </c>
      <c r="F180" s="395" t="s">
        <v>488</v>
      </c>
      <c r="G180" s="396"/>
      <c r="H180" s="397"/>
      <c r="I180" s="383">
        <v>3777000</v>
      </c>
      <c r="J180" s="398">
        <v>135010</v>
      </c>
      <c r="K180" s="399" t="s">
        <v>71</v>
      </c>
      <c r="L180" s="399" t="s">
        <v>34</v>
      </c>
      <c r="M180" s="399">
        <v>174</v>
      </c>
      <c r="N180" s="356">
        <v>4688000</v>
      </c>
      <c r="O180" s="28" t="b">
        <v>1</v>
      </c>
    </row>
    <row r="181" spans="2:15" s="28" customFormat="1" ht="16.5" customHeight="1">
      <c r="B181" s="20"/>
      <c r="C181" s="20"/>
      <c r="D181" s="254"/>
      <c r="E181" s="379">
        <v>135013</v>
      </c>
      <c r="F181" s="395" t="s">
        <v>489</v>
      </c>
      <c r="G181" s="396"/>
      <c r="H181" s="397"/>
      <c r="I181" s="383">
        <v>2922000</v>
      </c>
      <c r="J181" s="398">
        <v>135013</v>
      </c>
      <c r="K181" s="399" t="s">
        <v>71</v>
      </c>
      <c r="L181" s="399" t="s">
        <v>34</v>
      </c>
      <c r="M181" s="399">
        <v>208</v>
      </c>
      <c r="N181" s="356">
        <v>4412000</v>
      </c>
      <c r="O181" s="28" t="b">
        <v>1</v>
      </c>
    </row>
    <row r="182" spans="2:15" s="28" customFormat="1" ht="16.5" customHeight="1">
      <c r="B182" s="20"/>
      <c r="C182" s="20"/>
      <c r="D182" s="254"/>
      <c r="E182" s="379">
        <v>135014</v>
      </c>
      <c r="F182" s="395" t="s">
        <v>490</v>
      </c>
      <c r="G182" s="396"/>
      <c r="H182" s="397"/>
      <c r="I182" s="383">
        <v>3151000</v>
      </c>
      <c r="J182" s="398">
        <v>135014</v>
      </c>
      <c r="K182" s="399" t="s">
        <v>71</v>
      </c>
      <c r="L182" s="399" t="s">
        <v>34</v>
      </c>
      <c r="M182" s="399">
        <v>208</v>
      </c>
      <c r="N182" s="356">
        <v>3144000</v>
      </c>
      <c r="O182" s="28" t="b">
        <v>1</v>
      </c>
    </row>
    <row r="183" spans="2:15" s="28" customFormat="1" ht="16.5" customHeight="1">
      <c r="B183" s="20"/>
      <c r="C183" s="20"/>
      <c r="D183" s="254"/>
      <c r="E183" s="379">
        <v>135016</v>
      </c>
      <c r="F183" s="395" t="s">
        <v>289</v>
      </c>
      <c r="G183" s="396"/>
      <c r="H183" s="397"/>
      <c r="I183" s="383">
        <v>353000</v>
      </c>
      <c r="J183" s="398">
        <v>135016</v>
      </c>
      <c r="K183" s="399" t="s">
        <v>70</v>
      </c>
      <c r="L183" s="399" t="s">
        <v>34</v>
      </c>
      <c r="M183" s="399">
        <v>20</v>
      </c>
      <c r="N183" s="356">
        <v>66900</v>
      </c>
      <c r="O183" s="28" t="b">
        <v>1</v>
      </c>
    </row>
    <row r="184" spans="2:15" s="28" customFormat="1" ht="16.5" customHeight="1">
      <c r="B184" s="20"/>
      <c r="C184" s="20"/>
      <c r="D184" s="254"/>
      <c r="E184" s="379">
        <v>135152</v>
      </c>
      <c r="F184" s="395" t="s">
        <v>290</v>
      </c>
      <c r="G184" s="396"/>
      <c r="H184" s="397"/>
      <c r="I184" s="383">
        <v>327000</v>
      </c>
      <c r="J184" s="398">
        <v>135152</v>
      </c>
      <c r="K184" s="399" t="s">
        <v>70</v>
      </c>
      <c r="L184" s="399" t="s">
        <v>34</v>
      </c>
      <c r="M184" s="399">
        <v>20</v>
      </c>
      <c r="N184" s="356">
        <v>3680000</v>
      </c>
      <c r="O184" s="28" t="b">
        <v>1</v>
      </c>
    </row>
    <row r="185" spans="2:15" s="28" customFormat="1" ht="16.5" customHeight="1">
      <c r="B185" s="20"/>
      <c r="C185" s="20"/>
      <c r="D185" s="254"/>
      <c r="E185" s="379">
        <v>135153</v>
      </c>
      <c r="F185" s="395" t="s">
        <v>291</v>
      </c>
      <c r="G185" s="396"/>
      <c r="H185" s="397"/>
      <c r="I185" s="383">
        <v>277000</v>
      </c>
      <c r="J185" s="398">
        <v>135153</v>
      </c>
      <c r="K185" s="399" t="s">
        <v>70</v>
      </c>
      <c r="L185" s="399" t="s">
        <v>34</v>
      </c>
      <c r="M185" s="399">
        <v>20</v>
      </c>
      <c r="N185" s="356">
        <v>120000</v>
      </c>
      <c r="O185" s="28" t="b">
        <v>1</v>
      </c>
    </row>
    <row r="186" spans="2:15" s="28" customFormat="1" ht="16.5" customHeight="1">
      <c r="B186" s="20"/>
      <c r="C186" s="20"/>
      <c r="D186" s="254"/>
      <c r="E186" s="379">
        <v>135179</v>
      </c>
      <c r="F186" s="395" t="s">
        <v>491</v>
      </c>
      <c r="G186" s="396"/>
      <c r="H186" s="397"/>
      <c r="I186" s="383">
        <v>2733000</v>
      </c>
      <c r="J186" s="398">
        <v>135179</v>
      </c>
      <c r="K186" s="399" t="s">
        <v>71</v>
      </c>
      <c r="L186" s="399" t="s">
        <v>34</v>
      </c>
      <c r="M186" s="399">
        <v>208</v>
      </c>
      <c r="N186" s="356">
        <v>80500</v>
      </c>
      <c r="O186" s="28" t="b">
        <v>1</v>
      </c>
    </row>
    <row r="187" spans="2:15" s="28" customFormat="1" ht="16.5" customHeight="1">
      <c r="B187" s="20"/>
      <c r="C187" s="20"/>
      <c r="D187" s="254"/>
      <c r="E187" s="379">
        <v>135180</v>
      </c>
      <c r="F187" s="395" t="s">
        <v>492</v>
      </c>
      <c r="G187" s="401"/>
      <c r="H187" s="402"/>
      <c r="I187" s="383">
        <v>3124000</v>
      </c>
      <c r="J187" s="398">
        <v>135180</v>
      </c>
      <c r="K187" s="399" t="s">
        <v>71</v>
      </c>
      <c r="L187" s="399" t="s">
        <v>34</v>
      </c>
      <c r="M187" s="399">
        <v>208</v>
      </c>
      <c r="N187" s="356">
        <v>3079000</v>
      </c>
      <c r="O187" s="28" t="b">
        <v>1</v>
      </c>
    </row>
    <row r="188" spans="2:15" s="28" customFormat="1" ht="16.5" customHeight="1">
      <c r="B188" s="20"/>
      <c r="C188" s="20"/>
      <c r="D188" s="254"/>
      <c r="E188" s="379">
        <v>135181</v>
      </c>
      <c r="F188" s="395" t="s">
        <v>292</v>
      </c>
      <c r="G188" s="396"/>
      <c r="H188" s="397"/>
      <c r="I188" s="383">
        <v>269000</v>
      </c>
      <c r="J188" s="398">
        <v>135181</v>
      </c>
      <c r="K188" s="399" t="s">
        <v>70</v>
      </c>
      <c r="L188" s="399" t="s">
        <v>34</v>
      </c>
      <c r="M188" s="399">
        <v>20</v>
      </c>
      <c r="N188" s="356">
        <v>364000</v>
      </c>
      <c r="O188" s="28" t="b">
        <v>1</v>
      </c>
    </row>
    <row r="189" spans="2:15" s="28" customFormat="1" ht="16.5" customHeight="1">
      <c r="B189" s="20"/>
      <c r="C189" s="20"/>
      <c r="D189" s="254"/>
      <c r="E189" s="379">
        <v>135182</v>
      </c>
      <c r="F189" s="395" t="s">
        <v>493</v>
      </c>
      <c r="G189" s="396"/>
      <c r="H189" s="397"/>
      <c r="I189" s="383">
        <v>2995000</v>
      </c>
      <c r="J189" s="398">
        <v>135182</v>
      </c>
      <c r="K189" s="399" t="s">
        <v>71</v>
      </c>
      <c r="L189" s="399" t="s">
        <v>34</v>
      </c>
      <c r="M189" s="399">
        <v>208</v>
      </c>
      <c r="N189" s="356">
        <v>475000</v>
      </c>
      <c r="O189" s="28" t="b">
        <v>1</v>
      </c>
    </row>
    <row r="190" spans="2:15" s="28" customFormat="1" ht="16.5" customHeight="1">
      <c r="B190" s="20"/>
      <c r="C190" s="20"/>
      <c r="D190" s="254"/>
      <c r="E190" s="379">
        <v>135183</v>
      </c>
      <c r="F190" s="395" t="s">
        <v>293</v>
      </c>
      <c r="G190" s="396"/>
      <c r="H190" s="397"/>
      <c r="I190" s="383">
        <v>302000</v>
      </c>
      <c r="J190" s="398">
        <v>135183</v>
      </c>
      <c r="K190" s="399" t="s">
        <v>70</v>
      </c>
      <c r="L190" s="399" t="s">
        <v>34</v>
      </c>
      <c r="M190" s="399">
        <v>20</v>
      </c>
      <c r="N190" s="356">
        <v>316000</v>
      </c>
      <c r="O190" s="28" t="b">
        <v>1</v>
      </c>
    </row>
    <row r="191" spans="2:15" s="28" customFormat="1" ht="16.5" customHeight="1">
      <c r="B191" s="20"/>
      <c r="C191" s="20"/>
      <c r="D191" s="254"/>
      <c r="E191" s="379">
        <v>135184</v>
      </c>
      <c r="F191" s="395" t="s">
        <v>494</v>
      </c>
      <c r="G191" s="396"/>
      <c r="H191" s="397"/>
      <c r="I191" s="383">
        <v>3255000</v>
      </c>
      <c r="J191" s="398">
        <v>135184</v>
      </c>
      <c r="K191" s="399" t="s">
        <v>71</v>
      </c>
      <c r="L191" s="399" t="s">
        <v>34</v>
      </c>
      <c r="M191" s="399">
        <v>208</v>
      </c>
      <c r="N191" s="356">
        <v>476000</v>
      </c>
      <c r="O191" s="28" t="b">
        <v>1</v>
      </c>
    </row>
    <row r="192" spans="2:15" s="28" customFormat="1" ht="16.5" customHeight="1">
      <c r="B192" s="20"/>
      <c r="C192" s="20"/>
      <c r="D192" s="254"/>
      <c r="E192" s="379">
        <v>135185</v>
      </c>
      <c r="F192" s="395" t="s">
        <v>495</v>
      </c>
      <c r="G192" s="396"/>
      <c r="H192" s="397"/>
      <c r="I192" s="383">
        <v>3450000</v>
      </c>
      <c r="J192" s="398">
        <v>135185</v>
      </c>
      <c r="K192" s="399" t="s">
        <v>71</v>
      </c>
      <c r="L192" s="399" t="s">
        <v>34</v>
      </c>
      <c r="M192" s="399">
        <v>208</v>
      </c>
      <c r="N192" s="356">
        <v>2918000</v>
      </c>
      <c r="O192" s="28" t="b">
        <v>1</v>
      </c>
    </row>
    <row r="193" spans="2:15" s="28" customFormat="1" ht="16.5" customHeight="1">
      <c r="B193" s="20"/>
      <c r="C193" s="20"/>
      <c r="D193" s="254"/>
      <c r="E193" s="379">
        <v>135186</v>
      </c>
      <c r="F193" s="395" t="s">
        <v>496</v>
      </c>
      <c r="G193" s="396"/>
      <c r="H193" s="397"/>
      <c r="I193" s="383">
        <v>3644000</v>
      </c>
      <c r="J193" s="398">
        <v>135186</v>
      </c>
      <c r="K193" s="399" t="s">
        <v>71</v>
      </c>
      <c r="L193" s="399" t="s">
        <v>34</v>
      </c>
      <c r="M193" s="399">
        <v>208</v>
      </c>
      <c r="N193" s="356">
        <v>364000</v>
      </c>
      <c r="O193" s="28" t="b">
        <v>1</v>
      </c>
    </row>
    <row r="194" spans="2:15" s="28" customFormat="1" ht="16.5" customHeight="1">
      <c r="B194" s="20"/>
      <c r="C194" s="20"/>
      <c r="D194" s="254"/>
      <c r="E194" s="379">
        <v>135187</v>
      </c>
      <c r="F194" s="395" t="s">
        <v>497</v>
      </c>
      <c r="G194" s="396"/>
      <c r="H194" s="397"/>
      <c r="I194" s="383">
        <v>3124000</v>
      </c>
      <c r="J194" s="398">
        <v>135187</v>
      </c>
      <c r="K194" s="399" t="s">
        <v>71</v>
      </c>
      <c r="L194" s="399" t="s">
        <v>34</v>
      </c>
      <c r="M194" s="399">
        <v>208</v>
      </c>
      <c r="N194" s="356">
        <v>300000</v>
      </c>
      <c r="O194" s="28" t="b">
        <v>1</v>
      </c>
    </row>
    <row r="195" spans="2:15" s="28" customFormat="1" ht="16.5" customHeight="1">
      <c r="B195" s="20"/>
      <c r="C195" s="20"/>
      <c r="D195" s="254"/>
      <c r="E195" s="379">
        <v>135188</v>
      </c>
      <c r="F195" s="395" t="s">
        <v>294</v>
      </c>
      <c r="G195" s="396"/>
      <c r="H195" s="397"/>
      <c r="I195" s="383">
        <v>315000</v>
      </c>
      <c r="J195" s="398">
        <v>135188</v>
      </c>
      <c r="K195" s="399" t="s">
        <v>70</v>
      </c>
      <c r="L195" s="399" t="s">
        <v>34</v>
      </c>
      <c r="M195" s="399">
        <v>20</v>
      </c>
      <c r="N195" s="356">
        <v>274000</v>
      </c>
      <c r="O195" s="28" t="b">
        <v>1</v>
      </c>
    </row>
    <row r="196" spans="2:15" s="28" customFormat="1" ht="16.5" customHeight="1">
      <c r="B196" s="20"/>
      <c r="C196" s="20"/>
      <c r="D196" s="254"/>
      <c r="E196" s="379">
        <v>135190</v>
      </c>
      <c r="F196" s="395" t="s">
        <v>295</v>
      </c>
      <c r="G196" s="396"/>
      <c r="H196" s="397"/>
      <c r="I196" s="383">
        <v>346000</v>
      </c>
      <c r="J196" s="398">
        <v>135190</v>
      </c>
      <c r="K196" s="399" t="s">
        <v>70</v>
      </c>
      <c r="L196" s="399" t="s">
        <v>34</v>
      </c>
      <c r="M196" s="399">
        <v>20</v>
      </c>
      <c r="N196" s="356">
        <v>3777000</v>
      </c>
      <c r="O196" s="28" t="b">
        <v>1</v>
      </c>
    </row>
    <row r="197" spans="2:15" s="28" customFormat="1" ht="16.5" customHeight="1">
      <c r="B197" s="20"/>
      <c r="C197" s="20"/>
      <c r="D197" s="254"/>
      <c r="E197" s="379">
        <v>135249</v>
      </c>
      <c r="F197" s="395" t="s">
        <v>498</v>
      </c>
      <c r="G197" s="401"/>
      <c r="H197" s="402"/>
      <c r="I197" s="383">
        <v>1871000</v>
      </c>
      <c r="J197" s="398">
        <v>135249</v>
      </c>
      <c r="K197" s="399" t="s">
        <v>71</v>
      </c>
      <c r="L197" s="399" t="s">
        <v>34</v>
      </c>
      <c r="M197" s="399">
        <v>180</v>
      </c>
      <c r="N197" s="356">
        <v>2922000</v>
      </c>
      <c r="O197" s="28" t="b">
        <v>1</v>
      </c>
    </row>
    <row r="198" spans="2:15" s="28" customFormat="1" ht="16.5" customHeight="1">
      <c r="B198" s="20"/>
      <c r="C198" s="20"/>
      <c r="D198" s="254"/>
      <c r="E198" s="379">
        <v>135304</v>
      </c>
      <c r="F198" s="395" t="s">
        <v>499</v>
      </c>
      <c r="G198" s="396"/>
      <c r="H198" s="397"/>
      <c r="I198" s="383">
        <v>3473000</v>
      </c>
      <c r="J198" s="398">
        <v>135304</v>
      </c>
      <c r="K198" s="399" t="s">
        <v>71</v>
      </c>
      <c r="L198" s="399" t="s">
        <v>34</v>
      </c>
      <c r="M198" s="399">
        <v>208</v>
      </c>
      <c r="N198" s="356">
        <v>3151000</v>
      </c>
      <c r="O198" s="28" t="b">
        <v>1</v>
      </c>
    </row>
    <row r="199" spans="2:15" s="28" customFormat="1" ht="16.5" customHeight="1">
      <c r="B199" s="20"/>
      <c r="C199" s="20"/>
      <c r="D199" s="254"/>
      <c r="E199" s="379">
        <v>135361</v>
      </c>
      <c r="F199" s="395" t="s">
        <v>296</v>
      </c>
      <c r="G199" s="396"/>
      <c r="H199" s="397"/>
      <c r="I199" s="383">
        <v>317000</v>
      </c>
      <c r="J199" s="398">
        <v>135361</v>
      </c>
      <c r="K199" s="399" t="s">
        <v>70</v>
      </c>
      <c r="L199" s="399" t="s">
        <v>34</v>
      </c>
      <c r="M199" s="399">
        <v>18.899999999999999</v>
      </c>
      <c r="N199" s="356">
        <v>353000</v>
      </c>
      <c r="O199" s="28" t="b">
        <v>1</v>
      </c>
    </row>
    <row r="200" spans="2:15" s="28" customFormat="1" ht="16.5" customHeight="1">
      <c r="B200" s="20"/>
      <c r="C200" s="20"/>
      <c r="D200" s="254"/>
      <c r="E200" s="379">
        <v>135421</v>
      </c>
      <c r="F200" s="395" t="s">
        <v>500</v>
      </c>
      <c r="G200" s="396"/>
      <c r="H200" s="397"/>
      <c r="I200" s="383">
        <v>5049000</v>
      </c>
      <c r="J200" s="398">
        <v>135421</v>
      </c>
      <c r="K200" s="399" t="s">
        <v>71</v>
      </c>
      <c r="L200" s="399" t="s">
        <v>34</v>
      </c>
      <c r="M200" s="399">
        <v>208</v>
      </c>
      <c r="N200" s="356">
        <v>327000</v>
      </c>
      <c r="O200" s="28" t="b">
        <v>1</v>
      </c>
    </row>
    <row r="201" spans="2:15" s="28" customFormat="1" ht="16.5" customHeight="1">
      <c r="B201" s="20"/>
      <c r="C201" s="20"/>
      <c r="D201" s="254"/>
      <c r="E201" s="379">
        <v>135431</v>
      </c>
      <c r="F201" s="395" t="s">
        <v>501</v>
      </c>
      <c r="G201" s="396"/>
      <c r="H201" s="397"/>
      <c r="I201" s="383">
        <v>3873000</v>
      </c>
      <c r="J201" s="398">
        <v>135431</v>
      </c>
      <c r="K201" s="399" t="s">
        <v>71</v>
      </c>
      <c r="L201" s="399" t="s">
        <v>34</v>
      </c>
      <c r="M201" s="399">
        <v>177</v>
      </c>
      <c r="N201" s="356">
        <v>277000</v>
      </c>
      <c r="O201" s="28" t="b">
        <v>1</v>
      </c>
    </row>
    <row r="202" spans="2:15" s="28" customFormat="1" ht="16.5" customHeight="1">
      <c r="B202" s="20"/>
      <c r="C202" s="20"/>
      <c r="D202" s="254"/>
      <c r="E202" s="379">
        <v>135432</v>
      </c>
      <c r="F202" s="395" t="s">
        <v>502</v>
      </c>
      <c r="G202" s="396"/>
      <c r="H202" s="397"/>
      <c r="I202" s="383">
        <v>3962000</v>
      </c>
      <c r="J202" s="398">
        <v>135432</v>
      </c>
      <c r="K202" s="399" t="s">
        <v>71</v>
      </c>
      <c r="L202" s="399" t="s">
        <v>34</v>
      </c>
      <c r="M202" s="399">
        <v>177</v>
      </c>
      <c r="N202" s="356">
        <v>2733000</v>
      </c>
      <c r="O202" s="28" t="b">
        <v>1</v>
      </c>
    </row>
    <row r="203" spans="2:15" s="28" customFormat="1" ht="16.5" customHeight="1">
      <c r="B203" s="20"/>
      <c r="C203" s="20"/>
      <c r="D203" s="254"/>
      <c r="E203" s="379">
        <v>135437</v>
      </c>
      <c r="F203" s="395" t="s">
        <v>503</v>
      </c>
      <c r="G203" s="396"/>
      <c r="H203" s="397"/>
      <c r="I203" s="383">
        <v>3634000</v>
      </c>
      <c r="J203" s="398">
        <v>135437</v>
      </c>
      <c r="K203" s="399" t="s">
        <v>71</v>
      </c>
      <c r="L203" s="399" t="s">
        <v>34</v>
      </c>
      <c r="M203" s="399">
        <v>176.9</v>
      </c>
      <c r="N203" s="356">
        <v>3124000</v>
      </c>
      <c r="O203" s="28" t="b">
        <v>1</v>
      </c>
    </row>
    <row r="204" spans="2:15" s="28" customFormat="1" ht="16.5" customHeight="1">
      <c r="B204" s="20"/>
      <c r="C204" s="20"/>
      <c r="D204" s="254"/>
      <c r="E204" s="379">
        <v>135439</v>
      </c>
      <c r="F204" s="395" t="s">
        <v>504</v>
      </c>
      <c r="G204" s="396"/>
      <c r="H204" s="397"/>
      <c r="I204" s="383">
        <v>4035000</v>
      </c>
      <c r="J204" s="398">
        <v>135439</v>
      </c>
      <c r="K204" s="399" t="s">
        <v>71</v>
      </c>
      <c r="L204" s="399" t="s">
        <v>34</v>
      </c>
      <c r="M204" s="399">
        <v>176.9</v>
      </c>
      <c r="N204" s="356">
        <v>269000</v>
      </c>
      <c r="O204" s="28" t="b">
        <v>1</v>
      </c>
    </row>
    <row r="205" spans="2:15" s="28" customFormat="1" ht="16.5" customHeight="1">
      <c r="B205" s="20"/>
      <c r="C205" s="20"/>
      <c r="D205" s="254"/>
      <c r="E205" s="379">
        <v>135440</v>
      </c>
      <c r="F205" s="395" t="s">
        <v>505</v>
      </c>
      <c r="G205" s="396"/>
      <c r="H205" s="397"/>
      <c r="I205" s="383">
        <v>2915000</v>
      </c>
      <c r="J205" s="398">
        <v>135440</v>
      </c>
      <c r="K205" s="399" t="s">
        <v>71</v>
      </c>
      <c r="L205" s="399" t="s">
        <v>34</v>
      </c>
      <c r="M205" s="399">
        <v>208</v>
      </c>
      <c r="N205" s="356">
        <v>2995000</v>
      </c>
      <c r="O205" s="28" t="b">
        <v>1</v>
      </c>
    </row>
    <row r="206" spans="2:15" s="28" customFormat="1" ht="16.5" customHeight="1">
      <c r="B206" s="20"/>
      <c r="C206" s="20"/>
      <c r="D206" s="254"/>
      <c r="E206" s="379">
        <v>135444</v>
      </c>
      <c r="F206" s="395" t="s">
        <v>507</v>
      </c>
      <c r="G206" s="396"/>
      <c r="H206" s="397"/>
      <c r="I206" s="383">
        <v>4131000</v>
      </c>
      <c r="J206" s="399">
        <v>135444</v>
      </c>
      <c r="K206" s="399" t="s">
        <v>71</v>
      </c>
      <c r="L206" s="399" t="s">
        <v>34</v>
      </c>
      <c r="M206" s="399">
        <v>177</v>
      </c>
      <c r="N206" s="356">
        <v>302000</v>
      </c>
      <c r="O206" s="28" t="b">
        <v>1</v>
      </c>
    </row>
    <row r="207" spans="2:15" s="28" customFormat="1" ht="16.5" customHeight="1">
      <c r="B207" s="20"/>
      <c r="C207" s="20"/>
      <c r="D207" s="254"/>
      <c r="E207" s="379">
        <v>135448</v>
      </c>
      <c r="F207" s="395" t="s">
        <v>508</v>
      </c>
      <c r="G207" s="396"/>
      <c r="H207" s="397"/>
      <c r="I207" s="383">
        <v>3842000</v>
      </c>
      <c r="J207" s="398">
        <v>135448</v>
      </c>
      <c r="K207" s="399" t="s">
        <v>71</v>
      </c>
      <c r="L207" s="399" t="s">
        <v>34</v>
      </c>
      <c r="M207" s="399">
        <v>177</v>
      </c>
      <c r="N207" s="356">
        <v>3255000</v>
      </c>
      <c r="O207" s="28" t="b">
        <v>1</v>
      </c>
    </row>
    <row r="208" spans="2:15" s="28" customFormat="1" ht="16.5" customHeight="1">
      <c r="B208" s="20"/>
      <c r="C208" s="20"/>
      <c r="D208" s="254"/>
      <c r="E208" s="379">
        <v>135449</v>
      </c>
      <c r="F208" s="395" t="s">
        <v>300</v>
      </c>
      <c r="G208" s="396"/>
      <c r="H208" s="397"/>
      <c r="I208" s="383"/>
      <c r="J208" s="398">
        <v>135449</v>
      </c>
      <c r="K208" s="399" t="s">
        <v>73</v>
      </c>
      <c r="L208" s="399" t="s">
        <v>34</v>
      </c>
      <c r="M208" s="399">
        <v>21.1</v>
      </c>
      <c r="N208" s="356">
        <v>3450000</v>
      </c>
      <c r="O208" s="28" t="b">
        <v>1</v>
      </c>
    </row>
    <row r="209" spans="2:15" s="28" customFormat="1" ht="16.5" customHeight="1">
      <c r="B209" s="20"/>
      <c r="C209" s="20"/>
      <c r="D209" s="254"/>
      <c r="E209" s="379">
        <v>135451</v>
      </c>
      <c r="F209" s="395" t="s">
        <v>509</v>
      </c>
      <c r="G209" s="396"/>
      <c r="H209" s="397"/>
      <c r="I209" s="383">
        <v>3847000</v>
      </c>
      <c r="J209" s="398">
        <v>135451</v>
      </c>
      <c r="K209" s="399" t="s">
        <v>71</v>
      </c>
      <c r="L209" s="399" t="s">
        <v>34</v>
      </c>
      <c r="M209" s="399">
        <v>177</v>
      </c>
      <c r="N209" s="356">
        <v>3644000</v>
      </c>
      <c r="O209" s="28" t="b">
        <v>1</v>
      </c>
    </row>
    <row r="210" spans="2:15" s="28" customFormat="1" ht="16.5" customHeight="1">
      <c r="B210" s="20"/>
      <c r="C210" s="20"/>
      <c r="D210" s="254"/>
      <c r="E210" s="379">
        <v>135452</v>
      </c>
      <c r="F210" s="395" t="s">
        <v>510</v>
      </c>
      <c r="G210" s="396"/>
      <c r="H210" s="397"/>
      <c r="I210" s="383">
        <v>2586000</v>
      </c>
      <c r="J210" s="398">
        <v>135452</v>
      </c>
      <c r="K210" s="399" t="s">
        <v>71</v>
      </c>
      <c r="L210" s="399" t="s">
        <v>34</v>
      </c>
      <c r="M210" s="399">
        <v>208</v>
      </c>
      <c r="N210" s="356">
        <v>3124000</v>
      </c>
      <c r="O210" s="28" t="b">
        <v>1</v>
      </c>
    </row>
    <row r="211" spans="2:15" s="28" customFormat="1" ht="16.5" customHeight="1">
      <c r="B211" s="20"/>
      <c r="C211" s="20"/>
      <c r="D211" s="254"/>
      <c r="E211" s="379">
        <v>135453</v>
      </c>
      <c r="F211" s="395" t="s">
        <v>301</v>
      </c>
      <c r="G211" s="396"/>
      <c r="H211" s="397"/>
      <c r="I211" s="383">
        <v>262000</v>
      </c>
      <c r="J211" s="398">
        <v>135453</v>
      </c>
      <c r="K211" s="399" t="s">
        <v>70</v>
      </c>
      <c r="L211" s="399" t="s">
        <v>34</v>
      </c>
      <c r="M211" s="399">
        <v>18.899999999999999</v>
      </c>
      <c r="N211" s="356">
        <v>315000</v>
      </c>
      <c r="O211" s="28" t="b">
        <v>1</v>
      </c>
    </row>
    <row r="212" spans="2:15" s="28" customFormat="1" ht="16.5" customHeight="1">
      <c r="B212" s="20"/>
      <c r="C212" s="20"/>
      <c r="D212" s="254"/>
      <c r="E212" s="379">
        <v>135454</v>
      </c>
      <c r="F212" s="395" t="s">
        <v>511</v>
      </c>
      <c r="G212" s="396"/>
      <c r="H212" s="397"/>
      <c r="I212" s="383">
        <v>2602000</v>
      </c>
      <c r="J212" s="398">
        <v>135454</v>
      </c>
      <c r="K212" s="399" t="s">
        <v>71</v>
      </c>
      <c r="L212" s="399" t="s">
        <v>34</v>
      </c>
      <c r="M212" s="399">
        <v>208</v>
      </c>
      <c r="N212" s="356">
        <v>346000</v>
      </c>
      <c r="O212" s="28" t="b">
        <v>1</v>
      </c>
    </row>
    <row r="213" spans="2:15" s="28" customFormat="1" ht="16.5" customHeight="1">
      <c r="B213" s="20"/>
      <c r="C213" s="20"/>
      <c r="D213" s="254"/>
      <c r="E213" s="379">
        <v>135455</v>
      </c>
      <c r="F213" s="395" t="s">
        <v>302</v>
      </c>
      <c r="G213" s="396"/>
      <c r="H213" s="397"/>
      <c r="I213" s="383">
        <v>282000</v>
      </c>
      <c r="J213" s="398">
        <v>135455</v>
      </c>
      <c r="K213" s="399" t="s">
        <v>70</v>
      </c>
      <c r="L213" s="399" t="s">
        <v>34</v>
      </c>
      <c r="M213" s="399">
        <v>18.899999999999999</v>
      </c>
      <c r="N213" s="356">
        <v>1871000</v>
      </c>
      <c r="O213" s="28" t="b">
        <v>1</v>
      </c>
    </row>
    <row r="214" spans="2:15" s="28" customFormat="1" ht="16.5" customHeight="1">
      <c r="B214" s="20"/>
      <c r="C214" s="20"/>
      <c r="D214" s="254"/>
      <c r="E214" s="379">
        <v>135456</v>
      </c>
      <c r="F214" s="395" t="s">
        <v>512</v>
      </c>
      <c r="G214" s="396"/>
      <c r="H214" s="397"/>
      <c r="I214" s="383">
        <v>2995000</v>
      </c>
      <c r="J214" s="398">
        <v>135456</v>
      </c>
      <c r="K214" s="399" t="s">
        <v>71</v>
      </c>
      <c r="L214" s="399" t="s">
        <v>34</v>
      </c>
      <c r="M214" s="399">
        <v>208</v>
      </c>
      <c r="N214" s="356">
        <v>3473000</v>
      </c>
      <c r="O214" s="28" t="b">
        <v>1</v>
      </c>
    </row>
    <row r="215" spans="2:15" s="28" customFormat="1" ht="16.5" customHeight="1">
      <c r="B215" s="20"/>
      <c r="C215" s="20"/>
      <c r="D215" s="254"/>
      <c r="E215" s="379">
        <v>135457</v>
      </c>
      <c r="F215" s="395" t="s">
        <v>303</v>
      </c>
      <c r="G215" s="396"/>
      <c r="H215" s="397"/>
      <c r="I215" s="383">
        <v>287000</v>
      </c>
      <c r="J215" s="398">
        <v>135457</v>
      </c>
      <c r="K215" s="399" t="s">
        <v>70</v>
      </c>
      <c r="L215" s="399" t="s">
        <v>34</v>
      </c>
      <c r="M215" s="399">
        <v>18.899999999999999</v>
      </c>
      <c r="N215" s="356">
        <v>317000</v>
      </c>
      <c r="O215" s="28" t="b">
        <v>1</v>
      </c>
    </row>
    <row r="216" spans="2:15" s="28" customFormat="1" ht="16.5" customHeight="1">
      <c r="B216" s="20"/>
      <c r="C216" s="20"/>
      <c r="D216" s="254"/>
      <c r="E216" s="379">
        <v>135458</v>
      </c>
      <c r="F216" s="395" t="s">
        <v>420</v>
      </c>
      <c r="G216" s="396"/>
      <c r="H216" s="397"/>
      <c r="I216" s="383">
        <v>2763000</v>
      </c>
      <c r="J216" s="398">
        <v>135458</v>
      </c>
      <c r="K216" s="399" t="s">
        <v>71</v>
      </c>
      <c r="L216" s="399" t="s">
        <v>34</v>
      </c>
      <c r="M216" s="399">
        <v>208</v>
      </c>
      <c r="N216" s="356">
        <v>5049000</v>
      </c>
      <c r="O216" s="28" t="b">
        <v>1</v>
      </c>
    </row>
    <row r="217" spans="2:15" s="28" customFormat="1" ht="16.5" customHeight="1">
      <c r="B217" s="20"/>
      <c r="C217" s="20"/>
      <c r="D217" s="254"/>
      <c r="E217" s="379">
        <v>135460</v>
      </c>
      <c r="F217" s="395" t="s">
        <v>304</v>
      </c>
      <c r="G217" s="396"/>
      <c r="H217" s="397"/>
      <c r="I217" s="383">
        <v>337000</v>
      </c>
      <c r="J217" s="398">
        <v>135460</v>
      </c>
      <c r="K217" s="399" t="s">
        <v>70</v>
      </c>
      <c r="L217" s="399" t="s">
        <v>34</v>
      </c>
      <c r="M217" s="399">
        <v>18.899999999999999</v>
      </c>
      <c r="N217" s="356">
        <v>3873000</v>
      </c>
      <c r="O217" s="28" t="b">
        <v>1</v>
      </c>
    </row>
    <row r="218" spans="2:15" s="28" customFormat="1" ht="16.5" customHeight="1">
      <c r="B218" s="20"/>
      <c r="C218" s="20"/>
      <c r="D218" s="254"/>
      <c r="E218" s="379">
        <v>135461</v>
      </c>
      <c r="F218" s="395" t="s">
        <v>513</v>
      </c>
      <c r="G218" s="396"/>
      <c r="H218" s="397"/>
      <c r="I218" s="383">
        <v>3255000</v>
      </c>
      <c r="J218" s="398">
        <v>135461</v>
      </c>
      <c r="K218" s="399" t="s">
        <v>71</v>
      </c>
      <c r="L218" s="399" t="s">
        <v>34</v>
      </c>
      <c r="M218" s="399">
        <v>208</v>
      </c>
      <c r="N218" s="356">
        <v>3962000</v>
      </c>
      <c r="O218" s="28" t="b">
        <v>1</v>
      </c>
    </row>
    <row r="219" spans="2:15" s="28" customFormat="1" ht="16.5" customHeight="1">
      <c r="B219" s="20"/>
      <c r="C219" s="20"/>
      <c r="D219" s="254"/>
      <c r="E219" s="379">
        <v>135462</v>
      </c>
      <c r="F219" s="395" t="s">
        <v>305</v>
      </c>
      <c r="G219" s="396"/>
      <c r="H219" s="397"/>
      <c r="I219" s="383">
        <v>351000</v>
      </c>
      <c r="J219" s="398">
        <v>135462</v>
      </c>
      <c r="K219" s="399" t="s">
        <v>70</v>
      </c>
      <c r="L219" s="399" t="s">
        <v>34</v>
      </c>
      <c r="M219" s="399">
        <v>18.899999999999999</v>
      </c>
      <c r="N219" s="356">
        <v>3634000</v>
      </c>
      <c r="O219" s="28" t="b">
        <v>1</v>
      </c>
    </row>
    <row r="220" spans="2:15" s="28" customFormat="1" ht="16.5" customHeight="1">
      <c r="B220" s="20"/>
      <c r="C220" s="20"/>
      <c r="D220" s="254"/>
      <c r="E220" s="379">
        <v>135463</v>
      </c>
      <c r="F220" s="395" t="s">
        <v>514</v>
      </c>
      <c r="G220" s="396"/>
      <c r="H220" s="397"/>
      <c r="I220" s="383">
        <v>3383000</v>
      </c>
      <c r="J220" s="398">
        <v>135463</v>
      </c>
      <c r="K220" s="399" t="s">
        <v>71</v>
      </c>
      <c r="L220" s="399" t="s">
        <v>34</v>
      </c>
      <c r="M220" s="399">
        <v>208</v>
      </c>
      <c r="N220" s="356">
        <v>4035000</v>
      </c>
      <c r="O220" s="28" t="b">
        <v>1</v>
      </c>
    </row>
    <row r="221" spans="2:15" s="28" customFormat="1" ht="16.5" customHeight="1">
      <c r="B221" s="20"/>
      <c r="C221" s="20"/>
      <c r="D221" s="254"/>
      <c r="E221" s="379">
        <v>135464</v>
      </c>
      <c r="F221" s="395" t="s">
        <v>306</v>
      </c>
      <c r="G221" s="396"/>
      <c r="H221" s="397"/>
      <c r="I221" s="383">
        <v>364000</v>
      </c>
      <c r="J221" s="398">
        <v>135464</v>
      </c>
      <c r="K221" s="399" t="s">
        <v>70</v>
      </c>
      <c r="L221" s="399" t="s">
        <v>34</v>
      </c>
      <c r="M221" s="399">
        <v>18.899999999999999</v>
      </c>
      <c r="N221" s="356">
        <v>2915000</v>
      </c>
      <c r="O221" s="28" t="b">
        <v>1</v>
      </c>
    </row>
    <row r="222" spans="2:15" s="28" customFormat="1" ht="16.5" customHeight="1">
      <c r="B222" s="20"/>
      <c r="C222" s="20"/>
      <c r="D222" s="254"/>
      <c r="E222" s="379">
        <v>135488</v>
      </c>
      <c r="F222" s="395" t="s">
        <v>240</v>
      </c>
      <c r="G222" s="396"/>
      <c r="H222" s="397"/>
      <c r="I222" s="383">
        <v>47600</v>
      </c>
      <c r="J222" s="398">
        <v>135488</v>
      </c>
      <c r="K222" s="399" t="s">
        <v>70</v>
      </c>
      <c r="L222" s="399" t="s">
        <v>34</v>
      </c>
      <c r="M222" s="399">
        <v>20</v>
      </c>
      <c r="N222" s="356">
        <v>4131000</v>
      </c>
      <c r="O222" s="28" t="b">
        <v>1</v>
      </c>
    </row>
    <row r="223" spans="2:15" s="28" customFormat="1" ht="16.5" customHeight="1">
      <c r="B223" s="20"/>
      <c r="C223" s="20"/>
      <c r="D223" s="254"/>
      <c r="E223" s="379">
        <v>135542</v>
      </c>
      <c r="F223" s="395" t="s">
        <v>307</v>
      </c>
      <c r="G223" s="396"/>
      <c r="H223" s="397"/>
      <c r="I223" s="383">
        <v>69500</v>
      </c>
      <c r="J223" s="398">
        <v>135542</v>
      </c>
      <c r="K223" s="399" t="s">
        <v>70</v>
      </c>
      <c r="L223" s="399" t="s">
        <v>34</v>
      </c>
      <c r="M223" s="399">
        <v>20</v>
      </c>
      <c r="N223" s="356">
        <v>3842000</v>
      </c>
      <c r="O223" s="28" t="b">
        <v>1</v>
      </c>
    </row>
    <row r="224" spans="2:15" s="28" customFormat="1" ht="16.5" customHeight="1">
      <c r="B224" s="20"/>
      <c r="C224" s="20"/>
      <c r="D224" s="254"/>
      <c r="E224" s="379">
        <v>135627</v>
      </c>
      <c r="F224" s="395" t="s">
        <v>36</v>
      </c>
      <c r="G224" s="396"/>
      <c r="H224" s="397"/>
      <c r="I224" s="383">
        <v>4915000</v>
      </c>
      <c r="J224" s="398">
        <v>135627</v>
      </c>
      <c r="K224" s="399" t="s">
        <v>71</v>
      </c>
      <c r="L224" s="399" t="s">
        <v>34</v>
      </c>
      <c r="M224" s="399">
        <v>175</v>
      </c>
      <c r="N224" s="356" t="e">
        <v>#N/A</v>
      </c>
      <c r="O224" s="28" t="e">
        <v>#N/A</v>
      </c>
    </row>
    <row r="225" spans="2:15" s="28" customFormat="1" ht="16.5" customHeight="1">
      <c r="B225" s="20"/>
      <c r="C225" s="20"/>
      <c r="D225" s="254"/>
      <c r="E225" s="379">
        <v>135836</v>
      </c>
      <c r="F225" s="395" t="s">
        <v>66</v>
      </c>
      <c r="G225" s="396"/>
      <c r="H225" s="397"/>
      <c r="I225" s="383">
        <v>3321000</v>
      </c>
      <c r="J225" s="398">
        <v>135836</v>
      </c>
      <c r="K225" s="399" t="s">
        <v>71</v>
      </c>
      <c r="L225" s="399" t="s">
        <v>34</v>
      </c>
      <c r="M225" s="399">
        <v>208</v>
      </c>
      <c r="N225" s="356">
        <v>3847000</v>
      </c>
      <c r="O225" s="28" t="b">
        <v>1</v>
      </c>
    </row>
    <row r="226" spans="2:15" s="28" customFormat="1" ht="16.5" customHeight="1">
      <c r="B226" s="20"/>
      <c r="C226" s="20"/>
      <c r="D226" s="254"/>
      <c r="E226" s="379">
        <v>135877</v>
      </c>
      <c r="F226" s="395" t="s">
        <v>308</v>
      </c>
      <c r="G226" s="396"/>
      <c r="H226" s="397"/>
      <c r="I226" s="383">
        <v>474000</v>
      </c>
      <c r="J226" s="398">
        <v>135877</v>
      </c>
      <c r="K226" s="399" t="s">
        <v>70</v>
      </c>
      <c r="L226" s="399" t="s">
        <v>34</v>
      </c>
      <c r="M226" s="399">
        <v>20</v>
      </c>
      <c r="N226" s="356">
        <v>2586000</v>
      </c>
      <c r="O226" s="28" t="b">
        <v>1</v>
      </c>
    </row>
    <row r="227" spans="2:15" s="28" customFormat="1" ht="16.5" customHeight="1">
      <c r="B227" s="20"/>
      <c r="C227" s="20"/>
      <c r="D227" s="254"/>
      <c r="E227" s="379">
        <v>135916</v>
      </c>
      <c r="F227" s="395" t="s">
        <v>516</v>
      </c>
      <c r="G227" s="396"/>
      <c r="H227" s="397"/>
      <c r="I227" s="383">
        <v>547000</v>
      </c>
      <c r="J227" s="398">
        <v>135916</v>
      </c>
      <c r="K227" s="399" t="s">
        <v>71</v>
      </c>
      <c r="L227" s="399" t="s">
        <v>34</v>
      </c>
      <c r="M227" s="399">
        <v>200</v>
      </c>
      <c r="N227" s="356">
        <v>262000</v>
      </c>
      <c r="O227" s="28" t="b">
        <v>1</v>
      </c>
    </row>
    <row r="228" spans="2:15" s="28" customFormat="1" ht="16.5" customHeight="1">
      <c r="B228" s="20"/>
      <c r="C228" s="20"/>
      <c r="D228" s="254"/>
      <c r="E228" s="379">
        <v>148680</v>
      </c>
      <c r="F228" s="395" t="s">
        <v>45</v>
      </c>
      <c r="G228" s="396"/>
      <c r="H228" s="397"/>
      <c r="I228" s="383">
        <v>850000</v>
      </c>
      <c r="J228" s="398">
        <v>148680</v>
      </c>
      <c r="K228" s="399" t="s">
        <v>71</v>
      </c>
      <c r="L228" s="399" t="s">
        <v>34</v>
      </c>
      <c r="M228" s="399">
        <v>208</v>
      </c>
      <c r="N228" s="356">
        <v>2602000</v>
      </c>
      <c r="O228" s="28" t="b">
        <v>1</v>
      </c>
    </row>
    <row r="229" spans="2:15" s="28" customFormat="1" ht="16.5" customHeight="1">
      <c r="B229" s="20"/>
      <c r="C229" s="20"/>
      <c r="D229" s="254"/>
      <c r="E229" s="379">
        <v>135934</v>
      </c>
      <c r="F229" s="395" t="s">
        <v>309</v>
      </c>
      <c r="G229" s="396"/>
      <c r="H229" s="397"/>
      <c r="I229" s="383">
        <v>183000</v>
      </c>
      <c r="J229" s="398">
        <v>135934</v>
      </c>
      <c r="K229" s="399" t="s">
        <v>70</v>
      </c>
      <c r="L229" s="399" t="s">
        <v>34</v>
      </c>
      <c r="M229" s="399">
        <v>16</v>
      </c>
      <c r="N229" s="356">
        <v>282000</v>
      </c>
      <c r="O229" s="28" t="b">
        <v>1</v>
      </c>
    </row>
    <row r="230" spans="2:15" s="28" customFormat="1" ht="16.5" customHeight="1">
      <c r="B230" s="20"/>
      <c r="C230" s="20"/>
      <c r="D230" s="254"/>
      <c r="E230" s="379">
        <v>135935</v>
      </c>
      <c r="F230" s="395" t="s">
        <v>517</v>
      </c>
      <c r="G230" s="401"/>
      <c r="H230" s="402"/>
      <c r="I230" s="383">
        <v>1871000</v>
      </c>
      <c r="J230" s="398">
        <v>135935</v>
      </c>
      <c r="K230" s="399" t="s">
        <v>71</v>
      </c>
      <c r="L230" s="399" t="s">
        <v>34</v>
      </c>
      <c r="M230" s="399">
        <v>180</v>
      </c>
      <c r="N230" s="356">
        <v>2995000</v>
      </c>
      <c r="O230" s="28" t="b">
        <v>1</v>
      </c>
    </row>
    <row r="231" spans="2:15" s="28" customFormat="1" ht="16.5" customHeight="1">
      <c r="B231" s="20"/>
      <c r="C231" s="20"/>
      <c r="D231" s="254"/>
      <c r="E231" s="379">
        <v>148676</v>
      </c>
      <c r="F231" s="395" t="s">
        <v>520</v>
      </c>
      <c r="G231" s="396"/>
      <c r="H231" s="397"/>
      <c r="I231" s="383">
        <v>645000</v>
      </c>
      <c r="J231" s="398">
        <v>148676</v>
      </c>
      <c r="K231" s="399" t="s">
        <v>71</v>
      </c>
      <c r="L231" s="399" t="s">
        <v>34</v>
      </c>
      <c r="M231" s="399">
        <v>208</v>
      </c>
      <c r="N231" s="356">
        <v>287000</v>
      </c>
      <c r="O231" s="28" t="b">
        <v>1</v>
      </c>
    </row>
    <row r="232" spans="2:15" s="28" customFormat="1" ht="16.5" customHeight="1">
      <c r="B232" s="20"/>
      <c r="C232" s="20"/>
      <c r="D232" s="254"/>
      <c r="E232" s="379">
        <v>136130</v>
      </c>
      <c r="F232" s="395" t="s">
        <v>311</v>
      </c>
      <c r="G232" s="396"/>
      <c r="H232" s="397"/>
      <c r="I232" s="383">
        <v>198000</v>
      </c>
      <c r="J232" s="398">
        <v>136130</v>
      </c>
      <c r="K232" s="399" t="s">
        <v>70</v>
      </c>
      <c r="L232" s="399" t="s">
        <v>34</v>
      </c>
      <c r="M232" s="399">
        <v>16</v>
      </c>
      <c r="N232" s="356">
        <v>2763000</v>
      </c>
      <c r="O232" s="28" t="b">
        <v>1</v>
      </c>
    </row>
    <row r="233" spans="2:15" s="28" customFormat="1" ht="16.5" customHeight="1">
      <c r="B233" s="20"/>
      <c r="C233" s="20"/>
      <c r="D233" s="254"/>
      <c r="E233" s="379">
        <v>136131</v>
      </c>
      <c r="F233" s="395" t="s">
        <v>521</v>
      </c>
      <c r="G233" s="396"/>
      <c r="H233" s="397"/>
      <c r="I233" s="383">
        <v>2166000</v>
      </c>
      <c r="J233" s="398">
        <v>136131</v>
      </c>
      <c r="K233" s="399" t="s">
        <v>71</v>
      </c>
      <c r="L233" s="399" t="s">
        <v>34</v>
      </c>
      <c r="M233" s="399">
        <v>180</v>
      </c>
      <c r="N233" s="356">
        <v>337000</v>
      </c>
      <c r="O233" s="28" t="b">
        <v>1</v>
      </c>
    </row>
    <row r="234" spans="2:15" s="28" customFormat="1" ht="16.5" customHeight="1">
      <c r="B234" s="20"/>
      <c r="C234" s="20"/>
      <c r="D234" s="254"/>
      <c r="E234" s="379">
        <v>136132</v>
      </c>
      <c r="F234" s="395" t="s">
        <v>312</v>
      </c>
      <c r="G234" s="396"/>
      <c r="H234" s="397"/>
      <c r="I234" s="383">
        <v>198000</v>
      </c>
      <c r="J234" s="398">
        <v>136132</v>
      </c>
      <c r="K234" s="399" t="s">
        <v>70</v>
      </c>
      <c r="L234" s="399" t="s">
        <v>34</v>
      </c>
      <c r="M234" s="399">
        <v>16</v>
      </c>
      <c r="N234" s="356">
        <v>3255000</v>
      </c>
      <c r="O234" s="28" t="b">
        <v>1</v>
      </c>
    </row>
    <row r="235" spans="2:15" s="28" customFormat="1" ht="16.5" customHeight="1">
      <c r="B235" s="20"/>
      <c r="C235" s="20"/>
      <c r="D235" s="254"/>
      <c r="E235" s="379">
        <v>136133</v>
      </c>
      <c r="F235" s="395" t="s">
        <v>522</v>
      </c>
      <c r="G235" s="396"/>
      <c r="H235" s="397"/>
      <c r="I235" s="383">
        <v>2222000</v>
      </c>
      <c r="J235" s="398">
        <v>136133</v>
      </c>
      <c r="K235" s="399" t="s">
        <v>71</v>
      </c>
      <c r="L235" s="399" t="s">
        <v>34</v>
      </c>
      <c r="M235" s="399">
        <v>180</v>
      </c>
      <c r="N235" s="356">
        <v>351000</v>
      </c>
      <c r="O235" s="28" t="b">
        <v>1</v>
      </c>
    </row>
    <row r="236" spans="2:15" s="28" customFormat="1" ht="16.5" customHeight="1">
      <c r="B236" s="20"/>
      <c r="C236" s="20"/>
      <c r="D236" s="254"/>
      <c r="E236" s="379">
        <v>136141</v>
      </c>
      <c r="F236" s="395" t="s">
        <v>523</v>
      </c>
      <c r="G236" s="396"/>
      <c r="H236" s="397"/>
      <c r="I236" s="383">
        <v>3527000</v>
      </c>
      <c r="J236" s="398">
        <v>136141</v>
      </c>
      <c r="K236" s="399" t="s">
        <v>71</v>
      </c>
      <c r="L236" s="399" t="s">
        <v>34</v>
      </c>
      <c r="M236" s="399">
        <v>181</v>
      </c>
      <c r="N236" s="356">
        <v>3383000</v>
      </c>
      <c r="O236" s="28" t="b">
        <v>1</v>
      </c>
    </row>
    <row r="237" spans="2:15" s="28" customFormat="1" ht="16.5" customHeight="1">
      <c r="B237" s="20"/>
      <c r="C237" s="20"/>
      <c r="D237" s="254"/>
      <c r="E237" s="379">
        <v>136159</v>
      </c>
      <c r="F237" s="395" t="s">
        <v>525</v>
      </c>
      <c r="G237" s="396"/>
      <c r="H237" s="397"/>
      <c r="I237" s="383">
        <v>4607000</v>
      </c>
      <c r="J237" s="398">
        <v>136159</v>
      </c>
      <c r="K237" s="399" t="s">
        <v>71</v>
      </c>
      <c r="L237" s="399" t="s">
        <v>34</v>
      </c>
      <c r="M237" s="399">
        <v>208</v>
      </c>
      <c r="N237" s="356">
        <v>364000</v>
      </c>
      <c r="O237" s="28" t="b">
        <v>1</v>
      </c>
    </row>
    <row r="238" spans="2:15" s="28" customFormat="1" ht="16.5" customHeight="1">
      <c r="B238" s="20"/>
      <c r="C238" s="20"/>
      <c r="D238" s="254"/>
      <c r="E238" s="379">
        <v>136174</v>
      </c>
      <c r="F238" s="395" t="s">
        <v>526</v>
      </c>
      <c r="G238" s="396"/>
      <c r="H238" s="397"/>
      <c r="I238" s="383">
        <v>630000</v>
      </c>
      <c r="J238" s="398">
        <v>136174</v>
      </c>
      <c r="K238" s="399" t="s">
        <v>71</v>
      </c>
      <c r="L238" s="399" t="s">
        <v>34</v>
      </c>
      <c r="M238" s="399">
        <v>200</v>
      </c>
      <c r="N238" s="356">
        <v>47600</v>
      </c>
      <c r="O238" s="28" t="b">
        <v>1</v>
      </c>
    </row>
    <row r="239" spans="2:15" s="28" customFormat="1" ht="16.5" customHeight="1">
      <c r="B239" s="20"/>
      <c r="C239" s="20"/>
      <c r="D239" s="254"/>
      <c r="E239" s="379">
        <v>136235</v>
      </c>
      <c r="F239" s="395" t="s">
        <v>739</v>
      </c>
      <c r="G239" s="396"/>
      <c r="H239" s="397"/>
      <c r="I239" s="383">
        <v>858000</v>
      </c>
      <c r="J239" s="398">
        <v>136235</v>
      </c>
      <c r="K239" s="399" t="s">
        <v>71</v>
      </c>
      <c r="L239" s="399" t="s">
        <v>34</v>
      </c>
      <c r="M239" s="399">
        <v>208</v>
      </c>
      <c r="N239" s="356">
        <v>69500</v>
      </c>
      <c r="O239" s="28" t="b">
        <v>1</v>
      </c>
    </row>
    <row r="240" spans="2:15" s="28" customFormat="1" ht="16.5" customHeight="1">
      <c r="B240" s="20"/>
      <c r="C240" s="20"/>
      <c r="D240" s="254"/>
      <c r="E240" s="379">
        <v>148678</v>
      </c>
      <c r="F240" s="395" t="s">
        <v>527</v>
      </c>
      <c r="G240" s="396"/>
      <c r="H240" s="397"/>
      <c r="I240" s="383">
        <v>645000</v>
      </c>
      <c r="J240" s="398">
        <v>148678</v>
      </c>
      <c r="K240" s="399" t="s">
        <v>71</v>
      </c>
      <c r="L240" s="399" t="s">
        <v>34</v>
      </c>
      <c r="M240" s="399">
        <v>208</v>
      </c>
      <c r="N240" s="356">
        <v>4915000</v>
      </c>
      <c r="O240" s="28" t="b">
        <v>1</v>
      </c>
    </row>
    <row r="241" spans="2:15" s="28" customFormat="1" ht="16.5" customHeight="1">
      <c r="B241" s="20"/>
      <c r="C241" s="20"/>
      <c r="D241" s="254"/>
      <c r="E241" s="379">
        <v>143561</v>
      </c>
      <c r="F241" s="395" t="s">
        <v>558</v>
      </c>
      <c r="G241" s="396"/>
      <c r="H241" s="397"/>
      <c r="I241" s="383">
        <v>728000</v>
      </c>
      <c r="J241" s="398">
        <v>138959</v>
      </c>
      <c r="K241" s="399" t="s">
        <v>71</v>
      </c>
      <c r="L241" s="399" t="s">
        <v>34</v>
      </c>
      <c r="M241" s="399">
        <v>200</v>
      </c>
      <c r="N241" s="356">
        <v>3321000</v>
      </c>
      <c r="O241" s="28" t="b">
        <v>1</v>
      </c>
    </row>
    <row r="242" spans="2:15" s="28" customFormat="1" ht="16.5" customHeight="1">
      <c r="B242" s="20"/>
      <c r="C242" s="20"/>
      <c r="D242" s="254"/>
      <c r="E242" s="379">
        <v>143560</v>
      </c>
      <c r="F242" s="395" t="s">
        <v>559</v>
      </c>
      <c r="G242" s="396"/>
      <c r="H242" s="397"/>
      <c r="I242" s="383">
        <v>728000</v>
      </c>
      <c r="J242" s="398">
        <v>138960</v>
      </c>
      <c r="K242" s="399" t="s">
        <v>71</v>
      </c>
      <c r="L242" s="399" t="s">
        <v>34</v>
      </c>
      <c r="M242" s="399">
        <v>200</v>
      </c>
      <c r="N242" s="356">
        <v>474000</v>
      </c>
      <c r="O242" s="28" t="b">
        <v>1</v>
      </c>
    </row>
    <row r="243" spans="2:15" s="28" customFormat="1" ht="16.5" customHeight="1">
      <c r="B243" s="20"/>
      <c r="C243" s="20"/>
      <c r="D243" s="254"/>
      <c r="E243" s="379">
        <v>141666</v>
      </c>
      <c r="F243" s="395" t="s">
        <v>560</v>
      </c>
      <c r="G243" s="396"/>
      <c r="H243" s="397"/>
      <c r="I243" s="383">
        <v>755000</v>
      </c>
      <c r="J243" s="398">
        <v>138961</v>
      </c>
      <c r="K243" s="399" t="s">
        <v>71</v>
      </c>
      <c r="L243" s="399" t="s">
        <v>34</v>
      </c>
      <c r="M243" s="399">
        <v>200</v>
      </c>
      <c r="N243" s="356">
        <v>547000</v>
      </c>
      <c r="O243" s="28" t="b">
        <v>1</v>
      </c>
    </row>
    <row r="244" spans="2:15" s="28" customFormat="1" ht="16.5" customHeight="1">
      <c r="B244" s="20"/>
      <c r="C244" s="20"/>
      <c r="D244" s="254"/>
      <c r="E244" s="379">
        <v>138963</v>
      </c>
      <c r="F244" s="395" t="s">
        <v>562</v>
      </c>
      <c r="G244" s="396"/>
      <c r="H244" s="397"/>
      <c r="I244" s="383">
        <v>755000</v>
      </c>
      <c r="J244" s="398">
        <v>138963</v>
      </c>
      <c r="K244" s="399" t="s">
        <v>71</v>
      </c>
      <c r="L244" s="399" t="s">
        <v>34</v>
      </c>
      <c r="M244" s="399">
        <v>200</v>
      </c>
      <c r="N244" s="356">
        <v>850000</v>
      </c>
      <c r="O244" s="28" t="b">
        <v>1</v>
      </c>
    </row>
    <row r="245" spans="2:15" s="28" customFormat="1" ht="16.5" customHeight="1">
      <c r="B245" s="20"/>
      <c r="C245" s="20"/>
      <c r="D245" s="254"/>
      <c r="E245" s="379">
        <v>138964</v>
      </c>
      <c r="F245" s="395" t="s">
        <v>315</v>
      </c>
      <c r="G245" s="396"/>
      <c r="H245" s="397"/>
      <c r="I245" s="383">
        <v>79600</v>
      </c>
      <c r="J245" s="398">
        <v>138964</v>
      </c>
      <c r="K245" s="399" t="s">
        <v>70</v>
      </c>
      <c r="L245" s="399" t="s">
        <v>34</v>
      </c>
      <c r="M245" s="399">
        <v>20</v>
      </c>
      <c r="N245" s="356">
        <v>183000</v>
      </c>
      <c r="O245" s="28" t="b">
        <v>1</v>
      </c>
    </row>
    <row r="246" spans="2:15" s="28" customFormat="1" ht="16.5" customHeight="1">
      <c r="B246" s="20"/>
      <c r="C246" s="20"/>
      <c r="D246" s="254"/>
      <c r="E246" s="379">
        <v>136234</v>
      </c>
      <c r="F246" s="395" t="s">
        <v>316</v>
      </c>
      <c r="G246" s="396"/>
      <c r="H246" s="397"/>
      <c r="I246" s="383">
        <v>94600</v>
      </c>
      <c r="J246" s="398">
        <v>138980</v>
      </c>
      <c r="K246" s="399" t="s">
        <v>70</v>
      </c>
      <c r="L246" s="399" t="s">
        <v>34</v>
      </c>
      <c r="M246" s="399">
        <v>20</v>
      </c>
      <c r="N246" s="356">
        <v>1871000</v>
      </c>
      <c r="O246" s="28" t="b">
        <v>1</v>
      </c>
    </row>
    <row r="247" spans="2:15" s="28" customFormat="1" ht="16.5" customHeight="1">
      <c r="B247" s="20"/>
      <c r="C247" s="20"/>
      <c r="D247" s="254"/>
      <c r="E247" s="379">
        <v>139023</v>
      </c>
      <c r="F247" s="395" t="s">
        <v>569</v>
      </c>
      <c r="G247" s="396"/>
      <c r="H247" s="397"/>
      <c r="I247" s="383">
        <v>893000</v>
      </c>
      <c r="J247" s="398">
        <v>139023</v>
      </c>
      <c r="K247" s="399" t="s">
        <v>71</v>
      </c>
      <c r="L247" s="399" t="s">
        <v>34</v>
      </c>
      <c r="M247" s="399">
        <v>200</v>
      </c>
      <c r="N247" s="356">
        <v>645000</v>
      </c>
      <c r="O247" s="28" t="b">
        <v>1</v>
      </c>
    </row>
    <row r="248" spans="2:15" s="28" customFormat="1" ht="16.5" customHeight="1">
      <c r="B248" s="20"/>
      <c r="C248" s="20"/>
      <c r="D248" s="254"/>
      <c r="E248" s="379">
        <v>139026</v>
      </c>
      <c r="F248" s="395" t="s">
        <v>571</v>
      </c>
      <c r="G248" s="396"/>
      <c r="H248" s="397"/>
      <c r="I248" s="383">
        <v>670000</v>
      </c>
      <c r="J248" s="398">
        <v>139026</v>
      </c>
      <c r="K248" s="399" t="s">
        <v>71</v>
      </c>
      <c r="L248" s="399" t="s">
        <v>34</v>
      </c>
      <c r="M248" s="399">
        <v>200</v>
      </c>
      <c r="N248" s="356">
        <v>198000</v>
      </c>
      <c r="O248" s="28" t="b">
        <v>1</v>
      </c>
    </row>
    <row r="249" spans="2:15" s="28" customFormat="1" ht="16.5" customHeight="1">
      <c r="B249" s="20"/>
      <c r="C249" s="20"/>
      <c r="D249" s="254"/>
      <c r="E249" s="379">
        <v>139027</v>
      </c>
      <c r="F249" s="395" t="s">
        <v>572</v>
      </c>
      <c r="G249" s="396"/>
      <c r="H249" s="397"/>
      <c r="I249" s="383">
        <v>749000</v>
      </c>
      <c r="J249" s="398">
        <v>139027</v>
      </c>
      <c r="K249" s="399" t="s">
        <v>71</v>
      </c>
      <c r="L249" s="399" t="s">
        <v>34</v>
      </c>
      <c r="M249" s="399">
        <v>200</v>
      </c>
      <c r="N249" s="356">
        <v>2166000</v>
      </c>
      <c r="O249" s="28" t="b">
        <v>1</v>
      </c>
    </row>
    <row r="250" spans="2:15" s="28" customFormat="1" ht="16.5" customHeight="1">
      <c r="B250" s="20"/>
      <c r="C250" s="20"/>
      <c r="D250" s="254"/>
      <c r="E250" s="379">
        <v>139028</v>
      </c>
      <c r="F250" s="395" t="s">
        <v>573</v>
      </c>
      <c r="G250" s="396"/>
      <c r="H250" s="397"/>
      <c r="I250" s="383">
        <v>893000</v>
      </c>
      <c r="J250" s="398">
        <v>139028</v>
      </c>
      <c r="K250" s="399" t="s">
        <v>71</v>
      </c>
      <c r="L250" s="399" t="s">
        <v>34</v>
      </c>
      <c r="M250" s="399">
        <v>200</v>
      </c>
      <c r="N250" s="356">
        <v>198000</v>
      </c>
      <c r="O250" s="28" t="b">
        <v>1</v>
      </c>
    </row>
    <row r="251" spans="2:15" s="28" customFormat="1" ht="16.5" customHeight="1">
      <c r="B251" s="20"/>
      <c r="C251" s="20"/>
      <c r="D251" s="254"/>
      <c r="E251" s="379">
        <v>139029</v>
      </c>
      <c r="F251" s="395" t="s">
        <v>574</v>
      </c>
      <c r="G251" s="396"/>
      <c r="H251" s="397"/>
      <c r="I251" s="383">
        <v>535000</v>
      </c>
      <c r="J251" s="398">
        <v>139029</v>
      </c>
      <c r="K251" s="399" t="s">
        <v>71</v>
      </c>
      <c r="L251" s="399" t="s">
        <v>34</v>
      </c>
      <c r="M251" s="399">
        <v>200</v>
      </c>
      <c r="N251" s="356">
        <v>2222000</v>
      </c>
      <c r="O251" s="28" t="b">
        <v>1</v>
      </c>
    </row>
    <row r="252" spans="2:15" s="28" customFormat="1" ht="16.5" customHeight="1">
      <c r="B252" s="20"/>
      <c r="C252" s="20"/>
      <c r="D252" s="254"/>
      <c r="E252" s="379">
        <v>139030</v>
      </c>
      <c r="F252" s="395" t="s">
        <v>236</v>
      </c>
      <c r="G252" s="396"/>
      <c r="H252" s="397"/>
      <c r="I252" s="383">
        <v>54500</v>
      </c>
      <c r="J252" s="398">
        <v>139030</v>
      </c>
      <c r="K252" s="399" t="s">
        <v>70</v>
      </c>
      <c r="L252" s="399" t="s">
        <v>34</v>
      </c>
      <c r="M252" s="399">
        <v>20</v>
      </c>
      <c r="N252" s="356">
        <v>3527000</v>
      </c>
      <c r="O252" s="28" t="b">
        <v>1</v>
      </c>
    </row>
    <row r="253" spans="2:15" s="28" customFormat="1" ht="16.5" customHeight="1">
      <c r="B253" s="20"/>
      <c r="C253" s="20"/>
      <c r="D253" s="254"/>
      <c r="E253" s="379">
        <v>139032</v>
      </c>
      <c r="F253" s="395" t="s">
        <v>322</v>
      </c>
      <c r="G253" s="396"/>
      <c r="H253" s="397"/>
      <c r="I253" s="383">
        <v>371000</v>
      </c>
      <c r="J253" s="398">
        <v>139032</v>
      </c>
      <c r="K253" s="399" t="s">
        <v>70</v>
      </c>
      <c r="L253" s="399" t="s">
        <v>34</v>
      </c>
      <c r="M253" s="399">
        <v>20</v>
      </c>
      <c r="N253" s="356">
        <v>4607000</v>
      </c>
      <c r="O253" s="28" t="b">
        <v>1</v>
      </c>
    </row>
    <row r="254" spans="2:15" s="28" customFormat="1" ht="16.5" customHeight="1">
      <c r="B254" s="20"/>
      <c r="C254" s="20"/>
      <c r="D254" s="254"/>
      <c r="E254" s="379">
        <v>139033</v>
      </c>
      <c r="F254" s="395" t="s">
        <v>323</v>
      </c>
      <c r="G254" s="396"/>
      <c r="H254" s="397"/>
      <c r="I254" s="383">
        <v>392000</v>
      </c>
      <c r="J254" s="398">
        <v>139033</v>
      </c>
      <c r="K254" s="399" t="s">
        <v>70</v>
      </c>
      <c r="L254" s="399" t="s">
        <v>34</v>
      </c>
      <c r="M254" s="399">
        <v>20</v>
      </c>
      <c r="N254" s="356">
        <v>630000</v>
      </c>
      <c r="O254" s="28" t="b">
        <v>1</v>
      </c>
    </row>
    <row r="255" spans="2:15" s="28" customFormat="1" ht="16.5" customHeight="1">
      <c r="B255" s="20"/>
      <c r="C255" s="20"/>
      <c r="D255" s="254"/>
      <c r="E255" s="379">
        <v>139036</v>
      </c>
      <c r="F255" s="395" t="s">
        <v>575</v>
      </c>
      <c r="G255" s="396"/>
      <c r="H255" s="397"/>
      <c r="I255" s="383">
        <v>649000</v>
      </c>
      <c r="J255" s="398">
        <v>139036</v>
      </c>
      <c r="K255" s="399" t="s">
        <v>71</v>
      </c>
      <c r="L255" s="399" t="s">
        <v>34</v>
      </c>
      <c r="M255" s="399">
        <v>200</v>
      </c>
      <c r="N255" s="356">
        <v>858000</v>
      </c>
      <c r="O255" s="28" t="b">
        <v>1</v>
      </c>
    </row>
    <row r="256" spans="2:15" s="28" customFormat="1" ht="16.5" customHeight="1">
      <c r="B256" s="20"/>
      <c r="C256" s="20"/>
      <c r="D256" s="254"/>
      <c r="E256" s="379">
        <v>139037</v>
      </c>
      <c r="F256" s="395" t="s">
        <v>324</v>
      </c>
      <c r="G256" s="396"/>
      <c r="H256" s="397"/>
      <c r="I256" s="383">
        <v>82400</v>
      </c>
      <c r="J256" s="398">
        <v>139037</v>
      </c>
      <c r="K256" s="399" t="s">
        <v>70</v>
      </c>
      <c r="L256" s="399" t="s">
        <v>34</v>
      </c>
      <c r="M256" s="399">
        <v>20</v>
      </c>
      <c r="N256" s="356">
        <v>645000</v>
      </c>
      <c r="O256" s="28" t="b">
        <v>1</v>
      </c>
    </row>
    <row r="257" spans="2:15" s="28" customFormat="1" ht="16.5" customHeight="1">
      <c r="B257" s="20"/>
      <c r="C257" s="20"/>
      <c r="D257" s="254"/>
      <c r="E257" s="379">
        <v>139038</v>
      </c>
      <c r="F257" s="395" t="s">
        <v>576</v>
      </c>
      <c r="G257" s="396"/>
      <c r="H257" s="397"/>
      <c r="I257" s="383">
        <v>746000</v>
      </c>
      <c r="J257" s="398">
        <v>139038</v>
      </c>
      <c r="K257" s="399" t="s">
        <v>71</v>
      </c>
      <c r="L257" s="399" t="s">
        <v>34</v>
      </c>
      <c r="M257" s="399">
        <v>200</v>
      </c>
      <c r="N257" s="356">
        <v>728000</v>
      </c>
      <c r="O257" s="28" t="b">
        <v>1</v>
      </c>
    </row>
    <row r="258" spans="2:15" s="28" customFormat="1" ht="16.5" customHeight="1">
      <c r="B258" s="20"/>
      <c r="C258" s="20"/>
      <c r="D258" s="254"/>
      <c r="E258" s="379">
        <v>139040</v>
      </c>
      <c r="F258" s="395" t="s">
        <v>577</v>
      </c>
      <c r="G258" s="396"/>
      <c r="H258" s="397"/>
      <c r="I258" s="383">
        <v>575000</v>
      </c>
      <c r="J258" s="398">
        <v>139040</v>
      </c>
      <c r="K258" s="399" t="s">
        <v>71</v>
      </c>
      <c r="L258" s="399" t="s">
        <v>34</v>
      </c>
      <c r="M258" s="399">
        <v>200</v>
      </c>
      <c r="N258" s="356">
        <v>728000</v>
      </c>
      <c r="O258" s="28" t="b">
        <v>1</v>
      </c>
    </row>
    <row r="259" spans="2:15" s="28" customFormat="1" ht="16.5" customHeight="1">
      <c r="B259" s="20"/>
      <c r="C259" s="20"/>
      <c r="D259" s="254"/>
      <c r="E259" s="379">
        <v>139041</v>
      </c>
      <c r="F259" s="395" t="s">
        <v>325</v>
      </c>
      <c r="G259" s="396"/>
      <c r="H259" s="397"/>
      <c r="I259" s="383">
        <v>61300</v>
      </c>
      <c r="J259" s="398">
        <v>139041</v>
      </c>
      <c r="K259" s="399" t="s">
        <v>70</v>
      </c>
      <c r="L259" s="399" t="s">
        <v>34</v>
      </c>
      <c r="M259" s="399">
        <v>20</v>
      </c>
      <c r="N259" s="356">
        <v>755000</v>
      </c>
      <c r="O259" s="28" t="b">
        <v>1</v>
      </c>
    </row>
    <row r="260" spans="2:15" s="28" customFormat="1" ht="16.5" customHeight="1">
      <c r="B260" s="20"/>
      <c r="C260" s="20"/>
      <c r="D260" s="254"/>
      <c r="E260" s="379">
        <v>139042</v>
      </c>
      <c r="F260" s="395" t="s">
        <v>578</v>
      </c>
      <c r="G260" s="396"/>
      <c r="H260" s="397"/>
      <c r="I260" s="383">
        <v>575000</v>
      </c>
      <c r="J260" s="398">
        <v>139042</v>
      </c>
      <c r="K260" s="399" t="s">
        <v>71</v>
      </c>
      <c r="L260" s="399" t="s">
        <v>34</v>
      </c>
      <c r="M260" s="399">
        <v>200</v>
      </c>
      <c r="N260" s="356">
        <v>755000</v>
      </c>
      <c r="O260" s="28" t="b">
        <v>1</v>
      </c>
    </row>
    <row r="261" spans="2:15" s="28" customFormat="1" ht="16.5" customHeight="1">
      <c r="B261" s="20"/>
      <c r="C261" s="20"/>
      <c r="D261" s="254"/>
      <c r="E261" s="379">
        <v>139043</v>
      </c>
      <c r="F261" s="395" t="s">
        <v>326</v>
      </c>
      <c r="G261" s="396"/>
      <c r="H261" s="397"/>
      <c r="I261" s="383">
        <v>100000</v>
      </c>
      <c r="J261" s="398">
        <v>139043</v>
      </c>
      <c r="K261" s="399" t="s">
        <v>70</v>
      </c>
      <c r="L261" s="399" t="s">
        <v>34</v>
      </c>
      <c r="M261" s="399">
        <v>20</v>
      </c>
      <c r="N261" s="356">
        <v>79600</v>
      </c>
      <c r="O261" s="28" t="b">
        <v>1</v>
      </c>
    </row>
    <row r="262" spans="2:15" s="28" customFormat="1" ht="16.5" customHeight="1">
      <c r="B262" s="20"/>
      <c r="C262" s="20"/>
      <c r="D262" s="254"/>
      <c r="E262" s="379">
        <v>139044</v>
      </c>
      <c r="F262" s="395" t="s">
        <v>579</v>
      </c>
      <c r="G262" s="396"/>
      <c r="H262" s="397"/>
      <c r="I262" s="383">
        <v>960000</v>
      </c>
      <c r="J262" s="398">
        <v>139044</v>
      </c>
      <c r="K262" s="399" t="s">
        <v>71</v>
      </c>
      <c r="L262" s="399" t="s">
        <v>34</v>
      </c>
      <c r="M262" s="399">
        <v>200</v>
      </c>
      <c r="N262" s="356">
        <v>94600</v>
      </c>
      <c r="O262" s="28" t="b">
        <v>1</v>
      </c>
    </row>
    <row r="263" spans="2:15" s="28" customFormat="1" ht="16.5" customHeight="1">
      <c r="B263" s="20"/>
      <c r="C263" s="20"/>
      <c r="D263" s="254"/>
      <c r="E263" s="379">
        <v>139045</v>
      </c>
      <c r="F263" s="395" t="s">
        <v>327</v>
      </c>
      <c r="G263" s="396"/>
      <c r="H263" s="397"/>
      <c r="I263" s="383">
        <v>100000</v>
      </c>
      <c r="J263" s="398">
        <v>139045</v>
      </c>
      <c r="K263" s="399" t="s">
        <v>70</v>
      </c>
      <c r="L263" s="399" t="s">
        <v>34</v>
      </c>
      <c r="M263" s="399">
        <v>20</v>
      </c>
      <c r="N263" s="356">
        <v>893000</v>
      </c>
      <c r="O263" s="28" t="b">
        <v>1</v>
      </c>
    </row>
    <row r="264" spans="2:15" s="28" customFormat="1" ht="16.5" customHeight="1">
      <c r="B264" s="20"/>
      <c r="C264" s="20"/>
      <c r="D264" s="254"/>
      <c r="E264" s="379">
        <v>139048</v>
      </c>
      <c r="F264" s="395" t="s">
        <v>328</v>
      </c>
      <c r="G264" s="396"/>
      <c r="H264" s="397"/>
      <c r="I264" s="383">
        <v>166000</v>
      </c>
      <c r="J264" s="398">
        <v>139048</v>
      </c>
      <c r="K264" s="399" t="s">
        <v>70</v>
      </c>
      <c r="L264" s="399" t="s">
        <v>34</v>
      </c>
      <c r="M264" s="399">
        <v>20</v>
      </c>
      <c r="N264" s="356">
        <v>670000</v>
      </c>
      <c r="O264" s="28" t="b">
        <v>1</v>
      </c>
    </row>
    <row r="265" spans="2:15" s="28" customFormat="1" ht="16.5" customHeight="1">
      <c r="B265" s="20"/>
      <c r="C265" s="20"/>
      <c r="D265" s="254"/>
      <c r="E265" s="379">
        <v>139049</v>
      </c>
      <c r="F265" s="395" t="s">
        <v>329</v>
      </c>
      <c r="G265" s="396"/>
      <c r="H265" s="397"/>
      <c r="I265" s="383">
        <v>146000</v>
      </c>
      <c r="J265" s="398">
        <v>139049</v>
      </c>
      <c r="K265" s="399" t="s">
        <v>70</v>
      </c>
      <c r="L265" s="399" t="s">
        <v>34</v>
      </c>
      <c r="M265" s="399">
        <v>20</v>
      </c>
      <c r="N265" s="356">
        <v>749000</v>
      </c>
      <c r="O265" s="28" t="b">
        <v>1</v>
      </c>
    </row>
    <row r="266" spans="2:15" s="28" customFormat="1" ht="16.5" customHeight="1">
      <c r="B266" s="20"/>
      <c r="C266" s="20"/>
      <c r="D266" s="254"/>
      <c r="E266" s="379">
        <v>139050</v>
      </c>
      <c r="F266" s="395" t="s">
        <v>330</v>
      </c>
      <c r="G266" s="396"/>
      <c r="H266" s="397"/>
      <c r="I266" s="383"/>
      <c r="J266" s="398">
        <v>139050</v>
      </c>
      <c r="K266" s="399" t="s">
        <v>70</v>
      </c>
      <c r="L266" s="399" t="s">
        <v>34</v>
      </c>
      <c r="M266" s="399">
        <v>20</v>
      </c>
      <c r="N266" s="356">
        <v>893000</v>
      </c>
      <c r="O266" s="28" t="b">
        <v>1</v>
      </c>
    </row>
    <row r="267" spans="2:15" s="28" customFormat="1" ht="16.5" customHeight="1">
      <c r="B267" s="20"/>
      <c r="C267" s="20"/>
      <c r="D267" s="254"/>
      <c r="E267" s="379">
        <v>139051</v>
      </c>
      <c r="F267" s="395" t="s">
        <v>331</v>
      </c>
      <c r="G267" s="396"/>
      <c r="H267" s="397"/>
      <c r="I267" s="383">
        <v>169000</v>
      </c>
      <c r="J267" s="398">
        <v>139051</v>
      </c>
      <c r="K267" s="399" t="s">
        <v>70</v>
      </c>
      <c r="L267" s="399" t="s">
        <v>34</v>
      </c>
      <c r="M267" s="399">
        <v>18.899999999999999</v>
      </c>
      <c r="N267" s="356">
        <v>535000</v>
      </c>
      <c r="O267" s="28" t="b">
        <v>1</v>
      </c>
    </row>
    <row r="268" spans="2:15" s="28" customFormat="1" ht="16.5" customHeight="1">
      <c r="B268" s="20"/>
      <c r="C268" s="20"/>
      <c r="D268" s="254"/>
      <c r="E268" s="379">
        <v>139052</v>
      </c>
      <c r="F268" s="395" t="s">
        <v>582</v>
      </c>
      <c r="G268" s="396"/>
      <c r="H268" s="397"/>
      <c r="I268" s="383"/>
      <c r="J268" s="398">
        <v>139052</v>
      </c>
      <c r="K268" s="399" t="s">
        <v>71</v>
      </c>
      <c r="L268" s="399" t="s">
        <v>34</v>
      </c>
      <c r="M268" s="399">
        <v>200</v>
      </c>
      <c r="N268" s="356">
        <v>54500</v>
      </c>
      <c r="O268" s="28" t="b">
        <v>1</v>
      </c>
    </row>
    <row r="269" spans="2:15" s="28" customFormat="1" ht="16.5" customHeight="1">
      <c r="B269" s="20"/>
      <c r="C269" s="20"/>
      <c r="D269" s="254"/>
      <c r="E269" s="379">
        <v>139057</v>
      </c>
      <c r="F269" s="395" t="s">
        <v>583</v>
      </c>
      <c r="G269" s="396"/>
      <c r="H269" s="397"/>
      <c r="I269" s="383">
        <v>721000</v>
      </c>
      <c r="J269" s="398">
        <v>139057</v>
      </c>
      <c r="K269" s="399" t="s">
        <v>71</v>
      </c>
      <c r="L269" s="399" t="s">
        <v>34</v>
      </c>
      <c r="M269" s="399">
        <v>200</v>
      </c>
      <c r="N269" s="356">
        <v>371000</v>
      </c>
      <c r="O269" s="28" t="b">
        <v>1</v>
      </c>
    </row>
    <row r="270" spans="2:15" s="28" customFormat="1" ht="16.5" customHeight="1">
      <c r="B270" s="20"/>
      <c r="C270" s="20"/>
      <c r="D270" s="254"/>
      <c r="E270" s="379">
        <v>139058</v>
      </c>
      <c r="F270" s="395" t="s">
        <v>584</v>
      </c>
      <c r="G270" s="396"/>
      <c r="H270" s="397"/>
      <c r="I270" s="383">
        <v>893000</v>
      </c>
      <c r="J270" s="398">
        <v>139058</v>
      </c>
      <c r="K270" s="399" t="s">
        <v>71</v>
      </c>
      <c r="L270" s="399" t="s">
        <v>34</v>
      </c>
      <c r="M270" s="399">
        <v>200</v>
      </c>
      <c r="N270" s="356">
        <v>392000</v>
      </c>
      <c r="O270" s="28" t="b">
        <v>1</v>
      </c>
    </row>
    <row r="271" spans="2:15" s="28" customFormat="1" ht="16.5" customHeight="1">
      <c r="B271" s="20"/>
      <c r="C271" s="20"/>
      <c r="D271" s="254"/>
      <c r="E271" s="379">
        <v>139059</v>
      </c>
      <c r="F271" s="395" t="s">
        <v>585</v>
      </c>
      <c r="G271" s="396"/>
      <c r="H271" s="397"/>
      <c r="I271" s="383">
        <v>691000</v>
      </c>
      <c r="J271" s="398">
        <v>139059</v>
      </c>
      <c r="K271" s="399" t="s">
        <v>71</v>
      </c>
      <c r="L271" s="399" t="s">
        <v>34</v>
      </c>
      <c r="M271" s="399">
        <v>200</v>
      </c>
      <c r="N271" s="356">
        <v>649000</v>
      </c>
      <c r="O271" s="28" t="b">
        <v>1</v>
      </c>
    </row>
    <row r="272" spans="2:15" s="28" customFormat="1" ht="16.5" customHeight="1">
      <c r="B272" s="20"/>
      <c r="C272" s="20"/>
      <c r="D272" s="254"/>
      <c r="E272" s="379">
        <v>139061</v>
      </c>
      <c r="F272" s="395" t="s">
        <v>242</v>
      </c>
      <c r="G272" s="396"/>
      <c r="H272" s="397"/>
      <c r="I272" s="383">
        <v>83600</v>
      </c>
      <c r="J272" s="398">
        <v>139061</v>
      </c>
      <c r="K272" s="399" t="s">
        <v>70</v>
      </c>
      <c r="L272" s="399" t="s">
        <v>34</v>
      </c>
      <c r="M272" s="399">
        <v>20</v>
      </c>
      <c r="N272" s="356">
        <v>82400</v>
      </c>
      <c r="O272" s="28" t="b">
        <v>1</v>
      </c>
    </row>
    <row r="273" spans="2:15" s="28" customFormat="1" ht="16.5" customHeight="1">
      <c r="B273" s="20"/>
      <c r="C273" s="20"/>
      <c r="D273" s="254"/>
      <c r="E273" s="379">
        <v>139062</v>
      </c>
      <c r="F273" s="395" t="s">
        <v>586</v>
      </c>
      <c r="G273" s="396"/>
      <c r="H273" s="397"/>
      <c r="I273" s="383">
        <v>687000</v>
      </c>
      <c r="J273" s="398">
        <v>139062</v>
      </c>
      <c r="K273" s="399" t="s">
        <v>71</v>
      </c>
      <c r="L273" s="399" t="s">
        <v>34</v>
      </c>
      <c r="M273" s="399">
        <v>200</v>
      </c>
      <c r="N273" s="356">
        <v>746000</v>
      </c>
      <c r="O273" s="28" t="b">
        <v>1</v>
      </c>
    </row>
    <row r="274" spans="2:15" s="28" customFormat="1" ht="16.5" customHeight="1">
      <c r="B274" s="20"/>
      <c r="C274" s="20"/>
      <c r="D274" s="254"/>
      <c r="E274" s="379">
        <v>139063</v>
      </c>
      <c r="F274" s="395" t="s">
        <v>587</v>
      </c>
      <c r="G274" s="396"/>
      <c r="H274" s="397"/>
      <c r="I274" s="383">
        <v>670000</v>
      </c>
      <c r="J274" s="398">
        <v>139063</v>
      </c>
      <c r="K274" s="399" t="s">
        <v>71</v>
      </c>
      <c r="L274" s="399" t="s">
        <v>34</v>
      </c>
      <c r="M274" s="399">
        <v>200</v>
      </c>
      <c r="N274" s="356">
        <v>575000</v>
      </c>
      <c r="O274" s="28" t="b">
        <v>1</v>
      </c>
    </row>
    <row r="275" spans="2:15" s="28" customFormat="1" ht="16.5" customHeight="1">
      <c r="B275" s="20"/>
      <c r="C275" s="20"/>
      <c r="D275" s="254"/>
      <c r="E275" s="379">
        <v>139064</v>
      </c>
      <c r="F275" s="395" t="s">
        <v>233</v>
      </c>
      <c r="G275" s="396"/>
      <c r="H275" s="397"/>
      <c r="I275" s="383">
        <v>66400</v>
      </c>
      <c r="J275" s="398">
        <v>139064</v>
      </c>
      <c r="K275" s="399" t="s">
        <v>70</v>
      </c>
      <c r="L275" s="399" t="s">
        <v>34</v>
      </c>
      <c r="M275" s="399">
        <v>20</v>
      </c>
      <c r="N275" s="356">
        <v>61300</v>
      </c>
      <c r="O275" s="28" t="b">
        <v>1</v>
      </c>
    </row>
    <row r="276" spans="2:15" s="28" customFormat="1" ht="16.5" customHeight="1">
      <c r="B276" s="20"/>
      <c r="C276" s="20"/>
      <c r="D276" s="254"/>
      <c r="E276" s="379">
        <v>139065</v>
      </c>
      <c r="F276" s="395" t="s">
        <v>588</v>
      </c>
      <c r="G276" s="396"/>
      <c r="H276" s="397"/>
      <c r="I276" s="383">
        <v>685000</v>
      </c>
      <c r="J276" s="398">
        <v>139065</v>
      </c>
      <c r="K276" s="399" t="s">
        <v>71</v>
      </c>
      <c r="L276" s="399" t="s">
        <v>34</v>
      </c>
      <c r="M276" s="399">
        <v>200</v>
      </c>
      <c r="N276" s="356">
        <v>575000</v>
      </c>
      <c r="O276" s="28" t="b">
        <v>1</v>
      </c>
    </row>
    <row r="277" spans="2:15" s="28" customFormat="1" ht="16.5" customHeight="1">
      <c r="B277" s="20"/>
      <c r="C277" s="20"/>
      <c r="D277" s="254"/>
      <c r="E277" s="379">
        <v>139066</v>
      </c>
      <c r="F277" s="395" t="s">
        <v>332</v>
      </c>
      <c r="G277" s="396"/>
      <c r="H277" s="397"/>
      <c r="I277" s="383">
        <v>69100</v>
      </c>
      <c r="J277" s="398">
        <v>139066</v>
      </c>
      <c r="K277" s="399" t="s">
        <v>70</v>
      </c>
      <c r="L277" s="399" t="s">
        <v>34</v>
      </c>
      <c r="M277" s="399">
        <v>20</v>
      </c>
      <c r="N277" s="356">
        <v>100000</v>
      </c>
      <c r="O277" s="28" t="b">
        <v>1</v>
      </c>
    </row>
    <row r="278" spans="2:15" s="28" customFormat="1" ht="16.5" customHeight="1">
      <c r="B278" s="20"/>
      <c r="C278" s="20"/>
      <c r="D278" s="254"/>
      <c r="E278" s="379">
        <v>139067</v>
      </c>
      <c r="F278" s="395" t="s">
        <v>333</v>
      </c>
      <c r="G278" s="396"/>
      <c r="H278" s="397"/>
      <c r="I278" s="383"/>
      <c r="J278" s="398">
        <v>139067</v>
      </c>
      <c r="K278" s="399" t="s">
        <v>70</v>
      </c>
      <c r="L278" s="399" t="s">
        <v>34</v>
      </c>
      <c r="M278" s="399">
        <v>18.899999999999999</v>
      </c>
      <c r="N278" s="356">
        <v>960000</v>
      </c>
      <c r="O278" s="28" t="b">
        <v>1</v>
      </c>
    </row>
    <row r="279" spans="2:15" s="28" customFormat="1" ht="16.5" customHeight="1">
      <c r="B279" s="20"/>
      <c r="C279" s="20"/>
      <c r="D279" s="254"/>
      <c r="E279" s="379">
        <v>139068</v>
      </c>
      <c r="F279" s="395" t="s">
        <v>589</v>
      </c>
      <c r="G279" s="396"/>
      <c r="H279" s="397"/>
      <c r="I279" s="383">
        <v>4688000</v>
      </c>
      <c r="J279" s="398">
        <v>139068</v>
      </c>
      <c r="K279" s="399" t="s">
        <v>71</v>
      </c>
      <c r="L279" s="399" t="s">
        <v>34</v>
      </c>
      <c r="M279" s="399">
        <v>208</v>
      </c>
      <c r="N279" s="356">
        <v>100000</v>
      </c>
      <c r="O279" s="28" t="b">
        <v>1</v>
      </c>
    </row>
    <row r="280" spans="2:15" s="28" customFormat="1" ht="16.5" customHeight="1">
      <c r="B280" s="20"/>
      <c r="C280" s="20"/>
      <c r="D280" s="254"/>
      <c r="E280" s="379">
        <v>139069</v>
      </c>
      <c r="F280" s="395" t="s">
        <v>334</v>
      </c>
      <c r="G280" s="396"/>
      <c r="H280" s="397"/>
      <c r="I280" s="383">
        <v>296000</v>
      </c>
      <c r="J280" s="398">
        <v>139069</v>
      </c>
      <c r="K280" s="399" t="s">
        <v>70</v>
      </c>
      <c r="L280" s="399" t="s">
        <v>34</v>
      </c>
      <c r="M280" s="399">
        <v>20</v>
      </c>
      <c r="N280" s="356">
        <v>166000</v>
      </c>
      <c r="O280" s="28" t="b">
        <v>1</v>
      </c>
    </row>
    <row r="281" spans="2:15" s="28" customFormat="1" ht="16.5" customHeight="1">
      <c r="B281" s="20"/>
      <c r="C281" s="20"/>
      <c r="D281" s="254"/>
      <c r="E281" s="379">
        <v>139070</v>
      </c>
      <c r="F281" s="395" t="s">
        <v>335</v>
      </c>
      <c r="G281" s="396"/>
      <c r="H281" s="397"/>
      <c r="I281" s="383">
        <v>318000</v>
      </c>
      <c r="J281" s="398">
        <v>139070</v>
      </c>
      <c r="K281" s="399" t="s">
        <v>70</v>
      </c>
      <c r="L281" s="399" t="s">
        <v>34</v>
      </c>
      <c r="M281" s="399">
        <v>20</v>
      </c>
      <c r="N281" s="356">
        <v>146000</v>
      </c>
      <c r="O281" s="28" t="b">
        <v>1</v>
      </c>
    </row>
    <row r="282" spans="2:15" s="28" customFormat="1" ht="16.5" customHeight="1">
      <c r="B282" s="20"/>
      <c r="C282" s="20"/>
      <c r="D282" s="254"/>
      <c r="E282" s="379">
        <v>139071</v>
      </c>
      <c r="F282" s="395" t="s">
        <v>590</v>
      </c>
      <c r="G282" s="396"/>
      <c r="H282" s="397"/>
      <c r="I282" s="383">
        <v>746000</v>
      </c>
      <c r="J282" s="398">
        <v>139071</v>
      </c>
      <c r="K282" s="399" t="s">
        <v>71</v>
      </c>
      <c r="L282" s="399" t="s">
        <v>34</v>
      </c>
      <c r="M282" s="399">
        <v>200</v>
      </c>
      <c r="N282" s="356" t="e">
        <v>#N/A</v>
      </c>
      <c r="O282" s="28" t="e">
        <v>#N/A</v>
      </c>
    </row>
    <row r="283" spans="2:15" s="28" customFormat="1" ht="16.5" customHeight="1">
      <c r="B283" s="20"/>
      <c r="C283" s="20"/>
      <c r="D283" s="254"/>
      <c r="E283" s="379">
        <v>139074</v>
      </c>
      <c r="F283" s="395" t="s">
        <v>591</v>
      </c>
      <c r="G283" s="396"/>
      <c r="H283" s="397"/>
      <c r="I283" s="383">
        <v>746000</v>
      </c>
      <c r="J283" s="398">
        <v>139074</v>
      </c>
      <c r="K283" s="399" t="s">
        <v>71</v>
      </c>
      <c r="L283" s="399" t="s">
        <v>34</v>
      </c>
      <c r="M283" s="399">
        <v>200</v>
      </c>
      <c r="N283" s="356">
        <v>169000</v>
      </c>
      <c r="O283" s="28" t="b">
        <v>1</v>
      </c>
    </row>
    <row r="284" spans="2:15" s="28" customFormat="1" ht="16.5" customHeight="1">
      <c r="B284" s="20"/>
      <c r="C284" s="20"/>
      <c r="D284" s="254"/>
      <c r="E284" s="379">
        <v>139075</v>
      </c>
      <c r="F284" s="395" t="s">
        <v>592</v>
      </c>
      <c r="G284" s="396"/>
      <c r="H284" s="397"/>
      <c r="I284" s="383">
        <v>746000</v>
      </c>
      <c r="J284" s="398">
        <v>139075</v>
      </c>
      <c r="K284" s="399" t="s">
        <v>71</v>
      </c>
      <c r="L284" s="399" t="s">
        <v>34</v>
      </c>
      <c r="M284" s="399">
        <v>200</v>
      </c>
      <c r="N284" s="356" t="e">
        <v>#N/A</v>
      </c>
      <c r="O284" s="28" t="e">
        <v>#N/A</v>
      </c>
    </row>
    <row r="285" spans="2:15" s="28" customFormat="1" ht="16.5" customHeight="1">
      <c r="B285" s="20"/>
      <c r="C285" s="20"/>
      <c r="D285" s="254"/>
      <c r="E285" s="379">
        <v>135303</v>
      </c>
      <c r="F285" s="395" t="s">
        <v>336</v>
      </c>
      <c r="G285" s="396"/>
      <c r="H285" s="397"/>
      <c r="I285" s="383">
        <v>370000</v>
      </c>
      <c r="J285" s="398">
        <v>135303</v>
      </c>
      <c r="K285" s="399" t="s">
        <v>70</v>
      </c>
      <c r="L285" s="399" t="s">
        <v>34</v>
      </c>
      <c r="M285" s="399">
        <v>20</v>
      </c>
      <c r="N285" s="356">
        <v>721000</v>
      </c>
      <c r="O285" s="28" t="b">
        <v>1</v>
      </c>
    </row>
    <row r="286" spans="2:15" s="28" customFormat="1" ht="16.5" customHeight="1">
      <c r="B286" s="20"/>
      <c r="C286" s="20"/>
      <c r="D286" s="254"/>
      <c r="E286" s="379">
        <v>139080</v>
      </c>
      <c r="F286" s="395" t="s">
        <v>337</v>
      </c>
      <c r="G286" s="396"/>
      <c r="H286" s="397"/>
      <c r="I286" s="383">
        <v>300000</v>
      </c>
      <c r="J286" s="398">
        <v>139080</v>
      </c>
      <c r="K286" s="399" t="s">
        <v>70</v>
      </c>
      <c r="L286" s="399" t="s">
        <v>34</v>
      </c>
      <c r="M286" s="399">
        <v>20</v>
      </c>
      <c r="N286" s="356">
        <v>893000</v>
      </c>
      <c r="O286" s="28" t="b">
        <v>1</v>
      </c>
    </row>
    <row r="287" spans="2:15" s="28" customFormat="1" ht="16.5" customHeight="1">
      <c r="B287" s="20"/>
      <c r="C287" s="20"/>
      <c r="D287" s="254"/>
      <c r="E287" s="379">
        <v>139082</v>
      </c>
      <c r="F287" s="395" t="s">
        <v>338</v>
      </c>
      <c r="G287" s="396"/>
      <c r="H287" s="397"/>
      <c r="I287" s="383">
        <v>366000</v>
      </c>
      <c r="J287" s="398">
        <v>139082</v>
      </c>
      <c r="K287" s="399" t="s">
        <v>70</v>
      </c>
      <c r="L287" s="399" t="s">
        <v>34</v>
      </c>
      <c r="M287" s="399">
        <v>20</v>
      </c>
      <c r="N287" s="356">
        <v>691000</v>
      </c>
      <c r="O287" s="28" t="b">
        <v>1</v>
      </c>
    </row>
    <row r="288" spans="2:15" s="28" customFormat="1" ht="16.5" customHeight="1">
      <c r="B288" s="20"/>
      <c r="C288" s="20"/>
      <c r="D288" s="254"/>
      <c r="E288" s="379">
        <v>139084</v>
      </c>
      <c r="F288" s="395" t="s">
        <v>243</v>
      </c>
      <c r="G288" s="401"/>
      <c r="H288" s="402"/>
      <c r="I288" s="383">
        <v>58600</v>
      </c>
      <c r="J288" s="399">
        <v>139084</v>
      </c>
      <c r="K288" s="399" t="s">
        <v>70</v>
      </c>
      <c r="L288" s="399" t="s">
        <v>34</v>
      </c>
      <c r="M288" s="399">
        <v>20</v>
      </c>
      <c r="N288" s="356">
        <v>83600</v>
      </c>
      <c r="O288" s="28" t="b">
        <v>1</v>
      </c>
    </row>
    <row r="289" spans="2:15" s="28" customFormat="1" ht="16.5" customHeight="1">
      <c r="B289" s="20"/>
      <c r="C289" s="20"/>
      <c r="D289" s="254"/>
      <c r="E289" s="379">
        <v>139085</v>
      </c>
      <c r="F289" s="395" t="s">
        <v>593</v>
      </c>
      <c r="G289" s="401"/>
      <c r="H289" s="402"/>
      <c r="I289" s="383">
        <v>535000</v>
      </c>
      <c r="J289" s="398">
        <v>139085</v>
      </c>
      <c r="K289" s="399" t="s">
        <v>71</v>
      </c>
      <c r="L289" s="399" t="s">
        <v>34</v>
      </c>
      <c r="M289" s="399">
        <v>200</v>
      </c>
      <c r="N289" s="356">
        <v>687000</v>
      </c>
      <c r="O289" s="28" t="b">
        <v>1</v>
      </c>
    </row>
    <row r="290" spans="2:15" s="28" customFormat="1" ht="16.5" customHeight="1">
      <c r="B290" s="20"/>
      <c r="C290" s="20"/>
      <c r="D290" s="254"/>
      <c r="E290" s="379">
        <v>139086</v>
      </c>
      <c r="F290" s="395" t="s">
        <v>226</v>
      </c>
      <c r="G290" s="401"/>
      <c r="H290" s="402"/>
      <c r="I290" s="383">
        <v>54500</v>
      </c>
      <c r="J290" s="398">
        <v>139086</v>
      </c>
      <c r="K290" s="399" t="s">
        <v>70</v>
      </c>
      <c r="L290" s="399" t="s">
        <v>34</v>
      </c>
      <c r="M290" s="399">
        <v>20</v>
      </c>
      <c r="N290" s="356">
        <v>670000</v>
      </c>
      <c r="O290" s="28" t="b">
        <v>1</v>
      </c>
    </row>
    <row r="291" spans="2:15" s="28" customFormat="1" ht="16.5" customHeight="1">
      <c r="B291" s="20"/>
      <c r="C291" s="20"/>
      <c r="D291" s="254"/>
      <c r="E291" s="379">
        <v>139087</v>
      </c>
      <c r="F291" s="395" t="s">
        <v>594</v>
      </c>
      <c r="G291" s="401"/>
      <c r="H291" s="402"/>
      <c r="I291" s="383">
        <v>547000</v>
      </c>
      <c r="J291" s="398">
        <v>139087</v>
      </c>
      <c r="K291" s="399" t="s">
        <v>71</v>
      </c>
      <c r="L291" s="399" t="s">
        <v>34</v>
      </c>
      <c r="M291" s="399">
        <v>200</v>
      </c>
      <c r="N291" s="356">
        <v>66400</v>
      </c>
      <c r="O291" s="28" t="b">
        <v>1</v>
      </c>
    </row>
    <row r="292" spans="2:15" s="28" customFormat="1" ht="16.5" customHeight="1">
      <c r="B292" s="20"/>
      <c r="C292" s="20"/>
      <c r="D292" s="254"/>
      <c r="E292" s="379">
        <v>139088</v>
      </c>
      <c r="F292" s="395" t="s">
        <v>234</v>
      </c>
      <c r="G292" s="401"/>
      <c r="H292" s="402"/>
      <c r="I292" s="383">
        <v>58600</v>
      </c>
      <c r="J292" s="398">
        <v>139088</v>
      </c>
      <c r="K292" s="399" t="s">
        <v>70</v>
      </c>
      <c r="L292" s="399" t="s">
        <v>34</v>
      </c>
      <c r="M292" s="399">
        <v>20</v>
      </c>
      <c r="N292" s="356">
        <v>685000</v>
      </c>
      <c r="O292" s="28" t="b">
        <v>1</v>
      </c>
    </row>
    <row r="293" spans="2:15" s="28" customFormat="1" ht="16.5" customHeight="1">
      <c r="B293" s="20"/>
      <c r="C293" s="20"/>
      <c r="D293" s="254"/>
      <c r="E293" s="379">
        <v>139089</v>
      </c>
      <c r="F293" s="395" t="s">
        <v>595</v>
      </c>
      <c r="G293" s="401"/>
      <c r="H293" s="402"/>
      <c r="I293" s="383">
        <v>663000</v>
      </c>
      <c r="J293" s="398">
        <v>139089</v>
      </c>
      <c r="K293" s="399" t="s">
        <v>71</v>
      </c>
      <c r="L293" s="399" t="s">
        <v>34</v>
      </c>
      <c r="M293" s="399">
        <v>200</v>
      </c>
      <c r="N293" s="356">
        <v>69100</v>
      </c>
      <c r="O293" s="28" t="b">
        <v>1</v>
      </c>
    </row>
    <row r="294" spans="2:15" s="28" customFormat="1" ht="16.5" customHeight="1">
      <c r="B294" s="20"/>
      <c r="C294" s="20"/>
      <c r="D294" s="254"/>
      <c r="E294" s="379">
        <v>139090</v>
      </c>
      <c r="F294" s="395" t="s">
        <v>596</v>
      </c>
      <c r="G294" s="396"/>
      <c r="H294" s="397"/>
      <c r="I294" s="383">
        <v>626000</v>
      </c>
      <c r="J294" s="398">
        <v>139090</v>
      </c>
      <c r="K294" s="399" t="s">
        <v>71</v>
      </c>
      <c r="L294" s="399" t="s">
        <v>34</v>
      </c>
      <c r="M294" s="399">
        <v>200</v>
      </c>
      <c r="N294" s="356" t="e">
        <v>#N/A</v>
      </c>
      <c r="O294" s="28" t="e">
        <v>#N/A</v>
      </c>
    </row>
    <row r="295" spans="2:15" s="28" customFormat="1" ht="16.5" customHeight="1">
      <c r="B295" s="20"/>
      <c r="C295" s="20"/>
      <c r="D295" s="254"/>
      <c r="E295" s="379">
        <v>139091</v>
      </c>
      <c r="F295" s="395" t="s">
        <v>597</v>
      </c>
      <c r="G295" s="401"/>
      <c r="H295" s="402"/>
      <c r="I295" s="383">
        <v>508000</v>
      </c>
      <c r="J295" s="399">
        <v>139091</v>
      </c>
      <c r="K295" s="399" t="s">
        <v>71</v>
      </c>
      <c r="L295" s="399" t="s">
        <v>34</v>
      </c>
      <c r="M295" s="399">
        <v>200</v>
      </c>
      <c r="N295" s="356">
        <v>4688000</v>
      </c>
      <c r="O295" s="28" t="b">
        <v>1</v>
      </c>
    </row>
    <row r="296" spans="2:15" s="28" customFormat="1" ht="16.5" customHeight="1">
      <c r="B296" s="20"/>
      <c r="C296" s="20"/>
      <c r="D296" s="254"/>
      <c r="E296" s="379">
        <v>139092</v>
      </c>
      <c r="F296" s="395" t="s">
        <v>598</v>
      </c>
      <c r="G296" s="401"/>
      <c r="H296" s="402"/>
      <c r="I296" s="383">
        <v>907000</v>
      </c>
      <c r="J296" s="398">
        <v>139092</v>
      </c>
      <c r="K296" s="399" t="s">
        <v>71</v>
      </c>
      <c r="L296" s="399" t="s">
        <v>34</v>
      </c>
      <c r="M296" s="399">
        <v>200</v>
      </c>
      <c r="N296" s="356">
        <v>296000</v>
      </c>
      <c r="O296" s="28" t="b">
        <v>1</v>
      </c>
    </row>
    <row r="297" spans="2:15" s="28" customFormat="1" ht="16.5" customHeight="1">
      <c r="B297" s="20"/>
      <c r="C297" s="20"/>
      <c r="D297" s="254"/>
      <c r="E297" s="379">
        <v>139094</v>
      </c>
      <c r="F297" s="395" t="s">
        <v>599</v>
      </c>
      <c r="G297" s="401"/>
      <c r="H297" s="402"/>
      <c r="I297" s="383">
        <v>781000</v>
      </c>
      <c r="J297" s="398">
        <v>139094</v>
      </c>
      <c r="K297" s="399" t="s">
        <v>71</v>
      </c>
      <c r="L297" s="399" t="s">
        <v>34</v>
      </c>
      <c r="M297" s="399">
        <v>200</v>
      </c>
      <c r="N297" s="356">
        <v>318000</v>
      </c>
      <c r="O297" s="28" t="b">
        <v>1</v>
      </c>
    </row>
    <row r="298" spans="2:15" s="28" customFormat="1" ht="16.5" customHeight="1">
      <c r="B298" s="20"/>
      <c r="C298" s="20"/>
      <c r="D298" s="254"/>
      <c r="E298" s="379">
        <v>139095</v>
      </c>
      <c r="F298" s="395" t="s">
        <v>600</v>
      </c>
      <c r="G298" s="401"/>
      <c r="H298" s="402"/>
      <c r="I298" s="383">
        <v>843000</v>
      </c>
      <c r="J298" s="398">
        <v>139095</v>
      </c>
      <c r="K298" s="399" t="s">
        <v>71</v>
      </c>
      <c r="L298" s="399" t="s">
        <v>34</v>
      </c>
      <c r="M298" s="399">
        <v>200</v>
      </c>
      <c r="N298" s="356">
        <v>746000</v>
      </c>
      <c r="O298" s="28" t="b">
        <v>1</v>
      </c>
    </row>
    <row r="299" spans="2:15" s="28" customFormat="1" ht="16.5" customHeight="1">
      <c r="B299" s="20"/>
      <c r="C299" s="20"/>
      <c r="D299" s="254"/>
      <c r="E299" s="379">
        <v>139096</v>
      </c>
      <c r="F299" s="395" t="s">
        <v>339</v>
      </c>
      <c r="G299" s="401"/>
      <c r="H299" s="402"/>
      <c r="I299" s="383">
        <v>89700</v>
      </c>
      <c r="J299" s="398">
        <v>139096</v>
      </c>
      <c r="K299" s="399" t="s">
        <v>70</v>
      </c>
      <c r="L299" s="399" t="s">
        <v>34</v>
      </c>
      <c r="M299" s="399">
        <v>20</v>
      </c>
      <c r="N299" s="356">
        <v>746000</v>
      </c>
      <c r="O299" s="28" t="b">
        <v>1</v>
      </c>
    </row>
    <row r="300" spans="2:15" s="28" customFormat="1" ht="16.5" customHeight="1">
      <c r="B300" s="20"/>
      <c r="C300" s="20"/>
      <c r="D300" s="254"/>
      <c r="E300" s="379">
        <v>139097</v>
      </c>
      <c r="F300" s="395" t="s">
        <v>601</v>
      </c>
      <c r="G300" s="401"/>
      <c r="H300" s="402"/>
      <c r="I300" s="383">
        <v>987000</v>
      </c>
      <c r="J300" s="398">
        <v>139097</v>
      </c>
      <c r="K300" s="399" t="s">
        <v>71</v>
      </c>
      <c r="L300" s="399" t="s">
        <v>34</v>
      </c>
      <c r="M300" s="399">
        <v>200</v>
      </c>
      <c r="N300" s="356">
        <v>746000</v>
      </c>
      <c r="O300" s="28" t="b">
        <v>1</v>
      </c>
    </row>
    <row r="301" spans="2:15" s="28" customFormat="1" ht="16.5" customHeight="1">
      <c r="B301" s="20"/>
      <c r="C301" s="20"/>
      <c r="D301" s="254"/>
      <c r="E301" s="379">
        <v>139099</v>
      </c>
      <c r="F301" s="395" t="s">
        <v>602</v>
      </c>
      <c r="G301" s="396"/>
      <c r="H301" s="397"/>
      <c r="I301" s="383">
        <v>637000</v>
      </c>
      <c r="J301" s="398">
        <v>139099</v>
      </c>
      <c r="K301" s="399" t="s">
        <v>71</v>
      </c>
      <c r="L301" s="399" t="s">
        <v>34</v>
      </c>
      <c r="M301" s="399">
        <v>200</v>
      </c>
      <c r="N301" s="356">
        <v>370000</v>
      </c>
      <c r="O301" s="28" t="b">
        <v>1</v>
      </c>
    </row>
    <row r="302" spans="2:15" s="28" customFormat="1" ht="16.5" customHeight="1">
      <c r="B302" s="20"/>
      <c r="C302" s="20"/>
      <c r="D302" s="254"/>
      <c r="E302" s="379">
        <v>139101</v>
      </c>
      <c r="F302" s="395" t="s">
        <v>603</v>
      </c>
      <c r="G302" s="396"/>
      <c r="H302" s="397"/>
      <c r="I302" s="383">
        <v>616000</v>
      </c>
      <c r="J302" s="398">
        <v>139101</v>
      </c>
      <c r="K302" s="399" t="s">
        <v>71</v>
      </c>
      <c r="L302" s="399" t="s">
        <v>34</v>
      </c>
      <c r="M302" s="399">
        <v>200</v>
      </c>
      <c r="N302" s="356">
        <v>300000</v>
      </c>
      <c r="O302" s="28" t="b">
        <v>1</v>
      </c>
    </row>
    <row r="303" spans="2:15" s="28" customFormat="1" ht="16.5" customHeight="1">
      <c r="B303" s="20"/>
      <c r="C303" s="20"/>
      <c r="D303" s="254"/>
      <c r="E303" s="379">
        <v>139103</v>
      </c>
      <c r="F303" s="395" t="s">
        <v>604</v>
      </c>
      <c r="G303" s="396"/>
      <c r="H303" s="397"/>
      <c r="I303" s="383">
        <v>564000</v>
      </c>
      <c r="J303" s="398">
        <v>139103</v>
      </c>
      <c r="K303" s="399" t="s">
        <v>71</v>
      </c>
      <c r="L303" s="399" t="s">
        <v>34</v>
      </c>
      <c r="M303" s="399">
        <v>200</v>
      </c>
      <c r="N303" s="356">
        <v>366000</v>
      </c>
      <c r="O303" s="28" t="b">
        <v>1</v>
      </c>
    </row>
    <row r="304" spans="2:15" s="28" customFormat="1" ht="16.5" customHeight="1">
      <c r="B304" s="20"/>
      <c r="C304" s="20"/>
      <c r="D304" s="254"/>
      <c r="E304" s="379">
        <v>139105</v>
      </c>
      <c r="F304" s="395" t="s">
        <v>605</v>
      </c>
      <c r="G304" s="396"/>
      <c r="H304" s="397"/>
      <c r="I304" s="383">
        <v>628000</v>
      </c>
      <c r="J304" s="398">
        <v>139105</v>
      </c>
      <c r="K304" s="399" t="s">
        <v>71</v>
      </c>
      <c r="L304" s="399" t="s">
        <v>34</v>
      </c>
      <c r="M304" s="399">
        <v>200</v>
      </c>
      <c r="N304" s="356">
        <v>58600</v>
      </c>
      <c r="O304" s="28" t="b">
        <v>1</v>
      </c>
    </row>
    <row r="305" spans="2:15" s="28" customFormat="1" ht="16.5" customHeight="1">
      <c r="B305" s="20"/>
      <c r="C305" s="20"/>
      <c r="D305" s="254"/>
      <c r="E305" s="379">
        <v>139106</v>
      </c>
      <c r="F305" s="395" t="s">
        <v>340</v>
      </c>
      <c r="G305" s="396"/>
      <c r="H305" s="397"/>
      <c r="I305" s="383">
        <v>76400</v>
      </c>
      <c r="J305" s="398">
        <v>139106</v>
      </c>
      <c r="K305" s="399" t="s">
        <v>70</v>
      </c>
      <c r="L305" s="399" t="s">
        <v>34</v>
      </c>
      <c r="M305" s="399">
        <v>20</v>
      </c>
      <c r="N305" s="356">
        <v>535000</v>
      </c>
      <c r="O305" s="28" t="b">
        <v>1</v>
      </c>
    </row>
    <row r="306" spans="2:15" s="28" customFormat="1" ht="16.5" customHeight="1">
      <c r="B306" s="20"/>
      <c r="C306" s="20"/>
      <c r="D306" s="254"/>
      <c r="E306" s="379">
        <v>139107</v>
      </c>
      <c r="F306" s="395" t="s">
        <v>606</v>
      </c>
      <c r="G306" s="396"/>
      <c r="H306" s="397"/>
      <c r="I306" s="383">
        <v>630000</v>
      </c>
      <c r="J306" s="398">
        <v>139107</v>
      </c>
      <c r="K306" s="399" t="s">
        <v>71</v>
      </c>
      <c r="L306" s="399" t="s">
        <v>34</v>
      </c>
      <c r="M306" s="399">
        <v>200</v>
      </c>
      <c r="N306" s="356">
        <v>54500</v>
      </c>
      <c r="O306" s="28" t="b">
        <v>1</v>
      </c>
    </row>
    <row r="307" spans="2:15" s="28" customFormat="1" ht="16.5" customHeight="1">
      <c r="B307" s="20"/>
      <c r="C307" s="20"/>
      <c r="D307" s="254"/>
      <c r="E307" s="379">
        <v>139108</v>
      </c>
      <c r="F307" s="395" t="s">
        <v>341</v>
      </c>
      <c r="G307" s="396"/>
      <c r="H307" s="397"/>
      <c r="I307" s="383" t="e">
        <v>#N/A</v>
      </c>
      <c r="J307" s="398">
        <v>139108</v>
      </c>
      <c r="K307" s="399" t="s">
        <v>70</v>
      </c>
      <c r="L307" s="399" t="s">
        <v>34</v>
      </c>
      <c r="M307" s="399">
        <v>20</v>
      </c>
      <c r="N307" s="356">
        <v>547000</v>
      </c>
      <c r="O307" s="28" t="b">
        <v>1</v>
      </c>
    </row>
    <row r="308" spans="2:15" s="28" customFormat="1" ht="16.5" customHeight="1">
      <c r="B308" s="20"/>
      <c r="C308" s="20"/>
      <c r="D308" s="254"/>
      <c r="E308" s="379">
        <v>139109</v>
      </c>
      <c r="F308" s="395" t="s">
        <v>607</v>
      </c>
      <c r="G308" s="396"/>
      <c r="H308" s="397"/>
      <c r="I308" s="383">
        <v>593000</v>
      </c>
      <c r="J308" s="398">
        <v>139109</v>
      </c>
      <c r="K308" s="399" t="s">
        <v>71</v>
      </c>
      <c r="L308" s="399" t="s">
        <v>34</v>
      </c>
      <c r="M308" s="399">
        <v>200</v>
      </c>
      <c r="N308" s="356">
        <v>58600</v>
      </c>
      <c r="O308" s="28" t="b">
        <v>1</v>
      </c>
    </row>
    <row r="309" spans="2:15" s="28" customFormat="1" ht="16.5" customHeight="1">
      <c r="B309" s="20"/>
      <c r="C309" s="20"/>
      <c r="D309" s="254"/>
      <c r="E309" s="379">
        <v>139110</v>
      </c>
      <c r="F309" s="395" t="s">
        <v>342</v>
      </c>
      <c r="G309" s="396"/>
      <c r="H309" s="397"/>
      <c r="I309" s="383">
        <v>72300</v>
      </c>
      <c r="J309" s="398">
        <v>139110</v>
      </c>
      <c r="K309" s="399" t="s">
        <v>70</v>
      </c>
      <c r="L309" s="399" t="s">
        <v>34</v>
      </c>
      <c r="M309" s="399">
        <v>20</v>
      </c>
      <c r="N309" s="356">
        <v>663000</v>
      </c>
      <c r="O309" s="28" t="b">
        <v>1</v>
      </c>
    </row>
    <row r="310" spans="2:15" s="28" customFormat="1" ht="16.5" customHeight="1">
      <c r="B310" s="20"/>
      <c r="C310" s="20"/>
      <c r="D310" s="254"/>
      <c r="E310" s="379">
        <v>139111</v>
      </c>
      <c r="F310" s="395" t="s">
        <v>608</v>
      </c>
      <c r="G310" s="396"/>
      <c r="H310" s="397"/>
      <c r="I310" s="383">
        <v>654000</v>
      </c>
      <c r="J310" s="398">
        <v>139111</v>
      </c>
      <c r="K310" s="399" t="s">
        <v>71</v>
      </c>
      <c r="L310" s="399" t="s">
        <v>34</v>
      </c>
      <c r="M310" s="399">
        <v>200</v>
      </c>
      <c r="N310" s="356">
        <v>626000</v>
      </c>
      <c r="O310" s="28" t="b">
        <v>1</v>
      </c>
    </row>
    <row r="311" spans="2:15" s="28" customFormat="1" ht="16.5" customHeight="1">
      <c r="B311" s="20"/>
      <c r="C311" s="20"/>
      <c r="D311" s="254"/>
      <c r="E311" s="379">
        <v>139112</v>
      </c>
      <c r="F311" s="395" t="s">
        <v>343</v>
      </c>
      <c r="G311" s="396"/>
      <c r="H311" s="397"/>
      <c r="I311" s="383">
        <v>465000</v>
      </c>
      <c r="J311" s="398">
        <v>139112</v>
      </c>
      <c r="K311" s="399" t="s">
        <v>70</v>
      </c>
      <c r="L311" s="399" t="s">
        <v>34</v>
      </c>
      <c r="M311" s="399">
        <v>20</v>
      </c>
      <c r="N311" s="356">
        <v>508000</v>
      </c>
      <c r="O311" s="28" t="b">
        <v>1</v>
      </c>
    </row>
    <row r="312" spans="2:15" s="28" customFormat="1" ht="16.5" customHeight="1">
      <c r="B312" s="20"/>
      <c r="C312" s="20"/>
      <c r="D312" s="254"/>
      <c r="E312" s="379">
        <v>139113</v>
      </c>
      <c r="F312" s="395" t="s">
        <v>344</v>
      </c>
      <c r="G312" s="396"/>
      <c r="H312" s="397"/>
      <c r="I312" s="383">
        <v>364000</v>
      </c>
      <c r="J312" s="398">
        <v>139113</v>
      </c>
      <c r="K312" s="399" t="s">
        <v>70</v>
      </c>
      <c r="L312" s="399" t="s">
        <v>34</v>
      </c>
      <c r="M312" s="399">
        <v>20</v>
      </c>
      <c r="N312" s="356">
        <v>907000</v>
      </c>
      <c r="O312" s="28" t="b">
        <v>1</v>
      </c>
    </row>
    <row r="313" spans="2:15" s="28" customFormat="1" ht="16.5" customHeight="1">
      <c r="B313" s="20"/>
      <c r="C313" s="20"/>
      <c r="D313" s="254"/>
      <c r="E313" s="379">
        <v>139118</v>
      </c>
      <c r="F313" s="395" t="s">
        <v>609</v>
      </c>
      <c r="G313" s="396"/>
      <c r="H313" s="397"/>
      <c r="I313" s="383">
        <v>952000</v>
      </c>
      <c r="J313" s="398">
        <v>139118</v>
      </c>
      <c r="K313" s="399" t="s">
        <v>71</v>
      </c>
      <c r="L313" s="399" t="s">
        <v>34</v>
      </c>
      <c r="M313" s="399">
        <v>200</v>
      </c>
      <c r="N313" s="356">
        <v>781000</v>
      </c>
      <c r="O313" s="28" t="b">
        <v>1</v>
      </c>
    </row>
    <row r="314" spans="2:15" s="28" customFormat="1" ht="16.5" customHeight="1">
      <c r="B314" s="20"/>
      <c r="C314" s="20"/>
      <c r="D314" s="254"/>
      <c r="E314" s="379">
        <v>139121</v>
      </c>
      <c r="F314" s="395" t="s">
        <v>610</v>
      </c>
      <c r="G314" s="396"/>
      <c r="H314" s="397"/>
      <c r="I314" s="383">
        <v>952000</v>
      </c>
      <c r="J314" s="398">
        <v>139121</v>
      </c>
      <c r="K314" s="399" t="s">
        <v>71</v>
      </c>
      <c r="L314" s="399" t="s">
        <v>34</v>
      </c>
      <c r="M314" s="399">
        <v>200</v>
      </c>
      <c r="N314" s="356">
        <v>843000</v>
      </c>
      <c r="O314" s="28" t="b">
        <v>1</v>
      </c>
    </row>
    <row r="315" spans="2:15" s="28" customFormat="1" ht="16.5" customHeight="1">
      <c r="B315" s="20"/>
      <c r="C315" s="20"/>
      <c r="D315" s="254"/>
      <c r="E315" s="379">
        <v>139123</v>
      </c>
      <c r="F315" s="395" t="s">
        <v>611</v>
      </c>
      <c r="G315" s="396"/>
      <c r="H315" s="397"/>
      <c r="I315" s="383">
        <v>952000</v>
      </c>
      <c r="J315" s="398">
        <v>139123</v>
      </c>
      <c r="K315" s="399" t="s">
        <v>71</v>
      </c>
      <c r="L315" s="399" t="s">
        <v>34</v>
      </c>
      <c r="M315" s="399">
        <v>200</v>
      </c>
      <c r="N315" s="356">
        <v>89700</v>
      </c>
      <c r="O315" s="28" t="b">
        <v>1</v>
      </c>
    </row>
    <row r="316" spans="2:15" s="28" customFormat="1" ht="16.5" customHeight="1">
      <c r="B316" s="20"/>
      <c r="C316" s="20"/>
      <c r="D316" s="254"/>
      <c r="E316" s="379">
        <v>139125</v>
      </c>
      <c r="F316" s="395" t="s">
        <v>612</v>
      </c>
      <c r="G316" s="396"/>
      <c r="H316" s="397"/>
      <c r="I316" s="383">
        <v>618000</v>
      </c>
      <c r="J316" s="398">
        <v>139125</v>
      </c>
      <c r="K316" s="399" t="s">
        <v>71</v>
      </c>
      <c r="L316" s="399" t="s">
        <v>34</v>
      </c>
      <c r="M316" s="399">
        <v>200</v>
      </c>
      <c r="N316" s="356">
        <v>987000</v>
      </c>
      <c r="O316" s="28" t="b">
        <v>1</v>
      </c>
    </row>
    <row r="317" spans="2:15" s="28" customFormat="1" ht="16.5" customHeight="1">
      <c r="B317" s="20"/>
      <c r="C317" s="20"/>
      <c r="D317" s="254"/>
      <c r="E317" s="379">
        <v>139127</v>
      </c>
      <c r="F317" s="395" t="s">
        <v>244</v>
      </c>
      <c r="G317" s="396"/>
      <c r="H317" s="397"/>
      <c r="I317" s="383">
        <v>71000</v>
      </c>
      <c r="J317" s="398">
        <v>139127</v>
      </c>
      <c r="K317" s="399" t="s">
        <v>70</v>
      </c>
      <c r="L317" s="399" t="s">
        <v>34</v>
      </c>
      <c r="M317" s="399">
        <v>20</v>
      </c>
      <c r="N317" s="356">
        <v>637000</v>
      </c>
      <c r="O317" s="28" t="b">
        <v>1</v>
      </c>
    </row>
    <row r="318" spans="2:15" s="28" customFormat="1" ht="16.5" customHeight="1">
      <c r="B318" s="20"/>
      <c r="C318" s="20"/>
      <c r="D318" s="254"/>
      <c r="E318" s="379">
        <v>139128</v>
      </c>
      <c r="F318" s="395" t="s">
        <v>613</v>
      </c>
      <c r="G318" s="396"/>
      <c r="H318" s="397"/>
      <c r="I318" s="383">
        <v>607000</v>
      </c>
      <c r="J318" s="398">
        <v>139128</v>
      </c>
      <c r="K318" s="399" t="s">
        <v>71</v>
      </c>
      <c r="L318" s="399" t="s">
        <v>34</v>
      </c>
      <c r="M318" s="399">
        <v>200</v>
      </c>
      <c r="N318" s="356">
        <v>616000</v>
      </c>
      <c r="O318" s="28" t="b">
        <v>1</v>
      </c>
    </row>
    <row r="319" spans="2:15" s="28" customFormat="1" ht="16.5" customHeight="1">
      <c r="B319" s="20"/>
      <c r="C319" s="20"/>
      <c r="D319" s="254"/>
      <c r="E319" s="379">
        <v>139129</v>
      </c>
      <c r="F319" s="395" t="s">
        <v>245</v>
      </c>
      <c r="G319" s="396"/>
      <c r="H319" s="397"/>
      <c r="I319" s="383">
        <v>69800</v>
      </c>
      <c r="J319" s="398">
        <v>139129</v>
      </c>
      <c r="K319" s="399" t="s">
        <v>70</v>
      </c>
      <c r="L319" s="399" t="s">
        <v>34</v>
      </c>
      <c r="M319" s="399">
        <v>20</v>
      </c>
      <c r="N319" s="356">
        <v>564000</v>
      </c>
      <c r="O319" s="28" t="b">
        <v>1</v>
      </c>
    </row>
    <row r="320" spans="2:15" s="28" customFormat="1" ht="16.5" customHeight="1">
      <c r="B320" s="20"/>
      <c r="C320" s="20"/>
      <c r="D320" s="254"/>
      <c r="E320" s="379">
        <v>139130</v>
      </c>
      <c r="F320" s="395" t="s">
        <v>614</v>
      </c>
      <c r="G320" s="396"/>
      <c r="H320" s="397"/>
      <c r="I320" s="383">
        <v>623000</v>
      </c>
      <c r="J320" s="398">
        <v>139130</v>
      </c>
      <c r="K320" s="399" t="s">
        <v>71</v>
      </c>
      <c r="L320" s="399" t="s">
        <v>34</v>
      </c>
      <c r="M320" s="399">
        <v>200</v>
      </c>
      <c r="N320" s="356">
        <v>628000</v>
      </c>
      <c r="O320" s="28" t="b">
        <v>1</v>
      </c>
    </row>
    <row r="321" spans="2:15" s="28" customFormat="1" ht="16.5" customHeight="1">
      <c r="B321" s="20"/>
      <c r="C321" s="20"/>
      <c r="D321" s="254"/>
      <c r="E321" s="379">
        <v>139131</v>
      </c>
      <c r="F321" s="395" t="s">
        <v>237</v>
      </c>
      <c r="G321" s="396"/>
      <c r="H321" s="397"/>
      <c r="I321" s="383">
        <v>74600</v>
      </c>
      <c r="J321" s="398">
        <v>139131</v>
      </c>
      <c r="K321" s="399" t="s">
        <v>70</v>
      </c>
      <c r="L321" s="399" t="s">
        <v>34</v>
      </c>
      <c r="M321" s="399">
        <v>20</v>
      </c>
      <c r="N321" s="356">
        <v>76400</v>
      </c>
      <c r="O321" s="28" t="b">
        <v>1</v>
      </c>
    </row>
    <row r="322" spans="2:15" s="28" customFormat="1" ht="16.5" customHeight="1">
      <c r="B322" s="20"/>
      <c r="C322" s="20"/>
      <c r="D322" s="254"/>
      <c r="E322" s="379">
        <v>139132</v>
      </c>
      <c r="F322" s="395" t="s">
        <v>615</v>
      </c>
      <c r="G322" s="396"/>
      <c r="H322" s="397"/>
      <c r="I322" s="383">
        <v>623000</v>
      </c>
      <c r="J322" s="398">
        <v>139132</v>
      </c>
      <c r="K322" s="399" t="s">
        <v>71</v>
      </c>
      <c r="L322" s="399" t="s">
        <v>34</v>
      </c>
      <c r="M322" s="399">
        <v>200</v>
      </c>
      <c r="N322" s="356">
        <v>630000</v>
      </c>
      <c r="O322" s="28" t="b">
        <v>1</v>
      </c>
    </row>
    <row r="323" spans="2:15" s="28" customFormat="1" ht="16.5" customHeight="1">
      <c r="B323" s="20"/>
      <c r="C323" s="20"/>
      <c r="D323" s="254"/>
      <c r="E323" s="379">
        <v>139134</v>
      </c>
      <c r="F323" s="395" t="s">
        <v>227</v>
      </c>
      <c r="G323" s="396"/>
      <c r="H323" s="397"/>
      <c r="I323" s="383">
        <v>70900</v>
      </c>
      <c r="J323" s="398">
        <v>139134</v>
      </c>
      <c r="K323" s="399" t="s">
        <v>70</v>
      </c>
      <c r="L323" s="399" t="s">
        <v>34</v>
      </c>
      <c r="M323" s="399">
        <v>20</v>
      </c>
      <c r="N323" s="356" t="e">
        <v>#N/A</v>
      </c>
      <c r="O323" s="28" t="e">
        <v>#N/A</v>
      </c>
    </row>
    <row r="324" spans="2:15" s="28" customFormat="1" ht="16.5" customHeight="1">
      <c r="B324" s="20"/>
      <c r="C324" s="20"/>
      <c r="D324" s="254"/>
      <c r="E324" s="379">
        <v>139135</v>
      </c>
      <c r="F324" s="395" t="s">
        <v>616</v>
      </c>
      <c r="G324" s="396"/>
      <c r="H324" s="397"/>
      <c r="I324" s="383">
        <v>641000</v>
      </c>
      <c r="J324" s="398">
        <v>139135</v>
      </c>
      <c r="K324" s="399" t="s">
        <v>71</v>
      </c>
      <c r="L324" s="399" t="s">
        <v>34</v>
      </c>
      <c r="M324" s="399">
        <v>200</v>
      </c>
      <c r="N324" s="356">
        <v>593000</v>
      </c>
      <c r="O324" s="28" t="b">
        <v>1</v>
      </c>
    </row>
    <row r="325" spans="2:15" s="28" customFormat="1" ht="16.5" customHeight="1">
      <c r="B325" s="20"/>
      <c r="C325" s="20"/>
      <c r="D325" s="254"/>
      <c r="E325" s="379">
        <v>139137</v>
      </c>
      <c r="F325" s="395" t="s">
        <v>246</v>
      </c>
      <c r="G325" s="396"/>
      <c r="H325" s="397"/>
      <c r="I325" s="383">
        <v>80900</v>
      </c>
      <c r="J325" s="398">
        <v>139137</v>
      </c>
      <c r="K325" s="399" t="s">
        <v>70</v>
      </c>
      <c r="L325" s="399" t="s">
        <v>34</v>
      </c>
      <c r="M325" s="399">
        <v>20</v>
      </c>
      <c r="N325" s="356">
        <v>72300</v>
      </c>
      <c r="O325" s="28" t="b">
        <v>1</v>
      </c>
    </row>
    <row r="326" spans="2:15" s="28" customFormat="1" ht="16.5" customHeight="1">
      <c r="B326" s="20"/>
      <c r="C326" s="20"/>
      <c r="D326" s="254"/>
      <c r="E326" s="379">
        <v>139138</v>
      </c>
      <c r="F326" s="395" t="s">
        <v>617</v>
      </c>
      <c r="G326" s="396"/>
      <c r="H326" s="397"/>
      <c r="I326" s="383">
        <v>740000</v>
      </c>
      <c r="J326" s="398">
        <v>139138</v>
      </c>
      <c r="K326" s="399" t="s">
        <v>71</v>
      </c>
      <c r="L326" s="399" t="s">
        <v>34</v>
      </c>
      <c r="M326" s="399">
        <v>200</v>
      </c>
      <c r="N326" s="356">
        <v>654000</v>
      </c>
      <c r="O326" s="28" t="b">
        <v>1</v>
      </c>
    </row>
    <row r="327" spans="2:15" s="28" customFormat="1" ht="16.5" customHeight="1">
      <c r="B327" s="20"/>
      <c r="C327" s="20"/>
      <c r="D327" s="254"/>
      <c r="E327" s="379">
        <v>139139</v>
      </c>
      <c r="F327" s="395" t="s">
        <v>247</v>
      </c>
      <c r="G327" s="396"/>
      <c r="H327" s="397"/>
      <c r="I327" s="383">
        <v>80900</v>
      </c>
      <c r="J327" s="398">
        <v>139139</v>
      </c>
      <c r="K327" s="399" t="s">
        <v>70</v>
      </c>
      <c r="L327" s="399" t="s">
        <v>34</v>
      </c>
      <c r="M327" s="399">
        <v>20</v>
      </c>
      <c r="N327" s="356">
        <v>465000</v>
      </c>
      <c r="O327" s="28" t="b">
        <v>1</v>
      </c>
    </row>
    <row r="328" spans="2:15" s="28" customFormat="1" ht="16.5" customHeight="1">
      <c r="B328" s="20"/>
      <c r="C328" s="20"/>
      <c r="D328" s="254"/>
      <c r="E328" s="379">
        <v>139140</v>
      </c>
      <c r="F328" s="395" t="s">
        <v>618</v>
      </c>
      <c r="G328" s="396"/>
      <c r="H328" s="397"/>
      <c r="I328" s="383">
        <v>750000</v>
      </c>
      <c r="J328" s="398">
        <v>139140</v>
      </c>
      <c r="K328" s="399" t="s">
        <v>71</v>
      </c>
      <c r="L328" s="399" t="s">
        <v>34</v>
      </c>
      <c r="M328" s="399">
        <v>200</v>
      </c>
      <c r="N328" s="356">
        <v>364000</v>
      </c>
      <c r="O328" s="28" t="b">
        <v>1</v>
      </c>
    </row>
    <row r="329" spans="2:15" s="28" customFormat="1" ht="16.5" customHeight="1">
      <c r="B329" s="20"/>
      <c r="C329" s="20"/>
      <c r="D329" s="254"/>
      <c r="E329" s="379">
        <v>139141</v>
      </c>
      <c r="F329" s="395" t="s">
        <v>345</v>
      </c>
      <c r="G329" s="396"/>
      <c r="H329" s="397"/>
      <c r="I329" s="383">
        <v>87100</v>
      </c>
      <c r="J329" s="398">
        <v>139141</v>
      </c>
      <c r="K329" s="399" t="s">
        <v>70</v>
      </c>
      <c r="L329" s="399" t="s">
        <v>34</v>
      </c>
      <c r="M329" s="399">
        <v>20</v>
      </c>
      <c r="N329" s="356">
        <v>952000</v>
      </c>
      <c r="O329" s="28" t="b">
        <v>1</v>
      </c>
    </row>
    <row r="330" spans="2:15" s="28" customFormat="1" ht="16.5" customHeight="1">
      <c r="B330" s="20"/>
      <c r="C330" s="20"/>
      <c r="D330" s="254"/>
      <c r="E330" s="379">
        <v>139142</v>
      </c>
      <c r="F330" s="395" t="s">
        <v>619</v>
      </c>
      <c r="G330" s="396"/>
      <c r="H330" s="397"/>
      <c r="I330" s="383">
        <v>423000</v>
      </c>
      <c r="J330" s="398">
        <v>139142</v>
      </c>
      <c r="K330" s="399" t="s">
        <v>71</v>
      </c>
      <c r="L330" s="399" t="s">
        <v>34</v>
      </c>
      <c r="M330" s="399">
        <v>200</v>
      </c>
      <c r="N330" s="356">
        <v>952000</v>
      </c>
      <c r="O330" s="28" t="b">
        <v>1</v>
      </c>
    </row>
    <row r="331" spans="2:15" s="28" customFormat="1" ht="16.5" customHeight="1">
      <c r="B331" s="20"/>
      <c r="C331" s="20"/>
      <c r="D331" s="254"/>
      <c r="E331" s="379">
        <v>139143</v>
      </c>
      <c r="F331" s="395" t="s">
        <v>248</v>
      </c>
      <c r="G331" s="396"/>
      <c r="H331" s="397"/>
      <c r="I331" s="383">
        <v>44000</v>
      </c>
      <c r="J331" s="398">
        <v>139143</v>
      </c>
      <c r="K331" s="399" t="s">
        <v>70</v>
      </c>
      <c r="L331" s="399" t="s">
        <v>34</v>
      </c>
      <c r="M331" s="399">
        <v>20</v>
      </c>
      <c r="N331" s="356">
        <v>952000</v>
      </c>
      <c r="O331" s="28" t="b">
        <v>1</v>
      </c>
    </row>
    <row r="332" spans="2:15" s="28" customFormat="1" ht="16.5" customHeight="1">
      <c r="B332" s="20"/>
      <c r="C332" s="20"/>
      <c r="D332" s="254"/>
      <c r="E332" s="379">
        <v>139144</v>
      </c>
      <c r="F332" s="395" t="s">
        <v>620</v>
      </c>
      <c r="G332" s="396"/>
      <c r="H332" s="397"/>
      <c r="I332" s="383">
        <v>423000</v>
      </c>
      <c r="J332" s="398">
        <v>139144</v>
      </c>
      <c r="K332" s="399" t="s">
        <v>71</v>
      </c>
      <c r="L332" s="399" t="s">
        <v>34</v>
      </c>
      <c r="M332" s="399">
        <v>200</v>
      </c>
      <c r="N332" s="356">
        <v>618000</v>
      </c>
      <c r="O332" s="28" t="b">
        <v>1</v>
      </c>
    </row>
    <row r="333" spans="2:15" s="28" customFormat="1" ht="16.5" customHeight="1">
      <c r="B333" s="20"/>
      <c r="C333" s="20"/>
      <c r="D333" s="254"/>
      <c r="E333" s="379">
        <v>139145</v>
      </c>
      <c r="F333" s="395" t="s">
        <v>228</v>
      </c>
      <c r="G333" s="396"/>
      <c r="H333" s="397"/>
      <c r="I333" s="383">
        <v>44000</v>
      </c>
      <c r="J333" s="398">
        <v>139145</v>
      </c>
      <c r="K333" s="399" t="s">
        <v>70</v>
      </c>
      <c r="L333" s="399" t="s">
        <v>34</v>
      </c>
      <c r="M333" s="399">
        <v>20</v>
      </c>
      <c r="N333" s="356">
        <v>71000</v>
      </c>
      <c r="O333" s="28" t="b">
        <v>1</v>
      </c>
    </row>
    <row r="334" spans="2:15" s="28" customFormat="1" ht="16.5" customHeight="1">
      <c r="B334" s="20"/>
      <c r="C334" s="20"/>
      <c r="D334" s="254"/>
      <c r="E334" s="379">
        <v>139146</v>
      </c>
      <c r="F334" s="395" t="s">
        <v>621</v>
      </c>
      <c r="G334" s="396"/>
      <c r="H334" s="397"/>
      <c r="I334" s="383">
        <v>455000</v>
      </c>
      <c r="J334" s="398">
        <v>139146</v>
      </c>
      <c r="K334" s="399" t="s">
        <v>71</v>
      </c>
      <c r="L334" s="399" t="s">
        <v>34</v>
      </c>
      <c r="M334" s="399">
        <v>200</v>
      </c>
      <c r="N334" s="356">
        <v>607000</v>
      </c>
      <c r="O334" s="28" t="b">
        <v>1</v>
      </c>
    </row>
    <row r="335" spans="2:15" s="28" customFormat="1" ht="16.5" customHeight="1">
      <c r="B335" s="20"/>
      <c r="C335" s="20"/>
      <c r="D335" s="254"/>
      <c r="E335" s="379">
        <v>139147</v>
      </c>
      <c r="F335" s="395" t="s">
        <v>622</v>
      </c>
      <c r="G335" s="396"/>
      <c r="H335" s="397"/>
      <c r="I335" s="383">
        <v>475000</v>
      </c>
      <c r="J335" s="398">
        <v>139147</v>
      </c>
      <c r="K335" s="399" t="s">
        <v>71</v>
      </c>
      <c r="L335" s="399" t="s">
        <v>34</v>
      </c>
      <c r="M335" s="399">
        <v>200</v>
      </c>
      <c r="N335" s="356">
        <v>69800</v>
      </c>
      <c r="O335" s="28" t="b">
        <v>1</v>
      </c>
    </row>
    <row r="336" spans="2:15" s="28" customFormat="1" ht="16.5" customHeight="1">
      <c r="B336" s="20"/>
      <c r="C336" s="20"/>
      <c r="D336" s="254"/>
      <c r="E336" s="379">
        <v>139148</v>
      </c>
      <c r="F336" s="395" t="s">
        <v>346</v>
      </c>
      <c r="G336" s="396"/>
      <c r="H336" s="397"/>
      <c r="I336" s="383">
        <v>50600</v>
      </c>
      <c r="J336" s="398">
        <v>139148</v>
      </c>
      <c r="K336" s="399" t="s">
        <v>70</v>
      </c>
      <c r="L336" s="399" t="s">
        <v>34</v>
      </c>
      <c r="M336" s="399">
        <v>20</v>
      </c>
      <c r="N336" s="356">
        <v>623000</v>
      </c>
      <c r="O336" s="28" t="b">
        <v>1</v>
      </c>
    </row>
    <row r="337" spans="2:15" s="28" customFormat="1" ht="16.5" customHeight="1">
      <c r="B337" s="20"/>
      <c r="C337" s="20"/>
      <c r="D337" s="254"/>
      <c r="E337" s="379">
        <v>139149</v>
      </c>
      <c r="F337" s="395" t="s">
        <v>623</v>
      </c>
      <c r="G337" s="396"/>
      <c r="H337" s="397"/>
      <c r="I337" s="383">
        <v>539000</v>
      </c>
      <c r="J337" s="398">
        <v>139149</v>
      </c>
      <c r="K337" s="399" t="s">
        <v>71</v>
      </c>
      <c r="L337" s="399" t="s">
        <v>34</v>
      </c>
      <c r="M337" s="399">
        <v>200</v>
      </c>
      <c r="N337" s="356">
        <v>74600</v>
      </c>
      <c r="O337" s="28" t="b">
        <v>1</v>
      </c>
    </row>
    <row r="338" spans="2:15" s="28" customFormat="1" ht="16.5" customHeight="1">
      <c r="B338" s="20"/>
      <c r="C338" s="20"/>
      <c r="D338" s="254"/>
      <c r="E338" s="379">
        <v>139150</v>
      </c>
      <c r="F338" s="395" t="s">
        <v>249</v>
      </c>
      <c r="G338" s="396"/>
      <c r="H338" s="397"/>
      <c r="I338" s="383">
        <v>56700</v>
      </c>
      <c r="J338" s="398">
        <v>139150</v>
      </c>
      <c r="K338" s="399" t="s">
        <v>70</v>
      </c>
      <c r="L338" s="399" t="s">
        <v>34</v>
      </c>
      <c r="M338" s="399">
        <v>20</v>
      </c>
      <c r="N338" s="356">
        <v>623000</v>
      </c>
      <c r="O338" s="28" t="b">
        <v>1</v>
      </c>
    </row>
    <row r="339" spans="2:15" s="28" customFormat="1" ht="16.5" customHeight="1">
      <c r="B339" s="20"/>
      <c r="C339" s="20"/>
      <c r="D339" s="254"/>
      <c r="E339" s="379">
        <v>139151</v>
      </c>
      <c r="F339" s="395" t="s">
        <v>624</v>
      </c>
      <c r="G339" s="396"/>
      <c r="H339" s="397"/>
      <c r="I339" s="383">
        <v>539000</v>
      </c>
      <c r="J339" s="398">
        <v>139151</v>
      </c>
      <c r="K339" s="399" t="s">
        <v>71</v>
      </c>
      <c r="L339" s="399" t="s">
        <v>34</v>
      </c>
      <c r="M339" s="399">
        <v>200</v>
      </c>
      <c r="N339" s="356">
        <v>70900</v>
      </c>
      <c r="O339" s="28" t="b">
        <v>1</v>
      </c>
    </row>
    <row r="340" spans="2:15" s="28" customFormat="1" ht="16.5" customHeight="1">
      <c r="B340" s="20"/>
      <c r="C340" s="20"/>
      <c r="D340" s="254"/>
      <c r="E340" s="379">
        <v>139152</v>
      </c>
      <c r="F340" s="395" t="s">
        <v>250</v>
      </c>
      <c r="G340" s="396"/>
      <c r="H340" s="397"/>
      <c r="I340" s="383">
        <v>56700</v>
      </c>
      <c r="J340" s="398">
        <v>139152</v>
      </c>
      <c r="K340" s="399" t="s">
        <v>70</v>
      </c>
      <c r="L340" s="399" t="s">
        <v>34</v>
      </c>
      <c r="M340" s="399">
        <v>20</v>
      </c>
      <c r="N340" s="356">
        <v>641000</v>
      </c>
      <c r="O340" s="28" t="b">
        <v>1</v>
      </c>
    </row>
    <row r="341" spans="2:15" s="28" customFormat="1" ht="16.5" customHeight="1">
      <c r="B341" s="20"/>
      <c r="C341" s="20"/>
      <c r="D341" s="254"/>
      <c r="E341" s="379">
        <v>139153</v>
      </c>
      <c r="F341" s="395" t="s">
        <v>625</v>
      </c>
      <c r="G341" s="396"/>
      <c r="H341" s="397"/>
      <c r="I341" s="383">
        <v>580000</v>
      </c>
      <c r="J341" s="398">
        <v>139153</v>
      </c>
      <c r="K341" s="399" t="s">
        <v>71</v>
      </c>
      <c r="L341" s="399" t="s">
        <v>34</v>
      </c>
      <c r="M341" s="399">
        <v>200</v>
      </c>
      <c r="N341" s="356">
        <v>80900</v>
      </c>
      <c r="O341" s="28" t="b">
        <v>1</v>
      </c>
    </row>
    <row r="342" spans="2:15" s="28" customFormat="1" ht="16.5" customHeight="1">
      <c r="B342" s="20"/>
      <c r="C342" s="20"/>
      <c r="D342" s="254"/>
      <c r="E342" s="379">
        <v>139154</v>
      </c>
      <c r="F342" s="395" t="s">
        <v>251</v>
      </c>
      <c r="G342" s="396"/>
      <c r="H342" s="397"/>
      <c r="I342" s="383">
        <v>60600</v>
      </c>
      <c r="J342" s="398">
        <v>139154</v>
      </c>
      <c r="K342" s="399" t="s">
        <v>70</v>
      </c>
      <c r="L342" s="399" t="s">
        <v>34</v>
      </c>
      <c r="M342" s="399">
        <v>20</v>
      </c>
      <c r="N342" s="356">
        <v>740000</v>
      </c>
      <c r="O342" s="28" t="b">
        <v>1</v>
      </c>
    </row>
    <row r="343" spans="2:15" s="28" customFormat="1" ht="16.5" customHeight="1">
      <c r="B343" s="20"/>
      <c r="C343" s="20"/>
      <c r="D343" s="254"/>
      <c r="E343" s="379">
        <v>139155</v>
      </c>
      <c r="F343" s="395" t="s">
        <v>626</v>
      </c>
      <c r="G343" s="396"/>
      <c r="H343" s="397"/>
      <c r="I343" s="383">
        <v>610000</v>
      </c>
      <c r="J343" s="398">
        <v>139155</v>
      </c>
      <c r="K343" s="399" t="s">
        <v>71</v>
      </c>
      <c r="L343" s="399" t="s">
        <v>34</v>
      </c>
      <c r="M343" s="399">
        <v>200</v>
      </c>
      <c r="N343" s="356">
        <v>80900</v>
      </c>
      <c r="O343" s="28" t="b">
        <v>1</v>
      </c>
    </row>
    <row r="344" spans="2:15" s="28" customFormat="1" ht="16.5" customHeight="1">
      <c r="B344" s="20"/>
      <c r="C344" s="20"/>
      <c r="D344" s="254"/>
      <c r="E344" s="379">
        <v>139156</v>
      </c>
      <c r="F344" s="395" t="s">
        <v>252</v>
      </c>
      <c r="G344" s="396"/>
      <c r="H344" s="397"/>
      <c r="I344" s="383">
        <v>64600</v>
      </c>
      <c r="J344" s="398">
        <v>139156</v>
      </c>
      <c r="K344" s="399" t="s">
        <v>70</v>
      </c>
      <c r="L344" s="399" t="s">
        <v>34</v>
      </c>
      <c r="M344" s="399">
        <v>20</v>
      </c>
      <c r="N344" s="356">
        <v>750000</v>
      </c>
      <c r="O344" s="28" t="b">
        <v>1</v>
      </c>
    </row>
    <row r="345" spans="2:15" s="28" customFormat="1" ht="16.5" customHeight="1">
      <c r="B345" s="20"/>
      <c r="C345" s="20"/>
      <c r="D345" s="254"/>
      <c r="E345" s="379">
        <v>139158</v>
      </c>
      <c r="F345" s="395" t="s">
        <v>627</v>
      </c>
      <c r="G345" s="396"/>
      <c r="H345" s="397"/>
      <c r="I345" s="383">
        <v>636000</v>
      </c>
      <c r="J345" s="398">
        <v>139158</v>
      </c>
      <c r="K345" s="399" t="s">
        <v>71</v>
      </c>
      <c r="L345" s="399" t="s">
        <v>34</v>
      </c>
      <c r="M345" s="399">
        <v>200</v>
      </c>
      <c r="N345" s="356">
        <v>87100</v>
      </c>
      <c r="O345" s="28" t="b">
        <v>1</v>
      </c>
    </row>
    <row r="346" spans="2:15" s="28" customFormat="1" ht="16.5" customHeight="1">
      <c r="B346" s="20"/>
      <c r="C346" s="20"/>
      <c r="D346" s="254"/>
      <c r="E346" s="379">
        <v>139160</v>
      </c>
      <c r="F346" s="395" t="s">
        <v>628</v>
      </c>
      <c r="G346" s="396"/>
      <c r="H346" s="397"/>
      <c r="I346" s="383">
        <v>683000</v>
      </c>
      <c r="J346" s="398">
        <v>139160</v>
      </c>
      <c r="K346" s="399" t="s">
        <v>71</v>
      </c>
      <c r="L346" s="399" t="s">
        <v>34</v>
      </c>
      <c r="M346" s="399">
        <v>200</v>
      </c>
      <c r="N346" s="356">
        <v>423000</v>
      </c>
      <c r="O346" s="28" t="b">
        <v>1</v>
      </c>
    </row>
    <row r="347" spans="2:15" s="28" customFormat="1" ht="16.5" customHeight="1">
      <c r="B347" s="20"/>
      <c r="C347" s="20"/>
      <c r="D347" s="254"/>
      <c r="E347" s="379">
        <v>139161</v>
      </c>
      <c r="F347" s="395" t="s">
        <v>347</v>
      </c>
      <c r="G347" s="396"/>
      <c r="H347" s="397"/>
      <c r="I347" s="383">
        <v>80500</v>
      </c>
      <c r="J347" s="398">
        <v>139161</v>
      </c>
      <c r="K347" s="399" t="s">
        <v>70</v>
      </c>
      <c r="L347" s="399" t="s">
        <v>34</v>
      </c>
      <c r="M347" s="399">
        <v>20</v>
      </c>
      <c r="N347" s="356">
        <v>44000</v>
      </c>
      <c r="O347" s="28" t="b">
        <v>1</v>
      </c>
    </row>
    <row r="348" spans="2:15" s="28" customFormat="1" ht="16.5" customHeight="1">
      <c r="B348" s="20"/>
      <c r="C348" s="20"/>
      <c r="D348" s="254"/>
      <c r="E348" s="379">
        <v>139163</v>
      </c>
      <c r="F348" s="395" t="s">
        <v>629</v>
      </c>
      <c r="G348" s="396"/>
      <c r="H348" s="397"/>
      <c r="I348" s="383">
        <v>763000</v>
      </c>
      <c r="J348" s="398">
        <v>139163</v>
      </c>
      <c r="K348" s="399" t="s">
        <v>71</v>
      </c>
      <c r="L348" s="399" t="s">
        <v>34</v>
      </c>
      <c r="M348" s="399">
        <v>200</v>
      </c>
      <c r="N348" s="356">
        <v>423000</v>
      </c>
      <c r="O348" s="28" t="b">
        <v>1</v>
      </c>
    </row>
    <row r="349" spans="2:15" s="28" customFormat="1" ht="16.5" customHeight="1">
      <c r="B349" s="20"/>
      <c r="C349" s="20"/>
      <c r="D349" s="254"/>
      <c r="E349" s="379">
        <v>139164</v>
      </c>
      <c r="F349" s="395" t="s">
        <v>348</v>
      </c>
      <c r="G349" s="396"/>
      <c r="H349" s="397"/>
      <c r="I349" s="383">
        <v>80500</v>
      </c>
      <c r="J349" s="398">
        <v>139164</v>
      </c>
      <c r="K349" s="399" t="s">
        <v>70</v>
      </c>
      <c r="L349" s="399" t="s">
        <v>34</v>
      </c>
      <c r="M349" s="399">
        <v>20</v>
      </c>
      <c r="N349" s="356">
        <v>44000</v>
      </c>
      <c r="O349" s="28" t="b">
        <v>1</v>
      </c>
    </row>
    <row r="350" spans="2:15" s="28" customFormat="1" ht="16.5" customHeight="1">
      <c r="B350" s="20"/>
      <c r="C350" s="20"/>
      <c r="D350" s="254"/>
      <c r="E350" s="379">
        <v>139167</v>
      </c>
      <c r="F350" s="395" t="s">
        <v>630</v>
      </c>
      <c r="G350" s="396"/>
      <c r="H350" s="397"/>
      <c r="I350" s="383">
        <v>499000</v>
      </c>
      <c r="J350" s="398">
        <v>139167</v>
      </c>
      <c r="K350" s="399" t="s">
        <v>71</v>
      </c>
      <c r="L350" s="399" t="s">
        <v>34</v>
      </c>
      <c r="M350" s="399">
        <v>200</v>
      </c>
      <c r="N350" s="356">
        <v>455000</v>
      </c>
      <c r="O350" s="28" t="b">
        <v>1</v>
      </c>
    </row>
    <row r="351" spans="2:15" s="28" customFormat="1" ht="16.5" customHeight="1">
      <c r="B351" s="20"/>
      <c r="C351" s="20"/>
      <c r="D351" s="254"/>
      <c r="E351" s="379">
        <v>140145</v>
      </c>
      <c r="F351" s="395" t="s">
        <v>46</v>
      </c>
      <c r="G351" s="396"/>
      <c r="H351" s="397"/>
      <c r="I351" s="383">
        <v>183000</v>
      </c>
      <c r="J351" s="398">
        <v>140145</v>
      </c>
      <c r="K351" s="399" t="s">
        <v>70</v>
      </c>
      <c r="L351" s="399" t="s">
        <v>34</v>
      </c>
      <c r="M351" s="399">
        <v>16</v>
      </c>
      <c r="N351" s="356">
        <v>475000</v>
      </c>
      <c r="O351" s="28" t="b">
        <v>1</v>
      </c>
    </row>
    <row r="352" spans="2:15" s="28" customFormat="1" ht="16.5" customHeight="1">
      <c r="B352" s="20"/>
      <c r="C352" s="20"/>
      <c r="D352" s="254"/>
      <c r="E352" s="379">
        <v>139600</v>
      </c>
      <c r="F352" s="395" t="s">
        <v>767</v>
      </c>
      <c r="G352" s="396"/>
      <c r="H352" s="397"/>
      <c r="I352" s="383">
        <v>482000</v>
      </c>
      <c r="J352" s="398">
        <v>139600</v>
      </c>
      <c r="K352" s="399" t="s">
        <v>70</v>
      </c>
      <c r="L352" s="399" t="s">
        <v>34</v>
      </c>
      <c r="M352" s="399">
        <v>20</v>
      </c>
      <c r="N352" s="356">
        <v>50600</v>
      </c>
      <c r="O352" s="28" t="b">
        <v>1</v>
      </c>
    </row>
    <row r="353" spans="2:15" s="28" customFormat="1" ht="16.5" customHeight="1">
      <c r="B353" s="20"/>
      <c r="C353" s="20"/>
      <c r="D353" s="254"/>
      <c r="E353" s="379">
        <v>139639</v>
      </c>
      <c r="F353" s="395" t="s">
        <v>353</v>
      </c>
      <c r="G353" s="396"/>
      <c r="H353" s="397"/>
      <c r="I353" s="383">
        <v>94100</v>
      </c>
      <c r="J353" s="398">
        <v>139639</v>
      </c>
      <c r="K353" s="399" t="s">
        <v>70</v>
      </c>
      <c r="L353" s="399" t="s">
        <v>34</v>
      </c>
      <c r="M353" s="399">
        <v>20</v>
      </c>
      <c r="N353" s="356">
        <v>539000</v>
      </c>
      <c r="O353" s="28" t="b">
        <v>1</v>
      </c>
    </row>
    <row r="354" spans="2:15" s="28" customFormat="1" ht="16.5" customHeight="1">
      <c r="B354" s="20"/>
      <c r="C354" s="20"/>
      <c r="D354" s="254"/>
      <c r="E354" s="379">
        <v>139643</v>
      </c>
      <c r="F354" s="395" t="s">
        <v>354</v>
      </c>
      <c r="G354" s="396"/>
      <c r="H354" s="397"/>
      <c r="I354" s="383">
        <v>79200</v>
      </c>
      <c r="J354" s="398">
        <v>139643</v>
      </c>
      <c r="K354" s="399" t="s">
        <v>70</v>
      </c>
      <c r="L354" s="399" t="s">
        <v>34</v>
      </c>
      <c r="M354" s="399">
        <v>20</v>
      </c>
      <c r="N354" s="356">
        <v>56700</v>
      </c>
      <c r="O354" s="28" t="b">
        <v>1</v>
      </c>
    </row>
    <row r="355" spans="2:15" s="28" customFormat="1" ht="16.5" customHeight="1">
      <c r="B355" s="20"/>
      <c r="C355" s="20"/>
      <c r="D355" s="254"/>
      <c r="E355" s="379">
        <v>148679</v>
      </c>
      <c r="F355" s="395" t="s">
        <v>421</v>
      </c>
      <c r="G355" s="396"/>
      <c r="H355" s="397"/>
      <c r="I355" s="383">
        <v>645000</v>
      </c>
      <c r="J355" s="398">
        <v>148679</v>
      </c>
      <c r="K355" s="399" t="s">
        <v>71</v>
      </c>
      <c r="L355" s="399" t="s">
        <v>34</v>
      </c>
      <c r="M355" s="399">
        <v>208</v>
      </c>
      <c r="N355" s="356">
        <v>539000</v>
      </c>
      <c r="O355" s="28" t="b">
        <v>1</v>
      </c>
    </row>
    <row r="356" spans="2:15" s="28" customFormat="1" ht="16.5" customHeight="1">
      <c r="B356" s="20"/>
      <c r="C356" s="20"/>
      <c r="D356" s="254"/>
      <c r="E356" s="379">
        <v>141825</v>
      </c>
      <c r="F356" s="395" t="s">
        <v>641</v>
      </c>
      <c r="G356" s="396"/>
      <c r="H356" s="397"/>
      <c r="I356" s="383">
        <v>2660000</v>
      </c>
      <c r="J356" s="398">
        <v>141825</v>
      </c>
      <c r="K356" s="399" t="s">
        <v>71</v>
      </c>
      <c r="L356" s="399" t="s">
        <v>34</v>
      </c>
      <c r="M356" s="399">
        <v>208</v>
      </c>
      <c r="N356" s="356">
        <v>56700</v>
      </c>
      <c r="O356" s="28" t="b">
        <v>1</v>
      </c>
    </row>
    <row r="357" spans="2:15" s="28" customFormat="1" ht="16.5" customHeight="1">
      <c r="B357" s="20"/>
      <c r="C357" s="20"/>
      <c r="D357" s="254"/>
      <c r="E357" s="379">
        <v>139819</v>
      </c>
      <c r="F357" s="395" t="s">
        <v>642</v>
      </c>
      <c r="G357" s="396"/>
      <c r="H357" s="397"/>
      <c r="I357" s="383">
        <v>2692000</v>
      </c>
      <c r="J357" s="398">
        <v>139819</v>
      </c>
      <c r="K357" s="399" t="s">
        <v>71</v>
      </c>
      <c r="L357" s="399" t="s">
        <v>34</v>
      </c>
      <c r="M357" s="399">
        <v>208</v>
      </c>
      <c r="N357" s="356">
        <v>580000</v>
      </c>
      <c r="O357" s="28" t="b">
        <v>1</v>
      </c>
    </row>
    <row r="358" spans="2:15" s="28" customFormat="1" ht="16.5" customHeight="1">
      <c r="B358" s="20"/>
      <c r="C358" s="20"/>
      <c r="D358" s="254"/>
      <c r="E358" s="379">
        <v>139821</v>
      </c>
      <c r="F358" s="395" t="s">
        <v>643</v>
      </c>
      <c r="G358" s="396"/>
      <c r="H358" s="397"/>
      <c r="I358" s="383">
        <v>3429000</v>
      </c>
      <c r="J358" s="398">
        <v>139821</v>
      </c>
      <c r="K358" s="399" t="s">
        <v>71</v>
      </c>
      <c r="L358" s="399" t="s">
        <v>34</v>
      </c>
      <c r="M358" s="399">
        <v>208</v>
      </c>
      <c r="N358" s="356">
        <v>60600</v>
      </c>
      <c r="O358" s="28" t="b">
        <v>1</v>
      </c>
    </row>
    <row r="359" spans="2:15" s="28" customFormat="1" ht="16.5" customHeight="1">
      <c r="B359" s="20"/>
      <c r="C359" s="20"/>
      <c r="D359" s="254"/>
      <c r="E359" s="379">
        <v>143919</v>
      </c>
      <c r="F359" s="395" t="s">
        <v>863</v>
      </c>
      <c r="G359" s="396"/>
      <c r="H359" s="397"/>
      <c r="I359" s="383">
        <v>64000</v>
      </c>
      <c r="J359" s="398">
        <v>143919</v>
      </c>
      <c r="K359" s="399" t="s">
        <v>73</v>
      </c>
      <c r="L359" s="399" t="s">
        <v>34</v>
      </c>
      <c r="M359" s="399">
        <v>4.68</v>
      </c>
      <c r="N359" s="356">
        <v>610000</v>
      </c>
      <c r="O359" s="28" t="b">
        <v>1</v>
      </c>
    </row>
    <row r="360" spans="2:15" s="28" customFormat="1" ht="16.5" customHeight="1">
      <c r="B360" s="20"/>
      <c r="C360" s="20"/>
      <c r="D360" s="254"/>
      <c r="E360" s="379">
        <v>141840</v>
      </c>
      <c r="F360" s="395" t="s">
        <v>358</v>
      </c>
      <c r="G360" s="396"/>
      <c r="H360" s="397"/>
      <c r="I360" s="383">
        <v>270000</v>
      </c>
      <c r="J360" s="398">
        <v>141840</v>
      </c>
      <c r="K360" s="399" t="s">
        <v>70</v>
      </c>
      <c r="L360" s="399" t="s">
        <v>34</v>
      </c>
      <c r="M360" s="399">
        <v>20</v>
      </c>
      <c r="N360" s="356">
        <v>64600</v>
      </c>
      <c r="O360" s="28" t="b">
        <v>1</v>
      </c>
    </row>
    <row r="361" spans="2:15" s="28" customFormat="1" ht="16.5" customHeight="1">
      <c r="B361" s="20"/>
      <c r="C361" s="20"/>
      <c r="D361" s="254"/>
      <c r="E361" s="379">
        <v>139962</v>
      </c>
      <c r="F361" s="395" t="s">
        <v>359</v>
      </c>
      <c r="G361" s="396"/>
      <c r="H361" s="397"/>
      <c r="I361" s="383">
        <v>255000</v>
      </c>
      <c r="J361" s="398">
        <v>139962</v>
      </c>
      <c r="K361" s="399" t="s">
        <v>70</v>
      </c>
      <c r="L361" s="399" t="s">
        <v>34</v>
      </c>
      <c r="M361" s="399">
        <v>20</v>
      </c>
      <c r="N361" s="356">
        <v>636000</v>
      </c>
      <c r="O361" s="28" t="b">
        <v>1</v>
      </c>
    </row>
    <row r="362" spans="2:15" s="28" customFormat="1" ht="16.5" customHeight="1">
      <c r="B362" s="20"/>
      <c r="C362" s="20"/>
      <c r="D362" s="254"/>
      <c r="E362" s="379">
        <v>139963</v>
      </c>
      <c r="F362" s="395" t="s">
        <v>360</v>
      </c>
      <c r="G362" s="396"/>
      <c r="H362" s="397"/>
      <c r="I362" s="383">
        <v>271000</v>
      </c>
      <c r="J362" s="398">
        <v>139963</v>
      </c>
      <c r="K362" s="399" t="s">
        <v>70</v>
      </c>
      <c r="L362" s="399" t="s">
        <v>34</v>
      </c>
      <c r="M362" s="399">
        <v>20</v>
      </c>
      <c r="N362" s="356">
        <v>683000</v>
      </c>
      <c r="O362" s="28" t="b">
        <v>1</v>
      </c>
    </row>
    <row r="363" spans="2:15" s="28" customFormat="1" ht="16.5" customHeight="1">
      <c r="B363" s="20"/>
      <c r="C363" s="20"/>
      <c r="D363" s="254"/>
      <c r="E363" s="379">
        <v>140058</v>
      </c>
      <c r="F363" s="395" t="s">
        <v>645</v>
      </c>
      <c r="G363" s="396"/>
      <c r="H363" s="397"/>
      <c r="I363" s="383">
        <v>520000</v>
      </c>
      <c r="J363" s="398">
        <v>140058</v>
      </c>
      <c r="K363" s="399" t="s">
        <v>71</v>
      </c>
      <c r="L363" s="399" t="s">
        <v>34</v>
      </c>
      <c r="M363" s="399">
        <v>200</v>
      </c>
      <c r="N363" s="356">
        <v>80500</v>
      </c>
      <c r="O363" s="28" t="b">
        <v>1</v>
      </c>
    </row>
    <row r="364" spans="2:15" s="28" customFormat="1" ht="16.5" customHeight="1">
      <c r="B364" s="20"/>
      <c r="C364" s="20"/>
      <c r="D364" s="254"/>
      <c r="E364" s="379">
        <v>140059</v>
      </c>
      <c r="F364" s="395" t="s">
        <v>361</v>
      </c>
      <c r="G364" s="396"/>
      <c r="H364" s="397"/>
      <c r="I364" s="383">
        <v>54000</v>
      </c>
      <c r="J364" s="398">
        <v>140059</v>
      </c>
      <c r="K364" s="399" t="s">
        <v>70</v>
      </c>
      <c r="L364" s="399" t="s">
        <v>34</v>
      </c>
      <c r="M364" s="399">
        <v>20</v>
      </c>
      <c r="N364" s="356">
        <v>763000</v>
      </c>
      <c r="O364" s="28" t="b">
        <v>1</v>
      </c>
    </row>
    <row r="365" spans="2:15" s="28" customFormat="1" ht="16.5" customHeight="1">
      <c r="B365" s="20"/>
      <c r="C365" s="20"/>
      <c r="D365" s="254"/>
      <c r="E365" s="379">
        <v>140107</v>
      </c>
      <c r="F365" s="395" t="s">
        <v>646</v>
      </c>
      <c r="G365" s="396"/>
      <c r="H365" s="397"/>
      <c r="I365" s="383">
        <v>3193000</v>
      </c>
      <c r="J365" s="398">
        <v>140107</v>
      </c>
      <c r="K365" s="399" t="s">
        <v>71</v>
      </c>
      <c r="L365" s="399" t="s">
        <v>34</v>
      </c>
      <c r="M365" s="399">
        <v>193.8</v>
      </c>
      <c r="N365" s="356">
        <v>80500</v>
      </c>
      <c r="O365" s="28" t="b">
        <v>1</v>
      </c>
    </row>
    <row r="366" spans="2:15" s="28" customFormat="1" ht="16.5" customHeight="1">
      <c r="B366" s="20"/>
      <c r="C366" s="20"/>
      <c r="D366" s="254"/>
      <c r="E366" s="379">
        <v>140108</v>
      </c>
      <c r="F366" s="395" t="s">
        <v>647</v>
      </c>
      <c r="G366" s="396"/>
      <c r="H366" s="397"/>
      <c r="I366" s="383">
        <v>3403000</v>
      </c>
      <c r="J366" s="398">
        <v>140108</v>
      </c>
      <c r="K366" s="399" t="s">
        <v>71</v>
      </c>
      <c r="L366" s="399" t="s">
        <v>34</v>
      </c>
      <c r="M366" s="399">
        <v>193.8</v>
      </c>
      <c r="N366" s="356">
        <v>499000</v>
      </c>
      <c r="O366" s="28" t="b">
        <v>1</v>
      </c>
    </row>
    <row r="367" spans="2:15" s="28" customFormat="1" ht="16.5" customHeight="1">
      <c r="B367" s="20"/>
      <c r="C367" s="20"/>
      <c r="D367" s="254"/>
      <c r="E367" s="379">
        <v>140109</v>
      </c>
      <c r="F367" s="395" t="s">
        <v>362</v>
      </c>
      <c r="G367" s="396"/>
      <c r="H367" s="397"/>
      <c r="I367" s="383">
        <v>320000</v>
      </c>
      <c r="J367" s="398">
        <v>140109</v>
      </c>
      <c r="K367" s="399" t="s">
        <v>70</v>
      </c>
      <c r="L367" s="399" t="s">
        <v>34</v>
      </c>
      <c r="M367" s="399">
        <v>17.457000000000001</v>
      </c>
      <c r="N367" s="356">
        <v>183000</v>
      </c>
      <c r="O367" s="28" t="b">
        <v>1</v>
      </c>
    </row>
    <row r="368" spans="2:15" s="28" customFormat="1" ht="16.5" customHeight="1">
      <c r="B368" s="20"/>
      <c r="C368" s="20"/>
      <c r="D368" s="254"/>
      <c r="E368" s="379">
        <v>140110</v>
      </c>
      <c r="F368" s="395" t="s">
        <v>648</v>
      </c>
      <c r="G368" s="396"/>
      <c r="H368" s="397"/>
      <c r="I368" s="383">
        <v>3231000</v>
      </c>
      <c r="J368" s="398">
        <v>140110</v>
      </c>
      <c r="K368" s="399" t="s">
        <v>71</v>
      </c>
      <c r="L368" s="399" t="s">
        <v>34</v>
      </c>
      <c r="M368" s="399">
        <v>193.8</v>
      </c>
      <c r="N368" s="356">
        <v>482000</v>
      </c>
      <c r="O368" s="28" t="b">
        <v>1</v>
      </c>
    </row>
    <row r="369" spans="2:15" s="28" customFormat="1" ht="16.5" customHeight="1">
      <c r="B369" s="20"/>
      <c r="C369" s="20"/>
      <c r="D369" s="254"/>
      <c r="E369" s="379">
        <v>140111</v>
      </c>
      <c r="F369" s="395" t="s">
        <v>363</v>
      </c>
      <c r="G369" s="396"/>
      <c r="H369" s="397"/>
      <c r="I369" s="383">
        <v>326000</v>
      </c>
      <c r="J369" s="398">
        <v>140111</v>
      </c>
      <c r="K369" s="399" t="s">
        <v>70</v>
      </c>
      <c r="L369" s="399" t="s">
        <v>34</v>
      </c>
      <c r="M369" s="399">
        <v>17.329999999999998</v>
      </c>
      <c r="N369" s="356">
        <v>94100</v>
      </c>
      <c r="O369" s="28" t="b">
        <v>1</v>
      </c>
    </row>
    <row r="370" spans="2:15" s="28" customFormat="1" ht="16.5" customHeight="1">
      <c r="B370" s="20"/>
      <c r="C370" s="20"/>
      <c r="D370" s="254"/>
      <c r="E370" s="379">
        <v>140112</v>
      </c>
      <c r="F370" s="395" t="s">
        <v>364</v>
      </c>
      <c r="G370" s="396"/>
      <c r="H370" s="397"/>
      <c r="I370" s="383">
        <v>340000</v>
      </c>
      <c r="J370" s="398">
        <v>140112</v>
      </c>
      <c r="K370" s="399" t="s">
        <v>70</v>
      </c>
      <c r="L370" s="399" t="s">
        <v>34</v>
      </c>
      <c r="M370" s="399">
        <v>17.329999999999998</v>
      </c>
      <c r="N370" s="356">
        <v>79200</v>
      </c>
      <c r="O370" s="28" t="b">
        <v>1</v>
      </c>
    </row>
    <row r="371" spans="2:15" s="28" customFormat="1" ht="16.5" customHeight="1">
      <c r="B371" s="20"/>
      <c r="C371" s="20"/>
      <c r="D371" s="254"/>
      <c r="E371" s="379">
        <v>140139</v>
      </c>
      <c r="F371" s="395" t="s">
        <v>368</v>
      </c>
      <c r="G371" s="396"/>
      <c r="H371" s="397"/>
      <c r="I371" s="383">
        <v>140000</v>
      </c>
      <c r="J371" s="398">
        <v>140139</v>
      </c>
      <c r="K371" s="399" t="s">
        <v>70</v>
      </c>
      <c r="L371" s="399" t="s">
        <v>34</v>
      </c>
      <c r="M371" s="399">
        <v>16</v>
      </c>
      <c r="N371" s="356">
        <v>645000</v>
      </c>
      <c r="O371" s="28" t="b">
        <v>1</v>
      </c>
    </row>
    <row r="372" spans="2:15" s="28" customFormat="1" ht="16.5" customHeight="1">
      <c r="B372" s="20"/>
      <c r="C372" s="20"/>
      <c r="D372" s="254"/>
      <c r="E372" s="379">
        <v>140140</v>
      </c>
      <c r="F372" s="395" t="s">
        <v>369</v>
      </c>
      <c r="G372" s="396"/>
      <c r="H372" s="397"/>
      <c r="I372" s="383">
        <v>120000</v>
      </c>
      <c r="J372" s="398">
        <v>140140</v>
      </c>
      <c r="K372" s="399" t="s">
        <v>70</v>
      </c>
      <c r="L372" s="399" t="s">
        <v>34</v>
      </c>
      <c r="M372" s="399">
        <v>16</v>
      </c>
      <c r="N372" s="356">
        <v>2660000</v>
      </c>
      <c r="O372" s="28" t="b">
        <v>1</v>
      </c>
    </row>
    <row r="373" spans="2:15" s="28" customFormat="1" ht="16.5" customHeight="1">
      <c r="B373" s="20"/>
      <c r="C373" s="20"/>
      <c r="D373" s="254"/>
      <c r="E373" s="379">
        <v>140141</v>
      </c>
      <c r="F373" s="395" t="s">
        <v>370</v>
      </c>
      <c r="G373" s="396"/>
      <c r="H373" s="397"/>
      <c r="I373" s="383">
        <v>188000</v>
      </c>
      <c r="J373" s="398">
        <v>140141</v>
      </c>
      <c r="K373" s="399" t="s">
        <v>70</v>
      </c>
      <c r="L373" s="399" t="s">
        <v>34</v>
      </c>
      <c r="M373" s="399">
        <v>16</v>
      </c>
      <c r="N373" s="356">
        <v>2692000</v>
      </c>
      <c r="O373" s="28" t="b">
        <v>1</v>
      </c>
    </row>
    <row r="374" spans="2:15" s="28" customFormat="1" ht="16.5" customHeight="1">
      <c r="B374" s="20"/>
      <c r="C374" s="20"/>
      <c r="D374" s="254"/>
      <c r="E374" s="379">
        <v>140142</v>
      </c>
      <c r="F374" s="395" t="s">
        <v>371</v>
      </c>
      <c r="G374" s="396"/>
      <c r="H374" s="397"/>
      <c r="I374" s="383">
        <v>130000</v>
      </c>
      <c r="J374" s="398">
        <v>140142</v>
      </c>
      <c r="K374" s="399" t="s">
        <v>70</v>
      </c>
      <c r="L374" s="399" t="s">
        <v>34</v>
      </c>
      <c r="M374" s="399">
        <v>16</v>
      </c>
      <c r="N374" s="356">
        <v>3429000</v>
      </c>
      <c r="O374" s="28" t="b">
        <v>1</v>
      </c>
    </row>
    <row r="375" spans="2:15" s="28" customFormat="1" ht="16.5" customHeight="1">
      <c r="B375" s="20"/>
      <c r="C375" s="20"/>
      <c r="D375" s="254"/>
      <c r="E375" s="379">
        <v>140143</v>
      </c>
      <c r="F375" s="395" t="s">
        <v>372</v>
      </c>
      <c r="G375" s="396"/>
      <c r="H375" s="397"/>
      <c r="I375" s="383">
        <v>203000</v>
      </c>
      <c r="J375" s="398">
        <v>140143</v>
      </c>
      <c r="K375" s="399" t="s">
        <v>70</v>
      </c>
      <c r="L375" s="399" t="s">
        <v>34</v>
      </c>
      <c r="M375" s="399">
        <v>16</v>
      </c>
      <c r="N375" s="356">
        <v>201000</v>
      </c>
      <c r="O375" s="28" t="b">
        <v>1</v>
      </c>
    </row>
    <row r="376" spans="2:15" s="28" customFormat="1" ht="16.5" customHeight="1">
      <c r="B376" s="20"/>
      <c r="C376" s="20"/>
      <c r="D376" s="254"/>
      <c r="E376" s="379">
        <v>140148</v>
      </c>
      <c r="F376" s="395" t="s">
        <v>650</v>
      </c>
      <c r="G376" s="401"/>
      <c r="H376" s="402"/>
      <c r="I376" s="383">
        <v>1484000</v>
      </c>
      <c r="J376" s="398">
        <v>140148</v>
      </c>
      <c r="K376" s="399" t="s">
        <v>71</v>
      </c>
      <c r="L376" s="399" t="s">
        <v>34</v>
      </c>
      <c r="M376" s="399">
        <v>180</v>
      </c>
      <c r="N376" s="356">
        <v>456000</v>
      </c>
      <c r="O376" s="28" t="b">
        <v>1</v>
      </c>
    </row>
    <row r="377" spans="2:15" s="28" customFormat="1" ht="16.5" customHeight="1">
      <c r="B377" s="20"/>
      <c r="C377" s="20"/>
      <c r="D377" s="254"/>
      <c r="E377" s="379">
        <v>140149</v>
      </c>
      <c r="F377" s="395" t="s">
        <v>651</v>
      </c>
      <c r="G377" s="396"/>
      <c r="H377" s="397"/>
      <c r="I377" s="383">
        <v>1303000</v>
      </c>
      <c r="J377" s="398">
        <v>140149</v>
      </c>
      <c r="K377" s="399" t="s">
        <v>71</v>
      </c>
      <c r="L377" s="399" t="s">
        <v>34</v>
      </c>
      <c r="M377" s="399">
        <v>180</v>
      </c>
      <c r="N377" s="356">
        <v>270000</v>
      </c>
      <c r="O377" s="28" t="b">
        <v>1</v>
      </c>
    </row>
    <row r="378" spans="2:15" s="28" customFormat="1" ht="16.5" customHeight="1">
      <c r="B378" s="20"/>
      <c r="C378" s="20"/>
      <c r="D378" s="254"/>
      <c r="E378" s="379">
        <v>140150</v>
      </c>
      <c r="F378" s="395" t="s">
        <v>652</v>
      </c>
      <c r="G378" s="396"/>
      <c r="H378" s="397"/>
      <c r="I378" s="383">
        <v>1484000</v>
      </c>
      <c r="J378" s="398">
        <v>140150</v>
      </c>
      <c r="K378" s="399" t="s">
        <v>71</v>
      </c>
      <c r="L378" s="399" t="s">
        <v>34</v>
      </c>
      <c r="M378" s="399">
        <v>180</v>
      </c>
      <c r="N378" s="356">
        <v>255000</v>
      </c>
      <c r="O378" s="28" t="b">
        <v>1</v>
      </c>
    </row>
    <row r="379" spans="2:15" s="28" customFormat="1" ht="16.5" customHeight="1">
      <c r="B379" s="20"/>
      <c r="C379" s="20"/>
      <c r="D379" s="254"/>
      <c r="E379" s="379">
        <v>140151</v>
      </c>
      <c r="F379" s="395" t="s">
        <v>653</v>
      </c>
      <c r="G379" s="396"/>
      <c r="H379" s="397"/>
      <c r="I379" s="383">
        <v>1568000</v>
      </c>
      <c r="J379" s="398">
        <v>140151</v>
      </c>
      <c r="K379" s="399" t="s">
        <v>71</v>
      </c>
      <c r="L379" s="399" t="s">
        <v>34</v>
      </c>
      <c r="M379" s="399">
        <v>180</v>
      </c>
      <c r="N379" s="356">
        <v>271000</v>
      </c>
      <c r="O379" s="28" t="b">
        <v>1</v>
      </c>
    </row>
    <row r="380" spans="2:15" s="28" customFormat="1" ht="16.5" customHeight="1">
      <c r="B380" s="20"/>
      <c r="C380" s="20"/>
      <c r="D380" s="254"/>
      <c r="E380" s="379">
        <v>140152</v>
      </c>
      <c r="F380" s="395" t="s">
        <v>654</v>
      </c>
      <c r="G380" s="396"/>
      <c r="H380" s="397"/>
      <c r="I380" s="383">
        <v>2126000</v>
      </c>
      <c r="J380" s="398">
        <v>140152</v>
      </c>
      <c r="K380" s="399" t="s">
        <v>71</v>
      </c>
      <c r="L380" s="399" t="s">
        <v>34</v>
      </c>
      <c r="M380" s="399">
        <v>180</v>
      </c>
      <c r="N380" s="356">
        <v>520000</v>
      </c>
      <c r="O380" s="28" t="b">
        <v>1</v>
      </c>
    </row>
    <row r="381" spans="2:15" s="28" customFormat="1" ht="16.5" customHeight="1">
      <c r="B381" s="20"/>
      <c r="C381" s="20"/>
      <c r="D381" s="254"/>
      <c r="E381" s="379">
        <v>140153</v>
      </c>
      <c r="F381" s="395" t="s">
        <v>655</v>
      </c>
      <c r="G381" s="396"/>
      <c r="H381" s="397"/>
      <c r="I381" s="383">
        <v>2128000</v>
      </c>
      <c r="J381" s="398">
        <v>140153</v>
      </c>
      <c r="K381" s="399" t="s">
        <v>71</v>
      </c>
      <c r="L381" s="399" t="s">
        <v>34</v>
      </c>
      <c r="M381" s="399">
        <v>180</v>
      </c>
      <c r="N381" s="356">
        <v>54000</v>
      </c>
      <c r="O381" s="28" t="b">
        <v>1</v>
      </c>
    </row>
    <row r="382" spans="2:15" s="28" customFormat="1" ht="16.5" customHeight="1">
      <c r="B382" s="20"/>
      <c r="C382" s="20"/>
      <c r="D382" s="254"/>
      <c r="E382" s="379">
        <v>140154</v>
      </c>
      <c r="F382" s="395" t="s">
        <v>656</v>
      </c>
      <c r="G382" s="396"/>
      <c r="H382" s="397"/>
      <c r="I382" s="383" t="e">
        <v>#N/A</v>
      </c>
      <c r="J382" s="398">
        <v>140154</v>
      </c>
      <c r="K382" s="399" t="s">
        <v>71</v>
      </c>
      <c r="L382" s="399" t="s">
        <v>34</v>
      </c>
      <c r="M382" s="399">
        <v>180</v>
      </c>
      <c r="N382" s="356">
        <v>3193000</v>
      </c>
      <c r="O382" s="28" t="b">
        <v>1</v>
      </c>
    </row>
    <row r="383" spans="2:15" s="28" customFormat="1" ht="16.5" customHeight="1">
      <c r="B383" s="20"/>
      <c r="C383" s="20"/>
      <c r="D383" s="254"/>
      <c r="E383" s="379">
        <v>140204</v>
      </c>
      <c r="F383" s="395" t="s">
        <v>379</v>
      </c>
      <c r="G383" s="396"/>
      <c r="H383" s="397"/>
      <c r="I383" s="383">
        <v>352000</v>
      </c>
      <c r="J383" s="398">
        <v>140204</v>
      </c>
      <c r="K383" s="399" t="s">
        <v>70</v>
      </c>
      <c r="L383" s="399" t="s">
        <v>34</v>
      </c>
      <c r="M383" s="399">
        <v>16</v>
      </c>
      <c r="N383" s="356">
        <v>3403000</v>
      </c>
      <c r="O383" s="28" t="b">
        <v>1</v>
      </c>
    </row>
    <row r="384" spans="2:15" s="28" customFormat="1" ht="16.5" customHeight="1">
      <c r="B384" s="20"/>
      <c r="C384" s="20"/>
      <c r="D384" s="254"/>
      <c r="E384" s="379">
        <v>140205</v>
      </c>
      <c r="F384" s="395" t="s">
        <v>380</v>
      </c>
      <c r="G384" s="401"/>
      <c r="H384" s="402"/>
      <c r="I384" s="383">
        <v>355000</v>
      </c>
      <c r="J384" s="398">
        <v>140205</v>
      </c>
      <c r="K384" s="399" t="s">
        <v>70</v>
      </c>
      <c r="L384" s="399" t="s">
        <v>34</v>
      </c>
      <c r="M384" s="399">
        <v>16</v>
      </c>
      <c r="N384" s="356">
        <v>320000</v>
      </c>
      <c r="O384" s="28" t="b">
        <v>1</v>
      </c>
    </row>
    <row r="385" spans="2:15" s="28" customFormat="1" ht="16.5" customHeight="1">
      <c r="B385" s="20"/>
      <c r="C385" s="20"/>
      <c r="D385" s="254"/>
      <c r="E385" s="379">
        <v>140206</v>
      </c>
      <c r="F385" s="395" t="s">
        <v>659</v>
      </c>
      <c r="G385" s="396"/>
      <c r="H385" s="397"/>
      <c r="I385" s="383">
        <v>3685000</v>
      </c>
      <c r="J385" s="398">
        <v>140206</v>
      </c>
      <c r="K385" s="399" t="s">
        <v>71</v>
      </c>
      <c r="L385" s="399" t="s">
        <v>34</v>
      </c>
      <c r="M385" s="399">
        <v>174</v>
      </c>
      <c r="N385" s="356">
        <v>3231000</v>
      </c>
      <c r="O385" s="28" t="b">
        <v>1</v>
      </c>
    </row>
    <row r="386" spans="2:15" s="28" customFormat="1" ht="16.5" customHeight="1">
      <c r="B386" s="20"/>
      <c r="C386" s="20"/>
      <c r="D386" s="254"/>
      <c r="E386" s="379">
        <v>140207</v>
      </c>
      <c r="F386" s="395" t="s">
        <v>660</v>
      </c>
      <c r="G386" s="396"/>
      <c r="H386" s="397"/>
      <c r="I386" s="383">
        <v>3777000</v>
      </c>
      <c r="J386" s="398">
        <v>140207</v>
      </c>
      <c r="K386" s="399" t="s">
        <v>71</v>
      </c>
      <c r="L386" s="399" t="s">
        <v>34</v>
      </c>
      <c r="M386" s="399">
        <v>174</v>
      </c>
      <c r="N386" s="356">
        <v>326000</v>
      </c>
      <c r="O386" s="28" t="b">
        <v>1</v>
      </c>
    </row>
    <row r="387" spans="2:15" s="28" customFormat="1" ht="16.5" customHeight="1">
      <c r="B387" s="20"/>
      <c r="C387" s="20"/>
      <c r="D387" s="254"/>
      <c r="E387" s="379">
        <v>140208</v>
      </c>
      <c r="F387" s="395" t="s">
        <v>661</v>
      </c>
      <c r="G387" s="396"/>
      <c r="H387" s="397"/>
      <c r="I387" s="383">
        <v>3689000</v>
      </c>
      <c r="J387" s="398">
        <v>140208</v>
      </c>
      <c r="K387" s="399" t="s">
        <v>71</v>
      </c>
      <c r="L387" s="399" t="s">
        <v>34</v>
      </c>
      <c r="M387" s="399">
        <v>174</v>
      </c>
      <c r="N387" s="356">
        <v>340000</v>
      </c>
      <c r="O387" s="28" t="b">
        <v>1</v>
      </c>
    </row>
    <row r="388" spans="2:15" s="28" customFormat="1" ht="16.5" customHeight="1">
      <c r="B388" s="20"/>
      <c r="C388" s="20"/>
      <c r="D388" s="254"/>
      <c r="E388" s="379">
        <v>140209</v>
      </c>
      <c r="F388" s="395" t="s">
        <v>662</v>
      </c>
      <c r="G388" s="396"/>
      <c r="H388" s="397"/>
      <c r="I388" s="383">
        <v>3730000</v>
      </c>
      <c r="J388" s="398">
        <v>140209</v>
      </c>
      <c r="K388" s="399" t="s">
        <v>71</v>
      </c>
      <c r="L388" s="399" t="s">
        <v>34</v>
      </c>
      <c r="M388" s="399">
        <v>174</v>
      </c>
      <c r="N388" s="356">
        <v>140000</v>
      </c>
      <c r="O388" s="28" t="b">
        <v>1</v>
      </c>
    </row>
    <row r="389" spans="2:15" s="28" customFormat="1" ht="16.5" customHeight="1">
      <c r="B389" s="20"/>
      <c r="C389" s="20"/>
      <c r="D389" s="254"/>
      <c r="E389" s="379">
        <v>140210</v>
      </c>
      <c r="F389" s="395" t="s">
        <v>663</v>
      </c>
      <c r="G389" s="396"/>
      <c r="H389" s="397"/>
      <c r="I389" s="383">
        <v>3687000</v>
      </c>
      <c r="J389" s="398">
        <v>140210</v>
      </c>
      <c r="K389" s="399" t="s">
        <v>71</v>
      </c>
      <c r="L389" s="399" t="s">
        <v>34</v>
      </c>
      <c r="M389" s="399">
        <v>174</v>
      </c>
      <c r="N389" s="356">
        <v>120000</v>
      </c>
      <c r="O389" s="28" t="b">
        <v>1</v>
      </c>
    </row>
    <row r="390" spans="2:15" s="28" customFormat="1" ht="16.5" customHeight="1">
      <c r="B390" s="20"/>
      <c r="C390" s="20"/>
      <c r="D390" s="254"/>
      <c r="E390" s="379">
        <v>140211</v>
      </c>
      <c r="F390" s="395" t="s">
        <v>664</v>
      </c>
      <c r="G390" s="396"/>
      <c r="H390" s="397"/>
      <c r="I390" s="383">
        <v>3730000</v>
      </c>
      <c r="J390" s="398">
        <v>140211</v>
      </c>
      <c r="K390" s="399" t="s">
        <v>71</v>
      </c>
      <c r="L390" s="399" t="s">
        <v>34</v>
      </c>
      <c r="M390" s="399">
        <v>174</v>
      </c>
      <c r="N390" s="356">
        <v>188000</v>
      </c>
      <c r="O390" s="28" t="b">
        <v>1</v>
      </c>
    </row>
    <row r="391" spans="2:15" s="28" customFormat="1" ht="16.5" customHeight="1">
      <c r="B391" s="20"/>
      <c r="C391" s="20"/>
      <c r="D391" s="254"/>
      <c r="E391" s="379">
        <v>140252</v>
      </c>
      <c r="F391" s="395" t="s">
        <v>381</v>
      </c>
      <c r="G391" s="396"/>
      <c r="H391" s="397"/>
      <c r="I391" s="383">
        <v>81000</v>
      </c>
      <c r="J391" s="398">
        <v>140252</v>
      </c>
      <c r="K391" s="399" t="s">
        <v>70</v>
      </c>
      <c r="L391" s="399" t="s">
        <v>34</v>
      </c>
      <c r="M391" s="399">
        <v>16</v>
      </c>
      <c r="N391" s="356">
        <v>130000</v>
      </c>
      <c r="O391" s="28" t="b">
        <v>1</v>
      </c>
    </row>
    <row r="392" spans="2:15" s="28" customFormat="1" ht="16.5" customHeight="1">
      <c r="B392" s="20"/>
      <c r="C392" s="20"/>
      <c r="D392" s="254"/>
      <c r="E392" s="379">
        <v>140254</v>
      </c>
      <c r="F392" s="395" t="s">
        <v>382</v>
      </c>
      <c r="G392" s="396"/>
      <c r="H392" s="397"/>
      <c r="I392" s="383">
        <v>81000</v>
      </c>
      <c r="J392" s="398">
        <v>140254</v>
      </c>
      <c r="K392" s="399" t="s">
        <v>70</v>
      </c>
      <c r="L392" s="399" t="s">
        <v>34</v>
      </c>
      <c r="M392" s="399">
        <v>16</v>
      </c>
      <c r="N392" s="356">
        <v>203000</v>
      </c>
      <c r="O392" s="28" t="b">
        <v>1</v>
      </c>
    </row>
    <row r="393" spans="2:15" s="28" customFormat="1" ht="16.5" customHeight="1">
      <c r="B393" s="20"/>
      <c r="C393" s="20"/>
      <c r="D393" s="254"/>
      <c r="E393" s="379">
        <v>140255</v>
      </c>
      <c r="F393" s="395" t="s">
        <v>383</v>
      </c>
      <c r="G393" s="396"/>
      <c r="H393" s="397"/>
      <c r="I393" s="383">
        <v>81000</v>
      </c>
      <c r="J393" s="398">
        <v>140255</v>
      </c>
      <c r="K393" s="399" t="s">
        <v>70</v>
      </c>
      <c r="L393" s="399" t="s">
        <v>34</v>
      </c>
      <c r="M393" s="399">
        <v>16</v>
      </c>
      <c r="N393" s="356">
        <v>1484000</v>
      </c>
      <c r="O393" s="28" t="b">
        <v>1</v>
      </c>
    </row>
    <row r="394" spans="2:15" s="28" customFormat="1" ht="16.5" customHeight="1">
      <c r="B394" s="20"/>
      <c r="C394" s="20"/>
      <c r="D394" s="254"/>
      <c r="E394" s="379">
        <v>140256</v>
      </c>
      <c r="F394" s="395" t="s">
        <v>384</v>
      </c>
      <c r="G394" s="396"/>
      <c r="H394" s="397"/>
      <c r="I394" s="383">
        <v>81000</v>
      </c>
      <c r="J394" s="398">
        <v>140256</v>
      </c>
      <c r="K394" s="399" t="s">
        <v>70</v>
      </c>
      <c r="L394" s="399" t="s">
        <v>34</v>
      </c>
      <c r="M394" s="399">
        <v>16</v>
      </c>
      <c r="N394" s="356">
        <v>1303000</v>
      </c>
      <c r="O394" s="28" t="b">
        <v>1</v>
      </c>
    </row>
    <row r="395" spans="2:15" s="28" customFormat="1" ht="16.5" customHeight="1">
      <c r="B395" s="20"/>
      <c r="C395" s="20"/>
      <c r="D395" s="254"/>
      <c r="E395" s="379">
        <v>140257</v>
      </c>
      <c r="F395" s="395" t="s">
        <v>127</v>
      </c>
      <c r="G395" s="396"/>
      <c r="H395" s="397"/>
      <c r="I395" s="383">
        <v>728000</v>
      </c>
      <c r="J395" s="398">
        <v>140257</v>
      </c>
      <c r="K395" s="399" t="s">
        <v>71</v>
      </c>
      <c r="L395" s="399" t="s">
        <v>34</v>
      </c>
      <c r="M395" s="399">
        <v>180</v>
      </c>
      <c r="N395" s="356">
        <v>1484000</v>
      </c>
      <c r="O395" s="28" t="b">
        <v>1</v>
      </c>
    </row>
    <row r="396" spans="2:15" s="28" customFormat="1" ht="16.5" customHeight="1">
      <c r="B396" s="20"/>
      <c r="C396" s="20"/>
      <c r="D396" s="254"/>
      <c r="E396" s="379">
        <v>140259</v>
      </c>
      <c r="F396" s="395" t="s">
        <v>665</v>
      </c>
      <c r="G396" s="396"/>
      <c r="H396" s="397"/>
      <c r="I396" s="383">
        <v>728000</v>
      </c>
      <c r="J396" s="398">
        <v>140259</v>
      </c>
      <c r="K396" s="399" t="s">
        <v>71</v>
      </c>
      <c r="L396" s="399" t="s">
        <v>34</v>
      </c>
      <c r="M396" s="399">
        <v>180</v>
      </c>
      <c r="N396" s="356">
        <v>1568000</v>
      </c>
      <c r="O396" s="28" t="b">
        <v>1</v>
      </c>
    </row>
    <row r="397" spans="2:15" s="28" customFormat="1" ht="16.5" customHeight="1">
      <c r="B397" s="20"/>
      <c r="C397" s="20"/>
      <c r="D397" s="254"/>
      <c r="E397" s="379">
        <v>140260</v>
      </c>
      <c r="F397" s="395" t="s">
        <v>666</v>
      </c>
      <c r="G397" s="396"/>
      <c r="H397" s="397"/>
      <c r="I397" s="383">
        <v>728000</v>
      </c>
      <c r="J397" s="398">
        <v>140260</v>
      </c>
      <c r="K397" s="399" t="s">
        <v>71</v>
      </c>
      <c r="L397" s="399" t="s">
        <v>34</v>
      </c>
      <c r="M397" s="399">
        <v>180</v>
      </c>
      <c r="N397" s="356">
        <v>2126000</v>
      </c>
      <c r="O397" s="28" t="b">
        <v>1</v>
      </c>
    </row>
    <row r="398" spans="2:15" s="28" customFormat="1" ht="16.5" customHeight="1">
      <c r="B398" s="20"/>
      <c r="C398" s="20"/>
      <c r="D398" s="254"/>
      <c r="E398" s="379">
        <v>140261</v>
      </c>
      <c r="F398" s="395" t="s">
        <v>667</v>
      </c>
      <c r="G398" s="396"/>
      <c r="H398" s="397"/>
      <c r="I398" s="383">
        <v>728000</v>
      </c>
      <c r="J398" s="398">
        <v>140261</v>
      </c>
      <c r="K398" s="399" t="s">
        <v>71</v>
      </c>
      <c r="L398" s="399" t="s">
        <v>34</v>
      </c>
      <c r="M398" s="399">
        <v>180</v>
      </c>
      <c r="N398" s="356">
        <v>2128000</v>
      </c>
      <c r="O398" s="28" t="b">
        <v>1</v>
      </c>
    </row>
    <row r="399" spans="2:15" s="28" customFormat="1" ht="16.5" customHeight="1">
      <c r="B399" s="20"/>
      <c r="C399" s="20"/>
      <c r="D399" s="254"/>
      <c r="E399" s="379">
        <v>140262</v>
      </c>
      <c r="F399" s="395" t="s">
        <v>668</v>
      </c>
      <c r="G399" s="396"/>
      <c r="H399" s="397"/>
      <c r="I399" s="383">
        <v>728000</v>
      </c>
      <c r="J399" s="398">
        <v>140262</v>
      </c>
      <c r="K399" s="399" t="s">
        <v>71</v>
      </c>
      <c r="L399" s="399" t="s">
        <v>34</v>
      </c>
      <c r="M399" s="399">
        <v>180</v>
      </c>
      <c r="N399" s="356" t="e">
        <v>#N/A</v>
      </c>
      <c r="O399" s="28" t="e">
        <v>#N/A</v>
      </c>
    </row>
    <row r="400" spans="2:15" s="28" customFormat="1" ht="16.5" customHeight="1">
      <c r="B400" s="20"/>
      <c r="C400" s="20"/>
      <c r="D400" s="254"/>
      <c r="E400" s="379">
        <v>140263</v>
      </c>
      <c r="F400" s="395" t="s">
        <v>126</v>
      </c>
      <c r="G400" s="396"/>
      <c r="H400" s="397"/>
      <c r="I400" s="383">
        <v>81000</v>
      </c>
      <c r="J400" s="398">
        <v>140263</v>
      </c>
      <c r="K400" s="399" t="s">
        <v>70</v>
      </c>
      <c r="L400" s="399" t="s">
        <v>34</v>
      </c>
      <c r="M400" s="399">
        <v>16</v>
      </c>
      <c r="N400" s="356">
        <v>352000</v>
      </c>
      <c r="O400" s="28" t="b">
        <v>1</v>
      </c>
    </row>
    <row r="401" spans="2:15" s="28" customFormat="1" ht="16.5" customHeight="1">
      <c r="B401" s="20"/>
      <c r="C401" s="20"/>
      <c r="D401" s="254"/>
      <c r="E401" s="379">
        <v>140355</v>
      </c>
      <c r="F401" s="395" t="s">
        <v>385</v>
      </c>
      <c r="G401" s="396"/>
      <c r="H401" s="397"/>
      <c r="I401" s="383" t="e">
        <v>#N/A</v>
      </c>
      <c r="J401" s="398">
        <v>140355</v>
      </c>
      <c r="K401" s="399" t="s">
        <v>70</v>
      </c>
      <c r="L401" s="399" t="s">
        <v>34</v>
      </c>
      <c r="M401" s="399">
        <v>18</v>
      </c>
      <c r="N401" s="356">
        <v>355000</v>
      </c>
      <c r="O401" s="28" t="b">
        <v>1</v>
      </c>
    </row>
    <row r="402" spans="2:15" s="28" customFormat="1" ht="16.5" customHeight="1">
      <c r="B402" s="20"/>
      <c r="C402" s="20"/>
      <c r="D402" s="254"/>
      <c r="E402" s="379">
        <v>140435</v>
      </c>
      <c r="F402" s="395" t="s">
        <v>89</v>
      </c>
      <c r="G402" s="396"/>
      <c r="H402" s="397"/>
      <c r="I402" s="383">
        <v>395000</v>
      </c>
      <c r="J402" s="398">
        <v>140435</v>
      </c>
      <c r="K402" s="399" t="s">
        <v>70</v>
      </c>
      <c r="L402" s="399" t="s">
        <v>34</v>
      </c>
      <c r="M402" s="399">
        <v>20</v>
      </c>
      <c r="N402" s="356">
        <v>3685000</v>
      </c>
      <c r="O402" s="28" t="b">
        <v>1</v>
      </c>
    </row>
    <row r="403" spans="2:15" s="28" customFormat="1" ht="16.5" customHeight="1">
      <c r="B403" s="20"/>
      <c r="C403" s="20"/>
      <c r="D403" s="254"/>
      <c r="E403" s="379">
        <v>140485</v>
      </c>
      <c r="F403" s="395" t="s">
        <v>386</v>
      </c>
      <c r="G403" s="396"/>
      <c r="H403" s="397"/>
      <c r="I403" s="383">
        <v>107000</v>
      </c>
      <c r="J403" s="398">
        <v>140485</v>
      </c>
      <c r="K403" s="399" t="s">
        <v>70</v>
      </c>
      <c r="L403" s="399" t="s">
        <v>34</v>
      </c>
      <c r="M403" s="399">
        <v>20</v>
      </c>
      <c r="N403" s="356">
        <v>3777000</v>
      </c>
      <c r="O403" s="28" t="b">
        <v>1</v>
      </c>
    </row>
    <row r="404" spans="2:15" s="28" customFormat="1" ht="16.5" customHeight="1">
      <c r="B404" s="20"/>
      <c r="C404" s="20"/>
      <c r="D404" s="254"/>
      <c r="E404" s="379">
        <v>140499</v>
      </c>
      <c r="F404" s="395" t="s">
        <v>670</v>
      </c>
      <c r="G404" s="396"/>
      <c r="H404" s="397"/>
      <c r="I404" s="383">
        <v>3384000</v>
      </c>
      <c r="J404" s="398">
        <v>140499</v>
      </c>
      <c r="K404" s="399" t="s">
        <v>71</v>
      </c>
      <c r="L404" s="399" t="s">
        <v>34</v>
      </c>
      <c r="M404" s="399">
        <v>208</v>
      </c>
      <c r="N404" s="356">
        <v>3689000</v>
      </c>
      <c r="O404" s="28" t="b">
        <v>1</v>
      </c>
    </row>
    <row r="405" spans="2:15" s="28" customFormat="1" ht="16.5" customHeight="1">
      <c r="B405" s="20"/>
      <c r="C405" s="20"/>
      <c r="D405" s="254"/>
      <c r="E405" s="379">
        <v>140501</v>
      </c>
      <c r="F405" s="395" t="s">
        <v>671</v>
      </c>
      <c r="G405" s="396"/>
      <c r="H405" s="397"/>
      <c r="I405" s="383">
        <v>4442000</v>
      </c>
      <c r="J405" s="398">
        <v>140501</v>
      </c>
      <c r="K405" s="399" t="s">
        <v>71</v>
      </c>
      <c r="L405" s="399" t="s">
        <v>34</v>
      </c>
      <c r="M405" s="399">
        <v>208</v>
      </c>
      <c r="N405" s="356">
        <v>3730000</v>
      </c>
      <c r="O405" s="28" t="b">
        <v>1</v>
      </c>
    </row>
    <row r="406" spans="2:15" s="28" customFormat="1" ht="16.5" customHeight="1">
      <c r="B406" s="20"/>
      <c r="C406" s="20"/>
      <c r="D406" s="254"/>
      <c r="E406" s="379">
        <v>140503</v>
      </c>
      <c r="F406" s="395" t="s">
        <v>672</v>
      </c>
      <c r="G406" s="396"/>
      <c r="H406" s="397"/>
      <c r="I406" s="383">
        <v>4515000</v>
      </c>
      <c r="J406" s="398">
        <v>140503</v>
      </c>
      <c r="K406" s="399" t="s">
        <v>71</v>
      </c>
      <c r="L406" s="399" t="s">
        <v>34</v>
      </c>
      <c r="M406" s="399">
        <v>208</v>
      </c>
      <c r="N406" s="356">
        <v>3687000</v>
      </c>
      <c r="O406" s="28" t="b">
        <v>1</v>
      </c>
    </row>
    <row r="407" spans="2:15" s="28" customFormat="1" ht="16.5" customHeight="1">
      <c r="B407" s="20"/>
      <c r="C407" s="20"/>
      <c r="D407" s="254"/>
      <c r="E407" s="379">
        <v>140541</v>
      </c>
      <c r="F407" s="395" t="s">
        <v>387</v>
      </c>
      <c r="G407" s="396"/>
      <c r="H407" s="397"/>
      <c r="I407" s="383"/>
      <c r="J407" s="398">
        <v>140541</v>
      </c>
      <c r="K407" s="399" t="s">
        <v>70</v>
      </c>
      <c r="L407" s="399" t="s">
        <v>34</v>
      </c>
      <c r="M407" s="399">
        <v>20</v>
      </c>
      <c r="N407" s="356">
        <v>3730000</v>
      </c>
      <c r="O407" s="28" t="b">
        <v>1</v>
      </c>
    </row>
    <row r="408" spans="2:15" s="28" customFormat="1" ht="16.5" customHeight="1">
      <c r="B408" s="20"/>
      <c r="C408" s="20"/>
      <c r="D408" s="254"/>
      <c r="E408" s="379">
        <v>140627</v>
      </c>
      <c r="F408" s="395" t="s">
        <v>676</v>
      </c>
      <c r="G408" s="396"/>
      <c r="H408" s="397"/>
      <c r="I408" s="383">
        <v>746000</v>
      </c>
      <c r="J408" s="398">
        <v>140627</v>
      </c>
      <c r="K408" s="399" t="s">
        <v>71</v>
      </c>
      <c r="L408" s="399" t="s">
        <v>34</v>
      </c>
      <c r="M408" s="399">
        <v>200</v>
      </c>
      <c r="N408" s="356">
        <v>81000</v>
      </c>
      <c r="O408" s="28" t="b">
        <v>1</v>
      </c>
    </row>
    <row r="409" spans="2:15" s="28" customFormat="1" ht="16.5" customHeight="1">
      <c r="B409" s="20"/>
      <c r="C409" s="20"/>
      <c r="D409" s="254"/>
      <c r="E409" s="379">
        <v>140629</v>
      </c>
      <c r="F409" s="395" t="s">
        <v>677</v>
      </c>
      <c r="G409" s="396"/>
      <c r="H409" s="397"/>
      <c r="I409" s="383">
        <v>746000</v>
      </c>
      <c r="J409" s="398">
        <v>140629</v>
      </c>
      <c r="K409" s="399" t="s">
        <v>71</v>
      </c>
      <c r="L409" s="399" t="s">
        <v>34</v>
      </c>
      <c r="M409" s="399">
        <v>200</v>
      </c>
      <c r="N409" s="356">
        <v>81000</v>
      </c>
      <c r="O409" s="28" t="b">
        <v>1</v>
      </c>
    </row>
    <row r="410" spans="2:15" s="28" customFormat="1" ht="16.5" customHeight="1">
      <c r="B410" s="20"/>
      <c r="C410" s="20"/>
      <c r="D410" s="254"/>
      <c r="E410" s="379">
        <v>140631</v>
      </c>
      <c r="F410" s="395" t="s">
        <v>678</v>
      </c>
      <c r="G410" s="396"/>
      <c r="H410" s="397"/>
      <c r="I410" s="383">
        <v>746000</v>
      </c>
      <c r="J410" s="398">
        <v>140631</v>
      </c>
      <c r="K410" s="399" t="s">
        <v>71</v>
      </c>
      <c r="L410" s="399" t="s">
        <v>34</v>
      </c>
      <c r="M410" s="399">
        <v>200</v>
      </c>
      <c r="N410" s="356">
        <v>81000</v>
      </c>
      <c r="O410" s="28" t="b">
        <v>1</v>
      </c>
    </row>
    <row r="411" spans="2:15" s="28" customFormat="1" ht="16.5" customHeight="1">
      <c r="B411" s="20"/>
      <c r="C411" s="20"/>
      <c r="D411" s="254"/>
      <c r="E411" s="379">
        <v>140675</v>
      </c>
      <c r="F411" s="395" t="s">
        <v>388</v>
      </c>
      <c r="G411" s="396"/>
      <c r="H411" s="397"/>
      <c r="I411" s="383">
        <v>79200</v>
      </c>
      <c r="J411" s="398">
        <v>140675</v>
      </c>
      <c r="K411" s="399" t="s">
        <v>70</v>
      </c>
      <c r="L411" s="399" t="s">
        <v>34</v>
      </c>
      <c r="M411" s="399">
        <v>20</v>
      </c>
      <c r="N411" s="356">
        <v>81000</v>
      </c>
      <c r="O411" s="28" t="b">
        <v>1</v>
      </c>
    </row>
    <row r="412" spans="2:15" s="28" customFormat="1" ht="16.5" customHeight="1">
      <c r="B412" s="20"/>
      <c r="C412" s="20"/>
      <c r="D412" s="254"/>
      <c r="E412" s="379">
        <v>140676</v>
      </c>
      <c r="F412" s="395" t="s">
        <v>389</v>
      </c>
      <c r="G412" s="396"/>
      <c r="H412" s="397"/>
      <c r="I412" s="383">
        <v>79200</v>
      </c>
      <c r="J412" s="398">
        <v>140676</v>
      </c>
      <c r="K412" s="399" t="s">
        <v>70</v>
      </c>
      <c r="L412" s="399" t="s">
        <v>34</v>
      </c>
      <c r="M412" s="399">
        <v>20</v>
      </c>
      <c r="N412" s="356">
        <v>728000</v>
      </c>
      <c r="O412" s="28" t="b">
        <v>1</v>
      </c>
    </row>
    <row r="413" spans="2:15" s="28" customFormat="1" ht="16.5" customHeight="1">
      <c r="B413" s="20"/>
      <c r="C413" s="20"/>
      <c r="D413" s="254"/>
      <c r="E413" s="379">
        <v>140677</v>
      </c>
      <c r="F413" s="395" t="s">
        <v>390</v>
      </c>
      <c r="G413" s="396"/>
      <c r="H413" s="397"/>
      <c r="I413" s="383">
        <v>79200</v>
      </c>
      <c r="J413" s="398">
        <v>140677</v>
      </c>
      <c r="K413" s="399" t="s">
        <v>70</v>
      </c>
      <c r="L413" s="399" t="s">
        <v>34</v>
      </c>
      <c r="M413" s="399">
        <v>20</v>
      </c>
      <c r="N413" s="356">
        <v>728000</v>
      </c>
      <c r="O413" s="28" t="b">
        <v>1</v>
      </c>
    </row>
    <row r="414" spans="2:15" s="28" customFormat="1" ht="16.5" customHeight="1">
      <c r="B414" s="20"/>
      <c r="C414" s="20"/>
      <c r="D414" s="254"/>
      <c r="E414" s="379">
        <v>140787</v>
      </c>
      <c r="F414" s="395" t="s">
        <v>682</v>
      </c>
      <c r="G414" s="396"/>
      <c r="H414" s="397"/>
      <c r="I414" s="383">
        <v>1151000</v>
      </c>
      <c r="J414" s="398">
        <v>140787</v>
      </c>
      <c r="K414" s="399" t="s">
        <v>71</v>
      </c>
      <c r="L414" s="399" t="s">
        <v>34</v>
      </c>
      <c r="M414" s="399">
        <v>208</v>
      </c>
      <c r="N414" s="356">
        <v>728000</v>
      </c>
      <c r="O414" s="28" t="b">
        <v>1</v>
      </c>
    </row>
    <row r="415" spans="2:15" s="28" customFormat="1" ht="16.5" customHeight="1">
      <c r="B415" s="20"/>
      <c r="C415" s="20"/>
      <c r="D415" s="254"/>
      <c r="E415" s="379">
        <v>140817</v>
      </c>
      <c r="F415" s="395" t="s">
        <v>122</v>
      </c>
      <c r="G415" s="396"/>
      <c r="H415" s="397"/>
      <c r="I415" s="383" t="e">
        <v>#N/A</v>
      </c>
      <c r="J415" s="398">
        <v>140817</v>
      </c>
      <c r="K415" s="399" t="s">
        <v>71</v>
      </c>
      <c r="L415" s="399" t="s">
        <v>34</v>
      </c>
      <c r="M415" s="399">
        <v>208</v>
      </c>
      <c r="N415" s="356">
        <v>728000</v>
      </c>
      <c r="O415" s="28" t="b">
        <v>1</v>
      </c>
    </row>
    <row r="416" spans="2:15" s="28" customFormat="1" ht="16.5" customHeight="1">
      <c r="B416" s="20"/>
      <c r="C416" s="20"/>
      <c r="D416" s="254"/>
      <c r="E416" s="379">
        <v>140854</v>
      </c>
      <c r="F416" s="395" t="s">
        <v>756</v>
      </c>
      <c r="G416" s="396"/>
      <c r="H416" s="397"/>
      <c r="I416" s="383">
        <v>287000</v>
      </c>
      <c r="J416" s="398">
        <v>140854</v>
      </c>
      <c r="K416" s="399" t="s">
        <v>70</v>
      </c>
      <c r="L416" s="399" t="s">
        <v>34</v>
      </c>
      <c r="M416" s="399">
        <v>20</v>
      </c>
      <c r="N416" s="356">
        <v>728000</v>
      </c>
      <c r="O416" s="28" t="b">
        <v>1</v>
      </c>
    </row>
    <row r="417" spans="2:15" s="28" customFormat="1" ht="16.5" customHeight="1">
      <c r="B417" s="20"/>
      <c r="C417" s="20"/>
      <c r="D417" s="254"/>
      <c r="E417" s="379">
        <v>141187</v>
      </c>
      <c r="F417" s="395" t="s">
        <v>125</v>
      </c>
      <c r="G417" s="396"/>
      <c r="H417" s="397"/>
      <c r="I417" s="383"/>
      <c r="J417" s="398">
        <v>141187</v>
      </c>
      <c r="K417" s="399" t="s">
        <v>71</v>
      </c>
      <c r="L417" s="399" t="s">
        <v>34</v>
      </c>
      <c r="M417" s="399">
        <v>200</v>
      </c>
      <c r="N417" s="356">
        <v>81000</v>
      </c>
      <c r="O417" s="28" t="b">
        <v>1</v>
      </c>
    </row>
    <row r="418" spans="2:15" s="28" customFormat="1" ht="16.5" customHeight="1">
      <c r="B418" s="20"/>
      <c r="C418" s="20"/>
      <c r="D418" s="254"/>
      <c r="E418" s="379">
        <v>141361</v>
      </c>
      <c r="F418" s="395" t="s">
        <v>391</v>
      </c>
      <c r="G418" s="396"/>
      <c r="H418" s="397"/>
      <c r="I418" s="383">
        <v>476000</v>
      </c>
      <c r="J418" s="398">
        <v>141361</v>
      </c>
      <c r="K418" s="399" t="s">
        <v>70</v>
      </c>
      <c r="L418" s="399" t="s">
        <v>34</v>
      </c>
      <c r="M418" s="399">
        <v>16</v>
      </c>
      <c r="N418" s="356" t="e">
        <v>#N/A</v>
      </c>
      <c r="O418" s="28" t="e">
        <v>#N/A</v>
      </c>
    </row>
    <row r="419" spans="2:15" s="28" customFormat="1" ht="16.5" customHeight="1">
      <c r="B419" s="20"/>
      <c r="C419" s="20"/>
      <c r="D419" s="254"/>
      <c r="E419" s="379">
        <v>141367</v>
      </c>
      <c r="F419" s="395" t="s">
        <v>392</v>
      </c>
      <c r="G419" s="396"/>
      <c r="H419" s="397"/>
      <c r="I419" s="383">
        <v>107000</v>
      </c>
      <c r="J419" s="398">
        <v>141367</v>
      </c>
      <c r="K419" s="399" t="s">
        <v>70</v>
      </c>
      <c r="L419" s="399" t="s">
        <v>34</v>
      </c>
      <c r="M419" s="399">
        <v>20</v>
      </c>
      <c r="N419" s="356">
        <v>395000</v>
      </c>
      <c r="O419" s="28" t="b">
        <v>1</v>
      </c>
    </row>
    <row r="420" spans="2:15" s="28" customFormat="1" ht="16.5" customHeight="1">
      <c r="B420" s="20"/>
      <c r="C420" s="20"/>
      <c r="D420" s="254"/>
      <c r="E420" s="379">
        <v>148677</v>
      </c>
      <c r="F420" s="395" t="s">
        <v>134</v>
      </c>
      <c r="G420" s="396"/>
      <c r="H420" s="397"/>
      <c r="I420" s="383">
        <v>1029000</v>
      </c>
      <c r="J420" s="398">
        <v>148677</v>
      </c>
      <c r="K420" s="399" t="s">
        <v>71</v>
      </c>
      <c r="L420" s="399" t="s">
        <v>34</v>
      </c>
      <c r="M420" s="399">
        <v>200</v>
      </c>
      <c r="N420" s="356">
        <v>107000</v>
      </c>
      <c r="O420" s="28" t="b">
        <v>1</v>
      </c>
    </row>
    <row r="421" spans="2:15" s="28" customFormat="1" ht="16.5" customHeight="1">
      <c r="B421" s="20"/>
      <c r="C421" s="20"/>
      <c r="D421" s="254"/>
      <c r="E421" s="379">
        <v>141429</v>
      </c>
      <c r="F421" s="395" t="s">
        <v>119</v>
      </c>
      <c r="G421" s="396"/>
      <c r="H421" s="397"/>
      <c r="I421" s="383">
        <v>4915000</v>
      </c>
      <c r="J421" s="398">
        <v>141429</v>
      </c>
      <c r="K421" s="399" t="s">
        <v>71</v>
      </c>
      <c r="L421" s="399" t="s">
        <v>34</v>
      </c>
      <c r="M421" s="399">
        <v>174</v>
      </c>
      <c r="N421" s="356">
        <v>3384000</v>
      </c>
      <c r="O421" s="28" t="b">
        <v>1</v>
      </c>
    </row>
    <row r="422" spans="2:15" s="28" customFormat="1" ht="16.5" customHeight="1">
      <c r="B422" s="20"/>
      <c r="C422" s="20"/>
      <c r="D422" s="254"/>
      <c r="E422" s="379">
        <v>141467</v>
      </c>
      <c r="F422" s="395" t="s">
        <v>393</v>
      </c>
      <c r="G422" s="396"/>
      <c r="H422" s="397"/>
      <c r="I422" s="383">
        <v>233000</v>
      </c>
      <c r="J422" s="398">
        <v>141467</v>
      </c>
      <c r="K422" s="399" t="s">
        <v>70</v>
      </c>
      <c r="L422" s="399" t="s">
        <v>34</v>
      </c>
      <c r="M422" s="399">
        <v>15.87</v>
      </c>
      <c r="N422" s="356">
        <v>4442000</v>
      </c>
      <c r="O422" s="28" t="b">
        <v>1</v>
      </c>
    </row>
    <row r="423" spans="2:15" s="28" customFormat="1" ht="16.5" customHeight="1">
      <c r="B423" s="20"/>
      <c r="C423" s="20"/>
      <c r="D423" s="254"/>
      <c r="E423" s="379">
        <v>141468</v>
      </c>
      <c r="F423" s="395" t="s">
        <v>686</v>
      </c>
      <c r="G423" s="396"/>
      <c r="H423" s="397"/>
      <c r="I423" s="383">
        <v>2439000</v>
      </c>
      <c r="J423" s="398">
        <v>141468</v>
      </c>
      <c r="K423" s="399" t="s">
        <v>71</v>
      </c>
      <c r="L423" s="399" t="s">
        <v>34</v>
      </c>
      <c r="M423" s="399">
        <v>180</v>
      </c>
      <c r="N423" s="356">
        <v>4515000</v>
      </c>
      <c r="O423" s="28" t="b">
        <v>1</v>
      </c>
    </row>
    <row r="424" spans="2:15" s="28" customFormat="1" ht="16.5" customHeight="1">
      <c r="B424" s="20"/>
      <c r="C424" s="20"/>
      <c r="D424" s="254"/>
      <c r="E424" s="379">
        <v>141654</v>
      </c>
      <c r="F424" s="395" t="s">
        <v>394</v>
      </c>
      <c r="G424" s="396"/>
      <c r="H424" s="397"/>
      <c r="I424" s="383">
        <v>62700</v>
      </c>
      <c r="J424" s="398">
        <v>141654</v>
      </c>
      <c r="K424" s="399" t="s">
        <v>70</v>
      </c>
      <c r="L424" s="399" t="s">
        <v>34</v>
      </c>
      <c r="M424" s="399">
        <v>20</v>
      </c>
      <c r="N424" s="356" t="e">
        <v>#N/A</v>
      </c>
      <c r="O424" s="28" t="e">
        <v>#N/A</v>
      </c>
    </row>
    <row r="425" spans="2:15" s="28" customFormat="1" ht="16.5" customHeight="1">
      <c r="B425" s="20"/>
      <c r="C425" s="20"/>
      <c r="D425" s="254"/>
      <c r="E425" s="379">
        <v>141655</v>
      </c>
      <c r="F425" s="395" t="s">
        <v>689</v>
      </c>
      <c r="G425" s="396"/>
      <c r="H425" s="397"/>
      <c r="I425" s="383">
        <v>582000</v>
      </c>
      <c r="J425" s="398">
        <v>141655</v>
      </c>
      <c r="K425" s="399" t="s">
        <v>71</v>
      </c>
      <c r="L425" s="399" t="s">
        <v>34</v>
      </c>
      <c r="M425" s="399">
        <v>200</v>
      </c>
      <c r="N425" s="356">
        <v>746000</v>
      </c>
      <c r="O425" s="28" t="b">
        <v>1</v>
      </c>
    </row>
    <row r="426" spans="2:15" s="28" customFormat="1" ht="16.5" customHeight="1">
      <c r="B426" s="20"/>
      <c r="C426" s="20"/>
      <c r="D426" s="254"/>
      <c r="E426" s="379">
        <v>141657</v>
      </c>
      <c r="F426" s="395" t="s">
        <v>395</v>
      </c>
      <c r="G426" s="396"/>
      <c r="H426" s="397"/>
      <c r="I426" s="383">
        <v>62700</v>
      </c>
      <c r="J426" s="398">
        <v>141657</v>
      </c>
      <c r="K426" s="399" t="s">
        <v>70</v>
      </c>
      <c r="L426" s="399" t="s">
        <v>34</v>
      </c>
      <c r="M426" s="399">
        <v>20</v>
      </c>
      <c r="N426" s="356">
        <v>746000</v>
      </c>
      <c r="O426" s="28" t="b">
        <v>1</v>
      </c>
    </row>
    <row r="427" spans="2:15" s="28" customFormat="1" ht="16.5" customHeight="1">
      <c r="B427" s="20"/>
      <c r="C427" s="20"/>
      <c r="D427" s="254"/>
      <c r="E427" s="379">
        <v>141658</v>
      </c>
      <c r="F427" s="395" t="s">
        <v>691</v>
      </c>
      <c r="G427" s="396"/>
      <c r="H427" s="397"/>
      <c r="I427" s="383">
        <v>582000</v>
      </c>
      <c r="J427" s="398">
        <v>141658</v>
      </c>
      <c r="K427" s="399" t="s">
        <v>71</v>
      </c>
      <c r="L427" s="399" t="s">
        <v>34</v>
      </c>
      <c r="M427" s="399">
        <v>200</v>
      </c>
      <c r="N427" s="356">
        <v>746000</v>
      </c>
      <c r="O427" s="28" t="b">
        <v>1</v>
      </c>
    </row>
    <row r="428" spans="2:15" s="28" customFormat="1" ht="16.5" customHeight="1">
      <c r="B428" s="20"/>
      <c r="C428" s="20"/>
      <c r="D428" s="254"/>
      <c r="E428" s="379">
        <v>141666</v>
      </c>
      <c r="F428" s="395" t="s">
        <v>693</v>
      </c>
      <c r="G428" s="396"/>
      <c r="H428" s="397"/>
      <c r="I428" s="383">
        <v>755000</v>
      </c>
      <c r="J428" s="398">
        <v>141666</v>
      </c>
      <c r="K428" s="399" t="s">
        <v>71</v>
      </c>
      <c r="L428" s="399" t="s">
        <v>34</v>
      </c>
      <c r="M428" s="399">
        <v>200</v>
      </c>
      <c r="N428" s="356">
        <v>79200</v>
      </c>
      <c r="O428" s="28" t="b">
        <v>1</v>
      </c>
    </row>
    <row r="429" spans="2:15" s="28" customFormat="1" ht="16.5" customHeight="1">
      <c r="B429" s="20"/>
      <c r="C429" s="20"/>
      <c r="D429" s="254"/>
      <c r="E429" s="379">
        <v>141667</v>
      </c>
      <c r="F429" s="395" t="s">
        <v>694</v>
      </c>
      <c r="G429" s="396"/>
      <c r="H429" s="397"/>
      <c r="I429" s="383">
        <v>755000</v>
      </c>
      <c r="J429" s="398">
        <v>141667</v>
      </c>
      <c r="K429" s="399" t="s">
        <v>71</v>
      </c>
      <c r="L429" s="399" t="s">
        <v>34</v>
      </c>
      <c r="M429" s="399">
        <v>200</v>
      </c>
      <c r="N429" s="356">
        <v>79200</v>
      </c>
      <c r="O429" s="28" t="b">
        <v>1</v>
      </c>
    </row>
    <row r="430" spans="2:15" s="28" customFormat="1" ht="16.5" customHeight="1">
      <c r="B430" s="20"/>
      <c r="C430" s="20"/>
      <c r="D430" s="254"/>
      <c r="E430" s="379">
        <v>141737</v>
      </c>
      <c r="F430" s="395" t="s">
        <v>116</v>
      </c>
      <c r="G430" s="396"/>
      <c r="H430" s="397"/>
      <c r="I430" s="383">
        <v>56300</v>
      </c>
      <c r="J430" s="398">
        <v>141737</v>
      </c>
      <c r="K430" s="399" t="s">
        <v>70</v>
      </c>
      <c r="L430" s="399" t="s">
        <v>34</v>
      </c>
      <c r="M430" s="399">
        <v>20</v>
      </c>
      <c r="N430" s="356">
        <v>79200</v>
      </c>
      <c r="O430" s="28" t="b">
        <v>1</v>
      </c>
    </row>
    <row r="431" spans="2:15" s="28" customFormat="1" ht="16.5" customHeight="1">
      <c r="B431" s="20"/>
      <c r="C431" s="20"/>
      <c r="D431" s="254"/>
      <c r="E431" s="379">
        <v>141738</v>
      </c>
      <c r="F431" s="395" t="s">
        <v>115</v>
      </c>
      <c r="G431" s="396"/>
      <c r="H431" s="397"/>
      <c r="I431" s="383">
        <v>520000</v>
      </c>
      <c r="J431" s="398">
        <v>141738</v>
      </c>
      <c r="K431" s="399" t="s">
        <v>71</v>
      </c>
      <c r="L431" s="399" t="s">
        <v>34</v>
      </c>
      <c r="M431" s="399">
        <v>200</v>
      </c>
      <c r="N431" s="356">
        <v>1151000</v>
      </c>
      <c r="O431" s="28" t="b">
        <v>1</v>
      </c>
    </row>
    <row r="432" spans="2:15" s="28" customFormat="1" ht="16.5" customHeight="1">
      <c r="B432" s="20"/>
      <c r="C432" s="20"/>
      <c r="D432" s="254"/>
      <c r="E432" s="379">
        <v>141741</v>
      </c>
      <c r="F432" s="395" t="s">
        <v>114</v>
      </c>
      <c r="G432" s="396"/>
      <c r="H432" s="397"/>
      <c r="I432" s="383">
        <v>53900</v>
      </c>
      <c r="J432" s="398">
        <v>141741</v>
      </c>
      <c r="K432" s="399" t="s">
        <v>70</v>
      </c>
      <c r="L432" s="399" t="s">
        <v>34</v>
      </c>
      <c r="M432" s="399">
        <v>20</v>
      </c>
      <c r="N432" s="356">
        <v>1065000</v>
      </c>
      <c r="O432" s="28" t="e">
        <v>#N/A</v>
      </c>
    </row>
    <row r="433" spans="2:15" s="28" customFormat="1" ht="16.5" customHeight="1">
      <c r="B433" s="20"/>
      <c r="C433" s="20"/>
      <c r="D433" s="254"/>
      <c r="E433" s="379">
        <v>141742</v>
      </c>
      <c r="F433" s="395" t="s">
        <v>113</v>
      </c>
      <c r="G433" s="396"/>
      <c r="H433" s="397"/>
      <c r="I433" s="383">
        <v>492000</v>
      </c>
      <c r="J433" s="398">
        <v>141742</v>
      </c>
      <c r="K433" s="399" t="s">
        <v>71</v>
      </c>
      <c r="L433" s="399" t="s">
        <v>34</v>
      </c>
      <c r="M433" s="399">
        <v>200</v>
      </c>
      <c r="N433" s="356">
        <v>287000</v>
      </c>
      <c r="O433" s="28" t="b">
        <v>1</v>
      </c>
    </row>
    <row r="434" spans="2:15" s="28" customFormat="1" ht="16.5" customHeight="1">
      <c r="B434" s="20"/>
      <c r="C434" s="20"/>
      <c r="D434" s="254"/>
      <c r="E434" s="379">
        <v>141745</v>
      </c>
      <c r="F434" s="395" t="s">
        <v>112</v>
      </c>
      <c r="G434" s="396"/>
      <c r="H434" s="397"/>
      <c r="I434" s="383">
        <v>53900</v>
      </c>
      <c r="J434" s="398">
        <v>141745</v>
      </c>
      <c r="K434" s="399" t="s">
        <v>70</v>
      </c>
      <c r="L434" s="399" t="s">
        <v>34</v>
      </c>
      <c r="M434" s="399">
        <v>20</v>
      </c>
      <c r="N434" s="356" t="e">
        <v>#N/A</v>
      </c>
      <c r="O434" s="28" t="e">
        <v>#N/A</v>
      </c>
    </row>
    <row r="435" spans="2:15" s="28" customFormat="1" ht="16.5" customHeight="1">
      <c r="B435" s="20"/>
      <c r="C435" s="20"/>
      <c r="D435" s="254"/>
      <c r="E435" s="379">
        <v>141746</v>
      </c>
      <c r="F435" s="395" t="s">
        <v>111</v>
      </c>
      <c r="G435" s="396"/>
      <c r="H435" s="397"/>
      <c r="I435" s="383">
        <v>492000</v>
      </c>
      <c r="J435" s="398">
        <v>141746</v>
      </c>
      <c r="K435" s="399" t="s">
        <v>71</v>
      </c>
      <c r="L435" s="399" t="s">
        <v>34</v>
      </c>
      <c r="M435" s="399">
        <v>200</v>
      </c>
      <c r="N435" s="356">
        <v>476000</v>
      </c>
      <c r="O435" s="28" t="b">
        <v>1</v>
      </c>
    </row>
    <row r="436" spans="2:15" s="28" customFormat="1" ht="16.5" customHeight="1">
      <c r="B436" s="20"/>
      <c r="C436" s="20"/>
      <c r="D436" s="254"/>
      <c r="E436" s="379">
        <v>141750</v>
      </c>
      <c r="F436" s="395" t="s">
        <v>231</v>
      </c>
      <c r="G436" s="396"/>
      <c r="H436" s="397"/>
      <c r="I436" s="383">
        <v>53900</v>
      </c>
      <c r="J436" s="398">
        <v>141750</v>
      </c>
      <c r="K436" s="399" t="s">
        <v>70</v>
      </c>
      <c r="L436" s="399" t="s">
        <v>34</v>
      </c>
      <c r="M436" s="399">
        <v>20</v>
      </c>
      <c r="N436" s="356">
        <v>107000</v>
      </c>
      <c r="O436" s="28" t="b">
        <v>1</v>
      </c>
    </row>
    <row r="437" spans="2:15" s="28" customFormat="1" ht="16.5" customHeight="1">
      <c r="B437" s="20"/>
      <c r="C437" s="20"/>
      <c r="D437" s="254"/>
      <c r="E437" s="379">
        <v>141751</v>
      </c>
      <c r="F437" s="395" t="s">
        <v>110</v>
      </c>
      <c r="G437" s="396"/>
      <c r="H437" s="397"/>
      <c r="I437" s="383">
        <v>492000</v>
      </c>
      <c r="J437" s="398">
        <v>141751</v>
      </c>
      <c r="K437" s="399" t="s">
        <v>71</v>
      </c>
      <c r="L437" s="399" t="s">
        <v>34</v>
      </c>
      <c r="M437" s="399">
        <v>200</v>
      </c>
      <c r="N437" s="356">
        <v>1029000</v>
      </c>
      <c r="O437" s="28" t="b">
        <v>1</v>
      </c>
    </row>
    <row r="438" spans="2:15" s="28" customFormat="1" ht="16.5" customHeight="1">
      <c r="B438" s="20"/>
      <c r="C438" s="20"/>
      <c r="D438" s="254"/>
      <c r="E438" s="379">
        <v>141763</v>
      </c>
      <c r="F438" s="395" t="s">
        <v>396</v>
      </c>
      <c r="G438" s="396"/>
      <c r="H438" s="397"/>
      <c r="I438" s="383">
        <v>79600</v>
      </c>
      <c r="J438" s="398">
        <v>141763</v>
      </c>
      <c r="K438" s="399" t="s">
        <v>70</v>
      </c>
      <c r="L438" s="399" t="s">
        <v>34</v>
      </c>
      <c r="M438" s="399">
        <v>20</v>
      </c>
      <c r="N438" s="356">
        <v>4915000</v>
      </c>
      <c r="O438" s="28" t="b">
        <v>1</v>
      </c>
    </row>
    <row r="439" spans="2:15" s="28" customFormat="1" ht="16.5" customHeight="1">
      <c r="B439" s="20"/>
      <c r="C439" s="20"/>
      <c r="D439" s="254"/>
      <c r="E439" s="379">
        <v>142012</v>
      </c>
      <c r="F439" s="395" t="s">
        <v>129</v>
      </c>
      <c r="G439" s="396"/>
      <c r="H439" s="397"/>
      <c r="I439" s="383">
        <v>46900</v>
      </c>
      <c r="J439" s="398">
        <v>142012</v>
      </c>
      <c r="K439" s="399" t="s">
        <v>70</v>
      </c>
      <c r="L439" s="399" t="s">
        <v>34</v>
      </c>
      <c r="M439" s="399">
        <v>20</v>
      </c>
      <c r="N439" s="356">
        <v>233000</v>
      </c>
      <c r="O439" s="28" t="b">
        <v>1</v>
      </c>
    </row>
    <row r="440" spans="2:15" s="28" customFormat="1" ht="16.5" customHeight="1">
      <c r="B440" s="20"/>
      <c r="C440" s="20"/>
      <c r="D440" s="254"/>
      <c r="E440" s="379">
        <v>142028</v>
      </c>
      <c r="F440" s="395" t="s">
        <v>768</v>
      </c>
      <c r="G440" s="396"/>
      <c r="H440" s="397"/>
      <c r="I440" s="383">
        <v>318000</v>
      </c>
      <c r="J440" s="398">
        <v>142028</v>
      </c>
      <c r="K440" s="399" t="s">
        <v>70</v>
      </c>
      <c r="L440" s="399" t="s">
        <v>34</v>
      </c>
      <c r="M440" s="399">
        <v>16</v>
      </c>
      <c r="N440" s="356">
        <v>2439000</v>
      </c>
      <c r="O440" s="28" t="b">
        <v>1</v>
      </c>
    </row>
    <row r="441" spans="2:15" s="28" customFormat="1" ht="16.5" customHeight="1">
      <c r="B441" s="20"/>
      <c r="C441" s="20"/>
      <c r="D441" s="254"/>
      <c r="E441" s="379">
        <v>142288</v>
      </c>
      <c r="F441" s="395" t="s">
        <v>121</v>
      </c>
      <c r="G441" s="396"/>
      <c r="H441" s="397"/>
      <c r="I441" s="383">
        <v>6002000</v>
      </c>
      <c r="J441" s="398">
        <v>142288</v>
      </c>
      <c r="K441" s="399" t="s">
        <v>71</v>
      </c>
      <c r="L441" s="399" t="s">
        <v>34</v>
      </c>
      <c r="M441" s="399">
        <v>208</v>
      </c>
      <c r="N441" s="356">
        <v>62700</v>
      </c>
      <c r="O441" s="28" t="b">
        <v>1</v>
      </c>
    </row>
    <row r="442" spans="2:15" s="28" customFormat="1" ht="16.5" customHeight="1">
      <c r="B442" s="20"/>
      <c r="C442" s="20"/>
      <c r="D442" s="254"/>
      <c r="E442" s="379">
        <v>142411</v>
      </c>
      <c r="F442" s="395" t="s">
        <v>705</v>
      </c>
      <c r="G442" s="396"/>
      <c r="H442" s="397"/>
      <c r="I442" s="383">
        <v>777000</v>
      </c>
      <c r="J442" s="398">
        <v>142411</v>
      </c>
      <c r="K442" s="399" t="s">
        <v>71</v>
      </c>
      <c r="L442" s="399" t="s">
        <v>34</v>
      </c>
      <c r="M442" s="399">
        <v>200</v>
      </c>
      <c r="N442" s="356">
        <v>582000</v>
      </c>
      <c r="O442" s="28" t="b">
        <v>1</v>
      </c>
    </row>
    <row r="443" spans="2:15" s="28" customFormat="1" ht="16.5" customHeight="1">
      <c r="B443" s="20"/>
      <c r="C443" s="20"/>
      <c r="D443" s="254"/>
      <c r="E443" s="379">
        <v>142637</v>
      </c>
      <c r="F443" s="395" t="s">
        <v>707</v>
      </c>
      <c r="G443" s="396"/>
      <c r="H443" s="397"/>
      <c r="I443" s="383">
        <v>4494000</v>
      </c>
      <c r="J443" s="399">
        <v>142637</v>
      </c>
      <c r="K443" s="399" t="s">
        <v>71</v>
      </c>
      <c r="L443" s="399" t="s">
        <v>34</v>
      </c>
      <c r="M443" s="399">
        <v>200</v>
      </c>
      <c r="N443" s="356">
        <v>62700</v>
      </c>
      <c r="O443" s="28" t="b">
        <v>1</v>
      </c>
    </row>
    <row r="444" spans="2:15" s="28" customFormat="1" ht="16.5" customHeight="1">
      <c r="B444" s="20"/>
      <c r="C444" s="20"/>
      <c r="D444" s="254"/>
      <c r="E444" s="379">
        <v>143560</v>
      </c>
      <c r="F444" s="395" t="s">
        <v>724</v>
      </c>
      <c r="G444" s="396"/>
      <c r="H444" s="397"/>
      <c r="I444" s="383">
        <v>728000</v>
      </c>
      <c r="J444" s="398">
        <v>143560</v>
      </c>
      <c r="K444" s="399" t="s">
        <v>71</v>
      </c>
      <c r="L444" s="399" t="s">
        <v>34</v>
      </c>
      <c r="M444" s="399">
        <v>200</v>
      </c>
      <c r="N444" s="356">
        <v>582000</v>
      </c>
      <c r="O444" s="28" t="b">
        <v>1</v>
      </c>
    </row>
    <row r="445" spans="2:15" s="28" customFormat="1" ht="16.5" customHeight="1">
      <c r="B445" s="20"/>
      <c r="C445" s="20"/>
      <c r="D445" s="254"/>
      <c r="E445" s="379">
        <v>143561</v>
      </c>
      <c r="F445" s="395" t="s">
        <v>725</v>
      </c>
      <c r="G445" s="396"/>
      <c r="H445" s="397"/>
      <c r="I445" s="383">
        <v>728000</v>
      </c>
      <c r="J445" s="398">
        <v>143561</v>
      </c>
      <c r="K445" s="399" t="s">
        <v>71</v>
      </c>
      <c r="L445" s="399" t="s">
        <v>34</v>
      </c>
      <c r="M445" s="399">
        <v>200</v>
      </c>
      <c r="N445" s="356">
        <v>755000</v>
      </c>
      <c r="O445" s="28" t="b">
        <v>1</v>
      </c>
    </row>
    <row r="446" spans="2:15" s="28" customFormat="1" ht="16.5" customHeight="1">
      <c r="B446" s="20"/>
      <c r="C446" s="20"/>
      <c r="D446" s="254"/>
      <c r="E446" s="379">
        <v>143563</v>
      </c>
      <c r="F446" s="395" t="s">
        <v>726</v>
      </c>
      <c r="G446" s="396"/>
      <c r="H446" s="397"/>
      <c r="I446" s="383">
        <v>728000</v>
      </c>
      <c r="J446" s="398">
        <v>143563</v>
      </c>
      <c r="K446" s="399" t="s">
        <v>71</v>
      </c>
      <c r="L446" s="399" t="s">
        <v>34</v>
      </c>
      <c r="M446" s="399">
        <v>200</v>
      </c>
      <c r="N446" s="356">
        <v>755000</v>
      </c>
      <c r="O446" s="28" t="b">
        <v>1</v>
      </c>
    </row>
    <row r="447" spans="2:15" s="28" customFormat="1" ht="16.5" customHeight="1">
      <c r="B447" s="20"/>
      <c r="C447" s="20"/>
      <c r="D447" s="254"/>
      <c r="E447" s="379">
        <v>143982</v>
      </c>
      <c r="F447" s="395" t="s">
        <v>749</v>
      </c>
      <c r="G447" s="396"/>
      <c r="H447" s="397"/>
      <c r="I447" s="383">
        <v>2995000</v>
      </c>
      <c r="J447" s="398">
        <v>143982</v>
      </c>
      <c r="K447" s="399" t="s">
        <v>71</v>
      </c>
      <c r="L447" s="399" t="s">
        <v>34</v>
      </c>
      <c r="M447" s="399">
        <v>208</v>
      </c>
      <c r="N447" s="356">
        <v>56300</v>
      </c>
      <c r="O447" s="28" t="b">
        <v>1</v>
      </c>
    </row>
    <row r="448" spans="2:15" s="28" customFormat="1" ht="16.5" customHeight="1">
      <c r="B448" s="20"/>
      <c r="C448" s="20"/>
      <c r="D448" s="254"/>
      <c r="E448" s="379">
        <v>143983</v>
      </c>
      <c r="F448" s="395" t="s">
        <v>743</v>
      </c>
      <c r="G448" s="396"/>
      <c r="H448" s="397"/>
      <c r="I448" s="383">
        <v>287000</v>
      </c>
      <c r="J448" s="399">
        <v>143983</v>
      </c>
      <c r="K448" s="399" t="s">
        <v>70</v>
      </c>
      <c r="L448" s="399" t="s">
        <v>34</v>
      </c>
      <c r="M448" s="399">
        <v>20</v>
      </c>
      <c r="N448" s="356">
        <v>520000</v>
      </c>
      <c r="O448" s="28" t="b">
        <v>1</v>
      </c>
    </row>
    <row r="449" spans="2:15" s="28" customFormat="1" ht="16.5" customHeight="1">
      <c r="B449" s="20"/>
      <c r="C449" s="20"/>
      <c r="D449" s="254"/>
      <c r="E449" s="379">
        <v>143985</v>
      </c>
      <c r="F449" s="395" t="s">
        <v>769</v>
      </c>
      <c r="G449" s="396"/>
      <c r="H449" s="397"/>
      <c r="I449" s="383">
        <v>2763000</v>
      </c>
      <c r="J449" s="398">
        <v>143985</v>
      </c>
      <c r="K449" s="399" t="s">
        <v>71</v>
      </c>
      <c r="L449" s="399" t="s">
        <v>34</v>
      </c>
      <c r="M449" s="399">
        <v>208</v>
      </c>
      <c r="N449" s="356">
        <v>53900</v>
      </c>
      <c r="O449" s="28" t="b">
        <v>1</v>
      </c>
    </row>
    <row r="450" spans="2:15" s="28" customFormat="1" ht="16.5" customHeight="1">
      <c r="B450" s="20"/>
      <c r="C450" s="20"/>
      <c r="D450" s="254"/>
      <c r="E450" s="379">
        <v>143987</v>
      </c>
      <c r="F450" s="395" t="s">
        <v>747</v>
      </c>
      <c r="G450" s="396"/>
      <c r="H450" s="397"/>
      <c r="I450" s="383">
        <v>2938000</v>
      </c>
      <c r="J450" s="398">
        <v>143987</v>
      </c>
      <c r="K450" s="399" t="s">
        <v>71</v>
      </c>
      <c r="L450" s="399" t="s">
        <v>34</v>
      </c>
      <c r="M450" s="399">
        <v>208</v>
      </c>
      <c r="N450" s="356">
        <v>492000</v>
      </c>
      <c r="O450" s="28" t="b">
        <v>1</v>
      </c>
    </row>
    <row r="451" spans="2:15" s="28" customFormat="1" ht="16.5" customHeight="1">
      <c r="B451" s="20"/>
      <c r="C451" s="20"/>
      <c r="D451" s="254"/>
      <c r="E451" s="379">
        <v>143988</v>
      </c>
      <c r="F451" s="395" t="s">
        <v>742</v>
      </c>
      <c r="G451" s="396"/>
      <c r="H451" s="397"/>
      <c r="I451" s="383">
        <v>289000</v>
      </c>
      <c r="J451" s="398">
        <v>143988</v>
      </c>
      <c r="K451" s="399" t="s">
        <v>70</v>
      </c>
      <c r="L451" s="399" t="s">
        <v>34</v>
      </c>
      <c r="M451" s="399">
        <v>20</v>
      </c>
      <c r="N451" s="356">
        <v>53900</v>
      </c>
      <c r="O451" s="28" t="b">
        <v>1</v>
      </c>
    </row>
    <row r="452" spans="2:15" s="28" customFormat="1" ht="16.5" customHeight="1">
      <c r="B452" s="20"/>
      <c r="C452" s="20"/>
      <c r="D452" s="254"/>
      <c r="E452" s="379">
        <v>143990</v>
      </c>
      <c r="F452" s="395" t="s">
        <v>770</v>
      </c>
      <c r="G452" s="396"/>
      <c r="H452" s="397"/>
      <c r="I452" s="383">
        <v>3124000</v>
      </c>
      <c r="J452" s="398">
        <v>143990</v>
      </c>
      <c r="K452" s="399" t="s">
        <v>71</v>
      </c>
      <c r="L452" s="399" t="s">
        <v>34</v>
      </c>
      <c r="M452" s="399">
        <v>208</v>
      </c>
      <c r="N452" s="356">
        <v>492000</v>
      </c>
      <c r="O452" s="28" t="b">
        <v>1</v>
      </c>
    </row>
    <row r="453" spans="2:15" s="28" customFormat="1" ht="16.5" customHeight="1">
      <c r="B453" s="20"/>
      <c r="C453" s="20"/>
      <c r="D453" s="254"/>
      <c r="E453" s="379">
        <v>143991</v>
      </c>
      <c r="F453" s="395" t="s">
        <v>771</v>
      </c>
      <c r="G453" s="396"/>
      <c r="H453" s="397"/>
      <c r="I453" s="383">
        <v>337000</v>
      </c>
      <c r="J453" s="398">
        <v>143991</v>
      </c>
      <c r="K453" s="399" t="s">
        <v>70</v>
      </c>
      <c r="L453" s="399" t="s">
        <v>34</v>
      </c>
      <c r="M453" s="399">
        <v>20</v>
      </c>
      <c r="N453" s="356">
        <v>53900</v>
      </c>
      <c r="O453" s="28" t="b">
        <v>1</v>
      </c>
    </row>
    <row r="454" spans="2:15" s="28" customFormat="1" ht="16.5" customHeight="1">
      <c r="B454" s="20"/>
      <c r="C454" s="20"/>
      <c r="D454" s="254"/>
      <c r="E454" s="379">
        <v>143993</v>
      </c>
      <c r="F454" s="395" t="s">
        <v>772</v>
      </c>
      <c r="G454" s="396"/>
      <c r="H454" s="397"/>
      <c r="I454" s="383">
        <v>3255000</v>
      </c>
      <c r="J454" s="399">
        <v>143993</v>
      </c>
      <c r="K454" s="399" t="s">
        <v>71</v>
      </c>
      <c r="L454" s="399" t="s">
        <v>34</v>
      </c>
      <c r="M454" s="399">
        <v>208</v>
      </c>
      <c r="N454" s="356">
        <v>492000</v>
      </c>
      <c r="O454" s="28" t="b">
        <v>1</v>
      </c>
    </row>
    <row r="455" spans="2:15" s="28" customFormat="1" ht="16.5" customHeight="1">
      <c r="B455" s="20"/>
      <c r="C455" s="20"/>
      <c r="D455" s="254"/>
      <c r="E455" s="379">
        <v>143994</v>
      </c>
      <c r="F455" s="395" t="s">
        <v>773</v>
      </c>
      <c r="G455" s="396"/>
      <c r="H455" s="397"/>
      <c r="I455" s="383">
        <v>351000</v>
      </c>
      <c r="J455" s="398">
        <v>143994</v>
      </c>
      <c r="K455" s="399" t="s">
        <v>70</v>
      </c>
      <c r="L455" s="399" t="s">
        <v>34</v>
      </c>
      <c r="M455" s="399">
        <v>20</v>
      </c>
      <c r="N455" s="356">
        <v>79600</v>
      </c>
      <c r="O455" s="28" t="b">
        <v>1</v>
      </c>
    </row>
    <row r="456" spans="2:15" s="28" customFormat="1" ht="16.5" customHeight="1">
      <c r="B456" s="20"/>
      <c r="C456" s="20"/>
      <c r="D456" s="254"/>
      <c r="E456" s="379">
        <v>144165</v>
      </c>
      <c r="F456" s="395" t="s">
        <v>750</v>
      </c>
      <c r="G456" s="396"/>
      <c r="H456" s="397"/>
      <c r="I456" s="383">
        <v>32800</v>
      </c>
      <c r="J456" s="398">
        <v>144165</v>
      </c>
      <c r="K456" s="399" t="s">
        <v>70</v>
      </c>
      <c r="L456" s="399" t="s">
        <v>34</v>
      </c>
      <c r="M456" s="399">
        <v>20</v>
      </c>
      <c r="N456" s="356">
        <v>46900</v>
      </c>
      <c r="O456" s="28" t="b">
        <v>1</v>
      </c>
    </row>
    <row r="457" spans="2:15" s="28" customFormat="1" ht="16.5" customHeight="1">
      <c r="B457" s="20"/>
      <c r="C457" s="20"/>
      <c r="D457" s="254"/>
      <c r="E457" s="379">
        <v>144166</v>
      </c>
      <c r="F457" s="395" t="s">
        <v>748</v>
      </c>
      <c r="G457" s="396"/>
      <c r="H457" s="397"/>
      <c r="I457" s="383">
        <v>303000</v>
      </c>
      <c r="J457" s="398">
        <v>144166</v>
      </c>
      <c r="K457" s="399" t="s">
        <v>71</v>
      </c>
      <c r="L457" s="399" t="s">
        <v>34</v>
      </c>
      <c r="M457" s="399">
        <v>200</v>
      </c>
      <c r="N457" s="356">
        <v>318000</v>
      </c>
      <c r="O457" s="28" t="b">
        <v>1</v>
      </c>
    </row>
    <row r="458" spans="2:15" s="28" customFormat="1" ht="16.5" customHeight="1">
      <c r="B458" s="20"/>
      <c r="C458" s="20"/>
      <c r="D458" s="254"/>
      <c r="E458" s="379">
        <v>144167</v>
      </c>
      <c r="F458" s="395" t="s">
        <v>745</v>
      </c>
      <c r="G458" s="396"/>
      <c r="H458" s="397"/>
      <c r="I458" s="383">
        <v>32800</v>
      </c>
      <c r="J458" s="398">
        <v>144167</v>
      </c>
      <c r="K458" s="399" t="s">
        <v>70</v>
      </c>
      <c r="L458" s="399" t="s">
        <v>34</v>
      </c>
      <c r="M458" s="399">
        <v>20</v>
      </c>
      <c r="N458" s="356">
        <v>6002000</v>
      </c>
      <c r="O458" s="28" t="b">
        <v>1</v>
      </c>
    </row>
    <row r="459" spans="2:15" s="28" customFormat="1" ht="16.5" customHeight="1">
      <c r="B459" s="20"/>
      <c r="C459" s="20"/>
      <c r="D459" s="254"/>
      <c r="E459" s="379">
        <v>144168</v>
      </c>
      <c r="F459" s="395" t="s">
        <v>744</v>
      </c>
      <c r="G459" s="396"/>
      <c r="H459" s="397"/>
      <c r="I459" s="383">
        <v>303000</v>
      </c>
      <c r="J459" s="398">
        <v>144168</v>
      </c>
      <c r="K459" s="399" t="s">
        <v>71</v>
      </c>
      <c r="L459" s="399" t="s">
        <v>34</v>
      </c>
      <c r="M459" s="399">
        <v>200</v>
      </c>
      <c r="N459" s="356">
        <v>777000</v>
      </c>
      <c r="O459" s="28" t="b">
        <v>1</v>
      </c>
    </row>
    <row r="460" spans="2:15" s="28" customFormat="1" ht="16.5" customHeight="1">
      <c r="B460" s="20"/>
      <c r="C460" s="20"/>
      <c r="D460" s="254"/>
      <c r="E460" s="379">
        <v>144169</v>
      </c>
      <c r="F460" s="395" t="s">
        <v>751</v>
      </c>
      <c r="G460" s="396"/>
      <c r="H460" s="397"/>
      <c r="I460" s="383">
        <v>33800</v>
      </c>
      <c r="J460" s="398">
        <v>144169</v>
      </c>
      <c r="K460" s="399" t="s">
        <v>70</v>
      </c>
      <c r="L460" s="399" t="s">
        <v>34</v>
      </c>
      <c r="M460" s="399">
        <v>20</v>
      </c>
      <c r="N460" s="356">
        <v>4494000</v>
      </c>
      <c r="O460" s="28" t="b">
        <v>1</v>
      </c>
    </row>
    <row r="461" spans="2:15" s="28" customFormat="1" ht="16.5" customHeight="1">
      <c r="B461" s="20"/>
      <c r="C461" s="20"/>
      <c r="D461" s="254"/>
      <c r="E461" s="379">
        <v>144170</v>
      </c>
      <c r="F461" s="395" t="s">
        <v>752</v>
      </c>
      <c r="G461" s="396"/>
      <c r="H461" s="397"/>
      <c r="I461" s="383">
        <v>313000</v>
      </c>
      <c r="J461" s="398">
        <v>144170</v>
      </c>
      <c r="K461" s="399" t="s">
        <v>71</v>
      </c>
      <c r="L461" s="399" t="s">
        <v>34</v>
      </c>
      <c r="M461" s="399">
        <v>200</v>
      </c>
      <c r="N461" s="356">
        <v>728000</v>
      </c>
      <c r="O461" s="28" t="b">
        <v>1</v>
      </c>
    </row>
    <row r="462" spans="2:15" s="28" customFormat="1" ht="16.5" customHeight="1">
      <c r="B462" s="20"/>
      <c r="C462" s="20"/>
      <c r="D462" s="254"/>
      <c r="E462" s="379">
        <v>138924</v>
      </c>
      <c r="F462" s="395" t="s">
        <v>555</v>
      </c>
      <c r="G462" s="396"/>
      <c r="H462" s="397"/>
      <c r="I462" s="383"/>
      <c r="J462" s="398">
        <v>138924</v>
      </c>
      <c r="K462" s="399" t="s">
        <v>71</v>
      </c>
      <c r="L462" s="399" t="s">
        <v>34</v>
      </c>
      <c r="M462" s="399">
        <v>200</v>
      </c>
      <c r="N462" s="356">
        <v>728000</v>
      </c>
      <c r="O462" s="28" t="b">
        <v>1</v>
      </c>
    </row>
    <row r="463" spans="2:15" s="28" customFormat="1" ht="16.5" customHeight="1">
      <c r="B463" s="20"/>
      <c r="C463" s="20"/>
      <c r="D463" s="254"/>
      <c r="E463" s="379">
        <v>144364</v>
      </c>
      <c r="F463" s="395" t="s">
        <v>780</v>
      </c>
      <c r="G463" s="396"/>
      <c r="H463" s="397"/>
      <c r="I463" s="383">
        <v>713000</v>
      </c>
      <c r="J463" s="398">
        <v>144364</v>
      </c>
      <c r="K463" s="399" t="s">
        <v>71</v>
      </c>
      <c r="L463" s="399" t="s">
        <v>34</v>
      </c>
      <c r="M463" s="399">
        <v>200</v>
      </c>
      <c r="N463" s="356">
        <v>728000</v>
      </c>
      <c r="O463" s="28" t="b">
        <v>1</v>
      </c>
    </row>
    <row r="464" spans="2:15" s="28" customFormat="1" ht="16.5" customHeight="1">
      <c r="B464" s="20"/>
      <c r="C464" s="20"/>
      <c r="D464" s="254"/>
      <c r="E464" s="379">
        <v>136171</v>
      </c>
      <c r="F464" s="395" t="s">
        <v>39</v>
      </c>
      <c r="G464" s="396"/>
      <c r="H464" s="397"/>
      <c r="I464" s="383"/>
      <c r="J464" s="398">
        <v>136171</v>
      </c>
      <c r="K464" s="399" t="s">
        <v>70</v>
      </c>
      <c r="L464" s="399" t="s">
        <v>34</v>
      </c>
      <c r="M464" s="399">
        <v>20</v>
      </c>
      <c r="N464" s="356">
        <v>2995000</v>
      </c>
      <c r="O464" s="28" t="b">
        <v>1</v>
      </c>
    </row>
    <row r="465" spans="2:15" s="28" customFormat="1" ht="16.5" customHeight="1">
      <c r="B465" s="20"/>
      <c r="C465" s="20"/>
      <c r="D465" s="254"/>
      <c r="E465" s="379">
        <v>144363</v>
      </c>
      <c r="F465" s="395" t="s">
        <v>779</v>
      </c>
      <c r="G465" s="396"/>
      <c r="H465" s="397"/>
      <c r="I465" s="383">
        <v>76100</v>
      </c>
      <c r="J465" s="398">
        <v>144363</v>
      </c>
      <c r="K465" s="399" t="s">
        <v>70</v>
      </c>
      <c r="L465" s="399" t="s">
        <v>34</v>
      </c>
      <c r="M465" s="399">
        <v>20</v>
      </c>
      <c r="N465" s="356">
        <v>287000</v>
      </c>
      <c r="O465" s="28" t="b">
        <v>1</v>
      </c>
    </row>
    <row r="466" spans="2:15" s="28" customFormat="1" ht="16.5" customHeight="1">
      <c r="B466" s="20"/>
      <c r="C466" s="20"/>
      <c r="D466" s="254"/>
      <c r="E466" s="379">
        <v>144353</v>
      </c>
      <c r="F466" s="395" t="s">
        <v>774</v>
      </c>
      <c r="G466" s="396"/>
      <c r="H466" s="397"/>
      <c r="I466" s="383">
        <v>670000</v>
      </c>
      <c r="J466" s="398">
        <v>144353</v>
      </c>
      <c r="K466" s="399" t="s">
        <v>71</v>
      </c>
      <c r="L466" s="399" t="s">
        <v>34</v>
      </c>
      <c r="M466" s="399">
        <v>200</v>
      </c>
      <c r="N466" s="356">
        <v>2763000</v>
      </c>
      <c r="O466" s="28" t="b">
        <v>1</v>
      </c>
    </row>
    <row r="467" spans="2:15" s="28" customFormat="1" ht="16.5" customHeight="1">
      <c r="B467" s="20"/>
      <c r="C467" s="20"/>
      <c r="D467" s="254"/>
      <c r="E467" s="379">
        <v>144351</v>
      </c>
      <c r="F467" s="395" t="s">
        <v>758</v>
      </c>
      <c r="G467" s="396"/>
      <c r="H467" s="397"/>
      <c r="I467" s="383">
        <v>71700</v>
      </c>
      <c r="J467" s="398">
        <v>144351</v>
      </c>
      <c r="K467" s="399" t="s">
        <v>70</v>
      </c>
      <c r="L467" s="399" t="s">
        <v>34</v>
      </c>
      <c r="M467" s="399">
        <v>20</v>
      </c>
      <c r="N467" s="356">
        <v>2938000</v>
      </c>
      <c r="O467" s="28" t="b">
        <v>1</v>
      </c>
    </row>
    <row r="468" spans="2:15" s="28" customFormat="1" ht="16.5" customHeight="1">
      <c r="B468" s="20"/>
      <c r="C468" s="20"/>
      <c r="D468" s="254"/>
      <c r="E468" s="379">
        <v>138925</v>
      </c>
      <c r="F468" s="395" t="s">
        <v>556</v>
      </c>
      <c r="G468" s="396"/>
      <c r="H468" s="397"/>
      <c r="I468" s="383"/>
      <c r="J468" s="398">
        <v>138925</v>
      </c>
      <c r="K468" s="399" t="s">
        <v>71</v>
      </c>
      <c r="L468" s="399" t="s">
        <v>34</v>
      </c>
      <c r="M468" s="399">
        <v>200</v>
      </c>
      <c r="N468" s="356">
        <v>289000</v>
      </c>
      <c r="O468" s="28" t="b">
        <v>1</v>
      </c>
    </row>
    <row r="469" spans="2:15" s="28" customFormat="1" ht="16.5" customHeight="1">
      <c r="B469" s="20"/>
      <c r="C469" s="20"/>
      <c r="D469" s="254"/>
      <c r="E469" s="379">
        <v>144367</v>
      </c>
      <c r="F469" s="395" t="s">
        <v>782</v>
      </c>
      <c r="G469" s="396"/>
      <c r="H469" s="397"/>
      <c r="I469" s="383">
        <v>756000</v>
      </c>
      <c r="J469" s="398">
        <v>144367</v>
      </c>
      <c r="K469" s="399" t="s">
        <v>71</v>
      </c>
      <c r="L469" s="399" t="s">
        <v>34</v>
      </c>
      <c r="M469" s="399">
        <v>200</v>
      </c>
      <c r="N469" s="356">
        <v>3124000</v>
      </c>
      <c r="O469" s="28" t="b">
        <v>1</v>
      </c>
    </row>
    <row r="470" spans="2:15" s="28" customFormat="1" ht="16.5" customHeight="1">
      <c r="B470" s="20"/>
      <c r="C470" s="20"/>
      <c r="D470" s="254"/>
      <c r="E470" s="379">
        <v>136172</v>
      </c>
      <c r="F470" s="395" t="s">
        <v>38</v>
      </c>
      <c r="G470" s="396"/>
      <c r="H470" s="397"/>
      <c r="I470" s="383"/>
      <c r="J470" s="398">
        <v>136172</v>
      </c>
      <c r="K470" s="399" t="s">
        <v>70</v>
      </c>
      <c r="L470" s="399" t="s">
        <v>34</v>
      </c>
      <c r="M470" s="399">
        <v>20</v>
      </c>
      <c r="N470" s="356">
        <v>337000</v>
      </c>
      <c r="O470" s="28" t="b">
        <v>1</v>
      </c>
    </row>
    <row r="471" spans="2:15" s="28" customFormat="1" ht="16.5" customHeight="1">
      <c r="B471" s="20"/>
      <c r="C471" s="20"/>
      <c r="D471" s="254"/>
      <c r="E471" s="379">
        <v>144366</v>
      </c>
      <c r="F471" s="395" t="s">
        <v>781</v>
      </c>
      <c r="G471" s="396"/>
      <c r="H471" s="397"/>
      <c r="I471" s="383">
        <v>80200</v>
      </c>
      <c r="J471" s="398">
        <v>144366</v>
      </c>
      <c r="K471" s="399" t="s">
        <v>70</v>
      </c>
      <c r="L471" s="399" t="s">
        <v>34</v>
      </c>
      <c r="M471" s="399">
        <v>20</v>
      </c>
      <c r="N471" s="356">
        <v>3255000</v>
      </c>
      <c r="O471" s="28" t="b">
        <v>1</v>
      </c>
    </row>
    <row r="472" spans="2:15" s="28" customFormat="1" ht="16.5" customHeight="1">
      <c r="B472" s="20"/>
      <c r="C472" s="20"/>
      <c r="D472" s="254"/>
      <c r="E472" s="379">
        <v>144355</v>
      </c>
      <c r="F472" s="395" t="s">
        <v>775</v>
      </c>
      <c r="G472" s="396"/>
      <c r="H472" s="397"/>
      <c r="I472" s="383">
        <v>670000</v>
      </c>
      <c r="J472" s="398">
        <v>144355</v>
      </c>
      <c r="K472" s="399" t="s">
        <v>71</v>
      </c>
      <c r="L472" s="399" t="s">
        <v>34</v>
      </c>
      <c r="M472" s="399">
        <v>200</v>
      </c>
      <c r="N472" s="356">
        <v>351000</v>
      </c>
      <c r="O472" s="28" t="b">
        <v>1</v>
      </c>
    </row>
    <row r="473" spans="2:15" s="28" customFormat="1" ht="16.5" customHeight="1">
      <c r="B473" s="20"/>
      <c r="C473" s="20"/>
      <c r="D473" s="254"/>
      <c r="E473" s="379">
        <v>144352</v>
      </c>
      <c r="F473" s="395" t="s">
        <v>755</v>
      </c>
      <c r="G473" s="396"/>
      <c r="H473" s="397"/>
      <c r="I473" s="383">
        <v>71700</v>
      </c>
      <c r="J473" s="398">
        <v>144352</v>
      </c>
      <c r="K473" s="399" t="s">
        <v>70</v>
      </c>
      <c r="L473" s="399" t="s">
        <v>34</v>
      </c>
      <c r="M473" s="399">
        <v>20</v>
      </c>
      <c r="N473" s="356">
        <v>32800</v>
      </c>
      <c r="O473" s="28" t="b">
        <v>1</v>
      </c>
    </row>
    <row r="474" spans="2:15" s="28" customFormat="1" ht="16.5" customHeight="1">
      <c r="B474" s="20"/>
      <c r="C474" s="20"/>
      <c r="D474" s="254"/>
      <c r="E474" s="379">
        <v>144358</v>
      </c>
      <c r="F474" s="395" t="s">
        <v>754</v>
      </c>
      <c r="G474" s="396"/>
      <c r="H474" s="397"/>
      <c r="I474" s="383">
        <v>670000</v>
      </c>
      <c r="J474" s="398">
        <v>144358</v>
      </c>
      <c r="K474" s="399" t="s">
        <v>71</v>
      </c>
      <c r="L474" s="399" t="s">
        <v>34</v>
      </c>
      <c r="M474" s="399">
        <v>200</v>
      </c>
      <c r="N474" s="356">
        <v>303000</v>
      </c>
      <c r="O474" s="28" t="b">
        <v>1</v>
      </c>
    </row>
    <row r="475" spans="2:15" s="28" customFormat="1" ht="16.5" customHeight="1">
      <c r="B475" s="20"/>
      <c r="C475" s="20"/>
      <c r="D475" s="254"/>
      <c r="E475" s="379">
        <v>144357</v>
      </c>
      <c r="F475" s="395" t="s">
        <v>776</v>
      </c>
      <c r="G475" s="396"/>
      <c r="H475" s="397"/>
      <c r="I475" s="383">
        <v>71700</v>
      </c>
      <c r="J475" s="398">
        <v>144357</v>
      </c>
      <c r="K475" s="399" t="s">
        <v>70</v>
      </c>
      <c r="L475" s="399" t="s">
        <v>34</v>
      </c>
      <c r="M475" s="399">
        <v>20</v>
      </c>
      <c r="N475" s="356">
        <v>32800</v>
      </c>
      <c r="O475" s="28" t="b">
        <v>1</v>
      </c>
    </row>
    <row r="476" spans="2:15" s="28" customFormat="1" ht="16.5" customHeight="1">
      <c r="B476" s="20"/>
      <c r="C476" s="20"/>
      <c r="D476" s="254"/>
      <c r="E476" s="379">
        <v>144361</v>
      </c>
      <c r="F476" s="395" t="s">
        <v>778</v>
      </c>
      <c r="G476" s="396"/>
      <c r="H476" s="397"/>
      <c r="I476" s="383">
        <v>670000</v>
      </c>
      <c r="J476" s="398">
        <v>144361</v>
      </c>
      <c r="K476" s="399" t="s">
        <v>71</v>
      </c>
      <c r="L476" s="399" t="s">
        <v>34</v>
      </c>
      <c r="M476" s="399">
        <v>200</v>
      </c>
      <c r="N476" s="356">
        <v>303000</v>
      </c>
      <c r="O476" s="28" t="b">
        <v>1</v>
      </c>
    </row>
    <row r="477" spans="2:15" s="28" customFormat="1" ht="16.5" customHeight="1">
      <c r="B477" s="20"/>
      <c r="C477" s="20"/>
      <c r="D477" s="254"/>
      <c r="E477" s="379">
        <v>144360</v>
      </c>
      <c r="F477" s="395" t="s">
        <v>777</v>
      </c>
      <c r="G477" s="396"/>
      <c r="H477" s="397"/>
      <c r="I477" s="383">
        <v>71700</v>
      </c>
      <c r="J477" s="398">
        <v>144360</v>
      </c>
      <c r="K477" s="399" t="s">
        <v>70</v>
      </c>
      <c r="L477" s="399" t="s">
        <v>34</v>
      </c>
      <c r="M477" s="399">
        <v>20</v>
      </c>
      <c r="N477" s="356">
        <v>32800</v>
      </c>
      <c r="O477" s="28" t="b">
        <v>1</v>
      </c>
    </row>
    <row r="478" spans="2:15" s="28" customFormat="1" ht="16.5" customHeight="1">
      <c r="B478" s="20"/>
      <c r="C478" s="20"/>
      <c r="D478" s="254"/>
      <c r="E478" s="379">
        <v>144355</v>
      </c>
      <c r="F478" s="395" t="s">
        <v>775</v>
      </c>
      <c r="G478" s="396"/>
      <c r="H478" s="397"/>
      <c r="I478" s="383">
        <v>670000</v>
      </c>
      <c r="J478" s="398">
        <v>144355</v>
      </c>
      <c r="K478" s="399" t="s">
        <v>71</v>
      </c>
      <c r="L478" s="399" t="s">
        <v>34</v>
      </c>
      <c r="M478" s="399">
        <v>200</v>
      </c>
      <c r="N478" s="356">
        <v>313000</v>
      </c>
      <c r="O478" s="28" t="b">
        <v>1</v>
      </c>
    </row>
    <row r="479" spans="2:15" s="28" customFormat="1" ht="16.5" customHeight="1">
      <c r="B479" s="20"/>
      <c r="C479" s="20"/>
      <c r="D479" s="254"/>
      <c r="E479" s="379">
        <v>144352</v>
      </c>
      <c r="F479" s="395" t="s">
        <v>755</v>
      </c>
      <c r="G479" s="396"/>
      <c r="H479" s="397"/>
      <c r="I479" s="383">
        <v>71700</v>
      </c>
      <c r="J479" s="398">
        <v>144352</v>
      </c>
      <c r="K479" s="399" t="s">
        <v>70</v>
      </c>
      <c r="L479" s="399" t="s">
        <v>34</v>
      </c>
      <c r="M479" s="399">
        <v>20</v>
      </c>
      <c r="N479" s="356" t="e">
        <v>#N/A</v>
      </c>
      <c r="O479" s="28" t="e">
        <v>#N/A</v>
      </c>
    </row>
    <row r="480" spans="2:15" s="28" customFormat="1" ht="16.5" customHeight="1">
      <c r="B480" s="20"/>
      <c r="C480" s="20"/>
      <c r="D480" s="254"/>
      <c r="E480" s="379">
        <v>144358</v>
      </c>
      <c r="F480" s="395" t="s">
        <v>754</v>
      </c>
      <c r="G480" s="396"/>
      <c r="H480" s="397"/>
      <c r="I480" s="383">
        <v>670000</v>
      </c>
      <c r="J480" s="398">
        <v>144358</v>
      </c>
      <c r="K480" s="399" t="s">
        <v>71</v>
      </c>
      <c r="L480" s="399" t="s">
        <v>34</v>
      </c>
      <c r="M480" s="399">
        <v>200</v>
      </c>
      <c r="N480" s="356">
        <v>713000</v>
      </c>
      <c r="O480" s="28" t="b">
        <v>1</v>
      </c>
    </row>
    <row r="481" spans="2:15" s="28" customFormat="1" ht="16.5" customHeight="1">
      <c r="B481" s="20"/>
      <c r="C481" s="20"/>
      <c r="D481" s="254"/>
      <c r="E481" s="379">
        <v>144357</v>
      </c>
      <c r="F481" s="395" t="s">
        <v>776</v>
      </c>
      <c r="G481" s="396"/>
      <c r="H481" s="397"/>
      <c r="I481" s="383">
        <v>71700</v>
      </c>
      <c r="J481" s="398">
        <v>144357</v>
      </c>
      <c r="K481" s="399" t="s">
        <v>70</v>
      </c>
      <c r="L481" s="399" t="s">
        <v>34</v>
      </c>
      <c r="M481" s="399">
        <v>20</v>
      </c>
      <c r="N481" s="356" t="e">
        <v>#N/A</v>
      </c>
      <c r="O481" s="28" t="e">
        <v>#N/A</v>
      </c>
    </row>
    <row r="482" spans="2:15" s="28" customFormat="1" ht="16.5" customHeight="1">
      <c r="B482" s="20"/>
      <c r="C482" s="20"/>
      <c r="D482" s="254"/>
      <c r="E482" s="379">
        <v>144361</v>
      </c>
      <c r="F482" s="395" t="s">
        <v>778</v>
      </c>
      <c r="G482" s="396"/>
      <c r="H482" s="397"/>
      <c r="I482" s="383">
        <v>670000</v>
      </c>
      <c r="J482" s="398">
        <v>144361</v>
      </c>
      <c r="K482" s="399" t="s">
        <v>71</v>
      </c>
      <c r="L482" s="399" t="s">
        <v>34</v>
      </c>
      <c r="M482" s="399">
        <v>200</v>
      </c>
      <c r="N482" s="356">
        <v>76100</v>
      </c>
      <c r="O482" s="28" t="b">
        <v>1</v>
      </c>
    </row>
    <row r="483" spans="2:15" s="28" customFormat="1" ht="16.5" customHeight="1">
      <c r="B483" s="20"/>
      <c r="C483" s="20"/>
      <c r="D483" s="254"/>
      <c r="E483" s="379">
        <v>144360</v>
      </c>
      <c r="F483" s="395" t="s">
        <v>777</v>
      </c>
      <c r="G483" s="396"/>
      <c r="H483" s="397"/>
      <c r="I483" s="383">
        <v>71700</v>
      </c>
      <c r="J483" s="398">
        <v>144360</v>
      </c>
      <c r="K483" s="399" t="s">
        <v>70</v>
      </c>
      <c r="L483" s="399" t="s">
        <v>34</v>
      </c>
      <c r="M483" s="399">
        <v>20</v>
      </c>
      <c r="N483" s="356">
        <v>670000</v>
      </c>
      <c r="O483" s="28" t="b">
        <v>1</v>
      </c>
    </row>
    <row r="484" spans="2:15" s="28" customFormat="1" ht="16.5" customHeight="1">
      <c r="B484" s="20"/>
      <c r="C484" s="20"/>
      <c r="D484" s="254"/>
      <c r="E484" s="379">
        <v>144270</v>
      </c>
      <c r="F484" s="395" t="s">
        <v>843</v>
      </c>
      <c r="G484" s="396"/>
      <c r="H484" s="397"/>
      <c r="I484" s="383">
        <v>1005000</v>
      </c>
      <c r="J484" s="398">
        <v>144270</v>
      </c>
      <c r="K484" s="399" t="s">
        <v>71</v>
      </c>
      <c r="L484" s="399" t="s">
        <v>34</v>
      </c>
      <c r="M484" s="399">
        <v>200</v>
      </c>
      <c r="N484" s="356">
        <v>71700</v>
      </c>
      <c r="O484" s="28" t="b">
        <v>1</v>
      </c>
    </row>
    <row r="485" spans="2:15" s="28" customFormat="1" ht="16.5" customHeight="1">
      <c r="B485" s="20"/>
      <c r="C485" s="20"/>
      <c r="D485" s="254"/>
      <c r="E485" s="379">
        <v>135441</v>
      </c>
      <c r="F485" s="395" t="s">
        <v>298</v>
      </c>
      <c r="G485" s="396"/>
      <c r="H485" s="397"/>
      <c r="I485" s="383">
        <v>287000</v>
      </c>
      <c r="J485" s="398">
        <v>135441</v>
      </c>
      <c r="K485" s="399" t="s">
        <v>70</v>
      </c>
      <c r="L485" s="399" t="s">
        <v>34</v>
      </c>
      <c r="M485" s="399">
        <v>20</v>
      </c>
      <c r="N485" s="356" t="e">
        <v>#N/A</v>
      </c>
      <c r="O485" s="28" t="e">
        <v>#N/A</v>
      </c>
    </row>
    <row r="486" spans="2:15" s="28" customFormat="1" ht="16.5" customHeight="1">
      <c r="B486" s="20"/>
      <c r="C486" s="20"/>
      <c r="D486" s="254"/>
      <c r="E486" s="379">
        <v>128430</v>
      </c>
      <c r="F486" s="395" t="s">
        <v>847</v>
      </c>
      <c r="G486" s="396"/>
      <c r="H486" s="397"/>
      <c r="I486" s="383">
        <v>1800000</v>
      </c>
      <c r="J486" s="398">
        <v>128430</v>
      </c>
      <c r="K486" s="399" t="s">
        <v>71</v>
      </c>
      <c r="L486" s="399" t="s">
        <v>34</v>
      </c>
      <c r="M486" s="399">
        <v>181</v>
      </c>
      <c r="N486" s="356">
        <v>756000</v>
      </c>
      <c r="O486" s="28" t="b">
        <v>1</v>
      </c>
    </row>
    <row r="487" spans="2:15" s="28" customFormat="1" ht="16.5" customHeight="1">
      <c r="B487" s="20"/>
      <c r="C487" s="20"/>
      <c r="D487" s="254"/>
      <c r="E487" s="379">
        <v>141257</v>
      </c>
      <c r="F487" s="395" t="s">
        <v>856</v>
      </c>
      <c r="G487" s="396"/>
      <c r="H487" s="397"/>
      <c r="I487" s="383">
        <v>85932</v>
      </c>
      <c r="J487" s="398">
        <v>141257</v>
      </c>
      <c r="K487" s="378" t="s">
        <v>73</v>
      </c>
      <c r="L487" s="378" t="s">
        <v>35</v>
      </c>
      <c r="M487" s="399">
        <v>12</v>
      </c>
      <c r="N487" s="356" t="e">
        <v>#N/A</v>
      </c>
      <c r="O487" s="28" t="e">
        <v>#N/A</v>
      </c>
    </row>
    <row r="488" spans="2:15" s="28" customFormat="1" ht="16.5" customHeight="1">
      <c r="B488" s="20"/>
      <c r="C488" s="20"/>
      <c r="D488" s="254"/>
      <c r="E488" s="411">
        <v>147122</v>
      </c>
      <c r="F488" s="395" t="s">
        <v>868</v>
      </c>
      <c r="G488" s="396"/>
      <c r="H488" s="397"/>
      <c r="I488" s="383">
        <f>VLOOKUP(E488,'[1]Table 1'!$A$6:$C$21,3,0)</f>
        <v>51828</v>
      </c>
      <c r="J488" s="398">
        <v>147122</v>
      </c>
      <c r="K488" s="399" t="s">
        <v>761</v>
      </c>
      <c r="L488" s="399" t="s">
        <v>872</v>
      </c>
      <c r="M488" s="399">
        <v>12</v>
      </c>
      <c r="N488" s="356">
        <v>80200</v>
      </c>
      <c r="O488" s="28" t="b">
        <v>1</v>
      </c>
    </row>
    <row r="489" spans="2:15" s="28" customFormat="1" ht="16.5" customHeight="1">
      <c r="B489" s="20"/>
      <c r="C489" s="20"/>
      <c r="D489" s="254"/>
      <c r="E489" s="411">
        <v>140901</v>
      </c>
      <c r="F489" s="395" t="s">
        <v>98</v>
      </c>
      <c r="G489" s="396"/>
      <c r="H489" s="397"/>
      <c r="I489" s="383">
        <f>VLOOKUP(E489,'[1]Table 1'!$A$6:$C$21,3,0)</f>
        <v>88308</v>
      </c>
      <c r="J489" s="398">
        <v>140901</v>
      </c>
      <c r="K489" s="399" t="s">
        <v>761</v>
      </c>
      <c r="L489" s="399" t="s">
        <v>872</v>
      </c>
      <c r="M489" s="399">
        <v>20</v>
      </c>
      <c r="N489" s="356">
        <v>670000</v>
      </c>
      <c r="O489" s="28" t="b">
        <v>1</v>
      </c>
    </row>
    <row r="490" spans="2:15" s="28" customFormat="1" ht="16.5" customHeight="1">
      <c r="B490" s="20"/>
      <c r="C490" s="20"/>
      <c r="D490" s="254"/>
      <c r="E490" s="411">
        <v>140904</v>
      </c>
      <c r="F490" s="395" t="s">
        <v>859</v>
      </c>
      <c r="G490" s="396"/>
      <c r="H490" s="397"/>
      <c r="I490" s="383">
        <f>VLOOKUP(E490,'[1]Table 1'!$A$6:$C$21,3,0)</f>
        <v>96792</v>
      </c>
      <c r="J490" s="398">
        <v>140904</v>
      </c>
      <c r="K490" s="399" t="s">
        <v>761</v>
      </c>
      <c r="L490" s="399" t="s">
        <v>872</v>
      </c>
      <c r="M490" s="399">
        <v>20</v>
      </c>
      <c r="N490" s="356">
        <v>71700</v>
      </c>
      <c r="O490" s="28" t="b">
        <v>1</v>
      </c>
    </row>
    <row r="491" spans="2:15" s="28" customFormat="1" ht="16.5" customHeight="1">
      <c r="B491" s="20"/>
      <c r="C491" s="20"/>
      <c r="D491" s="254"/>
      <c r="E491" s="411">
        <v>147379</v>
      </c>
      <c r="F491" s="395" t="s">
        <v>862</v>
      </c>
      <c r="G491" s="396"/>
      <c r="H491" s="397"/>
      <c r="I491" s="383">
        <f>VLOOKUP(E491,'[1]Table 1'!$A$6:$C$21,3,0)</f>
        <v>37740</v>
      </c>
      <c r="J491" s="398">
        <v>147379</v>
      </c>
      <c r="K491" s="399" t="s">
        <v>761</v>
      </c>
      <c r="L491" s="399" t="s">
        <v>872</v>
      </c>
      <c r="M491" s="399">
        <v>12</v>
      </c>
      <c r="N491" s="356">
        <v>670000</v>
      </c>
      <c r="O491" s="28" t="b">
        <v>1</v>
      </c>
    </row>
    <row r="492" spans="2:15" s="28" customFormat="1" ht="16.5" customHeight="1">
      <c r="B492" s="20"/>
      <c r="C492" s="20"/>
      <c r="D492" s="254"/>
      <c r="E492" s="411">
        <v>138583</v>
      </c>
      <c r="F492" s="395" t="s">
        <v>740</v>
      </c>
      <c r="G492" s="396"/>
      <c r="H492" s="397"/>
      <c r="I492" s="383">
        <f>VLOOKUP(E492,'[1]Table 1'!$A$6:$C$21,3,0)</f>
        <v>44600</v>
      </c>
      <c r="J492" s="398">
        <v>138583</v>
      </c>
      <c r="K492" s="399" t="s">
        <v>761</v>
      </c>
      <c r="L492" s="399" t="s">
        <v>872</v>
      </c>
      <c r="M492" s="399">
        <v>12</v>
      </c>
      <c r="N492" s="356">
        <v>71700</v>
      </c>
      <c r="O492" s="28" t="b">
        <v>1</v>
      </c>
    </row>
    <row r="493" spans="2:15" s="28" customFormat="1" ht="16.5" customHeight="1">
      <c r="B493" s="20"/>
      <c r="C493" s="20"/>
      <c r="D493" s="254"/>
      <c r="E493" s="411">
        <v>140876</v>
      </c>
      <c r="F493" s="395" t="s">
        <v>105</v>
      </c>
      <c r="G493" s="396"/>
      <c r="H493" s="397"/>
      <c r="I493" s="383">
        <f>VLOOKUP(E493,'[1]Table 1'!$A$6:$C$21,3,0)</f>
        <v>529893</v>
      </c>
      <c r="J493" s="398">
        <v>140876</v>
      </c>
      <c r="K493" s="399" t="s">
        <v>70</v>
      </c>
      <c r="L493" s="399" t="s">
        <v>872</v>
      </c>
      <c r="M493" s="399">
        <v>20</v>
      </c>
      <c r="N493" s="356">
        <v>670000</v>
      </c>
      <c r="O493" s="28" t="b">
        <v>1</v>
      </c>
    </row>
    <row r="494" spans="2:15" s="28" customFormat="1" ht="16.5" customHeight="1">
      <c r="B494" s="20"/>
      <c r="C494" s="20"/>
      <c r="D494" s="254"/>
      <c r="E494" s="411">
        <v>140877</v>
      </c>
      <c r="F494" s="395" t="s">
        <v>99</v>
      </c>
      <c r="G494" s="396"/>
      <c r="H494" s="397"/>
      <c r="I494" s="383">
        <f>VLOOKUP(E494,'[1]Table 1'!$A$6:$C$21,3,0)</f>
        <v>80739</v>
      </c>
      <c r="J494" s="398">
        <v>140877</v>
      </c>
      <c r="K494" s="399" t="s">
        <v>70</v>
      </c>
      <c r="L494" s="399" t="s">
        <v>872</v>
      </c>
      <c r="M494" s="399">
        <v>20</v>
      </c>
      <c r="N494" s="356">
        <v>71700</v>
      </c>
      <c r="O494" s="28" t="b">
        <v>1</v>
      </c>
    </row>
    <row r="495" spans="2:15" s="28" customFormat="1" ht="16.5" customHeight="1">
      <c r="B495" s="20"/>
      <c r="C495" s="20"/>
      <c r="D495" s="254"/>
      <c r="E495" s="411">
        <v>140878</v>
      </c>
      <c r="F495" s="395" t="s">
        <v>860</v>
      </c>
      <c r="G495" s="396"/>
      <c r="H495" s="397"/>
      <c r="I495" s="383">
        <f>VLOOKUP(E495,'[1]Table 1'!$A$6:$C$21,3,0)</f>
        <v>121830</v>
      </c>
      <c r="J495" s="398">
        <v>140878</v>
      </c>
      <c r="K495" s="399" t="s">
        <v>70</v>
      </c>
      <c r="L495" s="399" t="s">
        <v>872</v>
      </c>
      <c r="M495" s="399">
        <v>20</v>
      </c>
      <c r="N495" s="356" t="e">
        <v>#N/A</v>
      </c>
      <c r="O495" s="28" t="e">
        <v>#N/A</v>
      </c>
    </row>
    <row r="496" spans="2:15" s="28" customFormat="1" ht="16.5" customHeight="1">
      <c r="B496" s="20"/>
      <c r="C496" s="20"/>
      <c r="D496" s="254"/>
      <c r="E496" s="411">
        <v>140922</v>
      </c>
      <c r="F496" s="395" t="s">
        <v>94</v>
      </c>
      <c r="G496" s="396"/>
      <c r="H496" s="397"/>
      <c r="I496" s="383">
        <f>VLOOKUP(E496,'[1]Table 1'!$A$6:$C$21,3,0)</f>
        <v>210521</v>
      </c>
      <c r="J496" s="398">
        <v>140922</v>
      </c>
      <c r="K496" s="399" t="s">
        <v>70</v>
      </c>
      <c r="L496" s="399" t="s">
        <v>872</v>
      </c>
      <c r="M496" s="399">
        <v>20</v>
      </c>
      <c r="N496" s="356" t="e">
        <v>#N/A</v>
      </c>
      <c r="O496" s="28" t="e">
        <v>#N/A</v>
      </c>
    </row>
    <row r="497" spans="2:21" s="28" customFormat="1" ht="16.5" customHeight="1">
      <c r="B497" s="20"/>
      <c r="C497" s="20"/>
      <c r="D497" s="254"/>
      <c r="E497" s="411">
        <v>140902</v>
      </c>
      <c r="F497" s="395" t="s">
        <v>95</v>
      </c>
      <c r="G497" s="396"/>
      <c r="H497" s="397"/>
      <c r="I497" s="383">
        <f>VLOOKUP(E497,'[1]Table 1'!$A$6:$C$21,3,0)</f>
        <v>870316</v>
      </c>
      <c r="J497" s="398">
        <v>140902</v>
      </c>
      <c r="K497" s="399" t="s">
        <v>873</v>
      </c>
      <c r="L497" s="399" t="s">
        <v>872</v>
      </c>
      <c r="M497" s="399">
        <v>200</v>
      </c>
      <c r="N497" s="356" t="e">
        <v>#N/A</v>
      </c>
      <c r="O497" s="28" t="e">
        <v>#N/A</v>
      </c>
    </row>
    <row r="498" spans="2:21" s="28" customFormat="1" ht="16.5" customHeight="1">
      <c r="B498" s="20"/>
      <c r="C498" s="20"/>
      <c r="D498" s="254"/>
      <c r="E498" s="411">
        <v>140905</v>
      </c>
      <c r="F498" s="395" t="s">
        <v>96</v>
      </c>
      <c r="G498" s="396"/>
      <c r="H498" s="397"/>
      <c r="I498" s="383">
        <f>VLOOKUP(E498,'[1]Table 1'!$A$6:$C$21,3,0)</f>
        <v>874413</v>
      </c>
      <c r="J498" s="398">
        <v>140905</v>
      </c>
      <c r="K498" s="399" t="s">
        <v>873</v>
      </c>
      <c r="L498" s="399" t="s">
        <v>872</v>
      </c>
      <c r="M498" s="399">
        <v>200</v>
      </c>
      <c r="N498" s="356">
        <v>670000</v>
      </c>
      <c r="O498" s="28" t="b">
        <v>1</v>
      </c>
    </row>
    <row r="499" spans="2:21" s="28" customFormat="1" ht="16.5" customHeight="1">
      <c r="B499" s="20"/>
      <c r="C499" s="20"/>
      <c r="D499" s="254"/>
      <c r="E499" s="411">
        <v>147284</v>
      </c>
      <c r="F499" s="395" t="s">
        <v>837</v>
      </c>
      <c r="G499" s="396"/>
      <c r="H499" s="397"/>
      <c r="I499" s="383">
        <f>VLOOKUP(E499,'[1]Table 1'!$A$6:$C$21,3,0)</f>
        <v>530625</v>
      </c>
      <c r="J499" s="398">
        <v>147284</v>
      </c>
      <c r="K499" s="399" t="s">
        <v>873</v>
      </c>
      <c r="L499" s="399" t="s">
        <v>872</v>
      </c>
      <c r="M499" s="399">
        <v>208</v>
      </c>
      <c r="N499" s="356">
        <v>71700</v>
      </c>
      <c r="O499" s="28" t="b">
        <v>1</v>
      </c>
    </row>
    <row r="500" spans="2:21" s="28" customFormat="1" ht="16.5" customHeight="1">
      <c r="B500" s="20"/>
      <c r="C500" s="20"/>
      <c r="D500" s="254"/>
      <c r="E500" s="411">
        <v>147391</v>
      </c>
      <c r="F500" s="395" t="s">
        <v>838</v>
      </c>
      <c r="G500" s="396"/>
      <c r="H500" s="397"/>
      <c r="I500" s="383">
        <f>VLOOKUP(E500,'[1]Table 1'!$A$6:$C$21,3,0)</f>
        <v>522994</v>
      </c>
      <c r="J500" s="398">
        <v>147391</v>
      </c>
      <c r="K500" s="399" t="s">
        <v>873</v>
      </c>
      <c r="L500" s="399" t="s">
        <v>872</v>
      </c>
      <c r="M500" s="399">
        <v>208</v>
      </c>
      <c r="N500" s="356">
        <v>670000</v>
      </c>
      <c r="O500" s="28" t="b">
        <v>1</v>
      </c>
    </row>
    <row r="501" spans="2:21" s="28" customFormat="1" ht="16.5" customHeight="1">
      <c r="B501" s="20"/>
      <c r="C501" s="20"/>
      <c r="D501" s="254"/>
      <c r="E501" s="411">
        <v>144515</v>
      </c>
      <c r="F501" s="395" t="s">
        <v>839</v>
      </c>
      <c r="G501" s="396"/>
      <c r="H501" s="397"/>
      <c r="I501" s="383">
        <v>631617</v>
      </c>
      <c r="J501" s="398">
        <v>144515</v>
      </c>
      <c r="K501" s="399" t="s">
        <v>873</v>
      </c>
      <c r="L501" s="399" t="s">
        <v>872</v>
      </c>
      <c r="M501" s="399">
        <v>208</v>
      </c>
      <c r="N501" s="356">
        <v>71700</v>
      </c>
      <c r="O501" s="28" t="b">
        <v>1</v>
      </c>
    </row>
    <row r="502" spans="2:21" s="28" customFormat="1" ht="16.5" customHeight="1">
      <c r="B502" s="20"/>
      <c r="C502" s="20"/>
      <c r="D502" s="254"/>
      <c r="E502" s="411">
        <v>147370</v>
      </c>
      <c r="F502" s="395" t="s">
        <v>839</v>
      </c>
      <c r="G502" s="396"/>
      <c r="H502" s="397"/>
      <c r="I502" s="383">
        <f>VLOOKUP(E502,'[1]Table 1'!$A$6:$C$21,3,0)</f>
        <v>528082</v>
      </c>
      <c r="J502" s="398">
        <v>147370</v>
      </c>
      <c r="K502" s="399" t="s">
        <v>873</v>
      </c>
      <c r="L502" s="399" t="s">
        <v>872</v>
      </c>
      <c r="M502" s="399">
        <v>208</v>
      </c>
      <c r="N502" s="356">
        <v>670000</v>
      </c>
      <c r="O502" s="28" t="b">
        <v>1</v>
      </c>
    </row>
    <row r="503" spans="2:21" s="28" customFormat="1" ht="16.5" customHeight="1">
      <c r="B503" s="20"/>
      <c r="C503" s="20"/>
      <c r="D503" s="254"/>
      <c r="E503" s="411">
        <v>140597</v>
      </c>
      <c r="F503" s="395" t="s">
        <v>869</v>
      </c>
      <c r="G503" s="396"/>
      <c r="H503" s="397"/>
      <c r="I503" s="383">
        <v>124000</v>
      </c>
      <c r="J503" s="398">
        <v>140597</v>
      </c>
      <c r="K503" s="399" t="s">
        <v>761</v>
      </c>
      <c r="L503" s="399" t="s">
        <v>872</v>
      </c>
      <c r="M503" s="399">
        <v>12</v>
      </c>
      <c r="N503" s="356">
        <v>71700</v>
      </c>
      <c r="O503" s="28" t="b">
        <v>1</v>
      </c>
    </row>
    <row r="504" spans="2:21" s="28" customFormat="1" ht="16.5" customHeight="1">
      <c r="B504" s="20"/>
      <c r="C504" s="20"/>
      <c r="D504" s="254"/>
      <c r="E504" s="411">
        <v>147279</v>
      </c>
      <c r="F504" s="395" t="s">
        <v>870</v>
      </c>
      <c r="G504" s="396"/>
      <c r="H504" s="397"/>
      <c r="I504" s="383">
        <f>VLOOKUP(E504,'[1]Table 1'!$A$6:$C$21,3,0)</f>
        <v>50796</v>
      </c>
      <c r="J504" s="398">
        <v>147279</v>
      </c>
      <c r="K504" s="399" t="s">
        <v>761</v>
      </c>
      <c r="L504" s="399" t="s">
        <v>872</v>
      </c>
      <c r="M504" s="399">
        <v>12</v>
      </c>
      <c r="N504" s="356" t="e">
        <v>#N/A</v>
      </c>
      <c r="O504" s="28" t="e">
        <v>#N/A</v>
      </c>
    </row>
    <row r="505" spans="2:21" s="28" customFormat="1" ht="16.5" customHeight="1">
      <c r="B505" s="20"/>
      <c r="C505" s="20"/>
      <c r="D505" s="254"/>
      <c r="E505" s="411">
        <v>141257</v>
      </c>
      <c r="F505" s="395" t="s">
        <v>871</v>
      </c>
      <c r="G505" s="396"/>
      <c r="H505" s="397"/>
      <c r="I505" s="383">
        <f>VLOOKUP(E505,'[1]Table 1'!$A$6:$C$21,3,0)</f>
        <v>82344</v>
      </c>
      <c r="J505" s="398">
        <v>141257</v>
      </c>
      <c r="K505" s="399" t="s">
        <v>761</v>
      </c>
      <c r="L505" s="399" t="s">
        <v>872</v>
      </c>
      <c r="M505" s="399">
        <v>12</v>
      </c>
      <c r="N505" s="356" t="e">
        <v>#N/A</v>
      </c>
      <c r="O505" s="28" t="e">
        <v>#N/A</v>
      </c>
    </row>
    <row r="506" spans="2:21" s="28" customFormat="1" ht="16.5" customHeight="1">
      <c r="B506" s="20"/>
      <c r="C506" s="20"/>
      <c r="D506" s="254"/>
      <c r="E506" s="379"/>
      <c r="F506" s="395"/>
      <c r="G506" s="396"/>
      <c r="H506" s="397"/>
      <c r="I506" s="383"/>
      <c r="J506" s="398"/>
      <c r="K506" s="399"/>
      <c r="L506" s="399"/>
      <c r="M506" s="399"/>
      <c r="N506" s="356" t="e">
        <v>#N/A</v>
      </c>
      <c r="O506" s="28" t="e">
        <v>#N/A</v>
      </c>
    </row>
    <row r="507" spans="2:21" s="28" customFormat="1" ht="16.5" customHeight="1">
      <c r="B507" s="20"/>
      <c r="C507" s="20"/>
      <c r="D507" s="254"/>
      <c r="E507" s="379"/>
      <c r="F507" s="395"/>
      <c r="G507" s="396"/>
      <c r="H507" s="397"/>
      <c r="I507" s="383"/>
      <c r="J507" s="398"/>
      <c r="K507" s="399"/>
      <c r="L507" s="399"/>
      <c r="M507" s="399"/>
      <c r="N507" s="356">
        <v>1005000</v>
      </c>
      <c r="O507" s="28" t="b">
        <v>1</v>
      </c>
    </row>
    <row r="508" spans="2:21" s="28" customFormat="1" ht="16.5" customHeight="1">
      <c r="B508" s="20"/>
      <c r="C508" s="20"/>
      <c r="D508" s="254"/>
      <c r="E508" s="379"/>
      <c r="F508" s="395"/>
      <c r="G508" s="396"/>
      <c r="H508" s="397"/>
      <c r="I508" s="383"/>
      <c r="J508" s="398"/>
      <c r="K508" s="399"/>
      <c r="L508" s="399"/>
      <c r="M508" s="399"/>
      <c r="N508" s="356">
        <v>287000</v>
      </c>
      <c r="O508" s="28" t="b">
        <v>1</v>
      </c>
    </row>
    <row r="509" spans="2:21" s="28" customFormat="1" ht="16.5" customHeight="1">
      <c r="B509" s="20"/>
      <c r="C509" s="20"/>
      <c r="D509" s="254"/>
      <c r="E509" s="379"/>
      <c r="F509" s="395"/>
      <c r="G509" s="396"/>
      <c r="H509" s="397"/>
      <c r="I509" s="383"/>
      <c r="J509" s="398"/>
      <c r="K509" s="399"/>
      <c r="L509" s="399"/>
      <c r="M509" s="399"/>
      <c r="N509" s="356">
        <v>1800000</v>
      </c>
      <c r="O509" s="28" t="b">
        <v>1</v>
      </c>
    </row>
    <row r="510" spans="2:21" ht="16.5" customHeight="1">
      <c r="D510" s="254"/>
      <c r="E510" s="379"/>
      <c r="F510" s="395"/>
      <c r="G510" s="396"/>
      <c r="H510" s="397"/>
      <c r="I510" s="383"/>
      <c r="J510" s="398"/>
      <c r="K510" s="399"/>
      <c r="L510" s="399"/>
      <c r="M510" s="399"/>
      <c r="N510" t="e">
        <v>#N/A</v>
      </c>
      <c r="R510"/>
      <c r="S510"/>
      <c r="T510"/>
      <c r="U510" s="12"/>
    </row>
    <row r="511" spans="2:21" ht="16.5" customHeight="1">
      <c r="D511" s="254"/>
      <c r="E511" s="379"/>
      <c r="F511" s="395"/>
      <c r="G511" s="396"/>
      <c r="H511" s="397"/>
      <c r="I511" s="383"/>
      <c r="J511" s="398"/>
      <c r="K511" s="399"/>
      <c r="L511" s="399"/>
      <c r="M511" s="399"/>
      <c r="N511" t="e">
        <v>#N/A</v>
      </c>
      <c r="R511"/>
      <c r="S511"/>
      <c r="T511"/>
      <c r="U511" s="12"/>
    </row>
    <row r="512" spans="2:21" ht="16.5" customHeight="1">
      <c r="D512" s="254"/>
      <c r="E512" s="379"/>
      <c r="F512" s="395"/>
      <c r="G512" s="396"/>
      <c r="H512" s="397"/>
      <c r="I512" s="383"/>
      <c r="J512" s="398"/>
      <c r="K512" s="399"/>
      <c r="L512" s="399"/>
      <c r="M512" s="399"/>
      <c r="N512" t="e">
        <v>#N/A</v>
      </c>
      <c r="R512"/>
      <c r="S512"/>
      <c r="T512"/>
      <c r="U512" s="12"/>
    </row>
    <row r="513" spans="4:21" ht="16.5" customHeight="1">
      <c r="D513" s="254"/>
      <c r="E513" s="379"/>
      <c r="F513" s="395"/>
      <c r="G513" s="396"/>
      <c r="H513" s="397"/>
      <c r="I513" s="383"/>
      <c r="J513" s="398"/>
      <c r="K513" s="399"/>
      <c r="L513" s="399"/>
      <c r="M513" s="399"/>
      <c r="N513" t="e">
        <v>#N/A</v>
      </c>
      <c r="R513"/>
      <c r="S513"/>
      <c r="T513"/>
      <c r="U513" s="12"/>
    </row>
    <row r="514" spans="4:21" ht="16.5" customHeight="1">
      <c r="D514" s="254"/>
      <c r="E514" s="379"/>
      <c r="F514" s="395"/>
      <c r="G514" s="396"/>
      <c r="H514" s="397"/>
      <c r="I514" s="383"/>
      <c r="J514" s="398"/>
      <c r="K514" s="399"/>
      <c r="L514" s="399"/>
      <c r="M514" s="399"/>
      <c r="N514" t="e">
        <v>#N/A</v>
      </c>
      <c r="R514"/>
      <c r="S514"/>
      <c r="T514"/>
      <c r="U514" s="12"/>
    </row>
    <row r="515" spans="4:21" ht="16.5" customHeight="1">
      <c r="D515" s="254"/>
      <c r="E515" s="379"/>
      <c r="F515" s="395"/>
      <c r="G515" s="396"/>
      <c r="H515" s="397"/>
      <c r="I515" s="383"/>
      <c r="J515" s="398"/>
      <c r="K515" s="399"/>
      <c r="L515" s="399"/>
      <c r="M515" s="399"/>
      <c r="N515" t="e">
        <v>#N/A</v>
      </c>
      <c r="R515"/>
      <c r="S515"/>
      <c r="T515"/>
      <c r="U515" s="12"/>
    </row>
    <row r="516" spans="4:21" ht="16.5" customHeight="1">
      <c r="D516" s="254"/>
      <c r="E516" s="379"/>
      <c r="F516" s="395"/>
      <c r="G516" s="396"/>
      <c r="H516" s="397"/>
      <c r="I516" s="383"/>
      <c r="J516" s="398"/>
      <c r="K516" s="399"/>
      <c r="L516" s="399"/>
      <c r="M516" s="399"/>
      <c r="N516" t="e">
        <v>#N/A</v>
      </c>
      <c r="R516"/>
      <c r="S516"/>
      <c r="T516"/>
      <c r="U516" s="12"/>
    </row>
    <row r="517" spans="4:21">
      <c r="E517" s="379"/>
      <c r="F517" s="395"/>
      <c r="G517" s="396"/>
      <c r="H517" s="397"/>
      <c r="I517" s="383"/>
      <c r="J517" s="398"/>
      <c r="K517" s="399"/>
      <c r="L517" s="399"/>
      <c r="M517" s="399"/>
    </row>
    <row r="518" spans="4:21">
      <c r="E518" s="379"/>
      <c r="F518" s="395"/>
      <c r="G518" s="396"/>
      <c r="H518" s="397"/>
      <c r="I518" s="383"/>
      <c r="J518" s="398"/>
      <c r="K518" s="399"/>
      <c r="L518" s="399"/>
      <c r="M518" s="399"/>
    </row>
  </sheetData>
  <protectedRanges>
    <protectedRange sqref="M46:O64" name="범위10_1_1"/>
    <protectedRange sqref="L8" name="범위11_1"/>
    <protectedRange sqref="L8" name="범위4_1"/>
    <protectedRange sqref="P12:P26" name="범위14_1_1"/>
    <protectedRange sqref="D9" name="범위13_1_1"/>
    <protectedRange sqref="G8:H8" name="범위15_1_1"/>
    <protectedRange sqref="G61 D46:E46 D48:E64 G46:G59" name="범위8_1_1_2_1_1_1"/>
    <protectedRange sqref="G63:K63 G64:J64 G62:H63 J63:K64 H61:K61 G60:H60 H46:K59" name="범위9_1_1_1_1_2"/>
    <protectedRange sqref="G7:H7" name="범위15_1_1_1"/>
    <protectedRange sqref="C12 C16:C26" name="범위1_3_1_2"/>
    <protectedRange sqref="L12:L26" name="범위3_2_1_1_1"/>
    <protectedRange sqref="D27" name="범위23_1_1_1_2_1_1"/>
    <protectedRange sqref="D27" name="범위1_3_1_1_1_1_2_1_1"/>
    <protectedRange sqref="C13:C16" name="범위1_3_1_2_1"/>
    <protectedRange sqref="D12:D25" name="범위23_1_1_1_2_1_1_1"/>
    <protectedRange sqref="D12:D25" name="범위1_3_1_1_1_1_2_1_1_1"/>
    <protectedRange sqref="D26" name="범위23_1_1_1_2_1_1_1_1"/>
    <protectedRange sqref="D26" name="범위1_3_1_1_1_1_2_1_1_1_1"/>
    <protectedRange sqref="D510:D515" name="범위5_1_3_1"/>
    <protectedRange sqref="D508" name="범위5_1_3_2_1"/>
    <protectedRange sqref="D498:D507" name="범위5_1_2_1_2_1_2_2"/>
    <protectedRange sqref="D71:D497" name="범위5_1_2_1_2_1_2_1_1"/>
    <protectedRange sqref="D509" name="범위5_1_3_2_1_1"/>
    <protectedRange sqref="I484" name="범위6_1_1_1_2_1_2_8_3"/>
    <protectedRange sqref="G484:H484" name="범위6_1_1_1_2_1_9_1_2_1"/>
    <protectedRange sqref="M478:M480" name="범위26_2_1_2_1_1_7_3_2_1"/>
    <protectedRange sqref="G478:H480" name="범위6_1_1_1_2_1_2_8_1_3"/>
    <protectedRange sqref="M484" name="범위26_2_1_2_1_19_1_1_1_2_1"/>
    <protectedRange sqref="G482:H482" name="범위6_1_1_1_2_1_2_1_2_2"/>
    <protectedRange sqref="M481:M482" name="범위26_2_1_2_1_1_7_2_1_3"/>
    <protectedRange sqref="M483" name="범위26_2_1_2_1_1_8_2"/>
    <protectedRange sqref="G483:H483" name="범위6_1_1_1_2_1_2_8_1_1_2_1"/>
    <protectedRange sqref="F483" name="범위1_3_1_1_1_2"/>
    <protectedRange sqref="M98 M96" name="범위26_2_1_2_1_8_1_2_1"/>
    <protectedRange sqref="G100:H100 G98:H98 G96:H96" name="범위6_1_1_1_2_1_9_2_1_1"/>
    <protectedRange sqref="F98" name="범위1_1_2_1_1"/>
    <protectedRange sqref="M99 M97 M72:M94 M102:M113" name="범위26_2_1_2_1_1_7_1_1_1"/>
    <protectedRange sqref="G99:H99 G110:H113 G87:H87 I71:I72 G72:H72 G97:H97 G73:I86 I87:I483 G89:H92 G102:H107 I485:I518" name="범위6_1_1_1_2_1_2_8_2_1"/>
    <protectedRange sqref="F110 F113" name="범위1_3_1_1_2_1"/>
    <protectedRange sqref="G93:H94" name="범위6_1_1_1_2_1_1_1_1_2_1_1"/>
    <protectedRange sqref="M101" name="범위26_2_1_2_1_1_1_1_1_1_1"/>
    <protectedRange sqref="G101:H101" name="범위6_1_1_1_2_1_2_1_1_1_1_1"/>
    <protectedRange sqref="M100" name="범위26_2_1_2_1_19_1_1_2_1_1"/>
    <protectedRange sqref="M95" name="범위26_2_1_2_1_1_4_1_2_1_1"/>
    <protectedRange sqref="G95:H95" name="범위6_1_1_1_2_1_2_4_1_2_1_1"/>
    <protectedRange sqref="M71" name="범위26_2_1_2_1_1_3_1_1_1_1"/>
    <protectedRange sqref="G71:H71" name="범위6_1_1_1_2_1_2_2_1_1_1_1"/>
    <protectedRange sqref="F71" name="범위1_3_3_1_1_1_1"/>
    <protectedRange sqref="M419 M389:M391 M399:M401" name="범위26_2_1_2_1_8_2_1_1_1"/>
    <protectedRange sqref="G389:H391 G399:H401 G405:H419 G485:H485" name="범위6_1_1_1_2_1_9_1_1_1_1"/>
    <protectedRange sqref="F399:F401" name="범위1_1_1_1_1_1"/>
    <protectedRange sqref="F419" name="범위1_4_2_1_1_1_1"/>
    <protectedRange sqref="M402:M404 M420:M425 M429:M457 M392:M396 M459 M470:M474 M114:M295 M297:M387" name="범위26_2_1_2_1_1_7_3_1_1_1"/>
    <protectedRange sqref="G140:H142 G150:H150 G374:H376 G148:H148 G159:H160 G445:H445 G223:H224 G363:H365 G232:H232 G254:H254 G247:H247 G245:H245 G256:H256 G249:H249 G260:H260 G470:H474 G216:H217 G328:H328 G318:H326 G338:H338 G368:H372 G393:H396 G298:H299 G274:H295 G301:H303 G305:H315 G330:H335 G402:H404 G429:H437 G439:H443 G448:H456 G459:H459 G206:H213 G114:H126 G262:H269 G197:H202 G420:H425 G128:H135 G347:H358" name="범위6_1_1_1_2_1_2_8_1_2_1_1"/>
    <protectedRange sqref="G444:H444" name="범위6_1_1_1_1_1_1_1_1_1_1_1_1"/>
    <protectedRange sqref="F284:F285 F180:F182 F229:F231 F172:F174 F301 F347 F327:F328 F396 F295 F368 F274 F129:F130 F219:F222 F257:F261 F402 F250:F255 F133:F135 F233:F248" name="범위1_3_1_3_1_1_1"/>
    <protectedRange sqref="G377:H377 G379:H387" name="범위6_1_1_1_2_1_1_1_1_1_1_1_1"/>
    <protectedRange sqref="F356" name="범위1_2_1_1_1_1_1_1"/>
    <protectedRange sqref="F345" name="범위1_5_1_1_1_1_1_1"/>
    <protectedRange sqref="M405:M418 M485" name="범위26_2_1_2_1_19_1_1_1_1_1_1"/>
    <protectedRange sqref="M388" name="범위26_2_1_2_1_1_4_1_1_1_1_1"/>
    <protectedRange sqref="G388:H388" name="범위6_1_1_1_2_1_2_4_1_1_1_1_1"/>
    <protectedRange sqref="G392:H392" name="범위6_1_1_1_2_1_2_5_1_1_1_1_1"/>
    <protectedRange sqref="M458 M469" name="범위26_2_1_2_1_1_2_1_1_1_1_1"/>
    <protectedRange sqref="F458" name="범위1_3_2_1_1_1_1_1"/>
    <protectedRange sqref="M397:M398" name="범위26_2_1_2_1_3_1_1_1_1_1"/>
    <protectedRange sqref="G397:H398" name="범위6_1_1_1_2_1_3_1_1_1_1_1"/>
    <protectedRange sqref="F397:F398" name="범위1_2_2_1_1_1_1"/>
    <protectedRange sqref="M426:M428" name="범위26_2_1_2_1_1_5_1_1_1_1_1"/>
    <protectedRange sqref="G426:H428" name="범위6_1_1_1_2_1_2_3_1_1_1_1_1"/>
    <protectedRange sqref="M296" name="범위26_2_1_2_1_1_6_1_1_1_1_1"/>
    <protectedRange sqref="G296:H296" name="범위6_1_1_1_2_1_2_6_1_1_1_1_1"/>
    <protectedRange sqref="G469:H469" name="범위6_1_1_1_2_1_4_1_1_1_1_1"/>
    <protectedRange sqref="F469" name="범위1_5_2_1_1_1_1"/>
    <protectedRange sqref="G476:H476 G461:H461" name="범위6_1_1_1_2_1_2_1_2_1_1_1"/>
    <protectedRange sqref="M475:M476 M460:M461" name="범위26_2_1_2_1_1_7_2_1_2_1_1"/>
    <protectedRange sqref="M477 M462" name="범위26_2_1_2_1_1_8_1_1_1"/>
    <protectedRange sqref="G477:H477 G462:H462" name="범위6_1_1_1_2_1_2_8_1_1_1_1_1"/>
    <protectedRange sqref="F477 F462" name="범위1_3_1_1_1_1_1_1"/>
    <protectedRange sqref="M463" name="범위26_2_1_2_1_8_1_1_2_1_1"/>
    <protectedRange sqref="M464" name="범위26_2_1_2_1_1_7_2_1_1_1_1_1"/>
    <protectedRange sqref="F465:F468" name="범위1_2_1_1_1_1"/>
    <protectedRange sqref="M468 M465" name="범위26_2_1_2_1_8_1_1_1_1_1_1"/>
    <protectedRange sqref="M466:M467" name="범위26_2_1_2_1_1_7_2_2_1_1_1"/>
    <protectedRange sqref="F486:F518" name="범위1_2_1_2_1_1"/>
    <protectedRange sqref="M486:M518" name="범위26_2_1_2_1_1_7_2_2_2_1_1"/>
  </protectedRanges>
  <autoFilter ref="D70:M509" xr:uid="{00000000-0009-0000-0000-000009000000}"/>
  <mergeCells count="22">
    <mergeCell ref="B41:E42"/>
    <mergeCell ref="D69:E69"/>
    <mergeCell ref="L10:P10"/>
    <mergeCell ref="G11:I11"/>
    <mergeCell ref="I28:I29"/>
    <mergeCell ref="M28:M29"/>
    <mergeCell ref="O28:P28"/>
    <mergeCell ref="O29:P29"/>
    <mergeCell ref="O8:P8"/>
    <mergeCell ref="L9:P9"/>
    <mergeCell ref="B9:C9"/>
    <mergeCell ref="D9:I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</mergeCells>
  <phoneticPr fontId="16" type="noConversion"/>
  <dataValidations count="4">
    <dataValidation type="list" allowBlank="1" showInputMessage="1" showErrorMessage="1" sqref="D27" xr:uid="{00000000-0002-0000-0900-000000000000}">
      <formula1>$D$48:$D$64</formula1>
    </dataValidation>
    <dataValidation type="list" allowBlank="1" showInputMessage="1" showErrorMessage="1" sqref="L8:M8" xr:uid="{00000000-0002-0000-0900-000001000000}">
      <formula1>$M$48:$M$64</formula1>
    </dataValidation>
    <dataValidation type="list" allowBlank="1" showInputMessage="1" showErrorMessage="1" sqref="D12:D26" xr:uid="{00000000-0002-0000-0900-000002000000}">
      <formula1>$D$45:$D$64</formula1>
    </dataValidation>
    <dataValidation type="list" allowBlank="1" showInputMessage="1" showErrorMessage="1" sqref="F218 F203:F205 F161:F162 F167:F171" xr:uid="{00000000-0002-0000-0900-000003000000}">
      <formula1>$A$3:$A$327</formula1>
    </dataValidation>
  </dataValidations>
  <printOptions horizontalCentered="1"/>
  <pageMargins left="7.874015748031496E-2" right="7.874015748031496E-2" top="0.43307086614173229" bottom="0.47244094488188981" header="0.27559055118110237" footer="0.23622047244094491"/>
  <pageSetup paperSize="9" scale="65" orientation="landscape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indexed="12"/>
    <pageSetUpPr fitToPage="1"/>
  </sheetPr>
  <dimension ref="A1:U518"/>
  <sheetViews>
    <sheetView topLeftCell="A114" zoomScale="85" zoomScaleNormal="85" workbookViewId="0">
      <selection activeCell="I128" sqref="I128"/>
    </sheetView>
  </sheetViews>
  <sheetFormatPr defaultRowHeight="13.5"/>
  <cols>
    <col min="1" max="1" width="1.21875" customWidth="1"/>
    <col min="2" max="2" width="4.6640625" style="1" customWidth="1"/>
    <col min="3" max="3" width="11.44140625" style="1" bestFit="1" customWidth="1"/>
    <col min="4" max="4" width="18.5546875" customWidth="1"/>
    <col min="5" max="5" width="11.33203125" customWidth="1"/>
    <col min="6" max="6" width="11.88671875" customWidth="1"/>
    <col min="7" max="7" width="18.5546875" customWidth="1"/>
    <col min="8" max="8" width="14.6640625" customWidth="1"/>
    <col min="9" max="9" width="9.88671875" style="12" customWidth="1"/>
    <col min="10" max="10" width="9.88671875" style="15" customWidth="1"/>
    <col min="11" max="11" width="9.88671875" style="1" customWidth="1"/>
    <col min="12" max="12" width="10.88671875" customWidth="1"/>
    <col min="13" max="13" width="9.88671875" customWidth="1"/>
    <col min="14" max="14" width="14.6640625" customWidth="1"/>
    <col min="15" max="15" width="15.5546875" customWidth="1"/>
    <col min="16" max="16" width="17" customWidth="1"/>
    <col min="17" max="17" width="1.21875" customWidth="1"/>
    <col min="18" max="18" width="9" style="21" bestFit="1" customWidth="1"/>
    <col min="19" max="20" width="8.88671875" style="256" customWidth="1"/>
    <col min="21" max="21" width="8.88671875" style="21"/>
  </cols>
  <sheetData>
    <row r="1" spans="1:21" s="8" customFormat="1" ht="14.25" customHeight="1" thickBot="1">
      <c r="A1" s="59"/>
      <c r="B1" s="287"/>
      <c r="C1" s="287"/>
      <c r="D1" s="59"/>
      <c r="E1" s="59"/>
      <c r="F1" s="7"/>
      <c r="G1" s="7"/>
      <c r="H1" s="7"/>
      <c r="I1" s="9"/>
      <c r="J1" s="17"/>
      <c r="K1" s="7"/>
      <c r="L1" s="7"/>
      <c r="M1" s="59"/>
      <c r="N1" s="59"/>
      <c r="O1" s="59"/>
      <c r="P1" s="59"/>
      <c r="R1" s="20"/>
      <c r="S1" s="257"/>
      <c r="T1" s="257"/>
      <c r="U1" s="20"/>
    </row>
    <row r="2" spans="1:21" s="8" customFormat="1" ht="18" customHeight="1">
      <c r="A2" s="59"/>
      <c r="B2" s="640" t="s">
        <v>1</v>
      </c>
      <c r="C2" s="641"/>
      <c r="D2" s="641"/>
      <c r="E2" s="642"/>
      <c r="F2" s="646"/>
      <c r="G2" s="647"/>
      <c r="H2" s="647"/>
      <c r="I2" s="647"/>
      <c r="J2" s="647"/>
      <c r="K2" s="647"/>
      <c r="L2" s="647"/>
      <c r="M2" s="288" t="s">
        <v>2</v>
      </c>
      <c r="N2" s="288"/>
      <c r="O2" s="288"/>
      <c r="P2" s="288"/>
      <c r="R2" s="20"/>
      <c r="S2" s="257"/>
      <c r="T2" s="257"/>
      <c r="U2" s="20"/>
    </row>
    <row r="3" spans="1:21" s="8" customFormat="1" ht="16.5" customHeight="1" thickBot="1">
      <c r="A3" s="59"/>
      <c r="B3" s="643"/>
      <c r="C3" s="644"/>
      <c r="D3" s="644"/>
      <c r="E3" s="645"/>
      <c r="F3" s="647"/>
      <c r="G3" s="647"/>
      <c r="H3" s="647"/>
      <c r="I3" s="647"/>
      <c r="J3" s="647"/>
      <c r="K3" s="647"/>
      <c r="L3" s="647"/>
      <c r="M3" s="289" t="s">
        <v>416</v>
      </c>
      <c r="N3" s="59"/>
      <c r="O3" s="59"/>
      <c r="P3" s="59"/>
      <c r="R3" s="20"/>
      <c r="S3" s="257"/>
      <c r="T3" s="257"/>
      <c r="U3" s="20"/>
    </row>
    <row r="4" spans="1:21" s="8" customFormat="1" ht="16.5" customHeight="1">
      <c r="A4" s="59"/>
      <c r="B4" s="287"/>
      <c r="C4" s="287"/>
      <c r="D4" s="59"/>
      <c r="E4" s="59"/>
      <c r="F4" s="647"/>
      <c r="G4" s="647"/>
      <c r="H4" s="647"/>
      <c r="I4" s="647"/>
      <c r="J4" s="647"/>
      <c r="K4" s="647"/>
      <c r="L4" s="647"/>
      <c r="M4" s="289" t="s">
        <v>3</v>
      </c>
      <c r="N4" s="59"/>
      <c r="O4" s="59"/>
      <c r="P4" s="59"/>
      <c r="R4" s="20"/>
      <c r="S4" s="257"/>
      <c r="T4" s="257"/>
      <c r="U4" s="20"/>
    </row>
    <row r="5" spans="1:21" s="8" customFormat="1" ht="16.5" customHeight="1">
      <c r="A5" s="59"/>
      <c r="B5" s="287"/>
      <c r="C5" s="287"/>
      <c r="D5" s="59"/>
      <c r="E5" s="59"/>
      <c r="F5" s="7"/>
      <c r="G5" s="7"/>
      <c r="H5" s="7"/>
      <c r="I5" s="10"/>
      <c r="J5" s="18"/>
      <c r="K5" s="7"/>
      <c r="L5" s="7"/>
      <c r="M5" s="289" t="s">
        <v>4</v>
      </c>
      <c r="N5" s="59"/>
      <c r="O5" s="59"/>
      <c r="P5" s="59"/>
      <c r="R5" s="20"/>
      <c r="S5" s="257"/>
      <c r="T5" s="257"/>
      <c r="U5" s="20"/>
    </row>
    <row r="6" spans="1:21" s="8" customFormat="1" ht="9" customHeight="1" thickBot="1">
      <c r="A6" s="59"/>
      <c r="B6" s="287"/>
      <c r="C6" s="287"/>
      <c r="D6" s="59"/>
      <c r="E6" s="59"/>
      <c r="F6" s="290"/>
      <c r="G6" s="59"/>
      <c r="H6" s="59"/>
      <c r="I6" s="291"/>
      <c r="J6" s="292"/>
      <c r="K6" s="287"/>
      <c r="L6" s="59"/>
      <c r="M6" s="59"/>
      <c r="N6" s="59"/>
      <c r="O6" s="59"/>
      <c r="P6" s="59"/>
      <c r="R6" s="20"/>
      <c r="S6" s="257"/>
      <c r="T6" s="257"/>
      <c r="U6" s="20"/>
    </row>
    <row r="7" spans="1:21" s="41" customFormat="1" ht="25.5" customHeight="1" thickTop="1">
      <c r="A7" s="40"/>
      <c r="B7" s="648" t="s">
        <v>5</v>
      </c>
      <c r="C7" s="649"/>
      <c r="D7" s="650" t="s">
        <v>6</v>
      </c>
      <c r="E7" s="651"/>
      <c r="F7" s="46" t="s">
        <v>7</v>
      </c>
      <c r="G7" s="652" t="s">
        <v>75</v>
      </c>
      <c r="H7" s="653"/>
      <c r="I7" s="654"/>
      <c r="J7" s="293"/>
      <c r="K7" s="294" t="s">
        <v>8</v>
      </c>
      <c r="L7" s="655">
        <f ca="1" xml:space="preserve"> TODAY()</f>
        <v>45981</v>
      </c>
      <c r="M7" s="656"/>
      <c r="N7" s="47" t="s">
        <v>9</v>
      </c>
      <c r="O7" s="48"/>
      <c r="P7" s="49"/>
      <c r="R7" s="20"/>
      <c r="S7" s="257"/>
      <c r="T7" s="257"/>
      <c r="U7" s="20"/>
    </row>
    <row r="8" spans="1:21" s="41" customFormat="1" ht="25.5" customHeight="1">
      <c r="A8" s="40"/>
      <c r="B8" s="657" t="s">
        <v>10</v>
      </c>
      <c r="C8" s="658"/>
      <c r="D8" s="659" t="s">
        <v>11</v>
      </c>
      <c r="E8" s="660"/>
      <c r="F8" s="50" t="s">
        <v>12</v>
      </c>
      <c r="G8" s="660" t="s">
        <v>13</v>
      </c>
      <c r="H8" s="660"/>
      <c r="I8" s="661"/>
      <c r="J8" s="293"/>
      <c r="K8" s="51" t="s">
        <v>14</v>
      </c>
      <c r="L8" s="662"/>
      <c r="M8" s="663"/>
      <c r="N8" s="52" t="s">
        <v>15</v>
      </c>
      <c r="O8" s="630"/>
      <c r="P8" s="631"/>
      <c r="R8" s="20"/>
      <c r="S8" s="257"/>
      <c r="T8" s="257"/>
      <c r="U8" s="20"/>
    </row>
    <row r="9" spans="1:21" s="41" customFormat="1" ht="25.5" customHeight="1" thickBot="1">
      <c r="A9" s="40"/>
      <c r="B9" s="635" t="s">
        <v>16</v>
      </c>
      <c r="C9" s="636"/>
      <c r="D9" s="637"/>
      <c r="E9" s="638"/>
      <c r="F9" s="638"/>
      <c r="G9" s="638"/>
      <c r="H9" s="638"/>
      <c r="I9" s="639"/>
      <c r="J9" s="293"/>
      <c r="K9" s="53" t="s">
        <v>17</v>
      </c>
      <c r="L9" s="632"/>
      <c r="M9" s="633"/>
      <c r="N9" s="633"/>
      <c r="O9" s="633"/>
      <c r="P9" s="634"/>
      <c r="R9" s="20"/>
      <c r="S9" s="257"/>
      <c r="T9" s="257"/>
      <c r="U9" s="20"/>
    </row>
    <row r="10" spans="1:21" s="8" customFormat="1" ht="18" customHeight="1" thickBot="1">
      <c r="A10" s="59"/>
      <c r="B10" s="287"/>
      <c r="C10" s="287"/>
      <c r="D10" s="59"/>
      <c r="E10" s="59"/>
      <c r="F10" s="59"/>
      <c r="G10" s="59"/>
      <c r="H10" s="59"/>
      <c r="I10" s="291"/>
      <c r="J10" s="292"/>
      <c r="K10" s="287"/>
      <c r="L10" s="664"/>
      <c r="M10" s="664"/>
      <c r="N10" s="664"/>
      <c r="O10" s="664"/>
      <c r="P10" s="664"/>
      <c r="R10" s="20"/>
      <c r="S10" s="257"/>
      <c r="T10" s="257"/>
      <c r="U10" s="20"/>
    </row>
    <row r="11" spans="1:21" s="8" customFormat="1" ht="33.75" customHeight="1" thickTop="1">
      <c r="A11" s="59"/>
      <c r="B11" s="295" t="s">
        <v>821</v>
      </c>
      <c r="C11" s="296" t="s">
        <v>88</v>
      </c>
      <c r="D11" s="296" t="s">
        <v>822</v>
      </c>
      <c r="E11" s="296" t="s">
        <v>823</v>
      </c>
      <c r="F11" s="297" t="s">
        <v>109</v>
      </c>
      <c r="G11" s="665" t="s">
        <v>108</v>
      </c>
      <c r="H11" s="666"/>
      <c r="I11" s="667"/>
      <c r="J11" s="298" t="s">
        <v>824</v>
      </c>
      <c r="K11" s="296" t="s">
        <v>825</v>
      </c>
      <c r="L11" s="296" t="s">
        <v>826</v>
      </c>
      <c r="M11" s="296" t="s">
        <v>827</v>
      </c>
      <c r="N11" s="296" t="s">
        <v>828</v>
      </c>
      <c r="O11" s="296" t="s">
        <v>829</v>
      </c>
      <c r="P11" s="299" t="s">
        <v>93</v>
      </c>
      <c r="R11" s="20" t="s">
        <v>123</v>
      </c>
      <c r="S11" s="257"/>
      <c r="T11" s="257"/>
      <c r="U11" s="20"/>
    </row>
    <row r="12" spans="1:21" s="41" customFormat="1" ht="28.5" customHeight="1">
      <c r="A12" s="40"/>
      <c r="B12" s="221">
        <v>1</v>
      </c>
      <c r="C12" s="222" t="s">
        <v>857</v>
      </c>
      <c r="D12" s="82" t="s">
        <v>955</v>
      </c>
      <c r="E12" s="85">
        <f t="shared" ref="E12:E26" si="0">IF($D12&lt;&gt;0,VLOOKUP($D12,$D$45:$E$64,2,FALSE),"")</f>
        <v>194667</v>
      </c>
      <c r="F12" s="83">
        <v>135304</v>
      </c>
      <c r="G12" s="224" t="str">
        <f>IF($F12&lt;&gt;0,VLOOKUP($F12,$E$71:$M$516,2,FALSE),"")</f>
        <v>MOBIL RARUS 829, 55GA DRUM</v>
      </c>
      <c r="H12" s="225"/>
      <c r="I12" s="226"/>
      <c r="J12" s="84" t="str">
        <f>IF($F12&lt;&gt;0,VLOOKUP($F12,$E$71:$M$516,7,FALSE),"")</f>
        <v>DRUM</v>
      </c>
      <c r="K12" s="85" t="str">
        <f>IF($F12&lt;&gt;0,VLOOKUP($F12,$E$71:$M$516,8,FALSE),"")</f>
        <v>IND</v>
      </c>
      <c r="L12" s="86">
        <v>1</v>
      </c>
      <c r="M12" s="87">
        <f>IF($L12&lt;&gt;0,VLOOKUP($F12,$E$71:$M$516,9,FALSE)*$L12,"")</f>
        <v>208</v>
      </c>
      <c r="N12" s="88">
        <f>IF($F12&lt;&gt;0,VLOOKUP($F12,$E$71:$M$516,5,FALSE),"")</f>
        <v>3473000</v>
      </c>
      <c r="O12" s="89">
        <f t="shared" ref="O12:O27" si="1">IF(L12&lt;&gt;0,$L12*$N12,"")</f>
        <v>3473000</v>
      </c>
      <c r="P12" s="231"/>
      <c r="R12" s="20">
        <f>COUNTIF($F$11:F17,F12)</f>
        <v>1</v>
      </c>
      <c r="S12" s="257">
        <f t="shared" ref="S12:S26" si="2">O12*1.1</f>
        <v>3820300.0000000005</v>
      </c>
      <c r="T12" s="257">
        <v>330000</v>
      </c>
      <c r="U12" s="20" t="b">
        <f>N12=T12</f>
        <v>0</v>
      </c>
    </row>
    <row r="13" spans="1:21" s="41" customFormat="1" ht="28.5" customHeight="1">
      <c r="A13" s="40"/>
      <c r="B13" s="221">
        <v>2</v>
      </c>
      <c r="C13" s="222" t="s">
        <v>858</v>
      </c>
      <c r="D13" s="82"/>
      <c r="E13" s="85" t="str">
        <f t="shared" si="0"/>
        <v/>
      </c>
      <c r="F13" s="83"/>
      <c r="G13" s="224" t="str">
        <f t="shared" ref="G13:G26" si="3">IF($F13&lt;&gt;0,VLOOKUP($F13,$E$71:$M$516,2,FALSE),"")</f>
        <v/>
      </c>
      <c r="H13" s="225"/>
      <c r="I13" s="226"/>
      <c r="J13" s="84" t="str">
        <f t="shared" ref="J13:J26" si="4">IF($F13&lt;&gt;0,VLOOKUP($F13,$E$71:$M$516,7,FALSE),"")</f>
        <v/>
      </c>
      <c r="K13" s="85" t="str">
        <f t="shared" ref="K13:K26" si="5">IF($F13&lt;&gt;0,VLOOKUP($F13,$E$71:$M$516,8,FALSE),"")</f>
        <v/>
      </c>
      <c r="L13" s="86"/>
      <c r="M13" s="87" t="str">
        <f t="shared" ref="M13:M26" si="6">IF($L13&lt;&gt;0,VLOOKUP($F13,$E$71:$M$516,9,FALSE)*$L13,"")</f>
        <v/>
      </c>
      <c r="N13" s="88" t="str">
        <f t="shared" ref="N13:N26" si="7">IF($F13&lt;&gt;0,VLOOKUP($F13,$E$71:$M$516,5,FALSE),"")</f>
        <v/>
      </c>
      <c r="O13" s="89" t="str">
        <f t="shared" si="1"/>
        <v/>
      </c>
      <c r="P13" s="231"/>
      <c r="R13" s="20">
        <f>COUNTIF($F$11:F18,F13)</f>
        <v>0</v>
      </c>
      <c r="S13" s="257" t="e">
        <f t="shared" si="2"/>
        <v>#VALUE!</v>
      </c>
      <c r="T13" s="257"/>
      <c r="U13" s="20" t="b">
        <f>N13=T13</f>
        <v>1</v>
      </c>
    </row>
    <row r="14" spans="1:21" s="41" customFormat="1" ht="28.5" customHeight="1">
      <c r="A14" s="40"/>
      <c r="B14" s="221">
        <v>3</v>
      </c>
      <c r="C14" s="222"/>
      <c r="D14" s="82"/>
      <c r="E14" s="85" t="str">
        <f t="shared" si="0"/>
        <v/>
      </c>
      <c r="F14" s="83"/>
      <c r="G14" s="224" t="str">
        <f t="shared" si="3"/>
        <v/>
      </c>
      <c r="H14" s="225"/>
      <c r="I14" s="226"/>
      <c r="J14" s="84" t="str">
        <f t="shared" si="4"/>
        <v/>
      </c>
      <c r="K14" s="85" t="str">
        <f t="shared" si="5"/>
        <v/>
      </c>
      <c r="L14" s="86"/>
      <c r="M14" s="87" t="str">
        <f t="shared" si="6"/>
        <v/>
      </c>
      <c r="N14" s="88" t="str">
        <f t="shared" si="7"/>
        <v/>
      </c>
      <c r="O14" s="89" t="str">
        <f t="shared" si="1"/>
        <v/>
      </c>
      <c r="P14" s="231"/>
      <c r="R14" s="20">
        <f>COUNTIF($F$11:F18,F14)</f>
        <v>0</v>
      </c>
      <c r="S14" s="257" t="e">
        <f t="shared" si="2"/>
        <v>#VALUE!</v>
      </c>
      <c r="T14" s="257"/>
      <c r="U14" s="20" t="b">
        <f>N14=T14</f>
        <v>1</v>
      </c>
    </row>
    <row r="15" spans="1:21" s="41" customFormat="1" ht="28.5" customHeight="1">
      <c r="A15" s="40"/>
      <c r="B15" s="221">
        <v>4</v>
      </c>
      <c r="C15" s="222"/>
      <c r="D15" s="82"/>
      <c r="E15" s="85" t="str">
        <f t="shared" si="0"/>
        <v/>
      </c>
      <c r="F15" s="83"/>
      <c r="G15" s="224" t="str">
        <f t="shared" si="3"/>
        <v/>
      </c>
      <c r="H15" s="225"/>
      <c r="I15" s="226"/>
      <c r="J15" s="84" t="str">
        <f t="shared" si="4"/>
        <v/>
      </c>
      <c r="K15" s="85" t="str">
        <f t="shared" si="5"/>
        <v/>
      </c>
      <c r="L15" s="86"/>
      <c r="M15" s="87" t="str">
        <f t="shared" si="6"/>
        <v/>
      </c>
      <c r="N15" s="88" t="str">
        <f t="shared" si="7"/>
        <v/>
      </c>
      <c r="O15" s="89" t="str">
        <f t="shared" si="1"/>
        <v/>
      </c>
      <c r="P15" s="231"/>
      <c r="R15" s="20">
        <f>COUNTIF($F$11:F19,F15)</f>
        <v>0</v>
      </c>
      <c r="S15" s="257" t="e">
        <f t="shared" si="2"/>
        <v>#VALUE!</v>
      </c>
      <c r="T15" s="77"/>
      <c r="U15" s="20" t="b">
        <f t="shared" ref="U15:U26" si="8">N15=T15</f>
        <v>1</v>
      </c>
    </row>
    <row r="16" spans="1:21" s="41" customFormat="1" ht="28.5" customHeight="1">
      <c r="A16" s="40"/>
      <c r="B16" s="221">
        <v>5</v>
      </c>
      <c r="C16" s="222"/>
      <c r="D16" s="82"/>
      <c r="E16" s="85" t="str">
        <f t="shared" si="0"/>
        <v/>
      </c>
      <c r="F16" s="83"/>
      <c r="G16" s="224" t="str">
        <f t="shared" si="3"/>
        <v/>
      </c>
      <c r="H16" s="225"/>
      <c r="I16" s="226"/>
      <c r="J16" s="84" t="str">
        <f t="shared" si="4"/>
        <v/>
      </c>
      <c r="K16" s="85" t="str">
        <f t="shared" si="5"/>
        <v/>
      </c>
      <c r="L16" s="86"/>
      <c r="M16" s="87" t="str">
        <f t="shared" si="6"/>
        <v/>
      </c>
      <c r="N16" s="88" t="str">
        <f t="shared" si="7"/>
        <v/>
      </c>
      <c r="O16" s="89" t="str">
        <f t="shared" si="1"/>
        <v/>
      </c>
      <c r="P16" s="231"/>
      <c r="R16" s="20">
        <f>COUNTIF($F$11:F20,F16)</f>
        <v>0</v>
      </c>
      <c r="S16" s="257" t="e">
        <f>O16*1.1</f>
        <v>#VALUE!</v>
      </c>
      <c r="T16" s="77"/>
      <c r="U16" s="20" t="b">
        <f>N16=T16</f>
        <v>1</v>
      </c>
    </row>
    <row r="17" spans="1:21" s="41" customFormat="1" ht="28.5" customHeight="1">
      <c r="A17" s="40"/>
      <c r="B17" s="221">
        <v>6</v>
      </c>
      <c r="C17" s="222"/>
      <c r="D17" s="82"/>
      <c r="E17" s="85" t="str">
        <f t="shared" si="0"/>
        <v/>
      </c>
      <c r="F17" s="83"/>
      <c r="G17" s="224" t="str">
        <f t="shared" si="3"/>
        <v/>
      </c>
      <c r="H17" s="225"/>
      <c r="I17" s="226"/>
      <c r="J17" s="84" t="str">
        <f t="shared" si="4"/>
        <v/>
      </c>
      <c r="K17" s="85" t="str">
        <f t="shared" si="5"/>
        <v/>
      </c>
      <c r="L17" s="86"/>
      <c r="M17" s="87" t="str">
        <f t="shared" si="6"/>
        <v/>
      </c>
      <c r="N17" s="88" t="str">
        <f t="shared" si="7"/>
        <v/>
      </c>
      <c r="O17" s="89" t="str">
        <f t="shared" si="1"/>
        <v/>
      </c>
      <c r="P17" s="231"/>
      <c r="R17" s="20">
        <f>COUNTIF($F$11:F21,F17)</f>
        <v>0</v>
      </c>
      <c r="S17" s="257" t="e">
        <f t="shared" si="2"/>
        <v>#VALUE!</v>
      </c>
      <c r="T17" s="257"/>
      <c r="U17" s="20" t="b">
        <f>N17=T17</f>
        <v>1</v>
      </c>
    </row>
    <row r="18" spans="1:21" s="41" customFormat="1" ht="28.5" customHeight="1">
      <c r="A18" s="40"/>
      <c r="B18" s="221">
        <v>7</v>
      </c>
      <c r="C18" s="222"/>
      <c r="D18" s="82"/>
      <c r="E18" s="85" t="str">
        <f t="shared" si="0"/>
        <v/>
      </c>
      <c r="F18" s="83"/>
      <c r="G18" s="224" t="str">
        <f t="shared" si="3"/>
        <v/>
      </c>
      <c r="H18" s="225"/>
      <c r="I18" s="226"/>
      <c r="J18" s="84" t="str">
        <f t="shared" si="4"/>
        <v/>
      </c>
      <c r="K18" s="85" t="str">
        <f t="shared" si="5"/>
        <v/>
      </c>
      <c r="L18" s="86"/>
      <c r="M18" s="87" t="str">
        <f t="shared" si="6"/>
        <v/>
      </c>
      <c r="N18" s="88" t="str">
        <f t="shared" si="7"/>
        <v/>
      </c>
      <c r="O18" s="89" t="str">
        <f t="shared" si="1"/>
        <v/>
      </c>
      <c r="P18" s="231"/>
      <c r="R18" s="20">
        <f>COUNTIF($F$11:F22,F18)</f>
        <v>0</v>
      </c>
      <c r="S18" s="257" t="e">
        <f t="shared" si="2"/>
        <v>#VALUE!</v>
      </c>
      <c r="T18" s="257"/>
      <c r="U18" s="20" t="b">
        <f t="shared" si="8"/>
        <v>1</v>
      </c>
    </row>
    <row r="19" spans="1:21" s="41" customFormat="1" ht="28.5" customHeight="1">
      <c r="A19" s="40"/>
      <c r="B19" s="221">
        <v>8</v>
      </c>
      <c r="C19" s="222"/>
      <c r="D19" s="82"/>
      <c r="E19" s="85" t="str">
        <f t="shared" si="0"/>
        <v/>
      </c>
      <c r="F19" s="83"/>
      <c r="G19" s="224" t="str">
        <f t="shared" si="3"/>
        <v/>
      </c>
      <c r="H19" s="225"/>
      <c r="I19" s="226"/>
      <c r="J19" s="84" t="str">
        <f t="shared" si="4"/>
        <v/>
      </c>
      <c r="K19" s="85" t="str">
        <f t="shared" si="5"/>
        <v/>
      </c>
      <c r="L19" s="86"/>
      <c r="M19" s="87" t="str">
        <f t="shared" si="6"/>
        <v/>
      </c>
      <c r="N19" s="88" t="str">
        <f t="shared" si="7"/>
        <v/>
      </c>
      <c r="O19" s="89" t="str">
        <f t="shared" si="1"/>
        <v/>
      </c>
      <c r="P19" s="231"/>
      <c r="R19" s="20">
        <f>COUNTIF($F$11:F25,F19)</f>
        <v>0</v>
      </c>
      <c r="S19" s="257" t="e">
        <f t="shared" si="2"/>
        <v>#VALUE!</v>
      </c>
      <c r="T19" s="257"/>
      <c r="U19" s="20" t="b">
        <f t="shared" si="8"/>
        <v>1</v>
      </c>
    </row>
    <row r="20" spans="1:21" s="41" customFormat="1" ht="28.5" customHeight="1">
      <c r="A20" s="40"/>
      <c r="B20" s="221">
        <v>9</v>
      </c>
      <c r="C20" s="222"/>
      <c r="D20" s="82"/>
      <c r="E20" s="85" t="str">
        <f t="shared" si="0"/>
        <v/>
      </c>
      <c r="F20" s="83"/>
      <c r="G20" s="224" t="str">
        <f t="shared" si="3"/>
        <v/>
      </c>
      <c r="H20" s="225"/>
      <c r="I20" s="226"/>
      <c r="J20" s="84" t="str">
        <f t="shared" si="4"/>
        <v/>
      </c>
      <c r="K20" s="85" t="str">
        <f t="shared" si="5"/>
        <v/>
      </c>
      <c r="L20" s="86"/>
      <c r="M20" s="87" t="str">
        <f t="shared" si="6"/>
        <v/>
      </c>
      <c r="N20" s="88" t="str">
        <f t="shared" si="7"/>
        <v/>
      </c>
      <c r="O20" s="89" t="str">
        <f t="shared" si="1"/>
        <v/>
      </c>
      <c r="P20" s="231"/>
      <c r="R20" s="20">
        <f>COUNTIF($F$11:F26,F20)</f>
        <v>0</v>
      </c>
      <c r="S20" s="257" t="e">
        <f t="shared" si="2"/>
        <v>#VALUE!</v>
      </c>
      <c r="T20" s="257"/>
      <c r="U20" s="20" t="b">
        <f t="shared" si="8"/>
        <v>1</v>
      </c>
    </row>
    <row r="21" spans="1:21" s="41" customFormat="1" ht="28.5" customHeight="1">
      <c r="A21" s="40"/>
      <c r="B21" s="221">
        <v>10</v>
      </c>
      <c r="C21" s="222"/>
      <c r="D21" s="82"/>
      <c r="E21" s="85" t="str">
        <f t="shared" si="0"/>
        <v/>
      </c>
      <c r="F21" s="83"/>
      <c r="G21" s="224" t="str">
        <f t="shared" si="3"/>
        <v/>
      </c>
      <c r="H21" s="225"/>
      <c r="I21" s="226"/>
      <c r="J21" s="84" t="str">
        <f t="shared" si="4"/>
        <v/>
      </c>
      <c r="K21" s="85" t="str">
        <f t="shared" si="5"/>
        <v/>
      </c>
      <c r="L21" s="86"/>
      <c r="M21" s="87" t="str">
        <f t="shared" si="6"/>
        <v/>
      </c>
      <c r="N21" s="88" t="str">
        <f t="shared" si="7"/>
        <v/>
      </c>
      <c r="O21" s="89" t="str">
        <f t="shared" si="1"/>
        <v/>
      </c>
      <c r="P21" s="231"/>
      <c r="R21" s="20">
        <f>COUNTIF($F$11:F27,F21)</f>
        <v>0</v>
      </c>
      <c r="S21" s="257" t="e">
        <f t="shared" si="2"/>
        <v>#VALUE!</v>
      </c>
      <c r="T21" s="257"/>
      <c r="U21" s="20" t="b">
        <f t="shared" si="8"/>
        <v>1</v>
      </c>
    </row>
    <row r="22" spans="1:21" s="41" customFormat="1" ht="28.5" customHeight="1">
      <c r="A22" s="40"/>
      <c r="B22" s="221">
        <v>11</v>
      </c>
      <c r="C22" s="222"/>
      <c r="D22" s="82"/>
      <c r="E22" s="85" t="str">
        <f t="shared" si="0"/>
        <v/>
      </c>
      <c r="F22" s="83"/>
      <c r="G22" s="224" t="str">
        <f t="shared" si="3"/>
        <v/>
      </c>
      <c r="H22" s="225"/>
      <c r="I22" s="226"/>
      <c r="J22" s="84" t="str">
        <f t="shared" si="4"/>
        <v/>
      </c>
      <c r="K22" s="85" t="str">
        <f t="shared" si="5"/>
        <v/>
      </c>
      <c r="L22" s="86"/>
      <c r="M22" s="87" t="str">
        <f t="shared" si="6"/>
        <v/>
      </c>
      <c r="N22" s="88" t="str">
        <f t="shared" si="7"/>
        <v/>
      </c>
      <c r="O22" s="89" t="str">
        <f t="shared" si="1"/>
        <v/>
      </c>
      <c r="P22" s="231"/>
      <c r="R22" s="20">
        <f>COUNTIF($F$11:F28,F22)</f>
        <v>0</v>
      </c>
      <c r="S22" s="257" t="e">
        <f t="shared" si="2"/>
        <v>#VALUE!</v>
      </c>
      <c r="T22" s="257"/>
      <c r="U22" s="20" t="b">
        <f t="shared" si="8"/>
        <v>1</v>
      </c>
    </row>
    <row r="23" spans="1:21" s="41" customFormat="1" ht="28.5" customHeight="1">
      <c r="A23" s="40"/>
      <c r="B23" s="221">
        <v>12</v>
      </c>
      <c r="C23" s="222"/>
      <c r="D23" s="82"/>
      <c r="E23" s="85" t="str">
        <f t="shared" si="0"/>
        <v/>
      </c>
      <c r="F23" s="83"/>
      <c r="G23" s="224" t="str">
        <f t="shared" si="3"/>
        <v/>
      </c>
      <c r="H23" s="225"/>
      <c r="I23" s="226"/>
      <c r="J23" s="84" t="str">
        <f t="shared" si="4"/>
        <v/>
      </c>
      <c r="K23" s="85" t="str">
        <f t="shared" si="5"/>
        <v/>
      </c>
      <c r="L23" s="86"/>
      <c r="M23" s="87" t="str">
        <f t="shared" si="6"/>
        <v/>
      </c>
      <c r="N23" s="88" t="str">
        <f t="shared" si="7"/>
        <v/>
      </c>
      <c r="O23" s="89" t="str">
        <f t="shared" si="1"/>
        <v/>
      </c>
      <c r="P23" s="231"/>
      <c r="R23" s="20">
        <f>COUNTIF($F$11:F29,F23)</f>
        <v>0</v>
      </c>
      <c r="S23" s="257" t="e">
        <f t="shared" si="2"/>
        <v>#VALUE!</v>
      </c>
      <c r="T23" s="257"/>
      <c r="U23" s="20" t="b">
        <f t="shared" si="8"/>
        <v>1</v>
      </c>
    </row>
    <row r="24" spans="1:21" s="41" customFormat="1" ht="28.5" customHeight="1">
      <c r="A24" s="40"/>
      <c r="B24" s="221">
        <v>13</v>
      </c>
      <c r="C24" s="222"/>
      <c r="D24" s="82"/>
      <c r="E24" s="85" t="str">
        <f t="shared" si="0"/>
        <v/>
      </c>
      <c r="F24" s="83"/>
      <c r="G24" s="224" t="str">
        <f t="shared" si="3"/>
        <v/>
      </c>
      <c r="H24" s="225"/>
      <c r="I24" s="226"/>
      <c r="J24" s="84" t="str">
        <f t="shared" si="4"/>
        <v/>
      </c>
      <c r="K24" s="85" t="str">
        <f t="shared" si="5"/>
        <v/>
      </c>
      <c r="L24" s="86"/>
      <c r="M24" s="87" t="str">
        <f t="shared" si="6"/>
        <v/>
      </c>
      <c r="N24" s="88" t="str">
        <f t="shared" si="7"/>
        <v/>
      </c>
      <c r="O24" s="89" t="str">
        <f t="shared" si="1"/>
        <v/>
      </c>
      <c r="P24" s="231"/>
      <c r="R24" s="20">
        <f>COUNTIF($F$11:F29,F24)</f>
        <v>0</v>
      </c>
      <c r="S24" s="257" t="e">
        <f t="shared" si="2"/>
        <v>#VALUE!</v>
      </c>
      <c r="T24" s="257"/>
      <c r="U24" s="20" t="b">
        <f t="shared" si="8"/>
        <v>1</v>
      </c>
    </row>
    <row r="25" spans="1:21" s="41" customFormat="1" ht="28.5" customHeight="1">
      <c r="A25" s="40"/>
      <c r="B25" s="221">
        <v>14</v>
      </c>
      <c r="C25" s="222"/>
      <c r="D25" s="82"/>
      <c r="E25" s="85" t="str">
        <f t="shared" si="0"/>
        <v/>
      </c>
      <c r="F25" s="83"/>
      <c r="G25" s="224" t="str">
        <f t="shared" si="3"/>
        <v/>
      </c>
      <c r="H25" s="225"/>
      <c r="I25" s="226"/>
      <c r="J25" s="84" t="str">
        <f t="shared" si="4"/>
        <v/>
      </c>
      <c r="K25" s="85" t="str">
        <f t="shared" si="5"/>
        <v/>
      </c>
      <c r="L25" s="86"/>
      <c r="M25" s="87" t="str">
        <f t="shared" si="6"/>
        <v/>
      </c>
      <c r="N25" s="88" t="str">
        <f t="shared" si="7"/>
        <v/>
      </c>
      <c r="O25" s="89" t="str">
        <f t="shared" si="1"/>
        <v/>
      </c>
      <c r="P25" s="231"/>
      <c r="R25" s="20">
        <f>COUNTIF($F$11:F30,F25)</f>
        <v>0</v>
      </c>
      <c r="S25" s="257" t="e">
        <f t="shared" si="2"/>
        <v>#VALUE!</v>
      </c>
      <c r="T25" s="257"/>
      <c r="U25" s="20" t="b">
        <f t="shared" si="8"/>
        <v>1</v>
      </c>
    </row>
    <row r="26" spans="1:21" s="41" customFormat="1" ht="28.5" customHeight="1" thickBot="1">
      <c r="A26" s="40"/>
      <c r="B26" s="355">
        <v>15</v>
      </c>
      <c r="C26" s="223"/>
      <c r="D26" s="90"/>
      <c r="E26" s="92" t="str">
        <f t="shared" si="0"/>
        <v/>
      </c>
      <c r="F26" s="104"/>
      <c r="G26" s="227" t="str">
        <f t="shared" si="3"/>
        <v/>
      </c>
      <c r="H26" s="228"/>
      <c r="I26" s="229"/>
      <c r="J26" s="91" t="str">
        <f t="shared" si="4"/>
        <v/>
      </c>
      <c r="K26" s="92" t="str">
        <f t="shared" si="5"/>
        <v/>
      </c>
      <c r="L26" s="93"/>
      <c r="M26" s="94" t="str">
        <f t="shared" si="6"/>
        <v/>
      </c>
      <c r="N26" s="95" t="str">
        <f t="shared" si="7"/>
        <v/>
      </c>
      <c r="O26" s="96" t="str">
        <f t="shared" si="1"/>
        <v/>
      </c>
      <c r="P26" s="230"/>
      <c r="R26" s="20">
        <f>COUNTIF($F$11:F31,F26)</f>
        <v>0</v>
      </c>
      <c r="S26" s="257" t="e">
        <f t="shared" si="2"/>
        <v>#VALUE!</v>
      </c>
      <c r="T26" s="257"/>
      <c r="U26" s="20" t="b">
        <f t="shared" si="8"/>
        <v>1</v>
      </c>
    </row>
    <row r="27" spans="1:21" s="8" customFormat="1" ht="12" customHeight="1" thickTop="1" thickBot="1">
      <c r="A27" s="59"/>
      <c r="B27" s="19"/>
      <c r="C27" s="287"/>
      <c r="D27" s="54"/>
      <c r="E27" s="59"/>
      <c r="F27" s="19"/>
      <c r="G27" s="300" t="str">
        <f t="shared" ref="G27:G29" si="9">IF($F27&lt;&gt;0,VLOOKUP($F27,$E$71:$M$502,2,FALSE),"")</f>
        <v/>
      </c>
      <c r="H27" s="300"/>
      <c r="I27" s="291"/>
      <c r="J27" s="292" t="str">
        <f t="shared" ref="J27" si="10">IF($F27&lt;&gt;0,VLOOKUP($F27,$E$71:$M$502,7,FALSE),"")</f>
        <v/>
      </c>
      <c r="K27" s="287" t="str">
        <f t="shared" ref="K27" si="11">IF($F27&lt;&gt;0,VLOOKUP($F27,$E$71:$M$502,8,FALSE),"")</f>
        <v/>
      </c>
      <c r="L27" s="59"/>
      <c r="M27" s="59" t="str">
        <f t="shared" ref="M27" si="12">IF($L27&lt;&gt;0,VLOOKUP($F27,$E$71:$M$502,9,FALSE)*$L27,"")</f>
        <v/>
      </c>
      <c r="N27" s="59" t="str">
        <f t="shared" ref="N27" si="13">IF($F27&lt;&gt;0,VLOOKUP($F27,$E$71:$M$502,5,FALSE),"")</f>
        <v/>
      </c>
      <c r="O27" s="59" t="str">
        <f t="shared" si="1"/>
        <v/>
      </c>
      <c r="P27" s="59"/>
      <c r="R27" s="20"/>
      <c r="S27" s="257"/>
      <c r="T27" s="257"/>
      <c r="U27" s="20"/>
    </row>
    <row r="28" spans="1:21" s="8" customFormat="1" ht="18" customHeight="1" thickBot="1">
      <c r="A28" s="59"/>
      <c r="B28" s="287"/>
      <c r="C28" s="287"/>
      <c r="D28" s="59"/>
      <c r="E28" s="59"/>
      <c r="F28" s="59"/>
      <c r="G28" s="59" t="str">
        <f t="shared" si="9"/>
        <v/>
      </c>
      <c r="H28" s="59"/>
      <c r="I28" s="668" t="s">
        <v>846</v>
      </c>
      <c r="J28" s="301" t="s">
        <v>830</v>
      </c>
      <c r="K28" s="302">
        <f>SUM(M12:M26)</f>
        <v>208</v>
      </c>
      <c r="L28" s="59"/>
      <c r="M28" s="670" t="s">
        <v>19</v>
      </c>
      <c r="N28" s="303" t="s">
        <v>20</v>
      </c>
      <c r="O28" s="672">
        <f>SUM(O12:O26)</f>
        <v>3473000</v>
      </c>
      <c r="P28" s="673"/>
      <c r="R28" s="20"/>
      <c r="S28" s="257"/>
      <c r="T28" s="257"/>
      <c r="U28" s="20"/>
    </row>
    <row r="29" spans="1:21" s="8" customFormat="1" ht="18" customHeight="1" thickBot="1">
      <c r="A29" s="59"/>
      <c r="B29" s="287"/>
      <c r="C29" s="287"/>
      <c r="D29" s="59"/>
      <c r="E29" s="59"/>
      <c r="F29" s="59"/>
      <c r="G29" s="59" t="str">
        <f t="shared" si="9"/>
        <v/>
      </c>
      <c r="H29" s="59"/>
      <c r="I29" s="669"/>
      <c r="J29" s="304" t="s">
        <v>831</v>
      </c>
      <c r="K29" s="305">
        <f>$K$28/200</f>
        <v>1.04</v>
      </c>
      <c r="L29" s="59"/>
      <c r="M29" s="671"/>
      <c r="N29" s="306" t="s">
        <v>21</v>
      </c>
      <c r="O29" s="674">
        <f>O28*1.1</f>
        <v>3820300.0000000005</v>
      </c>
      <c r="P29" s="675"/>
      <c r="R29" s="57"/>
      <c r="S29" s="257"/>
      <c r="T29" s="257"/>
      <c r="U29" s="20"/>
    </row>
    <row r="30" spans="1:21" ht="16.5" customHeight="1"/>
    <row r="31" spans="1:21" ht="16.5" customHeight="1">
      <c r="K31" s="58"/>
    </row>
    <row r="32" spans="1:21" ht="16.5" customHeight="1">
      <c r="P32" s="12"/>
    </row>
    <row r="33" spans="2:21" ht="16.5" customHeight="1">
      <c r="P33" s="12"/>
    </row>
    <row r="34" spans="2:21" ht="16.5" customHeight="1">
      <c r="P34" s="12"/>
    </row>
    <row r="35" spans="2:21" ht="16.5" customHeight="1"/>
    <row r="36" spans="2:21" ht="16.5" customHeight="1"/>
    <row r="37" spans="2:21" ht="16.5" customHeight="1"/>
    <row r="38" spans="2:21" ht="16.5" customHeight="1"/>
    <row r="39" spans="2:21" ht="16.5" customHeight="1"/>
    <row r="40" spans="2:21" s="3" customFormat="1" ht="16.5" customHeight="1" thickBot="1">
      <c r="B40" s="2"/>
      <c r="C40" s="2"/>
      <c r="I40" s="13"/>
      <c r="J40" s="16"/>
      <c r="K40" s="2"/>
      <c r="R40" s="22"/>
      <c r="S40" s="258"/>
      <c r="T40" s="258"/>
      <c r="U40" s="22"/>
    </row>
    <row r="41" spans="2:21" ht="13.5" customHeight="1">
      <c r="B41" s="598" t="s">
        <v>22</v>
      </c>
      <c r="C41" s="599"/>
      <c r="D41" s="599"/>
      <c r="E41" s="600"/>
    </row>
    <row r="42" spans="2:21" ht="14.25" customHeight="1" thickBot="1">
      <c r="B42" s="601"/>
      <c r="C42" s="602"/>
      <c r="D42" s="602"/>
      <c r="E42" s="603"/>
    </row>
    <row r="43" spans="2:21" ht="14.25" customHeight="1">
      <c r="B43" s="269"/>
      <c r="C43" s="269"/>
      <c r="D43" s="269"/>
      <c r="E43" s="269"/>
      <c r="I43" s="260"/>
      <c r="J43" s="261"/>
      <c r="S43" s="270"/>
      <c r="T43" s="270"/>
    </row>
    <row r="44" spans="2:21" ht="14.25" customHeight="1">
      <c r="B44" s="269"/>
      <c r="C44" s="269"/>
      <c r="D44" s="269"/>
      <c r="E44" s="269"/>
      <c r="I44" s="260"/>
      <c r="J44" s="261"/>
      <c r="S44" s="270"/>
      <c r="T44" s="270"/>
    </row>
    <row r="45" spans="2:21" ht="13.5" customHeight="1">
      <c r="D45" s="259" t="s">
        <v>76</v>
      </c>
      <c r="E45" s="259" t="s">
        <v>23</v>
      </c>
      <c r="G45" s="259" t="s">
        <v>77</v>
      </c>
      <c r="H45" s="259" t="s">
        <v>16</v>
      </c>
      <c r="I45" s="259"/>
      <c r="J45" s="259"/>
      <c r="K45" s="259"/>
      <c r="M45" s="274" t="s">
        <v>14</v>
      </c>
      <c r="N45" s="259" t="s">
        <v>15</v>
      </c>
      <c r="O45" s="259"/>
    </row>
    <row r="46" spans="2:21">
      <c r="D46" s="262" t="s">
        <v>738</v>
      </c>
      <c r="E46" s="263">
        <v>194712</v>
      </c>
      <c r="G46" s="262" t="s">
        <v>789</v>
      </c>
      <c r="H46" s="264" t="s">
        <v>790</v>
      </c>
      <c r="I46" s="265"/>
      <c r="J46" s="266"/>
      <c r="K46" s="267"/>
      <c r="M46" s="268"/>
      <c r="N46" s="268"/>
      <c r="O46" s="268"/>
    </row>
    <row r="47" spans="2:21">
      <c r="D47" s="262" t="s">
        <v>784</v>
      </c>
      <c r="E47" s="263">
        <v>199210</v>
      </c>
      <c r="G47" s="262" t="s">
        <v>791</v>
      </c>
      <c r="H47" s="264" t="s">
        <v>792</v>
      </c>
      <c r="I47" s="265"/>
      <c r="J47" s="266"/>
      <c r="K47" s="267"/>
      <c r="M47" s="268"/>
      <c r="N47" s="268"/>
      <c r="O47" s="268"/>
    </row>
    <row r="48" spans="2:21">
      <c r="D48" s="262" t="s">
        <v>955</v>
      </c>
      <c r="E48" s="263">
        <v>194667</v>
      </c>
      <c r="G48" s="262" t="s">
        <v>793</v>
      </c>
      <c r="H48" s="264" t="s">
        <v>792</v>
      </c>
      <c r="I48" s="265"/>
      <c r="J48" s="266"/>
      <c r="K48" s="267"/>
      <c r="M48" s="268"/>
      <c r="N48" s="268"/>
      <c r="O48" s="268"/>
    </row>
    <row r="49" spans="4:15">
      <c r="D49" s="262"/>
      <c r="E49" s="263"/>
      <c r="G49" s="262"/>
      <c r="H49" s="264"/>
      <c r="I49" s="265"/>
      <c r="J49" s="266"/>
      <c r="K49" s="267"/>
      <c r="M49" s="268"/>
      <c r="N49" s="268"/>
      <c r="O49" s="268"/>
    </row>
    <row r="50" spans="4:15">
      <c r="D50" s="262" t="s">
        <v>24</v>
      </c>
      <c r="E50" s="263">
        <v>194675</v>
      </c>
      <c r="G50" s="262" t="s">
        <v>795</v>
      </c>
      <c r="H50" s="264" t="s">
        <v>796</v>
      </c>
      <c r="I50" s="265"/>
      <c r="J50" s="266"/>
      <c r="K50" s="267"/>
      <c r="M50" s="268"/>
      <c r="N50" s="268"/>
      <c r="O50" s="268"/>
    </row>
    <row r="51" spans="4:15">
      <c r="D51" s="262" t="s">
        <v>25</v>
      </c>
      <c r="E51" s="263">
        <v>194701</v>
      </c>
      <c r="G51" s="262" t="s">
        <v>797</v>
      </c>
      <c r="H51" s="264" t="s">
        <v>798</v>
      </c>
      <c r="I51" s="265"/>
      <c r="J51" s="266"/>
      <c r="K51" s="267"/>
      <c r="M51" s="268"/>
      <c r="N51" s="268"/>
      <c r="O51" s="268"/>
    </row>
    <row r="52" spans="4:15">
      <c r="D52" s="262" t="s">
        <v>806</v>
      </c>
      <c r="E52" s="263">
        <v>194729</v>
      </c>
      <c r="G52" s="262" t="s">
        <v>794</v>
      </c>
      <c r="H52" s="264" t="s">
        <v>792</v>
      </c>
      <c r="I52" s="265"/>
      <c r="J52" s="266"/>
      <c r="K52" s="267"/>
      <c r="M52" s="268"/>
      <c r="N52" s="268"/>
      <c r="O52" s="268"/>
    </row>
    <row r="53" spans="4:15">
      <c r="D53" s="262" t="s">
        <v>759</v>
      </c>
      <c r="E53" s="263">
        <v>202724</v>
      </c>
      <c r="G53" s="262" t="s">
        <v>799</v>
      </c>
      <c r="H53" s="264" t="s">
        <v>792</v>
      </c>
      <c r="I53" s="265"/>
      <c r="J53" s="266"/>
      <c r="K53" s="267"/>
      <c r="M53" s="268"/>
      <c r="N53" s="268"/>
      <c r="O53" s="268"/>
    </row>
    <row r="54" spans="4:15">
      <c r="D54" s="262" t="s">
        <v>785</v>
      </c>
      <c r="E54" s="263">
        <v>203805</v>
      </c>
      <c r="G54" s="262" t="s">
        <v>800</v>
      </c>
      <c r="H54" s="264" t="s">
        <v>792</v>
      </c>
      <c r="I54" s="265"/>
      <c r="J54" s="266"/>
      <c r="K54" s="267"/>
      <c r="M54" s="268"/>
      <c r="N54" s="268"/>
      <c r="O54" s="268"/>
    </row>
    <row r="55" spans="4:15">
      <c r="D55" s="262" t="s">
        <v>753</v>
      </c>
      <c r="E55" s="263">
        <v>200584</v>
      </c>
      <c r="G55" s="262" t="s">
        <v>801</v>
      </c>
      <c r="H55" s="264" t="s">
        <v>792</v>
      </c>
      <c r="I55" s="265"/>
      <c r="J55" s="266"/>
      <c r="K55" s="267"/>
      <c r="M55" s="268"/>
      <c r="N55" s="268"/>
      <c r="O55" s="268"/>
    </row>
    <row r="56" spans="4:15">
      <c r="D56" s="262" t="s">
        <v>786</v>
      </c>
      <c r="E56" s="263">
        <v>207998</v>
      </c>
      <c r="G56" s="262" t="s">
        <v>802</v>
      </c>
      <c r="H56" s="264" t="s">
        <v>792</v>
      </c>
      <c r="I56" s="265"/>
      <c r="J56" s="266"/>
      <c r="K56" s="267"/>
      <c r="M56" s="268"/>
      <c r="N56" s="268"/>
      <c r="O56" s="268"/>
    </row>
    <row r="57" spans="4:15">
      <c r="D57" s="262" t="s">
        <v>757</v>
      </c>
      <c r="E57" s="263">
        <v>211914</v>
      </c>
      <c r="G57" s="262" t="s">
        <v>803</v>
      </c>
      <c r="H57" s="264" t="s">
        <v>792</v>
      </c>
      <c r="I57" s="265"/>
      <c r="J57" s="266"/>
      <c r="K57" s="267"/>
      <c r="M57" s="268"/>
      <c r="N57" s="268"/>
      <c r="O57" s="268"/>
    </row>
    <row r="58" spans="4:15">
      <c r="D58" s="262" t="s">
        <v>787</v>
      </c>
      <c r="E58" s="263">
        <v>203477</v>
      </c>
      <c r="G58" s="262" t="s">
        <v>804</v>
      </c>
      <c r="H58" s="264" t="s">
        <v>792</v>
      </c>
      <c r="I58" s="265"/>
      <c r="J58" s="266"/>
      <c r="K58" s="267"/>
      <c r="M58" s="268"/>
      <c r="N58" s="268"/>
      <c r="O58" s="268"/>
    </row>
    <row r="59" spans="4:15">
      <c r="D59" s="262" t="s">
        <v>788</v>
      </c>
      <c r="E59" s="263">
        <v>215691</v>
      </c>
      <c r="G59" s="262" t="s">
        <v>805</v>
      </c>
      <c r="H59" s="264" t="s">
        <v>792</v>
      </c>
      <c r="I59" s="265"/>
      <c r="J59" s="266"/>
      <c r="K59" s="267"/>
      <c r="M59" s="268"/>
      <c r="N59" s="268"/>
      <c r="O59" s="268"/>
    </row>
    <row r="60" spans="4:15">
      <c r="D60" s="262"/>
      <c r="E60" s="263"/>
      <c r="G60" s="264"/>
      <c r="H60" s="262"/>
      <c r="I60" s="271"/>
      <c r="J60" s="272"/>
      <c r="K60" s="263"/>
      <c r="M60" s="268"/>
      <c r="N60" s="268"/>
      <c r="O60" s="268"/>
    </row>
    <row r="61" spans="4:15">
      <c r="D61" s="262"/>
      <c r="E61" s="263"/>
      <c r="G61" s="262"/>
      <c r="H61" s="264"/>
      <c r="I61" s="265"/>
      <c r="J61" s="266"/>
      <c r="K61" s="267"/>
      <c r="M61" s="268"/>
      <c r="N61" s="268"/>
      <c r="O61" s="268"/>
    </row>
    <row r="62" spans="4:15">
      <c r="D62" s="262"/>
      <c r="E62" s="263"/>
      <c r="G62" s="264"/>
      <c r="H62" s="262"/>
      <c r="I62" s="271"/>
      <c r="J62" s="272"/>
      <c r="K62" s="263"/>
      <c r="M62" s="268"/>
      <c r="N62" s="268"/>
      <c r="O62" s="268"/>
    </row>
    <row r="63" spans="4:15">
      <c r="D63" s="262"/>
      <c r="E63" s="263"/>
      <c r="G63" s="267"/>
      <c r="H63" s="264"/>
      <c r="I63" s="265"/>
      <c r="J63" s="266"/>
      <c r="K63" s="267"/>
      <c r="M63" s="268"/>
      <c r="N63" s="268"/>
      <c r="O63" s="268"/>
    </row>
    <row r="64" spans="4:15">
      <c r="D64" s="262"/>
      <c r="E64" s="263"/>
      <c r="G64" s="264"/>
      <c r="H64" s="265"/>
      <c r="I64" s="265"/>
      <c r="J64" s="273"/>
      <c r="K64" s="267"/>
      <c r="M64" s="268"/>
      <c r="N64" s="268"/>
      <c r="O64" s="268"/>
    </row>
    <row r="65" spans="1:21" s="43" customFormat="1">
      <c r="A65"/>
      <c r="B65" s="1"/>
      <c r="C65" s="1"/>
      <c r="D65"/>
      <c r="E65"/>
      <c r="F65"/>
      <c r="G65"/>
      <c r="H65"/>
      <c r="I65" s="260"/>
      <c r="J65" s="261"/>
      <c r="K65" s="1"/>
      <c r="L65"/>
      <c r="M65"/>
      <c r="N65"/>
      <c r="O65"/>
      <c r="P65"/>
      <c r="Q65"/>
      <c r="R65" s="21"/>
      <c r="S65" s="256"/>
      <c r="T65" s="257"/>
      <c r="U65" s="20"/>
    </row>
    <row r="66" spans="1:21" s="43" customFormat="1">
      <c r="A66"/>
      <c r="B66" s="1"/>
      <c r="C66" s="1"/>
      <c r="D66"/>
      <c r="E66"/>
      <c r="F66"/>
      <c r="G66"/>
      <c r="H66"/>
      <c r="I66" s="12"/>
      <c r="J66" s="15"/>
      <c r="K66" s="1"/>
      <c r="L66"/>
      <c r="M66"/>
      <c r="N66"/>
      <c r="O66"/>
      <c r="P66"/>
      <c r="Q66"/>
      <c r="R66" s="21"/>
      <c r="S66" s="256"/>
      <c r="T66" s="257"/>
      <c r="U66" s="20"/>
    </row>
    <row r="67" spans="1:21" s="43" customFormat="1">
      <c r="A67"/>
      <c r="B67" s="1"/>
      <c r="C67" s="1"/>
      <c r="D67"/>
      <c r="E67"/>
      <c r="F67"/>
      <c r="G67"/>
      <c r="H67"/>
      <c r="I67" s="12"/>
      <c r="J67" s="15"/>
      <c r="K67" s="1"/>
      <c r="L67"/>
      <c r="M67"/>
      <c r="N67"/>
      <c r="O67"/>
      <c r="P67"/>
      <c r="Q67"/>
      <c r="R67" s="21"/>
      <c r="S67" s="256"/>
      <c r="T67" s="257"/>
      <c r="U67" s="20"/>
    </row>
    <row r="68" spans="1:21" s="43" customFormat="1" ht="14.25" thickBot="1">
      <c r="A68"/>
      <c r="B68" s="1"/>
      <c r="C68" s="1"/>
      <c r="D68"/>
      <c r="E68"/>
      <c r="F68"/>
      <c r="G68"/>
      <c r="H68"/>
      <c r="I68" s="12"/>
      <c r="J68" s="15"/>
      <c r="K68" s="1"/>
      <c r="L68"/>
      <c r="M68"/>
      <c r="N68"/>
      <c r="O68"/>
      <c r="P68"/>
      <c r="Q68"/>
      <c r="R68" s="21"/>
      <c r="S68" s="256"/>
      <c r="T68" s="257"/>
      <c r="U68" s="20"/>
    </row>
    <row r="69" spans="1:21" s="43" customFormat="1" ht="18" customHeight="1" thickBot="1">
      <c r="A69"/>
      <c r="B69" s="1"/>
      <c r="C69" s="1"/>
      <c r="D69" s="604"/>
      <c r="E69" s="605"/>
      <c r="F69"/>
      <c r="G69"/>
      <c r="H69"/>
      <c r="I69" s="12"/>
      <c r="J69" s="15"/>
      <c r="K69" s="1"/>
      <c r="L69"/>
      <c r="M69"/>
      <c r="N69"/>
      <c r="O69"/>
      <c r="P69"/>
      <c r="Q69"/>
      <c r="R69" s="21"/>
      <c r="S69" s="256"/>
      <c r="T69" s="257"/>
      <c r="U69" s="20"/>
    </row>
    <row r="70" spans="1:21" s="28" customFormat="1" ht="21" customHeight="1">
      <c r="D70" s="133" t="s">
        <v>27</v>
      </c>
      <c r="E70" s="23" t="s">
        <v>23</v>
      </c>
      <c r="F70" s="24" t="s">
        <v>28</v>
      </c>
      <c r="G70" s="234" t="s">
        <v>28</v>
      </c>
      <c r="H70" s="234" t="s">
        <v>28</v>
      </c>
      <c r="I70" s="25" t="s">
        <v>29</v>
      </c>
      <c r="J70" s="26" t="s">
        <v>30</v>
      </c>
      <c r="K70" s="27" t="s">
        <v>31</v>
      </c>
      <c r="L70" s="27" t="s">
        <v>32</v>
      </c>
      <c r="M70" s="27" t="s">
        <v>33</v>
      </c>
      <c r="R70" s="20"/>
      <c r="S70" s="257"/>
      <c r="T70" s="257"/>
      <c r="U70" s="20"/>
    </row>
    <row r="71" spans="1:21" s="28" customFormat="1" ht="16.5" customHeight="1">
      <c r="B71" s="20"/>
      <c r="C71" s="20"/>
      <c r="D71" s="254"/>
      <c r="E71" s="379">
        <v>120645</v>
      </c>
      <c r="F71" s="380" t="s">
        <v>53</v>
      </c>
      <c r="G71" s="381"/>
      <c r="H71" s="382"/>
      <c r="I71" s="383">
        <v>2213000</v>
      </c>
      <c r="J71" s="384">
        <v>120645</v>
      </c>
      <c r="K71" s="378" t="s">
        <v>71</v>
      </c>
      <c r="L71" s="378" t="s">
        <v>78</v>
      </c>
      <c r="M71" s="378">
        <v>200</v>
      </c>
      <c r="N71" s="356">
        <v>2213000</v>
      </c>
      <c r="O71" s="28" t="b">
        <v>1</v>
      </c>
    </row>
    <row r="72" spans="1:21" s="28" customFormat="1" ht="16.5" customHeight="1">
      <c r="B72" s="20"/>
      <c r="C72" s="20"/>
      <c r="D72" s="254"/>
      <c r="E72" s="379">
        <v>122916</v>
      </c>
      <c r="F72" s="380" t="s">
        <v>54</v>
      </c>
      <c r="G72" s="381"/>
      <c r="H72" s="382"/>
      <c r="I72" s="383">
        <v>140000</v>
      </c>
      <c r="J72" s="384">
        <v>122916</v>
      </c>
      <c r="K72" s="378" t="s">
        <v>72</v>
      </c>
      <c r="L72" s="378" t="s">
        <v>78</v>
      </c>
      <c r="M72" s="378">
        <v>12</v>
      </c>
      <c r="N72" s="356">
        <v>140000</v>
      </c>
      <c r="O72" s="28" t="b">
        <v>1</v>
      </c>
    </row>
    <row r="73" spans="1:21" s="28" customFormat="1" ht="16.5" customHeight="1">
      <c r="B73" s="20"/>
      <c r="C73" s="20"/>
      <c r="D73" s="254"/>
      <c r="E73" s="379">
        <v>129171</v>
      </c>
      <c r="F73" s="380" t="s">
        <v>58</v>
      </c>
      <c r="G73" s="381"/>
      <c r="H73" s="382"/>
      <c r="I73" s="383">
        <v>59700</v>
      </c>
      <c r="J73" s="384">
        <v>129171</v>
      </c>
      <c r="K73" s="378" t="s">
        <v>70</v>
      </c>
      <c r="L73" s="378" t="s">
        <v>0</v>
      </c>
      <c r="M73" s="378">
        <v>20</v>
      </c>
      <c r="N73" s="356">
        <v>59700</v>
      </c>
      <c r="O73" s="28" t="b">
        <v>1</v>
      </c>
    </row>
    <row r="74" spans="1:21" s="28" customFormat="1" ht="16.5" customHeight="1">
      <c r="B74" s="20"/>
      <c r="C74" s="20"/>
      <c r="D74" s="254"/>
      <c r="E74" s="379">
        <v>129174</v>
      </c>
      <c r="F74" s="380" t="s">
        <v>60</v>
      </c>
      <c r="G74" s="381"/>
      <c r="H74" s="382"/>
      <c r="I74" s="383">
        <v>70200</v>
      </c>
      <c r="J74" s="384">
        <v>129174</v>
      </c>
      <c r="K74" s="378" t="s">
        <v>70</v>
      </c>
      <c r="L74" s="378" t="s">
        <v>0</v>
      </c>
      <c r="M74" s="378">
        <v>20</v>
      </c>
      <c r="N74" s="356">
        <v>70200</v>
      </c>
      <c r="O74" s="28" t="b">
        <v>1</v>
      </c>
    </row>
    <row r="75" spans="1:21" s="28" customFormat="1" ht="16.5" customHeight="1">
      <c r="B75" s="20"/>
      <c r="C75" s="20"/>
      <c r="D75" s="254"/>
      <c r="E75" s="379">
        <v>134989</v>
      </c>
      <c r="F75" s="380" t="s">
        <v>42</v>
      </c>
      <c r="G75" s="381"/>
      <c r="H75" s="382"/>
      <c r="I75" s="383">
        <v>90900</v>
      </c>
      <c r="J75" s="384">
        <v>134989</v>
      </c>
      <c r="K75" s="378" t="s">
        <v>70</v>
      </c>
      <c r="L75" s="378" t="s">
        <v>0</v>
      </c>
      <c r="M75" s="378">
        <v>20</v>
      </c>
      <c r="N75" s="356">
        <v>90900</v>
      </c>
      <c r="O75" s="28" t="b">
        <v>1</v>
      </c>
    </row>
    <row r="76" spans="1:21" s="28" customFormat="1" ht="16.5" customHeight="1">
      <c r="B76" s="20"/>
      <c r="C76" s="20"/>
      <c r="D76" s="254"/>
      <c r="E76" s="379">
        <v>135691</v>
      </c>
      <c r="F76" s="380" t="s">
        <v>62</v>
      </c>
      <c r="G76" s="381"/>
      <c r="H76" s="382"/>
      <c r="I76" s="383">
        <v>91100</v>
      </c>
      <c r="J76" s="384">
        <v>135691</v>
      </c>
      <c r="K76" s="378" t="s">
        <v>70</v>
      </c>
      <c r="L76" s="378" t="s">
        <v>0</v>
      </c>
      <c r="M76" s="378">
        <v>20</v>
      </c>
      <c r="N76" s="356">
        <v>91100</v>
      </c>
      <c r="O76" s="28" t="b">
        <v>1</v>
      </c>
    </row>
    <row r="77" spans="1:21" s="28" customFormat="1" ht="16.5" customHeight="1">
      <c r="B77" s="20"/>
      <c r="C77" s="20"/>
      <c r="D77" s="254"/>
      <c r="E77" s="379">
        <v>138838</v>
      </c>
      <c r="F77" s="380" t="s">
        <v>40</v>
      </c>
      <c r="G77" s="381"/>
      <c r="H77" s="382"/>
      <c r="I77" s="383">
        <v>615000</v>
      </c>
      <c r="J77" s="384">
        <v>138838</v>
      </c>
      <c r="K77" s="378" t="s">
        <v>71</v>
      </c>
      <c r="L77" s="378" t="s">
        <v>0</v>
      </c>
      <c r="M77" s="378">
        <v>200</v>
      </c>
      <c r="N77" s="356">
        <v>615000</v>
      </c>
      <c r="O77" s="28" t="b">
        <v>1</v>
      </c>
    </row>
    <row r="78" spans="1:21" s="28" customFormat="1" ht="16.5" customHeight="1">
      <c r="B78" s="20"/>
      <c r="C78" s="20"/>
      <c r="D78" s="254"/>
      <c r="E78" s="379">
        <v>138840</v>
      </c>
      <c r="F78" s="380" t="s">
        <v>87</v>
      </c>
      <c r="G78" s="381"/>
      <c r="H78" s="382"/>
      <c r="I78" s="383">
        <v>65600</v>
      </c>
      <c r="J78" s="384">
        <v>138840</v>
      </c>
      <c r="K78" s="378" t="s">
        <v>70</v>
      </c>
      <c r="L78" s="378" t="s">
        <v>0</v>
      </c>
      <c r="M78" s="378">
        <v>20</v>
      </c>
      <c r="N78" s="356">
        <v>65600</v>
      </c>
      <c r="O78" s="28" t="b">
        <v>1</v>
      </c>
    </row>
    <row r="79" spans="1:21" s="28" customFormat="1" ht="16.5" customHeight="1">
      <c r="B79" s="20"/>
      <c r="C79" s="20"/>
      <c r="D79" s="254"/>
      <c r="E79" s="379">
        <v>138851</v>
      </c>
      <c r="F79" s="380" t="s">
        <v>48</v>
      </c>
      <c r="G79" s="381"/>
      <c r="H79" s="382"/>
      <c r="I79" s="383">
        <v>1193000</v>
      </c>
      <c r="J79" s="384">
        <v>138851</v>
      </c>
      <c r="K79" s="378" t="s">
        <v>71</v>
      </c>
      <c r="L79" s="378" t="s">
        <v>0</v>
      </c>
      <c r="M79" s="378">
        <v>208</v>
      </c>
      <c r="N79" s="356">
        <v>1193000</v>
      </c>
      <c r="O79" s="28" t="b">
        <v>1</v>
      </c>
    </row>
    <row r="80" spans="1:21" s="28" customFormat="1" ht="16.5" customHeight="1">
      <c r="B80" s="20"/>
      <c r="C80" s="20"/>
      <c r="D80" s="254"/>
      <c r="E80" s="379">
        <v>138889</v>
      </c>
      <c r="F80" s="380" t="s">
        <v>55</v>
      </c>
      <c r="G80" s="381"/>
      <c r="H80" s="382"/>
      <c r="I80" s="383">
        <v>520000</v>
      </c>
      <c r="J80" s="384">
        <v>138889</v>
      </c>
      <c r="K80" s="378" t="s">
        <v>71</v>
      </c>
      <c r="L80" s="378" t="s">
        <v>0</v>
      </c>
      <c r="M80" s="378">
        <v>200</v>
      </c>
      <c r="N80" s="356">
        <v>520000</v>
      </c>
      <c r="O80" s="28" t="b">
        <v>1</v>
      </c>
    </row>
    <row r="81" spans="2:15" s="28" customFormat="1" ht="16.5" customHeight="1">
      <c r="B81" s="20"/>
      <c r="C81" s="20"/>
      <c r="D81" s="254"/>
      <c r="E81" s="379">
        <v>138890</v>
      </c>
      <c r="F81" s="380" t="s">
        <v>56</v>
      </c>
      <c r="G81" s="381"/>
      <c r="H81" s="382"/>
      <c r="I81" s="383">
        <v>54000</v>
      </c>
      <c r="J81" s="384">
        <v>138890</v>
      </c>
      <c r="K81" s="378" t="s">
        <v>70</v>
      </c>
      <c r="L81" s="378" t="s">
        <v>0</v>
      </c>
      <c r="M81" s="378">
        <v>20</v>
      </c>
      <c r="N81" s="356">
        <v>54000</v>
      </c>
      <c r="O81" s="28" t="b">
        <v>1</v>
      </c>
    </row>
    <row r="82" spans="2:15" s="28" customFormat="1" ht="16.5" customHeight="1">
      <c r="B82" s="20"/>
      <c r="C82" s="20"/>
      <c r="D82" s="254"/>
      <c r="E82" s="379">
        <v>138893</v>
      </c>
      <c r="F82" s="380" t="s">
        <v>57</v>
      </c>
      <c r="G82" s="381"/>
      <c r="H82" s="382"/>
      <c r="I82" s="383">
        <v>552000</v>
      </c>
      <c r="J82" s="384">
        <v>138893</v>
      </c>
      <c r="K82" s="378" t="s">
        <v>71</v>
      </c>
      <c r="L82" s="378" t="s">
        <v>0</v>
      </c>
      <c r="M82" s="378">
        <v>200</v>
      </c>
      <c r="N82" s="356">
        <v>552000</v>
      </c>
      <c r="O82" s="28" t="b">
        <v>1</v>
      </c>
    </row>
    <row r="83" spans="2:15" s="28" customFormat="1" ht="16.5" customHeight="1">
      <c r="B83" s="20"/>
      <c r="C83" s="20"/>
      <c r="D83" s="254"/>
      <c r="E83" s="379">
        <v>138895</v>
      </c>
      <c r="F83" s="380" t="s">
        <v>59</v>
      </c>
      <c r="G83" s="381"/>
      <c r="H83" s="382"/>
      <c r="I83" s="383">
        <v>662000</v>
      </c>
      <c r="J83" s="384">
        <v>138895</v>
      </c>
      <c r="K83" s="378" t="s">
        <v>71</v>
      </c>
      <c r="L83" s="378" t="s">
        <v>0</v>
      </c>
      <c r="M83" s="378">
        <v>200</v>
      </c>
      <c r="N83" s="356">
        <v>662000</v>
      </c>
      <c r="O83" s="28" t="b">
        <v>1</v>
      </c>
    </row>
    <row r="84" spans="2:15" s="28" customFormat="1" ht="16.5" customHeight="1">
      <c r="B84" s="20"/>
      <c r="C84" s="20"/>
      <c r="D84" s="254"/>
      <c r="E84" s="379">
        <v>138897</v>
      </c>
      <c r="F84" s="380" t="s">
        <v>61</v>
      </c>
      <c r="G84" s="381"/>
      <c r="H84" s="382"/>
      <c r="I84" s="383">
        <v>885000</v>
      </c>
      <c r="J84" s="384">
        <v>138897</v>
      </c>
      <c r="K84" s="378" t="s">
        <v>71</v>
      </c>
      <c r="L84" s="378" t="s">
        <v>0</v>
      </c>
      <c r="M84" s="378">
        <v>200</v>
      </c>
      <c r="N84" s="356">
        <v>885000</v>
      </c>
      <c r="O84" s="28" t="b">
        <v>1</v>
      </c>
    </row>
    <row r="85" spans="2:15" s="28" customFormat="1" ht="16.5" customHeight="1">
      <c r="B85" s="20"/>
      <c r="C85" s="20"/>
      <c r="D85" s="254"/>
      <c r="E85" s="379">
        <v>138898</v>
      </c>
      <c r="F85" s="380" t="s">
        <v>63</v>
      </c>
      <c r="G85" s="381"/>
      <c r="H85" s="382"/>
      <c r="I85" s="383">
        <v>755000</v>
      </c>
      <c r="J85" s="384">
        <v>138898</v>
      </c>
      <c r="K85" s="378" t="s">
        <v>71</v>
      </c>
      <c r="L85" s="378" t="s">
        <v>0</v>
      </c>
      <c r="M85" s="378">
        <v>200</v>
      </c>
      <c r="N85" s="356">
        <v>755000</v>
      </c>
      <c r="O85" s="28" t="b">
        <v>1</v>
      </c>
    </row>
    <row r="86" spans="2:15" s="28" customFormat="1" ht="16.5" customHeight="1">
      <c r="B86" s="20"/>
      <c r="C86" s="20"/>
      <c r="D86" s="254"/>
      <c r="E86" s="379">
        <v>138899</v>
      </c>
      <c r="F86" s="380" t="s">
        <v>64</v>
      </c>
      <c r="G86" s="381"/>
      <c r="H86" s="382"/>
      <c r="I86" s="383">
        <v>78100</v>
      </c>
      <c r="J86" s="384">
        <v>138899</v>
      </c>
      <c r="K86" s="378" t="s">
        <v>70</v>
      </c>
      <c r="L86" s="378" t="s">
        <v>0</v>
      </c>
      <c r="M86" s="378">
        <v>20</v>
      </c>
      <c r="N86" s="356">
        <v>78100</v>
      </c>
      <c r="O86" s="28" t="b">
        <v>1</v>
      </c>
    </row>
    <row r="87" spans="2:15" s="28" customFormat="1" ht="16.5" customHeight="1">
      <c r="B87" s="20"/>
      <c r="C87" s="20"/>
      <c r="D87" s="254"/>
      <c r="E87" s="379">
        <v>139641</v>
      </c>
      <c r="F87" s="380" t="s">
        <v>90</v>
      </c>
      <c r="G87" s="381"/>
      <c r="H87" s="382"/>
      <c r="I87" s="383">
        <v>43600</v>
      </c>
      <c r="J87" s="384">
        <v>139641</v>
      </c>
      <c r="K87" s="378" t="s">
        <v>73</v>
      </c>
      <c r="L87" s="378" t="s">
        <v>0</v>
      </c>
      <c r="M87" s="378">
        <v>12</v>
      </c>
      <c r="N87" s="356">
        <v>43600</v>
      </c>
      <c r="O87" s="28" t="b">
        <v>1</v>
      </c>
    </row>
    <row r="88" spans="2:15" s="28" customFormat="1" ht="16.5" customHeight="1">
      <c r="B88" s="20"/>
      <c r="C88" s="20"/>
      <c r="D88" s="254"/>
      <c r="E88" s="379">
        <v>139881</v>
      </c>
      <c r="F88" s="385" t="s">
        <v>101</v>
      </c>
      <c r="G88" s="386"/>
      <c r="H88" s="387"/>
      <c r="I88" s="383">
        <v>771000</v>
      </c>
      <c r="J88" s="384">
        <v>139881</v>
      </c>
      <c r="K88" s="378" t="s">
        <v>71</v>
      </c>
      <c r="L88" s="378" t="s">
        <v>78</v>
      </c>
      <c r="M88" s="378">
        <v>200</v>
      </c>
      <c r="N88" s="356">
        <v>771000</v>
      </c>
      <c r="O88" s="28" t="b">
        <v>1</v>
      </c>
    </row>
    <row r="89" spans="2:15" s="28" customFormat="1" ht="16.5" customHeight="1">
      <c r="B89" s="20"/>
      <c r="C89" s="20"/>
      <c r="D89" s="254"/>
      <c r="E89" s="379">
        <v>140382</v>
      </c>
      <c r="F89" s="380" t="s">
        <v>83</v>
      </c>
      <c r="G89" s="381"/>
      <c r="H89" s="382"/>
      <c r="I89" s="383">
        <v>2212000</v>
      </c>
      <c r="J89" s="384">
        <v>140382</v>
      </c>
      <c r="K89" s="378" t="s">
        <v>71</v>
      </c>
      <c r="L89" s="378" t="s">
        <v>0</v>
      </c>
      <c r="M89" s="378">
        <v>208</v>
      </c>
      <c r="N89" s="356">
        <v>2212000</v>
      </c>
      <c r="O89" s="28" t="b">
        <v>1</v>
      </c>
    </row>
    <row r="90" spans="2:15" s="28" customFormat="1" ht="16.5" customHeight="1">
      <c r="B90" s="20"/>
      <c r="C90" s="20"/>
      <c r="D90" s="254"/>
      <c r="E90" s="379">
        <v>140563</v>
      </c>
      <c r="F90" s="388" t="s">
        <v>124</v>
      </c>
      <c r="G90" s="389"/>
      <c r="H90" s="390"/>
      <c r="I90" s="383">
        <v>216000</v>
      </c>
      <c r="J90" s="391">
        <v>140563</v>
      </c>
      <c r="K90" s="392" t="s">
        <v>70</v>
      </c>
      <c r="L90" s="392" t="s">
        <v>0</v>
      </c>
      <c r="M90" s="392">
        <v>16</v>
      </c>
      <c r="N90" s="356" t="e">
        <v>#N/A</v>
      </c>
      <c r="O90" s="28" t="e">
        <v>#N/A</v>
      </c>
    </row>
    <row r="91" spans="2:15" s="28" customFormat="1" ht="16.5" customHeight="1">
      <c r="B91" s="20"/>
      <c r="C91" s="20"/>
      <c r="D91" s="254"/>
      <c r="E91" s="379">
        <v>143003</v>
      </c>
      <c r="F91" s="380" t="s">
        <v>132</v>
      </c>
      <c r="G91" s="381"/>
      <c r="H91" s="382"/>
      <c r="I91" s="383">
        <v>150000</v>
      </c>
      <c r="J91" s="384">
        <v>143003</v>
      </c>
      <c r="K91" s="378" t="s">
        <v>70</v>
      </c>
      <c r="L91" s="378" t="s">
        <v>0</v>
      </c>
      <c r="M91" s="378">
        <v>20</v>
      </c>
      <c r="N91" s="356" t="e">
        <v>#N/A</v>
      </c>
      <c r="O91" s="28" t="e">
        <v>#N/A</v>
      </c>
    </row>
    <row r="92" spans="2:15" s="28" customFormat="1" ht="16.5" customHeight="1">
      <c r="B92" s="20"/>
      <c r="C92" s="20"/>
      <c r="D92" s="254"/>
      <c r="E92" s="379">
        <v>143240</v>
      </c>
      <c r="F92" s="380" t="s">
        <v>746</v>
      </c>
      <c r="G92" s="381"/>
      <c r="H92" s="382"/>
      <c r="I92" s="383">
        <v>107800</v>
      </c>
      <c r="J92" s="384">
        <v>143240</v>
      </c>
      <c r="K92" s="378" t="s">
        <v>73</v>
      </c>
      <c r="L92" s="378" t="s">
        <v>0</v>
      </c>
      <c r="M92" s="378">
        <v>16</v>
      </c>
      <c r="N92" s="356" t="e">
        <v>#N/A</v>
      </c>
      <c r="O92" s="28" t="e">
        <v>#N/A</v>
      </c>
    </row>
    <row r="93" spans="2:15" s="28" customFormat="1" ht="16.5" customHeight="1">
      <c r="B93" s="20"/>
      <c r="C93" s="20"/>
      <c r="D93" s="254"/>
      <c r="E93" s="379">
        <v>138583</v>
      </c>
      <c r="F93" s="380" t="s">
        <v>740</v>
      </c>
      <c r="G93" s="381"/>
      <c r="H93" s="382"/>
      <c r="I93" s="383">
        <v>44600</v>
      </c>
      <c r="J93" s="378">
        <v>138583</v>
      </c>
      <c r="K93" s="378" t="s">
        <v>73</v>
      </c>
      <c r="L93" s="378" t="s">
        <v>741</v>
      </c>
      <c r="M93" s="378">
        <v>12</v>
      </c>
      <c r="N93" s="356" t="e">
        <v>#N/A</v>
      </c>
      <c r="O93" s="28" t="e">
        <v>#N/A</v>
      </c>
    </row>
    <row r="94" spans="2:15" s="28" customFormat="1" ht="16.5" customHeight="1">
      <c r="B94" s="20"/>
      <c r="C94" s="20"/>
      <c r="D94" s="254"/>
      <c r="E94" s="379">
        <v>123205</v>
      </c>
      <c r="F94" s="380" t="s">
        <v>49</v>
      </c>
      <c r="G94" s="381"/>
      <c r="H94" s="382"/>
      <c r="I94" s="383">
        <v>60300</v>
      </c>
      <c r="J94" s="384">
        <v>123205</v>
      </c>
      <c r="K94" s="393" t="s">
        <v>73</v>
      </c>
      <c r="L94" s="378" t="s">
        <v>35</v>
      </c>
      <c r="M94" s="378">
        <v>6</v>
      </c>
      <c r="N94" s="356" t="e">
        <v>#N/A</v>
      </c>
      <c r="O94" s="28" t="e">
        <v>#N/A</v>
      </c>
    </row>
    <row r="95" spans="2:15" s="28" customFormat="1" ht="16.5" customHeight="1">
      <c r="B95" s="20"/>
      <c r="C95" s="20"/>
      <c r="D95" s="254"/>
      <c r="E95" s="379">
        <v>124476</v>
      </c>
      <c r="F95" s="380" t="s">
        <v>52</v>
      </c>
      <c r="G95" s="381"/>
      <c r="H95" s="382"/>
      <c r="I95" s="383">
        <v>63200</v>
      </c>
      <c r="J95" s="384">
        <v>124476</v>
      </c>
      <c r="K95" s="378" t="s">
        <v>70</v>
      </c>
      <c r="L95" s="378" t="s">
        <v>79</v>
      </c>
      <c r="M95" s="378">
        <v>20</v>
      </c>
      <c r="N95" s="356" t="e">
        <v>#N/A</v>
      </c>
      <c r="O95" s="28" t="e">
        <v>#N/A</v>
      </c>
    </row>
    <row r="96" spans="2:15" s="28" customFormat="1" ht="16.5" customHeight="1">
      <c r="B96" s="20"/>
      <c r="C96" s="20"/>
      <c r="D96" s="254"/>
      <c r="E96" s="379">
        <v>135080</v>
      </c>
      <c r="F96" s="380" t="s">
        <v>44</v>
      </c>
      <c r="G96" s="381"/>
      <c r="H96" s="382"/>
      <c r="I96" s="383">
        <v>110000</v>
      </c>
      <c r="J96" s="378">
        <v>135080</v>
      </c>
      <c r="K96" s="393" t="s">
        <v>73</v>
      </c>
      <c r="L96" s="378" t="s">
        <v>35</v>
      </c>
      <c r="M96" s="378">
        <v>12</v>
      </c>
      <c r="N96" s="356" t="e">
        <v>#N/A</v>
      </c>
      <c r="O96" s="28" t="e">
        <v>#N/A</v>
      </c>
    </row>
    <row r="97" spans="2:15" s="28" customFormat="1" ht="16.5" customHeight="1">
      <c r="B97" s="20"/>
      <c r="C97" s="20"/>
      <c r="D97" s="254"/>
      <c r="E97" s="379">
        <v>138806</v>
      </c>
      <c r="F97" s="380" t="s">
        <v>50</v>
      </c>
      <c r="G97" s="381"/>
      <c r="H97" s="382"/>
      <c r="I97" s="383">
        <v>148600</v>
      </c>
      <c r="J97" s="384">
        <v>138806</v>
      </c>
      <c r="K97" s="378" t="s">
        <v>72</v>
      </c>
      <c r="L97" s="378" t="s">
        <v>35</v>
      </c>
      <c r="M97" s="378">
        <v>9.94</v>
      </c>
      <c r="N97" s="356">
        <v>216000</v>
      </c>
      <c r="O97" s="28" t="b">
        <v>1</v>
      </c>
    </row>
    <row r="98" spans="2:15" s="28" customFormat="1" ht="16.5" customHeight="1">
      <c r="B98" s="20"/>
      <c r="C98" s="20"/>
      <c r="D98" s="254"/>
      <c r="E98" s="379">
        <v>138827</v>
      </c>
      <c r="F98" s="380" t="s">
        <v>51</v>
      </c>
      <c r="G98" s="381"/>
      <c r="H98" s="382"/>
      <c r="I98" s="383">
        <v>595000</v>
      </c>
      <c r="J98" s="384">
        <v>138827</v>
      </c>
      <c r="K98" s="378" t="s">
        <v>71</v>
      </c>
      <c r="L98" s="378" t="s">
        <v>35</v>
      </c>
      <c r="M98" s="378">
        <v>200</v>
      </c>
      <c r="N98" s="356">
        <v>150000</v>
      </c>
      <c r="O98" s="28" t="b">
        <v>1</v>
      </c>
    </row>
    <row r="99" spans="2:15" s="28" customFormat="1" ht="16.5" customHeight="1">
      <c r="B99" s="20"/>
      <c r="C99" s="20"/>
      <c r="D99" s="254"/>
      <c r="E99" s="379">
        <v>138888</v>
      </c>
      <c r="F99" s="380" t="s">
        <v>102</v>
      </c>
      <c r="G99" s="381"/>
      <c r="H99" s="382"/>
      <c r="I99" s="383">
        <v>233000</v>
      </c>
      <c r="J99" s="384">
        <v>138888</v>
      </c>
      <c r="K99" s="378" t="s">
        <v>70</v>
      </c>
      <c r="L99" s="378" t="s">
        <v>79</v>
      </c>
      <c r="M99" s="378">
        <v>20</v>
      </c>
      <c r="N99" s="356">
        <v>107800</v>
      </c>
      <c r="O99" s="28" t="b">
        <v>1</v>
      </c>
    </row>
    <row r="100" spans="2:15" s="28" customFormat="1" ht="16.5" customHeight="1">
      <c r="B100" s="20"/>
      <c r="C100" s="20"/>
      <c r="D100" s="254"/>
      <c r="E100" s="379">
        <v>138892</v>
      </c>
      <c r="F100" s="380" t="s">
        <v>85</v>
      </c>
      <c r="G100" s="381"/>
      <c r="H100" s="382"/>
      <c r="I100" s="383">
        <v>46500</v>
      </c>
      <c r="J100" s="384">
        <v>138892</v>
      </c>
      <c r="K100" s="378" t="s">
        <v>72</v>
      </c>
      <c r="L100" s="378" t="s">
        <v>35</v>
      </c>
      <c r="M100" s="378">
        <v>16</v>
      </c>
      <c r="N100" s="356" t="e">
        <v>#N/A</v>
      </c>
      <c r="O100" s="28" t="e">
        <v>#N/A</v>
      </c>
    </row>
    <row r="101" spans="2:15" s="28" customFormat="1" ht="16.5" customHeight="1">
      <c r="B101" s="20"/>
      <c r="C101" s="20"/>
      <c r="D101" s="254"/>
      <c r="E101" s="379">
        <v>142227</v>
      </c>
      <c r="F101" s="380" t="s">
        <v>117</v>
      </c>
      <c r="G101" s="381"/>
      <c r="H101" s="382"/>
      <c r="I101" s="383">
        <v>853000</v>
      </c>
      <c r="J101" s="384">
        <v>142227</v>
      </c>
      <c r="K101" s="378" t="s">
        <v>103</v>
      </c>
      <c r="L101" s="378" t="s">
        <v>35</v>
      </c>
      <c r="M101" s="378">
        <v>200</v>
      </c>
      <c r="N101" s="356">
        <v>60300</v>
      </c>
      <c r="O101" s="28" t="b">
        <v>1</v>
      </c>
    </row>
    <row r="102" spans="2:15" s="28" customFormat="1" ht="16.5" customHeight="1">
      <c r="B102" s="20"/>
      <c r="C102" s="20"/>
      <c r="D102" s="254"/>
      <c r="E102" s="379">
        <v>140169</v>
      </c>
      <c r="F102" s="380" t="s">
        <v>84</v>
      </c>
      <c r="G102" s="381"/>
      <c r="H102" s="382"/>
      <c r="I102" s="383">
        <v>62400</v>
      </c>
      <c r="J102" s="384">
        <v>140169</v>
      </c>
      <c r="K102" s="393" t="s">
        <v>73</v>
      </c>
      <c r="L102" s="378" t="s">
        <v>35</v>
      </c>
      <c r="M102" s="378">
        <v>12</v>
      </c>
      <c r="N102" s="356">
        <v>63200</v>
      </c>
      <c r="O102" s="28" t="b">
        <v>1</v>
      </c>
    </row>
    <row r="103" spans="2:15" s="28" customFormat="1" ht="16.5" customHeight="1">
      <c r="B103" s="20"/>
      <c r="C103" s="20"/>
      <c r="D103" s="254"/>
      <c r="E103" s="379">
        <v>140657</v>
      </c>
      <c r="F103" s="380" t="s">
        <v>43</v>
      </c>
      <c r="G103" s="381"/>
      <c r="H103" s="382"/>
      <c r="I103" s="383">
        <v>118000</v>
      </c>
      <c r="J103" s="384">
        <v>140657</v>
      </c>
      <c r="K103" s="378" t="s">
        <v>73</v>
      </c>
      <c r="L103" s="378" t="s">
        <v>79</v>
      </c>
      <c r="M103" s="378">
        <v>12</v>
      </c>
      <c r="N103" s="356">
        <v>110000</v>
      </c>
      <c r="O103" s="28" t="b">
        <v>1</v>
      </c>
    </row>
    <row r="104" spans="2:15" s="28" customFormat="1" ht="16.5" customHeight="1">
      <c r="B104" s="20"/>
      <c r="C104" s="20"/>
      <c r="D104" s="254"/>
      <c r="E104" s="379">
        <v>140660</v>
      </c>
      <c r="F104" s="380" t="s">
        <v>100</v>
      </c>
      <c r="G104" s="381"/>
      <c r="H104" s="382"/>
      <c r="I104" s="383">
        <v>118000</v>
      </c>
      <c r="J104" s="384">
        <v>140660</v>
      </c>
      <c r="K104" s="378" t="s">
        <v>73</v>
      </c>
      <c r="L104" s="378" t="s">
        <v>79</v>
      </c>
      <c r="M104" s="378">
        <v>12</v>
      </c>
      <c r="N104" s="356">
        <v>148600</v>
      </c>
      <c r="O104" s="28" t="b">
        <v>1</v>
      </c>
    </row>
    <row r="105" spans="2:15" s="28" customFormat="1" ht="16.5" customHeight="1">
      <c r="B105" s="20"/>
      <c r="C105" s="20"/>
      <c r="D105" s="254"/>
      <c r="E105" s="379">
        <v>140661</v>
      </c>
      <c r="F105" s="380" t="s">
        <v>106</v>
      </c>
      <c r="G105" s="381"/>
      <c r="H105" s="382"/>
      <c r="I105" s="383">
        <v>1789000</v>
      </c>
      <c r="J105" s="378">
        <v>140661</v>
      </c>
      <c r="K105" s="378" t="s">
        <v>103</v>
      </c>
      <c r="L105" s="378" t="s">
        <v>79</v>
      </c>
      <c r="M105" s="378">
        <v>200</v>
      </c>
      <c r="N105" s="356">
        <v>595000</v>
      </c>
      <c r="O105" s="28" t="b">
        <v>1</v>
      </c>
    </row>
    <row r="106" spans="2:15" s="28" customFormat="1" ht="16.5" customHeight="1">
      <c r="B106" s="20"/>
      <c r="C106" s="20"/>
      <c r="D106" s="254"/>
      <c r="E106" s="379">
        <v>141593</v>
      </c>
      <c r="F106" s="380" t="s">
        <v>104</v>
      </c>
      <c r="G106" s="381"/>
      <c r="H106" s="382"/>
      <c r="I106" s="383">
        <v>479000</v>
      </c>
      <c r="J106" s="384">
        <v>141593</v>
      </c>
      <c r="K106" s="378" t="s">
        <v>71</v>
      </c>
      <c r="L106" s="378" t="s">
        <v>35</v>
      </c>
      <c r="M106" s="378">
        <v>200</v>
      </c>
      <c r="N106" s="356">
        <v>233000</v>
      </c>
      <c r="O106" s="28" t="b">
        <v>1</v>
      </c>
    </row>
    <row r="107" spans="2:15" s="28" customFormat="1" ht="16.5" customHeight="1">
      <c r="B107" s="20"/>
      <c r="C107" s="20"/>
      <c r="D107" s="254"/>
      <c r="E107" s="379">
        <v>120082</v>
      </c>
      <c r="F107" s="380" t="s">
        <v>97</v>
      </c>
      <c r="G107" s="381"/>
      <c r="H107" s="382"/>
      <c r="I107" s="383">
        <v>605000</v>
      </c>
      <c r="J107" s="384">
        <v>120082</v>
      </c>
      <c r="K107" s="378" t="s">
        <v>70</v>
      </c>
      <c r="L107" s="378" t="s">
        <v>69</v>
      </c>
      <c r="M107" s="378">
        <v>16</v>
      </c>
      <c r="N107" s="356">
        <v>46500</v>
      </c>
      <c r="O107" s="28" t="b">
        <v>1</v>
      </c>
    </row>
    <row r="108" spans="2:15" s="28" customFormat="1" ht="16.5" customHeight="1">
      <c r="B108" s="20"/>
      <c r="C108" s="20"/>
      <c r="D108" s="254"/>
      <c r="E108" s="379">
        <v>120084</v>
      </c>
      <c r="F108" s="380" t="s">
        <v>760</v>
      </c>
      <c r="G108" s="381"/>
      <c r="H108" s="382"/>
      <c r="I108" s="383">
        <v>458000</v>
      </c>
      <c r="J108" s="394">
        <v>120084</v>
      </c>
      <c r="K108" s="393" t="s">
        <v>761</v>
      </c>
      <c r="L108" s="378" t="s">
        <v>69</v>
      </c>
      <c r="M108" s="378">
        <v>22.8</v>
      </c>
      <c r="N108" s="356" t="e">
        <v>#N/A</v>
      </c>
      <c r="O108" s="28" t="e">
        <v>#N/A</v>
      </c>
    </row>
    <row r="109" spans="2:15" s="28" customFormat="1" ht="16.5" customHeight="1">
      <c r="B109" s="20"/>
      <c r="C109" s="20"/>
      <c r="D109" s="254"/>
      <c r="E109" s="379">
        <v>120088</v>
      </c>
      <c r="F109" s="380" t="s">
        <v>118</v>
      </c>
      <c r="G109" s="381"/>
      <c r="H109" s="382"/>
      <c r="I109" s="383">
        <v>4264030</v>
      </c>
      <c r="J109" s="384">
        <v>120088</v>
      </c>
      <c r="K109" s="378" t="s">
        <v>71</v>
      </c>
      <c r="L109" s="378" t="s">
        <v>69</v>
      </c>
      <c r="M109" s="378">
        <v>208</v>
      </c>
      <c r="N109" s="356" t="e">
        <v>#N/A</v>
      </c>
      <c r="O109" s="28" t="e">
        <v>#N/A</v>
      </c>
    </row>
    <row r="110" spans="2:15" s="28" customFormat="1" ht="16.5" customHeight="1">
      <c r="B110" s="20"/>
      <c r="C110" s="20"/>
      <c r="D110" s="254"/>
      <c r="E110" s="379">
        <v>120089</v>
      </c>
      <c r="F110" s="380" t="s">
        <v>762</v>
      </c>
      <c r="G110" s="381"/>
      <c r="H110" s="382"/>
      <c r="I110" s="383">
        <v>380000</v>
      </c>
      <c r="J110" s="384">
        <v>120089</v>
      </c>
      <c r="K110" s="378" t="s">
        <v>761</v>
      </c>
      <c r="L110" s="378" t="s">
        <v>69</v>
      </c>
      <c r="M110" s="378">
        <v>22.8</v>
      </c>
      <c r="N110" s="356">
        <v>118000</v>
      </c>
      <c r="O110" s="28" t="b">
        <v>1</v>
      </c>
    </row>
    <row r="111" spans="2:15" s="28" customFormat="1" ht="16.5" customHeight="1">
      <c r="B111" s="20"/>
      <c r="C111" s="20"/>
      <c r="D111" s="254"/>
      <c r="E111" s="379">
        <v>134601</v>
      </c>
      <c r="F111" s="380" t="s">
        <v>763</v>
      </c>
      <c r="G111" s="381"/>
      <c r="H111" s="382"/>
      <c r="I111" s="383">
        <v>3724000</v>
      </c>
      <c r="J111" s="384">
        <v>134601</v>
      </c>
      <c r="K111" s="378" t="s">
        <v>71</v>
      </c>
      <c r="L111" s="378" t="s">
        <v>69</v>
      </c>
      <c r="M111" s="378">
        <v>200</v>
      </c>
      <c r="N111" s="356">
        <v>118000</v>
      </c>
      <c r="O111" s="28" t="b">
        <v>1</v>
      </c>
    </row>
    <row r="112" spans="2:15" s="28" customFormat="1" ht="16.5" customHeight="1">
      <c r="B112" s="20"/>
      <c r="C112" s="20"/>
      <c r="D112" s="254"/>
      <c r="E112" s="379">
        <v>134756</v>
      </c>
      <c r="F112" s="380" t="s">
        <v>107</v>
      </c>
      <c r="G112" s="381"/>
      <c r="H112" s="382"/>
      <c r="I112" s="383">
        <v>662000</v>
      </c>
      <c r="J112" s="378">
        <v>134756</v>
      </c>
      <c r="K112" s="378" t="s">
        <v>70</v>
      </c>
      <c r="L112" s="378" t="s">
        <v>69</v>
      </c>
      <c r="M112" s="378">
        <v>16</v>
      </c>
      <c r="N112" s="356">
        <v>1789000</v>
      </c>
      <c r="O112" s="28" t="b">
        <v>1</v>
      </c>
    </row>
    <row r="113" spans="2:15" s="28" customFormat="1" ht="16.5" customHeight="1">
      <c r="B113" s="20"/>
      <c r="C113" s="20"/>
      <c r="D113" s="254"/>
      <c r="E113" s="379">
        <v>135390</v>
      </c>
      <c r="F113" s="380" t="s">
        <v>764</v>
      </c>
      <c r="G113" s="381"/>
      <c r="H113" s="382"/>
      <c r="I113" s="383">
        <v>524000</v>
      </c>
      <c r="J113" s="378">
        <v>135390</v>
      </c>
      <c r="K113" s="378" t="s">
        <v>70</v>
      </c>
      <c r="L113" s="378" t="s">
        <v>69</v>
      </c>
      <c r="M113" s="378">
        <v>20</v>
      </c>
      <c r="N113" s="356" t="e">
        <v>#N/A</v>
      </c>
      <c r="O113" s="28" t="e">
        <v>#N/A</v>
      </c>
    </row>
    <row r="114" spans="2:15" s="28" customFormat="1" ht="16.5" customHeight="1">
      <c r="B114" s="20"/>
      <c r="C114" s="20"/>
      <c r="D114" s="254"/>
      <c r="E114" s="379">
        <v>120969</v>
      </c>
      <c r="F114" s="395" t="s">
        <v>254</v>
      </c>
      <c r="G114" s="396"/>
      <c r="H114" s="397"/>
      <c r="I114" s="383">
        <v>235000</v>
      </c>
      <c r="J114" s="398">
        <v>120969</v>
      </c>
      <c r="K114" s="399" t="s">
        <v>70</v>
      </c>
      <c r="L114" s="399" t="s">
        <v>34</v>
      </c>
      <c r="M114" s="399">
        <v>18.899999999999999</v>
      </c>
      <c r="N114" s="356" t="e">
        <v>#N/A</v>
      </c>
      <c r="O114" s="28" t="e">
        <v>#N/A</v>
      </c>
    </row>
    <row r="115" spans="2:15" s="28" customFormat="1" ht="16.5" customHeight="1">
      <c r="B115" s="20"/>
      <c r="C115" s="20"/>
      <c r="D115" s="254"/>
      <c r="E115" s="379">
        <v>121540</v>
      </c>
      <c r="F115" s="395" t="s">
        <v>419</v>
      </c>
      <c r="G115" s="396"/>
      <c r="H115" s="397"/>
      <c r="I115" s="383">
        <v>1684000</v>
      </c>
      <c r="J115" s="398">
        <v>121540</v>
      </c>
      <c r="K115" s="399" t="s">
        <v>71</v>
      </c>
      <c r="L115" s="399" t="s">
        <v>34</v>
      </c>
      <c r="M115" s="399">
        <v>208</v>
      </c>
      <c r="N115" s="356" t="e">
        <v>#N/A</v>
      </c>
      <c r="O115" s="28" t="e">
        <v>#N/A</v>
      </c>
    </row>
    <row r="116" spans="2:15" s="28" customFormat="1" ht="16.5" customHeight="1">
      <c r="B116" s="20"/>
      <c r="C116" s="20"/>
      <c r="D116" s="254"/>
      <c r="E116" s="379">
        <v>121558</v>
      </c>
      <c r="F116" s="395" t="s">
        <v>255</v>
      </c>
      <c r="G116" s="396"/>
      <c r="H116" s="397"/>
      <c r="I116" s="383">
        <v>311000</v>
      </c>
      <c r="J116" s="398">
        <v>121558</v>
      </c>
      <c r="K116" s="399" t="s">
        <v>70</v>
      </c>
      <c r="L116" s="399" t="s">
        <v>34</v>
      </c>
      <c r="M116" s="399">
        <v>17.251999999999999</v>
      </c>
      <c r="N116" s="356" t="e">
        <v>#N/A</v>
      </c>
      <c r="O116" s="28" t="e">
        <v>#N/A</v>
      </c>
    </row>
    <row r="117" spans="2:15" s="28" customFormat="1" ht="16.5" customHeight="1">
      <c r="B117" s="20"/>
      <c r="C117" s="20"/>
      <c r="D117" s="254"/>
      <c r="E117" s="379">
        <v>121759</v>
      </c>
      <c r="F117" s="395" t="s">
        <v>765</v>
      </c>
      <c r="G117" s="396"/>
      <c r="H117" s="397"/>
      <c r="I117" s="383">
        <v>1230000</v>
      </c>
      <c r="J117" s="399">
        <v>121759</v>
      </c>
      <c r="K117" s="399" t="s">
        <v>71</v>
      </c>
      <c r="L117" s="399" t="s">
        <v>34</v>
      </c>
      <c r="M117" s="399">
        <v>208</v>
      </c>
      <c r="N117" s="356" t="e">
        <v>#N/A</v>
      </c>
      <c r="O117" s="28" t="e">
        <v>#N/A</v>
      </c>
    </row>
    <row r="118" spans="2:15" s="28" customFormat="1" ht="16.5" customHeight="1">
      <c r="B118" s="20"/>
      <c r="C118" s="20"/>
      <c r="D118" s="254"/>
      <c r="E118" s="379">
        <v>121762</v>
      </c>
      <c r="F118" s="395" t="s">
        <v>434</v>
      </c>
      <c r="G118" s="396"/>
      <c r="H118" s="397"/>
      <c r="I118" s="383">
        <v>1302000</v>
      </c>
      <c r="J118" s="399">
        <v>121762</v>
      </c>
      <c r="K118" s="399" t="s">
        <v>71</v>
      </c>
      <c r="L118" s="399" t="s">
        <v>34</v>
      </c>
      <c r="M118" s="399">
        <v>208</v>
      </c>
      <c r="N118" s="356" t="e">
        <v>#N/A</v>
      </c>
      <c r="O118" s="28" t="e">
        <v>#N/A</v>
      </c>
    </row>
    <row r="119" spans="2:15" s="28" customFormat="1" ht="16.5" customHeight="1">
      <c r="B119" s="20"/>
      <c r="C119" s="20"/>
      <c r="D119" s="254"/>
      <c r="E119" s="379">
        <v>121764</v>
      </c>
      <c r="F119" s="395" t="s">
        <v>435</v>
      </c>
      <c r="G119" s="396"/>
      <c r="H119" s="397"/>
      <c r="I119" s="383">
        <v>1246000</v>
      </c>
      <c r="J119" s="399">
        <v>121764</v>
      </c>
      <c r="K119" s="399" t="s">
        <v>71</v>
      </c>
      <c r="L119" s="399" t="s">
        <v>34</v>
      </c>
      <c r="M119" s="399">
        <v>208</v>
      </c>
      <c r="N119" s="356" t="e">
        <v>#N/A</v>
      </c>
      <c r="O119" s="28" t="e">
        <v>#N/A</v>
      </c>
    </row>
    <row r="120" spans="2:15" s="28" customFormat="1" ht="16.5" customHeight="1">
      <c r="B120" s="20"/>
      <c r="C120" s="20"/>
      <c r="D120" s="254"/>
      <c r="E120" s="379">
        <v>121892</v>
      </c>
      <c r="F120" s="395" t="s">
        <v>256</v>
      </c>
      <c r="G120" s="396"/>
      <c r="H120" s="397"/>
      <c r="I120" s="383">
        <v>481000</v>
      </c>
      <c r="J120" s="399">
        <v>121892</v>
      </c>
      <c r="K120" s="399" t="s">
        <v>70</v>
      </c>
      <c r="L120" s="399" t="s">
        <v>34</v>
      </c>
      <c r="M120" s="399">
        <v>18.899999999999999</v>
      </c>
      <c r="N120" s="356">
        <v>479000</v>
      </c>
      <c r="O120" s="28" t="b">
        <v>1</v>
      </c>
    </row>
    <row r="121" spans="2:15" s="28" customFormat="1" ht="16.5" customHeight="1">
      <c r="B121" s="20"/>
      <c r="C121" s="20"/>
      <c r="D121" s="254"/>
      <c r="E121" s="379">
        <v>121902</v>
      </c>
      <c r="F121" s="395" t="s">
        <v>257</v>
      </c>
      <c r="G121" s="396"/>
      <c r="H121" s="397"/>
      <c r="I121" s="383">
        <v>410000</v>
      </c>
      <c r="J121" s="398">
        <v>121902</v>
      </c>
      <c r="K121" s="399" t="s">
        <v>70</v>
      </c>
      <c r="L121" s="399" t="s">
        <v>34</v>
      </c>
      <c r="M121" s="399">
        <v>18.899999999999999</v>
      </c>
      <c r="N121" s="356" t="e">
        <v>#N/A</v>
      </c>
      <c r="O121" s="28" t="e">
        <v>#N/A</v>
      </c>
    </row>
    <row r="122" spans="2:15" s="28" customFormat="1" ht="16.5" customHeight="1">
      <c r="B122" s="20"/>
      <c r="C122" s="20"/>
      <c r="D122" s="254"/>
      <c r="E122" s="379">
        <v>121904</v>
      </c>
      <c r="F122" s="395" t="s">
        <v>258</v>
      </c>
      <c r="G122" s="396"/>
      <c r="H122" s="397"/>
      <c r="I122" s="383">
        <v>430000</v>
      </c>
      <c r="J122" s="398">
        <v>121904</v>
      </c>
      <c r="K122" s="399" t="s">
        <v>70</v>
      </c>
      <c r="L122" s="399" t="s">
        <v>34</v>
      </c>
      <c r="M122" s="399">
        <v>18.899999999999999</v>
      </c>
      <c r="N122" s="356" t="e">
        <v>#N/A</v>
      </c>
      <c r="O122" s="28" t="e">
        <v>#N/A</v>
      </c>
    </row>
    <row r="123" spans="2:15" s="28" customFormat="1" ht="16.5" customHeight="1">
      <c r="B123" s="20"/>
      <c r="C123" s="20"/>
      <c r="D123" s="254"/>
      <c r="E123" s="379">
        <v>121907</v>
      </c>
      <c r="F123" s="395" t="s">
        <v>259</v>
      </c>
      <c r="G123" s="396"/>
      <c r="H123" s="397"/>
      <c r="I123" s="383">
        <v>398000</v>
      </c>
      <c r="J123" s="398">
        <v>121907</v>
      </c>
      <c r="K123" s="399" t="s">
        <v>70</v>
      </c>
      <c r="L123" s="399" t="s">
        <v>34</v>
      </c>
      <c r="M123" s="399">
        <v>18.899999999999999</v>
      </c>
      <c r="N123" s="356">
        <v>605000</v>
      </c>
      <c r="O123" s="28" t="b">
        <v>1</v>
      </c>
    </row>
    <row r="124" spans="2:15" s="28" customFormat="1" ht="16.5" customHeight="1">
      <c r="B124" s="20"/>
      <c r="C124" s="20"/>
      <c r="D124" s="254"/>
      <c r="E124" s="379">
        <v>122135</v>
      </c>
      <c r="F124" s="395" t="s">
        <v>437</v>
      </c>
      <c r="G124" s="396"/>
      <c r="H124" s="397"/>
      <c r="I124" s="383">
        <v>1207000</v>
      </c>
      <c r="J124" s="399">
        <v>122135</v>
      </c>
      <c r="K124" s="399" t="s">
        <v>71</v>
      </c>
      <c r="L124" s="399" t="s">
        <v>34</v>
      </c>
      <c r="M124" s="399">
        <v>208</v>
      </c>
      <c r="N124" s="356">
        <v>458000</v>
      </c>
      <c r="O124" s="28" t="b">
        <v>1</v>
      </c>
    </row>
    <row r="125" spans="2:15" s="28" customFormat="1" ht="16.5" customHeight="1">
      <c r="B125" s="20"/>
      <c r="C125" s="20"/>
      <c r="D125" s="254"/>
      <c r="E125" s="379">
        <v>122167</v>
      </c>
      <c r="F125" s="395" t="s">
        <v>438</v>
      </c>
      <c r="G125" s="396"/>
      <c r="H125" s="397"/>
      <c r="I125" s="383">
        <v>3124000</v>
      </c>
      <c r="J125" s="398">
        <v>122167</v>
      </c>
      <c r="K125" s="399" t="s">
        <v>71</v>
      </c>
      <c r="L125" s="399" t="s">
        <v>34</v>
      </c>
      <c r="M125" s="399">
        <v>208</v>
      </c>
      <c r="N125" s="356" t="e">
        <v>#N/A</v>
      </c>
      <c r="O125" s="28" t="e">
        <v>#N/A</v>
      </c>
    </row>
    <row r="126" spans="2:15" s="28" customFormat="1" ht="16.5" customHeight="1">
      <c r="B126" s="20"/>
      <c r="C126" s="20"/>
      <c r="D126" s="254"/>
      <c r="E126" s="379">
        <v>122187</v>
      </c>
      <c r="F126" s="395" t="s">
        <v>439</v>
      </c>
      <c r="G126" s="396"/>
      <c r="H126" s="397"/>
      <c r="I126" s="383">
        <v>2760000</v>
      </c>
      <c r="J126" s="398">
        <v>122187</v>
      </c>
      <c r="K126" s="399" t="s">
        <v>71</v>
      </c>
      <c r="L126" s="399" t="s">
        <v>34</v>
      </c>
      <c r="M126" s="399">
        <v>208</v>
      </c>
      <c r="N126" s="356">
        <v>380000</v>
      </c>
      <c r="O126" s="28" t="b">
        <v>1</v>
      </c>
    </row>
    <row r="127" spans="2:15" s="28" customFormat="1" ht="16.5" customHeight="1">
      <c r="B127" s="20"/>
      <c r="C127" s="20"/>
      <c r="D127" s="254"/>
      <c r="E127" s="379">
        <v>122612</v>
      </c>
      <c r="F127" s="395" t="s">
        <v>446</v>
      </c>
      <c r="G127" s="396"/>
      <c r="H127" s="397"/>
      <c r="I127" s="383">
        <v>1525000</v>
      </c>
      <c r="J127" s="398">
        <v>122612</v>
      </c>
      <c r="K127" s="399" t="s">
        <v>71</v>
      </c>
      <c r="L127" s="399" t="s">
        <v>34</v>
      </c>
      <c r="M127" s="399">
        <v>208</v>
      </c>
      <c r="N127" s="356">
        <v>3724000</v>
      </c>
      <c r="O127" s="28" t="b">
        <v>1</v>
      </c>
    </row>
    <row r="128" spans="2:15" s="28" customFormat="1" ht="16.5" customHeight="1">
      <c r="B128" s="20"/>
      <c r="C128" s="20"/>
      <c r="D128" s="254"/>
      <c r="E128" s="379">
        <v>122650</v>
      </c>
      <c r="F128" s="395" t="s">
        <v>447</v>
      </c>
      <c r="G128" s="396"/>
      <c r="H128" s="397"/>
      <c r="I128" s="383">
        <v>3190000</v>
      </c>
      <c r="J128" s="398">
        <v>122650</v>
      </c>
      <c r="K128" s="399" t="s">
        <v>71</v>
      </c>
      <c r="L128" s="399" t="s">
        <v>34</v>
      </c>
      <c r="M128" s="399">
        <v>208</v>
      </c>
      <c r="N128" s="356">
        <v>662000</v>
      </c>
      <c r="O128" s="28" t="b">
        <v>1</v>
      </c>
    </row>
    <row r="129" spans="2:15" s="28" customFormat="1" ht="16.5" customHeight="1">
      <c r="B129" s="20"/>
      <c r="C129" s="20"/>
      <c r="D129" s="254"/>
      <c r="E129" s="379">
        <v>122713</v>
      </c>
      <c r="F129" s="395" t="s">
        <v>67</v>
      </c>
      <c r="G129" s="396"/>
      <c r="H129" s="397"/>
      <c r="I129" s="383">
        <v>106000</v>
      </c>
      <c r="J129" s="399">
        <v>122713</v>
      </c>
      <c r="K129" s="399" t="s">
        <v>70</v>
      </c>
      <c r="L129" s="399" t="s">
        <v>34</v>
      </c>
      <c r="M129" s="399">
        <v>20</v>
      </c>
      <c r="N129" s="356">
        <v>524000</v>
      </c>
      <c r="O129" s="28" t="b">
        <v>1</v>
      </c>
    </row>
    <row r="130" spans="2:15" s="28" customFormat="1" ht="16.5" customHeight="1">
      <c r="B130" s="20"/>
      <c r="C130" s="20"/>
      <c r="D130" s="254"/>
      <c r="E130" s="379">
        <v>122766</v>
      </c>
      <c r="F130" s="395" t="s">
        <v>68</v>
      </c>
      <c r="G130" s="396"/>
      <c r="H130" s="397"/>
      <c r="I130" s="383">
        <v>83600</v>
      </c>
      <c r="J130" s="398">
        <v>122766</v>
      </c>
      <c r="K130" s="399" t="s">
        <v>70</v>
      </c>
      <c r="L130" s="399" t="s">
        <v>34</v>
      </c>
      <c r="M130" s="399">
        <v>20</v>
      </c>
      <c r="N130" s="356">
        <v>222000</v>
      </c>
      <c r="O130" s="28" t="b">
        <v>0</v>
      </c>
    </row>
    <row r="131" spans="2:15" s="28" customFormat="1" ht="16.5" customHeight="1">
      <c r="B131" s="20"/>
      <c r="C131" s="20"/>
      <c r="D131" s="254"/>
      <c r="E131" s="379">
        <v>122821</v>
      </c>
      <c r="F131" s="395" t="s">
        <v>448</v>
      </c>
      <c r="G131" s="396"/>
      <c r="H131" s="397"/>
      <c r="I131" s="383"/>
      <c r="J131" s="398">
        <v>122821</v>
      </c>
      <c r="K131" s="399" t="s">
        <v>71</v>
      </c>
      <c r="L131" s="399" t="s">
        <v>34</v>
      </c>
      <c r="M131" s="399">
        <v>208</v>
      </c>
      <c r="N131" s="356">
        <v>1684000</v>
      </c>
      <c r="O131" s="28" t="b">
        <v>1</v>
      </c>
    </row>
    <row r="132" spans="2:15" s="28" customFormat="1" ht="16.5" customHeight="1">
      <c r="B132" s="20"/>
      <c r="C132" s="20"/>
      <c r="D132" s="254"/>
      <c r="E132" s="379">
        <v>122837</v>
      </c>
      <c r="F132" s="395" t="s">
        <v>65</v>
      </c>
      <c r="G132" s="396"/>
      <c r="H132" s="397"/>
      <c r="I132" s="383">
        <v>62800</v>
      </c>
      <c r="J132" s="398">
        <v>122837</v>
      </c>
      <c r="K132" s="399" t="s">
        <v>70</v>
      </c>
      <c r="L132" s="399" t="s">
        <v>34</v>
      </c>
      <c r="M132" s="399">
        <v>20</v>
      </c>
      <c r="N132" s="356">
        <v>311000</v>
      </c>
      <c r="O132" s="28" t="b">
        <v>1</v>
      </c>
    </row>
    <row r="133" spans="2:15" s="28" customFormat="1" ht="16.5" customHeight="1">
      <c r="B133" s="20"/>
      <c r="C133" s="20"/>
      <c r="D133" s="254"/>
      <c r="E133" s="379">
        <v>122842</v>
      </c>
      <c r="F133" s="395" t="s">
        <v>238</v>
      </c>
      <c r="G133" s="396"/>
      <c r="H133" s="397"/>
      <c r="I133" s="383">
        <v>79200</v>
      </c>
      <c r="J133" s="399">
        <v>122842</v>
      </c>
      <c r="K133" s="399" t="s">
        <v>70</v>
      </c>
      <c r="L133" s="399" t="s">
        <v>34</v>
      </c>
      <c r="M133" s="399">
        <v>20</v>
      </c>
      <c r="N133" s="356">
        <v>1230000</v>
      </c>
      <c r="O133" s="28" t="b">
        <v>1</v>
      </c>
    </row>
    <row r="134" spans="2:15" s="28" customFormat="1" ht="16.5" customHeight="1">
      <c r="B134" s="20"/>
      <c r="C134" s="20"/>
      <c r="D134" s="254"/>
      <c r="E134" s="379">
        <v>144277</v>
      </c>
      <c r="F134" s="395" t="s">
        <v>232</v>
      </c>
      <c r="G134" s="396"/>
      <c r="H134" s="397"/>
      <c r="I134" s="383">
        <v>46600</v>
      </c>
      <c r="J134" s="398">
        <v>122885</v>
      </c>
      <c r="K134" s="399" t="s">
        <v>70</v>
      </c>
      <c r="L134" s="399" t="s">
        <v>34</v>
      </c>
      <c r="M134" s="399">
        <v>20</v>
      </c>
      <c r="N134" s="356">
        <v>1302000</v>
      </c>
      <c r="O134" s="28" t="b">
        <v>1</v>
      </c>
    </row>
    <row r="135" spans="2:15" s="28" customFormat="1" ht="16.5" customHeight="1">
      <c r="B135" s="20"/>
      <c r="C135" s="20"/>
      <c r="D135" s="254"/>
      <c r="E135" s="379">
        <v>123004</v>
      </c>
      <c r="F135" s="395" t="s">
        <v>41</v>
      </c>
      <c r="G135" s="396"/>
      <c r="H135" s="397"/>
      <c r="I135" s="383">
        <v>402000</v>
      </c>
      <c r="J135" s="398">
        <v>123004</v>
      </c>
      <c r="K135" s="399" t="s">
        <v>70</v>
      </c>
      <c r="L135" s="399" t="s">
        <v>34</v>
      </c>
      <c r="M135" s="399">
        <v>18</v>
      </c>
      <c r="N135" s="356">
        <v>1246000</v>
      </c>
      <c r="O135" s="28" t="b">
        <v>1</v>
      </c>
    </row>
    <row r="136" spans="2:15" s="28" customFormat="1" ht="16.5" customHeight="1">
      <c r="B136" s="20"/>
      <c r="C136" s="20"/>
      <c r="D136" s="254"/>
      <c r="E136" s="379">
        <v>123291</v>
      </c>
      <c r="F136" s="395" t="s">
        <v>261</v>
      </c>
      <c r="G136" s="396"/>
      <c r="H136" s="397"/>
      <c r="I136" s="383">
        <v>326000</v>
      </c>
      <c r="J136" s="398">
        <v>123291</v>
      </c>
      <c r="K136" s="399" t="s">
        <v>70</v>
      </c>
      <c r="L136" s="399" t="s">
        <v>34</v>
      </c>
      <c r="M136" s="399">
        <v>20</v>
      </c>
      <c r="N136" s="356">
        <v>481000</v>
      </c>
      <c r="O136" s="28" t="b">
        <v>1</v>
      </c>
    </row>
    <row r="137" spans="2:15" s="28" customFormat="1" ht="16.5" customHeight="1">
      <c r="B137" s="20"/>
      <c r="C137" s="20"/>
      <c r="D137" s="254"/>
      <c r="E137" s="379">
        <v>123328</v>
      </c>
      <c r="F137" s="395" t="s">
        <v>262</v>
      </c>
      <c r="G137" s="396"/>
      <c r="H137" s="397"/>
      <c r="I137" s="383">
        <v>66800</v>
      </c>
      <c r="J137" s="398">
        <v>123328</v>
      </c>
      <c r="K137" s="399" t="s">
        <v>70</v>
      </c>
      <c r="L137" s="399" t="s">
        <v>34</v>
      </c>
      <c r="M137" s="399">
        <v>20</v>
      </c>
      <c r="N137" s="356">
        <v>410000</v>
      </c>
      <c r="O137" s="28" t="b">
        <v>1</v>
      </c>
    </row>
    <row r="138" spans="2:15" s="28" customFormat="1" ht="16.5" customHeight="1">
      <c r="B138" s="20"/>
      <c r="C138" s="20"/>
      <c r="D138" s="254"/>
      <c r="E138" s="379">
        <v>123330</v>
      </c>
      <c r="F138" s="395" t="s">
        <v>263</v>
      </c>
      <c r="G138" s="396"/>
      <c r="H138" s="397"/>
      <c r="I138" s="383">
        <v>62700</v>
      </c>
      <c r="J138" s="398">
        <v>123330</v>
      </c>
      <c r="K138" s="399" t="s">
        <v>70</v>
      </c>
      <c r="L138" s="399" t="s">
        <v>34</v>
      </c>
      <c r="M138" s="399">
        <v>20</v>
      </c>
      <c r="N138" s="356">
        <v>430000</v>
      </c>
      <c r="O138" s="28" t="b">
        <v>1</v>
      </c>
    </row>
    <row r="139" spans="2:15" s="28" customFormat="1" ht="16.5" customHeight="1">
      <c r="B139" s="20"/>
      <c r="C139" s="20"/>
      <c r="D139" s="254"/>
      <c r="E139" s="379">
        <v>123331</v>
      </c>
      <c r="F139" s="395" t="s">
        <v>264</v>
      </c>
      <c r="G139" s="396"/>
      <c r="H139" s="397"/>
      <c r="I139" s="383">
        <v>54200</v>
      </c>
      <c r="J139" s="398">
        <v>123331</v>
      </c>
      <c r="K139" s="399" t="s">
        <v>70</v>
      </c>
      <c r="L139" s="399" t="s">
        <v>34</v>
      </c>
      <c r="M139" s="399">
        <v>20</v>
      </c>
      <c r="N139" s="356">
        <v>398000</v>
      </c>
      <c r="O139" s="28" t="b">
        <v>1</v>
      </c>
    </row>
    <row r="140" spans="2:15" s="28" customFormat="1" ht="16.5" customHeight="1">
      <c r="B140" s="20"/>
      <c r="C140" s="20"/>
      <c r="D140" s="254"/>
      <c r="E140" s="379">
        <v>123336</v>
      </c>
      <c r="F140" s="395" t="s">
        <v>235</v>
      </c>
      <c r="G140" s="396"/>
      <c r="H140" s="397"/>
      <c r="I140" s="383">
        <v>63400</v>
      </c>
      <c r="J140" s="398">
        <v>123336</v>
      </c>
      <c r="K140" s="399" t="s">
        <v>70</v>
      </c>
      <c r="L140" s="399" t="s">
        <v>34</v>
      </c>
      <c r="M140" s="399">
        <v>20</v>
      </c>
      <c r="N140" s="356">
        <v>1207000</v>
      </c>
      <c r="O140" s="28" t="b">
        <v>1</v>
      </c>
    </row>
    <row r="141" spans="2:15" s="28" customFormat="1" ht="16.5" customHeight="1">
      <c r="B141" s="20"/>
      <c r="C141" s="20"/>
      <c r="D141" s="254"/>
      <c r="E141" s="379">
        <v>123339</v>
      </c>
      <c r="F141" s="395" t="s">
        <v>225</v>
      </c>
      <c r="G141" s="396"/>
      <c r="H141" s="397"/>
      <c r="I141" s="383">
        <v>55400</v>
      </c>
      <c r="J141" s="399">
        <v>123339</v>
      </c>
      <c r="K141" s="399" t="s">
        <v>70</v>
      </c>
      <c r="L141" s="399" t="s">
        <v>34</v>
      </c>
      <c r="M141" s="399">
        <v>20</v>
      </c>
      <c r="N141" s="356">
        <v>3124000</v>
      </c>
      <c r="O141" s="28" t="b">
        <v>1</v>
      </c>
    </row>
    <row r="142" spans="2:15" s="28" customFormat="1" ht="16.5" customHeight="1">
      <c r="B142" s="20"/>
      <c r="C142" s="20"/>
      <c r="D142" s="254"/>
      <c r="E142" s="379">
        <v>124528</v>
      </c>
      <c r="F142" s="395" t="s">
        <v>450</v>
      </c>
      <c r="G142" s="396"/>
      <c r="H142" s="397"/>
      <c r="I142" s="383">
        <v>3634000</v>
      </c>
      <c r="J142" s="398">
        <v>124528</v>
      </c>
      <c r="K142" s="399" t="s">
        <v>71</v>
      </c>
      <c r="L142" s="399" t="s">
        <v>34</v>
      </c>
      <c r="M142" s="399">
        <v>208</v>
      </c>
      <c r="N142" s="356">
        <v>2760000</v>
      </c>
      <c r="O142" s="28" t="b">
        <v>1</v>
      </c>
    </row>
    <row r="143" spans="2:15" s="28" customFormat="1" ht="16.5" customHeight="1">
      <c r="B143" s="20"/>
      <c r="C143" s="20"/>
      <c r="D143" s="254"/>
      <c r="E143" s="379">
        <v>126328</v>
      </c>
      <c r="F143" s="395" t="s">
        <v>453</v>
      </c>
      <c r="G143" s="396"/>
      <c r="H143" s="397"/>
      <c r="I143" s="383">
        <v>4056000</v>
      </c>
      <c r="J143" s="399">
        <v>126328</v>
      </c>
      <c r="K143" s="399" t="s">
        <v>71</v>
      </c>
      <c r="L143" s="399" t="s">
        <v>34</v>
      </c>
      <c r="M143" s="399">
        <v>208</v>
      </c>
      <c r="N143" s="356">
        <v>1525000</v>
      </c>
      <c r="O143" s="28" t="b">
        <v>0</v>
      </c>
    </row>
    <row r="144" spans="2:15" s="28" customFormat="1" ht="16.5" customHeight="1">
      <c r="B144" s="20"/>
      <c r="C144" s="20"/>
      <c r="D144" s="254"/>
      <c r="E144" s="379">
        <v>127356</v>
      </c>
      <c r="F144" s="395" t="s">
        <v>265</v>
      </c>
      <c r="G144" s="396"/>
      <c r="H144" s="397"/>
      <c r="I144" s="383">
        <v>337000</v>
      </c>
      <c r="J144" s="398">
        <v>127356</v>
      </c>
      <c r="K144" s="399" t="s">
        <v>70</v>
      </c>
      <c r="L144" s="399" t="s">
        <v>34</v>
      </c>
      <c r="M144" s="399">
        <v>20</v>
      </c>
      <c r="N144" s="356">
        <v>3190000</v>
      </c>
      <c r="O144" s="28" t="b">
        <v>1</v>
      </c>
    </row>
    <row r="145" spans="2:15" s="28" customFormat="1" ht="16.5" customHeight="1">
      <c r="B145" s="20"/>
      <c r="C145" s="20"/>
      <c r="D145" s="254"/>
      <c r="E145" s="379">
        <v>128773</v>
      </c>
      <c r="F145" s="395" t="s">
        <v>766</v>
      </c>
      <c r="G145" s="396"/>
      <c r="H145" s="397"/>
      <c r="I145" s="383">
        <v>346000</v>
      </c>
      <c r="J145" s="398">
        <v>128773</v>
      </c>
      <c r="K145" s="399" t="s">
        <v>70</v>
      </c>
      <c r="L145" s="399" t="s">
        <v>34</v>
      </c>
      <c r="M145" s="399">
        <v>18.899999999999999</v>
      </c>
      <c r="N145" s="356">
        <v>106000</v>
      </c>
      <c r="O145" s="28" t="b">
        <v>1</v>
      </c>
    </row>
    <row r="146" spans="2:15" s="28" customFormat="1" ht="16.5" customHeight="1">
      <c r="B146" s="20"/>
      <c r="C146" s="20"/>
      <c r="D146" s="254"/>
      <c r="E146" s="379">
        <v>129351</v>
      </c>
      <c r="F146" s="395" t="s">
        <v>266</v>
      </c>
      <c r="G146" s="396"/>
      <c r="H146" s="397"/>
      <c r="I146" s="383">
        <v>415000</v>
      </c>
      <c r="J146" s="398">
        <v>129351</v>
      </c>
      <c r="K146" s="399" t="s">
        <v>70</v>
      </c>
      <c r="L146" s="399" t="s">
        <v>34</v>
      </c>
      <c r="M146" s="399">
        <v>20</v>
      </c>
      <c r="N146" s="356">
        <v>83600</v>
      </c>
      <c r="O146" s="28" t="b">
        <v>1</v>
      </c>
    </row>
    <row r="147" spans="2:15" s="28" customFormat="1" ht="16.5" customHeight="1">
      <c r="B147" s="20"/>
      <c r="C147" s="20"/>
      <c r="D147" s="254"/>
      <c r="E147" s="379">
        <v>129364</v>
      </c>
      <c r="F147" s="395" t="s">
        <v>458</v>
      </c>
      <c r="G147" s="396"/>
      <c r="H147" s="397"/>
      <c r="I147" s="383"/>
      <c r="J147" s="398">
        <v>129364</v>
      </c>
      <c r="K147" s="399" t="s">
        <v>71</v>
      </c>
      <c r="L147" s="399" t="s">
        <v>34</v>
      </c>
      <c r="M147" s="399">
        <v>208</v>
      </c>
      <c r="N147" s="356" t="e">
        <v>#N/A</v>
      </c>
      <c r="O147" s="28" t="e">
        <v>#N/A</v>
      </c>
    </row>
    <row r="148" spans="2:15" s="28" customFormat="1" ht="16.5" customHeight="1">
      <c r="B148" s="20"/>
      <c r="C148" s="20"/>
      <c r="D148" s="254"/>
      <c r="E148" s="379">
        <v>129389</v>
      </c>
      <c r="F148" s="395" t="s">
        <v>459</v>
      </c>
      <c r="G148" s="396"/>
      <c r="H148" s="397"/>
      <c r="I148" s="383">
        <v>3962000</v>
      </c>
      <c r="J148" s="398">
        <v>129389</v>
      </c>
      <c r="K148" s="399" t="s">
        <v>71</v>
      </c>
      <c r="L148" s="399" t="s">
        <v>34</v>
      </c>
      <c r="M148" s="399">
        <v>208</v>
      </c>
      <c r="N148" s="356">
        <v>62800</v>
      </c>
      <c r="O148" s="28" t="b">
        <v>1</v>
      </c>
    </row>
    <row r="149" spans="2:15" s="28" customFormat="1" ht="16.5" customHeight="1">
      <c r="B149" s="20"/>
      <c r="C149" s="20"/>
      <c r="D149" s="254"/>
      <c r="E149" s="379">
        <v>130938</v>
      </c>
      <c r="F149" s="395" t="s">
        <v>461</v>
      </c>
      <c r="G149" s="396"/>
      <c r="H149" s="397"/>
      <c r="I149" s="383">
        <v>1918000</v>
      </c>
      <c r="J149" s="398">
        <v>130938</v>
      </c>
      <c r="K149" s="399" t="s">
        <v>71</v>
      </c>
      <c r="L149" s="399" t="s">
        <v>34</v>
      </c>
      <c r="M149" s="399">
        <v>181</v>
      </c>
      <c r="N149" s="356">
        <v>79200</v>
      </c>
      <c r="O149" s="28" t="b">
        <v>1</v>
      </c>
    </row>
    <row r="150" spans="2:15" s="28" customFormat="1" ht="16.5" customHeight="1">
      <c r="B150" s="20"/>
      <c r="C150" s="20"/>
      <c r="D150" s="254"/>
      <c r="E150" s="379">
        <v>130939</v>
      </c>
      <c r="F150" s="395" t="s">
        <v>267</v>
      </c>
      <c r="G150" s="396"/>
      <c r="H150" s="397"/>
      <c r="I150" s="383">
        <v>179000</v>
      </c>
      <c r="J150" s="398">
        <v>130939</v>
      </c>
      <c r="K150" s="399" t="s">
        <v>70</v>
      </c>
      <c r="L150" s="399" t="s">
        <v>34</v>
      </c>
      <c r="M150" s="399">
        <v>15.87</v>
      </c>
      <c r="N150" s="356">
        <v>46600</v>
      </c>
      <c r="O150" s="28" t="b">
        <v>1</v>
      </c>
    </row>
    <row r="151" spans="2:15" s="28" customFormat="1" ht="16.5" customHeight="1">
      <c r="B151" s="20"/>
      <c r="C151" s="20"/>
      <c r="D151" s="254"/>
      <c r="E151" s="379">
        <v>131773</v>
      </c>
      <c r="F151" s="395" t="s">
        <v>462</v>
      </c>
      <c r="G151" s="396"/>
      <c r="H151" s="397"/>
      <c r="I151" s="383"/>
      <c r="J151" s="398">
        <v>131773</v>
      </c>
      <c r="K151" s="399" t="s">
        <v>71</v>
      </c>
      <c r="L151" s="399" t="s">
        <v>34</v>
      </c>
      <c r="M151" s="399">
        <v>208</v>
      </c>
      <c r="N151" s="356">
        <v>402000</v>
      </c>
      <c r="O151" s="28" t="b">
        <v>1</v>
      </c>
    </row>
    <row r="152" spans="2:15" s="28" customFormat="1" ht="16.5" customHeight="1">
      <c r="B152" s="20"/>
      <c r="C152" s="20"/>
      <c r="D152" s="254"/>
      <c r="E152" s="379">
        <v>132528</v>
      </c>
      <c r="F152" s="395" t="s">
        <v>270</v>
      </c>
      <c r="G152" s="396"/>
      <c r="H152" s="397"/>
      <c r="I152" s="383">
        <v>269000</v>
      </c>
      <c r="J152" s="398">
        <v>132528</v>
      </c>
      <c r="K152" s="399" t="s">
        <v>70</v>
      </c>
      <c r="L152" s="399" t="s">
        <v>34</v>
      </c>
      <c r="M152" s="399">
        <v>16</v>
      </c>
      <c r="N152" s="356">
        <v>326000</v>
      </c>
      <c r="O152" s="28" t="b">
        <v>1</v>
      </c>
    </row>
    <row r="153" spans="2:15" s="28" customFormat="1" ht="16.5" customHeight="1">
      <c r="B153" s="20"/>
      <c r="C153" s="20"/>
      <c r="D153" s="254"/>
      <c r="E153" s="379">
        <v>132549</v>
      </c>
      <c r="F153" s="395" t="s">
        <v>463</v>
      </c>
      <c r="G153" s="396"/>
      <c r="H153" s="397"/>
      <c r="I153" s="383">
        <v>3029000</v>
      </c>
      <c r="J153" s="398">
        <v>132549</v>
      </c>
      <c r="K153" s="399" t="s">
        <v>71</v>
      </c>
      <c r="L153" s="399" t="s">
        <v>34</v>
      </c>
      <c r="M153" s="399">
        <v>208</v>
      </c>
      <c r="N153" s="356">
        <v>66800</v>
      </c>
      <c r="O153" s="28" t="b">
        <v>1</v>
      </c>
    </row>
    <row r="154" spans="2:15" s="28" customFormat="1" ht="16.5" customHeight="1">
      <c r="B154" s="20"/>
      <c r="C154" s="20"/>
      <c r="D154" s="254"/>
      <c r="E154" s="379">
        <v>132550</v>
      </c>
      <c r="F154" s="395" t="s">
        <v>464</v>
      </c>
      <c r="G154" s="396"/>
      <c r="H154" s="397"/>
      <c r="I154" s="383">
        <v>3173000</v>
      </c>
      <c r="J154" s="398">
        <v>132550</v>
      </c>
      <c r="K154" s="399" t="s">
        <v>71</v>
      </c>
      <c r="L154" s="399" t="s">
        <v>34</v>
      </c>
      <c r="M154" s="399">
        <v>208</v>
      </c>
      <c r="N154" s="356">
        <v>62700</v>
      </c>
      <c r="O154" s="28" t="b">
        <v>1</v>
      </c>
    </row>
    <row r="155" spans="2:15" s="28" customFormat="1" ht="16.5" customHeight="1">
      <c r="B155" s="20"/>
      <c r="C155" s="20"/>
      <c r="D155" s="254"/>
      <c r="E155" s="379">
        <v>132558</v>
      </c>
      <c r="F155" s="395" t="s">
        <v>465</v>
      </c>
      <c r="G155" s="396"/>
      <c r="H155" s="397"/>
      <c r="I155" s="383">
        <v>3541000</v>
      </c>
      <c r="J155" s="398">
        <v>132558</v>
      </c>
      <c r="K155" s="399" t="s">
        <v>71</v>
      </c>
      <c r="L155" s="399" t="s">
        <v>34</v>
      </c>
      <c r="M155" s="399">
        <v>208</v>
      </c>
      <c r="N155" s="356">
        <v>54200</v>
      </c>
      <c r="O155" s="28" t="b">
        <v>1</v>
      </c>
    </row>
    <row r="156" spans="2:15" s="28" customFormat="1" ht="16.5" customHeight="1">
      <c r="B156" s="20"/>
      <c r="C156" s="20"/>
      <c r="D156" s="254"/>
      <c r="E156" s="379">
        <v>140202</v>
      </c>
      <c r="F156" s="395" t="s">
        <v>377</v>
      </c>
      <c r="G156" s="396"/>
      <c r="H156" s="397"/>
      <c r="I156" s="383">
        <v>352000</v>
      </c>
      <c r="J156" s="398">
        <v>140202</v>
      </c>
      <c r="K156" s="399" t="s">
        <v>70</v>
      </c>
      <c r="L156" s="399" t="s">
        <v>34</v>
      </c>
      <c r="M156" s="399">
        <v>16</v>
      </c>
      <c r="N156" s="356">
        <v>63400</v>
      </c>
      <c r="O156" s="28" t="b">
        <v>1</v>
      </c>
    </row>
    <row r="157" spans="2:15" s="28" customFormat="1" ht="16.5" customHeight="1">
      <c r="B157" s="20"/>
      <c r="C157" s="20"/>
      <c r="D157" s="254"/>
      <c r="E157" s="379">
        <v>140203</v>
      </c>
      <c r="F157" s="395" t="s">
        <v>273</v>
      </c>
      <c r="G157" s="396"/>
      <c r="H157" s="397"/>
      <c r="I157" s="383">
        <v>355000</v>
      </c>
      <c r="J157" s="398">
        <v>140203</v>
      </c>
      <c r="K157" s="399" t="s">
        <v>70</v>
      </c>
      <c r="L157" s="399" t="s">
        <v>34</v>
      </c>
      <c r="M157" s="399">
        <v>16</v>
      </c>
      <c r="N157" s="356">
        <v>55400</v>
      </c>
      <c r="O157" s="28" t="b">
        <v>1</v>
      </c>
    </row>
    <row r="158" spans="2:15" s="28" customFormat="1" ht="16.5" customHeight="1">
      <c r="B158" s="20"/>
      <c r="C158" s="20"/>
      <c r="D158" s="254"/>
      <c r="E158" s="379">
        <v>132575</v>
      </c>
      <c r="F158" s="400" t="s">
        <v>274</v>
      </c>
      <c r="G158" s="401"/>
      <c r="H158" s="402"/>
      <c r="I158" s="383">
        <v>394000</v>
      </c>
      <c r="J158" s="398">
        <v>132575</v>
      </c>
      <c r="K158" s="399" t="s">
        <v>70</v>
      </c>
      <c r="L158" s="399" t="s">
        <v>34</v>
      </c>
      <c r="M158" s="399">
        <v>16</v>
      </c>
      <c r="N158" s="356">
        <v>3634000</v>
      </c>
      <c r="O158" s="28" t="b">
        <v>1</v>
      </c>
    </row>
    <row r="159" spans="2:15" s="28" customFormat="1" ht="16.5" customHeight="1">
      <c r="B159" s="20"/>
      <c r="C159" s="20"/>
      <c r="D159" s="254"/>
      <c r="E159" s="379">
        <v>132610</v>
      </c>
      <c r="F159" s="395" t="s">
        <v>466</v>
      </c>
      <c r="G159" s="396"/>
      <c r="H159" s="397"/>
      <c r="I159" s="383">
        <v>3730000</v>
      </c>
      <c r="J159" s="398">
        <v>132610</v>
      </c>
      <c r="K159" s="399" t="s">
        <v>71</v>
      </c>
      <c r="L159" s="399" t="s">
        <v>34</v>
      </c>
      <c r="M159" s="399">
        <v>174</v>
      </c>
      <c r="N159" s="356">
        <v>4056000</v>
      </c>
      <c r="O159" s="28" t="b">
        <v>1</v>
      </c>
    </row>
    <row r="160" spans="2:15" s="28" customFormat="1" ht="16.5" customHeight="1">
      <c r="B160" s="20"/>
      <c r="C160" s="20"/>
      <c r="D160" s="254"/>
      <c r="E160" s="379">
        <v>132611</v>
      </c>
      <c r="F160" s="395" t="s">
        <v>275</v>
      </c>
      <c r="G160" s="396"/>
      <c r="H160" s="397"/>
      <c r="I160" s="383">
        <v>338000</v>
      </c>
      <c r="J160" s="398">
        <v>132611</v>
      </c>
      <c r="K160" s="399" t="s">
        <v>70</v>
      </c>
      <c r="L160" s="399" t="s">
        <v>34</v>
      </c>
      <c r="M160" s="399">
        <v>15.87</v>
      </c>
      <c r="N160" s="356">
        <v>337000</v>
      </c>
      <c r="O160" s="28" t="b">
        <v>1</v>
      </c>
    </row>
    <row r="161" spans="2:15" s="28" customFormat="1" ht="16.5" customHeight="1">
      <c r="B161" s="20"/>
      <c r="C161" s="20"/>
      <c r="D161" s="254"/>
      <c r="E161" s="379">
        <v>132642</v>
      </c>
      <c r="F161" s="395" t="s">
        <v>276</v>
      </c>
      <c r="G161" s="396"/>
      <c r="H161" s="397"/>
      <c r="I161" s="383">
        <v>351000</v>
      </c>
      <c r="J161" s="398">
        <v>132642</v>
      </c>
      <c r="K161" s="399" t="s">
        <v>70</v>
      </c>
      <c r="L161" s="399" t="s">
        <v>34</v>
      </c>
      <c r="M161" s="399">
        <v>16</v>
      </c>
      <c r="N161" s="356">
        <v>346000</v>
      </c>
      <c r="O161" s="28" t="b">
        <v>1</v>
      </c>
    </row>
    <row r="162" spans="2:15" s="28" customFormat="1" ht="16.5" customHeight="1">
      <c r="B162" s="20"/>
      <c r="C162" s="20"/>
      <c r="D162" s="254"/>
      <c r="E162" s="379">
        <v>132796</v>
      </c>
      <c r="F162" s="403" t="s">
        <v>278</v>
      </c>
      <c r="G162" s="404"/>
      <c r="H162" s="405"/>
      <c r="I162" s="383">
        <v>562000</v>
      </c>
      <c r="J162" s="398">
        <v>132796</v>
      </c>
      <c r="K162" s="406" t="s">
        <v>70</v>
      </c>
      <c r="L162" s="406" t="s">
        <v>34</v>
      </c>
      <c r="M162" s="406">
        <v>18</v>
      </c>
      <c r="N162" s="356">
        <v>415000</v>
      </c>
      <c r="O162" s="28" t="b">
        <v>1</v>
      </c>
    </row>
    <row r="163" spans="2:15" s="28" customFormat="1" ht="16.5" customHeight="1">
      <c r="B163" s="20"/>
      <c r="C163" s="20"/>
      <c r="D163" s="254"/>
      <c r="E163" s="379">
        <v>132835</v>
      </c>
      <c r="F163" s="395" t="s">
        <v>474</v>
      </c>
      <c r="G163" s="396"/>
      <c r="H163" s="397"/>
      <c r="I163" s="383">
        <v>3480000</v>
      </c>
      <c r="J163" s="398">
        <v>132835</v>
      </c>
      <c r="K163" s="399" t="s">
        <v>71</v>
      </c>
      <c r="L163" s="399" t="s">
        <v>34</v>
      </c>
      <c r="M163" s="399">
        <v>208</v>
      </c>
      <c r="N163" s="356" t="e">
        <v>#N/A</v>
      </c>
      <c r="O163" s="28" t="e">
        <v>#N/A</v>
      </c>
    </row>
    <row r="164" spans="2:15" s="28" customFormat="1" ht="16.5" customHeight="1">
      <c r="B164" s="20"/>
      <c r="C164" s="20"/>
      <c r="D164" s="254"/>
      <c r="E164" s="379">
        <v>133450</v>
      </c>
      <c r="F164" s="395" t="s">
        <v>475</v>
      </c>
      <c r="G164" s="396"/>
      <c r="H164" s="397"/>
      <c r="I164" s="383">
        <v>4688000</v>
      </c>
      <c r="J164" s="398">
        <v>133450</v>
      </c>
      <c r="K164" s="399" t="s">
        <v>71</v>
      </c>
      <c r="L164" s="399" t="s">
        <v>34</v>
      </c>
      <c r="M164" s="399">
        <v>208</v>
      </c>
      <c r="N164" s="356">
        <v>3962000</v>
      </c>
      <c r="O164" s="28" t="b">
        <v>1</v>
      </c>
    </row>
    <row r="165" spans="2:15" s="28" customFormat="1" ht="16.5" customHeight="1">
      <c r="B165" s="20"/>
      <c r="C165" s="20"/>
      <c r="D165" s="254"/>
      <c r="E165" s="379">
        <v>134221</v>
      </c>
      <c r="F165" s="400" t="s">
        <v>476</v>
      </c>
      <c r="G165" s="401"/>
      <c r="H165" s="402"/>
      <c r="I165" s="383">
        <v>4412000</v>
      </c>
      <c r="J165" s="407">
        <v>134221</v>
      </c>
      <c r="K165" s="399" t="s">
        <v>71</v>
      </c>
      <c r="L165" s="399" t="s">
        <v>34</v>
      </c>
      <c r="M165" s="399">
        <v>216</v>
      </c>
      <c r="N165" s="356">
        <v>1918000</v>
      </c>
      <c r="O165" s="28" t="b">
        <v>1</v>
      </c>
    </row>
    <row r="166" spans="2:15" s="28" customFormat="1" ht="16.5" customHeight="1">
      <c r="B166" s="20"/>
      <c r="C166" s="20"/>
      <c r="D166" s="254"/>
      <c r="E166" s="379">
        <v>134320</v>
      </c>
      <c r="F166" s="400" t="s">
        <v>477</v>
      </c>
      <c r="G166" s="396"/>
      <c r="H166" s="397"/>
      <c r="I166" s="383">
        <v>3144000</v>
      </c>
      <c r="J166" s="398">
        <v>134320</v>
      </c>
      <c r="K166" s="399" t="s">
        <v>71</v>
      </c>
      <c r="L166" s="399" t="s">
        <v>34</v>
      </c>
      <c r="M166" s="399">
        <v>208</v>
      </c>
      <c r="N166" s="356">
        <v>179000</v>
      </c>
      <c r="O166" s="28" t="b">
        <v>1</v>
      </c>
    </row>
    <row r="167" spans="2:15" s="28" customFormat="1" ht="16.5" customHeight="1">
      <c r="B167" s="20"/>
      <c r="C167" s="20"/>
      <c r="D167" s="254"/>
      <c r="E167" s="379">
        <v>134445</v>
      </c>
      <c r="F167" s="400" t="s">
        <v>239</v>
      </c>
      <c r="G167" s="396"/>
      <c r="H167" s="397"/>
      <c r="I167" s="383">
        <v>66900</v>
      </c>
      <c r="J167" s="398">
        <v>134445</v>
      </c>
      <c r="K167" s="399" t="s">
        <v>70</v>
      </c>
      <c r="L167" s="399" t="s">
        <v>34</v>
      </c>
      <c r="M167" s="399">
        <v>20</v>
      </c>
      <c r="N167" s="356" t="e">
        <v>#N/A</v>
      </c>
      <c r="O167" s="28" t="e">
        <v>#N/A</v>
      </c>
    </row>
    <row r="168" spans="2:15" s="28" customFormat="1" ht="16.5" customHeight="1">
      <c r="B168" s="20"/>
      <c r="C168" s="20"/>
      <c r="D168" s="254"/>
      <c r="E168" s="379">
        <v>134602</v>
      </c>
      <c r="F168" s="400" t="s">
        <v>481</v>
      </c>
      <c r="G168" s="396"/>
      <c r="H168" s="397"/>
      <c r="I168" s="383">
        <v>3680000</v>
      </c>
      <c r="J168" s="407">
        <v>134602</v>
      </c>
      <c r="K168" s="399" t="s">
        <v>71</v>
      </c>
      <c r="L168" s="399" t="s">
        <v>34</v>
      </c>
      <c r="M168" s="399">
        <v>208</v>
      </c>
      <c r="N168" s="356">
        <v>269000</v>
      </c>
      <c r="O168" s="28" t="b">
        <v>1</v>
      </c>
    </row>
    <row r="169" spans="2:15" s="28" customFormat="1" ht="16.5" customHeight="1">
      <c r="B169" s="20"/>
      <c r="C169" s="20"/>
      <c r="D169" s="254"/>
      <c r="E169" s="379">
        <v>134604</v>
      </c>
      <c r="F169" s="400" t="s">
        <v>280</v>
      </c>
      <c r="G169" s="396"/>
      <c r="H169" s="397"/>
      <c r="I169" s="383">
        <v>120000</v>
      </c>
      <c r="J169" s="398">
        <v>134604</v>
      </c>
      <c r="K169" s="399" t="s">
        <v>70</v>
      </c>
      <c r="L169" s="399" t="s">
        <v>34</v>
      </c>
      <c r="M169" s="399">
        <v>16</v>
      </c>
      <c r="N169" s="356">
        <v>3029000</v>
      </c>
      <c r="O169" s="28" t="b">
        <v>1</v>
      </c>
    </row>
    <row r="170" spans="2:15" s="28" customFormat="1" ht="16.5" customHeight="1">
      <c r="B170" s="20"/>
      <c r="C170" s="20"/>
      <c r="D170" s="254"/>
      <c r="E170" s="379">
        <v>134884</v>
      </c>
      <c r="F170" s="400" t="s">
        <v>281</v>
      </c>
      <c r="G170" s="396"/>
      <c r="H170" s="397"/>
      <c r="I170" s="383">
        <v>80500</v>
      </c>
      <c r="J170" s="407">
        <v>134884</v>
      </c>
      <c r="K170" s="399" t="s">
        <v>70</v>
      </c>
      <c r="L170" s="399" t="s">
        <v>34</v>
      </c>
      <c r="M170" s="399">
        <v>20</v>
      </c>
      <c r="N170" s="356">
        <v>3173000</v>
      </c>
      <c r="O170" s="28" t="b">
        <v>1</v>
      </c>
    </row>
    <row r="171" spans="2:15" s="28" customFormat="1" ht="16.5" customHeight="1">
      <c r="B171" s="20"/>
      <c r="C171" s="20"/>
      <c r="D171" s="254"/>
      <c r="E171" s="379">
        <v>134937</v>
      </c>
      <c r="F171" s="400" t="s">
        <v>486</v>
      </c>
      <c r="G171" s="396"/>
      <c r="H171" s="397"/>
      <c r="I171" s="383">
        <v>3079000</v>
      </c>
      <c r="J171" s="407">
        <v>134937</v>
      </c>
      <c r="K171" s="399" t="s">
        <v>71</v>
      </c>
      <c r="L171" s="399" t="s">
        <v>34</v>
      </c>
      <c r="M171" s="399">
        <v>208</v>
      </c>
      <c r="N171" s="356">
        <v>3541000</v>
      </c>
      <c r="O171" s="28" t="b">
        <v>1</v>
      </c>
    </row>
    <row r="172" spans="2:15" s="28" customFormat="1" ht="16.5" customHeight="1">
      <c r="B172" s="20"/>
      <c r="C172" s="20"/>
      <c r="D172" s="254"/>
      <c r="E172" s="379">
        <v>134962</v>
      </c>
      <c r="F172" s="395" t="s">
        <v>47</v>
      </c>
      <c r="G172" s="396"/>
      <c r="H172" s="397"/>
      <c r="I172" s="383">
        <v>364000</v>
      </c>
      <c r="J172" s="398">
        <v>134962</v>
      </c>
      <c r="K172" s="399" t="s">
        <v>70</v>
      </c>
      <c r="L172" s="399" t="s">
        <v>34</v>
      </c>
      <c r="M172" s="399">
        <v>20</v>
      </c>
      <c r="N172" s="356">
        <v>352000</v>
      </c>
      <c r="O172" s="28" t="b">
        <v>1</v>
      </c>
    </row>
    <row r="173" spans="2:15" s="28" customFormat="1" ht="16.5" customHeight="1">
      <c r="B173" s="20"/>
      <c r="C173" s="20"/>
      <c r="D173" s="254"/>
      <c r="E173" s="379">
        <v>134995</v>
      </c>
      <c r="F173" s="395" t="s">
        <v>283</v>
      </c>
      <c r="G173" s="396"/>
      <c r="H173" s="397"/>
      <c r="I173" s="383">
        <v>475000</v>
      </c>
      <c r="J173" s="398">
        <v>134995</v>
      </c>
      <c r="K173" s="399" t="s">
        <v>70</v>
      </c>
      <c r="L173" s="399" t="s">
        <v>34</v>
      </c>
      <c r="M173" s="399">
        <v>16</v>
      </c>
      <c r="N173" s="356">
        <v>355000</v>
      </c>
      <c r="O173" s="28" t="b">
        <v>1</v>
      </c>
    </row>
    <row r="174" spans="2:15" s="28" customFormat="1" ht="16.5" customHeight="1">
      <c r="B174" s="20"/>
      <c r="C174" s="20"/>
      <c r="D174" s="254"/>
      <c r="E174" s="379">
        <v>134997</v>
      </c>
      <c r="F174" s="408" t="s">
        <v>284</v>
      </c>
      <c r="G174" s="409"/>
      <c r="H174" s="410"/>
      <c r="I174" s="383">
        <v>316000</v>
      </c>
      <c r="J174" s="398">
        <v>134997</v>
      </c>
      <c r="K174" s="378" t="s">
        <v>70</v>
      </c>
      <c r="L174" s="378" t="s">
        <v>34</v>
      </c>
      <c r="M174" s="378">
        <v>15.87</v>
      </c>
      <c r="N174" s="356">
        <v>394000</v>
      </c>
      <c r="O174" s="28" t="b">
        <v>1</v>
      </c>
    </row>
    <row r="175" spans="2:15" s="28" customFormat="1" ht="16.5" customHeight="1">
      <c r="B175" s="20"/>
      <c r="C175" s="20"/>
      <c r="D175" s="254"/>
      <c r="E175" s="379">
        <v>134999</v>
      </c>
      <c r="F175" s="395" t="s">
        <v>285</v>
      </c>
      <c r="G175" s="396"/>
      <c r="H175" s="397"/>
      <c r="I175" s="383">
        <v>476000</v>
      </c>
      <c r="J175" s="398">
        <v>134999</v>
      </c>
      <c r="K175" s="399" t="s">
        <v>70</v>
      </c>
      <c r="L175" s="399" t="s">
        <v>34</v>
      </c>
      <c r="M175" s="399">
        <v>15.87</v>
      </c>
      <c r="N175" s="356">
        <v>3730000</v>
      </c>
      <c r="O175" s="28" t="b">
        <v>1</v>
      </c>
    </row>
    <row r="176" spans="2:15" s="28" customFormat="1" ht="16.5" customHeight="1">
      <c r="B176" s="20"/>
      <c r="C176" s="20"/>
      <c r="D176" s="254"/>
      <c r="E176" s="379">
        <v>135000</v>
      </c>
      <c r="F176" s="395" t="s">
        <v>487</v>
      </c>
      <c r="G176" s="396"/>
      <c r="H176" s="397"/>
      <c r="I176" s="383">
        <v>2918000</v>
      </c>
      <c r="J176" s="398">
        <v>135000</v>
      </c>
      <c r="K176" s="399" t="s">
        <v>71</v>
      </c>
      <c r="L176" s="399" t="s">
        <v>34</v>
      </c>
      <c r="M176" s="399">
        <v>208</v>
      </c>
      <c r="N176" s="356">
        <v>338000</v>
      </c>
      <c r="O176" s="28" t="b">
        <v>1</v>
      </c>
    </row>
    <row r="177" spans="2:15" s="28" customFormat="1" ht="16.5" customHeight="1">
      <c r="B177" s="20"/>
      <c r="C177" s="20"/>
      <c r="D177" s="254"/>
      <c r="E177" s="379">
        <v>135002</v>
      </c>
      <c r="F177" s="395" t="s">
        <v>286</v>
      </c>
      <c r="G177" s="396"/>
      <c r="H177" s="397"/>
      <c r="I177" s="383">
        <v>364000</v>
      </c>
      <c r="J177" s="398">
        <v>135002</v>
      </c>
      <c r="K177" s="399" t="s">
        <v>70</v>
      </c>
      <c r="L177" s="399" t="s">
        <v>34</v>
      </c>
      <c r="M177" s="399">
        <v>20</v>
      </c>
      <c r="N177" s="356">
        <v>351000</v>
      </c>
      <c r="O177" s="28" t="b">
        <v>1</v>
      </c>
    </row>
    <row r="178" spans="2:15" s="28" customFormat="1" ht="16.5" customHeight="1">
      <c r="B178" s="20"/>
      <c r="C178" s="20"/>
      <c r="D178" s="254"/>
      <c r="E178" s="379">
        <v>135004</v>
      </c>
      <c r="F178" s="395" t="s">
        <v>287</v>
      </c>
      <c r="G178" s="396"/>
      <c r="H178" s="397"/>
      <c r="I178" s="383">
        <v>300000</v>
      </c>
      <c r="J178" s="398">
        <v>135004</v>
      </c>
      <c r="K178" s="399" t="s">
        <v>70</v>
      </c>
      <c r="L178" s="399" t="s">
        <v>34</v>
      </c>
      <c r="M178" s="399">
        <v>18.899999999999999</v>
      </c>
      <c r="N178" s="356">
        <v>562000</v>
      </c>
      <c r="O178" s="28" t="b">
        <v>1</v>
      </c>
    </row>
    <row r="179" spans="2:15" s="28" customFormat="1" ht="16.5" customHeight="1">
      <c r="B179" s="20"/>
      <c r="C179" s="20"/>
      <c r="D179" s="254"/>
      <c r="E179" s="379">
        <v>135008</v>
      </c>
      <c r="F179" s="395" t="s">
        <v>288</v>
      </c>
      <c r="G179" s="396"/>
      <c r="H179" s="397"/>
      <c r="I179" s="383">
        <v>274000</v>
      </c>
      <c r="J179" s="398">
        <v>135008</v>
      </c>
      <c r="K179" s="399" t="s">
        <v>70</v>
      </c>
      <c r="L179" s="399" t="s">
        <v>34</v>
      </c>
      <c r="M179" s="399">
        <v>20</v>
      </c>
      <c r="N179" s="356">
        <v>3480000</v>
      </c>
      <c r="O179" s="28" t="b">
        <v>1</v>
      </c>
    </row>
    <row r="180" spans="2:15" s="28" customFormat="1" ht="16.5" customHeight="1">
      <c r="B180" s="20"/>
      <c r="C180" s="20"/>
      <c r="D180" s="254"/>
      <c r="E180" s="379">
        <v>135010</v>
      </c>
      <c r="F180" s="395" t="s">
        <v>488</v>
      </c>
      <c r="G180" s="396"/>
      <c r="H180" s="397"/>
      <c r="I180" s="383">
        <v>3777000</v>
      </c>
      <c r="J180" s="398">
        <v>135010</v>
      </c>
      <c r="K180" s="399" t="s">
        <v>71</v>
      </c>
      <c r="L180" s="399" t="s">
        <v>34</v>
      </c>
      <c r="M180" s="399">
        <v>174</v>
      </c>
      <c r="N180" s="356">
        <v>4688000</v>
      </c>
      <c r="O180" s="28" t="b">
        <v>1</v>
      </c>
    </row>
    <row r="181" spans="2:15" s="28" customFormat="1" ht="16.5" customHeight="1">
      <c r="B181" s="20"/>
      <c r="C181" s="20"/>
      <c r="D181" s="254"/>
      <c r="E181" s="379">
        <v>135013</v>
      </c>
      <c r="F181" s="395" t="s">
        <v>489</v>
      </c>
      <c r="G181" s="396"/>
      <c r="H181" s="397"/>
      <c r="I181" s="383">
        <v>2922000</v>
      </c>
      <c r="J181" s="398">
        <v>135013</v>
      </c>
      <c r="K181" s="399" t="s">
        <v>71</v>
      </c>
      <c r="L181" s="399" t="s">
        <v>34</v>
      </c>
      <c r="M181" s="399">
        <v>208</v>
      </c>
      <c r="N181" s="356">
        <v>4412000</v>
      </c>
      <c r="O181" s="28" t="b">
        <v>1</v>
      </c>
    </row>
    <row r="182" spans="2:15" s="28" customFormat="1" ht="16.5" customHeight="1">
      <c r="B182" s="20"/>
      <c r="C182" s="20"/>
      <c r="D182" s="254"/>
      <c r="E182" s="379">
        <v>135014</v>
      </c>
      <c r="F182" s="395" t="s">
        <v>490</v>
      </c>
      <c r="G182" s="396"/>
      <c r="H182" s="397"/>
      <c r="I182" s="383">
        <v>3151000</v>
      </c>
      <c r="J182" s="398">
        <v>135014</v>
      </c>
      <c r="K182" s="399" t="s">
        <v>71</v>
      </c>
      <c r="L182" s="399" t="s">
        <v>34</v>
      </c>
      <c r="M182" s="399">
        <v>208</v>
      </c>
      <c r="N182" s="356">
        <v>3144000</v>
      </c>
      <c r="O182" s="28" t="b">
        <v>1</v>
      </c>
    </row>
    <row r="183" spans="2:15" s="28" customFormat="1" ht="16.5" customHeight="1">
      <c r="B183" s="20"/>
      <c r="C183" s="20"/>
      <c r="D183" s="254"/>
      <c r="E183" s="379">
        <v>135016</v>
      </c>
      <c r="F183" s="395" t="s">
        <v>289</v>
      </c>
      <c r="G183" s="396"/>
      <c r="H183" s="397"/>
      <c r="I183" s="383">
        <v>353000</v>
      </c>
      <c r="J183" s="398">
        <v>135016</v>
      </c>
      <c r="K183" s="399" t="s">
        <v>70</v>
      </c>
      <c r="L183" s="399" t="s">
        <v>34</v>
      </c>
      <c r="M183" s="399">
        <v>20</v>
      </c>
      <c r="N183" s="356">
        <v>66900</v>
      </c>
      <c r="O183" s="28" t="b">
        <v>1</v>
      </c>
    </row>
    <row r="184" spans="2:15" s="28" customFormat="1" ht="16.5" customHeight="1">
      <c r="B184" s="20"/>
      <c r="C184" s="20"/>
      <c r="D184" s="254"/>
      <c r="E184" s="379">
        <v>135152</v>
      </c>
      <c r="F184" s="395" t="s">
        <v>290</v>
      </c>
      <c r="G184" s="396"/>
      <c r="H184" s="397"/>
      <c r="I184" s="383">
        <v>327000</v>
      </c>
      <c r="J184" s="398">
        <v>135152</v>
      </c>
      <c r="K184" s="399" t="s">
        <v>70</v>
      </c>
      <c r="L184" s="399" t="s">
        <v>34</v>
      </c>
      <c r="M184" s="399">
        <v>20</v>
      </c>
      <c r="N184" s="356">
        <v>3680000</v>
      </c>
      <c r="O184" s="28" t="b">
        <v>1</v>
      </c>
    </row>
    <row r="185" spans="2:15" s="28" customFormat="1" ht="16.5" customHeight="1">
      <c r="B185" s="20"/>
      <c r="C185" s="20"/>
      <c r="D185" s="254"/>
      <c r="E185" s="379">
        <v>135153</v>
      </c>
      <c r="F185" s="395" t="s">
        <v>291</v>
      </c>
      <c r="G185" s="396"/>
      <c r="H185" s="397"/>
      <c r="I185" s="383">
        <v>277000</v>
      </c>
      <c r="J185" s="398">
        <v>135153</v>
      </c>
      <c r="K185" s="399" t="s">
        <v>70</v>
      </c>
      <c r="L185" s="399" t="s">
        <v>34</v>
      </c>
      <c r="M185" s="399">
        <v>20</v>
      </c>
      <c r="N185" s="356">
        <v>120000</v>
      </c>
      <c r="O185" s="28" t="b">
        <v>1</v>
      </c>
    </row>
    <row r="186" spans="2:15" s="28" customFormat="1" ht="16.5" customHeight="1">
      <c r="B186" s="20"/>
      <c r="C186" s="20"/>
      <c r="D186" s="254"/>
      <c r="E186" s="379">
        <v>135179</v>
      </c>
      <c r="F186" s="395" t="s">
        <v>491</v>
      </c>
      <c r="G186" s="396"/>
      <c r="H186" s="397"/>
      <c r="I186" s="383">
        <v>2733000</v>
      </c>
      <c r="J186" s="398">
        <v>135179</v>
      </c>
      <c r="K186" s="399" t="s">
        <v>71</v>
      </c>
      <c r="L186" s="399" t="s">
        <v>34</v>
      </c>
      <c r="M186" s="399">
        <v>208</v>
      </c>
      <c r="N186" s="356">
        <v>80500</v>
      </c>
      <c r="O186" s="28" t="b">
        <v>1</v>
      </c>
    </row>
    <row r="187" spans="2:15" s="28" customFormat="1" ht="16.5" customHeight="1">
      <c r="B187" s="20"/>
      <c r="C187" s="20"/>
      <c r="D187" s="254"/>
      <c r="E187" s="379">
        <v>135180</v>
      </c>
      <c r="F187" s="395" t="s">
        <v>492</v>
      </c>
      <c r="G187" s="401"/>
      <c r="H187" s="402"/>
      <c r="I187" s="383">
        <v>3124000</v>
      </c>
      <c r="J187" s="398">
        <v>135180</v>
      </c>
      <c r="K187" s="399" t="s">
        <v>71</v>
      </c>
      <c r="L187" s="399" t="s">
        <v>34</v>
      </c>
      <c r="M187" s="399">
        <v>208</v>
      </c>
      <c r="N187" s="356">
        <v>3079000</v>
      </c>
      <c r="O187" s="28" t="b">
        <v>1</v>
      </c>
    </row>
    <row r="188" spans="2:15" s="28" customFormat="1" ht="16.5" customHeight="1">
      <c r="B188" s="20"/>
      <c r="C188" s="20"/>
      <c r="D188" s="254"/>
      <c r="E188" s="379">
        <v>135181</v>
      </c>
      <c r="F188" s="395" t="s">
        <v>292</v>
      </c>
      <c r="G188" s="396"/>
      <c r="H188" s="397"/>
      <c r="I188" s="383">
        <v>269000</v>
      </c>
      <c r="J188" s="398">
        <v>135181</v>
      </c>
      <c r="K188" s="399" t="s">
        <v>70</v>
      </c>
      <c r="L188" s="399" t="s">
        <v>34</v>
      </c>
      <c r="M188" s="399">
        <v>20</v>
      </c>
      <c r="N188" s="356">
        <v>364000</v>
      </c>
      <c r="O188" s="28" t="b">
        <v>1</v>
      </c>
    </row>
    <row r="189" spans="2:15" s="28" customFormat="1" ht="16.5" customHeight="1">
      <c r="B189" s="20"/>
      <c r="C189" s="20"/>
      <c r="D189" s="254"/>
      <c r="E189" s="379">
        <v>135182</v>
      </c>
      <c r="F189" s="395" t="s">
        <v>493</v>
      </c>
      <c r="G189" s="396"/>
      <c r="H189" s="397"/>
      <c r="I189" s="383">
        <v>2995000</v>
      </c>
      <c r="J189" s="398">
        <v>135182</v>
      </c>
      <c r="K189" s="399" t="s">
        <v>71</v>
      </c>
      <c r="L189" s="399" t="s">
        <v>34</v>
      </c>
      <c r="M189" s="399">
        <v>208</v>
      </c>
      <c r="N189" s="356">
        <v>475000</v>
      </c>
      <c r="O189" s="28" t="b">
        <v>1</v>
      </c>
    </row>
    <row r="190" spans="2:15" s="28" customFormat="1" ht="16.5" customHeight="1">
      <c r="B190" s="20"/>
      <c r="C190" s="20"/>
      <c r="D190" s="254"/>
      <c r="E190" s="379">
        <v>135183</v>
      </c>
      <c r="F190" s="395" t="s">
        <v>293</v>
      </c>
      <c r="G190" s="396"/>
      <c r="H190" s="397"/>
      <c r="I190" s="383">
        <v>302000</v>
      </c>
      <c r="J190" s="398">
        <v>135183</v>
      </c>
      <c r="K190" s="399" t="s">
        <v>70</v>
      </c>
      <c r="L190" s="399" t="s">
        <v>34</v>
      </c>
      <c r="M190" s="399">
        <v>20</v>
      </c>
      <c r="N190" s="356">
        <v>316000</v>
      </c>
      <c r="O190" s="28" t="b">
        <v>1</v>
      </c>
    </row>
    <row r="191" spans="2:15" s="28" customFormat="1" ht="16.5" customHeight="1">
      <c r="B191" s="20"/>
      <c r="C191" s="20"/>
      <c r="D191" s="254"/>
      <c r="E191" s="379">
        <v>135184</v>
      </c>
      <c r="F191" s="395" t="s">
        <v>494</v>
      </c>
      <c r="G191" s="396"/>
      <c r="H191" s="397"/>
      <c r="I191" s="383">
        <v>3255000</v>
      </c>
      <c r="J191" s="398">
        <v>135184</v>
      </c>
      <c r="K191" s="399" t="s">
        <v>71</v>
      </c>
      <c r="L191" s="399" t="s">
        <v>34</v>
      </c>
      <c r="M191" s="399">
        <v>208</v>
      </c>
      <c r="N191" s="356">
        <v>476000</v>
      </c>
      <c r="O191" s="28" t="b">
        <v>1</v>
      </c>
    </row>
    <row r="192" spans="2:15" s="28" customFormat="1" ht="16.5" customHeight="1">
      <c r="B192" s="20"/>
      <c r="C192" s="20"/>
      <c r="D192" s="254"/>
      <c r="E192" s="379">
        <v>135185</v>
      </c>
      <c r="F192" s="395" t="s">
        <v>495</v>
      </c>
      <c r="G192" s="396"/>
      <c r="H192" s="397"/>
      <c r="I192" s="383">
        <v>3450000</v>
      </c>
      <c r="J192" s="398">
        <v>135185</v>
      </c>
      <c r="K192" s="399" t="s">
        <v>71</v>
      </c>
      <c r="L192" s="399" t="s">
        <v>34</v>
      </c>
      <c r="M192" s="399">
        <v>208</v>
      </c>
      <c r="N192" s="356">
        <v>2918000</v>
      </c>
      <c r="O192" s="28" t="b">
        <v>1</v>
      </c>
    </row>
    <row r="193" spans="2:15" s="28" customFormat="1" ht="16.5" customHeight="1">
      <c r="B193" s="20"/>
      <c r="C193" s="20"/>
      <c r="D193" s="254"/>
      <c r="E193" s="379">
        <v>135186</v>
      </c>
      <c r="F193" s="395" t="s">
        <v>496</v>
      </c>
      <c r="G193" s="396"/>
      <c r="H193" s="397"/>
      <c r="I193" s="383">
        <v>3644000</v>
      </c>
      <c r="J193" s="398">
        <v>135186</v>
      </c>
      <c r="K193" s="399" t="s">
        <v>71</v>
      </c>
      <c r="L193" s="399" t="s">
        <v>34</v>
      </c>
      <c r="M193" s="399">
        <v>208</v>
      </c>
      <c r="N193" s="356">
        <v>364000</v>
      </c>
      <c r="O193" s="28" t="b">
        <v>1</v>
      </c>
    </row>
    <row r="194" spans="2:15" s="28" customFormat="1" ht="16.5" customHeight="1">
      <c r="B194" s="20"/>
      <c r="C194" s="20"/>
      <c r="D194" s="254"/>
      <c r="E194" s="379">
        <v>135187</v>
      </c>
      <c r="F194" s="395" t="s">
        <v>497</v>
      </c>
      <c r="G194" s="396"/>
      <c r="H194" s="397"/>
      <c r="I194" s="383">
        <v>3124000</v>
      </c>
      <c r="J194" s="398">
        <v>135187</v>
      </c>
      <c r="K194" s="399" t="s">
        <v>71</v>
      </c>
      <c r="L194" s="399" t="s">
        <v>34</v>
      </c>
      <c r="M194" s="399">
        <v>208</v>
      </c>
      <c r="N194" s="356">
        <v>300000</v>
      </c>
      <c r="O194" s="28" t="b">
        <v>1</v>
      </c>
    </row>
    <row r="195" spans="2:15" s="28" customFormat="1" ht="16.5" customHeight="1">
      <c r="B195" s="20"/>
      <c r="C195" s="20"/>
      <c r="D195" s="254"/>
      <c r="E195" s="379">
        <v>135188</v>
      </c>
      <c r="F195" s="395" t="s">
        <v>294</v>
      </c>
      <c r="G195" s="396"/>
      <c r="H195" s="397"/>
      <c r="I195" s="383">
        <v>315000</v>
      </c>
      <c r="J195" s="398">
        <v>135188</v>
      </c>
      <c r="K195" s="399" t="s">
        <v>70</v>
      </c>
      <c r="L195" s="399" t="s">
        <v>34</v>
      </c>
      <c r="M195" s="399">
        <v>20</v>
      </c>
      <c r="N195" s="356">
        <v>274000</v>
      </c>
      <c r="O195" s="28" t="b">
        <v>1</v>
      </c>
    </row>
    <row r="196" spans="2:15" s="28" customFormat="1" ht="16.5" customHeight="1">
      <c r="B196" s="20"/>
      <c r="C196" s="20"/>
      <c r="D196" s="254"/>
      <c r="E196" s="379">
        <v>135190</v>
      </c>
      <c r="F196" s="395" t="s">
        <v>295</v>
      </c>
      <c r="G196" s="396"/>
      <c r="H196" s="397"/>
      <c r="I196" s="383">
        <v>346000</v>
      </c>
      <c r="J196" s="398">
        <v>135190</v>
      </c>
      <c r="K196" s="399" t="s">
        <v>70</v>
      </c>
      <c r="L196" s="399" t="s">
        <v>34</v>
      </c>
      <c r="M196" s="399">
        <v>20</v>
      </c>
      <c r="N196" s="356">
        <v>3777000</v>
      </c>
      <c r="O196" s="28" t="b">
        <v>1</v>
      </c>
    </row>
    <row r="197" spans="2:15" s="28" customFormat="1" ht="16.5" customHeight="1">
      <c r="B197" s="20"/>
      <c r="C197" s="20"/>
      <c r="D197" s="254"/>
      <c r="E197" s="379">
        <v>135249</v>
      </c>
      <c r="F197" s="395" t="s">
        <v>498</v>
      </c>
      <c r="G197" s="401"/>
      <c r="H197" s="402"/>
      <c r="I197" s="383">
        <v>1871000</v>
      </c>
      <c r="J197" s="398">
        <v>135249</v>
      </c>
      <c r="K197" s="399" t="s">
        <v>71</v>
      </c>
      <c r="L197" s="399" t="s">
        <v>34</v>
      </c>
      <c r="M197" s="399">
        <v>180</v>
      </c>
      <c r="N197" s="356">
        <v>2922000</v>
      </c>
      <c r="O197" s="28" t="b">
        <v>1</v>
      </c>
    </row>
    <row r="198" spans="2:15" s="28" customFormat="1" ht="16.5" customHeight="1">
      <c r="B198" s="20"/>
      <c r="C198" s="20"/>
      <c r="D198" s="254"/>
      <c r="E198" s="379">
        <v>135304</v>
      </c>
      <c r="F198" s="395" t="s">
        <v>499</v>
      </c>
      <c r="G198" s="396"/>
      <c r="H198" s="397"/>
      <c r="I198" s="383">
        <v>3473000</v>
      </c>
      <c r="J198" s="398">
        <v>135304</v>
      </c>
      <c r="K198" s="399" t="s">
        <v>71</v>
      </c>
      <c r="L198" s="399" t="s">
        <v>34</v>
      </c>
      <c r="M198" s="399">
        <v>208</v>
      </c>
      <c r="N198" s="356">
        <v>3151000</v>
      </c>
      <c r="O198" s="28" t="b">
        <v>1</v>
      </c>
    </row>
    <row r="199" spans="2:15" s="28" customFormat="1" ht="16.5" customHeight="1">
      <c r="B199" s="20"/>
      <c r="C199" s="20"/>
      <c r="D199" s="254"/>
      <c r="E199" s="379">
        <v>135361</v>
      </c>
      <c r="F199" s="395" t="s">
        <v>296</v>
      </c>
      <c r="G199" s="396"/>
      <c r="H199" s="397"/>
      <c r="I199" s="383">
        <v>317000</v>
      </c>
      <c r="J199" s="398">
        <v>135361</v>
      </c>
      <c r="K199" s="399" t="s">
        <v>70</v>
      </c>
      <c r="L199" s="399" t="s">
        <v>34</v>
      </c>
      <c r="M199" s="399">
        <v>18.899999999999999</v>
      </c>
      <c r="N199" s="356">
        <v>353000</v>
      </c>
      <c r="O199" s="28" t="b">
        <v>1</v>
      </c>
    </row>
    <row r="200" spans="2:15" s="28" customFormat="1" ht="16.5" customHeight="1">
      <c r="B200" s="20"/>
      <c r="C200" s="20"/>
      <c r="D200" s="254"/>
      <c r="E200" s="379">
        <v>135421</v>
      </c>
      <c r="F200" s="395" t="s">
        <v>500</v>
      </c>
      <c r="G200" s="396"/>
      <c r="H200" s="397"/>
      <c r="I200" s="383">
        <v>5049000</v>
      </c>
      <c r="J200" s="398">
        <v>135421</v>
      </c>
      <c r="K200" s="399" t="s">
        <v>71</v>
      </c>
      <c r="L200" s="399" t="s">
        <v>34</v>
      </c>
      <c r="M200" s="399">
        <v>208</v>
      </c>
      <c r="N200" s="356">
        <v>327000</v>
      </c>
      <c r="O200" s="28" t="b">
        <v>1</v>
      </c>
    </row>
    <row r="201" spans="2:15" s="28" customFormat="1" ht="16.5" customHeight="1">
      <c r="B201" s="20"/>
      <c r="C201" s="20"/>
      <c r="D201" s="254"/>
      <c r="E201" s="379">
        <v>135431</v>
      </c>
      <c r="F201" s="395" t="s">
        <v>501</v>
      </c>
      <c r="G201" s="396"/>
      <c r="H201" s="397"/>
      <c r="I201" s="383">
        <v>3873000</v>
      </c>
      <c r="J201" s="398">
        <v>135431</v>
      </c>
      <c r="K201" s="399" t="s">
        <v>71</v>
      </c>
      <c r="L201" s="399" t="s">
        <v>34</v>
      </c>
      <c r="M201" s="399">
        <v>177</v>
      </c>
      <c r="N201" s="356">
        <v>277000</v>
      </c>
      <c r="O201" s="28" t="b">
        <v>1</v>
      </c>
    </row>
    <row r="202" spans="2:15" s="28" customFormat="1" ht="16.5" customHeight="1">
      <c r="B202" s="20"/>
      <c r="C202" s="20"/>
      <c r="D202" s="254"/>
      <c r="E202" s="379">
        <v>135432</v>
      </c>
      <c r="F202" s="395" t="s">
        <v>502</v>
      </c>
      <c r="G202" s="396"/>
      <c r="H202" s="397"/>
      <c r="I202" s="383">
        <v>3962000</v>
      </c>
      <c r="J202" s="398">
        <v>135432</v>
      </c>
      <c r="K202" s="399" t="s">
        <v>71</v>
      </c>
      <c r="L202" s="399" t="s">
        <v>34</v>
      </c>
      <c r="M202" s="399">
        <v>177</v>
      </c>
      <c r="N202" s="356">
        <v>2733000</v>
      </c>
      <c r="O202" s="28" t="b">
        <v>1</v>
      </c>
    </row>
    <row r="203" spans="2:15" s="28" customFormat="1" ht="16.5" customHeight="1">
      <c r="B203" s="20"/>
      <c r="C203" s="20"/>
      <c r="D203" s="254"/>
      <c r="E203" s="379">
        <v>135437</v>
      </c>
      <c r="F203" s="395" t="s">
        <v>503</v>
      </c>
      <c r="G203" s="396"/>
      <c r="H203" s="397"/>
      <c r="I203" s="383">
        <v>3634000</v>
      </c>
      <c r="J203" s="398">
        <v>135437</v>
      </c>
      <c r="K203" s="399" t="s">
        <v>71</v>
      </c>
      <c r="L203" s="399" t="s">
        <v>34</v>
      </c>
      <c r="M203" s="399">
        <v>176.9</v>
      </c>
      <c r="N203" s="356">
        <v>3124000</v>
      </c>
      <c r="O203" s="28" t="b">
        <v>1</v>
      </c>
    </row>
    <row r="204" spans="2:15" s="28" customFormat="1" ht="16.5" customHeight="1">
      <c r="B204" s="20"/>
      <c r="C204" s="20"/>
      <c r="D204" s="254"/>
      <c r="E204" s="379">
        <v>135439</v>
      </c>
      <c r="F204" s="395" t="s">
        <v>504</v>
      </c>
      <c r="G204" s="396"/>
      <c r="H204" s="397"/>
      <c r="I204" s="383">
        <v>4035000</v>
      </c>
      <c r="J204" s="398">
        <v>135439</v>
      </c>
      <c r="K204" s="399" t="s">
        <v>71</v>
      </c>
      <c r="L204" s="399" t="s">
        <v>34</v>
      </c>
      <c r="M204" s="399">
        <v>176.9</v>
      </c>
      <c r="N204" s="356">
        <v>269000</v>
      </c>
      <c r="O204" s="28" t="b">
        <v>1</v>
      </c>
    </row>
    <row r="205" spans="2:15" s="28" customFormat="1" ht="16.5" customHeight="1">
      <c r="B205" s="20"/>
      <c r="C205" s="20"/>
      <c r="D205" s="254"/>
      <c r="E205" s="379">
        <v>135440</v>
      </c>
      <c r="F205" s="395" t="s">
        <v>505</v>
      </c>
      <c r="G205" s="396"/>
      <c r="H205" s="397"/>
      <c r="I205" s="383">
        <v>2915000</v>
      </c>
      <c r="J205" s="398">
        <v>135440</v>
      </c>
      <c r="K205" s="399" t="s">
        <v>71</v>
      </c>
      <c r="L205" s="399" t="s">
        <v>34</v>
      </c>
      <c r="M205" s="399">
        <v>208</v>
      </c>
      <c r="N205" s="356">
        <v>2995000</v>
      </c>
      <c r="O205" s="28" t="b">
        <v>1</v>
      </c>
    </row>
    <row r="206" spans="2:15" s="28" customFormat="1" ht="16.5" customHeight="1">
      <c r="B206" s="20"/>
      <c r="C206" s="20"/>
      <c r="D206" s="254"/>
      <c r="E206" s="379">
        <v>135444</v>
      </c>
      <c r="F206" s="395" t="s">
        <v>507</v>
      </c>
      <c r="G206" s="396"/>
      <c r="H206" s="397"/>
      <c r="I206" s="383">
        <v>4131000</v>
      </c>
      <c r="J206" s="399">
        <v>135444</v>
      </c>
      <c r="K206" s="399" t="s">
        <v>71</v>
      </c>
      <c r="L206" s="399" t="s">
        <v>34</v>
      </c>
      <c r="M206" s="399">
        <v>177</v>
      </c>
      <c r="N206" s="356">
        <v>302000</v>
      </c>
      <c r="O206" s="28" t="b">
        <v>1</v>
      </c>
    </row>
    <row r="207" spans="2:15" s="28" customFormat="1" ht="16.5" customHeight="1">
      <c r="B207" s="20"/>
      <c r="C207" s="20"/>
      <c r="D207" s="254"/>
      <c r="E207" s="379">
        <v>135448</v>
      </c>
      <c r="F207" s="395" t="s">
        <v>508</v>
      </c>
      <c r="G207" s="396"/>
      <c r="H207" s="397"/>
      <c r="I207" s="383">
        <v>3842000</v>
      </c>
      <c r="J207" s="398">
        <v>135448</v>
      </c>
      <c r="K207" s="399" t="s">
        <v>71</v>
      </c>
      <c r="L207" s="399" t="s">
        <v>34</v>
      </c>
      <c r="M207" s="399">
        <v>177</v>
      </c>
      <c r="N207" s="356">
        <v>3255000</v>
      </c>
      <c r="O207" s="28" t="b">
        <v>1</v>
      </c>
    </row>
    <row r="208" spans="2:15" s="28" customFormat="1" ht="16.5" customHeight="1">
      <c r="B208" s="20"/>
      <c r="C208" s="20"/>
      <c r="D208" s="254"/>
      <c r="E208" s="379">
        <v>135449</v>
      </c>
      <c r="F208" s="395" t="s">
        <v>300</v>
      </c>
      <c r="G208" s="396"/>
      <c r="H208" s="397"/>
      <c r="I208" s="383"/>
      <c r="J208" s="398">
        <v>135449</v>
      </c>
      <c r="K208" s="399" t="s">
        <v>73</v>
      </c>
      <c r="L208" s="399" t="s">
        <v>34</v>
      </c>
      <c r="M208" s="399">
        <v>21.1</v>
      </c>
      <c r="N208" s="356">
        <v>3450000</v>
      </c>
      <c r="O208" s="28" t="b">
        <v>1</v>
      </c>
    </row>
    <row r="209" spans="2:15" s="28" customFormat="1" ht="16.5" customHeight="1">
      <c r="B209" s="20"/>
      <c r="C209" s="20"/>
      <c r="D209" s="254"/>
      <c r="E209" s="379">
        <v>135451</v>
      </c>
      <c r="F209" s="395" t="s">
        <v>509</v>
      </c>
      <c r="G209" s="396"/>
      <c r="H209" s="397"/>
      <c r="I209" s="383">
        <v>3847000</v>
      </c>
      <c r="J209" s="398">
        <v>135451</v>
      </c>
      <c r="K209" s="399" t="s">
        <v>71</v>
      </c>
      <c r="L209" s="399" t="s">
        <v>34</v>
      </c>
      <c r="M209" s="399">
        <v>177</v>
      </c>
      <c r="N209" s="356">
        <v>3644000</v>
      </c>
      <c r="O209" s="28" t="b">
        <v>1</v>
      </c>
    </row>
    <row r="210" spans="2:15" s="28" customFormat="1" ht="16.5" customHeight="1">
      <c r="B210" s="20"/>
      <c r="C210" s="20"/>
      <c r="D210" s="254"/>
      <c r="E210" s="379">
        <v>135452</v>
      </c>
      <c r="F210" s="395" t="s">
        <v>510</v>
      </c>
      <c r="G210" s="396"/>
      <c r="H210" s="397"/>
      <c r="I210" s="383">
        <v>2586000</v>
      </c>
      <c r="J210" s="398">
        <v>135452</v>
      </c>
      <c r="K210" s="399" t="s">
        <v>71</v>
      </c>
      <c r="L210" s="399" t="s">
        <v>34</v>
      </c>
      <c r="M210" s="399">
        <v>208</v>
      </c>
      <c r="N210" s="356">
        <v>3124000</v>
      </c>
      <c r="O210" s="28" t="b">
        <v>1</v>
      </c>
    </row>
    <row r="211" spans="2:15" s="28" customFormat="1" ht="16.5" customHeight="1">
      <c r="B211" s="20"/>
      <c r="C211" s="20"/>
      <c r="D211" s="254"/>
      <c r="E211" s="379">
        <v>135453</v>
      </c>
      <c r="F211" s="395" t="s">
        <v>301</v>
      </c>
      <c r="G211" s="396"/>
      <c r="H211" s="397"/>
      <c r="I211" s="383">
        <v>262000</v>
      </c>
      <c r="J211" s="398">
        <v>135453</v>
      </c>
      <c r="K211" s="399" t="s">
        <v>70</v>
      </c>
      <c r="L211" s="399" t="s">
        <v>34</v>
      </c>
      <c r="M211" s="399">
        <v>18.899999999999999</v>
      </c>
      <c r="N211" s="356">
        <v>315000</v>
      </c>
      <c r="O211" s="28" t="b">
        <v>1</v>
      </c>
    </row>
    <row r="212" spans="2:15" s="28" customFormat="1" ht="16.5" customHeight="1">
      <c r="B212" s="20"/>
      <c r="C212" s="20"/>
      <c r="D212" s="254"/>
      <c r="E212" s="379">
        <v>135454</v>
      </c>
      <c r="F212" s="395" t="s">
        <v>511</v>
      </c>
      <c r="G212" s="396"/>
      <c r="H212" s="397"/>
      <c r="I212" s="383">
        <v>2602000</v>
      </c>
      <c r="J212" s="398">
        <v>135454</v>
      </c>
      <c r="K212" s="399" t="s">
        <v>71</v>
      </c>
      <c r="L212" s="399" t="s">
        <v>34</v>
      </c>
      <c r="M212" s="399">
        <v>208</v>
      </c>
      <c r="N212" s="356">
        <v>346000</v>
      </c>
      <c r="O212" s="28" t="b">
        <v>1</v>
      </c>
    </row>
    <row r="213" spans="2:15" s="28" customFormat="1" ht="16.5" customHeight="1">
      <c r="B213" s="20"/>
      <c r="C213" s="20"/>
      <c r="D213" s="254"/>
      <c r="E213" s="379">
        <v>135455</v>
      </c>
      <c r="F213" s="395" t="s">
        <v>302</v>
      </c>
      <c r="G213" s="396"/>
      <c r="H213" s="397"/>
      <c r="I213" s="383">
        <v>282000</v>
      </c>
      <c r="J213" s="398">
        <v>135455</v>
      </c>
      <c r="K213" s="399" t="s">
        <v>70</v>
      </c>
      <c r="L213" s="399" t="s">
        <v>34</v>
      </c>
      <c r="M213" s="399">
        <v>18.899999999999999</v>
      </c>
      <c r="N213" s="356">
        <v>1871000</v>
      </c>
      <c r="O213" s="28" t="b">
        <v>1</v>
      </c>
    </row>
    <row r="214" spans="2:15" s="28" customFormat="1" ht="16.5" customHeight="1">
      <c r="B214" s="20"/>
      <c r="C214" s="20"/>
      <c r="D214" s="254"/>
      <c r="E214" s="379">
        <v>135456</v>
      </c>
      <c r="F214" s="395" t="s">
        <v>512</v>
      </c>
      <c r="G214" s="396"/>
      <c r="H214" s="397"/>
      <c r="I214" s="383">
        <v>2995000</v>
      </c>
      <c r="J214" s="398">
        <v>135456</v>
      </c>
      <c r="K214" s="399" t="s">
        <v>71</v>
      </c>
      <c r="L214" s="399" t="s">
        <v>34</v>
      </c>
      <c r="M214" s="399">
        <v>208</v>
      </c>
      <c r="N214" s="356">
        <v>3473000</v>
      </c>
      <c r="O214" s="28" t="b">
        <v>1</v>
      </c>
    </row>
    <row r="215" spans="2:15" s="28" customFormat="1" ht="16.5" customHeight="1">
      <c r="B215" s="20"/>
      <c r="C215" s="20"/>
      <c r="D215" s="254"/>
      <c r="E215" s="379">
        <v>135457</v>
      </c>
      <c r="F215" s="395" t="s">
        <v>303</v>
      </c>
      <c r="G215" s="396"/>
      <c r="H215" s="397"/>
      <c r="I215" s="383">
        <v>287000</v>
      </c>
      <c r="J215" s="398">
        <v>135457</v>
      </c>
      <c r="K215" s="399" t="s">
        <v>70</v>
      </c>
      <c r="L215" s="399" t="s">
        <v>34</v>
      </c>
      <c r="M215" s="399">
        <v>18.899999999999999</v>
      </c>
      <c r="N215" s="356">
        <v>317000</v>
      </c>
      <c r="O215" s="28" t="b">
        <v>1</v>
      </c>
    </row>
    <row r="216" spans="2:15" s="28" customFormat="1" ht="16.5" customHeight="1">
      <c r="B216" s="20"/>
      <c r="C216" s="20"/>
      <c r="D216" s="254"/>
      <c r="E216" s="379">
        <v>135458</v>
      </c>
      <c r="F216" s="395" t="s">
        <v>420</v>
      </c>
      <c r="G216" s="396"/>
      <c r="H216" s="397"/>
      <c r="I216" s="383">
        <v>2763000</v>
      </c>
      <c r="J216" s="398">
        <v>135458</v>
      </c>
      <c r="K216" s="399" t="s">
        <v>71</v>
      </c>
      <c r="L216" s="399" t="s">
        <v>34</v>
      </c>
      <c r="M216" s="399">
        <v>208</v>
      </c>
      <c r="N216" s="356">
        <v>5049000</v>
      </c>
      <c r="O216" s="28" t="b">
        <v>1</v>
      </c>
    </row>
    <row r="217" spans="2:15" s="28" customFormat="1" ht="16.5" customHeight="1">
      <c r="B217" s="20"/>
      <c r="C217" s="20"/>
      <c r="D217" s="254"/>
      <c r="E217" s="379">
        <v>135460</v>
      </c>
      <c r="F217" s="395" t="s">
        <v>304</v>
      </c>
      <c r="G217" s="396"/>
      <c r="H217" s="397"/>
      <c r="I217" s="383">
        <v>337000</v>
      </c>
      <c r="J217" s="398">
        <v>135460</v>
      </c>
      <c r="K217" s="399" t="s">
        <v>70</v>
      </c>
      <c r="L217" s="399" t="s">
        <v>34</v>
      </c>
      <c r="M217" s="399">
        <v>18.899999999999999</v>
      </c>
      <c r="N217" s="356">
        <v>3873000</v>
      </c>
      <c r="O217" s="28" t="b">
        <v>1</v>
      </c>
    </row>
    <row r="218" spans="2:15" s="28" customFormat="1" ht="16.5" customHeight="1">
      <c r="B218" s="20"/>
      <c r="C218" s="20"/>
      <c r="D218" s="254"/>
      <c r="E218" s="379">
        <v>135461</v>
      </c>
      <c r="F218" s="395" t="s">
        <v>513</v>
      </c>
      <c r="G218" s="396"/>
      <c r="H218" s="397"/>
      <c r="I218" s="383">
        <v>3255000</v>
      </c>
      <c r="J218" s="398">
        <v>135461</v>
      </c>
      <c r="K218" s="399" t="s">
        <v>71</v>
      </c>
      <c r="L218" s="399" t="s">
        <v>34</v>
      </c>
      <c r="M218" s="399">
        <v>208</v>
      </c>
      <c r="N218" s="356">
        <v>3962000</v>
      </c>
      <c r="O218" s="28" t="b">
        <v>1</v>
      </c>
    </row>
    <row r="219" spans="2:15" s="28" customFormat="1" ht="16.5" customHeight="1">
      <c r="B219" s="20"/>
      <c r="C219" s="20"/>
      <c r="D219" s="254"/>
      <c r="E219" s="379">
        <v>135462</v>
      </c>
      <c r="F219" s="395" t="s">
        <v>305</v>
      </c>
      <c r="G219" s="396"/>
      <c r="H219" s="397"/>
      <c r="I219" s="383">
        <v>351000</v>
      </c>
      <c r="J219" s="398">
        <v>135462</v>
      </c>
      <c r="K219" s="399" t="s">
        <v>70</v>
      </c>
      <c r="L219" s="399" t="s">
        <v>34</v>
      </c>
      <c r="M219" s="399">
        <v>18.899999999999999</v>
      </c>
      <c r="N219" s="356">
        <v>3634000</v>
      </c>
      <c r="O219" s="28" t="b">
        <v>1</v>
      </c>
    </row>
    <row r="220" spans="2:15" s="28" customFormat="1" ht="16.5" customHeight="1">
      <c r="B220" s="20"/>
      <c r="C220" s="20"/>
      <c r="D220" s="254"/>
      <c r="E220" s="379">
        <v>135463</v>
      </c>
      <c r="F220" s="395" t="s">
        <v>514</v>
      </c>
      <c r="G220" s="396"/>
      <c r="H220" s="397"/>
      <c r="I220" s="383">
        <v>3383000</v>
      </c>
      <c r="J220" s="398">
        <v>135463</v>
      </c>
      <c r="K220" s="399" t="s">
        <v>71</v>
      </c>
      <c r="L220" s="399" t="s">
        <v>34</v>
      </c>
      <c r="M220" s="399">
        <v>208</v>
      </c>
      <c r="N220" s="356">
        <v>4035000</v>
      </c>
      <c r="O220" s="28" t="b">
        <v>1</v>
      </c>
    </row>
    <row r="221" spans="2:15" s="28" customFormat="1" ht="16.5" customHeight="1">
      <c r="B221" s="20"/>
      <c r="C221" s="20"/>
      <c r="D221" s="254"/>
      <c r="E221" s="379">
        <v>135464</v>
      </c>
      <c r="F221" s="395" t="s">
        <v>306</v>
      </c>
      <c r="G221" s="396"/>
      <c r="H221" s="397"/>
      <c r="I221" s="383">
        <v>364000</v>
      </c>
      <c r="J221" s="398">
        <v>135464</v>
      </c>
      <c r="K221" s="399" t="s">
        <v>70</v>
      </c>
      <c r="L221" s="399" t="s">
        <v>34</v>
      </c>
      <c r="M221" s="399">
        <v>18.899999999999999</v>
      </c>
      <c r="N221" s="356">
        <v>2915000</v>
      </c>
      <c r="O221" s="28" t="b">
        <v>1</v>
      </c>
    </row>
    <row r="222" spans="2:15" s="28" customFormat="1" ht="16.5" customHeight="1">
      <c r="B222" s="20"/>
      <c r="C222" s="20"/>
      <c r="D222" s="254"/>
      <c r="E222" s="379">
        <v>135488</v>
      </c>
      <c r="F222" s="395" t="s">
        <v>240</v>
      </c>
      <c r="G222" s="396"/>
      <c r="H222" s="397"/>
      <c r="I222" s="383">
        <v>47600</v>
      </c>
      <c r="J222" s="398">
        <v>135488</v>
      </c>
      <c r="K222" s="399" t="s">
        <v>70</v>
      </c>
      <c r="L222" s="399" t="s">
        <v>34</v>
      </c>
      <c r="M222" s="399">
        <v>20</v>
      </c>
      <c r="N222" s="356">
        <v>4131000</v>
      </c>
      <c r="O222" s="28" t="b">
        <v>1</v>
      </c>
    </row>
    <row r="223" spans="2:15" s="28" customFormat="1" ht="16.5" customHeight="1">
      <c r="B223" s="20"/>
      <c r="C223" s="20"/>
      <c r="D223" s="254"/>
      <c r="E223" s="379">
        <v>135542</v>
      </c>
      <c r="F223" s="395" t="s">
        <v>307</v>
      </c>
      <c r="G223" s="396"/>
      <c r="H223" s="397"/>
      <c r="I223" s="383">
        <v>69500</v>
      </c>
      <c r="J223" s="398">
        <v>135542</v>
      </c>
      <c r="K223" s="399" t="s">
        <v>70</v>
      </c>
      <c r="L223" s="399" t="s">
        <v>34</v>
      </c>
      <c r="M223" s="399">
        <v>20</v>
      </c>
      <c r="N223" s="356">
        <v>3842000</v>
      </c>
      <c r="O223" s="28" t="b">
        <v>1</v>
      </c>
    </row>
    <row r="224" spans="2:15" s="28" customFormat="1" ht="16.5" customHeight="1">
      <c r="B224" s="20"/>
      <c r="C224" s="20"/>
      <c r="D224" s="254"/>
      <c r="E224" s="379">
        <v>135627</v>
      </c>
      <c r="F224" s="395" t="s">
        <v>36</v>
      </c>
      <c r="G224" s="396"/>
      <c r="H224" s="397"/>
      <c r="I224" s="383">
        <v>4915000</v>
      </c>
      <c r="J224" s="398">
        <v>135627</v>
      </c>
      <c r="K224" s="399" t="s">
        <v>71</v>
      </c>
      <c r="L224" s="399" t="s">
        <v>34</v>
      </c>
      <c r="M224" s="399">
        <v>175</v>
      </c>
      <c r="N224" s="356" t="e">
        <v>#N/A</v>
      </c>
      <c r="O224" s="28" t="e">
        <v>#N/A</v>
      </c>
    </row>
    <row r="225" spans="2:15" s="28" customFormat="1" ht="16.5" customHeight="1">
      <c r="B225" s="20"/>
      <c r="C225" s="20"/>
      <c r="D225" s="254"/>
      <c r="E225" s="379">
        <v>135836</v>
      </c>
      <c r="F225" s="395" t="s">
        <v>66</v>
      </c>
      <c r="G225" s="396"/>
      <c r="H225" s="397"/>
      <c r="I225" s="383">
        <v>3321000</v>
      </c>
      <c r="J225" s="398">
        <v>135836</v>
      </c>
      <c r="K225" s="399" t="s">
        <v>71</v>
      </c>
      <c r="L225" s="399" t="s">
        <v>34</v>
      </c>
      <c r="M225" s="399">
        <v>208</v>
      </c>
      <c r="N225" s="356">
        <v>3847000</v>
      </c>
      <c r="O225" s="28" t="b">
        <v>1</v>
      </c>
    </row>
    <row r="226" spans="2:15" s="28" customFormat="1" ht="16.5" customHeight="1">
      <c r="B226" s="20"/>
      <c r="C226" s="20"/>
      <c r="D226" s="254"/>
      <c r="E226" s="379">
        <v>135877</v>
      </c>
      <c r="F226" s="395" t="s">
        <v>308</v>
      </c>
      <c r="G226" s="396"/>
      <c r="H226" s="397"/>
      <c r="I226" s="383">
        <v>474000</v>
      </c>
      <c r="J226" s="398">
        <v>135877</v>
      </c>
      <c r="K226" s="399" t="s">
        <v>70</v>
      </c>
      <c r="L226" s="399" t="s">
        <v>34</v>
      </c>
      <c r="M226" s="399">
        <v>20</v>
      </c>
      <c r="N226" s="356">
        <v>2586000</v>
      </c>
      <c r="O226" s="28" t="b">
        <v>1</v>
      </c>
    </row>
    <row r="227" spans="2:15" s="28" customFormat="1" ht="16.5" customHeight="1">
      <c r="B227" s="20"/>
      <c r="C227" s="20"/>
      <c r="D227" s="254"/>
      <c r="E227" s="379">
        <v>135916</v>
      </c>
      <c r="F227" s="395" t="s">
        <v>516</v>
      </c>
      <c r="G227" s="396"/>
      <c r="H227" s="397"/>
      <c r="I227" s="383">
        <v>547000</v>
      </c>
      <c r="J227" s="398">
        <v>135916</v>
      </c>
      <c r="K227" s="399" t="s">
        <v>71</v>
      </c>
      <c r="L227" s="399" t="s">
        <v>34</v>
      </c>
      <c r="M227" s="399">
        <v>200</v>
      </c>
      <c r="N227" s="356">
        <v>262000</v>
      </c>
      <c r="O227" s="28" t="b">
        <v>1</v>
      </c>
    </row>
    <row r="228" spans="2:15" s="28" customFormat="1" ht="16.5" customHeight="1">
      <c r="B228" s="20"/>
      <c r="C228" s="20"/>
      <c r="D228" s="254"/>
      <c r="E228" s="379">
        <v>148680</v>
      </c>
      <c r="F228" s="395" t="s">
        <v>45</v>
      </c>
      <c r="G228" s="396"/>
      <c r="H228" s="397"/>
      <c r="I228" s="383">
        <v>850000</v>
      </c>
      <c r="J228" s="398">
        <v>148680</v>
      </c>
      <c r="K228" s="399" t="s">
        <v>71</v>
      </c>
      <c r="L228" s="399" t="s">
        <v>34</v>
      </c>
      <c r="M228" s="399">
        <v>208</v>
      </c>
      <c r="N228" s="356">
        <v>2602000</v>
      </c>
      <c r="O228" s="28" t="b">
        <v>1</v>
      </c>
    </row>
    <row r="229" spans="2:15" s="28" customFormat="1" ht="16.5" customHeight="1">
      <c r="B229" s="20"/>
      <c r="C229" s="20"/>
      <c r="D229" s="254"/>
      <c r="E229" s="379">
        <v>135934</v>
      </c>
      <c r="F229" s="395" t="s">
        <v>309</v>
      </c>
      <c r="G229" s="396"/>
      <c r="H229" s="397"/>
      <c r="I229" s="383">
        <v>183000</v>
      </c>
      <c r="J229" s="398">
        <v>135934</v>
      </c>
      <c r="K229" s="399" t="s">
        <v>70</v>
      </c>
      <c r="L229" s="399" t="s">
        <v>34</v>
      </c>
      <c r="M229" s="399">
        <v>16</v>
      </c>
      <c r="N229" s="356">
        <v>282000</v>
      </c>
      <c r="O229" s="28" t="b">
        <v>1</v>
      </c>
    </row>
    <row r="230" spans="2:15" s="28" customFormat="1" ht="16.5" customHeight="1">
      <c r="B230" s="20"/>
      <c r="C230" s="20"/>
      <c r="D230" s="254"/>
      <c r="E230" s="379">
        <v>135935</v>
      </c>
      <c r="F230" s="395" t="s">
        <v>517</v>
      </c>
      <c r="G230" s="401"/>
      <c r="H230" s="402"/>
      <c r="I230" s="383">
        <v>1871000</v>
      </c>
      <c r="J230" s="398">
        <v>135935</v>
      </c>
      <c r="K230" s="399" t="s">
        <v>71</v>
      </c>
      <c r="L230" s="399" t="s">
        <v>34</v>
      </c>
      <c r="M230" s="399">
        <v>180</v>
      </c>
      <c r="N230" s="356">
        <v>2995000</v>
      </c>
      <c r="O230" s="28" t="b">
        <v>1</v>
      </c>
    </row>
    <row r="231" spans="2:15" s="28" customFormat="1" ht="16.5" customHeight="1">
      <c r="B231" s="20"/>
      <c r="C231" s="20"/>
      <c r="D231" s="254"/>
      <c r="E231" s="379">
        <v>148676</v>
      </c>
      <c r="F231" s="395" t="s">
        <v>520</v>
      </c>
      <c r="G231" s="396"/>
      <c r="H231" s="397"/>
      <c r="I231" s="383">
        <v>645000</v>
      </c>
      <c r="J231" s="398">
        <v>148676</v>
      </c>
      <c r="K231" s="399" t="s">
        <v>71</v>
      </c>
      <c r="L231" s="399" t="s">
        <v>34</v>
      </c>
      <c r="M231" s="399">
        <v>208</v>
      </c>
      <c r="N231" s="356">
        <v>287000</v>
      </c>
      <c r="O231" s="28" t="b">
        <v>1</v>
      </c>
    </row>
    <row r="232" spans="2:15" s="28" customFormat="1" ht="16.5" customHeight="1">
      <c r="B232" s="20"/>
      <c r="C232" s="20"/>
      <c r="D232" s="254"/>
      <c r="E232" s="379">
        <v>136130</v>
      </c>
      <c r="F232" s="395" t="s">
        <v>311</v>
      </c>
      <c r="G232" s="396"/>
      <c r="H232" s="397"/>
      <c r="I232" s="383">
        <v>198000</v>
      </c>
      <c r="J232" s="398">
        <v>136130</v>
      </c>
      <c r="K232" s="399" t="s">
        <v>70</v>
      </c>
      <c r="L232" s="399" t="s">
        <v>34</v>
      </c>
      <c r="M232" s="399">
        <v>16</v>
      </c>
      <c r="N232" s="356">
        <v>2763000</v>
      </c>
      <c r="O232" s="28" t="b">
        <v>1</v>
      </c>
    </row>
    <row r="233" spans="2:15" s="28" customFormat="1" ht="16.5" customHeight="1">
      <c r="B233" s="20"/>
      <c r="C233" s="20"/>
      <c r="D233" s="254"/>
      <c r="E233" s="379">
        <v>136131</v>
      </c>
      <c r="F233" s="395" t="s">
        <v>521</v>
      </c>
      <c r="G233" s="396"/>
      <c r="H233" s="397"/>
      <c r="I233" s="383">
        <v>2166000</v>
      </c>
      <c r="J233" s="398">
        <v>136131</v>
      </c>
      <c r="K233" s="399" t="s">
        <v>71</v>
      </c>
      <c r="L233" s="399" t="s">
        <v>34</v>
      </c>
      <c r="M233" s="399">
        <v>180</v>
      </c>
      <c r="N233" s="356">
        <v>337000</v>
      </c>
      <c r="O233" s="28" t="b">
        <v>1</v>
      </c>
    </row>
    <row r="234" spans="2:15" s="28" customFormat="1" ht="16.5" customHeight="1">
      <c r="B234" s="20"/>
      <c r="C234" s="20"/>
      <c r="D234" s="254"/>
      <c r="E234" s="379">
        <v>136132</v>
      </c>
      <c r="F234" s="395" t="s">
        <v>312</v>
      </c>
      <c r="G234" s="396"/>
      <c r="H234" s="397"/>
      <c r="I234" s="383">
        <v>198000</v>
      </c>
      <c r="J234" s="398">
        <v>136132</v>
      </c>
      <c r="K234" s="399" t="s">
        <v>70</v>
      </c>
      <c r="L234" s="399" t="s">
        <v>34</v>
      </c>
      <c r="M234" s="399">
        <v>16</v>
      </c>
      <c r="N234" s="356">
        <v>3255000</v>
      </c>
      <c r="O234" s="28" t="b">
        <v>1</v>
      </c>
    </row>
    <row r="235" spans="2:15" s="28" customFormat="1" ht="16.5" customHeight="1">
      <c r="B235" s="20"/>
      <c r="C235" s="20"/>
      <c r="D235" s="254"/>
      <c r="E235" s="379">
        <v>136133</v>
      </c>
      <c r="F235" s="395" t="s">
        <v>522</v>
      </c>
      <c r="G235" s="396"/>
      <c r="H235" s="397"/>
      <c r="I235" s="383">
        <v>2222000</v>
      </c>
      <c r="J235" s="398">
        <v>136133</v>
      </c>
      <c r="K235" s="399" t="s">
        <v>71</v>
      </c>
      <c r="L235" s="399" t="s">
        <v>34</v>
      </c>
      <c r="M235" s="399">
        <v>180</v>
      </c>
      <c r="N235" s="356">
        <v>351000</v>
      </c>
      <c r="O235" s="28" t="b">
        <v>1</v>
      </c>
    </row>
    <row r="236" spans="2:15" s="28" customFormat="1" ht="16.5" customHeight="1">
      <c r="B236" s="20"/>
      <c r="C236" s="20"/>
      <c r="D236" s="254"/>
      <c r="E236" s="379">
        <v>136141</v>
      </c>
      <c r="F236" s="395" t="s">
        <v>523</v>
      </c>
      <c r="G236" s="396"/>
      <c r="H236" s="397"/>
      <c r="I236" s="383">
        <v>3527000</v>
      </c>
      <c r="J236" s="398">
        <v>136141</v>
      </c>
      <c r="K236" s="399" t="s">
        <v>71</v>
      </c>
      <c r="L236" s="399" t="s">
        <v>34</v>
      </c>
      <c r="M236" s="399">
        <v>181</v>
      </c>
      <c r="N236" s="356">
        <v>3383000</v>
      </c>
      <c r="O236" s="28" t="b">
        <v>1</v>
      </c>
    </row>
    <row r="237" spans="2:15" s="28" customFormat="1" ht="16.5" customHeight="1">
      <c r="B237" s="20"/>
      <c r="C237" s="20"/>
      <c r="D237" s="254"/>
      <c r="E237" s="379">
        <v>136159</v>
      </c>
      <c r="F237" s="395" t="s">
        <v>525</v>
      </c>
      <c r="G237" s="396"/>
      <c r="H237" s="397"/>
      <c r="I237" s="383">
        <v>4607000</v>
      </c>
      <c r="J237" s="398">
        <v>136159</v>
      </c>
      <c r="K237" s="399" t="s">
        <v>71</v>
      </c>
      <c r="L237" s="399" t="s">
        <v>34</v>
      </c>
      <c r="M237" s="399">
        <v>208</v>
      </c>
      <c r="N237" s="356">
        <v>364000</v>
      </c>
      <c r="O237" s="28" t="b">
        <v>1</v>
      </c>
    </row>
    <row r="238" spans="2:15" s="28" customFormat="1" ht="16.5" customHeight="1">
      <c r="B238" s="20"/>
      <c r="C238" s="20"/>
      <c r="D238" s="254"/>
      <c r="E238" s="379">
        <v>136174</v>
      </c>
      <c r="F238" s="395" t="s">
        <v>526</v>
      </c>
      <c r="G238" s="396"/>
      <c r="H238" s="397"/>
      <c r="I238" s="383">
        <v>630000</v>
      </c>
      <c r="J238" s="398">
        <v>136174</v>
      </c>
      <c r="K238" s="399" t="s">
        <v>71</v>
      </c>
      <c r="L238" s="399" t="s">
        <v>34</v>
      </c>
      <c r="M238" s="399">
        <v>200</v>
      </c>
      <c r="N238" s="356">
        <v>47600</v>
      </c>
      <c r="O238" s="28" t="b">
        <v>1</v>
      </c>
    </row>
    <row r="239" spans="2:15" s="28" customFormat="1" ht="16.5" customHeight="1">
      <c r="B239" s="20"/>
      <c r="C239" s="20"/>
      <c r="D239" s="254"/>
      <c r="E239" s="379">
        <v>136235</v>
      </c>
      <c r="F239" s="395" t="s">
        <v>739</v>
      </c>
      <c r="G239" s="396"/>
      <c r="H239" s="397"/>
      <c r="I239" s="383">
        <v>858000</v>
      </c>
      <c r="J239" s="398">
        <v>136235</v>
      </c>
      <c r="K239" s="399" t="s">
        <v>71</v>
      </c>
      <c r="L239" s="399" t="s">
        <v>34</v>
      </c>
      <c r="M239" s="399">
        <v>208</v>
      </c>
      <c r="N239" s="356">
        <v>69500</v>
      </c>
      <c r="O239" s="28" t="b">
        <v>1</v>
      </c>
    </row>
    <row r="240" spans="2:15" s="28" customFormat="1" ht="16.5" customHeight="1">
      <c r="B240" s="20"/>
      <c r="C240" s="20"/>
      <c r="D240" s="254"/>
      <c r="E240" s="379">
        <v>148678</v>
      </c>
      <c r="F240" s="395" t="s">
        <v>527</v>
      </c>
      <c r="G240" s="396"/>
      <c r="H240" s="397"/>
      <c r="I240" s="383">
        <v>645000</v>
      </c>
      <c r="J240" s="398">
        <v>148678</v>
      </c>
      <c r="K240" s="399" t="s">
        <v>71</v>
      </c>
      <c r="L240" s="399" t="s">
        <v>34</v>
      </c>
      <c r="M240" s="399">
        <v>208</v>
      </c>
      <c r="N240" s="356">
        <v>4915000</v>
      </c>
      <c r="O240" s="28" t="b">
        <v>1</v>
      </c>
    </row>
    <row r="241" spans="2:15" s="28" customFormat="1" ht="16.5" customHeight="1">
      <c r="B241" s="20"/>
      <c r="C241" s="20"/>
      <c r="D241" s="254"/>
      <c r="E241" s="379">
        <v>143561</v>
      </c>
      <c r="F241" s="395" t="s">
        <v>558</v>
      </c>
      <c r="G241" s="396"/>
      <c r="H241" s="397"/>
      <c r="I241" s="383">
        <v>728000</v>
      </c>
      <c r="J241" s="398">
        <v>138959</v>
      </c>
      <c r="K241" s="399" t="s">
        <v>71</v>
      </c>
      <c r="L241" s="399" t="s">
        <v>34</v>
      </c>
      <c r="M241" s="399">
        <v>200</v>
      </c>
      <c r="N241" s="356">
        <v>3321000</v>
      </c>
      <c r="O241" s="28" t="b">
        <v>1</v>
      </c>
    </row>
    <row r="242" spans="2:15" s="28" customFormat="1" ht="16.5" customHeight="1">
      <c r="B242" s="20"/>
      <c r="C242" s="20"/>
      <c r="D242" s="254"/>
      <c r="E242" s="379">
        <v>143560</v>
      </c>
      <c r="F242" s="395" t="s">
        <v>559</v>
      </c>
      <c r="G242" s="396"/>
      <c r="H242" s="397"/>
      <c r="I242" s="383">
        <v>728000</v>
      </c>
      <c r="J242" s="398">
        <v>138960</v>
      </c>
      <c r="K242" s="399" t="s">
        <v>71</v>
      </c>
      <c r="L242" s="399" t="s">
        <v>34</v>
      </c>
      <c r="M242" s="399">
        <v>200</v>
      </c>
      <c r="N242" s="356">
        <v>474000</v>
      </c>
      <c r="O242" s="28" t="b">
        <v>1</v>
      </c>
    </row>
    <row r="243" spans="2:15" s="28" customFormat="1" ht="16.5" customHeight="1">
      <c r="B243" s="20"/>
      <c r="C243" s="20"/>
      <c r="D243" s="254"/>
      <c r="E243" s="379">
        <v>141666</v>
      </c>
      <c r="F243" s="395" t="s">
        <v>560</v>
      </c>
      <c r="G243" s="396"/>
      <c r="H243" s="397"/>
      <c r="I243" s="383">
        <v>755000</v>
      </c>
      <c r="J243" s="398">
        <v>138961</v>
      </c>
      <c r="K243" s="399" t="s">
        <v>71</v>
      </c>
      <c r="L243" s="399" t="s">
        <v>34</v>
      </c>
      <c r="M243" s="399">
        <v>200</v>
      </c>
      <c r="N243" s="356">
        <v>547000</v>
      </c>
      <c r="O243" s="28" t="b">
        <v>1</v>
      </c>
    </row>
    <row r="244" spans="2:15" s="28" customFormat="1" ht="16.5" customHeight="1">
      <c r="B244" s="20"/>
      <c r="C244" s="20"/>
      <c r="D244" s="254"/>
      <c r="E244" s="379">
        <v>138963</v>
      </c>
      <c r="F244" s="395" t="s">
        <v>562</v>
      </c>
      <c r="G244" s="396"/>
      <c r="H244" s="397"/>
      <c r="I244" s="383">
        <v>755000</v>
      </c>
      <c r="J244" s="398">
        <v>138963</v>
      </c>
      <c r="K244" s="399" t="s">
        <v>71</v>
      </c>
      <c r="L244" s="399" t="s">
        <v>34</v>
      </c>
      <c r="M244" s="399">
        <v>200</v>
      </c>
      <c r="N244" s="356">
        <v>850000</v>
      </c>
      <c r="O244" s="28" t="b">
        <v>1</v>
      </c>
    </row>
    <row r="245" spans="2:15" s="28" customFormat="1" ht="16.5" customHeight="1">
      <c r="B245" s="20"/>
      <c r="C245" s="20"/>
      <c r="D245" s="254"/>
      <c r="E245" s="379">
        <v>138964</v>
      </c>
      <c r="F245" s="395" t="s">
        <v>315</v>
      </c>
      <c r="G245" s="396"/>
      <c r="H245" s="397"/>
      <c r="I245" s="383">
        <v>79600</v>
      </c>
      <c r="J245" s="398">
        <v>138964</v>
      </c>
      <c r="K245" s="399" t="s">
        <v>70</v>
      </c>
      <c r="L245" s="399" t="s">
        <v>34</v>
      </c>
      <c r="M245" s="399">
        <v>20</v>
      </c>
      <c r="N245" s="356">
        <v>183000</v>
      </c>
      <c r="O245" s="28" t="b">
        <v>1</v>
      </c>
    </row>
    <row r="246" spans="2:15" s="28" customFormat="1" ht="16.5" customHeight="1">
      <c r="B246" s="20"/>
      <c r="C246" s="20"/>
      <c r="D246" s="254"/>
      <c r="E246" s="379">
        <v>136234</v>
      </c>
      <c r="F246" s="395" t="s">
        <v>316</v>
      </c>
      <c r="G246" s="396"/>
      <c r="H246" s="397"/>
      <c r="I246" s="383">
        <v>94600</v>
      </c>
      <c r="J246" s="398">
        <v>138980</v>
      </c>
      <c r="K246" s="399" t="s">
        <v>70</v>
      </c>
      <c r="L246" s="399" t="s">
        <v>34</v>
      </c>
      <c r="M246" s="399">
        <v>20</v>
      </c>
      <c r="N246" s="356">
        <v>1871000</v>
      </c>
      <c r="O246" s="28" t="b">
        <v>1</v>
      </c>
    </row>
    <row r="247" spans="2:15" s="28" customFormat="1" ht="16.5" customHeight="1">
      <c r="B247" s="20"/>
      <c r="C247" s="20"/>
      <c r="D247" s="254"/>
      <c r="E247" s="379">
        <v>139023</v>
      </c>
      <c r="F247" s="395" t="s">
        <v>569</v>
      </c>
      <c r="G247" s="396"/>
      <c r="H247" s="397"/>
      <c r="I247" s="383">
        <v>893000</v>
      </c>
      <c r="J247" s="398">
        <v>139023</v>
      </c>
      <c r="K247" s="399" t="s">
        <v>71</v>
      </c>
      <c r="L247" s="399" t="s">
        <v>34</v>
      </c>
      <c r="M247" s="399">
        <v>200</v>
      </c>
      <c r="N247" s="356">
        <v>645000</v>
      </c>
      <c r="O247" s="28" t="b">
        <v>1</v>
      </c>
    </row>
    <row r="248" spans="2:15" s="28" customFormat="1" ht="16.5" customHeight="1">
      <c r="B248" s="20"/>
      <c r="C248" s="20"/>
      <c r="D248" s="254"/>
      <c r="E248" s="379">
        <v>139026</v>
      </c>
      <c r="F248" s="395" t="s">
        <v>571</v>
      </c>
      <c r="G248" s="396"/>
      <c r="H248" s="397"/>
      <c r="I248" s="383">
        <v>670000</v>
      </c>
      <c r="J248" s="398">
        <v>139026</v>
      </c>
      <c r="K248" s="399" t="s">
        <v>71</v>
      </c>
      <c r="L248" s="399" t="s">
        <v>34</v>
      </c>
      <c r="M248" s="399">
        <v>200</v>
      </c>
      <c r="N248" s="356">
        <v>198000</v>
      </c>
      <c r="O248" s="28" t="b">
        <v>1</v>
      </c>
    </row>
    <row r="249" spans="2:15" s="28" customFormat="1" ht="16.5" customHeight="1">
      <c r="B249" s="20"/>
      <c r="C249" s="20"/>
      <c r="D249" s="254"/>
      <c r="E249" s="379">
        <v>139027</v>
      </c>
      <c r="F249" s="395" t="s">
        <v>572</v>
      </c>
      <c r="G249" s="396"/>
      <c r="H249" s="397"/>
      <c r="I249" s="383">
        <v>749000</v>
      </c>
      <c r="J249" s="398">
        <v>139027</v>
      </c>
      <c r="K249" s="399" t="s">
        <v>71</v>
      </c>
      <c r="L249" s="399" t="s">
        <v>34</v>
      </c>
      <c r="M249" s="399">
        <v>200</v>
      </c>
      <c r="N249" s="356">
        <v>2166000</v>
      </c>
      <c r="O249" s="28" t="b">
        <v>1</v>
      </c>
    </row>
    <row r="250" spans="2:15" s="28" customFormat="1" ht="16.5" customHeight="1">
      <c r="B250" s="20"/>
      <c r="C250" s="20"/>
      <c r="D250" s="254"/>
      <c r="E250" s="379">
        <v>139028</v>
      </c>
      <c r="F250" s="395" t="s">
        <v>573</v>
      </c>
      <c r="G250" s="396"/>
      <c r="H250" s="397"/>
      <c r="I250" s="383">
        <v>893000</v>
      </c>
      <c r="J250" s="398">
        <v>139028</v>
      </c>
      <c r="K250" s="399" t="s">
        <v>71</v>
      </c>
      <c r="L250" s="399" t="s">
        <v>34</v>
      </c>
      <c r="M250" s="399">
        <v>200</v>
      </c>
      <c r="N250" s="356">
        <v>198000</v>
      </c>
      <c r="O250" s="28" t="b">
        <v>1</v>
      </c>
    </row>
    <row r="251" spans="2:15" s="28" customFormat="1" ht="16.5" customHeight="1">
      <c r="B251" s="20"/>
      <c r="C251" s="20"/>
      <c r="D251" s="254"/>
      <c r="E251" s="379">
        <v>139029</v>
      </c>
      <c r="F251" s="395" t="s">
        <v>574</v>
      </c>
      <c r="G251" s="396"/>
      <c r="H251" s="397"/>
      <c r="I251" s="383">
        <v>535000</v>
      </c>
      <c r="J251" s="398">
        <v>139029</v>
      </c>
      <c r="K251" s="399" t="s">
        <v>71</v>
      </c>
      <c r="L251" s="399" t="s">
        <v>34</v>
      </c>
      <c r="M251" s="399">
        <v>200</v>
      </c>
      <c r="N251" s="356">
        <v>2222000</v>
      </c>
      <c r="O251" s="28" t="b">
        <v>1</v>
      </c>
    </row>
    <row r="252" spans="2:15" s="28" customFormat="1" ht="16.5" customHeight="1">
      <c r="B252" s="20"/>
      <c r="C252" s="20"/>
      <c r="D252" s="254"/>
      <c r="E252" s="379">
        <v>139030</v>
      </c>
      <c r="F252" s="395" t="s">
        <v>236</v>
      </c>
      <c r="G252" s="396"/>
      <c r="H252" s="397"/>
      <c r="I252" s="383">
        <v>54500</v>
      </c>
      <c r="J252" s="398">
        <v>139030</v>
      </c>
      <c r="K252" s="399" t="s">
        <v>70</v>
      </c>
      <c r="L252" s="399" t="s">
        <v>34</v>
      </c>
      <c r="M252" s="399">
        <v>20</v>
      </c>
      <c r="N252" s="356">
        <v>3527000</v>
      </c>
      <c r="O252" s="28" t="b">
        <v>1</v>
      </c>
    </row>
    <row r="253" spans="2:15" s="28" customFormat="1" ht="16.5" customHeight="1">
      <c r="B253" s="20"/>
      <c r="C253" s="20"/>
      <c r="D253" s="254"/>
      <c r="E253" s="379">
        <v>139032</v>
      </c>
      <c r="F253" s="395" t="s">
        <v>322</v>
      </c>
      <c r="G253" s="396"/>
      <c r="H253" s="397"/>
      <c r="I253" s="383">
        <v>371000</v>
      </c>
      <c r="J253" s="398">
        <v>139032</v>
      </c>
      <c r="K253" s="399" t="s">
        <v>70</v>
      </c>
      <c r="L253" s="399" t="s">
        <v>34</v>
      </c>
      <c r="M253" s="399">
        <v>20</v>
      </c>
      <c r="N253" s="356">
        <v>4607000</v>
      </c>
      <c r="O253" s="28" t="b">
        <v>1</v>
      </c>
    </row>
    <row r="254" spans="2:15" s="28" customFormat="1" ht="16.5" customHeight="1">
      <c r="B254" s="20"/>
      <c r="C254" s="20"/>
      <c r="D254" s="254"/>
      <c r="E254" s="379">
        <v>139033</v>
      </c>
      <c r="F254" s="395" t="s">
        <v>323</v>
      </c>
      <c r="G254" s="396"/>
      <c r="H254" s="397"/>
      <c r="I254" s="383">
        <v>392000</v>
      </c>
      <c r="J254" s="398">
        <v>139033</v>
      </c>
      <c r="K254" s="399" t="s">
        <v>70</v>
      </c>
      <c r="L254" s="399" t="s">
        <v>34</v>
      </c>
      <c r="M254" s="399">
        <v>20</v>
      </c>
      <c r="N254" s="356">
        <v>630000</v>
      </c>
      <c r="O254" s="28" t="b">
        <v>1</v>
      </c>
    </row>
    <row r="255" spans="2:15" s="28" customFormat="1" ht="16.5" customHeight="1">
      <c r="B255" s="20"/>
      <c r="C255" s="20"/>
      <c r="D255" s="254"/>
      <c r="E255" s="379">
        <v>139036</v>
      </c>
      <c r="F255" s="395" t="s">
        <v>575</v>
      </c>
      <c r="G255" s="396"/>
      <c r="H255" s="397"/>
      <c r="I255" s="383">
        <v>649000</v>
      </c>
      <c r="J255" s="398">
        <v>139036</v>
      </c>
      <c r="K255" s="399" t="s">
        <v>71</v>
      </c>
      <c r="L255" s="399" t="s">
        <v>34</v>
      </c>
      <c r="M255" s="399">
        <v>200</v>
      </c>
      <c r="N255" s="356">
        <v>858000</v>
      </c>
      <c r="O255" s="28" t="b">
        <v>1</v>
      </c>
    </row>
    <row r="256" spans="2:15" s="28" customFormat="1" ht="16.5" customHeight="1">
      <c r="B256" s="20"/>
      <c r="C256" s="20"/>
      <c r="D256" s="254"/>
      <c r="E256" s="379">
        <v>139037</v>
      </c>
      <c r="F256" s="395" t="s">
        <v>324</v>
      </c>
      <c r="G256" s="396"/>
      <c r="H256" s="397"/>
      <c r="I256" s="383">
        <v>82400</v>
      </c>
      <c r="J256" s="398">
        <v>139037</v>
      </c>
      <c r="K256" s="399" t="s">
        <v>70</v>
      </c>
      <c r="L256" s="399" t="s">
        <v>34</v>
      </c>
      <c r="M256" s="399">
        <v>20</v>
      </c>
      <c r="N256" s="356">
        <v>645000</v>
      </c>
      <c r="O256" s="28" t="b">
        <v>1</v>
      </c>
    </row>
    <row r="257" spans="2:15" s="28" customFormat="1" ht="16.5" customHeight="1">
      <c r="B257" s="20"/>
      <c r="C257" s="20"/>
      <c r="D257" s="254"/>
      <c r="E257" s="379">
        <v>139038</v>
      </c>
      <c r="F257" s="395" t="s">
        <v>576</v>
      </c>
      <c r="G257" s="396"/>
      <c r="H257" s="397"/>
      <c r="I257" s="383">
        <v>746000</v>
      </c>
      <c r="J257" s="398">
        <v>139038</v>
      </c>
      <c r="K257" s="399" t="s">
        <v>71</v>
      </c>
      <c r="L257" s="399" t="s">
        <v>34</v>
      </c>
      <c r="M257" s="399">
        <v>200</v>
      </c>
      <c r="N257" s="356">
        <v>728000</v>
      </c>
      <c r="O257" s="28" t="b">
        <v>1</v>
      </c>
    </row>
    <row r="258" spans="2:15" s="28" customFormat="1" ht="16.5" customHeight="1">
      <c r="B258" s="20"/>
      <c r="C258" s="20"/>
      <c r="D258" s="254"/>
      <c r="E258" s="379">
        <v>139040</v>
      </c>
      <c r="F258" s="395" t="s">
        <v>577</v>
      </c>
      <c r="G258" s="396"/>
      <c r="H258" s="397"/>
      <c r="I258" s="383">
        <v>575000</v>
      </c>
      <c r="J258" s="398">
        <v>139040</v>
      </c>
      <c r="K258" s="399" t="s">
        <v>71</v>
      </c>
      <c r="L258" s="399" t="s">
        <v>34</v>
      </c>
      <c r="M258" s="399">
        <v>200</v>
      </c>
      <c r="N258" s="356">
        <v>728000</v>
      </c>
      <c r="O258" s="28" t="b">
        <v>1</v>
      </c>
    </row>
    <row r="259" spans="2:15" s="28" customFormat="1" ht="16.5" customHeight="1">
      <c r="B259" s="20"/>
      <c r="C259" s="20"/>
      <c r="D259" s="254"/>
      <c r="E259" s="379">
        <v>139041</v>
      </c>
      <c r="F259" s="395" t="s">
        <v>325</v>
      </c>
      <c r="G259" s="396"/>
      <c r="H259" s="397"/>
      <c r="I259" s="383">
        <v>61300</v>
      </c>
      <c r="J259" s="398">
        <v>139041</v>
      </c>
      <c r="K259" s="399" t="s">
        <v>70</v>
      </c>
      <c r="L259" s="399" t="s">
        <v>34</v>
      </c>
      <c r="M259" s="399">
        <v>20</v>
      </c>
      <c r="N259" s="356">
        <v>755000</v>
      </c>
      <c r="O259" s="28" t="b">
        <v>1</v>
      </c>
    </row>
    <row r="260" spans="2:15" s="28" customFormat="1" ht="16.5" customHeight="1">
      <c r="B260" s="20"/>
      <c r="C260" s="20"/>
      <c r="D260" s="254"/>
      <c r="E260" s="379">
        <v>139042</v>
      </c>
      <c r="F260" s="395" t="s">
        <v>578</v>
      </c>
      <c r="G260" s="396"/>
      <c r="H260" s="397"/>
      <c r="I260" s="383">
        <v>575000</v>
      </c>
      <c r="J260" s="398">
        <v>139042</v>
      </c>
      <c r="K260" s="399" t="s">
        <v>71</v>
      </c>
      <c r="L260" s="399" t="s">
        <v>34</v>
      </c>
      <c r="M260" s="399">
        <v>200</v>
      </c>
      <c r="N260" s="356">
        <v>755000</v>
      </c>
      <c r="O260" s="28" t="b">
        <v>1</v>
      </c>
    </row>
    <row r="261" spans="2:15" s="28" customFormat="1" ht="16.5" customHeight="1">
      <c r="B261" s="20"/>
      <c r="C261" s="20"/>
      <c r="D261" s="254"/>
      <c r="E261" s="379">
        <v>139043</v>
      </c>
      <c r="F261" s="395" t="s">
        <v>326</v>
      </c>
      <c r="G261" s="396"/>
      <c r="H261" s="397"/>
      <c r="I261" s="383">
        <v>100000</v>
      </c>
      <c r="J261" s="398">
        <v>139043</v>
      </c>
      <c r="K261" s="399" t="s">
        <v>70</v>
      </c>
      <c r="L261" s="399" t="s">
        <v>34</v>
      </c>
      <c r="M261" s="399">
        <v>20</v>
      </c>
      <c r="N261" s="356">
        <v>79600</v>
      </c>
      <c r="O261" s="28" t="b">
        <v>1</v>
      </c>
    </row>
    <row r="262" spans="2:15" s="28" customFormat="1" ht="16.5" customHeight="1">
      <c r="B262" s="20"/>
      <c r="C262" s="20"/>
      <c r="D262" s="254"/>
      <c r="E262" s="379">
        <v>139044</v>
      </c>
      <c r="F262" s="395" t="s">
        <v>579</v>
      </c>
      <c r="G262" s="396"/>
      <c r="H262" s="397"/>
      <c r="I262" s="383">
        <v>960000</v>
      </c>
      <c r="J262" s="398">
        <v>139044</v>
      </c>
      <c r="K262" s="399" t="s">
        <v>71</v>
      </c>
      <c r="L262" s="399" t="s">
        <v>34</v>
      </c>
      <c r="M262" s="399">
        <v>200</v>
      </c>
      <c r="N262" s="356">
        <v>94600</v>
      </c>
      <c r="O262" s="28" t="b">
        <v>1</v>
      </c>
    </row>
    <row r="263" spans="2:15" s="28" customFormat="1" ht="16.5" customHeight="1">
      <c r="B263" s="20"/>
      <c r="C263" s="20"/>
      <c r="D263" s="254"/>
      <c r="E263" s="379">
        <v>139045</v>
      </c>
      <c r="F263" s="395" t="s">
        <v>327</v>
      </c>
      <c r="G263" s="396"/>
      <c r="H263" s="397"/>
      <c r="I263" s="383">
        <v>100000</v>
      </c>
      <c r="J263" s="398">
        <v>139045</v>
      </c>
      <c r="K263" s="399" t="s">
        <v>70</v>
      </c>
      <c r="L263" s="399" t="s">
        <v>34</v>
      </c>
      <c r="M263" s="399">
        <v>20</v>
      </c>
      <c r="N263" s="356">
        <v>893000</v>
      </c>
      <c r="O263" s="28" t="b">
        <v>1</v>
      </c>
    </row>
    <row r="264" spans="2:15" s="28" customFormat="1" ht="16.5" customHeight="1">
      <c r="B264" s="20"/>
      <c r="C264" s="20"/>
      <c r="D264" s="254"/>
      <c r="E264" s="379">
        <v>139048</v>
      </c>
      <c r="F264" s="395" t="s">
        <v>328</v>
      </c>
      <c r="G264" s="396"/>
      <c r="H264" s="397"/>
      <c r="I264" s="383">
        <v>166000</v>
      </c>
      <c r="J264" s="398">
        <v>139048</v>
      </c>
      <c r="K264" s="399" t="s">
        <v>70</v>
      </c>
      <c r="L264" s="399" t="s">
        <v>34</v>
      </c>
      <c r="M264" s="399">
        <v>20</v>
      </c>
      <c r="N264" s="356">
        <v>670000</v>
      </c>
      <c r="O264" s="28" t="b">
        <v>1</v>
      </c>
    </row>
    <row r="265" spans="2:15" s="28" customFormat="1" ht="16.5" customHeight="1">
      <c r="B265" s="20"/>
      <c r="C265" s="20"/>
      <c r="D265" s="254"/>
      <c r="E265" s="379">
        <v>139049</v>
      </c>
      <c r="F265" s="395" t="s">
        <v>329</v>
      </c>
      <c r="G265" s="396"/>
      <c r="H265" s="397"/>
      <c r="I265" s="383">
        <v>146000</v>
      </c>
      <c r="J265" s="398">
        <v>139049</v>
      </c>
      <c r="K265" s="399" t="s">
        <v>70</v>
      </c>
      <c r="L265" s="399" t="s">
        <v>34</v>
      </c>
      <c r="M265" s="399">
        <v>20</v>
      </c>
      <c r="N265" s="356">
        <v>749000</v>
      </c>
      <c r="O265" s="28" t="b">
        <v>1</v>
      </c>
    </row>
    <row r="266" spans="2:15" s="28" customFormat="1" ht="16.5" customHeight="1">
      <c r="B266" s="20"/>
      <c r="C266" s="20"/>
      <c r="D266" s="254"/>
      <c r="E266" s="379">
        <v>139050</v>
      </c>
      <c r="F266" s="395" t="s">
        <v>330</v>
      </c>
      <c r="G266" s="396"/>
      <c r="H266" s="397"/>
      <c r="I266" s="383"/>
      <c r="J266" s="398">
        <v>139050</v>
      </c>
      <c r="K266" s="399" t="s">
        <v>70</v>
      </c>
      <c r="L266" s="399" t="s">
        <v>34</v>
      </c>
      <c r="M266" s="399">
        <v>20</v>
      </c>
      <c r="N266" s="356">
        <v>893000</v>
      </c>
      <c r="O266" s="28" t="b">
        <v>1</v>
      </c>
    </row>
    <row r="267" spans="2:15" s="28" customFormat="1" ht="16.5" customHeight="1">
      <c r="B267" s="20"/>
      <c r="C267" s="20"/>
      <c r="D267" s="254"/>
      <c r="E267" s="379">
        <v>139051</v>
      </c>
      <c r="F267" s="395" t="s">
        <v>331</v>
      </c>
      <c r="G267" s="396"/>
      <c r="H267" s="397"/>
      <c r="I267" s="383">
        <v>169000</v>
      </c>
      <c r="J267" s="398">
        <v>139051</v>
      </c>
      <c r="K267" s="399" t="s">
        <v>70</v>
      </c>
      <c r="L267" s="399" t="s">
        <v>34</v>
      </c>
      <c r="M267" s="399">
        <v>18.899999999999999</v>
      </c>
      <c r="N267" s="356">
        <v>535000</v>
      </c>
      <c r="O267" s="28" t="b">
        <v>1</v>
      </c>
    </row>
    <row r="268" spans="2:15" s="28" customFormat="1" ht="16.5" customHeight="1">
      <c r="B268" s="20"/>
      <c r="C268" s="20"/>
      <c r="D268" s="254"/>
      <c r="E268" s="379">
        <v>139052</v>
      </c>
      <c r="F268" s="395" t="s">
        <v>582</v>
      </c>
      <c r="G268" s="396"/>
      <c r="H268" s="397"/>
      <c r="I268" s="383"/>
      <c r="J268" s="398">
        <v>139052</v>
      </c>
      <c r="K268" s="399" t="s">
        <v>71</v>
      </c>
      <c r="L268" s="399" t="s">
        <v>34</v>
      </c>
      <c r="M268" s="399">
        <v>200</v>
      </c>
      <c r="N268" s="356">
        <v>54500</v>
      </c>
      <c r="O268" s="28" t="b">
        <v>1</v>
      </c>
    </row>
    <row r="269" spans="2:15" s="28" customFormat="1" ht="16.5" customHeight="1">
      <c r="B269" s="20"/>
      <c r="C269" s="20"/>
      <c r="D269" s="254"/>
      <c r="E269" s="379">
        <v>139057</v>
      </c>
      <c r="F269" s="395" t="s">
        <v>583</v>
      </c>
      <c r="G269" s="396"/>
      <c r="H269" s="397"/>
      <c r="I269" s="383">
        <v>721000</v>
      </c>
      <c r="J269" s="398">
        <v>139057</v>
      </c>
      <c r="K269" s="399" t="s">
        <v>71</v>
      </c>
      <c r="L269" s="399" t="s">
        <v>34</v>
      </c>
      <c r="M269" s="399">
        <v>200</v>
      </c>
      <c r="N269" s="356">
        <v>371000</v>
      </c>
      <c r="O269" s="28" t="b">
        <v>1</v>
      </c>
    </row>
    <row r="270" spans="2:15" s="28" customFormat="1" ht="16.5" customHeight="1">
      <c r="B270" s="20"/>
      <c r="C270" s="20"/>
      <c r="D270" s="254"/>
      <c r="E270" s="379">
        <v>139058</v>
      </c>
      <c r="F270" s="395" t="s">
        <v>584</v>
      </c>
      <c r="G270" s="396"/>
      <c r="H270" s="397"/>
      <c r="I270" s="383">
        <v>893000</v>
      </c>
      <c r="J270" s="398">
        <v>139058</v>
      </c>
      <c r="K270" s="399" t="s">
        <v>71</v>
      </c>
      <c r="L270" s="399" t="s">
        <v>34</v>
      </c>
      <c r="M270" s="399">
        <v>200</v>
      </c>
      <c r="N270" s="356">
        <v>392000</v>
      </c>
      <c r="O270" s="28" t="b">
        <v>1</v>
      </c>
    </row>
    <row r="271" spans="2:15" s="28" customFormat="1" ht="16.5" customHeight="1">
      <c r="B271" s="20"/>
      <c r="C271" s="20"/>
      <c r="D271" s="254"/>
      <c r="E271" s="379">
        <v>139059</v>
      </c>
      <c r="F271" s="395" t="s">
        <v>585</v>
      </c>
      <c r="G271" s="396"/>
      <c r="H271" s="397"/>
      <c r="I271" s="383">
        <v>691000</v>
      </c>
      <c r="J271" s="398">
        <v>139059</v>
      </c>
      <c r="K271" s="399" t="s">
        <v>71</v>
      </c>
      <c r="L271" s="399" t="s">
        <v>34</v>
      </c>
      <c r="M271" s="399">
        <v>200</v>
      </c>
      <c r="N271" s="356">
        <v>649000</v>
      </c>
      <c r="O271" s="28" t="b">
        <v>1</v>
      </c>
    </row>
    <row r="272" spans="2:15" s="28" customFormat="1" ht="16.5" customHeight="1">
      <c r="B272" s="20"/>
      <c r="C272" s="20"/>
      <c r="D272" s="254"/>
      <c r="E272" s="379">
        <v>139061</v>
      </c>
      <c r="F272" s="395" t="s">
        <v>242</v>
      </c>
      <c r="G272" s="396"/>
      <c r="H272" s="397"/>
      <c r="I272" s="383">
        <v>83600</v>
      </c>
      <c r="J272" s="398">
        <v>139061</v>
      </c>
      <c r="K272" s="399" t="s">
        <v>70</v>
      </c>
      <c r="L272" s="399" t="s">
        <v>34</v>
      </c>
      <c r="M272" s="399">
        <v>20</v>
      </c>
      <c r="N272" s="356">
        <v>82400</v>
      </c>
      <c r="O272" s="28" t="b">
        <v>1</v>
      </c>
    </row>
    <row r="273" spans="2:15" s="28" customFormat="1" ht="16.5" customHeight="1">
      <c r="B273" s="20"/>
      <c r="C273" s="20"/>
      <c r="D273" s="254"/>
      <c r="E273" s="379">
        <v>139062</v>
      </c>
      <c r="F273" s="395" t="s">
        <v>586</v>
      </c>
      <c r="G273" s="396"/>
      <c r="H273" s="397"/>
      <c r="I273" s="383">
        <v>687000</v>
      </c>
      <c r="J273" s="398">
        <v>139062</v>
      </c>
      <c r="K273" s="399" t="s">
        <v>71</v>
      </c>
      <c r="L273" s="399" t="s">
        <v>34</v>
      </c>
      <c r="M273" s="399">
        <v>200</v>
      </c>
      <c r="N273" s="356">
        <v>746000</v>
      </c>
      <c r="O273" s="28" t="b">
        <v>1</v>
      </c>
    </row>
    <row r="274" spans="2:15" s="28" customFormat="1" ht="16.5" customHeight="1">
      <c r="B274" s="20"/>
      <c r="C274" s="20"/>
      <c r="D274" s="254"/>
      <c r="E274" s="379">
        <v>139063</v>
      </c>
      <c r="F274" s="395" t="s">
        <v>587</v>
      </c>
      <c r="G274" s="396"/>
      <c r="H274" s="397"/>
      <c r="I274" s="383">
        <v>670000</v>
      </c>
      <c r="J274" s="398">
        <v>139063</v>
      </c>
      <c r="K274" s="399" t="s">
        <v>71</v>
      </c>
      <c r="L274" s="399" t="s">
        <v>34</v>
      </c>
      <c r="M274" s="399">
        <v>200</v>
      </c>
      <c r="N274" s="356">
        <v>575000</v>
      </c>
      <c r="O274" s="28" t="b">
        <v>1</v>
      </c>
    </row>
    <row r="275" spans="2:15" s="28" customFormat="1" ht="16.5" customHeight="1">
      <c r="B275" s="20"/>
      <c r="C275" s="20"/>
      <c r="D275" s="254"/>
      <c r="E275" s="379">
        <v>139064</v>
      </c>
      <c r="F275" s="395" t="s">
        <v>233</v>
      </c>
      <c r="G275" s="396"/>
      <c r="H275" s="397"/>
      <c r="I275" s="383">
        <v>66400</v>
      </c>
      <c r="J275" s="398">
        <v>139064</v>
      </c>
      <c r="K275" s="399" t="s">
        <v>70</v>
      </c>
      <c r="L275" s="399" t="s">
        <v>34</v>
      </c>
      <c r="M275" s="399">
        <v>20</v>
      </c>
      <c r="N275" s="356">
        <v>61300</v>
      </c>
      <c r="O275" s="28" t="b">
        <v>1</v>
      </c>
    </row>
    <row r="276" spans="2:15" s="28" customFormat="1" ht="16.5" customHeight="1">
      <c r="B276" s="20"/>
      <c r="C276" s="20"/>
      <c r="D276" s="254"/>
      <c r="E276" s="379">
        <v>139065</v>
      </c>
      <c r="F276" s="395" t="s">
        <v>588</v>
      </c>
      <c r="G276" s="396"/>
      <c r="H276" s="397"/>
      <c r="I276" s="383">
        <v>685000</v>
      </c>
      <c r="J276" s="398">
        <v>139065</v>
      </c>
      <c r="K276" s="399" t="s">
        <v>71</v>
      </c>
      <c r="L276" s="399" t="s">
        <v>34</v>
      </c>
      <c r="M276" s="399">
        <v>200</v>
      </c>
      <c r="N276" s="356">
        <v>575000</v>
      </c>
      <c r="O276" s="28" t="b">
        <v>1</v>
      </c>
    </row>
    <row r="277" spans="2:15" s="28" customFormat="1" ht="16.5" customHeight="1">
      <c r="B277" s="20"/>
      <c r="C277" s="20"/>
      <c r="D277" s="254"/>
      <c r="E277" s="379">
        <v>139066</v>
      </c>
      <c r="F277" s="395" t="s">
        <v>332</v>
      </c>
      <c r="G277" s="396"/>
      <c r="H277" s="397"/>
      <c r="I277" s="383">
        <v>69100</v>
      </c>
      <c r="J277" s="398">
        <v>139066</v>
      </c>
      <c r="K277" s="399" t="s">
        <v>70</v>
      </c>
      <c r="L277" s="399" t="s">
        <v>34</v>
      </c>
      <c r="M277" s="399">
        <v>20</v>
      </c>
      <c r="N277" s="356">
        <v>100000</v>
      </c>
      <c r="O277" s="28" t="b">
        <v>1</v>
      </c>
    </row>
    <row r="278" spans="2:15" s="28" customFormat="1" ht="16.5" customHeight="1">
      <c r="B278" s="20"/>
      <c r="C278" s="20"/>
      <c r="D278" s="254"/>
      <c r="E278" s="379">
        <v>139067</v>
      </c>
      <c r="F278" s="395" t="s">
        <v>333</v>
      </c>
      <c r="G278" s="396"/>
      <c r="H278" s="397"/>
      <c r="I278" s="383"/>
      <c r="J278" s="398">
        <v>139067</v>
      </c>
      <c r="K278" s="399" t="s">
        <v>70</v>
      </c>
      <c r="L278" s="399" t="s">
        <v>34</v>
      </c>
      <c r="M278" s="399">
        <v>18.899999999999999</v>
      </c>
      <c r="N278" s="356">
        <v>960000</v>
      </c>
      <c r="O278" s="28" t="b">
        <v>1</v>
      </c>
    </row>
    <row r="279" spans="2:15" s="28" customFormat="1" ht="16.5" customHeight="1">
      <c r="B279" s="20"/>
      <c r="C279" s="20"/>
      <c r="D279" s="254"/>
      <c r="E279" s="379">
        <v>139068</v>
      </c>
      <c r="F279" s="395" t="s">
        <v>589</v>
      </c>
      <c r="G279" s="396"/>
      <c r="H279" s="397"/>
      <c r="I279" s="383">
        <v>4688000</v>
      </c>
      <c r="J279" s="398">
        <v>139068</v>
      </c>
      <c r="K279" s="399" t="s">
        <v>71</v>
      </c>
      <c r="L279" s="399" t="s">
        <v>34</v>
      </c>
      <c r="M279" s="399">
        <v>208</v>
      </c>
      <c r="N279" s="356">
        <v>100000</v>
      </c>
      <c r="O279" s="28" t="b">
        <v>1</v>
      </c>
    </row>
    <row r="280" spans="2:15" s="28" customFormat="1" ht="16.5" customHeight="1">
      <c r="B280" s="20"/>
      <c r="C280" s="20"/>
      <c r="D280" s="254"/>
      <c r="E280" s="379">
        <v>139069</v>
      </c>
      <c r="F280" s="395" t="s">
        <v>334</v>
      </c>
      <c r="G280" s="396"/>
      <c r="H280" s="397"/>
      <c r="I280" s="383">
        <v>296000</v>
      </c>
      <c r="J280" s="398">
        <v>139069</v>
      </c>
      <c r="K280" s="399" t="s">
        <v>70</v>
      </c>
      <c r="L280" s="399" t="s">
        <v>34</v>
      </c>
      <c r="M280" s="399">
        <v>20</v>
      </c>
      <c r="N280" s="356">
        <v>166000</v>
      </c>
      <c r="O280" s="28" t="b">
        <v>1</v>
      </c>
    </row>
    <row r="281" spans="2:15" s="28" customFormat="1" ht="16.5" customHeight="1">
      <c r="B281" s="20"/>
      <c r="C281" s="20"/>
      <c r="D281" s="254"/>
      <c r="E281" s="379">
        <v>139070</v>
      </c>
      <c r="F281" s="395" t="s">
        <v>335</v>
      </c>
      <c r="G281" s="396"/>
      <c r="H281" s="397"/>
      <c r="I281" s="383">
        <v>318000</v>
      </c>
      <c r="J281" s="398">
        <v>139070</v>
      </c>
      <c r="K281" s="399" t="s">
        <v>70</v>
      </c>
      <c r="L281" s="399" t="s">
        <v>34</v>
      </c>
      <c r="M281" s="399">
        <v>20</v>
      </c>
      <c r="N281" s="356">
        <v>146000</v>
      </c>
      <c r="O281" s="28" t="b">
        <v>1</v>
      </c>
    </row>
    <row r="282" spans="2:15" s="28" customFormat="1" ht="16.5" customHeight="1">
      <c r="B282" s="20"/>
      <c r="C282" s="20"/>
      <c r="D282" s="254"/>
      <c r="E282" s="379">
        <v>139071</v>
      </c>
      <c r="F282" s="395" t="s">
        <v>590</v>
      </c>
      <c r="G282" s="396"/>
      <c r="H282" s="397"/>
      <c r="I282" s="383">
        <v>746000</v>
      </c>
      <c r="J282" s="398">
        <v>139071</v>
      </c>
      <c r="K282" s="399" t="s">
        <v>71</v>
      </c>
      <c r="L282" s="399" t="s">
        <v>34</v>
      </c>
      <c r="M282" s="399">
        <v>200</v>
      </c>
      <c r="N282" s="356" t="e">
        <v>#N/A</v>
      </c>
      <c r="O282" s="28" t="e">
        <v>#N/A</v>
      </c>
    </row>
    <row r="283" spans="2:15" s="28" customFormat="1" ht="16.5" customHeight="1">
      <c r="B283" s="20"/>
      <c r="C283" s="20"/>
      <c r="D283" s="254"/>
      <c r="E283" s="379">
        <v>139074</v>
      </c>
      <c r="F283" s="395" t="s">
        <v>591</v>
      </c>
      <c r="G283" s="396"/>
      <c r="H283" s="397"/>
      <c r="I283" s="383">
        <v>746000</v>
      </c>
      <c r="J283" s="398">
        <v>139074</v>
      </c>
      <c r="K283" s="399" t="s">
        <v>71</v>
      </c>
      <c r="L283" s="399" t="s">
        <v>34</v>
      </c>
      <c r="M283" s="399">
        <v>200</v>
      </c>
      <c r="N283" s="356">
        <v>169000</v>
      </c>
      <c r="O283" s="28" t="b">
        <v>1</v>
      </c>
    </row>
    <row r="284" spans="2:15" s="28" customFormat="1" ht="16.5" customHeight="1">
      <c r="B284" s="20"/>
      <c r="C284" s="20"/>
      <c r="D284" s="254"/>
      <c r="E284" s="379">
        <v>139075</v>
      </c>
      <c r="F284" s="395" t="s">
        <v>592</v>
      </c>
      <c r="G284" s="396"/>
      <c r="H284" s="397"/>
      <c r="I284" s="383">
        <v>746000</v>
      </c>
      <c r="J284" s="398">
        <v>139075</v>
      </c>
      <c r="K284" s="399" t="s">
        <v>71</v>
      </c>
      <c r="L284" s="399" t="s">
        <v>34</v>
      </c>
      <c r="M284" s="399">
        <v>200</v>
      </c>
      <c r="N284" s="356" t="e">
        <v>#N/A</v>
      </c>
      <c r="O284" s="28" t="e">
        <v>#N/A</v>
      </c>
    </row>
    <row r="285" spans="2:15" s="28" customFormat="1" ht="16.5" customHeight="1">
      <c r="B285" s="20"/>
      <c r="C285" s="20"/>
      <c r="D285" s="254"/>
      <c r="E285" s="379">
        <v>135303</v>
      </c>
      <c r="F285" s="395" t="s">
        <v>336</v>
      </c>
      <c r="G285" s="396"/>
      <c r="H285" s="397"/>
      <c r="I285" s="383">
        <v>370000</v>
      </c>
      <c r="J285" s="398">
        <v>135303</v>
      </c>
      <c r="K285" s="399" t="s">
        <v>70</v>
      </c>
      <c r="L285" s="399" t="s">
        <v>34</v>
      </c>
      <c r="M285" s="399">
        <v>20</v>
      </c>
      <c r="N285" s="356">
        <v>721000</v>
      </c>
      <c r="O285" s="28" t="b">
        <v>1</v>
      </c>
    </row>
    <row r="286" spans="2:15" s="28" customFormat="1" ht="16.5" customHeight="1">
      <c r="B286" s="20"/>
      <c r="C286" s="20"/>
      <c r="D286" s="254"/>
      <c r="E286" s="379">
        <v>139080</v>
      </c>
      <c r="F286" s="395" t="s">
        <v>337</v>
      </c>
      <c r="G286" s="396"/>
      <c r="H286" s="397"/>
      <c r="I286" s="383">
        <v>300000</v>
      </c>
      <c r="J286" s="398">
        <v>139080</v>
      </c>
      <c r="K286" s="399" t="s">
        <v>70</v>
      </c>
      <c r="L286" s="399" t="s">
        <v>34</v>
      </c>
      <c r="M286" s="399">
        <v>20</v>
      </c>
      <c r="N286" s="356">
        <v>893000</v>
      </c>
      <c r="O286" s="28" t="b">
        <v>1</v>
      </c>
    </row>
    <row r="287" spans="2:15" s="28" customFormat="1" ht="16.5" customHeight="1">
      <c r="B287" s="20"/>
      <c r="C287" s="20"/>
      <c r="D287" s="254"/>
      <c r="E287" s="379">
        <v>139082</v>
      </c>
      <c r="F287" s="395" t="s">
        <v>338</v>
      </c>
      <c r="G287" s="396"/>
      <c r="H287" s="397"/>
      <c r="I287" s="383">
        <v>366000</v>
      </c>
      <c r="J287" s="398">
        <v>139082</v>
      </c>
      <c r="K287" s="399" t="s">
        <v>70</v>
      </c>
      <c r="L287" s="399" t="s">
        <v>34</v>
      </c>
      <c r="M287" s="399">
        <v>20</v>
      </c>
      <c r="N287" s="356">
        <v>691000</v>
      </c>
      <c r="O287" s="28" t="b">
        <v>1</v>
      </c>
    </row>
    <row r="288" spans="2:15" s="28" customFormat="1" ht="16.5" customHeight="1">
      <c r="B288" s="20"/>
      <c r="C288" s="20"/>
      <c r="D288" s="254"/>
      <c r="E288" s="379">
        <v>139084</v>
      </c>
      <c r="F288" s="395" t="s">
        <v>243</v>
      </c>
      <c r="G288" s="401"/>
      <c r="H288" s="402"/>
      <c r="I288" s="383">
        <v>58600</v>
      </c>
      <c r="J288" s="399">
        <v>139084</v>
      </c>
      <c r="K288" s="399" t="s">
        <v>70</v>
      </c>
      <c r="L288" s="399" t="s">
        <v>34</v>
      </c>
      <c r="M288" s="399">
        <v>20</v>
      </c>
      <c r="N288" s="356">
        <v>83600</v>
      </c>
      <c r="O288" s="28" t="b">
        <v>1</v>
      </c>
    </row>
    <row r="289" spans="2:15" s="28" customFormat="1" ht="16.5" customHeight="1">
      <c r="B289" s="20"/>
      <c r="C289" s="20"/>
      <c r="D289" s="254"/>
      <c r="E289" s="379">
        <v>139085</v>
      </c>
      <c r="F289" s="395" t="s">
        <v>593</v>
      </c>
      <c r="G289" s="401"/>
      <c r="H289" s="402"/>
      <c r="I289" s="383">
        <v>535000</v>
      </c>
      <c r="J289" s="398">
        <v>139085</v>
      </c>
      <c r="K289" s="399" t="s">
        <v>71</v>
      </c>
      <c r="L289" s="399" t="s">
        <v>34</v>
      </c>
      <c r="M289" s="399">
        <v>200</v>
      </c>
      <c r="N289" s="356">
        <v>687000</v>
      </c>
      <c r="O289" s="28" t="b">
        <v>1</v>
      </c>
    </row>
    <row r="290" spans="2:15" s="28" customFormat="1" ht="16.5" customHeight="1">
      <c r="B290" s="20"/>
      <c r="C290" s="20"/>
      <c r="D290" s="254"/>
      <c r="E290" s="379">
        <v>139086</v>
      </c>
      <c r="F290" s="395" t="s">
        <v>226</v>
      </c>
      <c r="G290" s="401"/>
      <c r="H290" s="402"/>
      <c r="I290" s="383">
        <v>54500</v>
      </c>
      <c r="J290" s="398">
        <v>139086</v>
      </c>
      <c r="K290" s="399" t="s">
        <v>70</v>
      </c>
      <c r="L290" s="399" t="s">
        <v>34</v>
      </c>
      <c r="M290" s="399">
        <v>20</v>
      </c>
      <c r="N290" s="356">
        <v>670000</v>
      </c>
      <c r="O290" s="28" t="b">
        <v>1</v>
      </c>
    </row>
    <row r="291" spans="2:15" s="28" customFormat="1" ht="16.5" customHeight="1">
      <c r="B291" s="20"/>
      <c r="C291" s="20"/>
      <c r="D291" s="254"/>
      <c r="E291" s="379">
        <v>139087</v>
      </c>
      <c r="F291" s="395" t="s">
        <v>594</v>
      </c>
      <c r="G291" s="401"/>
      <c r="H291" s="402"/>
      <c r="I291" s="383">
        <v>547000</v>
      </c>
      <c r="J291" s="398">
        <v>139087</v>
      </c>
      <c r="K291" s="399" t="s">
        <v>71</v>
      </c>
      <c r="L291" s="399" t="s">
        <v>34</v>
      </c>
      <c r="M291" s="399">
        <v>200</v>
      </c>
      <c r="N291" s="356">
        <v>66400</v>
      </c>
      <c r="O291" s="28" t="b">
        <v>1</v>
      </c>
    </row>
    <row r="292" spans="2:15" s="28" customFormat="1" ht="16.5" customHeight="1">
      <c r="B292" s="20"/>
      <c r="C292" s="20"/>
      <c r="D292" s="254"/>
      <c r="E292" s="379">
        <v>139088</v>
      </c>
      <c r="F292" s="395" t="s">
        <v>234</v>
      </c>
      <c r="G292" s="401"/>
      <c r="H292" s="402"/>
      <c r="I292" s="383">
        <v>58600</v>
      </c>
      <c r="J292" s="398">
        <v>139088</v>
      </c>
      <c r="K292" s="399" t="s">
        <v>70</v>
      </c>
      <c r="L292" s="399" t="s">
        <v>34</v>
      </c>
      <c r="M292" s="399">
        <v>20</v>
      </c>
      <c r="N292" s="356">
        <v>685000</v>
      </c>
      <c r="O292" s="28" t="b">
        <v>1</v>
      </c>
    </row>
    <row r="293" spans="2:15" s="28" customFormat="1" ht="16.5" customHeight="1">
      <c r="B293" s="20"/>
      <c r="C293" s="20"/>
      <c r="D293" s="254"/>
      <c r="E293" s="379">
        <v>139089</v>
      </c>
      <c r="F293" s="395" t="s">
        <v>595</v>
      </c>
      <c r="G293" s="401"/>
      <c r="H293" s="402"/>
      <c r="I293" s="383">
        <v>663000</v>
      </c>
      <c r="J293" s="398">
        <v>139089</v>
      </c>
      <c r="K293" s="399" t="s">
        <v>71</v>
      </c>
      <c r="L293" s="399" t="s">
        <v>34</v>
      </c>
      <c r="M293" s="399">
        <v>200</v>
      </c>
      <c r="N293" s="356">
        <v>69100</v>
      </c>
      <c r="O293" s="28" t="b">
        <v>1</v>
      </c>
    </row>
    <row r="294" spans="2:15" s="28" customFormat="1" ht="16.5" customHeight="1">
      <c r="B294" s="20"/>
      <c r="C294" s="20"/>
      <c r="D294" s="254"/>
      <c r="E294" s="379">
        <v>139090</v>
      </c>
      <c r="F294" s="395" t="s">
        <v>596</v>
      </c>
      <c r="G294" s="396"/>
      <c r="H294" s="397"/>
      <c r="I294" s="383">
        <v>626000</v>
      </c>
      <c r="J294" s="398">
        <v>139090</v>
      </c>
      <c r="K294" s="399" t="s">
        <v>71</v>
      </c>
      <c r="L294" s="399" t="s">
        <v>34</v>
      </c>
      <c r="M294" s="399">
        <v>200</v>
      </c>
      <c r="N294" s="356" t="e">
        <v>#N/A</v>
      </c>
      <c r="O294" s="28" t="e">
        <v>#N/A</v>
      </c>
    </row>
    <row r="295" spans="2:15" s="28" customFormat="1" ht="16.5" customHeight="1">
      <c r="B295" s="20"/>
      <c r="C295" s="20"/>
      <c r="D295" s="254"/>
      <c r="E295" s="379">
        <v>139091</v>
      </c>
      <c r="F295" s="395" t="s">
        <v>597</v>
      </c>
      <c r="G295" s="401"/>
      <c r="H295" s="402"/>
      <c r="I295" s="383">
        <v>508000</v>
      </c>
      <c r="J295" s="399">
        <v>139091</v>
      </c>
      <c r="K295" s="399" t="s">
        <v>71</v>
      </c>
      <c r="L295" s="399" t="s">
        <v>34</v>
      </c>
      <c r="M295" s="399">
        <v>200</v>
      </c>
      <c r="N295" s="356">
        <v>4688000</v>
      </c>
      <c r="O295" s="28" t="b">
        <v>1</v>
      </c>
    </row>
    <row r="296" spans="2:15" s="28" customFormat="1" ht="16.5" customHeight="1">
      <c r="B296" s="20"/>
      <c r="C296" s="20"/>
      <c r="D296" s="254"/>
      <c r="E296" s="379">
        <v>139092</v>
      </c>
      <c r="F296" s="395" t="s">
        <v>598</v>
      </c>
      <c r="G296" s="401"/>
      <c r="H296" s="402"/>
      <c r="I296" s="383">
        <v>907000</v>
      </c>
      <c r="J296" s="398">
        <v>139092</v>
      </c>
      <c r="K296" s="399" t="s">
        <v>71</v>
      </c>
      <c r="L296" s="399" t="s">
        <v>34</v>
      </c>
      <c r="M296" s="399">
        <v>200</v>
      </c>
      <c r="N296" s="356">
        <v>296000</v>
      </c>
      <c r="O296" s="28" t="b">
        <v>1</v>
      </c>
    </row>
    <row r="297" spans="2:15" s="28" customFormat="1" ht="16.5" customHeight="1">
      <c r="B297" s="20"/>
      <c r="C297" s="20"/>
      <c r="D297" s="254"/>
      <c r="E297" s="379">
        <v>139094</v>
      </c>
      <c r="F297" s="395" t="s">
        <v>599</v>
      </c>
      <c r="G297" s="401"/>
      <c r="H297" s="402"/>
      <c r="I297" s="383">
        <v>781000</v>
      </c>
      <c r="J297" s="398">
        <v>139094</v>
      </c>
      <c r="K297" s="399" t="s">
        <v>71</v>
      </c>
      <c r="L297" s="399" t="s">
        <v>34</v>
      </c>
      <c r="M297" s="399">
        <v>200</v>
      </c>
      <c r="N297" s="356">
        <v>318000</v>
      </c>
      <c r="O297" s="28" t="b">
        <v>1</v>
      </c>
    </row>
    <row r="298" spans="2:15" s="28" customFormat="1" ht="16.5" customHeight="1">
      <c r="B298" s="20"/>
      <c r="C298" s="20"/>
      <c r="D298" s="254"/>
      <c r="E298" s="379">
        <v>139095</v>
      </c>
      <c r="F298" s="395" t="s">
        <v>600</v>
      </c>
      <c r="G298" s="401"/>
      <c r="H298" s="402"/>
      <c r="I298" s="383">
        <v>843000</v>
      </c>
      <c r="J298" s="398">
        <v>139095</v>
      </c>
      <c r="K298" s="399" t="s">
        <v>71</v>
      </c>
      <c r="L298" s="399" t="s">
        <v>34</v>
      </c>
      <c r="M298" s="399">
        <v>200</v>
      </c>
      <c r="N298" s="356">
        <v>746000</v>
      </c>
      <c r="O298" s="28" t="b">
        <v>1</v>
      </c>
    </row>
    <row r="299" spans="2:15" s="28" customFormat="1" ht="16.5" customHeight="1">
      <c r="B299" s="20"/>
      <c r="C299" s="20"/>
      <c r="D299" s="254"/>
      <c r="E299" s="379">
        <v>139096</v>
      </c>
      <c r="F299" s="395" t="s">
        <v>339</v>
      </c>
      <c r="G299" s="401"/>
      <c r="H299" s="402"/>
      <c r="I299" s="383">
        <v>89700</v>
      </c>
      <c r="J299" s="398">
        <v>139096</v>
      </c>
      <c r="K299" s="399" t="s">
        <v>70</v>
      </c>
      <c r="L299" s="399" t="s">
        <v>34</v>
      </c>
      <c r="M299" s="399">
        <v>20</v>
      </c>
      <c r="N299" s="356">
        <v>746000</v>
      </c>
      <c r="O299" s="28" t="b">
        <v>1</v>
      </c>
    </row>
    <row r="300" spans="2:15" s="28" customFormat="1" ht="16.5" customHeight="1">
      <c r="B300" s="20"/>
      <c r="C300" s="20"/>
      <c r="D300" s="254"/>
      <c r="E300" s="379">
        <v>139097</v>
      </c>
      <c r="F300" s="395" t="s">
        <v>601</v>
      </c>
      <c r="G300" s="401"/>
      <c r="H300" s="402"/>
      <c r="I300" s="383">
        <v>987000</v>
      </c>
      <c r="J300" s="398">
        <v>139097</v>
      </c>
      <c r="K300" s="399" t="s">
        <v>71</v>
      </c>
      <c r="L300" s="399" t="s">
        <v>34</v>
      </c>
      <c r="M300" s="399">
        <v>200</v>
      </c>
      <c r="N300" s="356">
        <v>746000</v>
      </c>
      <c r="O300" s="28" t="b">
        <v>1</v>
      </c>
    </row>
    <row r="301" spans="2:15" s="28" customFormat="1" ht="16.5" customHeight="1">
      <c r="B301" s="20"/>
      <c r="C301" s="20"/>
      <c r="D301" s="254"/>
      <c r="E301" s="379">
        <v>139099</v>
      </c>
      <c r="F301" s="395" t="s">
        <v>602</v>
      </c>
      <c r="G301" s="396"/>
      <c r="H301" s="397"/>
      <c r="I301" s="383">
        <v>637000</v>
      </c>
      <c r="J301" s="398">
        <v>139099</v>
      </c>
      <c r="K301" s="399" t="s">
        <v>71</v>
      </c>
      <c r="L301" s="399" t="s">
        <v>34</v>
      </c>
      <c r="M301" s="399">
        <v>200</v>
      </c>
      <c r="N301" s="356">
        <v>370000</v>
      </c>
      <c r="O301" s="28" t="b">
        <v>1</v>
      </c>
    </row>
    <row r="302" spans="2:15" s="28" customFormat="1" ht="16.5" customHeight="1">
      <c r="B302" s="20"/>
      <c r="C302" s="20"/>
      <c r="D302" s="254"/>
      <c r="E302" s="379">
        <v>139101</v>
      </c>
      <c r="F302" s="395" t="s">
        <v>603</v>
      </c>
      <c r="G302" s="396"/>
      <c r="H302" s="397"/>
      <c r="I302" s="383">
        <v>616000</v>
      </c>
      <c r="J302" s="398">
        <v>139101</v>
      </c>
      <c r="K302" s="399" t="s">
        <v>71</v>
      </c>
      <c r="L302" s="399" t="s">
        <v>34</v>
      </c>
      <c r="M302" s="399">
        <v>200</v>
      </c>
      <c r="N302" s="356">
        <v>300000</v>
      </c>
      <c r="O302" s="28" t="b">
        <v>1</v>
      </c>
    </row>
    <row r="303" spans="2:15" s="28" customFormat="1" ht="16.5" customHeight="1">
      <c r="B303" s="20"/>
      <c r="C303" s="20"/>
      <c r="D303" s="254"/>
      <c r="E303" s="379">
        <v>139103</v>
      </c>
      <c r="F303" s="395" t="s">
        <v>604</v>
      </c>
      <c r="G303" s="396"/>
      <c r="H303" s="397"/>
      <c r="I303" s="383">
        <v>564000</v>
      </c>
      <c r="J303" s="398">
        <v>139103</v>
      </c>
      <c r="K303" s="399" t="s">
        <v>71</v>
      </c>
      <c r="L303" s="399" t="s">
        <v>34</v>
      </c>
      <c r="M303" s="399">
        <v>200</v>
      </c>
      <c r="N303" s="356">
        <v>366000</v>
      </c>
      <c r="O303" s="28" t="b">
        <v>1</v>
      </c>
    </row>
    <row r="304" spans="2:15" s="28" customFormat="1" ht="16.5" customHeight="1">
      <c r="B304" s="20"/>
      <c r="C304" s="20"/>
      <c r="D304" s="254"/>
      <c r="E304" s="379">
        <v>139105</v>
      </c>
      <c r="F304" s="395" t="s">
        <v>605</v>
      </c>
      <c r="G304" s="396"/>
      <c r="H304" s="397"/>
      <c r="I304" s="383">
        <v>628000</v>
      </c>
      <c r="J304" s="398">
        <v>139105</v>
      </c>
      <c r="K304" s="399" t="s">
        <v>71</v>
      </c>
      <c r="L304" s="399" t="s">
        <v>34</v>
      </c>
      <c r="M304" s="399">
        <v>200</v>
      </c>
      <c r="N304" s="356">
        <v>58600</v>
      </c>
      <c r="O304" s="28" t="b">
        <v>1</v>
      </c>
    </row>
    <row r="305" spans="2:15" s="28" customFormat="1" ht="16.5" customHeight="1">
      <c r="B305" s="20"/>
      <c r="C305" s="20"/>
      <c r="D305" s="254"/>
      <c r="E305" s="379">
        <v>139106</v>
      </c>
      <c r="F305" s="395" t="s">
        <v>340</v>
      </c>
      <c r="G305" s="396"/>
      <c r="H305" s="397"/>
      <c r="I305" s="383">
        <v>76400</v>
      </c>
      <c r="J305" s="398">
        <v>139106</v>
      </c>
      <c r="K305" s="399" t="s">
        <v>70</v>
      </c>
      <c r="L305" s="399" t="s">
        <v>34</v>
      </c>
      <c r="M305" s="399">
        <v>20</v>
      </c>
      <c r="N305" s="356">
        <v>535000</v>
      </c>
      <c r="O305" s="28" t="b">
        <v>1</v>
      </c>
    </row>
    <row r="306" spans="2:15" s="28" customFormat="1" ht="16.5" customHeight="1">
      <c r="B306" s="20"/>
      <c r="C306" s="20"/>
      <c r="D306" s="254"/>
      <c r="E306" s="379">
        <v>139107</v>
      </c>
      <c r="F306" s="395" t="s">
        <v>606</v>
      </c>
      <c r="G306" s="396"/>
      <c r="H306" s="397"/>
      <c r="I306" s="383">
        <v>630000</v>
      </c>
      <c r="J306" s="398">
        <v>139107</v>
      </c>
      <c r="K306" s="399" t="s">
        <v>71</v>
      </c>
      <c r="L306" s="399" t="s">
        <v>34</v>
      </c>
      <c r="M306" s="399">
        <v>200</v>
      </c>
      <c r="N306" s="356">
        <v>54500</v>
      </c>
      <c r="O306" s="28" t="b">
        <v>1</v>
      </c>
    </row>
    <row r="307" spans="2:15" s="28" customFormat="1" ht="16.5" customHeight="1">
      <c r="B307" s="20"/>
      <c r="C307" s="20"/>
      <c r="D307" s="254"/>
      <c r="E307" s="379">
        <v>139108</v>
      </c>
      <c r="F307" s="395" t="s">
        <v>341</v>
      </c>
      <c r="G307" s="396"/>
      <c r="H307" s="397"/>
      <c r="I307" s="383" t="e">
        <v>#N/A</v>
      </c>
      <c r="J307" s="398">
        <v>139108</v>
      </c>
      <c r="K307" s="399" t="s">
        <v>70</v>
      </c>
      <c r="L307" s="399" t="s">
        <v>34</v>
      </c>
      <c r="M307" s="399">
        <v>20</v>
      </c>
      <c r="N307" s="356">
        <v>547000</v>
      </c>
      <c r="O307" s="28" t="b">
        <v>1</v>
      </c>
    </row>
    <row r="308" spans="2:15" s="28" customFormat="1" ht="16.5" customHeight="1">
      <c r="B308" s="20"/>
      <c r="C308" s="20"/>
      <c r="D308" s="254"/>
      <c r="E308" s="379">
        <v>139109</v>
      </c>
      <c r="F308" s="395" t="s">
        <v>607</v>
      </c>
      <c r="G308" s="396"/>
      <c r="H308" s="397"/>
      <c r="I308" s="383">
        <v>593000</v>
      </c>
      <c r="J308" s="398">
        <v>139109</v>
      </c>
      <c r="K308" s="399" t="s">
        <v>71</v>
      </c>
      <c r="L308" s="399" t="s">
        <v>34</v>
      </c>
      <c r="M308" s="399">
        <v>200</v>
      </c>
      <c r="N308" s="356">
        <v>58600</v>
      </c>
      <c r="O308" s="28" t="b">
        <v>1</v>
      </c>
    </row>
    <row r="309" spans="2:15" s="28" customFormat="1" ht="16.5" customHeight="1">
      <c r="B309" s="20"/>
      <c r="C309" s="20"/>
      <c r="D309" s="254"/>
      <c r="E309" s="379">
        <v>139110</v>
      </c>
      <c r="F309" s="395" t="s">
        <v>342</v>
      </c>
      <c r="G309" s="396"/>
      <c r="H309" s="397"/>
      <c r="I309" s="383">
        <v>72300</v>
      </c>
      <c r="J309" s="398">
        <v>139110</v>
      </c>
      <c r="K309" s="399" t="s">
        <v>70</v>
      </c>
      <c r="L309" s="399" t="s">
        <v>34</v>
      </c>
      <c r="M309" s="399">
        <v>20</v>
      </c>
      <c r="N309" s="356">
        <v>663000</v>
      </c>
      <c r="O309" s="28" t="b">
        <v>1</v>
      </c>
    </row>
    <row r="310" spans="2:15" s="28" customFormat="1" ht="16.5" customHeight="1">
      <c r="B310" s="20"/>
      <c r="C310" s="20"/>
      <c r="D310" s="254"/>
      <c r="E310" s="379">
        <v>139111</v>
      </c>
      <c r="F310" s="395" t="s">
        <v>608</v>
      </c>
      <c r="G310" s="396"/>
      <c r="H310" s="397"/>
      <c r="I310" s="383">
        <v>654000</v>
      </c>
      <c r="J310" s="398">
        <v>139111</v>
      </c>
      <c r="K310" s="399" t="s">
        <v>71</v>
      </c>
      <c r="L310" s="399" t="s">
        <v>34</v>
      </c>
      <c r="M310" s="399">
        <v>200</v>
      </c>
      <c r="N310" s="356">
        <v>626000</v>
      </c>
      <c r="O310" s="28" t="b">
        <v>1</v>
      </c>
    </row>
    <row r="311" spans="2:15" s="28" customFormat="1" ht="16.5" customHeight="1">
      <c r="B311" s="20"/>
      <c r="C311" s="20"/>
      <c r="D311" s="254"/>
      <c r="E311" s="379">
        <v>139112</v>
      </c>
      <c r="F311" s="395" t="s">
        <v>343</v>
      </c>
      <c r="G311" s="396"/>
      <c r="H311" s="397"/>
      <c r="I311" s="383">
        <v>465000</v>
      </c>
      <c r="J311" s="398">
        <v>139112</v>
      </c>
      <c r="K311" s="399" t="s">
        <v>70</v>
      </c>
      <c r="L311" s="399" t="s">
        <v>34</v>
      </c>
      <c r="M311" s="399">
        <v>20</v>
      </c>
      <c r="N311" s="356">
        <v>508000</v>
      </c>
      <c r="O311" s="28" t="b">
        <v>1</v>
      </c>
    </row>
    <row r="312" spans="2:15" s="28" customFormat="1" ht="16.5" customHeight="1">
      <c r="B312" s="20"/>
      <c r="C312" s="20"/>
      <c r="D312" s="254"/>
      <c r="E312" s="379">
        <v>139113</v>
      </c>
      <c r="F312" s="395" t="s">
        <v>344</v>
      </c>
      <c r="G312" s="396"/>
      <c r="H312" s="397"/>
      <c r="I312" s="383">
        <v>364000</v>
      </c>
      <c r="J312" s="398">
        <v>139113</v>
      </c>
      <c r="K312" s="399" t="s">
        <v>70</v>
      </c>
      <c r="L312" s="399" t="s">
        <v>34</v>
      </c>
      <c r="M312" s="399">
        <v>20</v>
      </c>
      <c r="N312" s="356">
        <v>907000</v>
      </c>
      <c r="O312" s="28" t="b">
        <v>1</v>
      </c>
    </row>
    <row r="313" spans="2:15" s="28" customFormat="1" ht="16.5" customHeight="1">
      <c r="B313" s="20"/>
      <c r="C313" s="20"/>
      <c r="D313" s="254"/>
      <c r="E313" s="379">
        <v>139118</v>
      </c>
      <c r="F313" s="395" t="s">
        <v>609</v>
      </c>
      <c r="G313" s="396"/>
      <c r="H313" s="397"/>
      <c r="I313" s="383">
        <v>952000</v>
      </c>
      <c r="J313" s="398">
        <v>139118</v>
      </c>
      <c r="K313" s="399" t="s">
        <v>71</v>
      </c>
      <c r="L313" s="399" t="s">
        <v>34</v>
      </c>
      <c r="M313" s="399">
        <v>200</v>
      </c>
      <c r="N313" s="356">
        <v>781000</v>
      </c>
      <c r="O313" s="28" t="b">
        <v>1</v>
      </c>
    </row>
    <row r="314" spans="2:15" s="28" customFormat="1" ht="16.5" customHeight="1">
      <c r="B314" s="20"/>
      <c r="C314" s="20"/>
      <c r="D314" s="254"/>
      <c r="E314" s="379">
        <v>139121</v>
      </c>
      <c r="F314" s="395" t="s">
        <v>610</v>
      </c>
      <c r="G314" s="396"/>
      <c r="H314" s="397"/>
      <c r="I314" s="383">
        <v>952000</v>
      </c>
      <c r="J314" s="398">
        <v>139121</v>
      </c>
      <c r="K314" s="399" t="s">
        <v>71</v>
      </c>
      <c r="L314" s="399" t="s">
        <v>34</v>
      </c>
      <c r="M314" s="399">
        <v>200</v>
      </c>
      <c r="N314" s="356">
        <v>843000</v>
      </c>
      <c r="O314" s="28" t="b">
        <v>1</v>
      </c>
    </row>
    <row r="315" spans="2:15" s="28" customFormat="1" ht="16.5" customHeight="1">
      <c r="B315" s="20"/>
      <c r="C315" s="20"/>
      <c r="D315" s="254"/>
      <c r="E315" s="379">
        <v>139123</v>
      </c>
      <c r="F315" s="395" t="s">
        <v>611</v>
      </c>
      <c r="G315" s="396"/>
      <c r="H315" s="397"/>
      <c r="I315" s="383">
        <v>952000</v>
      </c>
      <c r="J315" s="398">
        <v>139123</v>
      </c>
      <c r="K315" s="399" t="s">
        <v>71</v>
      </c>
      <c r="L315" s="399" t="s">
        <v>34</v>
      </c>
      <c r="M315" s="399">
        <v>200</v>
      </c>
      <c r="N315" s="356">
        <v>89700</v>
      </c>
      <c r="O315" s="28" t="b">
        <v>1</v>
      </c>
    </row>
    <row r="316" spans="2:15" s="28" customFormat="1" ht="16.5" customHeight="1">
      <c r="B316" s="20"/>
      <c r="C316" s="20"/>
      <c r="D316" s="254"/>
      <c r="E316" s="379">
        <v>139125</v>
      </c>
      <c r="F316" s="395" t="s">
        <v>612</v>
      </c>
      <c r="G316" s="396"/>
      <c r="H316" s="397"/>
      <c r="I316" s="383">
        <v>618000</v>
      </c>
      <c r="J316" s="398">
        <v>139125</v>
      </c>
      <c r="K316" s="399" t="s">
        <v>71</v>
      </c>
      <c r="L316" s="399" t="s">
        <v>34</v>
      </c>
      <c r="M316" s="399">
        <v>200</v>
      </c>
      <c r="N316" s="356">
        <v>987000</v>
      </c>
      <c r="O316" s="28" t="b">
        <v>1</v>
      </c>
    </row>
    <row r="317" spans="2:15" s="28" customFormat="1" ht="16.5" customHeight="1">
      <c r="B317" s="20"/>
      <c r="C317" s="20"/>
      <c r="D317" s="254"/>
      <c r="E317" s="379">
        <v>139127</v>
      </c>
      <c r="F317" s="395" t="s">
        <v>244</v>
      </c>
      <c r="G317" s="396"/>
      <c r="H317" s="397"/>
      <c r="I317" s="383">
        <v>71000</v>
      </c>
      <c r="J317" s="398">
        <v>139127</v>
      </c>
      <c r="K317" s="399" t="s">
        <v>70</v>
      </c>
      <c r="L317" s="399" t="s">
        <v>34</v>
      </c>
      <c r="M317" s="399">
        <v>20</v>
      </c>
      <c r="N317" s="356">
        <v>637000</v>
      </c>
      <c r="O317" s="28" t="b">
        <v>1</v>
      </c>
    </row>
    <row r="318" spans="2:15" s="28" customFormat="1" ht="16.5" customHeight="1">
      <c r="B318" s="20"/>
      <c r="C318" s="20"/>
      <c r="D318" s="254"/>
      <c r="E318" s="379">
        <v>139128</v>
      </c>
      <c r="F318" s="395" t="s">
        <v>613</v>
      </c>
      <c r="G318" s="396"/>
      <c r="H318" s="397"/>
      <c r="I318" s="383">
        <v>607000</v>
      </c>
      <c r="J318" s="398">
        <v>139128</v>
      </c>
      <c r="K318" s="399" t="s">
        <v>71</v>
      </c>
      <c r="L318" s="399" t="s">
        <v>34</v>
      </c>
      <c r="M318" s="399">
        <v>200</v>
      </c>
      <c r="N318" s="356">
        <v>616000</v>
      </c>
      <c r="O318" s="28" t="b">
        <v>1</v>
      </c>
    </row>
    <row r="319" spans="2:15" s="28" customFormat="1" ht="16.5" customHeight="1">
      <c r="B319" s="20"/>
      <c r="C319" s="20"/>
      <c r="D319" s="254"/>
      <c r="E319" s="379">
        <v>139129</v>
      </c>
      <c r="F319" s="395" t="s">
        <v>245</v>
      </c>
      <c r="G319" s="396"/>
      <c r="H319" s="397"/>
      <c r="I319" s="383">
        <v>69800</v>
      </c>
      <c r="J319" s="398">
        <v>139129</v>
      </c>
      <c r="K319" s="399" t="s">
        <v>70</v>
      </c>
      <c r="L319" s="399" t="s">
        <v>34</v>
      </c>
      <c r="M319" s="399">
        <v>20</v>
      </c>
      <c r="N319" s="356">
        <v>564000</v>
      </c>
      <c r="O319" s="28" t="b">
        <v>1</v>
      </c>
    </row>
    <row r="320" spans="2:15" s="28" customFormat="1" ht="16.5" customHeight="1">
      <c r="B320" s="20"/>
      <c r="C320" s="20"/>
      <c r="D320" s="254"/>
      <c r="E320" s="379">
        <v>139130</v>
      </c>
      <c r="F320" s="395" t="s">
        <v>614</v>
      </c>
      <c r="G320" s="396"/>
      <c r="H320" s="397"/>
      <c r="I320" s="383">
        <v>623000</v>
      </c>
      <c r="J320" s="398">
        <v>139130</v>
      </c>
      <c r="K320" s="399" t="s">
        <v>71</v>
      </c>
      <c r="L320" s="399" t="s">
        <v>34</v>
      </c>
      <c r="M320" s="399">
        <v>200</v>
      </c>
      <c r="N320" s="356">
        <v>628000</v>
      </c>
      <c r="O320" s="28" t="b">
        <v>1</v>
      </c>
    </row>
    <row r="321" spans="2:15" s="28" customFormat="1" ht="16.5" customHeight="1">
      <c r="B321" s="20"/>
      <c r="C321" s="20"/>
      <c r="D321" s="254"/>
      <c r="E321" s="379">
        <v>139131</v>
      </c>
      <c r="F321" s="395" t="s">
        <v>237</v>
      </c>
      <c r="G321" s="396"/>
      <c r="H321" s="397"/>
      <c r="I321" s="383">
        <v>74600</v>
      </c>
      <c r="J321" s="398">
        <v>139131</v>
      </c>
      <c r="K321" s="399" t="s">
        <v>70</v>
      </c>
      <c r="L321" s="399" t="s">
        <v>34</v>
      </c>
      <c r="M321" s="399">
        <v>20</v>
      </c>
      <c r="N321" s="356">
        <v>76400</v>
      </c>
      <c r="O321" s="28" t="b">
        <v>1</v>
      </c>
    </row>
    <row r="322" spans="2:15" s="28" customFormat="1" ht="16.5" customHeight="1">
      <c r="B322" s="20"/>
      <c r="C322" s="20"/>
      <c r="D322" s="254"/>
      <c r="E322" s="379">
        <v>139132</v>
      </c>
      <c r="F322" s="395" t="s">
        <v>615</v>
      </c>
      <c r="G322" s="396"/>
      <c r="H322" s="397"/>
      <c r="I322" s="383">
        <v>623000</v>
      </c>
      <c r="J322" s="398">
        <v>139132</v>
      </c>
      <c r="K322" s="399" t="s">
        <v>71</v>
      </c>
      <c r="L322" s="399" t="s">
        <v>34</v>
      </c>
      <c r="M322" s="399">
        <v>200</v>
      </c>
      <c r="N322" s="356">
        <v>630000</v>
      </c>
      <c r="O322" s="28" t="b">
        <v>1</v>
      </c>
    </row>
    <row r="323" spans="2:15" s="28" customFormat="1" ht="16.5" customHeight="1">
      <c r="B323" s="20"/>
      <c r="C323" s="20"/>
      <c r="D323" s="254"/>
      <c r="E323" s="379">
        <v>139134</v>
      </c>
      <c r="F323" s="395" t="s">
        <v>227</v>
      </c>
      <c r="G323" s="396"/>
      <c r="H323" s="397"/>
      <c r="I323" s="383">
        <v>70900</v>
      </c>
      <c r="J323" s="398">
        <v>139134</v>
      </c>
      <c r="K323" s="399" t="s">
        <v>70</v>
      </c>
      <c r="L323" s="399" t="s">
        <v>34</v>
      </c>
      <c r="M323" s="399">
        <v>20</v>
      </c>
      <c r="N323" s="356" t="e">
        <v>#N/A</v>
      </c>
      <c r="O323" s="28" t="e">
        <v>#N/A</v>
      </c>
    </row>
    <row r="324" spans="2:15" s="28" customFormat="1" ht="16.5" customHeight="1">
      <c r="B324" s="20"/>
      <c r="C324" s="20"/>
      <c r="D324" s="254"/>
      <c r="E324" s="379">
        <v>139135</v>
      </c>
      <c r="F324" s="395" t="s">
        <v>616</v>
      </c>
      <c r="G324" s="396"/>
      <c r="H324" s="397"/>
      <c r="I324" s="383">
        <v>641000</v>
      </c>
      <c r="J324" s="398">
        <v>139135</v>
      </c>
      <c r="K324" s="399" t="s">
        <v>71</v>
      </c>
      <c r="L324" s="399" t="s">
        <v>34</v>
      </c>
      <c r="M324" s="399">
        <v>200</v>
      </c>
      <c r="N324" s="356">
        <v>593000</v>
      </c>
      <c r="O324" s="28" t="b">
        <v>1</v>
      </c>
    </row>
    <row r="325" spans="2:15" s="28" customFormat="1" ht="16.5" customHeight="1">
      <c r="B325" s="20"/>
      <c r="C325" s="20"/>
      <c r="D325" s="254"/>
      <c r="E325" s="379">
        <v>139137</v>
      </c>
      <c r="F325" s="395" t="s">
        <v>246</v>
      </c>
      <c r="G325" s="396"/>
      <c r="H325" s="397"/>
      <c r="I325" s="383">
        <v>80900</v>
      </c>
      <c r="J325" s="398">
        <v>139137</v>
      </c>
      <c r="K325" s="399" t="s">
        <v>70</v>
      </c>
      <c r="L325" s="399" t="s">
        <v>34</v>
      </c>
      <c r="M325" s="399">
        <v>20</v>
      </c>
      <c r="N325" s="356">
        <v>72300</v>
      </c>
      <c r="O325" s="28" t="b">
        <v>1</v>
      </c>
    </row>
    <row r="326" spans="2:15" s="28" customFormat="1" ht="16.5" customHeight="1">
      <c r="B326" s="20"/>
      <c r="C326" s="20"/>
      <c r="D326" s="254"/>
      <c r="E326" s="379">
        <v>139138</v>
      </c>
      <c r="F326" s="395" t="s">
        <v>617</v>
      </c>
      <c r="G326" s="396"/>
      <c r="H326" s="397"/>
      <c r="I326" s="383">
        <v>740000</v>
      </c>
      <c r="J326" s="398">
        <v>139138</v>
      </c>
      <c r="K326" s="399" t="s">
        <v>71</v>
      </c>
      <c r="L326" s="399" t="s">
        <v>34</v>
      </c>
      <c r="M326" s="399">
        <v>200</v>
      </c>
      <c r="N326" s="356">
        <v>654000</v>
      </c>
      <c r="O326" s="28" t="b">
        <v>1</v>
      </c>
    </row>
    <row r="327" spans="2:15" s="28" customFormat="1" ht="16.5" customHeight="1">
      <c r="B327" s="20"/>
      <c r="C327" s="20"/>
      <c r="D327" s="254"/>
      <c r="E327" s="379">
        <v>139139</v>
      </c>
      <c r="F327" s="395" t="s">
        <v>247</v>
      </c>
      <c r="G327" s="396"/>
      <c r="H327" s="397"/>
      <c r="I327" s="383">
        <v>80900</v>
      </c>
      <c r="J327" s="398">
        <v>139139</v>
      </c>
      <c r="K327" s="399" t="s">
        <v>70</v>
      </c>
      <c r="L327" s="399" t="s">
        <v>34</v>
      </c>
      <c r="M327" s="399">
        <v>20</v>
      </c>
      <c r="N327" s="356">
        <v>465000</v>
      </c>
      <c r="O327" s="28" t="b">
        <v>1</v>
      </c>
    </row>
    <row r="328" spans="2:15" s="28" customFormat="1" ht="16.5" customHeight="1">
      <c r="B328" s="20"/>
      <c r="C328" s="20"/>
      <c r="D328" s="254"/>
      <c r="E328" s="379">
        <v>139140</v>
      </c>
      <c r="F328" s="395" t="s">
        <v>618</v>
      </c>
      <c r="G328" s="396"/>
      <c r="H328" s="397"/>
      <c r="I328" s="383">
        <v>750000</v>
      </c>
      <c r="J328" s="398">
        <v>139140</v>
      </c>
      <c r="K328" s="399" t="s">
        <v>71</v>
      </c>
      <c r="L328" s="399" t="s">
        <v>34</v>
      </c>
      <c r="M328" s="399">
        <v>200</v>
      </c>
      <c r="N328" s="356">
        <v>364000</v>
      </c>
      <c r="O328" s="28" t="b">
        <v>1</v>
      </c>
    </row>
    <row r="329" spans="2:15" s="28" customFormat="1" ht="16.5" customHeight="1">
      <c r="B329" s="20"/>
      <c r="C329" s="20"/>
      <c r="D329" s="254"/>
      <c r="E329" s="379">
        <v>139141</v>
      </c>
      <c r="F329" s="395" t="s">
        <v>345</v>
      </c>
      <c r="G329" s="396"/>
      <c r="H329" s="397"/>
      <c r="I329" s="383">
        <v>87100</v>
      </c>
      <c r="J329" s="398">
        <v>139141</v>
      </c>
      <c r="K329" s="399" t="s">
        <v>70</v>
      </c>
      <c r="L329" s="399" t="s">
        <v>34</v>
      </c>
      <c r="M329" s="399">
        <v>20</v>
      </c>
      <c r="N329" s="356">
        <v>952000</v>
      </c>
      <c r="O329" s="28" t="b">
        <v>1</v>
      </c>
    </row>
    <row r="330" spans="2:15" s="28" customFormat="1" ht="16.5" customHeight="1">
      <c r="B330" s="20"/>
      <c r="C330" s="20"/>
      <c r="D330" s="254"/>
      <c r="E330" s="379">
        <v>139142</v>
      </c>
      <c r="F330" s="395" t="s">
        <v>619</v>
      </c>
      <c r="G330" s="396"/>
      <c r="H330" s="397"/>
      <c r="I330" s="383">
        <v>423000</v>
      </c>
      <c r="J330" s="398">
        <v>139142</v>
      </c>
      <c r="K330" s="399" t="s">
        <v>71</v>
      </c>
      <c r="L330" s="399" t="s">
        <v>34</v>
      </c>
      <c r="M330" s="399">
        <v>200</v>
      </c>
      <c r="N330" s="356">
        <v>952000</v>
      </c>
      <c r="O330" s="28" t="b">
        <v>1</v>
      </c>
    </row>
    <row r="331" spans="2:15" s="28" customFormat="1" ht="16.5" customHeight="1">
      <c r="B331" s="20"/>
      <c r="C331" s="20"/>
      <c r="D331" s="254"/>
      <c r="E331" s="379">
        <v>139143</v>
      </c>
      <c r="F331" s="395" t="s">
        <v>248</v>
      </c>
      <c r="G331" s="396"/>
      <c r="H331" s="397"/>
      <c r="I331" s="383">
        <v>44000</v>
      </c>
      <c r="J331" s="398">
        <v>139143</v>
      </c>
      <c r="K331" s="399" t="s">
        <v>70</v>
      </c>
      <c r="L331" s="399" t="s">
        <v>34</v>
      </c>
      <c r="M331" s="399">
        <v>20</v>
      </c>
      <c r="N331" s="356">
        <v>952000</v>
      </c>
      <c r="O331" s="28" t="b">
        <v>1</v>
      </c>
    </row>
    <row r="332" spans="2:15" s="28" customFormat="1" ht="16.5" customHeight="1">
      <c r="B332" s="20"/>
      <c r="C332" s="20"/>
      <c r="D332" s="254"/>
      <c r="E332" s="379">
        <v>139144</v>
      </c>
      <c r="F332" s="395" t="s">
        <v>620</v>
      </c>
      <c r="G332" s="396"/>
      <c r="H332" s="397"/>
      <c r="I332" s="383">
        <v>423000</v>
      </c>
      <c r="J332" s="398">
        <v>139144</v>
      </c>
      <c r="K332" s="399" t="s">
        <v>71</v>
      </c>
      <c r="L332" s="399" t="s">
        <v>34</v>
      </c>
      <c r="M332" s="399">
        <v>200</v>
      </c>
      <c r="N332" s="356">
        <v>618000</v>
      </c>
      <c r="O332" s="28" t="b">
        <v>1</v>
      </c>
    </row>
    <row r="333" spans="2:15" s="28" customFormat="1" ht="16.5" customHeight="1">
      <c r="B333" s="20"/>
      <c r="C333" s="20"/>
      <c r="D333" s="254"/>
      <c r="E333" s="379">
        <v>139145</v>
      </c>
      <c r="F333" s="395" t="s">
        <v>228</v>
      </c>
      <c r="G333" s="396"/>
      <c r="H333" s="397"/>
      <c r="I333" s="383">
        <v>44000</v>
      </c>
      <c r="J333" s="398">
        <v>139145</v>
      </c>
      <c r="K333" s="399" t="s">
        <v>70</v>
      </c>
      <c r="L333" s="399" t="s">
        <v>34</v>
      </c>
      <c r="M333" s="399">
        <v>20</v>
      </c>
      <c r="N333" s="356">
        <v>71000</v>
      </c>
      <c r="O333" s="28" t="b">
        <v>1</v>
      </c>
    </row>
    <row r="334" spans="2:15" s="28" customFormat="1" ht="16.5" customHeight="1">
      <c r="B334" s="20"/>
      <c r="C334" s="20"/>
      <c r="D334" s="254"/>
      <c r="E334" s="379">
        <v>139146</v>
      </c>
      <c r="F334" s="395" t="s">
        <v>621</v>
      </c>
      <c r="G334" s="396"/>
      <c r="H334" s="397"/>
      <c r="I334" s="383">
        <v>455000</v>
      </c>
      <c r="J334" s="398">
        <v>139146</v>
      </c>
      <c r="K334" s="399" t="s">
        <v>71</v>
      </c>
      <c r="L334" s="399" t="s">
        <v>34</v>
      </c>
      <c r="M334" s="399">
        <v>200</v>
      </c>
      <c r="N334" s="356">
        <v>607000</v>
      </c>
      <c r="O334" s="28" t="b">
        <v>1</v>
      </c>
    </row>
    <row r="335" spans="2:15" s="28" customFormat="1" ht="16.5" customHeight="1">
      <c r="B335" s="20"/>
      <c r="C335" s="20"/>
      <c r="D335" s="254"/>
      <c r="E335" s="379">
        <v>139147</v>
      </c>
      <c r="F335" s="395" t="s">
        <v>622</v>
      </c>
      <c r="G335" s="396"/>
      <c r="H335" s="397"/>
      <c r="I335" s="383">
        <v>475000</v>
      </c>
      <c r="J335" s="398">
        <v>139147</v>
      </c>
      <c r="K335" s="399" t="s">
        <v>71</v>
      </c>
      <c r="L335" s="399" t="s">
        <v>34</v>
      </c>
      <c r="M335" s="399">
        <v>200</v>
      </c>
      <c r="N335" s="356">
        <v>69800</v>
      </c>
      <c r="O335" s="28" t="b">
        <v>1</v>
      </c>
    </row>
    <row r="336" spans="2:15" s="28" customFormat="1" ht="16.5" customHeight="1">
      <c r="B336" s="20"/>
      <c r="C336" s="20"/>
      <c r="D336" s="254"/>
      <c r="E336" s="379">
        <v>139148</v>
      </c>
      <c r="F336" s="395" t="s">
        <v>346</v>
      </c>
      <c r="G336" s="396"/>
      <c r="H336" s="397"/>
      <c r="I336" s="383">
        <v>50600</v>
      </c>
      <c r="J336" s="398">
        <v>139148</v>
      </c>
      <c r="K336" s="399" t="s">
        <v>70</v>
      </c>
      <c r="L336" s="399" t="s">
        <v>34</v>
      </c>
      <c r="M336" s="399">
        <v>20</v>
      </c>
      <c r="N336" s="356">
        <v>623000</v>
      </c>
      <c r="O336" s="28" t="b">
        <v>1</v>
      </c>
    </row>
    <row r="337" spans="2:15" s="28" customFormat="1" ht="16.5" customHeight="1">
      <c r="B337" s="20"/>
      <c r="C337" s="20"/>
      <c r="D337" s="254"/>
      <c r="E337" s="379">
        <v>139149</v>
      </c>
      <c r="F337" s="395" t="s">
        <v>623</v>
      </c>
      <c r="G337" s="396"/>
      <c r="H337" s="397"/>
      <c r="I337" s="383">
        <v>539000</v>
      </c>
      <c r="J337" s="398">
        <v>139149</v>
      </c>
      <c r="K337" s="399" t="s">
        <v>71</v>
      </c>
      <c r="L337" s="399" t="s">
        <v>34</v>
      </c>
      <c r="M337" s="399">
        <v>200</v>
      </c>
      <c r="N337" s="356">
        <v>74600</v>
      </c>
      <c r="O337" s="28" t="b">
        <v>1</v>
      </c>
    </row>
    <row r="338" spans="2:15" s="28" customFormat="1" ht="16.5" customHeight="1">
      <c r="B338" s="20"/>
      <c r="C338" s="20"/>
      <c r="D338" s="254"/>
      <c r="E338" s="379">
        <v>139150</v>
      </c>
      <c r="F338" s="395" t="s">
        <v>249</v>
      </c>
      <c r="G338" s="396"/>
      <c r="H338" s="397"/>
      <c r="I338" s="383">
        <v>56700</v>
      </c>
      <c r="J338" s="398">
        <v>139150</v>
      </c>
      <c r="K338" s="399" t="s">
        <v>70</v>
      </c>
      <c r="L338" s="399" t="s">
        <v>34</v>
      </c>
      <c r="M338" s="399">
        <v>20</v>
      </c>
      <c r="N338" s="356">
        <v>623000</v>
      </c>
      <c r="O338" s="28" t="b">
        <v>1</v>
      </c>
    </row>
    <row r="339" spans="2:15" s="28" customFormat="1" ht="16.5" customHeight="1">
      <c r="B339" s="20"/>
      <c r="C339" s="20"/>
      <c r="D339" s="254"/>
      <c r="E339" s="379">
        <v>139151</v>
      </c>
      <c r="F339" s="395" t="s">
        <v>624</v>
      </c>
      <c r="G339" s="396"/>
      <c r="H339" s="397"/>
      <c r="I339" s="383">
        <v>539000</v>
      </c>
      <c r="J339" s="398">
        <v>139151</v>
      </c>
      <c r="K339" s="399" t="s">
        <v>71</v>
      </c>
      <c r="L339" s="399" t="s">
        <v>34</v>
      </c>
      <c r="M339" s="399">
        <v>200</v>
      </c>
      <c r="N339" s="356">
        <v>70900</v>
      </c>
      <c r="O339" s="28" t="b">
        <v>1</v>
      </c>
    </row>
    <row r="340" spans="2:15" s="28" customFormat="1" ht="16.5" customHeight="1">
      <c r="B340" s="20"/>
      <c r="C340" s="20"/>
      <c r="D340" s="254"/>
      <c r="E340" s="379">
        <v>139152</v>
      </c>
      <c r="F340" s="395" t="s">
        <v>250</v>
      </c>
      <c r="G340" s="396"/>
      <c r="H340" s="397"/>
      <c r="I340" s="383">
        <v>56700</v>
      </c>
      <c r="J340" s="398">
        <v>139152</v>
      </c>
      <c r="K340" s="399" t="s">
        <v>70</v>
      </c>
      <c r="L340" s="399" t="s">
        <v>34</v>
      </c>
      <c r="M340" s="399">
        <v>20</v>
      </c>
      <c r="N340" s="356">
        <v>641000</v>
      </c>
      <c r="O340" s="28" t="b">
        <v>1</v>
      </c>
    </row>
    <row r="341" spans="2:15" s="28" customFormat="1" ht="16.5" customHeight="1">
      <c r="B341" s="20"/>
      <c r="C341" s="20"/>
      <c r="D341" s="254"/>
      <c r="E341" s="379">
        <v>139153</v>
      </c>
      <c r="F341" s="395" t="s">
        <v>625</v>
      </c>
      <c r="G341" s="396"/>
      <c r="H341" s="397"/>
      <c r="I341" s="383">
        <v>580000</v>
      </c>
      <c r="J341" s="398">
        <v>139153</v>
      </c>
      <c r="K341" s="399" t="s">
        <v>71</v>
      </c>
      <c r="L341" s="399" t="s">
        <v>34</v>
      </c>
      <c r="M341" s="399">
        <v>200</v>
      </c>
      <c r="N341" s="356">
        <v>80900</v>
      </c>
      <c r="O341" s="28" t="b">
        <v>1</v>
      </c>
    </row>
    <row r="342" spans="2:15" s="28" customFormat="1" ht="16.5" customHeight="1">
      <c r="B342" s="20"/>
      <c r="C342" s="20"/>
      <c r="D342" s="254"/>
      <c r="E342" s="379">
        <v>139154</v>
      </c>
      <c r="F342" s="395" t="s">
        <v>251</v>
      </c>
      <c r="G342" s="396"/>
      <c r="H342" s="397"/>
      <c r="I342" s="383">
        <v>60600</v>
      </c>
      <c r="J342" s="398">
        <v>139154</v>
      </c>
      <c r="K342" s="399" t="s">
        <v>70</v>
      </c>
      <c r="L342" s="399" t="s">
        <v>34</v>
      </c>
      <c r="M342" s="399">
        <v>20</v>
      </c>
      <c r="N342" s="356">
        <v>740000</v>
      </c>
      <c r="O342" s="28" t="b">
        <v>1</v>
      </c>
    </row>
    <row r="343" spans="2:15" s="28" customFormat="1" ht="16.5" customHeight="1">
      <c r="B343" s="20"/>
      <c r="C343" s="20"/>
      <c r="D343" s="254"/>
      <c r="E343" s="379">
        <v>139155</v>
      </c>
      <c r="F343" s="395" t="s">
        <v>626</v>
      </c>
      <c r="G343" s="396"/>
      <c r="H343" s="397"/>
      <c r="I343" s="383">
        <v>610000</v>
      </c>
      <c r="J343" s="398">
        <v>139155</v>
      </c>
      <c r="K343" s="399" t="s">
        <v>71</v>
      </c>
      <c r="L343" s="399" t="s">
        <v>34</v>
      </c>
      <c r="M343" s="399">
        <v>200</v>
      </c>
      <c r="N343" s="356">
        <v>80900</v>
      </c>
      <c r="O343" s="28" t="b">
        <v>1</v>
      </c>
    </row>
    <row r="344" spans="2:15" s="28" customFormat="1" ht="16.5" customHeight="1">
      <c r="B344" s="20"/>
      <c r="C344" s="20"/>
      <c r="D344" s="254"/>
      <c r="E344" s="379">
        <v>139156</v>
      </c>
      <c r="F344" s="395" t="s">
        <v>252</v>
      </c>
      <c r="G344" s="396"/>
      <c r="H344" s="397"/>
      <c r="I344" s="383">
        <v>64600</v>
      </c>
      <c r="J344" s="398">
        <v>139156</v>
      </c>
      <c r="K344" s="399" t="s">
        <v>70</v>
      </c>
      <c r="L344" s="399" t="s">
        <v>34</v>
      </c>
      <c r="M344" s="399">
        <v>20</v>
      </c>
      <c r="N344" s="356">
        <v>750000</v>
      </c>
      <c r="O344" s="28" t="b">
        <v>1</v>
      </c>
    </row>
    <row r="345" spans="2:15" s="28" customFormat="1" ht="16.5" customHeight="1">
      <c r="B345" s="20"/>
      <c r="C345" s="20"/>
      <c r="D345" s="254"/>
      <c r="E345" s="379">
        <v>139158</v>
      </c>
      <c r="F345" s="395" t="s">
        <v>627</v>
      </c>
      <c r="G345" s="396"/>
      <c r="H345" s="397"/>
      <c r="I345" s="383">
        <v>636000</v>
      </c>
      <c r="J345" s="398">
        <v>139158</v>
      </c>
      <c r="K345" s="399" t="s">
        <v>71</v>
      </c>
      <c r="L345" s="399" t="s">
        <v>34</v>
      </c>
      <c r="M345" s="399">
        <v>200</v>
      </c>
      <c r="N345" s="356">
        <v>87100</v>
      </c>
      <c r="O345" s="28" t="b">
        <v>1</v>
      </c>
    </row>
    <row r="346" spans="2:15" s="28" customFormat="1" ht="16.5" customHeight="1">
      <c r="B346" s="20"/>
      <c r="C346" s="20"/>
      <c r="D346" s="254"/>
      <c r="E346" s="379">
        <v>139160</v>
      </c>
      <c r="F346" s="395" t="s">
        <v>628</v>
      </c>
      <c r="G346" s="396"/>
      <c r="H346" s="397"/>
      <c r="I346" s="383">
        <v>683000</v>
      </c>
      <c r="J346" s="398">
        <v>139160</v>
      </c>
      <c r="K346" s="399" t="s">
        <v>71</v>
      </c>
      <c r="L346" s="399" t="s">
        <v>34</v>
      </c>
      <c r="M346" s="399">
        <v>200</v>
      </c>
      <c r="N346" s="356">
        <v>423000</v>
      </c>
      <c r="O346" s="28" t="b">
        <v>1</v>
      </c>
    </row>
    <row r="347" spans="2:15" s="28" customFormat="1" ht="16.5" customHeight="1">
      <c r="B347" s="20"/>
      <c r="C347" s="20"/>
      <c r="D347" s="254"/>
      <c r="E347" s="379">
        <v>139161</v>
      </c>
      <c r="F347" s="395" t="s">
        <v>347</v>
      </c>
      <c r="G347" s="396"/>
      <c r="H347" s="397"/>
      <c r="I347" s="383">
        <v>80500</v>
      </c>
      <c r="J347" s="398">
        <v>139161</v>
      </c>
      <c r="K347" s="399" t="s">
        <v>70</v>
      </c>
      <c r="L347" s="399" t="s">
        <v>34</v>
      </c>
      <c r="M347" s="399">
        <v>20</v>
      </c>
      <c r="N347" s="356">
        <v>44000</v>
      </c>
      <c r="O347" s="28" t="b">
        <v>1</v>
      </c>
    </row>
    <row r="348" spans="2:15" s="28" customFormat="1" ht="16.5" customHeight="1">
      <c r="B348" s="20"/>
      <c r="C348" s="20"/>
      <c r="D348" s="254"/>
      <c r="E348" s="379">
        <v>139163</v>
      </c>
      <c r="F348" s="395" t="s">
        <v>629</v>
      </c>
      <c r="G348" s="396"/>
      <c r="H348" s="397"/>
      <c r="I348" s="383">
        <v>763000</v>
      </c>
      <c r="J348" s="398">
        <v>139163</v>
      </c>
      <c r="K348" s="399" t="s">
        <v>71</v>
      </c>
      <c r="L348" s="399" t="s">
        <v>34</v>
      </c>
      <c r="M348" s="399">
        <v>200</v>
      </c>
      <c r="N348" s="356">
        <v>423000</v>
      </c>
      <c r="O348" s="28" t="b">
        <v>1</v>
      </c>
    </row>
    <row r="349" spans="2:15" s="28" customFormat="1" ht="16.5" customHeight="1">
      <c r="B349" s="20"/>
      <c r="C349" s="20"/>
      <c r="D349" s="254"/>
      <c r="E349" s="379">
        <v>139164</v>
      </c>
      <c r="F349" s="395" t="s">
        <v>348</v>
      </c>
      <c r="G349" s="396"/>
      <c r="H349" s="397"/>
      <c r="I349" s="383">
        <v>80500</v>
      </c>
      <c r="J349" s="398">
        <v>139164</v>
      </c>
      <c r="K349" s="399" t="s">
        <v>70</v>
      </c>
      <c r="L349" s="399" t="s">
        <v>34</v>
      </c>
      <c r="M349" s="399">
        <v>20</v>
      </c>
      <c r="N349" s="356">
        <v>44000</v>
      </c>
      <c r="O349" s="28" t="b">
        <v>1</v>
      </c>
    </row>
    <row r="350" spans="2:15" s="28" customFormat="1" ht="16.5" customHeight="1">
      <c r="B350" s="20"/>
      <c r="C350" s="20"/>
      <c r="D350" s="254"/>
      <c r="E350" s="379">
        <v>139167</v>
      </c>
      <c r="F350" s="395" t="s">
        <v>630</v>
      </c>
      <c r="G350" s="396"/>
      <c r="H350" s="397"/>
      <c r="I350" s="383">
        <v>499000</v>
      </c>
      <c r="J350" s="398">
        <v>139167</v>
      </c>
      <c r="K350" s="399" t="s">
        <v>71</v>
      </c>
      <c r="L350" s="399" t="s">
        <v>34</v>
      </c>
      <c r="M350" s="399">
        <v>200</v>
      </c>
      <c r="N350" s="356">
        <v>455000</v>
      </c>
      <c r="O350" s="28" t="b">
        <v>1</v>
      </c>
    </row>
    <row r="351" spans="2:15" s="28" customFormat="1" ht="16.5" customHeight="1">
      <c r="B351" s="20"/>
      <c r="C351" s="20"/>
      <c r="D351" s="254"/>
      <c r="E351" s="379">
        <v>140145</v>
      </c>
      <c r="F351" s="395" t="s">
        <v>46</v>
      </c>
      <c r="G351" s="396"/>
      <c r="H351" s="397"/>
      <c r="I351" s="383">
        <v>183000</v>
      </c>
      <c r="J351" s="398">
        <v>140145</v>
      </c>
      <c r="K351" s="399" t="s">
        <v>70</v>
      </c>
      <c r="L351" s="399" t="s">
        <v>34</v>
      </c>
      <c r="M351" s="399">
        <v>16</v>
      </c>
      <c r="N351" s="356">
        <v>475000</v>
      </c>
      <c r="O351" s="28" t="b">
        <v>1</v>
      </c>
    </row>
    <row r="352" spans="2:15" s="28" customFormat="1" ht="16.5" customHeight="1">
      <c r="B352" s="20"/>
      <c r="C352" s="20"/>
      <c r="D352" s="254"/>
      <c r="E352" s="379">
        <v>139600</v>
      </c>
      <c r="F352" s="395" t="s">
        <v>767</v>
      </c>
      <c r="G352" s="396"/>
      <c r="H352" s="397"/>
      <c r="I352" s="383">
        <v>482000</v>
      </c>
      <c r="J352" s="398">
        <v>139600</v>
      </c>
      <c r="K352" s="399" t="s">
        <v>70</v>
      </c>
      <c r="L352" s="399" t="s">
        <v>34</v>
      </c>
      <c r="M352" s="399">
        <v>20</v>
      </c>
      <c r="N352" s="356">
        <v>50600</v>
      </c>
      <c r="O352" s="28" t="b">
        <v>1</v>
      </c>
    </row>
    <row r="353" spans="2:15" s="28" customFormat="1" ht="16.5" customHeight="1">
      <c r="B353" s="20"/>
      <c r="C353" s="20"/>
      <c r="D353" s="254"/>
      <c r="E353" s="379">
        <v>139639</v>
      </c>
      <c r="F353" s="395" t="s">
        <v>353</v>
      </c>
      <c r="G353" s="396"/>
      <c r="H353" s="397"/>
      <c r="I353" s="383">
        <v>94100</v>
      </c>
      <c r="J353" s="398">
        <v>139639</v>
      </c>
      <c r="K353" s="399" t="s">
        <v>70</v>
      </c>
      <c r="L353" s="399" t="s">
        <v>34</v>
      </c>
      <c r="M353" s="399">
        <v>20</v>
      </c>
      <c r="N353" s="356">
        <v>539000</v>
      </c>
      <c r="O353" s="28" t="b">
        <v>1</v>
      </c>
    </row>
    <row r="354" spans="2:15" s="28" customFormat="1" ht="16.5" customHeight="1">
      <c r="B354" s="20"/>
      <c r="C354" s="20"/>
      <c r="D354" s="254"/>
      <c r="E354" s="379">
        <v>139643</v>
      </c>
      <c r="F354" s="395" t="s">
        <v>354</v>
      </c>
      <c r="G354" s="396"/>
      <c r="H354" s="397"/>
      <c r="I354" s="383">
        <v>79200</v>
      </c>
      <c r="J354" s="398">
        <v>139643</v>
      </c>
      <c r="K354" s="399" t="s">
        <v>70</v>
      </c>
      <c r="L354" s="399" t="s">
        <v>34</v>
      </c>
      <c r="M354" s="399">
        <v>20</v>
      </c>
      <c r="N354" s="356">
        <v>56700</v>
      </c>
      <c r="O354" s="28" t="b">
        <v>1</v>
      </c>
    </row>
    <row r="355" spans="2:15" s="28" customFormat="1" ht="16.5" customHeight="1">
      <c r="B355" s="20"/>
      <c r="C355" s="20"/>
      <c r="D355" s="254"/>
      <c r="E355" s="379">
        <v>148679</v>
      </c>
      <c r="F355" s="395" t="s">
        <v>421</v>
      </c>
      <c r="G355" s="396"/>
      <c r="H355" s="397"/>
      <c r="I355" s="383">
        <v>645000</v>
      </c>
      <c r="J355" s="398">
        <v>148679</v>
      </c>
      <c r="K355" s="399" t="s">
        <v>71</v>
      </c>
      <c r="L355" s="399" t="s">
        <v>34</v>
      </c>
      <c r="M355" s="399">
        <v>208</v>
      </c>
      <c r="N355" s="356">
        <v>539000</v>
      </c>
      <c r="O355" s="28" t="b">
        <v>1</v>
      </c>
    </row>
    <row r="356" spans="2:15" s="28" customFormat="1" ht="16.5" customHeight="1">
      <c r="B356" s="20"/>
      <c r="C356" s="20"/>
      <c r="D356" s="254"/>
      <c r="E356" s="379">
        <v>141825</v>
      </c>
      <c r="F356" s="395" t="s">
        <v>641</v>
      </c>
      <c r="G356" s="396"/>
      <c r="H356" s="397"/>
      <c r="I356" s="383">
        <v>2660000</v>
      </c>
      <c r="J356" s="398">
        <v>141825</v>
      </c>
      <c r="K356" s="399" t="s">
        <v>71</v>
      </c>
      <c r="L356" s="399" t="s">
        <v>34</v>
      </c>
      <c r="M356" s="399">
        <v>208</v>
      </c>
      <c r="N356" s="356">
        <v>56700</v>
      </c>
      <c r="O356" s="28" t="b">
        <v>1</v>
      </c>
    </row>
    <row r="357" spans="2:15" s="28" customFormat="1" ht="16.5" customHeight="1">
      <c r="B357" s="20"/>
      <c r="C357" s="20"/>
      <c r="D357" s="254"/>
      <c r="E357" s="379">
        <v>139819</v>
      </c>
      <c r="F357" s="395" t="s">
        <v>642</v>
      </c>
      <c r="G357" s="396"/>
      <c r="H357" s="397"/>
      <c r="I357" s="383">
        <v>2692000</v>
      </c>
      <c r="J357" s="398">
        <v>139819</v>
      </c>
      <c r="K357" s="399" t="s">
        <v>71</v>
      </c>
      <c r="L357" s="399" t="s">
        <v>34</v>
      </c>
      <c r="M357" s="399">
        <v>208</v>
      </c>
      <c r="N357" s="356">
        <v>580000</v>
      </c>
      <c r="O357" s="28" t="b">
        <v>1</v>
      </c>
    </row>
    <row r="358" spans="2:15" s="28" customFormat="1" ht="16.5" customHeight="1">
      <c r="B358" s="20"/>
      <c r="C358" s="20"/>
      <c r="D358" s="254"/>
      <c r="E358" s="379">
        <v>139821</v>
      </c>
      <c r="F358" s="395" t="s">
        <v>643</v>
      </c>
      <c r="G358" s="396"/>
      <c r="H358" s="397"/>
      <c r="I358" s="383">
        <v>3429000</v>
      </c>
      <c r="J358" s="398">
        <v>139821</v>
      </c>
      <c r="K358" s="399" t="s">
        <v>71</v>
      </c>
      <c r="L358" s="399" t="s">
        <v>34</v>
      </c>
      <c r="M358" s="399">
        <v>208</v>
      </c>
      <c r="N358" s="356">
        <v>60600</v>
      </c>
      <c r="O358" s="28" t="b">
        <v>1</v>
      </c>
    </row>
    <row r="359" spans="2:15" s="28" customFormat="1" ht="16.5" customHeight="1">
      <c r="B359" s="20"/>
      <c r="C359" s="20"/>
      <c r="D359" s="254"/>
      <c r="E359" s="379">
        <v>143919</v>
      </c>
      <c r="F359" s="395" t="s">
        <v>863</v>
      </c>
      <c r="G359" s="396"/>
      <c r="H359" s="397"/>
      <c r="I359" s="383">
        <v>64000</v>
      </c>
      <c r="J359" s="398">
        <v>143919</v>
      </c>
      <c r="K359" s="399" t="s">
        <v>73</v>
      </c>
      <c r="L359" s="399" t="s">
        <v>34</v>
      </c>
      <c r="M359" s="399">
        <v>4.68</v>
      </c>
      <c r="N359" s="356">
        <v>610000</v>
      </c>
      <c r="O359" s="28" t="b">
        <v>1</v>
      </c>
    </row>
    <row r="360" spans="2:15" s="28" customFormat="1" ht="16.5" customHeight="1">
      <c r="B360" s="20"/>
      <c r="C360" s="20"/>
      <c r="D360" s="254"/>
      <c r="E360" s="379">
        <v>141840</v>
      </c>
      <c r="F360" s="395" t="s">
        <v>358</v>
      </c>
      <c r="G360" s="396"/>
      <c r="H360" s="397"/>
      <c r="I360" s="383">
        <v>270000</v>
      </c>
      <c r="J360" s="398">
        <v>141840</v>
      </c>
      <c r="K360" s="399" t="s">
        <v>70</v>
      </c>
      <c r="L360" s="399" t="s">
        <v>34</v>
      </c>
      <c r="M360" s="399">
        <v>20</v>
      </c>
      <c r="N360" s="356">
        <v>64600</v>
      </c>
      <c r="O360" s="28" t="b">
        <v>1</v>
      </c>
    </row>
    <row r="361" spans="2:15" s="28" customFormat="1" ht="16.5" customHeight="1">
      <c r="B361" s="20"/>
      <c r="C361" s="20"/>
      <c r="D361" s="254"/>
      <c r="E361" s="379">
        <v>139962</v>
      </c>
      <c r="F361" s="395" t="s">
        <v>359</v>
      </c>
      <c r="G361" s="396"/>
      <c r="H361" s="397"/>
      <c r="I361" s="383">
        <v>255000</v>
      </c>
      <c r="J361" s="398">
        <v>139962</v>
      </c>
      <c r="K361" s="399" t="s">
        <v>70</v>
      </c>
      <c r="L361" s="399" t="s">
        <v>34</v>
      </c>
      <c r="M361" s="399">
        <v>20</v>
      </c>
      <c r="N361" s="356">
        <v>636000</v>
      </c>
      <c r="O361" s="28" t="b">
        <v>1</v>
      </c>
    </row>
    <row r="362" spans="2:15" s="28" customFormat="1" ht="16.5" customHeight="1">
      <c r="B362" s="20"/>
      <c r="C362" s="20"/>
      <c r="D362" s="254"/>
      <c r="E362" s="379">
        <v>139963</v>
      </c>
      <c r="F362" s="395" t="s">
        <v>360</v>
      </c>
      <c r="G362" s="396"/>
      <c r="H362" s="397"/>
      <c r="I362" s="383">
        <v>271000</v>
      </c>
      <c r="J362" s="398">
        <v>139963</v>
      </c>
      <c r="K362" s="399" t="s">
        <v>70</v>
      </c>
      <c r="L362" s="399" t="s">
        <v>34</v>
      </c>
      <c r="M362" s="399">
        <v>20</v>
      </c>
      <c r="N362" s="356">
        <v>683000</v>
      </c>
      <c r="O362" s="28" t="b">
        <v>1</v>
      </c>
    </row>
    <row r="363" spans="2:15" s="28" customFormat="1" ht="16.5" customHeight="1">
      <c r="B363" s="20"/>
      <c r="C363" s="20"/>
      <c r="D363" s="254"/>
      <c r="E363" s="379">
        <v>140058</v>
      </c>
      <c r="F363" s="395" t="s">
        <v>645</v>
      </c>
      <c r="G363" s="396"/>
      <c r="H363" s="397"/>
      <c r="I363" s="383">
        <v>520000</v>
      </c>
      <c r="J363" s="398">
        <v>140058</v>
      </c>
      <c r="K363" s="399" t="s">
        <v>71</v>
      </c>
      <c r="L363" s="399" t="s">
        <v>34</v>
      </c>
      <c r="M363" s="399">
        <v>200</v>
      </c>
      <c r="N363" s="356">
        <v>80500</v>
      </c>
      <c r="O363" s="28" t="b">
        <v>1</v>
      </c>
    </row>
    <row r="364" spans="2:15" s="28" customFormat="1" ht="16.5" customHeight="1">
      <c r="B364" s="20"/>
      <c r="C364" s="20"/>
      <c r="D364" s="254"/>
      <c r="E364" s="379">
        <v>140059</v>
      </c>
      <c r="F364" s="395" t="s">
        <v>361</v>
      </c>
      <c r="G364" s="396"/>
      <c r="H364" s="397"/>
      <c r="I364" s="383">
        <v>54000</v>
      </c>
      <c r="J364" s="398">
        <v>140059</v>
      </c>
      <c r="K364" s="399" t="s">
        <v>70</v>
      </c>
      <c r="L364" s="399" t="s">
        <v>34</v>
      </c>
      <c r="M364" s="399">
        <v>20</v>
      </c>
      <c r="N364" s="356">
        <v>763000</v>
      </c>
      <c r="O364" s="28" t="b">
        <v>1</v>
      </c>
    </row>
    <row r="365" spans="2:15" s="28" customFormat="1" ht="16.5" customHeight="1">
      <c r="B365" s="20"/>
      <c r="C365" s="20"/>
      <c r="D365" s="254"/>
      <c r="E365" s="379">
        <v>140107</v>
      </c>
      <c r="F365" s="395" t="s">
        <v>646</v>
      </c>
      <c r="G365" s="396"/>
      <c r="H365" s="397"/>
      <c r="I365" s="383">
        <v>3193000</v>
      </c>
      <c r="J365" s="398">
        <v>140107</v>
      </c>
      <c r="K365" s="399" t="s">
        <v>71</v>
      </c>
      <c r="L365" s="399" t="s">
        <v>34</v>
      </c>
      <c r="M365" s="399">
        <v>193.8</v>
      </c>
      <c r="N365" s="356">
        <v>80500</v>
      </c>
      <c r="O365" s="28" t="b">
        <v>1</v>
      </c>
    </row>
    <row r="366" spans="2:15" s="28" customFormat="1" ht="16.5" customHeight="1">
      <c r="B366" s="20"/>
      <c r="C366" s="20"/>
      <c r="D366" s="254"/>
      <c r="E366" s="379">
        <v>140108</v>
      </c>
      <c r="F366" s="395" t="s">
        <v>647</v>
      </c>
      <c r="G366" s="396"/>
      <c r="H366" s="397"/>
      <c r="I366" s="383">
        <v>3403000</v>
      </c>
      <c r="J366" s="398">
        <v>140108</v>
      </c>
      <c r="K366" s="399" t="s">
        <v>71</v>
      </c>
      <c r="L366" s="399" t="s">
        <v>34</v>
      </c>
      <c r="M366" s="399">
        <v>193.8</v>
      </c>
      <c r="N366" s="356">
        <v>499000</v>
      </c>
      <c r="O366" s="28" t="b">
        <v>1</v>
      </c>
    </row>
    <row r="367" spans="2:15" s="28" customFormat="1" ht="16.5" customHeight="1">
      <c r="B367" s="20"/>
      <c r="C367" s="20"/>
      <c r="D367" s="254"/>
      <c r="E367" s="379">
        <v>140109</v>
      </c>
      <c r="F367" s="395" t="s">
        <v>362</v>
      </c>
      <c r="G367" s="396"/>
      <c r="H367" s="397"/>
      <c r="I367" s="383">
        <v>320000</v>
      </c>
      <c r="J367" s="398">
        <v>140109</v>
      </c>
      <c r="K367" s="399" t="s">
        <v>70</v>
      </c>
      <c r="L367" s="399" t="s">
        <v>34</v>
      </c>
      <c r="M367" s="399">
        <v>17.457000000000001</v>
      </c>
      <c r="N367" s="356">
        <v>183000</v>
      </c>
      <c r="O367" s="28" t="b">
        <v>1</v>
      </c>
    </row>
    <row r="368" spans="2:15" s="28" customFormat="1" ht="16.5" customHeight="1">
      <c r="B368" s="20"/>
      <c r="C368" s="20"/>
      <c r="D368" s="254"/>
      <c r="E368" s="379">
        <v>140110</v>
      </c>
      <c r="F368" s="395" t="s">
        <v>648</v>
      </c>
      <c r="G368" s="396"/>
      <c r="H368" s="397"/>
      <c r="I368" s="383">
        <v>3231000</v>
      </c>
      <c r="J368" s="398">
        <v>140110</v>
      </c>
      <c r="K368" s="399" t="s">
        <v>71</v>
      </c>
      <c r="L368" s="399" t="s">
        <v>34</v>
      </c>
      <c r="M368" s="399">
        <v>193.8</v>
      </c>
      <c r="N368" s="356">
        <v>482000</v>
      </c>
      <c r="O368" s="28" t="b">
        <v>1</v>
      </c>
    </row>
    <row r="369" spans="2:15" s="28" customFormat="1" ht="16.5" customHeight="1">
      <c r="B369" s="20"/>
      <c r="C369" s="20"/>
      <c r="D369" s="254"/>
      <c r="E369" s="379">
        <v>140111</v>
      </c>
      <c r="F369" s="395" t="s">
        <v>363</v>
      </c>
      <c r="G369" s="396"/>
      <c r="H369" s="397"/>
      <c r="I369" s="383">
        <v>326000</v>
      </c>
      <c r="J369" s="398">
        <v>140111</v>
      </c>
      <c r="K369" s="399" t="s">
        <v>70</v>
      </c>
      <c r="L369" s="399" t="s">
        <v>34</v>
      </c>
      <c r="M369" s="399">
        <v>17.329999999999998</v>
      </c>
      <c r="N369" s="356">
        <v>94100</v>
      </c>
      <c r="O369" s="28" t="b">
        <v>1</v>
      </c>
    </row>
    <row r="370" spans="2:15" s="28" customFormat="1" ht="16.5" customHeight="1">
      <c r="B370" s="20"/>
      <c r="C370" s="20"/>
      <c r="D370" s="254"/>
      <c r="E370" s="379">
        <v>140112</v>
      </c>
      <c r="F370" s="395" t="s">
        <v>364</v>
      </c>
      <c r="G370" s="396"/>
      <c r="H370" s="397"/>
      <c r="I370" s="383">
        <v>340000</v>
      </c>
      <c r="J370" s="398">
        <v>140112</v>
      </c>
      <c r="K370" s="399" t="s">
        <v>70</v>
      </c>
      <c r="L370" s="399" t="s">
        <v>34</v>
      </c>
      <c r="M370" s="399">
        <v>17.329999999999998</v>
      </c>
      <c r="N370" s="356">
        <v>79200</v>
      </c>
      <c r="O370" s="28" t="b">
        <v>1</v>
      </c>
    </row>
    <row r="371" spans="2:15" s="28" customFormat="1" ht="16.5" customHeight="1">
      <c r="B371" s="20"/>
      <c r="C371" s="20"/>
      <c r="D371" s="254"/>
      <c r="E371" s="379">
        <v>140139</v>
      </c>
      <c r="F371" s="395" t="s">
        <v>368</v>
      </c>
      <c r="G371" s="396"/>
      <c r="H371" s="397"/>
      <c r="I371" s="383">
        <v>140000</v>
      </c>
      <c r="J371" s="398">
        <v>140139</v>
      </c>
      <c r="K371" s="399" t="s">
        <v>70</v>
      </c>
      <c r="L371" s="399" t="s">
        <v>34</v>
      </c>
      <c r="M371" s="399">
        <v>16</v>
      </c>
      <c r="N371" s="356">
        <v>645000</v>
      </c>
      <c r="O371" s="28" t="b">
        <v>1</v>
      </c>
    </row>
    <row r="372" spans="2:15" s="28" customFormat="1" ht="16.5" customHeight="1">
      <c r="B372" s="20"/>
      <c r="C372" s="20"/>
      <c r="D372" s="254"/>
      <c r="E372" s="379">
        <v>140140</v>
      </c>
      <c r="F372" s="395" t="s">
        <v>369</v>
      </c>
      <c r="G372" s="396"/>
      <c r="H372" s="397"/>
      <c r="I372" s="383">
        <v>120000</v>
      </c>
      <c r="J372" s="398">
        <v>140140</v>
      </c>
      <c r="K372" s="399" t="s">
        <v>70</v>
      </c>
      <c r="L372" s="399" t="s">
        <v>34</v>
      </c>
      <c r="M372" s="399">
        <v>16</v>
      </c>
      <c r="N372" s="356">
        <v>2660000</v>
      </c>
      <c r="O372" s="28" t="b">
        <v>1</v>
      </c>
    </row>
    <row r="373" spans="2:15" s="28" customFormat="1" ht="16.5" customHeight="1">
      <c r="B373" s="20"/>
      <c r="C373" s="20"/>
      <c r="D373" s="254"/>
      <c r="E373" s="379">
        <v>140141</v>
      </c>
      <c r="F373" s="395" t="s">
        <v>370</v>
      </c>
      <c r="G373" s="396"/>
      <c r="H373" s="397"/>
      <c r="I373" s="383">
        <v>188000</v>
      </c>
      <c r="J373" s="398">
        <v>140141</v>
      </c>
      <c r="K373" s="399" t="s">
        <v>70</v>
      </c>
      <c r="L373" s="399" t="s">
        <v>34</v>
      </c>
      <c r="M373" s="399">
        <v>16</v>
      </c>
      <c r="N373" s="356">
        <v>2692000</v>
      </c>
      <c r="O373" s="28" t="b">
        <v>1</v>
      </c>
    </row>
    <row r="374" spans="2:15" s="28" customFormat="1" ht="16.5" customHeight="1">
      <c r="B374" s="20"/>
      <c r="C374" s="20"/>
      <c r="D374" s="254"/>
      <c r="E374" s="379">
        <v>140142</v>
      </c>
      <c r="F374" s="395" t="s">
        <v>371</v>
      </c>
      <c r="G374" s="396"/>
      <c r="H374" s="397"/>
      <c r="I374" s="383">
        <v>130000</v>
      </c>
      <c r="J374" s="398">
        <v>140142</v>
      </c>
      <c r="K374" s="399" t="s">
        <v>70</v>
      </c>
      <c r="L374" s="399" t="s">
        <v>34</v>
      </c>
      <c r="M374" s="399">
        <v>16</v>
      </c>
      <c r="N374" s="356">
        <v>3429000</v>
      </c>
      <c r="O374" s="28" t="b">
        <v>1</v>
      </c>
    </row>
    <row r="375" spans="2:15" s="28" customFormat="1" ht="16.5" customHeight="1">
      <c r="B375" s="20"/>
      <c r="C375" s="20"/>
      <c r="D375" s="254"/>
      <c r="E375" s="379">
        <v>140143</v>
      </c>
      <c r="F375" s="395" t="s">
        <v>372</v>
      </c>
      <c r="G375" s="396"/>
      <c r="H375" s="397"/>
      <c r="I375" s="383">
        <v>203000</v>
      </c>
      <c r="J375" s="398">
        <v>140143</v>
      </c>
      <c r="K375" s="399" t="s">
        <v>70</v>
      </c>
      <c r="L375" s="399" t="s">
        <v>34</v>
      </c>
      <c r="M375" s="399">
        <v>16</v>
      </c>
      <c r="N375" s="356">
        <v>201000</v>
      </c>
      <c r="O375" s="28" t="b">
        <v>1</v>
      </c>
    </row>
    <row r="376" spans="2:15" s="28" customFormat="1" ht="16.5" customHeight="1">
      <c r="B376" s="20"/>
      <c r="C376" s="20"/>
      <c r="D376" s="254"/>
      <c r="E376" s="379">
        <v>140148</v>
      </c>
      <c r="F376" s="395" t="s">
        <v>650</v>
      </c>
      <c r="G376" s="401"/>
      <c r="H376" s="402"/>
      <c r="I376" s="383">
        <v>1484000</v>
      </c>
      <c r="J376" s="398">
        <v>140148</v>
      </c>
      <c r="K376" s="399" t="s">
        <v>71</v>
      </c>
      <c r="L376" s="399" t="s">
        <v>34</v>
      </c>
      <c r="M376" s="399">
        <v>180</v>
      </c>
      <c r="N376" s="356">
        <v>456000</v>
      </c>
      <c r="O376" s="28" t="b">
        <v>1</v>
      </c>
    </row>
    <row r="377" spans="2:15" s="28" customFormat="1" ht="16.5" customHeight="1">
      <c r="B377" s="20"/>
      <c r="C377" s="20"/>
      <c r="D377" s="254"/>
      <c r="E377" s="379">
        <v>140149</v>
      </c>
      <c r="F377" s="395" t="s">
        <v>651</v>
      </c>
      <c r="G377" s="396"/>
      <c r="H377" s="397"/>
      <c r="I377" s="383">
        <v>1303000</v>
      </c>
      <c r="J377" s="398">
        <v>140149</v>
      </c>
      <c r="K377" s="399" t="s">
        <v>71</v>
      </c>
      <c r="L377" s="399" t="s">
        <v>34</v>
      </c>
      <c r="M377" s="399">
        <v>180</v>
      </c>
      <c r="N377" s="356">
        <v>270000</v>
      </c>
      <c r="O377" s="28" t="b">
        <v>1</v>
      </c>
    </row>
    <row r="378" spans="2:15" s="28" customFormat="1" ht="16.5" customHeight="1">
      <c r="B378" s="20"/>
      <c r="C378" s="20"/>
      <c r="D378" s="254"/>
      <c r="E378" s="379">
        <v>140150</v>
      </c>
      <c r="F378" s="395" t="s">
        <v>652</v>
      </c>
      <c r="G378" s="396"/>
      <c r="H378" s="397"/>
      <c r="I378" s="383">
        <v>1484000</v>
      </c>
      <c r="J378" s="398">
        <v>140150</v>
      </c>
      <c r="K378" s="399" t="s">
        <v>71</v>
      </c>
      <c r="L378" s="399" t="s">
        <v>34</v>
      </c>
      <c r="M378" s="399">
        <v>180</v>
      </c>
      <c r="N378" s="356">
        <v>255000</v>
      </c>
      <c r="O378" s="28" t="b">
        <v>1</v>
      </c>
    </row>
    <row r="379" spans="2:15" s="28" customFormat="1" ht="16.5" customHeight="1">
      <c r="B379" s="20"/>
      <c r="C379" s="20"/>
      <c r="D379" s="254"/>
      <c r="E379" s="379">
        <v>140151</v>
      </c>
      <c r="F379" s="395" t="s">
        <v>653</v>
      </c>
      <c r="G379" s="396"/>
      <c r="H379" s="397"/>
      <c r="I379" s="383">
        <v>1568000</v>
      </c>
      <c r="J379" s="398">
        <v>140151</v>
      </c>
      <c r="K379" s="399" t="s">
        <v>71</v>
      </c>
      <c r="L379" s="399" t="s">
        <v>34</v>
      </c>
      <c r="M379" s="399">
        <v>180</v>
      </c>
      <c r="N379" s="356">
        <v>271000</v>
      </c>
      <c r="O379" s="28" t="b">
        <v>1</v>
      </c>
    </row>
    <row r="380" spans="2:15" s="28" customFormat="1" ht="16.5" customHeight="1">
      <c r="B380" s="20"/>
      <c r="C380" s="20"/>
      <c r="D380" s="254"/>
      <c r="E380" s="379">
        <v>140152</v>
      </c>
      <c r="F380" s="395" t="s">
        <v>654</v>
      </c>
      <c r="G380" s="396"/>
      <c r="H380" s="397"/>
      <c r="I380" s="383">
        <v>2126000</v>
      </c>
      <c r="J380" s="398">
        <v>140152</v>
      </c>
      <c r="K380" s="399" t="s">
        <v>71</v>
      </c>
      <c r="L380" s="399" t="s">
        <v>34</v>
      </c>
      <c r="M380" s="399">
        <v>180</v>
      </c>
      <c r="N380" s="356">
        <v>520000</v>
      </c>
      <c r="O380" s="28" t="b">
        <v>1</v>
      </c>
    </row>
    <row r="381" spans="2:15" s="28" customFormat="1" ht="16.5" customHeight="1">
      <c r="B381" s="20"/>
      <c r="C381" s="20"/>
      <c r="D381" s="254"/>
      <c r="E381" s="379">
        <v>140153</v>
      </c>
      <c r="F381" s="395" t="s">
        <v>655</v>
      </c>
      <c r="G381" s="396"/>
      <c r="H381" s="397"/>
      <c r="I381" s="383">
        <v>2128000</v>
      </c>
      <c r="J381" s="398">
        <v>140153</v>
      </c>
      <c r="K381" s="399" t="s">
        <v>71</v>
      </c>
      <c r="L381" s="399" t="s">
        <v>34</v>
      </c>
      <c r="M381" s="399">
        <v>180</v>
      </c>
      <c r="N381" s="356">
        <v>54000</v>
      </c>
      <c r="O381" s="28" t="b">
        <v>1</v>
      </c>
    </row>
    <row r="382" spans="2:15" s="28" customFormat="1" ht="16.5" customHeight="1">
      <c r="B382" s="20"/>
      <c r="C382" s="20"/>
      <c r="D382" s="254"/>
      <c r="E382" s="379">
        <v>140154</v>
      </c>
      <c r="F382" s="395" t="s">
        <v>656</v>
      </c>
      <c r="G382" s="396"/>
      <c r="H382" s="397"/>
      <c r="I382" s="383" t="e">
        <v>#N/A</v>
      </c>
      <c r="J382" s="398">
        <v>140154</v>
      </c>
      <c r="K382" s="399" t="s">
        <v>71</v>
      </c>
      <c r="L382" s="399" t="s">
        <v>34</v>
      </c>
      <c r="M382" s="399">
        <v>180</v>
      </c>
      <c r="N382" s="356">
        <v>3193000</v>
      </c>
      <c r="O382" s="28" t="b">
        <v>1</v>
      </c>
    </row>
    <row r="383" spans="2:15" s="28" customFormat="1" ht="16.5" customHeight="1">
      <c r="B383" s="20"/>
      <c r="C383" s="20"/>
      <c r="D383" s="254"/>
      <c r="E383" s="379">
        <v>140204</v>
      </c>
      <c r="F383" s="395" t="s">
        <v>379</v>
      </c>
      <c r="G383" s="396"/>
      <c r="H383" s="397"/>
      <c r="I383" s="383">
        <v>352000</v>
      </c>
      <c r="J383" s="398">
        <v>140204</v>
      </c>
      <c r="K383" s="399" t="s">
        <v>70</v>
      </c>
      <c r="L383" s="399" t="s">
        <v>34</v>
      </c>
      <c r="M383" s="399">
        <v>16</v>
      </c>
      <c r="N383" s="356">
        <v>3403000</v>
      </c>
      <c r="O383" s="28" t="b">
        <v>1</v>
      </c>
    </row>
    <row r="384" spans="2:15" s="28" customFormat="1" ht="16.5" customHeight="1">
      <c r="B384" s="20"/>
      <c r="C384" s="20"/>
      <c r="D384" s="254"/>
      <c r="E384" s="379">
        <v>140205</v>
      </c>
      <c r="F384" s="395" t="s">
        <v>380</v>
      </c>
      <c r="G384" s="401"/>
      <c r="H384" s="402"/>
      <c r="I384" s="383">
        <v>355000</v>
      </c>
      <c r="J384" s="398">
        <v>140205</v>
      </c>
      <c r="K384" s="399" t="s">
        <v>70</v>
      </c>
      <c r="L384" s="399" t="s">
        <v>34</v>
      </c>
      <c r="M384" s="399">
        <v>16</v>
      </c>
      <c r="N384" s="356">
        <v>320000</v>
      </c>
      <c r="O384" s="28" t="b">
        <v>1</v>
      </c>
    </row>
    <row r="385" spans="2:15" s="28" customFormat="1" ht="16.5" customHeight="1">
      <c r="B385" s="20"/>
      <c r="C385" s="20"/>
      <c r="D385" s="254"/>
      <c r="E385" s="379">
        <v>140206</v>
      </c>
      <c r="F385" s="395" t="s">
        <v>659</v>
      </c>
      <c r="G385" s="396"/>
      <c r="H385" s="397"/>
      <c r="I385" s="383">
        <v>3685000</v>
      </c>
      <c r="J385" s="398">
        <v>140206</v>
      </c>
      <c r="K385" s="399" t="s">
        <v>71</v>
      </c>
      <c r="L385" s="399" t="s">
        <v>34</v>
      </c>
      <c r="M385" s="399">
        <v>174</v>
      </c>
      <c r="N385" s="356">
        <v>3231000</v>
      </c>
      <c r="O385" s="28" t="b">
        <v>1</v>
      </c>
    </row>
    <row r="386" spans="2:15" s="28" customFormat="1" ht="16.5" customHeight="1">
      <c r="B386" s="20"/>
      <c r="C386" s="20"/>
      <c r="D386" s="254"/>
      <c r="E386" s="379">
        <v>140207</v>
      </c>
      <c r="F386" s="395" t="s">
        <v>660</v>
      </c>
      <c r="G386" s="396"/>
      <c r="H386" s="397"/>
      <c r="I386" s="383">
        <v>3777000</v>
      </c>
      <c r="J386" s="398">
        <v>140207</v>
      </c>
      <c r="K386" s="399" t="s">
        <v>71</v>
      </c>
      <c r="L386" s="399" t="s">
        <v>34</v>
      </c>
      <c r="M386" s="399">
        <v>174</v>
      </c>
      <c r="N386" s="356">
        <v>326000</v>
      </c>
      <c r="O386" s="28" t="b">
        <v>1</v>
      </c>
    </row>
    <row r="387" spans="2:15" s="28" customFormat="1" ht="16.5" customHeight="1">
      <c r="B387" s="20"/>
      <c r="C387" s="20"/>
      <c r="D387" s="254"/>
      <c r="E387" s="379">
        <v>140208</v>
      </c>
      <c r="F387" s="395" t="s">
        <v>661</v>
      </c>
      <c r="G387" s="396"/>
      <c r="H387" s="397"/>
      <c r="I387" s="383">
        <v>3689000</v>
      </c>
      <c r="J387" s="398">
        <v>140208</v>
      </c>
      <c r="K387" s="399" t="s">
        <v>71</v>
      </c>
      <c r="L387" s="399" t="s">
        <v>34</v>
      </c>
      <c r="M387" s="399">
        <v>174</v>
      </c>
      <c r="N387" s="356">
        <v>340000</v>
      </c>
      <c r="O387" s="28" t="b">
        <v>1</v>
      </c>
    </row>
    <row r="388" spans="2:15" s="28" customFormat="1" ht="16.5" customHeight="1">
      <c r="B388" s="20"/>
      <c r="C388" s="20"/>
      <c r="D388" s="254"/>
      <c r="E388" s="379">
        <v>140209</v>
      </c>
      <c r="F388" s="395" t="s">
        <v>662</v>
      </c>
      <c r="G388" s="396"/>
      <c r="H388" s="397"/>
      <c r="I388" s="383">
        <v>3730000</v>
      </c>
      <c r="J388" s="398">
        <v>140209</v>
      </c>
      <c r="K388" s="399" t="s">
        <v>71</v>
      </c>
      <c r="L388" s="399" t="s">
        <v>34</v>
      </c>
      <c r="M388" s="399">
        <v>174</v>
      </c>
      <c r="N388" s="356">
        <v>140000</v>
      </c>
      <c r="O388" s="28" t="b">
        <v>1</v>
      </c>
    </row>
    <row r="389" spans="2:15" s="28" customFormat="1" ht="16.5" customHeight="1">
      <c r="B389" s="20"/>
      <c r="C389" s="20"/>
      <c r="D389" s="254"/>
      <c r="E389" s="379">
        <v>140210</v>
      </c>
      <c r="F389" s="395" t="s">
        <v>663</v>
      </c>
      <c r="G389" s="396"/>
      <c r="H389" s="397"/>
      <c r="I389" s="383">
        <v>3687000</v>
      </c>
      <c r="J389" s="398">
        <v>140210</v>
      </c>
      <c r="K389" s="399" t="s">
        <v>71</v>
      </c>
      <c r="L389" s="399" t="s">
        <v>34</v>
      </c>
      <c r="M389" s="399">
        <v>174</v>
      </c>
      <c r="N389" s="356">
        <v>120000</v>
      </c>
      <c r="O389" s="28" t="b">
        <v>1</v>
      </c>
    </row>
    <row r="390" spans="2:15" s="28" customFormat="1" ht="16.5" customHeight="1">
      <c r="B390" s="20"/>
      <c r="C390" s="20"/>
      <c r="D390" s="254"/>
      <c r="E390" s="379">
        <v>140211</v>
      </c>
      <c r="F390" s="395" t="s">
        <v>664</v>
      </c>
      <c r="G390" s="396"/>
      <c r="H390" s="397"/>
      <c r="I390" s="383">
        <v>3730000</v>
      </c>
      <c r="J390" s="398">
        <v>140211</v>
      </c>
      <c r="K390" s="399" t="s">
        <v>71</v>
      </c>
      <c r="L390" s="399" t="s">
        <v>34</v>
      </c>
      <c r="M390" s="399">
        <v>174</v>
      </c>
      <c r="N390" s="356">
        <v>188000</v>
      </c>
      <c r="O390" s="28" t="b">
        <v>1</v>
      </c>
    </row>
    <row r="391" spans="2:15" s="28" customFormat="1" ht="16.5" customHeight="1">
      <c r="B391" s="20"/>
      <c r="C391" s="20"/>
      <c r="D391" s="254"/>
      <c r="E391" s="379">
        <v>140252</v>
      </c>
      <c r="F391" s="395" t="s">
        <v>381</v>
      </c>
      <c r="G391" s="396"/>
      <c r="H391" s="397"/>
      <c r="I391" s="383">
        <v>81000</v>
      </c>
      <c r="J391" s="398">
        <v>140252</v>
      </c>
      <c r="K391" s="399" t="s">
        <v>70</v>
      </c>
      <c r="L391" s="399" t="s">
        <v>34</v>
      </c>
      <c r="M391" s="399">
        <v>16</v>
      </c>
      <c r="N391" s="356">
        <v>130000</v>
      </c>
      <c r="O391" s="28" t="b">
        <v>1</v>
      </c>
    </row>
    <row r="392" spans="2:15" s="28" customFormat="1" ht="16.5" customHeight="1">
      <c r="B392" s="20"/>
      <c r="C392" s="20"/>
      <c r="D392" s="254"/>
      <c r="E392" s="379">
        <v>140254</v>
      </c>
      <c r="F392" s="395" t="s">
        <v>382</v>
      </c>
      <c r="G392" s="396"/>
      <c r="H392" s="397"/>
      <c r="I392" s="383">
        <v>81000</v>
      </c>
      <c r="J392" s="398">
        <v>140254</v>
      </c>
      <c r="K392" s="399" t="s">
        <v>70</v>
      </c>
      <c r="L392" s="399" t="s">
        <v>34</v>
      </c>
      <c r="M392" s="399">
        <v>16</v>
      </c>
      <c r="N392" s="356">
        <v>203000</v>
      </c>
      <c r="O392" s="28" t="b">
        <v>1</v>
      </c>
    </row>
    <row r="393" spans="2:15" s="28" customFormat="1" ht="16.5" customHeight="1">
      <c r="B393" s="20"/>
      <c r="C393" s="20"/>
      <c r="D393" s="254"/>
      <c r="E393" s="379">
        <v>140255</v>
      </c>
      <c r="F393" s="395" t="s">
        <v>383</v>
      </c>
      <c r="G393" s="396"/>
      <c r="H393" s="397"/>
      <c r="I393" s="383">
        <v>81000</v>
      </c>
      <c r="J393" s="398">
        <v>140255</v>
      </c>
      <c r="K393" s="399" t="s">
        <v>70</v>
      </c>
      <c r="L393" s="399" t="s">
        <v>34</v>
      </c>
      <c r="M393" s="399">
        <v>16</v>
      </c>
      <c r="N393" s="356">
        <v>1484000</v>
      </c>
      <c r="O393" s="28" t="b">
        <v>1</v>
      </c>
    </row>
    <row r="394" spans="2:15" s="28" customFormat="1" ht="16.5" customHeight="1">
      <c r="B394" s="20"/>
      <c r="C394" s="20"/>
      <c r="D394" s="254"/>
      <c r="E394" s="379">
        <v>140256</v>
      </c>
      <c r="F394" s="395" t="s">
        <v>384</v>
      </c>
      <c r="G394" s="396"/>
      <c r="H394" s="397"/>
      <c r="I394" s="383">
        <v>81000</v>
      </c>
      <c r="J394" s="398">
        <v>140256</v>
      </c>
      <c r="K394" s="399" t="s">
        <v>70</v>
      </c>
      <c r="L394" s="399" t="s">
        <v>34</v>
      </c>
      <c r="M394" s="399">
        <v>16</v>
      </c>
      <c r="N394" s="356">
        <v>1303000</v>
      </c>
      <c r="O394" s="28" t="b">
        <v>1</v>
      </c>
    </row>
    <row r="395" spans="2:15" s="28" customFormat="1" ht="16.5" customHeight="1">
      <c r="B395" s="20"/>
      <c r="C395" s="20"/>
      <c r="D395" s="254"/>
      <c r="E395" s="379">
        <v>140257</v>
      </c>
      <c r="F395" s="395" t="s">
        <v>127</v>
      </c>
      <c r="G395" s="396"/>
      <c r="H395" s="397"/>
      <c r="I395" s="383">
        <v>728000</v>
      </c>
      <c r="J395" s="398">
        <v>140257</v>
      </c>
      <c r="K395" s="399" t="s">
        <v>71</v>
      </c>
      <c r="L395" s="399" t="s">
        <v>34</v>
      </c>
      <c r="M395" s="399">
        <v>180</v>
      </c>
      <c r="N395" s="356">
        <v>1484000</v>
      </c>
      <c r="O395" s="28" t="b">
        <v>1</v>
      </c>
    </row>
    <row r="396" spans="2:15" s="28" customFormat="1" ht="16.5" customHeight="1">
      <c r="B396" s="20"/>
      <c r="C396" s="20"/>
      <c r="D396" s="254"/>
      <c r="E396" s="379">
        <v>140259</v>
      </c>
      <c r="F396" s="395" t="s">
        <v>665</v>
      </c>
      <c r="G396" s="396"/>
      <c r="H396" s="397"/>
      <c r="I396" s="383">
        <v>728000</v>
      </c>
      <c r="J396" s="398">
        <v>140259</v>
      </c>
      <c r="K396" s="399" t="s">
        <v>71</v>
      </c>
      <c r="L396" s="399" t="s">
        <v>34</v>
      </c>
      <c r="M396" s="399">
        <v>180</v>
      </c>
      <c r="N396" s="356">
        <v>1568000</v>
      </c>
      <c r="O396" s="28" t="b">
        <v>1</v>
      </c>
    </row>
    <row r="397" spans="2:15" s="28" customFormat="1" ht="16.5" customHeight="1">
      <c r="B397" s="20"/>
      <c r="C397" s="20"/>
      <c r="D397" s="254"/>
      <c r="E397" s="379">
        <v>140260</v>
      </c>
      <c r="F397" s="395" t="s">
        <v>666</v>
      </c>
      <c r="G397" s="396"/>
      <c r="H397" s="397"/>
      <c r="I397" s="383">
        <v>728000</v>
      </c>
      <c r="J397" s="398">
        <v>140260</v>
      </c>
      <c r="K397" s="399" t="s">
        <v>71</v>
      </c>
      <c r="L397" s="399" t="s">
        <v>34</v>
      </c>
      <c r="M397" s="399">
        <v>180</v>
      </c>
      <c r="N397" s="356">
        <v>2126000</v>
      </c>
      <c r="O397" s="28" t="b">
        <v>1</v>
      </c>
    </row>
    <row r="398" spans="2:15" s="28" customFormat="1" ht="16.5" customHeight="1">
      <c r="B398" s="20"/>
      <c r="C398" s="20"/>
      <c r="D398" s="254"/>
      <c r="E398" s="379">
        <v>140261</v>
      </c>
      <c r="F398" s="395" t="s">
        <v>667</v>
      </c>
      <c r="G398" s="396"/>
      <c r="H398" s="397"/>
      <c r="I398" s="383">
        <v>728000</v>
      </c>
      <c r="J398" s="398">
        <v>140261</v>
      </c>
      <c r="K398" s="399" t="s">
        <v>71</v>
      </c>
      <c r="L398" s="399" t="s">
        <v>34</v>
      </c>
      <c r="M398" s="399">
        <v>180</v>
      </c>
      <c r="N398" s="356">
        <v>2128000</v>
      </c>
      <c r="O398" s="28" t="b">
        <v>1</v>
      </c>
    </row>
    <row r="399" spans="2:15" s="28" customFormat="1" ht="16.5" customHeight="1">
      <c r="B399" s="20"/>
      <c r="C399" s="20"/>
      <c r="D399" s="254"/>
      <c r="E399" s="379">
        <v>140262</v>
      </c>
      <c r="F399" s="395" t="s">
        <v>668</v>
      </c>
      <c r="G399" s="396"/>
      <c r="H399" s="397"/>
      <c r="I399" s="383">
        <v>728000</v>
      </c>
      <c r="J399" s="398">
        <v>140262</v>
      </c>
      <c r="K399" s="399" t="s">
        <v>71</v>
      </c>
      <c r="L399" s="399" t="s">
        <v>34</v>
      </c>
      <c r="M399" s="399">
        <v>180</v>
      </c>
      <c r="N399" s="356" t="e">
        <v>#N/A</v>
      </c>
      <c r="O399" s="28" t="e">
        <v>#N/A</v>
      </c>
    </row>
    <row r="400" spans="2:15" s="28" customFormat="1" ht="16.5" customHeight="1">
      <c r="B400" s="20"/>
      <c r="C400" s="20"/>
      <c r="D400" s="254"/>
      <c r="E400" s="379">
        <v>140263</v>
      </c>
      <c r="F400" s="395" t="s">
        <v>126</v>
      </c>
      <c r="G400" s="396"/>
      <c r="H400" s="397"/>
      <c r="I400" s="383">
        <v>81000</v>
      </c>
      <c r="J400" s="398">
        <v>140263</v>
      </c>
      <c r="K400" s="399" t="s">
        <v>70</v>
      </c>
      <c r="L400" s="399" t="s">
        <v>34</v>
      </c>
      <c r="M400" s="399">
        <v>16</v>
      </c>
      <c r="N400" s="356">
        <v>352000</v>
      </c>
      <c r="O400" s="28" t="b">
        <v>1</v>
      </c>
    </row>
    <row r="401" spans="2:15" s="28" customFormat="1" ht="16.5" customHeight="1">
      <c r="B401" s="20"/>
      <c r="C401" s="20"/>
      <c r="D401" s="254"/>
      <c r="E401" s="379">
        <v>140355</v>
      </c>
      <c r="F401" s="395" t="s">
        <v>385</v>
      </c>
      <c r="G401" s="396"/>
      <c r="H401" s="397"/>
      <c r="I401" s="383" t="e">
        <v>#N/A</v>
      </c>
      <c r="J401" s="398">
        <v>140355</v>
      </c>
      <c r="K401" s="399" t="s">
        <v>70</v>
      </c>
      <c r="L401" s="399" t="s">
        <v>34</v>
      </c>
      <c r="M401" s="399">
        <v>18</v>
      </c>
      <c r="N401" s="356">
        <v>355000</v>
      </c>
      <c r="O401" s="28" t="b">
        <v>1</v>
      </c>
    </row>
    <row r="402" spans="2:15" s="28" customFormat="1" ht="16.5" customHeight="1">
      <c r="B402" s="20"/>
      <c r="C402" s="20"/>
      <c r="D402" s="254"/>
      <c r="E402" s="379">
        <v>140435</v>
      </c>
      <c r="F402" s="395" t="s">
        <v>89</v>
      </c>
      <c r="G402" s="396"/>
      <c r="H402" s="397"/>
      <c r="I402" s="383">
        <v>395000</v>
      </c>
      <c r="J402" s="398">
        <v>140435</v>
      </c>
      <c r="K402" s="399" t="s">
        <v>70</v>
      </c>
      <c r="L402" s="399" t="s">
        <v>34</v>
      </c>
      <c r="M402" s="399">
        <v>20</v>
      </c>
      <c r="N402" s="356">
        <v>3685000</v>
      </c>
      <c r="O402" s="28" t="b">
        <v>1</v>
      </c>
    </row>
    <row r="403" spans="2:15" s="28" customFormat="1" ht="16.5" customHeight="1">
      <c r="B403" s="20"/>
      <c r="C403" s="20"/>
      <c r="D403" s="254"/>
      <c r="E403" s="379">
        <v>140485</v>
      </c>
      <c r="F403" s="395" t="s">
        <v>386</v>
      </c>
      <c r="G403" s="396"/>
      <c r="H403" s="397"/>
      <c r="I403" s="383">
        <v>107000</v>
      </c>
      <c r="J403" s="398">
        <v>140485</v>
      </c>
      <c r="K403" s="399" t="s">
        <v>70</v>
      </c>
      <c r="L403" s="399" t="s">
        <v>34</v>
      </c>
      <c r="M403" s="399">
        <v>20</v>
      </c>
      <c r="N403" s="356">
        <v>3777000</v>
      </c>
      <c r="O403" s="28" t="b">
        <v>1</v>
      </c>
    </row>
    <row r="404" spans="2:15" s="28" customFormat="1" ht="16.5" customHeight="1">
      <c r="B404" s="20"/>
      <c r="C404" s="20"/>
      <c r="D404" s="254"/>
      <c r="E404" s="379">
        <v>140499</v>
      </c>
      <c r="F404" s="395" t="s">
        <v>670</v>
      </c>
      <c r="G404" s="396"/>
      <c r="H404" s="397"/>
      <c r="I404" s="383">
        <v>3384000</v>
      </c>
      <c r="J404" s="398">
        <v>140499</v>
      </c>
      <c r="K404" s="399" t="s">
        <v>71</v>
      </c>
      <c r="L404" s="399" t="s">
        <v>34</v>
      </c>
      <c r="M404" s="399">
        <v>208</v>
      </c>
      <c r="N404" s="356">
        <v>3689000</v>
      </c>
      <c r="O404" s="28" t="b">
        <v>1</v>
      </c>
    </row>
    <row r="405" spans="2:15" s="28" customFormat="1" ht="16.5" customHeight="1">
      <c r="B405" s="20"/>
      <c r="C405" s="20"/>
      <c r="D405" s="254"/>
      <c r="E405" s="379">
        <v>140501</v>
      </c>
      <c r="F405" s="395" t="s">
        <v>671</v>
      </c>
      <c r="G405" s="396"/>
      <c r="H405" s="397"/>
      <c r="I405" s="383">
        <v>4442000</v>
      </c>
      <c r="J405" s="398">
        <v>140501</v>
      </c>
      <c r="K405" s="399" t="s">
        <v>71</v>
      </c>
      <c r="L405" s="399" t="s">
        <v>34</v>
      </c>
      <c r="M405" s="399">
        <v>208</v>
      </c>
      <c r="N405" s="356">
        <v>3730000</v>
      </c>
      <c r="O405" s="28" t="b">
        <v>1</v>
      </c>
    </row>
    <row r="406" spans="2:15" s="28" customFormat="1" ht="16.5" customHeight="1">
      <c r="B406" s="20"/>
      <c r="C406" s="20"/>
      <c r="D406" s="254"/>
      <c r="E406" s="379">
        <v>140503</v>
      </c>
      <c r="F406" s="395" t="s">
        <v>672</v>
      </c>
      <c r="G406" s="396"/>
      <c r="H406" s="397"/>
      <c r="I406" s="383">
        <v>4515000</v>
      </c>
      <c r="J406" s="398">
        <v>140503</v>
      </c>
      <c r="K406" s="399" t="s">
        <v>71</v>
      </c>
      <c r="L406" s="399" t="s">
        <v>34</v>
      </c>
      <c r="M406" s="399">
        <v>208</v>
      </c>
      <c r="N406" s="356">
        <v>3687000</v>
      </c>
      <c r="O406" s="28" t="b">
        <v>1</v>
      </c>
    </row>
    <row r="407" spans="2:15" s="28" customFormat="1" ht="16.5" customHeight="1">
      <c r="B407" s="20"/>
      <c r="C407" s="20"/>
      <c r="D407" s="254"/>
      <c r="E407" s="379">
        <v>140541</v>
      </c>
      <c r="F407" s="395" t="s">
        <v>387</v>
      </c>
      <c r="G407" s="396"/>
      <c r="H407" s="397"/>
      <c r="I407" s="383"/>
      <c r="J407" s="398">
        <v>140541</v>
      </c>
      <c r="K407" s="399" t="s">
        <v>70</v>
      </c>
      <c r="L407" s="399" t="s">
        <v>34</v>
      </c>
      <c r="M407" s="399">
        <v>20</v>
      </c>
      <c r="N407" s="356">
        <v>3730000</v>
      </c>
      <c r="O407" s="28" t="b">
        <v>1</v>
      </c>
    </row>
    <row r="408" spans="2:15" s="28" customFormat="1" ht="16.5" customHeight="1">
      <c r="B408" s="20"/>
      <c r="C408" s="20"/>
      <c r="D408" s="254"/>
      <c r="E408" s="379">
        <v>140627</v>
      </c>
      <c r="F408" s="395" t="s">
        <v>676</v>
      </c>
      <c r="G408" s="396"/>
      <c r="H408" s="397"/>
      <c r="I408" s="383">
        <v>746000</v>
      </c>
      <c r="J408" s="398">
        <v>140627</v>
      </c>
      <c r="K408" s="399" t="s">
        <v>71</v>
      </c>
      <c r="L408" s="399" t="s">
        <v>34</v>
      </c>
      <c r="M408" s="399">
        <v>200</v>
      </c>
      <c r="N408" s="356">
        <v>81000</v>
      </c>
      <c r="O408" s="28" t="b">
        <v>1</v>
      </c>
    </row>
    <row r="409" spans="2:15" s="28" customFormat="1" ht="16.5" customHeight="1">
      <c r="B409" s="20"/>
      <c r="C409" s="20"/>
      <c r="D409" s="254"/>
      <c r="E409" s="379">
        <v>140629</v>
      </c>
      <c r="F409" s="395" t="s">
        <v>677</v>
      </c>
      <c r="G409" s="396"/>
      <c r="H409" s="397"/>
      <c r="I409" s="383">
        <v>746000</v>
      </c>
      <c r="J409" s="398">
        <v>140629</v>
      </c>
      <c r="K409" s="399" t="s">
        <v>71</v>
      </c>
      <c r="L409" s="399" t="s">
        <v>34</v>
      </c>
      <c r="M409" s="399">
        <v>200</v>
      </c>
      <c r="N409" s="356">
        <v>81000</v>
      </c>
      <c r="O409" s="28" t="b">
        <v>1</v>
      </c>
    </row>
    <row r="410" spans="2:15" s="28" customFormat="1" ht="16.5" customHeight="1">
      <c r="B410" s="20"/>
      <c r="C410" s="20"/>
      <c r="D410" s="254"/>
      <c r="E410" s="379">
        <v>140631</v>
      </c>
      <c r="F410" s="395" t="s">
        <v>678</v>
      </c>
      <c r="G410" s="396"/>
      <c r="H410" s="397"/>
      <c r="I410" s="383">
        <v>746000</v>
      </c>
      <c r="J410" s="398">
        <v>140631</v>
      </c>
      <c r="K410" s="399" t="s">
        <v>71</v>
      </c>
      <c r="L410" s="399" t="s">
        <v>34</v>
      </c>
      <c r="M410" s="399">
        <v>200</v>
      </c>
      <c r="N410" s="356">
        <v>81000</v>
      </c>
      <c r="O410" s="28" t="b">
        <v>1</v>
      </c>
    </row>
    <row r="411" spans="2:15" s="28" customFormat="1" ht="16.5" customHeight="1">
      <c r="B411" s="20"/>
      <c r="C411" s="20"/>
      <c r="D411" s="254"/>
      <c r="E411" s="379">
        <v>140675</v>
      </c>
      <c r="F411" s="395" t="s">
        <v>388</v>
      </c>
      <c r="G411" s="396"/>
      <c r="H411" s="397"/>
      <c r="I411" s="383">
        <v>79200</v>
      </c>
      <c r="J411" s="398">
        <v>140675</v>
      </c>
      <c r="K411" s="399" t="s">
        <v>70</v>
      </c>
      <c r="L411" s="399" t="s">
        <v>34</v>
      </c>
      <c r="M411" s="399">
        <v>20</v>
      </c>
      <c r="N411" s="356">
        <v>81000</v>
      </c>
      <c r="O411" s="28" t="b">
        <v>1</v>
      </c>
    </row>
    <row r="412" spans="2:15" s="28" customFormat="1" ht="16.5" customHeight="1">
      <c r="B412" s="20"/>
      <c r="C412" s="20"/>
      <c r="D412" s="254"/>
      <c r="E412" s="379">
        <v>140676</v>
      </c>
      <c r="F412" s="395" t="s">
        <v>389</v>
      </c>
      <c r="G412" s="396"/>
      <c r="H412" s="397"/>
      <c r="I412" s="383">
        <v>79200</v>
      </c>
      <c r="J412" s="398">
        <v>140676</v>
      </c>
      <c r="K412" s="399" t="s">
        <v>70</v>
      </c>
      <c r="L412" s="399" t="s">
        <v>34</v>
      </c>
      <c r="M412" s="399">
        <v>20</v>
      </c>
      <c r="N412" s="356">
        <v>728000</v>
      </c>
      <c r="O412" s="28" t="b">
        <v>1</v>
      </c>
    </row>
    <row r="413" spans="2:15" s="28" customFormat="1" ht="16.5" customHeight="1">
      <c r="B413" s="20"/>
      <c r="C413" s="20"/>
      <c r="D413" s="254"/>
      <c r="E413" s="379">
        <v>140677</v>
      </c>
      <c r="F413" s="395" t="s">
        <v>390</v>
      </c>
      <c r="G413" s="396"/>
      <c r="H413" s="397"/>
      <c r="I413" s="383">
        <v>79200</v>
      </c>
      <c r="J413" s="398">
        <v>140677</v>
      </c>
      <c r="K413" s="399" t="s">
        <v>70</v>
      </c>
      <c r="L413" s="399" t="s">
        <v>34</v>
      </c>
      <c r="M413" s="399">
        <v>20</v>
      </c>
      <c r="N413" s="356">
        <v>728000</v>
      </c>
      <c r="O413" s="28" t="b">
        <v>1</v>
      </c>
    </row>
    <row r="414" spans="2:15" s="28" customFormat="1" ht="16.5" customHeight="1">
      <c r="B414" s="20"/>
      <c r="C414" s="20"/>
      <c r="D414" s="254"/>
      <c r="E414" s="379">
        <v>140787</v>
      </c>
      <c r="F414" s="395" t="s">
        <v>682</v>
      </c>
      <c r="G414" s="396"/>
      <c r="H414" s="397"/>
      <c r="I414" s="383">
        <v>1151000</v>
      </c>
      <c r="J414" s="398">
        <v>140787</v>
      </c>
      <c r="K414" s="399" t="s">
        <v>71</v>
      </c>
      <c r="L414" s="399" t="s">
        <v>34</v>
      </c>
      <c r="M414" s="399">
        <v>208</v>
      </c>
      <c r="N414" s="356">
        <v>728000</v>
      </c>
      <c r="O414" s="28" t="b">
        <v>1</v>
      </c>
    </row>
    <row r="415" spans="2:15" s="28" customFormat="1" ht="16.5" customHeight="1">
      <c r="B415" s="20"/>
      <c r="C415" s="20"/>
      <c r="D415" s="254"/>
      <c r="E415" s="379">
        <v>140817</v>
      </c>
      <c r="F415" s="395" t="s">
        <v>122</v>
      </c>
      <c r="G415" s="396"/>
      <c r="H415" s="397"/>
      <c r="I415" s="383" t="e">
        <v>#N/A</v>
      </c>
      <c r="J415" s="398">
        <v>140817</v>
      </c>
      <c r="K415" s="399" t="s">
        <v>71</v>
      </c>
      <c r="L415" s="399" t="s">
        <v>34</v>
      </c>
      <c r="M415" s="399">
        <v>208</v>
      </c>
      <c r="N415" s="356">
        <v>728000</v>
      </c>
      <c r="O415" s="28" t="b">
        <v>1</v>
      </c>
    </row>
    <row r="416" spans="2:15" s="28" customFormat="1" ht="16.5" customHeight="1">
      <c r="B416" s="20"/>
      <c r="C416" s="20"/>
      <c r="D416" s="254"/>
      <c r="E416" s="379">
        <v>140854</v>
      </c>
      <c r="F416" s="395" t="s">
        <v>756</v>
      </c>
      <c r="G416" s="396"/>
      <c r="H416" s="397"/>
      <c r="I416" s="383">
        <v>287000</v>
      </c>
      <c r="J416" s="398">
        <v>140854</v>
      </c>
      <c r="K416" s="399" t="s">
        <v>70</v>
      </c>
      <c r="L416" s="399" t="s">
        <v>34</v>
      </c>
      <c r="M416" s="399">
        <v>20</v>
      </c>
      <c r="N416" s="356">
        <v>728000</v>
      </c>
      <c r="O416" s="28" t="b">
        <v>1</v>
      </c>
    </row>
    <row r="417" spans="2:15" s="28" customFormat="1" ht="16.5" customHeight="1">
      <c r="B417" s="20"/>
      <c r="C417" s="20"/>
      <c r="D417" s="254"/>
      <c r="E417" s="379">
        <v>141187</v>
      </c>
      <c r="F417" s="395" t="s">
        <v>125</v>
      </c>
      <c r="G417" s="396"/>
      <c r="H417" s="397"/>
      <c r="I417" s="383"/>
      <c r="J417" s="398">
        <v>141187</v>
      </c>
      <c r="K417" s="399" t="s">
        <v>71</v>
      </c>
      <c r="L417" s="399" t="s">
        <v>34</v>
      </c>
      <c r="M417" s="399">
        <v>200</v>
      </c>
      <c r="N417" s="356">
        <v>81000</v>
      </c>
      <c r="O417" s="28" t="b">
        <v>1</v>
      </c>
    </row>
    <row r="418" spans="2:15" s="28" customFormat="1" ht="16.5" customHeight="1">
      <c r="B418" s="20"/>
      <c r="C418" s="20"/>
      <c r="D418" s="254"/>
      <c r="E418" s="379">
        <v>141361</v>
      </c>
      <c r="F418" s="395" t="s">
        <v>391</v>
      </c>
      <c r="G418" s="396"/>
      <c r="H418" s="397"/>
      <c r="I418" s="383">
        <v>476000</v>
      </c>
      <c r="J418" s="398">
        <v>141361</v>
      </c>
      <c r="K418" s="399" t="s">
        <v>70</v>
      </c>
      <c r="L418" s="399" t="s">
        <v>34</v>
      </c>
      <c r="M418" s="399">
        <v>16</v>
      </c>
      <c r="N418" s="356" t="e">
        <v>#N/A</v>
      </c>
      <c r="O418" s="28" t="e">
        <v>#N/A</v>
      </c>
    </row>
    <row r="419" spans="2:15" s="28" customFormat="1" ht="16.5" customHeight="1">
      <c r="B419" s="20"/>
      <c r="C419" s="20"/>
      <c r="D419" s="254"/>
      <c r="E419" s="379">
        <v>141367</v>
      </c>
      <c r="F419" s="395" t="s">
        <v>392</v>
      </c>
      <c r="G419" s="396"/>
      <c r="H419" s="397"/>
      <c r="I419" s="383">
        <v>107000</v>
      </c>
      <c r="J419" s="398">
        <v>141367</v>
      </c>
      <c r="K419" s="399" t="s">
        <v>70</v>
      </c>
      <c r="L419" s="399" t="s">
        <v>34</v>
      </c>
      <c r="M419" s="399">
        <v>20</v>
      </c>
      <c r="N419" s="356">
        <v>395000</v>
      </c>
      <c r="O419" s="28" t="b">
        <v>1</v>
      </c>
    </row>
    <row r="420" spans="2:15" s="28" customFormat="1" ht="16.5" customHeight="1">
      <c r="B420" s="20"/>
      <c r="C420" s="20"/>
      <c r="D420" s="254"/>
      <c r="E420" s="379">
        <v>148677</v>
      </c>
      <c r="F420" s="395" t="s">
        <v>134</v>
      </c>
      <c r="G420" s="396"/>
      <c r="H420" s="397"/>
      <c r="I420" s="383">
        <v>1029000</v>
      </c>
      <c r="J420" s="398">
        <v>148677</v>
      </c>
      <c r="K420" s="399" t="s">
        <v>71</v>
      </c>
      <c r="L420" s="399" t="s">
        <v>34</v>
      </c>
      <c r="M420" s="399">
        <v>200</v>
      </c>
      <c r="N420" s="356">
        <v>107000</v>
      </c>
      <c r="O420" s="28" t="b">
        <v>1</v>
      </c>
    </row>
    <row r="421" spans="2:15" s="28" customFormat="1" ht="16.5" customHeight="1">
      <c r="B421" s="20"/>
      <c r="C421" s="20"/>
      <c r="D421" s="254"/>
      <c r="E421" s="379">
        <v>141429</v>
      </c>
      <c r="F421" s="395" t="s">
        <v>119</v>
      </c>
      <c r="G421" s="396"/>
      <c r="H421" s="397"/>
      <c r="I421" s="383">
        <v>4915000</v>
      </c>
      <c r="J421" s="398">
        <v>141429</v>
      </c>
      <c r="K421" s="399" t="s">
        <v>71</v>
      </c>
      <c r="L421" s="399" t="s">
        <v>34</v>
      </c>
      <c r="M421" s="399">
        <v>174</v>
      </c>
      <c r="N421" s="356">
        <v>3384000</v>
      </c>
      <c r="O421" s="28" t="b">
        <v>1</v>
      </c>
    </row>
    <row r="422" spans="2:15" s="28" customFormat="1" ht="16.5" customHeight="1">
      <c r="B422" s="20"/>
      <c r="C422" s="20"/>
      <c r="D422" s="254"/>
      <c r="E422" s="379">
        <v>141467</v>
      </c>
      <c r="F422" s="395" t="s">
        <v>393</v>
      </c>
      <c r="G422" s="396"/>
      <c r="H422" s="397"/>
      <c r="I422" s="383">
        <v>233000</v>
      </c>
      <c r="J422" s="398">
        <v>141467</v>
      </c>
      <c r="K422" s="399" t="s">
        <v>70</v>
      </c>
      <c r="L422" s="399" t="s">
        <v>34</v>
      </c>
      <c r="M422" s="399">
        <v>15.87</v>
      </c>
      <c r="N422" s="356">
        <v>4442000</v>
      </c>
      <c r="O422" s="28" t="b">
        <v>1</v>
      </c>
    </row>
    <row r="423" spans="2:15" s="28" customFormat="1" ht="16.5" customHeight="1">
      <c r="B423" s="20"/>
      <c r="C423" s="20"/>
      <c r="D423" s="254"/>
      <c r="E423" s="379">
        <v>141468</v>
      </c>
      <c r="F423" s="395" t="s">
        <v>686</v>
      </c>
      <c r="G423" s="396"/>
      <c r="H423" s="397"/>
      <c r="I423" s="383">
        <v>2439000</v>
      </c>
      <c r="J423" s="398">
        <v>141468</v>
      </c>
      <c r="K423" s="399" t="s">
        <v>71</v>
      </c>
      <c r="L423" s="399" t="s">
        <v>34</v>
      </c>
      <c r="M423" s="399">
        <v>180</v>
      </c>
      <c r="N423" s="356">
        <v>4515000</v>
      </c>
      <c r="O423" s="28" t="b">
        <v>1</v>
      </c>
    </row>
    <row r="424" spans="2:15" s="28" customFormat="1" ht="16.5" customHeight="1">
      <c r="B424" s="20"/>
      <c r="C424" s="20"/>
      <c r="D424" s="254"/>
      <c r="E424" s="379">
        <v>141654</v>
      </c>
      <c r="F424" s="395" t="s">
        <v>394</v>
      </c>
      <c r="G424" s="396"/>
      <c r="H424" s="397"/>
      <c r="I424" s="383">
        <v>62700</v>
      </c>
      <c r="J424" s="398">
        <v>141654</v>
      </c>
      <c r="K424" s="399" t="s">
        <v>70</v>
      </c>
      <c r="L424" s="399" t="s">
        <v>34</v>
      </c>
      <c r="M424" s="399">
        <v>20</v>
      </c>
      <c r="N424" s="356" t="e">
        <v>#N/A</v>
      </c>
      <c r="O424" s="28" t="e">
        <v>#N/A</v>
      </c>
    </row>
    <row r="425" spans="2:15" s="28" customFormat="1" ht="16.5" customHeight="1">
      <c r="B425" s="20"/>
      <c r="C425" s="20"/>
      <c r="D425" s="254"/>
      <c r="E425" s="379">
        <v>141655</v>
      </c>
      <c r="F425" s="395" t="s">
        <v>689</v>
      </c>
      <c r="G425" s="396"/>
      <c r="H425" s="397"/>
      <c r="I425" s="383">
        <v>582000</v>
      </c>
      <c r="J425" s="398">
        <v>141655</v>
      </c>
      <c r="K425" s="399" t="s">
        <v>71</v>
      </c>
      <c r="L425" s="399" t="s">
        <v>34</v>
      </c>
      <c r="M425" s="399">
        <v>200</v>
      </c>
      <c r="N425" s="356">
        <v>746000</v>
      </c>
      <c r="O425" s="28" t="b">
        <v>1</v>
      </c>
    </row>
    <row r="426" spans="2:15" s="28" customFormat="1" ht="16.5" customHeight="1">
      <c r="B426" s="20"/>
      <c r="C426" s="20"/>
      <c r="D426" s="254"/>
      <c r="E426" s="379">
        <v>141657</v>
      </c>
      <c r="F426" s="395" t="s">
        <v>395</v>
      </c>
      <c r="G426" s="396"/>
      <c r="H426" s="397"/>
      <c r="I426" s="383">
        <v>62700</v>
      </c>
      <c r="J426" s="398">
        <v>141657</v>
      </c>
      <c r="K426" s="399" t="s">
        <v>70</v>
      </c>
      <c r="L426" s="399" t="s">
        <v>34</v>
      </c>
      <c r="M426" s="399">
        <v>20</v>
      </c>
      <c r="N426" s="356">
        <v>746000</v>
      </c>
      <c r="O426" s="28" t="b">
        <v>1</v>
      </c>
    </row>
    <row r="427" spans="2:15" s="28" customFormat="1" ht="16.5" customHeight="1">
      <c r="B427" s="20"/>
      <c r="C427" s="20"/>
      <c r="D427" s="254"/>
      <c r="E427" s="379">
        <v>141658</v>
      </c>
      <c r="F427" s="395" t="s">
        <v>691</v>
      </c>
      <c r="G427" s="396"/>
      <c r="H427" s="397"/>
      <c r="I427" s="383">
        <v>582000</v>
      </c>
      <c r="J427" s="398">
        <v>141658</v>
      </c>
      <c r="K427" s="399" t="s">
        <v>71</v>
      </c>
      <c r="L427" s="399" t="s">
        <v>34</v>
      </c>
      <c r="M427" s="399">
        <v>200</v>
      </c>
      <c r="N427" s="356">
        <v>746000</v>
      </c>
      <c r="O427" s="28" t="b">
        <v>1</v>
      </c>
    </row>
    <row r="428" spans="2:15" s="28" customFormat="1" ht="16.5" customHeight="1">
      <c r="B428" s="20"/>
      <c r="C428" s="20"/>
      <c r="D428" s="254"/>
      <c r="E428" s="379">
        <v>141666</v>
      </c>
      <c r="F428" s="395" t="s">
        <v>693</v>
      </c>
      <c r="G428" s="396"/>
      <c r="H428" s="397"/>
      <c r="I428" s="383">
        <v>755000</v>
      </c>
      <c r="J428" s="398">
        <v>141666</v>
      </c>
      <c r="K428" s="399" t="s">
        <v>71</v>
      </c>
      <c r="L428" s="399" t="s">
        <v>34</v>
      </c>
      <c r="M428" s="399">
        <v>200</v>
      </c>
      <c r="N428" s="356">
        <v>79200</v>
      </c>
      <c r="O428" s="28" t="b">
        <v>1</v>
      </c>
    </row>
    <row r="429" spans="2:15" s="28" customFormat="1" ht="16.5" customHeight="1">
      <c r="B429" s="20"/>
      <c r="C429" s="20"/>
      <c r="D429" s="254"/>
      <c r="E429" s="379">
        <v>141667</v>
      </c>
      <c r="F429" s="395" t="s">
        <v>694</v>
      </c>
      <c r="G429" s="396"/>
      <c r="H429" s="397"/>
      <c r="I429" s="383">
        <v>755000</v>
      </c>
      <c r="J429" s="398">
        <v>141667</v>
      </c>
      <c r="K429" s="399" t="s">
        <v>71</v>
      </c>
      <c r="L429" s="399" t="s">
        <v>34</v>
      </c>
      <c r="M429" s="399">
        <v>200</v>
      </c>
      <c r="N429" s="356">
        <v>79200</v>
      </c>
      <c r="O429" s="28" t="b">
        <v>1</v>
      </c>
    </row>
    <row r="430" spans="2:15" s="28" customFormat="1" ht="16.5" customHeight="1">
      <c r="B430" s="20"/>
      <c r="C430" s="20"/>
      <c r="D430" s="254"/>
      <c r="E430" s="379">
        <v>141737</v>
      </c>
      <c r="F430" s="395" t="s">
        <v>116</v>
      </c>
      <c r="G430" s="396"/>
      <c r="H430" s="397"/>
      <c r="I430" s="383">
        <v>56300</v>
      </c>
      <c r="J430" s="398">
        <v>141737</v>
      </c>
      <c r="K430" s="399" t="s">
        <v>70</v>
      </c>
      <c r="L430" s="399" t="s">
        <v>34</v>
      </c>
      <c r="M430" s="399">
        <v>20</v>
      </c>
      <c r="N430" s="356">
        <v>79200</v>
      </c>
      <c r="O430" s="28" t="b">
        <v>1</v>
      </c>
    </row>
    <row r="431" spans="2:15" s="28" customFormat="1" ht="16.5" customHeight="1">
      <c r="B431" s="20"/>
      <c r="C431" s="20"/>
      <c r="D431" s="254"/>
      <c r="E431" s="379">
        <v>141738</v>
      </c>
      <c r="F431" s="395" t="s">
        <v>115</v>
      </c>
      <c r="G431" s="396"/>
      <c r="H431" s="397"/>
      <c r="I431" s="383">
        <v>520000</v>
      </c>
      <c r="J431" s="398">
        <v>141738</v>
      </c>
      <c r="K431" s="399" t="s">
        <v>71</v>
      </c>
      <c r="L431" s="399" t="s">
        <v>34</v>
      </c>
      <c r="M431" s="399">
        <v>200</v>
      </c>
      <c r="N431" s="356">
        <v>1151000</v>
      </c>
      <c r="O431" s="28" t="b">
        <v>1</v>
      </c>
    </row>
    <row r="432" spans="2:15" s="28" customFormat="1" ht="16.5" customHeight="1">
      <c r="B432" s="20"/>
      <c r="C432" s="20"/>
      <c r="D432" s="254"/>
      <c r="E432" s="379">
        <v>141741</v>
      </c>
      <c r="F432" s="395" t="s">
        <v>114</v>
      </c>
      <c r="G432" s="396"/>
      <c r="H432" s="397"/>
      <c r="I432" s="383">
        <v>53900</v>
      </c>
      <c r="J432" s="398">
        <v>141741</v>
      </c>
      <c r="K432" s="399" t="s">
        <v>70</v>
      </c>
      <c r="L432" s="399" t="s">
        <v>34</v>
      </c>
      <c r="M432" s="399">
        <v>20</v>
      </c>
      <c r="N432" s="356">
        <v>1065000</v>
      </c>
      <c r="O432" s="28" t="e">
        <v>#N/A</v>
      </c>
    </row>
    <row r="433" spans="2:15" s="28" customFormat="1" ht="16.5" customHeight="1">
      <c r="B433" s="20"/>
      <c r="C433" s="20"/>
      <c r="D433" s="254"/>
      <c r="E433" s="379">
        <v>141742</v>
      </c>
      <c r="F433" s="395" t="s">
        <v>113</v>
      </c>
      <c r="G433" s="396"/>
      <c r="H433" s="397"/>
      <c r="I433" s="383">
        <v>492000</v>
      </c>
      <c r="J433" s="398">
        <v>141742</v>
      </c>
      <c r="K433" s="399" t="s">
        <v>71</v>
      </c>
      <c r="L433" s="399" t="s">
        <v>34</v>
      </c>
      <c r="M433" s="399">
        <v>200</v>
      </c>
      <c r="N433" s="356">
        <v>287000</v>
      </c>
      <c r="O433" s="28" t="b">
        <v>1</v>
      </c>
    </row>
    <row r="434" spans="2:15" s="28" customFormat="1" ht="16.5" customHeight="1">
      <c r="B434" s="20"/>
      <c r="C434" s="20"/>
      <c r="D434" s="254"/>
      <c r="E434" s="379">
        <v>141745</v>
      </c>
      <c r="F434" s="395" t="s">
        <v>112</v>
      </c>
      <c r="G434" s="396"/>
      <c r="H434" s="397"/>
      <c r="I434" s="383">
        <v>53900</v>
      </c>
      <c r="J434" s="398">
        <v>141745</v>
      </c>
      <c r="K434" s="399" t="s">
        <v>70</v>
      </c>
      <c r="L434" s="399" t="s">
        <v>34</v>
      </c>
      <c r="M434" s="399">
        <v>20</v>
      </c>
      <c r="N434" s="356" t="e">
        <v>#N/A</v>
      </c>
      <c r="O434" s="28" t="e">
        <v>#N/A</v>
      </c>
    </row>
    <row r="435" spans="2:15" s="28" customFormat="1" ht="16.5" customHeight="1">
      <c r="B435" s="20"/>
      <c r="C435" s="20"/>
      <c r="D435" s="254"/>
      <c r="E435" s="379">
        <v>141746</v>
      </c>
      <c r="F435" s="395" t="s">
        <v>111</v>
      </c>
      <c r="G435" s="396"/>
      <c r="H435" s="397"/>
      <c r="I435" s="383">
        <v>492000</v>
      </c>
      <c r="J435" s="398">
        <v>141746</v>
      </c>
      <c r="K435" s="399" t="s">
        <v>71</v>
      </c>
      <c r="L435" s="399" t="s">
        <v>34</v>
      </c>
      <c r="M435" s="399">
        <v>200</v>
      </c>
      <c r="N435" s="356">
        <v>476000</v>
      </c>
      <c r="O435" s="28" t="b">
        <v>1</v>
      </c>
    </row>
    <row r="436" spans="2:15" s="28" customFormat="1" ht="16.5" customHeight="1">
      <c r="B436" s="20"/>
      <c r="C436" s="20"/>
      <c r="D436" s="254"/>
      <c r="E436" s="379">
        <v>141750</v>
      </c>
      <c r="F436" s="395" t="s">
        <v>231</v>
      </c>
      <c r="G436" s="396"/>
      <c r="H436" s="397"/>
      <c r="I436" s="383">
        <v>53900</v>
      </c>
      <c r="J436" s="398">
        <v>141750</v>
      </c>
      <c r="K436" s="399" t="s">
        <v>70</v>
      </c>
      <c r="L436" s="399" t="s">
        <v>34</v>
      </c>
      <c r="M436" s="399">
        <v>20</v>
      </c>
      <c r="N436" s="356">
        <v>107000</v>
      </c>
      <c r="O436" s="28" t="b">
        <v>1</v>
      </c>
    </row>
    <row r="437" spans="2:15" s="28" customFormat="1" ht="16.5" customHeight="1">
      <c r="B437" s="20"/>
      <c r="C437" s="20"/>
      <c r="D437" s="254"/>
      <c r="E437" s="379">
        <v>141751</v>
      </c>
      <c r="F437" s="395" t="s">
        <v>110</v>
      </c>
      <c r="G437" s="396"/>
      <c r="H437" s="397"/>
      <c r="I437" s="383">
        <v>492000</v>
      </c>
      <c r="J437" s="398">
        <v>141751</v>
      </c>
      <c r="K437" s="399" t="s">
        <v>71</v>
      </c>
      <c r="L437" s="399" t="s">
        <v>34</v>
      </c>
      <c r="M437" s="399">
        <v>200</v>
      </c>
      <c r="N437" s="356">
        <v>1029000</v>
      </c>
      <c r="O437" s="28" t="b">
        <v>1</v>
      </c>
    </row>
    <row r="438" spans="2:15" s="28" customFormat="1" ht="16.5" customHeight="1">
      <c r="B438" s="20"/>
      <c r="C438" s="20"/>
      <c r="D438" s="254"/>
      <c r="E438" s="379">
        <v>141763</v>
      </c>
      <c r="F438" s="395" t="s">
        <v>396</v>
      </c>
      <c r="G438" s="396"/>
      <c r="H438" s="397"/>
      <c r="I438" s="383">
        <v>79600</v>
      </c>
      <c r="J438" s="398">
        <v>141763</v>
      </c>
      <c r="K438" s="399" t="s">
        <v>70</v>
      </c>
      <c r="L438" s="399" t="s">
        <v>34</v>
      </c>
      <c r="M438" s="399">
        <v>20</v>
      </c>
      <c r="N438" s="356">
        <v>4915000</v>
      </c>
      <c r="O438" s="28" t="b">
        <v>1</v>
      </c>
    </row>
    <row r="439" spans="2:15" s="28" customFormat="1" ht="16.5" customHeight="1">
      <c r="B439" s="20"/>
      <c r="C439" s="20"/>
      <c r="D439" s="254"/>
      <c r="E439" s="379">
        <v>142012</v>
      </c>
      <c r="F439" s="395" t="s">
        <v>129</v>
      </c>
      <c r="G439" s="396"/>
      <c r="H439" s="397"/>
      <c r="I439" s="383">
        <v>46900</v>
      </c>
      <c r="J439" s="398">
        <v>142012</v>
      </c>
      <c r="K439" s="399" t="s">
        <v>70</v>
      </c>
      <c r="L439" s="399" t="s">
        <v>34</v>
      </c>
      <c r="M439" s="399">
        <v>20</v>
      </c>
      <c r="N439" s="356">
        <v>233000</v>
      </c>
      <c r="O439" s="28" t="b">
        <v>1</v>
      </c>
    </row>
    <row r="440" spans="2:15" s="28" customFormat="1" ht="16.5" customHeight="1">
      <c r="B440" s="20"/>
      <c r="C440" s="20"/>
      <c r="D440" s="254"/>
      <c r="E440" s="379">
        <v>142028</v>
      </c>
      <c r="F440" s="395" t="s">
        <v>768</v>
      </c>
      <c r="G440" s="396"/>
      <c r="H440" s="397"/>
      <c r="I440" s="383">
        <v>318000</v>
      </c>
      <c r="J440" s="398">
        <v>142028</v>
      </c>
      <c r="K440" s="399" t="s">
        <v>70</v>
      </c>
      <c r="L440" s="399" t="s">
        <v>34</v>
      </c>
      <c r="M440" s="399">
        <v>16</v>
      </c>
      <c r="N440" s="356">
        <v>2439000</v>
      </c>
      <c r="O440" s="28" t="b">
        <v>1</v>
      </c>
    </row>
    <row r="441" spans="2:15" s="28" customFormat="1" ht="16.5" customHeight="1">
      <c r="B441" s="20"/>
      <c r="C441" s="20"/>
      <c r="D441" s="254"/>
      <c r="E441" s="379">
        <v>142288</v>
      </c>
      <c r="F441" s="395" t="s">
        <v>121</v>
      </c>
      <c r="G441" s="396"/>
      <c r="H441" s="397"/>
      <c r="I441" s="383">
        <v>6002000</v>
      </c>
      <c r="J441" s="398">
        <v>142288</v>
      </c>
      <c r="K441" s="399" t="s">
        <v>71</v>
      </c>
      <c r="L441" s="399" t="s">
        <v>34</v>
      </c>
      <c r="M441" s="399">
        <v>208</v>
      </c>
      <c r="N441" s="356">
        <v>62700</v>
      </c>
      <c r="O441" s="28" t="b">
        <v>1</v>
      </c>
    </row>
    <row r="442" spans="2:15" s="28" customFormat="1" ht="16.5" customHeight="1">
      <c r="B442" s="20"/>
      <c r="C442" s="20"/>
      <c r="D442" s="254"/>
      <c r="E442" s="379">
        <v>142411</v>
      </c>
      <c r="F442" s="395" t="s">
        <v>705</v>
      </c>
      <c r="G442" s="396"/>
      <c r="H442" s="397"/>
      <c r="I442" s="383">
        <v>777000</v>
      </c>
      <c r="J442" s="398">
        <v>142411</v>
      </c>
      <c r="K442" s="399" t="s">
        <v>71</v>
      </c>
      <c r="L442" s="399" t="s">
        <v>34</v>
      </c>
      <c r="M442" s="399">
        <v>200</v>
      </c>
      <c r="N442" s="356">
        <v>582000</v>
      </c>
      <c r="O442" s="28" t="b">
        <v>1</v>
      </c>
    </row>
    <row r="443" spans="2:15" s="28" customFormat="1" ht="16.5" customHeight="1">
      <c r="B443" s="20"/>
      <c r="C443" s="20"/>
      <c r="D443" s="254"/>
      <c r="E443" s="379">
        <v>142637</v>
      </c>
      <c r="F443" s="395" t="s">
        <v>707</v>
      </c>
      <c r="G443" s="396"/>
      <c r="H443" s="397"/>
      <c r="I443" s="383">
        <v>4494000</v>
      </c>
      <c r="J443" s="399">
        <v>142637</v>
      </c>
      <c r="K443" s="399" t="s">
        <v>71</v>
      </c>
      <c r="L443" s="399" t="s">
        <v>34</v>
      </c>
      <c r="M443" s="399">
        <v>200</v>
      </c>
      <c r="N443" s="356">
        <v>62700</v>
      </c>
      <c r="O443" s="28" t="b">
        <v>1</v>
      </c>
    </row>
    <row r="444" spans="2:15" s="28" customFormat="1" ht="16.5" customHeight="1">
      <c r="B444" s="20"/>
      <c r="C444" s="20"/>
      <c r="D444" s="254"/>
      <c r="E444" s="379">
        <v>143560</v>
      </c>
      <c r="F444" s="395" t="s">
        <v>724</v>
      </c>
      <c r="G444" s="396"/>
      <c r="H444" s="397"/>
      <c r="I444" s="383">
        <v>728000</v>
      </c>
      <c r="J444" s="398">
        <v>143560</v>
      </c>
      <c r="K444" s="399" t="s">
        <v>71</v>
      </c>
      <c r="L444" s="399" t="s">
        <v>34</v>
      </c>
      <c r="M444" s="399">
        <v>200</v>
      </c>
      <c r="N444" s="356">
        <v>582000</v>
      </c>
      <c r="O444" s="28" t="b">
        <v>1</v>
      </c>
    </row>
    <row r="445" spans="2:15" s="28" customFormat="1" ht="16.5" customHeight="1">
      <c r="B445" s="20"/>
      <c r="C445" s="20"/>
      <c r="D445" s="254"/>
      <c r="E445" s="379">
        <v>143561</v>
      </c>
      <c r="F445" s="395" t="s">
        <v>725</v>
      </c>
      <c r="G445" s="396"/>
      <c r="H445" s="397"/>
      <c r="I445" s="383">
        <v>728000</v>
      </c>
      <c r="J445" s="398">
        <v>143561</v>
      </c>
      <c r="K445" s="399" t="s">
        <v>71</v>
      </c>
      <c r="L445" s="399" t="s">
        <v>34</v>
      </c>
      <c r="M445" s="399">
        <v>200</v>
      </c>
      <c r="N445" s="356">
        <v>755000</v>
      </c>
      <c r="O445" s="28" t="b">
        <v>1</v>
      </c>
    </row>
    <row r="446" spans="2:15" s="28" customFormat="1" ht="16.5" customHeight="1">
      <c r="B446" s="20"/>
      <c r="C446" s="20"/>
      <c r="D446" s="254"/>
      <c r="E446" s="379">
        <v>143563</v>
      </c>
      <c r="F446" s="395" t="s">
        <v>726</v>
      </c>
      <c r="G446" s="396"/>
      <c r="H446" s="397"/>
      <c r="I446" s="383">
        <v>728000</v>
      </c>
      <c r="J446" s="398">
        <v>143563</v>
      </c>
      <c r="K446" s="399" t="s">
        <v>71</v>
      </c>
      <c r="L446" s="399" t="s">
        <v>34</v>
      </c>
      <c r="M446" s="399">
        <v>200</v>
      </c>
      <c r="N446" s="356">
        <v>755000</v>
      </c>
      <c r="O446" s="28" t="b">
        <v>1</v>
      </c>
    </row>
    <row r="447" spans="2:15" s="28" customFormat="1" ht="16.5" customHeight="1">
      <c r="B447" s="20"/>
      <c r="C447" s="20"/>
      <c r="D447" s="254"/>
      <c r="E447" s="379">
        <v>143982</v>
      </c>
      <c r="F447" s="395" t="s">
        <v>749</v>
      </c>
      <c r="G447" s="396"/>
      <c r="H447" s="397"/>
      <c r="I447" s="383">
        <v>2995000</v>
      </c>
      <c r="J447" s="398">
        <v>143982</v>
      </c>
      <c r="K447" s="399" t="s">
        <v>71</v>
      </c>
      <c r="L447" s="399" t="s">
        <v>34</v>
      </c>
      <c r="M447" s="399">
        <v>208</v>
      </c>
      <c r="N447" s="356">
        <v>56300</v>
      </c>
      <c r="O447" s="28" t="b">
        <v>1</v>
      </c>
    </row>
    <row r="448" spans="2:15" s="28" customFormat="1" ht="16.5" customHeight="1">
      <c r="B448" s="20"/>
      <c r="C448" s="20"/>
      <c r="D448" s="254"/>
      <c r="E448" s="379">
        <v>143983</v>
      </c>
      <c r="F448" s="395" t="s">
        <v>743</v>
      </c>
      <c r="G448" s="396"/>
      <c r="H448" s="397"/>
      <c r="I448" s="383">
        <v>287000</v>
      </c>
      <c r="J448" s="399">
        <v>143983</v>
      </c>
      <c r="K448" s="399" t="s">
        <v>70</v>
      </c>
      <c r="L448" s="399" t="s">
        <v>34</v>
      </c>
      <c r="M448" s="399">
        <v>20</v>
      </c>
      <c r="N448" s="356">
        <v>520000</v>
      </c>
      <c r="O448" s="28" t="b">
        <v>1</v>
      </c>
    </row>
    <row r="449" spans="2:15" s="28" customFormat="1" ht="16.5" customHeight="1">
      <c r="B449" s="20"/>
      <c r="C449" s="20"/>
      <c r="D449" s="254"/>
      <c r="E449" s="379">
        <v>143985</v>
      </c>
      <c r="F449" s="395" t="s">
        <v>769</v>
      </c>
      <c r="G449" s="396"/>
      <c r="H449" s="397"/>
      <c r="I449" s="383">
        <v>2763000</v>
      </c>
      <c r="J449" s="398">
        <v>143985</v>
      </c>
      <c r="K449" s="399" t="s">
        <v>71</v>
      </c>
      <c r="L449" s="399" t="s">
        <v>34</v>
      </c>
      <c r="M449" s="399">
        <v>208</v>
      </c>
      <c r="N449" s="356">
        <v>53900</v>
      </c>
      <c r="O449" s="28" t="b">
        <v>1</v>
      </c>
    </row>
    <row r="450" spans="2:15" s="28" customFormat="1" ht="16.5" customHeight="1">
      <c r="B450" s="20"/>
      <c r="C450" s="20"/>
      <c r="D450" s="254"/>
      <c r="E450" s="379">
        <v>143987</v>
      </c>
      <c r="F450" s="395" t="s">
        <v>747</v>
      </c>
      <c r="G450" s="396"/>
      <c r="H450" s="397"/>
      <c r="I450" s="383">
        <v>2938000</v>
      </c>
      <c r="J450" s="398">
        <v>143987</v>
      </c>
      <c r="K450" s="399" t="s">
        <v>71</v>
      </c>
      <c r="L450" s="399" t="s">
        <v>34</v>
      </c>
      <c r="M450" s="399">
        <v>208</v>
      </c>
      <c r="N450" s="356">
        <v>492000</v>
      </c>
      <c r="O450" s="28" t="b">
        <v>1</v>
      </c>
    </row>
    <row r="451" spans="2:15" s="28" customFormat="1" ht="16.5" customHeight="1">
      <c r="B451" s="20"/>
      <c r="C451" s="20"/>
      <c r="D451" s="254"/>
      <c r="E451" s="379">
        <v>143988</v>
      </c>
      <c r="F451" s="395" t="s">
        <v>742</v>
      </c>
      <c r="G451" s="396"/>
      <c r="H451" s="397"/>
      <c r="I451" s="383">
        <v>289000</v>
      </c>
      <c r="J451" s="398">
        <v>143988</v>
      </c>
      <c r="K451" s="399" t="s">
        <v>70</v>
      </c>
      <c r="L451" s="399" t="s">
        <v>34</v>
      </c>
      <c r="M451" s="399">
        <v>20</v>
      </c>
      <c r="N451" s="356">
        <v>53900</v>
      </c>
      <c r="O451" s="28" t="b">
        <v>1</v>
      </c>
    </row>
    <row r="452" spans="2:15" s="28" customFormat="1" ht="16.5" customHeight="1">
      <c r="B452" s="20"/>
      <c r="C452" s="20"/>
      <c r="D452" s="254"/>
      <c r="E452" s="379">
        <v>143990</v>
      </c>
      <c r="F452" s="395" t="s">
        <v>770</v>
      </c>
      <c r="G452" s="396"/>
      <c r="H452" s="397"/>
      <c r="I452" s="383">
        <v>3124000</v>
      </c>
      <c r="J452" s="398">
        <v>143990</v>
      </c>
      <c r="K452" s="399" t="s">
        <v>71</v>
      </c>
      <c r="L452" s="399" t="s">
        <v>34</v>
      </c>
      <c r="M452" s="399">
        <v>208</v>
      </c>
      <c r="N452" s="356">
        <v>492000</v>
      </c>
      <c r="O452" s="28" t="b">
        <v>1</v>
      </c>
    </row>
    <row r="453" spans="2:15" s="28" customFormat="1" ht="16.5" customHeight="1">
      <c r="B453" s="20"/>
      <c r="C453" s="20"/>
      <c r="D453" s="254"/>
      <c r="E453" s="379">
        <v>143991</v>
      </c>
      <c r="F453" s="395" t="s">
        <v>771</v>
      </c>
      <c r="G453" s="396"/>
      <c r="H453" s="397"/>
      <c r="I453" s="383">
        <v>337000</v>
      </c>
      <c r="J453" s="398">
        <v>143991</v>
      </c>
      <c r="K453" s="399" t="s">
        <v>70</v>
      </c>
      <c r="L453" s="399" t="s">
        <v>34</v>
      </c>
      <c r="M453" s="399">
        <v>20</v>
      </c>
      <c r="N453" s="356">
        <v>53900</v>
      </c>
      <c r="O453" s="28" t="b">
        <v>1</v>
      </c>
    </row>
    <row r="454" spans="2:15" s="28" customFormat="1" ht="16.5" customHeight="1">
      <c r="B454" s="20"/>
      <c r="C454" s="20"/>
      <c r="D454" s="254"/>
      <c r="E454" s="379">
        <v>143993</v>
      </c>
      <c r="F454" s="395" t="s">
        <v>772</v>
      </c>
      <c r="G454" s="396"/>
      <c r="H454" s="397"/>
      <c r="I454" s="383">
        <v>3255000</v>
      </c>
      <c r="J454" s="399">
        <v>143993</v>
      </c>
      <c r="K454" s="399" t="s">
        <v>71</v>
      </c>
      <c r="L454" s="399" t="s">
        <v>34</v>
      </c>
      <c r="M454" s="399">
        <v>208</v>
      </c>
      <c r="N454" s="356">
        <v>492000</v>
      </c>
      <c r="O454" s="28" t="b">
        <v>1</v>
      </c>
    </row>
    <row r="455" spans="2:15" s="28" customFormat="1" ht="16.5" customHeight="1">
      <c r="B455" s="20"/>
      <c r="C455" s="20"/>
      <c r="D455" s="254"/>
      <c r="E455" s="379">
        <v>143994</v>
      </c>
      <c r="F455" s="395" t="s">
        <v>773</v>
      </c>
      <c r="G455" s="396"/>
      <c r="H455" s="397"/>
      <c r="I455" s="383">
        <v>351000</v>
      </c>
      <c r="J455" s="398">
        <v>143994</v>
      </c>
      <c r="K455" s="399" t="s">
        <v>70</v>
      </c>
      <c r="L455" s="399" t="s">
        <v>34</v>
      </c>
      <c r="M455" s="399">
        <v>20</v>
      </c>
      <c r="N455" s="356">
        <v>79600</v>
      </c>
      <c r="O455" s="28" t="b">
        <v>1</v>
      </c>
    </row>
    <row r="456" spans="2:15" s="28" customFormat="1" ht="16.5" customHeight="1">
      <c r="B456" s="20"/>
      <c r="C456" s="20"/>
      <c r="D456" s="254"/>
      <c r="E456" s="379">
        <v>144165</v>
      </c>
      <c r="F456" s="395" t="s">
        <v>750</v>
      </c>
      <c r="G456" s="396"/>
      <c r="H456" s="397"/>
      <c r="I456" s="383">
        <v>32800</v>
      </c>
      <c r="J456" s="398">
        <v>144165</v>
      </c>
      <c r="K456" s="399" t="s">
        <v>70</v>
      </c>
      <c r="L456" s="399" t="s">
        <v>34</v>
      </c>
      <c r="M456" s="399">
        <v>20</v>
      </c>
      <c r="N456" s="356">
        <v>46900</v>
      </c>
      <c r="O456" s="28" t="b">
        <v>1</v>
      </c>
    </row>
    <row r="457" spans="2:15" s="28" customFormat="1" ht="16.5" customHeight="1">
      <c r="B457" s="20"/>
      <c r="C457" s="20"/>
      <c r="D457" s="254"/>
      <c r="E457" s="379">
        <v>144166</v>
      </c>
      <c r="F457" s="395" t="s">
        <v>748</v>
      </c>
      <c r="G457" s="396"/>
      <c r="H457" s="397"/>
      <c r="I457" s="383">
        <v>303000</v>
      </c>
      <c r="J457" s="398">
        <v>144166</v>
      </c>
      <c r="K457" s="399" t="s">
        <v>71</v>
      </c>
      <c r="L457" s="399" t="s">
        <v>34</v>
      </c>
      <c r="M457" s="399">
        <v>200</v>
      </c>
      <c r="N457" s="356">
        <v>318000</v>
      </c>
      <c r="O457" s="28" t="b">
        <v>1</v>
      </c>
    </row>
    <row r="458" spans="2:15" s="28" customFormat="1" ht="16.5" customHeight="1">
      <c r="B458" s="20"/>
      <c r="C458" s="20"/>
      <c r="D458" s="254"/>
      <c r="E458" s="379">
        <v>144167</v>
      </c>
      <c r="F458" s="395" t="s">
        <v>745</v>
      </c>
      <c r="G458" s="396"/>
      <c r="H458" s="397"/>
      <c r="I458" s="383">
        <v>32800</v>
      </c>
      <c r="J458" s="398">
        <v>144167</v>
      </c>
      <c r="K458" s="399" t="s">
        <v>70</v>
      </c>
      <c r="L458" s="399" t="s">
        <v>34</v>
      </c>
      <c r="M458" s="399">
        <v>20</v>
      </c>
      <c r="N458" s="356">
        <v>6002000</v>
      </c>
      <c r="O458" s="28" t="b">
        <v>1</v>
      </c>
    </row>
    <row r="459" spans="2:15" s="28" customFormat="1" ht="16.5" customHeight="1">
      <c r="B459" s="20"/>
      <c r="C459" s="20"/>
      <c r="D459" s="254"/>
      <c r="E459" s="379">
        <v>144168</v>
      </c>
      <c r="F459" s="395" t="s">
        <v>744</v>
      </c>
      <c r="G459" s="396"/>
      <c r="H459" s="397"/>
      <c r="I459" s="383">
        <v>303000</v>
      </c>
      <c r="J459" s="398">
        <v>144168</v>
      </c>
      <c r="K459" s="399" t="s">
        <v>71</v>
      </c>
      <c r="L459" s="399" t="s">
        <v>34</v>
      </c>
      <c r="M459" s="399">
        <v>200</v>
      </c>
      <c r="N459" s="356">
        <v>777000</v>
      </c>
      <c r="O459" s="28" t="b">
        <v>1</v>
      </c>
    </row>
    <row r="460" spans="2:15" s="28" customFormat="1" ht="16.5" customHeight="1">
      <c r="B460" s="20"/>
      <c r="C460" s="20"/>
      <c r="D460" s="254"/>
      <c r="E460" s="379">
        <v>144169</v>
      </c>
      <c r="F460" s="395" t="s">
        <v>751</v>
      </c>
      <c r="G460" s="396"/>
      <c r="H460" s="397"/>
      <c r="I460" s="383">
        <v>33800</v>
      </c>
      <c r="J460" s="398">
        <v>144169</v>
      </c>
      <c r="K460" s="399" t="s">
        <v>70</v>
      </c>
      <c r="L460" s="399" t="s">
        <v>34</v>
      </c>
      <c r="M460" s="399">
        <v>20</v>
      </c>
      <c r="N460" s="356">
        <v>4494000</v>
      </c>
      <c r="O460" s="28" t="b">
        <v>1</v>
      </c>
    </row>
    <row r="461" spans="2:15" s="28" customFormat="1" ht="16.5" customHeight="1">
      <c r="B461" s="20"/>
      <c r="C461" s="20"/>
      <c r="D461" s="254"/>
      <c r="E461" s="379">
        <v>144170</v>
      </c>
      <c r="F461" s="395" t="s">
        <v>752</v>
      </c>
      <c r="G461" s="396"/>
      <c r="H461" s="397"/>
      <c r="I461" s="383">
        <v>313000</v>
      </c>
      <c r="J461" s="398">
        <v>144170</v>
      </c>
      <c r="K461" s="399" t="s">
        <v>71</v>
      </c>
      <c r="L461" s="399" t="s">
        <v>34</v>
      </c>
      <c r="M461" s="399">
        <v>200</v>
      </c>
      <c r="N461" s="356">
        <v>728000</v>
      </c>
      <c r="O461" s="28" t="b">
        <v>1</v>
      </c>
    </row>
    <row r="462" spans="2:15" s="28" customFormat="1" ht="16.5" customHeight="1">
      <c r="B462" s="20"/>
      <c r="C462" s="20"/>
      <c r="D462" s="254"/>
      <c r="E462" s="379">
        <v>138924</v>
      </c>
      <c r="F462" s="395" t="s">
        <v>555</v>
      </c>
      <c r="G462" s="396"/>
      <c r="H462" s="397"/>
      <c r="I462" s="383"/>
      <c r="J462" s="398">
        <v>138924</v>
      </c>
      <c r="K462" s="399" t="s">
        <v>71</v>
      </c>
      <c r="L462" s="399" t="s">
        <v>34</v>
      </c>
      <c r="M462" s="399">
        <v>200</v>
      </c>
      <c r="N462" s="356">
        <v>728000</v>
      </c>
      <c r="O462" s="28" t="b">
        <v>1</v>
      </c>
    </row>
    <row r="463" spans="2:15" s="28" customFormat="1" ht="16.5" customHeight="1">
      <c r="B463" s="20"/>
      <c r="C463" s="20"/>
      <c r="D463" s="254"/>
      <c r="E463" s="379">
        <v>144364</v>
      </c>
      <c r="F463" s="395" t="s">
        <v>780</v>
      </c>
      <c r="G463" s="396"/>
      <c r="H463" s="397"/>
      <c r="I463" s="383">
        <v>713000</v>
      </c>
      <c r="J463" s="398">
        <v>144364</v>
      </c>
      <c r="K463" s="399" t="s">
        <v>71</v>
      </c>
      <c r="L463" s="399" t="s">
        <v>34</v>
      </c>
      <c r="M463" s="399">
        <v>200</v>
      </c>
      <c r="N463" s="356">
        <v>728000</v>
      </c>
      <c r="O463" s="28" t="b">
        <v>1</v>
      </c>
    </row>
    <row r="464" spans="2:15" s="28" customFormat="1" ht="16.5" customHeight="1">
      <c r="B464" s="20"/>
      <c r="C464" s="20"/>
      <c r="D464" s="254"/>
      <c r="E464" s="379">
        <v>136171</v>
      </c>
      <c r="F464" s="395" t="s">
        <v>39</v>
      </c>
      <c r="G464" s="396"/>
      <c r="H464" s="397"/>
      <c r="I464" s="383"/>
      <c r="J464" s="398">
        <v>136171</v>
      </c>
      <c r="K464" s="399" t="s">
        <v>70</v>
      </c>
      <c r="L464" s="399" t="s">
        <v>34</v>
      </c>
      <c r="M464" s="399">
        <v>20</v>
      </c>
      <c r="N464" s="356">
        <v>2995000</v>
      </c>
      <c r="O464" s="28" t="b">
        <v>1</v>
      </c>
    </row>
    <row r="465" spans="2:15" s="28" customFormat="1" ht="16.5" customHeight="1">
      <c r="B465" s="20"/>
      <c r="C465" s="20"/>
      <c r="D465" s="254"/>
      <c r="E465" s="379">
        <v>144363</v>
      </c>
      <c r="F465" s="395" t="s">
        <v>779</v>
      </c>
      <c r="G465" s="396"/>
      <c r="H465" s="397"/>
      <c r="I465" s="383">
        <v>76100</v>
      </c>
      <c r="J465" s="398">
        <v>144363</v>
      </c>
      <c r="K465" s="399" t="s">
        <v>70</v>
      </c>
      <c r="L465" s="399" t="s">
        <v>34</v>
      </c>
      <c r="M465" s="399">
        <v>20</v>
      </c>
      <c r="N465" s="356">
        <v>287000</v>
      </c>
      <c r="O465" s="28" t="b">
        <v>1</v>
      </c>
    </row>
    <row r="466" spans="2:15" s="28" customFormat="1" ht="16.5" customHeight="1">
      <c r="B466" s="20"/>
      <c r="C466" s="20"/>
      <c r="D466" s="254"/>
      <c r="E466" s="379">
        <v>144353</v>
      </c>
      <c r="F466" s="395" t="s">
        <v>774</v>
      </c>
      <c r="G466" s="396"/>
      <c r="H466" s="397"/>
      <c r="I466" s="383">
        <v>670000</v>
      </c>
      <c r="J466" s="398">
        <v>144353</v>
      </c>
      <c r="K466" s="399" t="s">
        <v>71</v>
      </c>
      <c r="L466" s="399" t="s">
        <v>34</v>
      </c>
      <c r="M466" s="399">
        <v>200</v>
      </c>
      <c r="N466" s="356">
        <v>2763000</v>
      </c>
      <c r="O466" s="28" t="b">
        <v>1</v>
      </c>
    </row>
    <row r="467" spans="2:15" s="28" customFormat="1" ht="16.5" customHeight="1">
      <c r="B467" s="20"/>
      <c r="C467" s="20"/>
      <c r="D467" s="254"/>
      <c r="E467" s="379">
        <v>144351</v>
      </c>
      <c r="F467" s="395" t="s">
        <v>758</v>
      </c>
      <c r="G467" s="396"/>
      <c r="H467" s="397"/>
      <c r="I467" s="383">
        <v>71700</v>
      </c>
      <c r="J467" s="398">
        <v>144351</v>
      </c>
      <c r="K467" s="399" t="s">
        <v>70</v>
      </c>
      <c r="L467" s="399" t="s">
        <v>34</v>
      </c>
      <c r="M467" s="399">
        <v>20</v>
      </c>
      <c r="N467" s="356">
        <v>2938000</v>
      </c>
      <c r="O467" s="28" t="b">
        <v>1</v>
      </c>
    </row>
    <row r="468" spans="2:15" s="28" customFormat="1" ht="16.5" customHeight="1">
      <c r="B468" s="20"/>
      <c r="C468" s="20"/>
      <c r="D468" s="254"/>
      <c r="E468" s="379">
        <v>138925</v>
      </c>
      <c r="F468" s="395" t="s">
        <v>556</v>
      </c>
      <c r="G468" s="396"/>
      <c r="H468" s="397"/>
      <c r="I468" s="383"/>
      <c r="J468" s="398">
        <v>138925</v>
      </c>
      <c r="K468" s="399" t="s">
        <v>71</v>
      </c>
      <c r="L468" s="399" t="s">
        <v>34</v>
      </c>
      <c r="M468" s="399">
        <v>200</v>
      </c>
      <c r="N468" s="356">
        <v>289000</v>
      </c>
      <c r="O468" s="28" t="b">
        <v>1</v>
      </c>
    </row>
    <row r="469" spans="2:15" s="28" customFormat="1" ht="16.5" customHeight="1">
      <c r="B469" s="20"/>
      <c r="C469" s="20"/>
      <c r="D469" s="254"/>
      <c r="E469" s="379">
        <v>144367</v>
      </c>
      <c r="F469" s="395" t="s">
        <v>782</v>
      </c>
      <c r="G469" s="396"/>
      <c r="H469" s="397"/>
      <c r="I469" s="383">
        <v>756000</v>
      </c>
      <c r="J469" s="398">
        <v>144367</v>
      </c>
      <c r="K469" s="399" t="s">
        <v>71</v>
      </c>
      <c r="L469" s="399" t="s">
        <v>34</v>
      </c>
      <c r="M469" s="399">
        <v>200</v>
      </c>
      <c r="N469" s="356">
        <v>3124000</v>
      </c>
      <c r="O469" s="28" t="b">
        <v>1</v>
      </c>
    </row>
    <row r="470" spans="2:15" s="28" customFormat="1" ht="16.5" customHeight="1">
      <c r="B470" s="20"/>
      <c r="C470" s="20"/>
      <c r="D470" s="254"/>
      <c r="E470" s="379">
        <v>136172</v>
      </c>
      <c r="F470" s="395" t="s">
        <v>38</v>
      </c>
      <c r="G470" s="396"/>
      <c r="H470" s="397"/>
      <c r="I470" s="383"/>
      <c r="J470" s="398">
        <v>136172</v>
      </c>
      <c r="K470" s="399" t="s">
        <v>70</v>
      </c>
      <c r="L470" s="399" t="s">
        <v>34</v>
      </c>
      <c r="M470" s="399">
        <v>20</v>
      </c>
      <c r="N470" s="356">
        <v>337000</v>
      </c>
      <c r="O470" s="28" t="b">
        <v>1</v>
      </c>
    </row>
    <row r="471" spans="2:15" s="28" customFormat="1" ht="16.5" customHeight="1">
      <c r="B471" s="20"/>
      <c r="C471" s="20"/>
      <c r="D471" s="254"/>
      <c r="E471" s="379">
        <v>144366</v>
      </c>
      <c r="F471" s="395" t="s">
        <v>781</v>
      </c>
      <c r="G471" s="396"/>
      <c r="H471" s="397"/>
      <c r="I471" s="383">
        <v>80200</v>
      </c>
      <c r="J471" s="398">
        <v>144366</v>
      </c>
      <c r="K471" s="399" t="s">
        <v>70</v>
      </c>
      <c r="L471" s="399" t="s">
        <v>34</v>
      </c>
      <c r="M471" s="399">
        <v>20</v>
      </c>
      <c r="N471" s="356">
        <v>3255000</v>
      </c>
      <c r="O471" s="28" t="b">
        <v>1</v>
      </c>
    </row>
    <row r="472" spans="2:15" s="28" customFormat="1" ht="16.5" customHeight="1">
      <c r="B472" s="20"/>
      <c r="C472" s="20"/>
      <c r="D472" s="254"/>
      <c r="E472" s="379">
        <v>144355</v>
      </c>
      <c r="F472" s="395" t="s">
        <v>775</v>
      </c>
      <c r="G472" s="396"/>
      <c r="H472" s="397"/>
      <c r="I472" s="383">
        <v>670000</v>
      </c>
      <c r="J472" s="398">
        <v>144355</v>
      </c>
      <c r="K472" s="399" t="s">
        <v>71</v>
      </c>
      <c r="L472" s="399" t="s">
        <v>34</v>
      </c>
      <c r="M472" s="399">
        <v>200</v>
      </c>
      <c r="N472" s="356">
        <v>351000</v>
      </c>
      <c r="O472" s="28" t="b">
        <v>1</v>
      </c>
    </row>
    <row r="473" spans="2:15" s="28" customFormat="1" ht="16.5" customHeight="1">
      <c r="B473" s="20"/>
      <c r="C473" s="20"/>
      <c r="D473" s="254"/>
      <c r="E473" s="379">
        <v>144352</v>
      </c>
      <c r="F473" s="395" t="s">
        <v>755</v>
      </c>
      <c r="G473" s="396"/>
      <c r="H473" s="397"/>
      <c r="I473" s="383">
        <v>71700</v>
      </c>
      <c r="J473" s="398">
        <v>144352</v>
      </c>
      <c r="K473" s="399" t="s">
        <v>70</v>
      </c>
      <c r="L473" s="399" t="s">
        <v>34</v>
      </c>
      <c r="M473" s="399">
        <v>20</v>
      </c>
      <c r="N473" s="356">
        <v>32800</v>
      </c>
      <c r="O473" s="28" t="b">
        <v>1</v>
      </c>
    </row>
    <row r="474" spans="2:15" s="28" customFormat="1" ht="16.5" customHeight="1">
      <c r="B474" s="20"/>
      <c r="C474" s="20"/>
      <c r="D474" s="254"/>
      <c r="E474" s="379">
        <v>144358</v>
      </c>
      <c r="F474" s="395" t="s">
        <v>754</v>
      </c>
      <c r="G474" s="396"/>
      <c r="H474" s="397"/>
      <c r="I474" s="383">
        <v>670000</v>
      </c>
      <c r="J474" s="398">
        <v>144358</v>
      </c>
      <c r="K474" s="399" t="s">
        <v>71</v>
      </c>
      <c r="L474" s="399" t="s">
        <v>34</v>
      </c>
      <c r="M474" s="399">
        <v>200</v>
      </c>
      <c r="N474" s="356">
        <v>303000</v>
      </c>
      <c r="O474" s="28" t="b">
        <v>1</v>
      </c>
    </row>
    <row r="475" spans="2:15" s="28" customFormat="1" ht="16.5" customHeight="1">
      <c r="B475" s="20"/>
      <c r="C475" s="20"/>
      <c r="D475" s="254"/>
      <c r="E475" s="379">
        <v>144357</v>
      </c>
      <c r="F475" s="395" t="s">
        <v>776</v>
      </c>
      <c r="G475" s="396"/>
      <c r="H475" s="397"/>
      <c r="I475" s="383">
        <v>71700</v>
      </c>
      <c r="J475" s="398">
        <v>144357</v>
      </c>
      <c r="K475" s="399" t="s">
        <v>70</v>
      </c>
      <c r="L475" s="399" t="s">
        <v>34</v>
      </c>
      <c r="M475" s="399">
        <v>20</v>
      </c>
      <c r="N475" s="356">
        <v>32800</v>
      </c>
      <c r="O475" s="28" t="b">
        <v>1</v>
      </c>
    </row>
    <row r="476" spans="2:15" s="28" customFormat="1" ht="16.5" customHeight="1">
      <c r="B476" s="20"/>
      <c r="C476" s="20"/>
      <c r="D476" s="254"/>
      <c r="E476" s="379">
        <v>144361</v>
      </c>
      <c r="F476" s="395" t="s">
        <v>778</v>
      </c>
      <c r="G476" s="396"/>
      <c r="H476" s="397"/>
      <c r="I476" s="383">
        <v>670000</v>
      </c>
      <c r="J476" s="398">
        <v>144361</v>
      </c>
      <c r="K476" s="399" t="s">
        <v>71</v>
      </c>
      <c r="L476" s="399" t="s">
        <v>34</v>
      </c>
      <c r="M476" s="399">
        <v>200</v>
      </c>
      <c r="N476" s="356">
        <v>303000</v>
      </c>
      <c r="O476" s="28" t="b">
        <v>1</v>
      </c>
    </row>
    <row r="477" spans="2:15" s="28" customFormat="1" ht="16.5" customHeight="1">
      <c r="B477" s="20"/>
      <c r="C477" s="20"/>
      <c r="D477" s="254"/>
      <c r="E477" s="379">
        <v>144360</v>
      </c>
      <c r="F477" s="395" t="s">
        <v>777</v>
      </c>
      <c r="G477" s="396"/>
      <c r="H477" s="397"/>
      <c r="I477" s="383">
        <v>71700</v>
      </c>
      <c r="J477" s="398">
        <v>144360</v>
      </c>
      <c r="K477" s="399" t="s">
        <v>70</v>
      </c>
      <c r="L477" s="399" t="s">
        <v>34</v>
      </c>
      <c r="M477" s="399">
        <v>20</v>
      </c>
      <c r="N477" s="356">
        <v>32800</v>
      </c>
      <c r="O477" s="28" t="b">
        <v>1</v>
      </c>
    </row>
    <row r="478" spans="2:15" s="28" customFormat="1" ht="16.5" customHeight="1">
      <c r="B478" s="20"/>
      <c r="C478" s="20"/>
      <c r="D478" s="254"/>
      <c r="E478" s="379">
        <v>144355</v>
      </c>
      <c r="F478" s="395" t="s">
        <v>775</v>
      </c>
      <c r="G478" s="396"/>
      <c r="H478" s="397"/>
      <c r="I478" s="383">
        <v>670000</v>
      </c>
      <c r="J478" s="398">
        <v>144355</v>
      </c>
      <c r="K478" s="399" t="s">
        <v>71</v>
      </c>
      <c r="L478" s="399" t="s">
        <v>34</v>
      </c>
      <c r="M478" s="399">
        <v>200</v>
      </c>
      <c r="N478" s="356">
        <v>313000</v>
      </c>
      <c r="O478" s="28" t="b">
        <v>1</v>
      </c>
    </row>
    <row r="479" spans="2:15" s="28" customFormat="1" ht="16.5" customHeight="1">
      <c r="B479" s="20"/>
      <c r="C479" s="20"/>
      <c r="D479" s="254"/>
      <c r="E479" s="379">
        <v>144352</v>
      </c>
      <c r="F479" s="395" t="s">
        <v>755</v>
      </c>
      <c r="G479" s="396"/>
      <c r="H479" s="397"/>
      <c r="I479" s="383">
        <v>71700</v>
      </c>
      <c r="J479" s="398">
        <v>144352</v>
      </c>
      <c r="K479" s="399" t="s">
        <v>70</v>
      </c>
      <c r="L479" s="399" t="s">
        <v>34</v>
      </c>
      <c r="M479" s="399">
        <v>20</v>
      </c>
      <c r="N479" s="356" t="e">
        <v>#N/A</v>
      </c>
      <c r="O479" s="28" t="e">
        <v>#N/A</v>
      </c>
    </row>
    <row r="480" spans="2:15" s="28" customFormat="1" ht="16.5" customHeight="1">
      <c r="B480" s="20"/>
      <c r="C480" s="20"/>
      <c r="D480" s="254"/>
      <c r="E480" s="379">
        <v>144358</v>
      </c>
      <c r="F480" s="395" t="s">
        <v>754</v>
      </c>
      <c r="G480" s="396"/>
      <c r="H480" s="397"/>
      <c r="I480" s="383">
        <v>670000</v>
      </c>
      <c r="J480" s="398">
        <v>144358</v>
      </c>
      <c r="K480" s="399" t="s">
        <v>71</v>
      </c>
      <c r="L480" s="399" t="s">
        <v>34</v>
      </c>
      <c r="M480" s="399">
        <v>200</v>
      </c>
      <c r="N480" s="356">
        <v>713000</v>
      </c>
      <c r="O480" s="28" t="b">
        <v>1</v>
      </c>
    </row>
    <row r="481" spans="2:15" s="28" customFormat="1" ht="16.5" customHeight="1">
      <c r="B481" s="20"/>
      <c r="C481" s="20"/>
      <c r="D481" s="254"/>
      <c r="E481" s="379">
        <v>144357</v>
      </c>
      <c r="F481" s="395" t="s">
        <v>776</v>
      </c>
      <c r="G481" s="396"/>
      <c r="H481" s="397"/>
      <c r="I481" s="383">
        <v>71700</v>
      </c>
      <c r="J481" s="398">
        <v>144357</v>
      </c>
      <c r="K481" s="399" t="s">
        <v>70</v>
      </c>
      <c r="L481" s="399" t="s">
        <v>34</v>
      </c>
      <c r="M481" s="399">
        <v>20</v>
      </c>
      <c r="N481" s="356" t="e">
        <v>#N/A</v>
      </c>
      <c r="O481" s="28" t="e">
        <v>#N/A</v>
      </c>
    </row>
    <row r="482" spans="2:15" s="28" customFormat="1" ht="16.5" customHeight="1">
      <c r="B482" s="20"/>
      <c r="C482" s="20"/>
      <c r="D482" s="254"/>
      <c r="E482" s="379">
        <v>144361</v>
      </c>
      <c r="F482" s="395" t="s">
        <v>778</v>
      </c>
      <c r="G482" s="396"/>
      <c r="H482" s="397"/>
      <c r="I482" s="383">
        <v>670000</v>
      </c>
      <c r="J482" s="398">
        <v>144361</v>
      </c>
      <c r="K482" s="399" t="s">
        <v>71</v>
      </c>
      <c r="L482" s="399" t="s">
        <v>34</v>
      </c>
      <c r="M482" s="399">
        <v>200</v>
      </c>
      <c r="N482" s="356">
        <v>76100</v>
      </c>
      <c r="O482" s="28" t="b">
        <v>1</v>
      </c>
    </row>
    <row r="483" spans="2:15" s="28" customFormat="1" ht="16.5" customHeight="1">
      <c r="B483" s="20"/>
      <c r="C483" s="20"/>
      <c r="D483" s="254"/>
      <c r="E483" s="379">
        <v>144360</v>
      </c>
      <c r="F483" s="395" t="s">
        <v>777</v>
      </c>
      <c r="G483" s="396"/>
      <c r="H483" s="397"/>
      <c r="I483" s="383">
        <v>71700</v>
      </c>
      <c r="J483" s="398">
        <v>144360</v>
      </c>
      <c r="K483" s="399" t="s">
        <v>70</v>
      </c>
      <c r="L483" s="399" t="s">
        <v>34</v>
      </c>
      <c r="M483" s="399">
        <v>20</v>
      </c>
      <c r="N483" s="356">
        <v>670000</v>
      </c>
      <c r="O483" s="28" t="b">
        <v>1</v>
      </c>
    </row>
    <row r="484" spans="2:15" s="28" customFormat="1" ht="16.5" customHeight="1">
      <c r="B484" s="20"/>
      <c r="C484" s="20"/>
      <c r="D484" s="254"/>
      <c r="E484" s="379">
        <v>144270</v>
      </c>
      <c r="F484" s="395" t="s">
        <v>843</v>
      </c>
      <c r="G484" s="396"/>
      <c r="H484" s="397"/>
      <c r="I484" s="383">
        <v>1005000</v>
      </c>
      <c r="J484" s="398">
        <v>144270</v>
      </c>
      <c r="K484" s="399" t="s">
        <v>71</v>
      </c>
      <c r="L484" s="399" t="s">
        <v>34</v>
      </c>
      <c r="M484" s="399">
        <v>200</v>
      </c>
      <c r="N484" s="356">
        <v>71700</v>
      </c>
      <c r="O484" s="28" t="b">
        <v>1</v>
      </c>
    </row>
    <row r="485" spans="2:15" s="28" customFormat="1" ht="16.5" customHeight="1">
      <c r="B485" s="20"/>
      <c r="C485" s="20"/>
      <c r="D485" s="254"/>
      <c r="E485" s="379">
        <v>135441</v>
      </c>
      <c r="F485" s="395" t="s">
        <v>298</v>
      </c>
      <c r="G485" s="396"/>
      <c r="H485" s="397"/>
      <c r="I485" s="383">
        <v>287000</v>
      </c>
      <c r="J485" s="398">
        <v>135441</v>
      </c>
      <c r="K485" s="399" t="s">
        <v>70</v>
      </c>
      <c r="L485" s="399" t="s">
        <v>34</v>
      </c>
      <c r="M485" s="399">
        <v>20</v>
      </c>
      <c r="N485" s="356" t="e">
        <v>#N/A</v>
      </c>
      <c r="O485" s="28" t="e">
        <v>#N/A</v>
      </c>
    </row>
    <row r="486" spans="2:15" s="28" customFormat="1" ht="16.5" customHeight="1">
      <c r="B486" s="20"/>
      <c r="C486" s="20"/>
      <c r="D486" s="254"/>
      <c r="E486" s="379">
        <v>128430</v>
      </c>
      <c r="F486" s="395" t="s">
        <v>847</v>
      </c>
      <c r="G486" s="396"/>
      <c r="H486" s="397"/>
      <c r="I486" s="383">
        <v>1800000</v>
      </c>
      <c r="J486" s="398">
        <v>128430</v>
      </c>
      <c r="K486" s="399" t="s">
        <v>71</v>
      </c>
      <c r="L486" s="399" t="s">
        <v>34</v>
      </c>
      <c r="M486" s="399">
        <v>181</v>
      </c>
      <c r="N486" s="356">
        <v>756000</v>
      </c>
      <c r="O486" s="28" t="b">
        <v>1</v>
      </c>
    </row>
    <row r="487" spans="2:15" s="28" customFormat="1" ht="16.5" customHeight="1">
      <c r="B487" s="20"/>
      <c r="C487" s="20"/>
      <c r="D487" s="254"/>
      <c r="E487" s="379">
        <v>141257</v>
      </c>
      <c r="F487" s="395" t="s">
        <v>856</v>
      </c>
      <c r="G487" s="396"/>
      <c r="H487" s="397"/>
      <c r="I487" s="383">
        <v>85932</v>
      </c>
      <c r="J487" s="398">
        <v>141257</v>
      </c>
      <c r="K487" s="378" t="s">
        <v>73</v>
      </c>
      <c r="L487" s="378" t="s">
        <v>35</v>
      </c>
      <c r="M487" s="399">
        <v>12</v>
      </c>
      <c r="N487" s="356" t="e">
        <v>#N/A</v>
      </c>
      <c r="O487" s="28" t="e">
        <v>#N/A</v>
      </c>
    </row>
    <row r="488" spans="2:15" s="28" customFormat="1" ht="16.5" customHeight="1">
      <c r="B488" s="20"/>
      <c r="C488" s="20"/>
      <c r="D488" s="254"/>
      <c r="E488" s="411">
        <v>147122</v>
      </c>
      <c r="F488" s="395" t="s">
        <v>868</v>
      </c>
      <c r="G488" s="396"/>
      <c r="H488" s="397"/>
      <c r="I488" s="383">
        <f>VLOOKUP(E488,'[1]Table 1'!$A$6:$C$21,3,0)</f>
        <v>51828</v>
      </c>
      <c r="J488" s="398">
        <v>147122</v>
      </c>
      <c r="K488" s="399" t="s">
        <v>761</v>
      </c>
      <c r="L488" s="399" t="s">
        <v>872</v>
      </c>
      <c r="M488" s="399">
        <v>12</v>
      </c>
      <c r="N488" s="356">
        <v>80200</v>
      </c>
      <c r="O488" s="28" t="b">
        <v>1</v>
      </c>
    </row>
    <row r="489" spans="2:15" s="28" customFormat="1" ht="16.5" customHeight="1">
      <c r="B489" s="20"/>
      <c r="C489" s="20"/>
      <c r="D489" s="254"/>
      <c r="E489" s="411">
        <v>140901</v>
      </c>
      <c r="F489" s="395" t="s">
        <v>98</v>
      </c>
      <c r="G489" s="396"/>
      <c r="H489" s="397"/>
      <c r="I489" s="383">
        <f>VLOOKUP(E489,'[1]Table 1'!$A$6:$C$21,3,0)</f>
        <v>88308</v>
      </c>
      <c r="J489" s="398">
        <v>140901</v>
      </c>
      <c r="K489" s="399" t="s">
        <v>761</v>
      </c>
      <c r="L489" s="399" t="s">
        <v>872</v>
      </c>
      <c r="M489" s="399">
        <v>20</v>
      </c>
      <c r="N489" s="356">
        <v>670000</v>
      </c>
      <c r="O489" s="28" t="b">
        <v>1</v>
      </c>
    </row>
    <row r="490" spans="2:15" s="28" customFormat="1" ht="16.5" customHeight="1">
      <c r="B490" s="20"/>
      <c r="C490" s="20"/>
      <c r="D490" s="254"/>
      <c r="E490" s="411">
        <v>140904</v>
      </c>
      <c r="F490" s="395" t="s">
        <v>859</v>
      </c>
      <c r="G490" s="396"/>
      <c r="H490" s="397"/>
      <c r="I490" s="383">
        <f>VLOOKUP(E490,'[1]Table 1'!$A$6:$C$21,3,0)</f>
        <v>96792</v>
      </c>
      <c r="J490" s="398">
        <v>140904</v>
      </c>
      <c r="K490" s="399" t="s">
        <v>761</v>
      </c>
      <c r="L490" s="399" t="s">
        <v>872</v>
      </c>
      <c r="M490" s="399">
        <v>20</v>
      </c>
      <c r="N490" s="356">
        <v>71700</v>
      </c>
      <c r="O490" s="28" t="b">
        <v>1</v>
      </c>
    </row>
    <row r="491" spans="2:15" s="28" customFormat="1" ht="16.5" customHeight="1">
      <c r="B491" s="20"/>
      <c r="C491" s="20"/>
      <c r="D491" s="254"/>
      <c r="E491" s="411">
        <v>147379</v>
      </c>
      <c r="F491" s="395" t="s">
        <v>862</v>
      </c>
      <c r="G491" s="396"/>
      <c r="H491" s="397"/>
      <c r="I491" s="383">
        <f>VLOOKUP(E491,'[1]Table 1'!$A$6:$C$21,3,0)</f>
        <v>37740</v>
      </c>
      <c r="J491" s="398">
        <v>147379</v>
      </c>
      <c r="K491" s="399" t="s">
        <v>761</v>
      </c>
      <c r="L491" s="399" t="s">
        <v>872</v>
      </c>
      <c r="M491" s="399">
        <v>12</v>
      </c>
      <c r="N491" s="356">
        <v>670000</v>
      </c>
      <c r="O491" s="28" t="b">
        <v>1</v>
      </c>
    </row>
    <row r="492" spans="2:15" s="28" customFormat="1" ht="16.5" customHeight="1">
      <c r="B492" s="20"/>
      <c r="C492" s="20"/>
      <c r="D492" s="254"/>
      <c r="E492" s="411">
        <v>138583</v>
      </c>
      <c r="F492" s="395" t="s">
        <v>740</v>
      </c>
      <c r="G492" s="396"/>
      <c r="H492" s="397"/>
      <c r="I492" s="383">
        <f>VLOOKUP(E492,'[1]Table 1'!$A$6:$C$21,3,0)</f>
        <v>44600</v>
      </c>
      <c r="J492" s="398">
        <v>138583</v>
      </c>
      <c r="K492" s="399" t="s">
        <v>761</v>
      </c>
      <c r="L492" s="399" t="s">
        <v>872</v>
      </c>
      <c r="M492" s="399">
        <v>12</v>
      </c>
      <c r="N492" s="356">
        <v>71700</v>
      </c>
      <c r="O492" s="28" t="b">
        <v>1</v>
      </c>
    </row>
    <row r="493" spans="2:15" s="28" customFormat="1" ht="16.5" customHeight="1">
      <c r="B493" s="20"/>
      <c r="C493" s="20"/>
      <c r="D493" s="254"/>
      <c r="E493" s="411">
        <v>140876</v>
      </c>
      <c r="F493" s="395" t="s">
        <v>105</v>
      </c>
      <c r="G493" s="396"/>
      <c r="H493" s="397"/>
      <c r="I493" s="383">
        <f>VLOOKUP(E493,'[1]Table 1'!$A$6:$C$21,3,0)</f>
        <v>529893</v>
      </c>
      <c r="J493" s="398">
        <v>140876</v>
      </c>
      <c r="K493" s="399" t="s">
        <v>70</v>
      </c>
      <c r="L493" s="399" t="s">
        <v>872</v>
      </c>
      <c r="M493" s="399">
        <v>20</v>
      </c>
      <c r="N493" s="356">
        <v>670000</v>
      </c>
      <c r="O493" s="28" t="b">
        <v>1</v>
      </c>
    </row>
    <row r="494" spans="2:15" s="28" customFormat="1" ht="16.5" customHeight="1">
      <c r="B494" s="20"/>
      <c r="C494" s="20"/>
      <c r="D494" s="254"/>
      <c r="E494" s="411">
        <v>140877</v>
      </c>
      <c r="F494" s="395" t="s">
        <v>99</v>
      </c>
      <c r="G494" s="396"/>
      <c r="H494" s="397"/>
      <c r="I494" s="383">
        <f>VLOOKUP(E494,'[1]Table 1'!$A$6:$C$21,3,0)</f>
        <v>80739</v>
      </c>
      <c r="J494" s="398">
        <v>140877</v>
      </c>
      <c r="K494" s="399" t="s">
        <v>70</v>
      </c>
      <c r="L494" s="399" t="s">
        <v>872</v>
      </c>
      <c r="M494" s="399">
        <v>20</v>
      </c>
      <c r="N494" s="356">
        <v>71700</v>
      </c>
      <c r="O494" s="28" t="b">
        <v>1</v>
      </c>
    </row>
    <row r="495" spans="2:15" s="28" customFormat="1" ht="16.5" customHeight="1">
      <c r="B495" s="20"/>
      <c r="C495" s="20"/>
      <c r="D495" s="254"/>
      <c r="E495" s="411">
        <v>140878</v>
      </c>
      <c r="F495" s="395" t="s">
        <v>860</v>
      </c>
      <c r="G495" s="396"/>
      <c r="H495" s="397"/>
      <c r="I495" s="383">
        <f>VLOOKUP(E495,'[1]Table 1'!$A$6:$C$21,3,0)</f>
        <v>121830</v>
      </c>
      <c r="J495" s="398">
        <v>140878</v>
      </c>
      <c r="K495" s="399" t="s">
        <v>70</v>
      </c>
      <c r="L495" s="399" t="s">
        <v>872</v>
      </c>
      <c r="M495" s="399">
        <v>20</v>
      </c>
      <c r="N495" s="356" t="e">
        <v>#N/A</v>
      </c>
      <c r="O495" s="28" t="e">
        <v>#N/A</v>
      </c>
    </row>
    <row r="496" spans="2:15" s="28" customFormat="1" ht="16.5" customHeight="1">
      <c r="B496" s="20"/>
      <c r="C496" s="20"/>
      <c r="D496" s="254"/>
      <c r="E496" s="411">
        <v>140922</v>
      </c>
      <c r="F496" s="395" t="s">
        <v>94</v>
      </c>
      <c r="G496" s="396"/>
      <c r="H496" s="397"/>
      <c r="I496" s="383">
        <f>VLOOKUP(E496,'[1]Table 1'!$A$6:$C$21,3,0)</f>
        <v>210521</v>
      </c>
      <c r="J496" s="398">
        <v>140922</v>
      </c>
      <c r="K496" s="399" t="s">
        <v>70</v>
      </c>
      <c r="L496" s="399" t="s">
        <v>872</v>
      </c>
      <c r="M496" s="399">
        <v>20</v>
      </c>
      <c r="N496" s="356" t="e">
        <v>#N/A</v>
      </c>
      <c r="O496" s="28" t="e">
        <v>#N/A</v>
      </c>
    </row>
    <row r="497" spans="2:21" s="28" customFormat="1" ht="16.5" customHeight="1">
      <c r="B497" s="20"/>
      <c r="C497" s="20"/>
      <c r="D497" s="254"/>
      <c r="E497" s="411">
        <v>140902</v>
      </c>
      <c r="F497" s="395" t="s">
        <v>95</v>
      </c>
      <c r="G497" s="396"/>
      <c r="H497" s="397"/>
      <c r="I497" s="383">
        <f>VLOOKUP(E497,'[1]Table 1'!$A$6:$C$21,3,0)</f>
        <v>870316</v>
      </c>
      <c r="J497" s="398">
        <v>140902</v>
      </c>
      <c r="K497" s="399" t="s">
        <v>873</v>
      </c>
      <c r="L497" s="399" t="s">
        <v>872</v>
      </c>
      <c r="M497" s="399">
        <v>200</v>
      </c>
      <c r="N497" s="356" t="e">
        <v>#N/A</v>
      </c>
      <c r="O497" s="28" t="e">
        <v>#N/A</v>
      </c>
    </row>
    <row r="498" spans="2:21" s="28" customFormat="1" ht="16.5" customHeight="1">
      <c r="B498" s="20"/>
      <c r="C498" s="20"/>
      <c r="D498" s="254"/>
      <c r="E498" s="411">
        <v>140905</v>
      </c>
      <c r="F498" s="395" t="s">
        <v>96</v>
      </c>
      <c r="G498" s="396"/>
      <c r="H498" s="397"/>
      <c r="I498" s="383">
        <f>VLOOKUP(E498,'[1]Table 1'!$A$6:$C$21,3,0)</f>
        <v>874413</v>
      </c>
      <c r="J498" s="398">
        <v>140905</v>
      </c>
      <c r="K498" s="399" t="s">
        <v>873</v>
      </c>
      <c r="L498" s="399" t="s">
        <v>872</v>
      </c>
      <c r="M498" s="399">
        <v>200</v>
      </c>
      <c r="N498" s="356">
        <v>670000</v>
      </c>
      <c r="O498" s="28" t="b">
        <v>1</v>
      </c>
    </row>
    <row r="499" spans="2:21" s="28" customFormat="1" ht="16.5" customHeight="1">
      <c r="B499" s="20"/>
      <c r="C499" s="20"/>
      <c r="D499" s="254"/>
      <c r="E499" s="411">
        <v>147284</v>
      </c>
      <c r="F499" s="395" t="s">
        <v>837</v>
      </c>
      <c r="G499" s="396"/>
      <c r="H499" s="397"/>
      <c r="I499" s="383">
        <f>VLOOKUP(E499,'[1]Table 1'!$A$6:$C$21,3,0)</f>
        <v>530625</v>
      </c>
      <c r="J499" s="398">
        <v>147284</v>
      </c>
      <c r="K499" s="399" t="s">
        <v>873</v>
      </c>
      <c r="L499" s="399" t="s">
        <v>872</v>
      </c>
      <c r="M499" s="399">
        <v>208</v>
      </c>
      <c r="N499" s="356">
        <v>71700</v>
      </c>
      <c r="O499" s="28" t="b">
        <v>1</v>
      </c>
    </row>
    <row r="500" spans="2:21" s="28" customFormat="1" ht="16.5" customHeight="1">
      <c r="B500" s="20"/>
      <c r="C500" s="20"/>
      <c r="D500" s="254"/>
      <c r="E500" s="411">
        <v>147391</v>
      </c>
      <c r="F500" s="395" t="s">
        <v>838</v>
      </c>
      <c r="G500" s="396"/>
      <c r="H500" s="397"/>
      <c r="I500" s="383">
        <f>VLOOKUP(E500,'[1]Table 1'!$A$6:$C$21,3,0)</f>
        <v>522994</v>
      </c>
      <c r="J500" s="398">
        <v>147391</v>
      </c>
      <c r="K500" s="399" t="s">
        <v>873</v>
      </c>
      <c r="L500" s="399" t="s">
        <v>872</v>
      </c>
      <c r="M500" s="399">
        <v>208</v>
      </c>
      <c r="N500" s="356">
        <v>670000</v>
      </c>
      <c r="O500" s="28" t="b">
        <v>1</v>
      </c>
    </row>
    <row r="501" spans="2:21" s="28" customFormat="1" ht="16.5" customHeight="1">
      <c r="B501" s="20"/>
      <c r="C501" s="20"/>
      <c r="D501" s="254"/>
      <c r="E501" s="411">
        <v>144515</v>
      </c>
      <c r="F501" s="395" t="s">
        <v>839</v>
      </c>
      <c r="G501" s="396"/>
      <c r="H501" s="397"/>
      <c r="I501" s="383">
        <v>631617</v>
      </c>
      <c r="J501" s="398">
        <v>144515</v>
      </c>
      <c r="K501" s="399" t="s">
        <v>873</v>
      </c>
      <c r="L501" s="399" t="s">
        <v>872</v>
      </c>
      <c r="M501" s="399">
        <v>208</v>
      </c>
      <c r="N501" s="356">
        <v>71700</v>
      </c>
      <c r="O501" s="28" t="b">
        <v>1</v>
      </c>
    </row>
    <row r="502" spans="2:21" s="28" customFormat="1" ht="16.5" customHeight="1">
      <c r="B502" s="20"/>
      <c r="C502" s="20"/>
      <c r="D502" s="254"/>
      <c r="E502" s="411">
        <v>147370</v>
      </c>
      <c r="F502" s="395" t="s">
        <v>839</v>
      </c>
      <c r="G502" s="396"/>
      <c r="H502" s="397"/>
      <c r="I502" s="383">
        <f>VLOOKUP(E502,'[1]Table 1'!$A$6:$C$21,3,0)</f>
        <v>528082</v>
      </c>
      <c r="J502" s="398">
        <v>147370</v>
      </c>
      <c r="K502" s="399" t="s">
        <v>873</v>
      </c>
      <c r="L502" s="399" t="s">
        <v>872</v>
      </c>
      <c r="M502" s="399">
        <v>208</v>
      </c>
      <c r="N502" s="356">
        <v>670000</v>
      </c>
      <c r="O502" s="28" t="b">
        <v>1</v>
      </c>
    </row>
    <row r="503" spans="2:21" s="28" customFormat="1" ht="16.5" customHeight="1">
      <c r="B503" s="20"/>
      <c r="C503" s="20"/>
      <c r="D503" s="254"/>
      <c r="E503" s="411">
        <v>140597</v>
      </c>
      <c r="F503" s="395" t="s">
        <v>869</v>
      </c>
      <c r="G503" s="396"/>
      <c r="H503" s="397"/>
      <c r="I503" s="383">
        <v>124000</v>
      </c>
      <c r="J503" s="398">
        <v>140597</v>
      </c>
      <c r="K503" s="399" t="s">
        <v>761</v>
      </c>
      <c r="L503" s="399" t="s">
        <v>872</v>
      </c>
      <c r="M503" s="399">
        <v>12</v>
      </c>
      <c r="N503" s="356">
        <v>71700</v>
      </c>
      <c r="O503" s="28" t="b">
        <v>1</v>
      </c>
    </row>
    <row r="504" spans="2:21" s="28" customFormat="1" ht="16.5" customHeight="1">
      <c r="B504" s="20"/>
      <c r="C504" s="20"/>
      <c r="D504" s="254"/>
      <c r="E504" s="411">
        <v>147279</v>
      </c>
      <c r="F504" s="395" t="s">
        <v>870</v>
      </c>
      <c r="G504" s="396"/>
      <c r="H504" s="397"/>
      <c r="I504" s="383">
        <f>VLOOKUP(E504,'[1]Table 1'!$A$6:$C$21,3,0)</f>
        <v>50796</v>
      </c>
      <c r="J504" s="398">
        <v>147279</v>
      </c>
      <c r="K504" s="399" t="s">
        <v>761</v>
      </c>
      <c r="L504" s="399" t="s">
        <v>872</v>
      </c>
      <c r="M504" s="399">
        <v>12</v>
      </c>
      <c r="N504" s="356" t="e">
        <v>#N/A</v>
      </c>
      <c r="O504" s="28" t="e">
        <v>#N/A</v>
      </c>
    </row>
    <row r="505" spans="2:21" s="28" customFormat="1" ht="16.5" customHeight="1">
      <c r="B505" s="20"/>
      <c r="C505" s="20"/>
      <c r="D505" s="254"/>
      <c r="E505" s="411">
        <v>141257</v>
      </c>
      <c r="F505" s="395" t="s">
        <v>871</v>
      </c>
      <c r="G505" s="396"/>
      <c r="H505" s="397"/>
      <c r="I505" s="383">
        <f>VLOOKUP(E505,'[1]Table 1'!$A$6:$C$21,3,0)</f>
        <v>82344</v>
      </c>
      <c r="J505" s="398">
        <v>141257</v>
      </c>
      <c r="K505" s="399" t="s">
        <v>761</v>
      </c>
      <c r="L505" s="399" t="s">
        <v>872</v>
      </c>
      <c r="M505" s="399">
        <v>12</v>
      </c>
      <c r="N505" s="356" t="e">
        <v>#N/A</v>
      </c>
      <c r="O505" s="28" t="e">
        <v>#N/A</v>
      </c>
    </row>
    <row r="506" spans="2:21" s="28" customFormat="1" ht="16.5" customHeight="1">
      <c r="B506" s="20"/>
      <c r="C506" s="20"/>
      <c r="D506" s="254"/>
      <c r="E506" s="379"/>
      <c r="F506" s="395"/>
      <c r="G506" s="396"/>
      <c r="H506" s="397"/>
      <c r="I506" s="383"/>
      <c r="J506" s="398"/>
      <c r="K506" s="399"/>
      <c r="L506" s="399"/>
      <c r="M506" s="399"/>
      <c r="N506" s="356" t="e">
        <v>#N/A</v>
      </c>
      <c r="O506" s="28" t="e">
        <v>#N/A</v>
      </c>
    </row>
    <row r="507" spans="2:21" s="28" customFormat="1" ht="16.5" customHeight="1">
      <c r="B507" s="20"/>
      <c r="C507" s="20"/>
      <c r="D507" s="254"/>
      <c r="E507" s="379"/>
      <c r="F507" s="395"/>
      <c r="G507" s="396"/>
      <c r="H507" s="397"/>
      <c r="I507" s="383"/>
      <c r="J507" s="398"/>
      <c r="K507" s="399"/>
      <c r="L507" s="399"/>
      <c r="M507" s="399"/>
      <c r="N507" s="356">
        <v>1005000</v>
      </c>
      <c r="O507" s="28" t="b">
        <v>1</v>
      </c>
    </row>
    <row r="508" spans="2:21" s="28" customFormat="1" ht="16.5" customHeight="1">
      <c r="B508" s="20"/>
      <c r="C508" s="20"/>
      <c r="D508" s="254"/>
      <c r="E508" s="379"/>
      <c r="F508" s="395"/>
      <c r="G508" s="396"/>
      <c r="H508" s="397"/>
      <c r="I508" s="383"/>
      <c r="J508" s="398"/>
      <c r="K508" s="399"/>
      <c r="L508" s="399"/>
      <c r="M508" s="399"/>
      <c r="N508" s="356">
        <v>287000</v>
      </c>
      <c r="O508" s="28" t="b">
        <v>1</v>
      </c>
    </row>
    <row r="509" spans="2:21" s="28" customFormat="1" ht="16.5" customHeight="1">
      <c r="B509" s="20"/>
      <c r="C509" s="20"/>
      <c r="D509" s="254"/>
      <c r="E509" s="379"/>
      <c r="F509" s="395"/>
      <c r="G509" s="396"/>
      <c r="H509" s="397"/>
      <c r="I509" s="383"/>
      <c r="J509" s="398"/>
      <c r="K509" s="399"/>
      <c r="L509" s="399"/>
      <c r="M509" s="399"/>
      <c r="N509" s="356">
        <v>1800000</v>
      </c>
      <c r="O509" s="28" t="b">
        <v>1</v>
      </c>
    </row>
    <row r="510" spans="2:21" ht="16.5" customHeight="1">
      <c r="D510" s="254"/>
      <c r="E510" s="379"/>
      <c r="F510" s="395"/>
      <c r="G510" s="396"/>
      <c r="H510" s="397"/>
      <c r="I510" s="383"/>
      <c r="J510" s="398"/>
      <c r="K510" s="399"/>
      <c r="L510" s="399"/>
      <c r="M510" s="399"/>
      <c r="N510" t="e">
        <v>#N/A</v>
      </c>
      <c r="R510"/>
      <c r="S510"/>
      <c r="T510"/>
      <c r="U510" s="12"/>
    </row>
    <row r="511" spans="2:21" ht="16.5" customHeight="1">
      <c r="D511" s="254"/>
      <c r="E511" s="379"/>
      <c r="F511" s="395"/>
      <c r="G511" s="396"/>
      <c r="H511" s="397"/>
      <c r="I511" s="383"/>
      <c r="J511" s="398"/>
      <c r="K511" s="399"/>
      <c r="L511" s="399"/>
      <c r="M511" s="399"/>
      <c r="N511" t="e">
        <v>#N/A</v>
      </c>
      <c r="R511"/>
      <c r="S511"/>
      <c r="T511"/>
      <c r="U511" s="12"/>
    </row>
    <row r="512" spans="2:21" ht="16.5" customHeight="1">
      <c r="D512" s="254"/>
      <c r="E512" s="379"/>
      <c r="F512" s="395"/>
      <c r="G512" s="396"/>
      <c r="H512" s="397"/>
      <c r="I512" s="383"/>
      <c r="J512" s="398"/>
      <c r="K512" s="399"/>
      <c r="L512" s="399"/>
      <c r="M512" s="399"/>
      <c r="N512" t="e">
        <v>#N/A</v>
      </c>
      <c r="R512"/>
      <c r="S512"/>
      <c r="T512"/>
      <c r="U512" s="12"/>
    </row>
    <row r="513" spans="4:21" ht="16.5" customHeight="1">
      <c r="D513" s="254"/>
      <c r="E513" s="379"/>
      <c r="F513" s="395"/>
      <c r="G513" s="396"/>
      <c r="H513" s="397"/>
      <c r="I513" s="383"/>
      <c r="J513" s="398"/>
      <c r="K513" s="399"/>
      <c r="L513" s="399"/>
      <c r="M513" s="399"/>
      <c r="N513" t="e">
        <v>#N/A</v>
      </c>
      <c r="R513"/>
      <c r="S513"/>
      <c r="T513"/>
      <c r="U513" s="12"/>
    </row>
    <row r="514" spans="4:21" ht="16.5" customHeight="1">
      <c r="D514" s="254"/>
      <c r="E514" s="379"/>
      <c r="F514" s="395"/>
      <c r="G514" s="396"/>
      <c r="H514" s="397"/>
      <c r="I514" s="383"/>
      <c r="J514" s="398"/>
      <c r="K514" s="399"/>
      <c r="L514" s="399"/>
      <c r="M514" s="399"/>
      <c r="N514" t="e">
        <v>#N/A</v>
      </c>
      <c r="R514"/>
      <c r="S514"/>
      <c r="T514"/>
      <c r="U514" s="12"/>
    </row>
    <row r="515" spans="4:21" ht="16.5" customHeight="1">
      <c r="D515" s="254"/>
      <c r="E515" s="379"/>
      <c r="F515" s="395"/>
      <c r="G515" s="396"/>
      <c r="H515" s="397"/>
      <c r="I515" s="383"/>
      <c r="J515" s="398"/>
      <c r="K515" s="399"/>
      <c r="L515" s="399"/>
      <c r="M515" s="399"/>
      <c r="N515" t="e">
        <v>#N/A</v>
      </c>
      <c r="R515"/>
      <c r="S515"/>
      <c r="T515"/>
      <c r="U515" s="12"/>
    </row>
    <row r="516" spans="4:21" ht="16.5" customHeight="1">
      <c r="D516" s="254"/>
      <c r="E516" s="379"/>
      <c r="F516" s="395"/>
      <c r="G516" s="396"/>
      <c r="H516" s="397"/>
      <c r="I516" s="383"/>
      <c r="J516" s="398"/>
      <c r="K516" s="399"/>
      <c r="L516" s="399"/>
      <c r="M516" s="399"/>
      <c r="N516" t="e">
        <v>#N/A</v>
      </c>
      <c r="R516"/>
      <c r="S516"/>
      <c r="T516"/>
      <c r="U516" s="12"/>
    </row>
    <row r="517" spans="4:21">
      <c r="E517" s="379"/>
      <c r="F517" s="395"/>
      <c r="G517" s="396"/>
      <c r="H517" s="397"/>
      <c r="I517" s="383"/>
      <c r="J517" s="398"/>
      <c r="K517" s="399"/>
      <c r="L517" s="399"/>
      <c r="M517" s="399"/>
    </row>
    <row r="518" spans="4:21">
      <c r="E518" s="379"/>
      <c r="F518" s="395"/>
      <c r="G518" s="396"/>
      <c r="H518" s="397"/>
      <c r="I518" s="383"/>
      <c r="J518" s="398"/>
      <c r="K518" s="399"/>
      <c r="L518" s="399"/>
      <c r="M518" s="399"/>
    </row>
  </sheetData>
  <protectedRanges>
    <protectedRange sqref="M46:O64" name="범위10_1_1"/>
    <protectedRange sqref="L8" name="범위11_1"/>
    <protectedRange sqref="L8" name="범위4_1"/>
    <protectedRange sqref="P12:P26" name="범위14_1_1"/>
    <protectedRange sqref="D9" name="범위13_1_1"/>
    <protectedRange sqref="G8:H8" name="범위15_1_1"/>
    <protectedRange sqref="G61 D46:E46 D48:E64 G46:G59" name="범위8_1_1_2_1_1_1"/>
    <protectedRange sqref="G63:K63 G64:J64 G62:H63 J63:K64 H61:K61 G60:H60 H46:K59" name="범위9_1_1_1_1_2"/>
    <protectedRange sqref="G7:H7" name="범위15_1_1_1"/>
    <protectedRange sqref="C12 C16:C26" name="범위1_3_1_2"/>
    <protectedRange sqref="L12:L26" name="범위3_2_1_1_1"/>
    <protectedRange sqref="D27" name="범위23_1_1_1_2_1_1"/>
    <protectedRange sqref="D27" name="범위1_3_1_1_1_1_2_1_1"/>
    <protectedRange sqref="C13:C16" name="범위1_3_1_2_1"/>
    <protectedRange sqref="D12:D25" name="범위23_1_1_1_2_1_1_1"/>
    <protectedRange sqref="D12:D25" name="범위1_3_1_1_1_1_2_1_1_1"/>
    <protectedRange sqref="D26" name="범위23_1_1_1_2_1_1_1_1"/>
    <protectedRange sqref="D26" name="범위1_3_1_1_1_1_2_1_1_1_1"/>
    <protectedRange sqref="D510:D515" name="범위5_1_3_1"/>
    <protectedRange sqref="D508" name="범위5_1_3_2_1"/>
    <protectedRange sqref="D498:D507" name="범위5_1_2_1_2_1_2_2"/>
    <protectedRange sqref="D71:D497" name="범위5_1_2_1_2_1_2_1_1"/>
    <protectedRange sqref="D509" name="범위5_1_3_2_1_1"/>
    <protectedRange sqref="I484" name="범위6_1_1_1_2_1_2_8_3"/>
    <protectedRange sqref="G484:H484" name="범위6_1_1_1_2_1_9_1_2_1"/>
    <protectedRange sqref="M478:M480" name="범위26_2_1_2_1_1_7_3_2_1"/>
    <protectedRange sqref="G478:H480" name="범위6_1_1_1_2_1_2_8_1_3"/>
    <protectedRange sqref="M484" name="범위26_2_1_2_1_19_1_1_1_2_1"/>
    <protectedRange sqref="G482:H482" name="범위6_1_1_1_2_1_2_1_2_2"/>
    <protectedRange sqref="M481:M482" name="범위26_2_1_2_1_1_7_2_1_3"/>
    <protectedRange sqref="M483" name="범위26_2_1_2_1_1_8_2"/>
    <protectedRange sqref="G483:H483" name="범위6_1_1_1_2_1_2_8_1_1_2_1"/>
    <protectedRange sqref="F483" name="범위1_3_1_1_1_2"/>
    <protectedRange sqref="M98 M96" name="범위26_2_1_2_1_8_1_2_1"/>
    <protectedRange sqref="G100:H100 G98:H98 G96:H96" name="범위6_1_1_1_2_1_9_2_1_1"/>
    <protectedRange sqref="F98" name="범위1_1_2_1_1"/>
    <protectedRange sqref="M99 M97 M72:M94 M102:M113" name="범위26_2_1_2_1_1_7_1_1_1"/>
    <protectedRange sqref="G99:H99 G110:H113 G87:H87 I71:I72 G72:H72 G97:H97 G73:I86 I87:I483 G89:H92 G102:H107 I485:I518" name="범위6_1_1_1_2_1_2_8_2_1"/>
    <protectedRange sqref="F110 F113" name="범위1_3_1_1_2_1"/>
    <protectedRange sqref="G93:H94" name="범위6_1_1_1_2_1_1_1_1_2_1_1"/>
    <protectedRange sqref="M101" name="범위26_2_1_2_1_1_1_1_1_1_1"/>
    <protectedRange sqref="G101:H101" name="범위6_1_1_1_2_1_2_1_1_1_1_1"/>
    <protectedRange sqref="M100" name="범위26_2_1_2_1_19_1_1_2_1_1"/>
    <protectedRange sqref="M95" name="범위26_2_1_2_1_1_4_1_2_1_1"/>
    <protectedRange sqref="G95:H95" name="범위6_1_1_1_2_1_2_4_1_2_1_1"/>
    <protectedRange sqref="M71" name="범위26_2_1_2_1_1_3_1_1_1_1"/>
    <protectedRange sqref="G71:H71" name="범위6_1_1_1_2_1_2_2_1_1_1_1"/>
    <protectedRange sqref="F71" name="범위1_3_3_1_1_1_1"/>
    <protectedRange sqref="M419 M389:M391 M399:M401" name="범위26_2_1_2_1_8_2_1_1_1"/>
    <protectedRange sqref="G389:H391 G399:H401 G405:H419 G485:H485" name="범위6_1_1_1_2_1_9_1_1_1_1"/>
    <protectedRange sqref="F399:F401" name="범위1_1_1_1_1_1"/>
    <protectedRange sqref="F419" name="범위1_4_2_1_1_1_1"/>
    <protectedRange sqref="M402:M404 M420:M425 M429:M457 M392:M396 M459 M470:M474 M114:M295 M297:M387" name="범위26_2_1_2_1_1_7_3_1_1_1"/>
    <protectedRange sqref="G140:H142 G150:H150 G374:H376 G148:H148 G159:H160 G445:H445 G223:H224 G363:H365 G232:H232 G254:H254 G247:H247 G245:H245 G256:H256 G249:H249 G260:H260 G470:H474 G216:H217 G328:H328 G318:H326 G338:H338 G368:H372 G393:H396 G298:H299 G274:H295 G301:H303 G305:H315 G330:H335 G402:H404 G429:H437 G439:H443 G448:H456 G459:H459 G206:H213 G114:H126 G262:H269 G197:H202 G420:H425 G128:H135 G347:H358" name="범위6_1_1_1_2_1_2_8_1_2_1_1"/>
    <protectedRange sqref="G444:H444" name="범위6_1_1_1_1_1_1_1_1_1_1_1_1"/>
    <protectedRange sqref="F284:F285 F180:F182 F229:F231 F172:F174 F301 F347 F327:F328 F396 F295 F368 F274 F129:F130 F219:F222 F257:F261 F402 F250:F255 F133:F135 F233:F248" name="범위1_3_1_3_1_1_1"/>
    <protectedRange sqref="G377:H377 G379:H387" name="범위6_1_1_1_2_1_1_1_1_1_1_1_1"/>
    <protectedRange sqref="F356" name="범위1_2_1_1_1_1_1_1"/>
    <protectedRange sqref="F345" name="범위1_5_1_1_1_1_1_1"/>
    <protectedRange sqref="M405:M418 M485" name="범위26_2_1_2_1_19_1_1_1_1_1_1"/>
    <protectedRange sqref="M388" name="범위26_2_1_2_1_1_4_1_1_1_1_1"/>
    <protectedRange sqref="G388:H388" name="범위6_1_1_1_2_1_2_4_1_1_1_1_1"/>
    <protectedRange sqref="G392:H392" name="범위6_1_1_1_2_1_2_5_1_1_1_1_1"/>
    <protectedRange sqref="M458 M469" name="범위26_2_1_2_1_1_2_1_1_1_1_1"/>
    <protectedRange sqref="F458" name="범위1_3_2_1_1_1_1_1"/>
    <protectedRange sqref="M397:M398" name="범위26_2_1_2_1_3_1_1_1_1_1"/>
    <protectedRange sqref="G397:H398" name="범위6_1_1_1_2_1_3_1_1_1_1_1"/>
    <protectedRange sqref="F397:F398" name="범위1_2_2_1_1_1_1"/>
    <protectedRange sqref="M426:M428" name="범위26_2_1_2_1_1_5_1_1_1_1_1"/>
    <protectedRange sqref="G426:H428" name="범위6_1_1_1_2_1_2_3_1_1_1_1_1"/>
    <protectedRange sqref="M296" name="범위26_2_1_2_1_1_6_1_1_1_1_1"/>
    <protectedRange sqref="G296:H296" name="범위6_1_1_1_2_1_2_6_1_1_1_1_1"/>
    <protectedRange sqref="G469:H469" name="범위6_1_1_1_2_1_4_1_1_1_1_1"/>
    <protectedRange sqref="F469" name="범위1_5_2_1_1_1_1"/>
    <protectedRange sqref="G476:H476 G461:H461" name="범위6_1_1_1_2_1_2_1_2_1_1_1"/>
    <protectedRange sqref="M475:M476 M460:M461" name="범위26_2_1_2_1_1_7_2_1_2_1_1"/>
    <protectedRange sqref="M477 M462" name="범위26_2_1_2_1_1_8_1_1_1"/>
    <protectedRange sqref="G477:H477 G462:H462" name="범위6_1_1_1_2_1_2_8_1_1_1_1_1"/>
    <protectedRange sqref="F477 F462" name="범위1_3_1_1_1_1_1_1"/>
    <protectedRange sqref="M463" name="범위26_2_1_2_1_8_1_1_2_1_1"/>
    <protectedRange sqref="M464" name="범위26_2_1_2_1_1_7_2_1_1_1_1_1"/>
    <protectedRange sqref="F465:F468" name="범위1_2_1_1_1_1"/>
    <protectedRange sqref="M468 M465" name="범위26_2_1_2_1_8_1_1_1_1_1_1"/>
    <protectedRange sqref="M466:M467" name="범위26_2_1_2_1_1_7_2_2_1_1_1"/>
    <protectedRange sqref="F486:F518" name="범위1_2_1_2_1_1"/>
    <protectedRange sqref="M486:M518" name="범위26_2_1_2_1_1_7_2_2_2_1_1"/>
  </protectedRanges>
  <autoFilter ref="D70:M509" xr:uid="{00000000-0009-0000-0000-00000A000000}"/>
  <mergeCells count="22">
    <mergeCell ref="B9:C9"/>
    <mergeCell ref="D9:I9"/>
    <mergeCell ref="L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  <mergeCell ref="B41:E42"/>
    <mergeCell ref="D69:E69"/>
    <mergeCell ref="L10:P10"/>
    <mergeCell ref="G11:I11"/>
    <mergeCell ref="I28:I29"/>
    <mergeCell ref="M28:M29"/>
    <mergeCell ref="O28:P28"/>
    <mergeCell ref="O29:P29"/>
  </mergeCells>
  <phoneticPr fontId="16" type="noConversion"/>
  <dataValidations count="4">
    <dataValidation type="list" allowBlank="1" showInputMessage="1" showErrorMessage="1" sqref="D12:D26" xr:uid="{00000000-0002-0000-0A00-000000000000}">
      <formula1>$D$45:$D$64</formula1>
    </dataValidation>
    <dataValidation type="list" allowBlank="1" showInputMessage="1" showErrorMessage="1" sqref="L8:M8" xr:uid="{00000000-0002-0000-0A00-000001000000}">
      <formula1>$M$48:$M$64</formula1>
    </dataValidation>
    <dataValidation type="list" allowBlank="1" showInputMessage="1" showErrorMessage="1" sqref="D27" xr:uid="{00000000-0002-0000-0A00-000002000000}">
      <formula1>$D$48:$D$64</formula1>
    </dataValidation>
    <dataValidation type="list" allowBlank="1" showInputMessage="1" showErrorMessage="1" sqref="F218 F203:F205 F161:F162 F167:F171" xr:uid="{00000000-0002-0000-0A00-000003000000}">
      <formula1>$A$3:$A$327</formula1>
    </dataValidation>
  </dataValidations>
  <printOptions horizontalCentered="1"/>
  <pageMargins left="7.874015748031496E-2" right="7.874015748031496E-2" top="0.43307086614173229" bottom="0.47244094488188981" header="0.27559055118110237" footer="0.23622047244094491"/>
  <pageSetup paperSize="9" scale="65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indexed="12"/>
    <pageSetUpPr fitToPage="1"/>
  </sheetPr>
  <dimension ref="A1:W518"/>
  <sheetViews>
    <sheetView topLeftCell="A114" zoomScale="85" zoomScaleNormal="85" workbookViewId="0">
      <selection activeCell="I119" sqref="I119"/>
    </sheetView>
  </sheetViews>
  <sheetFormatPr defaultRowHeight="13.5"/>
  <cols>
    <col min="1" max="1" width="1.21875" customWidth="1"/>
    <col min="2" max="2" width="4.6640625" style="1" customWidth="1"/>
    <col min="3" max="3" width="11.44140625" style="1" bestFit="1" customWidth="1"/>
    <col min="4" max="4" width="18.5546875" customWidth="1"/>
    <col min="5" max="5" width="11.33203125" customWidth="1"/>
    <col min="6" max="6" width="11.88671875" customWidth="1"/>
    <col min="7" max="7" width="18.5546875" customWidth="1"/>
    <col min="8" max="8" width="14.6640625" customWidth="1"/>
    <col min="9" max="9" width="9.88671875" style="12" customWidth="1"/>
    <col min="10" max="10" width="9.88671875" style="15" customWidth="1"/>
    <col min="11" max="11" width="9.88671875" style="1" customWidth="1"/>
    <col min="12" max="12" width="10.88671875" customWidth="1"/>
    <col min="13" max="13" width="9.88671875" customWidth="1"/>
    <col min="14" max="14" width="14.6640625" customWidth="1"/>
    <col min="15" max="15" width="15.5546875" customWidth="1"/>
    <col min="16" max="16" width="17" customWidth="1"/>
    <col min="17" max="17" width="1.21875" customWidth="1"/>
    <col min="18" max="18" width="9" style="21" bestFit="1" customWidth="1"/>
    <col min="19" max="20" width="8.88671875" style="256" customWidth="1"/>
    <col min="21" max="21" width="8.88671875" style="21"/>
  </cols>
  <sheetData>
    <row r="1" spans="1:21" s="8" customFormat="1" ht="14.25" customHeight="1" thickBot="1">
      <c r="A1" s="59"/>
      <c r="B1" s="287"/>
      <c r="C1" s="287"/>
      <c r="D1" s="59"/>
      <c r="E1" s="59"/>
      <c r="F1" s="7"/>
      <c r="G1" s="7"/>
      <c r="H1" s="7"/>
      <c r="I1" s="9"/>
      <c r="J1" s="17"/>
      <c r="K1" s="7"/>
      <c r="L1" s="7"/>
      <c r="M1" s="59"/>
      <c r="N1" s="59"/>
      <c r="O1" s="59"/>
      <c r="P1" s="59"/>
      <c r="R1" s="20"/>
      <c r="S1" s="257"/>
      <c r="T1" s="257"/>
      <c r="U1" s="20"/>
    </row>
    <row r="2" spans="1:21" s="8" customFormat="1" ht="18" customHeight="1">
      <c r="A2" s="59"/>
      <c r="B2" s="640" t="s">
        <v>1</v>
      </c>
      <c r="C2" s="641"/>
      <c r="D2" s="641"/>
      <c r="E2" s="642"/>
      <c r="F2" s="646"/>
      <c r="G2" s="647"/>
      <c r="H2" s="647"/>
      <c r="I2" s="647"/>
      <c r="J2" s="647"/>
      <c r="K2" s="647"/>
      <c r="L2" s="647"/>
      <c r="M2" s="288" t="s">
        <v>2</v>
      </c>
      <c r="N2" s="288"/>
      <c r="O2" s="288"/>
      <c r="P2" s="288"/>
      <c r="R2" s="20"/>
      <c r="S2" s="257"/>
      <c r="T2" s="257"/>
      <c r="U2" s="20"/>
    </row>
    <row r="3" spans="1:21" s="8" customFormat="1" ht="16.5" customHeight="1" thickBot="1">
      <c r="A3" s="59"/>
      <c r="B3" s="643"/>
      <c r="C3" s="644"/>
      <c r="D3" s="644"/>
      <c r="E3" s="645"/>
      <c r="F3" s="647"/>
      <c r="G3" s="647"/>
      <c r="H3" s="647"/>
      <c r="I3" s="647"/>
      <c r="J3" s="647"/>
      <c r="K3" s="647"/>
      <c r="L3" s="647"/>
      <c r="M3" s="289" t="s">
        <v>416</v>
      </c>
      <c r="N3" s="59"/>
      <c r="O3" s="59"/>
      <c r="P3" s="59"/>
      <c r="R3" s="20"/>
      <c r="S3" s="257"/>
      <c r="T3" s="257"/>
      <c r="U3" s="20"/>
    </row>
    <row r="4" spans="1:21" s="8" customFormat="1" ht="16.5" customHeight="1">
      <c r="A4" s="59"/>
      <c r="B4" s="287"/>
      <c r="C4" s="287"/>
      <c r="D4" s="59"/>
      <c r="E4" s="59"/>
      <c r="F4" s="647"/>
      <c r="G4" s="647"/>
      <c r="H4" s="647"/>
      <c r="I4" s="647"/>
      <c r="J4" s="647"/>
      <c r="K4" s="647"/>
      <c r="L4" s="647"/>
      <c r="M4" s="289" t="s">
        <v>3</v>
      </c>
      <c r="N4" s="59"/>
      <c r="O4" s="59"/>
      <c r="P4" s="59"/>
      <c r="R4" s="20"/>
      <c r="S4" s="257"/>
      <c r="T4" s="257"/>
      <c r="U4" s="20"/>
    </row>
    <row r="5" spans="1:21" s="8" customFormat="1" ht="16.5" customHeight="1">
      <c r="A5" s="59"/>
      <c r="B5" s="287"/>
      <c r="C5" s="287"/>
      <c r="D5" s="59"/>
      <c r="E5" s="59"/>
      <c r="F5" s="7"/>
      <c r="G5" s="7"/>
      <c r="H5" s="7"/>
      <c r="I5" s="10"/>
      <c r="J5" s="18"/>
      <c r="K5" s="7"/>
      <c r="L5" s="7"/>
      <c r="M5" s="289" t="s">
        <v>4</v>
      </c>
      <c r="N5" s="59"/>
      <c r="O5" s="59"/>
      <c r="P5" s="59"/>
      <c r="R5" s="20"/>
      <c r="S5" s="257"/>
      <c r="T5" s="257"/>
      <c r="U5" s="20"/>
    </row>
    <row r="6" spans="1:21" s="8" customFormat="1" ht="9" customHeight="1" thickBot="1">
      <c r="A6" s="59"/>
      <c r="B6" s="287"/>
      <c r="C6" s="287"/>
      <c r="D6" s="59"/>
      <c r="E6" s="59"/>
      <c r="F6" s="290"/>
      <c r="G6" s="59"/>
      <c r="H6" s="59"/>
      <c r="I6" s="291"/>
      <c r="J6" s="292"/>
      <c r="K6" s="287"/>
      <c r="L6" s="59"/>
      <c r="M6" s="59"/>
      <c r="N6" s="59"/>
      <c r="O6" s="59"/>
      <c r="P6" s="59"/>
      <c r="R6" s="20"/>
      <c r="S6" s="257"/>
      <c r="T6" s="257"/>
      <c r="U6" s="20"/>
    </row>
    <row r="7" spans="1:21" s="41" customFormat="1" ht="25.5" customHeight="1" thickTop="1">
      <c r="A7" s="40"/>
      <c r="B7" s="648" t="s">
        <v>5</v>
      </c>
      <c r="C7" s="649"/>
      <c r="D7" s="650" t="s">
        <v>6</v>
      </c>
      <c r="E7" s="651"/>
      <c r="F7" s="46" t="s">
        <v>7</v>
      </c>
      <c r="G7" s="652" t="s">
        <v>75</v>
      </c>
      <c r="H7" s="653"/>
      <c r="I7" s="654"/>
      <c r="J7" s="293"/>
      <c r="K7" s="294" t="s">
        <v>8</v>
      </c>
      <c r="L7" s="655">
        <f ca="1">TODAY()</f>
        <v>45981</v>
      </c>
      <c r="M7" s="656"/>
      <c r="N7" s="47" t="s">
        <v>9</v>
      </c>
      <c r="O7" s="48"/>
      <c r="P7" s="49"/>
      <c r="R7" s="20"/>
      <c r="S7" s="257"/>
      <c r="T7" s="257"/>
      <c r="U7" s="20"/>
    </row>
    <row r="8" spans="1:21" s="41" customFormat="1" ht="25.5" customHeight="1">
      <c r="A8" s="40"/>
      <c r="B8" s="657" t="s">
        <v>10</v>
      </c>
      <c r="C8" s="658"/>
      <c r="D8" s="659" t="s">
        <v>11</v>
      </c>
      <c r="E8" s="660"/>
      <c r="F8" s="50" t="s">
        <v>12</v>
      </c>
      <c r="G8" s="660" t="s">
        <v>13</v>
      </c>
      <c r="H8" s="660"/>
      <c r="I8" s="661"/>
      <c r="J8" s="293"/>
      <c r="K8" s="51" t="s">
        <v>14</v>
      </c>
      <c r="L8" s="662"/>
      <c r="M8" s="663"/>
      <c r="N8" s="52" t="s">
        <v>15</v>
      </c>
      <c r="O8" s="630"/>
      <c r="P8" s="631"/>
      <c r="R8" s="20"/>
      <c r="S8" s="257"/>
      <c r="T8" s="257"/>
      <c r="U8" s="20"/>
    </row>
    <row r="9" spans="1:21" s="41" customFormat="1" ht="25.5" customHeight="1" thickBot="1">
      <c r="A9" s="40"/>
      <c r="B9" s="635" t="s">
        <v>16</v>
      </c>
      <c r="C9" s="636"/>
      <c r="D9" s="637"/>
      <c r="E9" s="638"/>
      <c r="F9" s="638"/>
      <c r="G9" s="638"/>
      <c r="H9" s="638"/>
      <c r="I9" s="639"/>
      <c r="J9" s="293"/>
      <c r="K9" s="53" t="s">
        <v>17</v>
      </c>
      <c r="L9" s="632"/>
      <c r="M9" s="633"/>
      <c r="N9" s="633"/>
      <c r="O9" s="633"/>
      <c r="P9" s="634"/>
      <c r="R9" s="20"/>
      <c r="S9" s="257"/>
      <c r="T9" s="257"/>
      <c r="U9" s="20"/>
    </row>
    <row r="10" spans="1:21" s="8" customFormat="1" ht="18" customHeight="1" thickBot="1">
      <c r="A10" s="59"/>
      <c r="B10" s="287"/>
      <c r="C10" s="287"/>
      <c r="D10" s="59"/>
      <c r="E10" s="59"/>
      <c r="F10" s="59"/>
      <c r="G10" s="59"/>
      <c r="H10" s="59"/>
      <c r="I10" s="291"/>
      <c r="J10" s="292"/>
      <c r="K10" s="287"/>
      <c r="L10" s="664"/>
      <c r="M10" s="664"/>
      <c r="N10" s="664"/>
      <c r="O10" s="664"/>
      <c r="P10" s="664"/>
      <c r="R10" s="20"/>
      <c r="S10" s="257"/>
      <c r="T10" s="257"/>
      <c r="U10" s="20"/>
    </row>
    <row r="11" spans="1:21" s="8" customFormat="1" ht="33.75" customHeight="1" thickTop="1">
      <c r="A11" s="59"/>
      <c r="B11" s="295" t="s">
        <v>821</v>
      </c>
      <c r="C11" s="296" t="s">
        <v>88</v>
      </c>
      <c r="D11" s="296" t="s">
        <v>822</v>
      </c>
      <c r="E11" s="296" t="s">
        <v>823</v>
      </c>
      <c r="F11" s="297" t="s">
        <v>109</v>
      </c>
      <c r="G11" s="665" t="s">
        <v>108</v>
      </c>
      <c r="H11" s="666"/>
      <c r="I11" s="667"/>
      <c r="J11" s="298" t="s">
        <v>824</v>
      </c>
      <c r="K11" s="296" t="s">
        <v>825</v>
      </c>
      <c r="L11" s="296" t="s">
        <v>826</v>
      </c>
      <c r="M11" s="296" t="s">
        <v>827</v>
      </c>
      <c r="N11" s="296" t="s">
        <v>828</v>
      </c>
      <c r="O11" s="296" t="s">
        <v>829</v>
      </c>
      <c r="P11" s="299" t="s">
        <v>93</v>
      </c>
      <c r="R11" s="20" t="s">
        <v>123</v>
      </c>
      <c r="S11" s="257"/>
      <c r="T11" s="257"/>
      <c r="U11" s="20"/>
    </row>
    <row r="12" spans="1:21" s="41" customFormat="1" ht="28.5" customHeight="1">
      <c r="A12" s="40"/>
      <c r="B12" s="221">
        <v>1</v>
      </c>
      <c r="C12" s="357" t="s">
        <v>854</v>
      </c>
      <c r="D12" s="82" t="s">
        <v>955</v>
      </c>
      <c r="E12" s="85">
        <f t="shared" ref="E12:E26" si="0">IF($D12&lt;&gt;0,VLOOKUP($D12,$D$45:$E$64,2,FALSE),"")</f>
        <v>194667</v>
      </c>
      <c r="F12" s="83">
        <v>139085</v>
      </c>
      <c r="G12" s="224" t="str">
        <f>IF($F12&lt;&gt;0,VLOOKUP($F12,$E$71:$M$516,2,FALSE),"")</f>
        <v>MOBIL VACTRA OIL NO 2 DRUM 200L:KR</v>
      </c>
      <c r="H12" s="225"/>
      <c r="I12" s="226"/>
      <c r="J12" s="84" t="str">
        <f>IF($F12&lt;&gt;0,VLOOKUP($F12,$E$71:$M$516,7,FALSE),"")</f>
        <v>DRUM</v>
      </c>
      <c r="K12" s="85" t="str">
        <f>IF($F12&lt;&gt;0,VLOOKUP($F12,$E$71:$M$516,8,FALSE),"")</f>
        <v>IND</v>
      </c>
      <c r="L12" s="86">
        <v>1</v>
      </c>
      <c r="M12" s="87">
        <f>IF($L12&lt;&gt;0,VLOOKUP($F12,$E$71:$M$516,9,FALSE)*$L12,"")</f>
        <v>200</v>
      </c>
      <c r="N12" s="88">
        <v>508000</v>
      </c>
      <c r="O12" s="89">
        <f t="shared" ref="O12:O27" si="1">IF(L12&lt;&gt;0,$L12*$N12,"")</f>
        <v>508000</v>
      </c>
      <c r="P12" s="231"/>
      <c r="R12" s="20">
        <f>COUNTIF($F$11:F17,F12)</f>
        <v>1</v>
      </c>
      <c r="S12" s="257">
        <f t="shared" ref="S12:S26" si="2">O12*1.1</f>
        <v>558800</v>
      </c>
      <c r="T12" s="257">
        <v>235000</v>
      </c>
      <c r="U12" s="20" t="b">
        <f>N12=T12</f>
        <v>0</v>
      </c>
    </row>
    <row r="13" spans="1:21" s="41" customFormat="1" ht="28.5" customHeight="1">
      <c r="A13" s="40"/>
      <c r="B13" s="221">
        <v>2</v>
      </c>
      <c r="C13" s="357" t="s">
        <v>948</v>
      </c>
      <c r="D13" s="82" t="s">
        <v>955</v>
      </c>
      <c r="E13" s="85">
        <f t="shared" si="0"/>
        <v>194667</v>
      </c>
      <c r="F13" s="83">
        <v>138898</v>
      </c>
      <c r="G13" s="224" t="str">
        <f t="shared" ref="G13:G26" si="3">IF($F13&lt;&gt;0,VLOOKUP($F13,$E$71:$M$516,2,FALSE),"")</f>
        <v>MOBILFLUID 424 DRUM 200L</v>
      </c>
      <c r="H13" s="225"/>
      <c r="I13" s="226"/>
      <c r="J13" s="84" t="str">
        <f t="shared" ref="J13:J26" si="4">IF($F13&lt;&gt;0,VLOOKUP($F13,$E$71:$M$516,7,FALSE),"")</f>
        <v>DRUM</v>
      </c>
      <c r="K13" s="85" t="str">
        <f t="shared" ref="K13:K26" si="5">IF($F13&lt;&gt;0,VLOOKUP($F13,$E$71:$M$516,8,FALSE),"")</f>
        <v>CVL</v>
      </c>
      <c r="L13" s="86">
        <v>1</v>
      </c>
      <c r="M13" s="87">
        <f t="shared" ref="M13:M15" si="6">IF($L13&lt;&gt;0,VLOOKUP($F13,$E$71:$M$516,9,FALSE)*$L13,"")</f>
        <v>200</v>
      </c>
      <c r="N13" s="88">
        <f t="shared" ref="N13:N26" si="7">IF($F13&lt;&gt;0,VLOOKUP($F13,$E$71:$M$516,5,FALSE),"")</f>
        <v>755000</v>
      </c>
      <c r="O13" s="89">
        <f t="shared" si="1"/>
        <v>755000</v>
      </c>
      <c r="P13" s="231"/>
      <c r="R13" s="20">
        <f>COUNTIF($F$11:F18,F13)</f>
        <v>1</v>
      </c>
      <c r="S13" s="257">
        <f t="shared" si="2"/>
        <v>830500.00000000012</v>
      </c>
      <c r="T13" s="257"/>
      <c r="U13" s="20" t="b">
        <f>N13=T13</f>
        <v>0</v>
      </c>
    </row>
    <row r="14" spans="1:21" s="41" customFormat="1" ht="28.5" customHeight="1">
      <c r="A14" s="40"/>
      <c r="B14" s="221">
        <v>3</v>
      </c>
      <c r="C14" s="357" t="s">
        <v>855</v>
      </c>
      <c r="D14" s="82"/>
      <c r="E14" s="85" t="str">
        <f t="shared" si="0"/>
        <v/>
      </c>
      <c r="F14" s="83"/>
      <c r="G14" s="224" t="str">
        <f t="shared" si="3"/>
        <v/>
      </c>
      <c r="H14" s="225"/>
      <c r="I14" s="226"/>
      <c r="J14" s="84" t="str">
        <f t="shared" si="4"/>
        <v/>
      </c>
      <c r="K14" s="85" t="str">
        <f t="shared" si="5"/>
        <v/>
      </c>
      <c r="L14" s="86"/>
      <c r="M14" s="87" t="str">
        <f t="shared" si="6"/>
        <v/>
      </c>
      <c r="N14" s="88" t="str">
        <f t="shared" si="7"/>
        <v/>
      </c>
      <c r="O14" s="89" t="str">
        <f t="shared" si="1"/>
        <v/>
      </c>
      <c r="P14" s="231"/>
      <c r="R14" s="20">
        <f>COUNTIF($F$11:F18,F14)</f>
        <v>0</v>
      </c>
      <c r="S14" s="257" t="e">
        <f t="shared" si="2"/>
        <v>#VALUE!</v>
      </c>
      <c r="T14" s="257"/>
      <c r="U14" s="20" t="b">
        <f>N14=T14</f>
        <v>1</v>
      </c>
    </row>
    <row r="15" spans="1:21" s="41" customFormat="1" ht="28.5" customHeight="1">
      <c r="A15" s="40"/>
      <c r="B15" s="221">
        <v>4</v>
      </c>
      <c r="C15" s="222"/>
      <c r="D15" s="82"/>
      <c r="E15" s="85" t="str">
        <f t="shared" si="0"/>
        <v/>
      </c>
      <c r="F15" s="83"/>
      <c r="G15" s="224" t="str">
        <f t="shared" si="3"/>
        <v/>
      </c>
      <c r="H15" s="225"/>
      <c r="I15" s="226"/>
      <c r="J15" s="84" t="str">
        <f t="shared" si="4"/>
        <v/>
      </c>
      <c r="K15" s="85" t="str">
        <f t="shared" si="5"/>
        <v/>
      </c>
      <c r="L15" s="86"/>
      <c r="M15" s="87" t="str">
        <f t="shared" si="6"/>
        <v/>
      </c>
      <c r="N15" s="88" t="str">
        <f t="shared" si="7"/>
        <v/>
      </c>
      <c r="O15" s="89" t="str">
        <f t="shared" si="1"/>
        <v/>
      </c>
      <c r="P15" s="231"/>
      <c r="R15" s="20">
        <f>COUNTIF($F$11:F19,F15)</f>
        <v>0</v>
      </c>
      <c r="S15" s="257" t="e">
        <f t="shared" si="2"/>
        <v>#VALUE!</v>
      </c>
      <c r="T15" s="77"/>
      <c r="U15" s="20" t="b">
        <f t="shared" ref="U15:U26" si="8">N15=T15</f>
        <v>1</v>
      </c>
    </row>
    <row r="16" spans="1:21" s="41" customFormat="1" ht="28.5" customHeight="1">
      <c r="A16" s="40"/>
      <c r="B16" s="221">
        <v>5</v>
      </c>
      <c r="C16" s="222"/>
      <c r="D16" s="82"/>
      <c r="E16" s="85" t="str">
        <f t="shared" si="0"/>
        <v/>
      </c>
      <c r="F16" s="83"/>
      <c r="G16" s="224" t="str">
        <f t="shared" si="3"/>
        <v/>
      </c>
      <c r="H16" s="225"/>
      <c r="I16" s="226"/>
      <c r="J16" s="84" t="str">
        <f t="shared" si="4"/>
        <v/>
      </c>
      <c r="K16" s="85" t="str">
        <f t="shared" si="5"/>
        <v/>
      </c>
      <c r="L16" s="86"/>
      <c r="M16" s="87" t="str">
        <f t="shared" ref="M16:M26" si="9">IF($L16&lt;&gt;0,VLOOKUP($F16,$E$71:$M$516,9,FALSE)*$L16,"")</f>
        <v/>
      </c>
      <c r="N16" s="88" t="str">
        <f t="shared" si="7"/>
        <v/>
      </c>
      <c r="O16" s="89" t="str">
        <f t="shared" si="1"/>
        <v/>
      </c>
      <c r="P16" s="231"/>
      <c r="R16" s="20">
        <f>COUNTIF($F$11:F20,F16)</f>
        <v>0</v>
      </c>
      <c r="S16" s="257" t="e">
        <f>O16*1.1</f>
        <v>#VALUE!</v>
      </c>
      <c r="T16" s="77"/>
      <c r="U16" s="20" t="b">
        <f>N16=T16</f>
        <v>1</v>
      </c>
    </row>
    <row r="17" spans="1:21" s="41" customFormat="1" ht="28.5" customHeight="1">
      <c r="A17" s="40"/>
      <c r="B17" s="221">
        <v>6</v>
      </c>
      <c r="C17" s="222"/>
      <c r="D17" s="82"/>
      <c r="E17" s="85" t="str">
        <f t="shared" si="0"/>
        <v/>
      </c>
      <c r="F17" s="83"/>
      <c r="G17" s="224" t="str">
        <f t="shared" si="3"/>
        <v/>
      </c>
      <c r="H17" s="225"/>
      <c r="I17" s="226"/>
      <c r="J17" s="84" t="str">
        <f t="shared" si="4"/>
        <v/>
      </c>
      <c r="K17" s="85" t="str">
        <f t="shared" si="5"/>
        <v/>
      </c>
      <c r="L17" s="86"/>
      <c r="M17" s="87" t="str">
        <f t="shared" si="9"/>
        <v/>
      </c>
      <c r="N17" s="88" t="str">
        <f t="shared" si="7"/>
        <v/>
      </c>
      <c r="O17" s="89" t="str">
        <f t="shared" si="1"/>
        <v/>
      </c>
      <c r="P17" s="231"/>
      <c r="R17" s="20">
        <f>COUNTIF($F$11:F21,F17)</f>
        <v>0</v>
      </c>
      <c r="S17" s="257" t="e">
        <f t="shared" si="2"/>
        <v>#VALUE!</v>
      </c>
      <c r="T17" s="257"/>
      <c r="U17" s="20" t="b">
        <f>N17=T17</f>
        <v>1</v>
      </c>
    </row>
    <row r="18" spans="1:21" s="41" customFormat="1" ht="28.5" customHeight="1">
      <c r="A18" s="40"/>
      <c r="B18" s="221">
        <v>7</v>
      </c>
      <c r="C18" s="222"/>
      <c r="D18" s="82"/>
      <c r="E18" s="85" t="str">
        <f t="shared" si="0"/>
        <v/>
      </c>
      <c r="F18" s="83"/>
      <c r="G18" s="224" t="str">
        <f t="shared" si="3"/>
        <v/>
      </c>
      <c r="H18" s="225"/>
      <c r="I18" s="226"/>
      <c r="J18" s="84" t="str">
        <f t="shared" si="4"/>
        <v/>
      </c>
      <c r="K18" s="85" t="str">
        <f t="shared" si="5"/>
        <v/>
      </c>
      <c r="L18" s="86"/>
      <c r="M18" s="87" t="str">
        <f t="shared" si="9"/>
        <v/>
      </c>
      <c r="N18" s="88" t="str">
        <f t="shared" si="7"/>
        <v/>
      </c>
      <c r="O18" s="89" t="str">
        <f t="shared" si="1"/>
        <v/>
      </c>
      <c r="P18" s="231"/>
      <c r="R18" s="20">
        <f>COUNTIF($F$11:F22,F18)</f>
        <v>0</v>
      </c>
      <c r="S18" s="257" t="e">
        <f t="shared" si="2"/>
        <v>#VALUE!</v>
      </c>
      <c r="T18" s="257"/>
      <c r="U18" s="20" t="b">
        <f t="shared" si="8"/>
        <v>1</v>
      </c>
    </row>
    <row r="19" spans="1:21" s="41" customFormat="1" ht="28.5" customHeight="1">
      <c r="A19" s="40"/>
      <c r="B19" s="221">
        <v>8</v>
      </c>
      <c r="C19" s="222"/>
      <c r="D19" s="82"/>
      <c r="E19" s="85" t="str">
        <f t="shared" si="0"/>
        <v/>
      </c>
      <c r="F19" s="83"/>
      <c r="G19" s="224" t="str">
        <f t="shared" si="3"/>
        <v/>
      </c>
      <c r="H19" s="225"/>
      <c r="I19" s="226"/>
      <c r="J19" s="84" t="str">
        <f t="shared" si="4"/>
        <v/>
      </c>
      <c r="K19" s="85" t="str">
        <f t="shared" si="5"/>
        <v/>
      </c>
      <c r="L19" s="86"/>
      <c r="M19" s="87" t="str">
        <f t="shared" si="9"/>
        <v/>
      </c>
      <c r="N19" s="88" t="str">
        <f t="shared" si="7"/>
        <v/>
      </c>
      <c r="O19" s="89" t="str">
        <f t="shared" si="1"/>
        <v/>
      </c>
      <c r="P19" s="231"/>
      <c r="R19" s="20">
        <f>COUNTIF($F$11:F25,F19)</f>
        <v>0</v>
      </c>
      <c r="S19" s="257" t="e">
        <f t="shared" si="2"/>
        <v>#VALUE!</v>
      </c>
      <c r="T19" s="257"/>
      <c r="U19" s="20" t="b">
        <f t="shared" si="8"/>
        <v>1</v>
      </c>
    </row>
    <row r="20" spans="1:21" s="41" customFormat="1" ht="28.5" customHeight="1">
      <c r="A20" s="40"/>
      <c r="B20" s="221">
        <v>9</v>
      </c>
      <c r="C20" s="222"/>
      <c r="D20" s="82"/>
      <c r="E20" s="85" t="str">
        <f t="shared" si="0"/>
        <v/>
      </c>
      <c r="F20" s="83"/>
      <c r="G20" s="224" t="str">
        <f t="shared" si="3"/>
        <v/>
      </c>
      <c r="H20" s="225"/>
      <c r="I20" s="226"/>
      <c r="J20" s="84" t="str">
        <f t="shared" si="4"/>
        <v/>
      </c>
      <c r="K20" s="85" t="str">
        <f t="shared" si="5"/>
        <v/>
      </c>
      <c r="L20" s="86"/>
      <c r="M20" s="87" t="str">
        <f t="shared" si="9"/>
        <v/>
      </c>
      <c r="N20" s="88" t="str">
        <f t="shared" si="7"/>
        <v/>
      </c>
      <c r="O20" s="89" t="str">
        <f t="shared" si="1"/>
        <v/>
      </c>
      <c r="P20" s="231"/>
      <c r="R20" s="20">
        <f>COUNTIF($F$11:F26,F20)</f>
        <v>0</v>
      </c>
      <c r="S20" s="257" t="e">
        <f t="shared" si="2"/>
        <v>#VALUE!</v>
      </c>
      <c r="T20" s="257"/>
      <c r="U20" s="20" t="b">
        <f t="shared" si="8"/>
        <v>1</v>
      </c>
    </row>
    <row r="21" spans="1:21" s="41" customFormat="1" ht="28.5" customHeight="1">
      <c r="A21" s="40"/>
      <c r="B21" s="221">
        <v>10</v>
      </c>
      <c r="C21" s="222"/>
      <c r="D21" s="82"/>
      <c r="E21" s="85" t="str">
        <f t="shared" si="0"/>
        <v/>
      </c>
      <c r="F21" s="83"/>
      <c r="G21" s="224" t="str">
        <f t="shared" si="3"/>
        <v/>
      </c>
      <c r="H21" s="225"/>
      <c r="I21" s="226"/>
      <c r="J21" s="84" t="str">
        <f t="shared" si="4"/>
        <v/>
      </c>
      <c r="K21" s="85" t="str">
        <f t="shared" si="5"/>
        <v/>
      </c>
      <c r="L21" s="86"/>
      <c r="M21" s="87" t="str">
        <f t="shared" si="9"/>
        <v/>
      </c>
      <c r="N21" s="88" t="str">
        <f t="shared" si="7"/>
        <v/>
      </c>
      <c r="O21" s="89" t="str">
        <f t="shared" si="1"/>
        <v/>
      </c>
      <c r="P21" s="231"/>
      <c r="R21" s="20">
        <f>COUNTIF($F$11:F27,F21)</f>
        <v>0</v>
      </c>
      <c r="S21" s="257" t="e">
        <f t="shared" si="2"/>
        <v>#VALUE!</v>
      </c>
      <c r="T21" s="257"/>
      <c r="U21" s="20" t="b">
        <f t="shared" si="8"/>
        <v>1</v>
      </c>
    </row>
    <row r="22" spans="1:21" s="41" customFormat="1" ht="28.5" customHeight="1">
      <c r="A22" s="40"/>
      <c r="B22" s="221">
        <v>11</v>
      </c>
      <c r="C22" s="222"/>
      <c r="D22" s="82"/>
      <c r="E22" s="85" t="str">
        <f t="shared" si="0"/>
        <v/>
      </c>
      <c r="F22" s="83"/>
      <c r="G22" s="224" t="str">
        <f t="shared" si="3"/>
        <v/>
      </c>
      <c r="H22" s="225"/>
      <c r="I22" s="226"/>
      <c r="J22" s="84" t="str">
        <f t="shared" si="4"/>
        <v/>
      </c>
      <c r="K22" s="85" t="str">
        <f t="shared" si="5"/>
        <v/>
      </c>
      <c r="L22" s="86"/>
      <c r="M22" s="87" t="str">
        <f t="shared" si="9"/>
        <v/>
      </c>
      <c r="N22" s="88" t="str">
        <f t="shared" si="7"/>
        <v/>
      </c>
      <c r="O22" s="89" t="str">
        <f t="shared" si="1"/>
        <v/>
      </c>
      <c r="P22" s="231"/>
      <c r="R22" s="20">
        <f>COUNTIF($F$11:F28,F22)</f>
        <v>0</v>
      </c>
      <c r="S22" s="257" t="e">
        <f t="shared" si="2"/>
        <v>#VALUE!</v>
      </c>
      <c r="T22" s="257"/>
      <c r="U22" s="20" t="b">
        <f t="shared" si="8"/>
        <v>1</v>
      </c>
    </row>
    <row r="23" spans="1:21" s="41" customFormat="1" ht="28.5" customHeight="1">
      <c r="A23" s="40"/>
      <c r="B23" s="221">
        <v>12</v>
      </c>
      <c r="C23" s="222"/>
      <c r="D23" s="82"/>
      <c r="E23" s="85" t="str">
        <f t="shared" si="0"/>
        <v/>
      </c>
      <c r="F23" s="83"/>
      <c r="G23" s="224" t="str">
        <f t="shared" si="3"/>
        <v/>
      </c>
      <c r="H23" s="225"/>
      <c r="I23" s="226"/>
      <c r="J23" s="84" t="str">
        <f t="shared" si="4"/>
        <v/>
      </c>
      <c r="K23" s="85" t="str">
        <f t="shared" si="5"/>
        <v/>
      </c>
      <c r="L23" s="86"/>
      <c r="M23" s="87" t="str">
        <f t="shared" si="9"/>
        <v/>
      </c>
      <c r="N23" s="88" t="str">
        <f t="shared" si="7"/>
        <v/>
      </c>
      <c r="O23" s="89" t="str">
        <f t="shared" si="1"/>
        <v/>
      </c>
      <c r="P23" s="231"/>
      <c r="R23" s="20">
        <f>COUNTIF($F$11:F29,F23)</f>
        <v>0</v>
      </c>
      <c r="S23" s="257" t="e">
        <f t="shared" si="2"/>
        <v>#VALUE!</v>
      </c>
      <c r="T23" s="257"/>
      <c r="U23" s="20" t="b">
        <f t="shared" si="8"/>
        <v>1</v>
      </c>
    </row>
    <row r="24" spans="1:21" s="41" customFormat="1" ht="28.5" customHeight="1">
      <c r="A24" s="40"/>
      <c r="B24" s="221">
        <v>13</v>
      </c>
      <c r="C24" s="222"/>
      <c r="D24" s="82"/>
      <c r="E24" s="85" t="str">
        <f t="shared" si="0"/>
        <v/>
      </c>
      <c r="F24" s="83"/>
      <c r="G24" s="224" t="str">
        <f t="shared" si="3"/>
        <v/>
      </c>
      <c r="H24" s="225"/>
      <c r="I24" s="226"/>
      <c r="J24" s="84" t="str">
        <f t="shared" si="4"/>
        <v/>
      </c>
      <c r="K24" s="85" t="str">
        <f t="shared" si="5"/>
        <v/>
      </c>
      <c r="L24" s="86"/>
      <c r="M24" s="87" t="str">
        <f t="shared" si="9"/>
        <v/>
      </c>
      <c r="N24" s="88" t="str">
        <f t="shared" si="7"/>
        <v/>
      </c>
      <c r="O24" s="89" t="str">
        <f t="shared" si="1"/>
        <v/>
      </c>
      <c r="P24" s="231"/>
      <c r="R24" s="20">
        <f>COUNTIF($F$11:F29,F24)</f>
        <v>0</v>
      </c>
      <c r="S24" s="257" t="e">
        <f t="shared" si="2"/>
        <v>#VALUE!</v>
      </c>
      <c r="T24" s="257"/>
      <c r="U24" s="20" t="b">
        <f t="shared" si="8"/>
        <v>1</v>
      </c>
    </row>
    <row r="25" spans="1:21" s="41" customFormat="1" ht="28.5" customHeight="1">
      <c r="A25" s="40"/>
      <c r="B25" s="221">
        <v>14</v>
      </c>
      <c r="C25" s="222"/>
      <c r="D25" s="82"/>
      <c r="E25" s="85" t="str">
        <f t="shared" si="0"/>
        <v/>
      </c>
      <c r="F25" s="83"/>
      <c r="G25" s="224" t="str">
        <f t="shared" si="3"/>
        <v/>
      </c>
      <c r="H25" s="225"/>
      <c r="I25" s="226"/>
      <c r="J25" s="84" t="str">
        <f t="shared" si="4"/>
        <v/>
      </c>
      <c r="K25" s="85" t="str">
        <f t="shared" si="5"/>
        <v/>
      </c>
      <c r="L25" s="86"/>
      <c r="M25" s="87" t="str">
        <f t="shared" si="9"/>
        <v/>
      </c>
      <c r="N25" s="88" t="str">
        <f t="shared" si="7"/>
        <v/>
      </c>
      <c r="O25" s="89" t="str">
        <f t="shared" si="1"/>
        <v/>
      </c>
      <c r="P25" s="231"/>
      <c r="R25" s="20">
        <f>COUNTIF($F$11:F30,F25)</f>
        <v>0</v>
      </c>
      <c r="S25" s="257" t="e">
        <f t="shared" si="2"/>
        <v>#VALUE!</v>
      </c>
      <c r="T25" s="257"/>
      <c r="U25" s="20" t="b">
        <f t="shared" si="8"/>
        <v>1</v>
      </c>
    </row>
    <row r="26" spans="1:21" s="41" customFormat="1" ht="28.5" customHeight="1" thickBot="1">
      <c r="A26" s="40"/>
      <c r="B26" s="355">
        <v>15</v>
      </c>
      <c r="C26" s="223"/>
      <c r="D26" s="90"/>
      <c r="E26" s="92" t="str">
        <f t="shared" si="0"/>
        <v/>
      </c>
      <c r="F26" s="104"/>
      <c r="G26" s="227" t="str">
        <f t="shared" si="3"/>
        <v/>
      </c>
      <c r="H26" s="228"/>
      <c r="I26" s="229"/>
      <c r="J26" s="91" t="str">
        <f t="shared" si="4"/>
        <v/>
      </c>
      <c r="K26" s="92" t="str">
        <f t="shared" si="5"/>
        <v/>
      </c>
      <c r="L26" s="93"/>
      <c r="M26" s="94" t="str">
        <f t="shared" si="9"/>
        <v/>
      </c>
      <c r="N26" s="95" t="str">
        <f t="shared" si="7"/>
        <v/>
      </c>
      <c r="O26" s="96" t="str">
        <f t="shared" si="1"/>
        <v/>
      </c>
      <c r="P26" s="230"/>
      <c r="R26" s="20">
        <f>COUNTIF($F$11:F31,F26)</f>
        <v>0</v>
      </c>
      <c r="S26" s="257" t="e">
        <f t="shared" si="2"/>
        <v>#VALUE!</v>
      </c>
      <c r="T26" s="257"/>
      <c r="U26" s="20" t="b">
        <f t="shared" si="8"/>
        <v>1</v>
      </c>
    </row>
    <row r="27" spans="1:21" s="8" customFormat="1" ht="12" customHeight="1" thickTop="1" thickBot="1">
      <c r="A27" s="59"/>
      <c r="B27" s="19"/>
      <c r="C27" s="287"/>
      <c r="D27" s="54"/>
      <c r="E27" s="59"/>
      <c r="F27" s="19"/>
      <c r="G27" s="300" t="str">
        <f t="shared" ref="G27:G29" si="10">IF($F27&lt;&gt;0,VLOOKUP($F27,$E$71:$M$502,2,FALSE),"")</f>
        <v/>
      </c>
      <c r="H27" s="300"/>
      <c r="I27" s="291"/>
      <c r="J27" s="292" t="str">
        <f t="shared" ref="J27" si="11">IF($F27&lt;&gt;0,VLOOKUP($F27,$E$71:$M$502,7,FALSE),"")</f>
        <v/>
      </c>
      <c r="K27" s="287" t="str">
        <f t="shared" ref="K27" si="12">IF($F27&lt;&gt;0,VLOOKUP($F27,$E$71:$M$502,8,FALSE),"")</f>
        <v/>
      </c>
      <c r="L27" s="59"/>
      <c r="M27" s="59" t="str">
        <f t="shared" ref="M27" si="13">IF($L27&lt;&gt;0,VLOOKUP($F27,$E$71:$M$502,9,FALSE)*$L27,"")</f>
        <v/>
      </c>
      <c r="N27" s="59" t="str">
        <f t="shared" ref="N27" si="14">IF($F27&lt;&gt;0,VLOOKUP($F27,$E$71:$M$502,5,FALSE),"")</f>
        <v/>
      </c>
      <c r="O27" s="59" t="str">
        <f t="shared" si="1"/>
        <v/>
      </c>
      <c r="P27" s="59"/>
      <c r="R27" s="20"/>
      <c r="S27" s="257"/>
      <c r="T27" s="257"/>
      <c r="U27" s="20"/>
    </row>
    <row r="28" spans="1:21" s="8" customFormat="1" ht="18" customHeight="1" thickBot="1">
      <c r="A28" s="59"/>
      <c r="B28" s="287"/>
      <c r="C28" s="287"/>
      <c r="D28" s="59"/>
      <c r="E28" s="59"/>
      <c r="F28" s="59"/>
      <c r="G28" s="59" t="str">
        <f t="shared" si="10"/>
        <v/>
      </c>
      <c r="H28" s="59"/>
      <c r="I28" s="668" t="s">
        <v>18</v>
      </c>
      <c r="J28" s="301" t="s">
        <v>830</v>
      </c>
      <c r="K28" s="302">
        <f>SUM(M12:M26)</f>
        <v>400</v>
      </c>
      <c r="L28" s="59"/>
      <c r="M28" s="670" t="s">
        <v>19</v>
      </c>
      <c r="N28" s="303" t="s">
        <v>20</v>
      </c>
      <c r="O28" s="672">
        <f>SUM(O12:O26)</f>
        <v>1263000</v>
      </c>
      <c r="P28" s="673"/>
      <c r="R28" s="20"/>
      <c r="S28" s="257"/>
      <c r="T28" s="257"/>
      <c r="U28" s="20"/>
    </row>
    <row r="29" spans="1:21" s="8" customFormat="1" ht="18" customHeight="1" thickBot="1">
      <c r="A29" s="59"/>
      <c r="B29" s="287"/>
      <c r="C29" s="287"/>
      <c r="D29" s="59"/>
      <c r="E29" s="59"/>
      <c r="F29" s="59"/>
      <c r="G29" s="59" t="str">
        <f t="shared" si="10"/>
        <v/>
      </c>
      <c r="H29" s="59"/>
      <c r="I29" s="669"/>
      <c r="J29" s="304" t="s">
        <v>831</v>
      </c>
      <c r="K29" s="305">
        <f>$K$28/200</f>
        <v>2</v>
      </c>
      <c r="L29" s="59"/>
      <c r="M29" s="671"/>
      <c r="N29" s="306" t="s">
        <v>21</v>
      </c>
      <c r="O29" s="674">
        <f>O28*1.1</f>
        <v>1389300</v>
      </c>
      <c r="P29" s="675"/>
      <c r="R29" s="57"/>
      <c r="S29" s="257"/>
      <c r="T29" s="257"/>
      <c r="U29" s="20"/>
    </row>
    <row r="30" spans="1:21" ht="16.5" customHeight="1"/>
    <row r="31" spans="1:21" ht="16.5" customHeight="1">
      <c r="K31" s="58"/>
    </row>
    <row r="32" spans="1:21" ht="16.5" customHeight="1">
      <c r="P32" s="12"/>
    </row>
    <row r="33" spans="2:21" ht="16.5" customHeight="1">
      <c r="P33" s="12"/>
    </row>
    <row r="34" spans="2:21" ht="16.5" customHeight="1">
      <c r="P34" s="12"/>
    </row>
    <row r="35" spans="2:21" ht="16.5" customHeight="1"/>
    <row r="36" spans="2:21" ht="16.5" customHeight="1"/>
    <row r="37" spans="2:21" ht="16.5" customHeight="1"/>
    <row r="38" spans="2:21" ht="16.5" customHeight="1"/>
    <row r="39" spans="2:21" ht="16.5" customHeight="1"/>
    <row r="40" spans="2:21" s="3" customFormat="1" ht="16.5" customHeight="1" thickBot="1">
      <c r="B40" s="2"/>
      <c r="C40" s="2"/>
      <c r="I40" s="13"/>
      <c r="J40" s="16"/>
      <c r="K40" s="2"/>
      <c r="R40" s="22"/>
      <c r="S40" s="258"/>
      <c r="T40" s="258"/>
      <c r="U40" s="22"/>
    </row>
    <row r="41" spans="2:21" ht="13.5" customHeight="1">
      <c r="B41" s="598" t="s">
        <v>22</v>
      </c>
      <c r="C41" s="599"/>
      <c r="D41" s="599"/>
      <c r="E41" s="600"/>
    </row>
    <row r="42" spans="2:21" ht="14.25" customHeight="1" thickBot="1">
      <c r="B42" s="601"/>
      <c r="C42" s="602"/>
      <c r="D42" s="602"/>
      <c r="E42" s="603"/>
    </row>
    <row r="43" spans="2:21" ht="14.25" customHeight="1">
      <c r="B43" s="269"/>
      <c r="C43" s="269"/>
      <c r="D43" s="269"/>
      <c r="E43" s="269"/>
      <c r="I43" s="260"/>
      <c r="J43" s="261"/>
      <c r="S43" s="270"/>
      <c r="T43" s="270"/>
    </row>
    <row r="44" spans="2:21" ht="14.25" customHeight="1">
      <c r="B44" s="269"/>
      <c r="C44" s="269"/>
      <c r="D44" s="269"/>
      <c r="E44" s="269"/>
      <c r="I44" s="260"/>
      <c r="J44" s="261"/>
      <c r="S44" s="270"/>
      <c r="T44" s="270"/>
    </row>
    <row r="45" spans="2:21" ht="13.5" customHeight="1">
      <c r="D45" s="259" t="s">
        <v>76</v>
      </c>
      <c r="E45" s="259" t="s">
        <v>23</v>
      </c>
      <c r="G45" s="259" t="s">
        <v>77</v>
      </c>
      <c r="H45" s="259" t="s">
        <v>16</v>
      </c>
      <c r="I45" s="259"/>
      <c r="J45" s="259"/>
      <c r="K45" s="259"/>
      <c r="M45" s="274" t="s">
        <v>14</v>
      </c>
      <c r="N45" s="259" t="s">
        <v>15</v>
      </c>
      <c r="O45" s="259"/>
    </row>
    <row r="46" spans="2:21">
      <c r="D46" s="262" t="s">
        <v>738</v>
      </c>
      <c r="E46" s="263">
        <v>194712</v>
      </c>
      <c r="G46" s="262" t="s">
        <v>789</v>
      </c>
      <c r="H46" s="264" t="s">
        <v>790</v>
      </c>
      <c r="I46" s="265"/>
      <c r="J46" s="266"/>
      <c r="K46" s="267"/>
      <c r="M46" s="268"/>
      <c r="N46" s="268"/>
      <c r="O46" s="268"/>
    </row>
    <row r="47" spans="2:21">
      <c r="D47" s="262" t="s">
        <v>784</v>
      </c>
      <c r="E47" s="263">
        <v>199210</v>
      </c>
      <c r="G47" s="262" t="s">
        <v>791</v>
      </c>
      <c r="H47" s="264" t="s">
        <v>792</v>
      </c>
      <c r="I47" s="265"/>
      <c r="J47" s="266"/>
      <c r="K47" s="267"/>
      <c r="M47" s="268"/>
      <c r="N47" s="268"/>
      <c r="O47" s="268"/>
    </row>
    <row r="48" spans="2:21">
      <c r="D48" s="262" t="s">
        <v>955</v>
      </c>
      <c r="E48" s="263">
        <v>194667</v>
      </c>
      <c r="G48" s="262" t="s">
        <v>793</v>
      </c>
      <c r="H48" s="264" t="s">
        <v>792</v>
      </c>
      <c r="I48" s="265"/>
      <c r="J48" s="266"/>
      <c r="K48" s="267"/>
      <c r="M48" s="268"/>
      <c r="N48" s="268"/>
      <c r="O48" s="268"/>
    </row>
    <row r="49" spans="4:15">
      <c r="D49" s="262"/>
      <c r="E49" s="263"/>
      <c r="G49" s="262"/>
      <c r="H49" s="264"/>
      <c r="I49" s="265"/>
      <c r="J49" s="266"/>
      <c r="K49" s="267"/>
      <c r="M49" s="268"/>
      <c r="N49" s="268"/>
      <c r="O49" s="268"/>
    </row>
    <row r="50" spans="4:15">
      <c r="D50" s="262" t="s">
        <v>24</v>
      </c>
      <c r="E50" s="263">
        <v>194675</v>
      </c>
      <c r="G50" s="262" t="s">
        <v>795</v>
      </c>
      <c r="H50" s="264" t="s">
        <v>796</v>
      </c>
      <c r="I50" s="265"/>
      <c r="J50" s="266"/>
      <c r="K50" s="267"/>
      <c r="M50" s="268"/>
      <c r="N50" s="268"/>
      <c r="O50" s="268"/>
    </row>
    <row r="51" spans="4:15">
      <c r="D51" s="262" t="s">
        <v>25</v>
      </c>
      <c r="E51" s="263">
        <v>194701</v>
      </c>
      <c r="G51" s="262" t="s">
        <v>797</v>
      </c>
      <c r="H51" s="264" t="s">
        <v>798</v>
      </c>
      <c r="I51" s="265"/>
      <c r="J51" s="266"/>
      <c r="K51" s="267"/>
      <c r="M51" s="268"/>
      <c r="N51" s="268"/>
      <c r="O51" s="268"/>
    </row>
    <row r="52" spans="4:15">
      <c r="D52" s="262" t="s">
        <v>806</v>
      </c>
      <c r="E52" s="263">
        <v>194729</v>
      </c>
      <c r="G52" s="262" t="s">
        <v>794</v>
      </c>
      <c r="H52" s="264" t="s">
        <v>792</v>
      </c>
      <c r="I52" s="265"/>
      <c r="J52" s="266"/>
      <c r="K52" s="267"/>
      <c r="M52" s="268"/>
      <c r="N52" s="268"/>
      <c r="O52" s="268"/>
    </row>
    <row r="53" spans="4:15">
      <c r="D53" s="262" t="s">
        <v>759</v>
      </c>
      <c r="E53" s="263">
        <v>202724</v>
      </c>
      <c r="G53" s="262" t="s">
        <v>799</v>
      </c>
      <c r="H53" s="264" t="s">
        <v>792</v>
      </c>
      <c r="I53" s="265"/>
      <c r="J53" s="266"/>
      <c r="K53" s="267"/>
      <c r="M53" s="268"/>
      <c r="N53" s="268"/>
      <c r="O53" s="268"/>
    </row>
    <row r="54" spans="4:15">
      <c r="D54" s="262" t="s">
        <v>785</v>
      </c>
      <c r="E54" s="263">
        <v>203805</v>
      </c>
      <c r="G54" s="262" t="s">
        <v>800</v>
      </c>
      <c r="H54" s="264" t="s">
        <v>792</v>
      </c>
      <c r="I54" s="265"/>
      <c r="J54" s="266"/>
      <c r="K54" s="267"/>
      <c r="M54" s="268"/>
      <c r="N54" s="268"/>
      <c r="O54" s="268"/>
    </row>
    <row r="55" spans="4:15">
      <c r="D55" s="262" t="s">
        <v>753</v>
      </c>
      <c r="E55" s="263">
        <v>200584</v>
      </c>
      <c r="G55" s="262" t="s">
        <v>801</v>
      </c>
      <c r="H55" s="264" t="s">
        <v>792</v>
      </c>
      <c r="I55" s="265"/>
      <c r="J55" s="266"/>
      <c r="K55" s="267"/>
      <c r="M55" s="268"/>
      <c r="N55" s="268"/>
      <c r="O55" s="268"/>
    </row>
    <row r="56" spans="4:15">
      <c r="D56" s="262" t="s">
        <v>786</v>
      </c>
      <c r="E56" s="263">
        <v>207998</v>
      </c>
      <c r="G56" s="262" t="s">
        <v>802</v>
      </c>
      <c r="H56" s="264" t="s">
        <v>792</v>
      </c>
      <c r="I56" s="265"/>
      <c r="J56" s="266"/>
      <c r="K56" s="267"/>
      <c r="M56" s="268"/>
      <c r="N56" s="268"/>
      <c r="O56" s="268"/>
    </row>
    <row r="57" spans="4:15">
      <c r="D57" s="262" t="s">
        <v>757</v>
      </c>
      <c r="E57" s="263">
        <v>211914</v>
      </c>
      <c r="G57" s="262" t="s">
        <v>803</v>
      </c>
      <c r="H57" s="264" t="s">
        <v>792</v>
      </c>
      <c r="I57" s="265"/>
      <c r="J57" s="266"/>
      <c r="K57" s="267"/>
      <c r="M57" s="268"/>
      <c r="N57" s="268"/>
      <c r="O57" s="268"/>
    </row>
    <row r="58" spans="4:15">
      <c r="D58" s="262" t="s">
        <v>787</v>
      </c>
      <c r="E58" s="263">
        <v>203477</v>
      </c>
      <c r="G58" s="262" t="s">
        <v>804</v>
      </c>
      <c r="H58" s="264" t="s">
        <v>792</v>
      </c>
      <c r="I58" s="265"/>
      <c r="J58" s="266"/>
      <c r="K58" s="267"/>
      <c r="M58" s="268"/>
      <c r="N58" s="268"/>
      <c r="O58" s="268"/>
    </row>
    <row r="59" spans="4:15">
      <c r="D59" s="262" t="s">
        <v>788</v>
      </c>
      <c r="E59" s="263">
        <v>215691</v>
      </c>
      <c r="G59" s="262" t="s">
        <v>805</v>
      </c>
      <c r="H59" s="264" t="s">
        <v>792</v>
      </c>
      <c r="I59" s="265"/>
      <c r="J59" s="266"/>
      <c r="K59" s="267"/>
      <c r="M59" s="268"/>
      <c r="N59" s="268"/>
      <c r="O59" s="268"/>
    </row>
    <row r="60" spans="4:15">
      <c r="D60" s="262"/>
      <c r="E60" s="263"/>
      <c r="G60" s="264"/>
      <c r="H60" s="262"/>
      <c r="I60" s="271"/>
      <c r="J60" s="272"/>
      <c r="K60" s="263"/>
      <c r="M60" s="268"/>
      <c r="N60" s="268"/>
      <c r="O60" s="268"/>
    </row>
    <row r="61" spans="4:15">
      <c r="D61" s="262"/>
      <c r="E61" s="263"/>
      <c r="G61" s="262"/>
      <c r="H61" s="264"/>
      <c r="I61" s="265"/>
      <c r="J61" s="266"/>
      <c r="K61" s="267"/>
      <c r="M61" s="268"/>
      <c r="N61" s="268"/>
      <c r="O61" s="268"/>
    </row>
    <row r="62" spans="4:15">
      <c r="D62" s="262"/>
      <c r="E62" s="263"/>
      <c r="G62" s="264"/>
      <c r="H62" s="262"/>
      <c r="I62" s="271"/>
      <c r="J62" s="272"/>
      <c r="K62" s="263"/>
      <c r="M62" s="268"/>
      <c r="N62" s="268"/>
      <c r="O62" s="268"/>
    </row>
    <row r="63" spans="4:15">
      <c r="D63" s="262"/>
      <c r="E63" s="263"/>
      <c r="G63" s="267"/>
      <c r="H63" s="264"/>
      <c r="I63" s="265"/>
      <c r="J63" s="266"/>
      <c r="K63" s="267"/>
      <c r="M63" s="268"/>
      <c r="N63" s="268"/>
      <c r="O63" s="268"/>
    </row>
    <row r="64" spans="4:15">
      <c r="D64" s="262"/>
      <c r="E64" s="263"/>
      <c r="G64" s="264"/>
      <c r="H64" s="265"/>
      <c r="I64" s="265"/>
      <c r="J64" s="273"/>
      <c r="K64" s="267"/>
      <c r="M64" s="268"/>
      <c r="N64" s="268"/>
      <c r="O64" s="268"/>
    </row>
    <row r="65" spans="1:21" s="43" customFormat="1">
      <c r="A65"/>
      <c r="B65" s="1"/>
      <c r="C65" s="1"/>
      <c r="D65"/>
      <c r="E65"/>
      <c r="F65"/>
      <c r="G65"/>
      <c r="H65"/>
      <c r="I65" s="260"/>
      <c r="J65" s="261"/>
      <c r="K65" s="1"/>
      <c r="L65"/>
      <c r="M65"/>
      <c r="N65"/>
      <c r="O65"/>
      <c r="P65"/>
      <c r="Q65"/>
      <c r="R65" s="21"/>
      <c r="S65" s="256"/>
      <c r="T65" s="257"/>
      <c r="U65" s="20"/>
    </row>
    <row r="66" spans="1:21" s="43" customFormat="1">
      <c r="A66"/>
      <c r="B66" s="1"/>
      <c r="C66" s="1"/>
      <c r="D66"/>
      <c r="E66"/>
      <c r="F66"/>
      <c r="G66"/>
      <c r="H66"/>
      <c r="I66" s="12"/>
      <c r="J66" s="15"/>
      <c r="K66" s="1"/>
      <c r="L66"/>
      <c r="M66"/>
      <c r="N66"/>
      <c r="O66"/>
      <c r="P66"/>
      <c r="Q66"/>
      <c r="R66" s="21"/>
      <c r="S66" s="256"/>
      <c r="T66" s="257"/>
      <c r="U66" s="20"/>
    </row>
    <row r="67" spans="1:21" s="43" customFormat="1">
      <c r="A67"/>
      <c r="B67" s="1"/>
      <c r="C67" s="1"/>
      <c r="D67"/>
      <c r="E67"/>
      <c r="F67"/>
      <c r="G67"/>
      <c r="H67"/>
      <c r="I67" s="12"/>
      <c r="J67" s="15"/>
      <c r="K67" s="1"/>
      <c r="L67"/>
      <c r="M67"/>
      <c r="N67"/>
      <c r="O67"/>
      <c r="P67"/>
      <c r="Q67"/>
      <c r="R67" s="21"/>
      <c r="S67" s="256"/>
      <c r="T67" s="257"/>
      <c r="U67" s="20"/>
    </row>
    <row r="68" spans="1:21" s="43" customFormat="1" ht="14.25" thickBot="1">
      <c r="A68"/>
      <c r="B68" s="1"/>
      <c r="C68" s="1"/>
      <c r="D68"/>
      <c r="E68"/>
      <c r="F68"/>
      <c r="G68"/>
      <c r="H68"/>
      <c r="I68" s="12"/>
      <c r="J68" s="15"/>
      <c r="K68" s="1"/>
      <c r="L68"/>
      <c r="M68"/>
      <c r="N68"/>
      <c r="O68"/>
      <c r="P68"/>
      <c r="Q68"/>
      <c r="R68" s="21"/>
      <c r="S68" s="256"/>
      <c r="T68" s="257"/>
      <c r="U68" s="20"/>
    </row>
    <row r="69" spans="1:21" s="43" customFormat="1" ht="18" customHeight="1" thickBot="1">
      <c r="A69"/>
      <c r="B69" s="1"/>
      <c r="C69" s="1"/>
      <c r="D69" s="604"/>
      <c r="E69" s="605"/>
      <c r="F69"/>
      <c r="G69"/>
      <c r="H69"/>
      <c r="I69" s="12"/>
      <c r="J69" s="15"/>
      <c r="K69" s="1"/>
      <c r="L69"/>
      <c r="M69"/>
      <c r="N69"/>
      <c r="O69"/>
      <c r="P69"/>
      <c r="Q69"/>
      <c r="R69" s="21"/>
      <c r="S69" s="256"/>
      <c r="T69" s="257"/>
      <c r="U69" s="20"/>
    </row>
    <row r="70" spans="1:21" s="28" customFormat="1" ht="21" customHeight="1">
      <c r="D70" s="133" t="s">
        <v>27</v>
      </c>
      <c r="E70" s="23" t="s">
        <v>23</v>
      </c>
      <c r="F70" s="24" t="s">
        <v>28</v>
      </c>
      <c r="G70" s="234" t="s">
        <v>28</v>
      </c>
      <c r="H70" s="234" t="s">
        <v>28</v>
      </c>
      <c r="I70" s="25" t="s">
        <v>29</v>
      </c>
      <c r="J70" s="26" t="s">
        <v>30</v>
      </c>
      <c r="K70" s="27" t="s">
        <v>31</v>
      </c>
      <c r="L70" s="27" t="s">
        <v>32</v>
      </c>
      <c r="M70" s="27" t="s">
        <v>33</v>
      </c>
      <c r="R70" s="20"/>
      <c r="S70" s="257"/>
      <c r="T70" s="257"/>
      <c r="U70" s="20"/>
    </row>
    <row r="71" spans="1:21" s="28" customFormat="1" ht="16.5" customHeight="1">
      <c r="B71" s="20"/>
      <c r="C71" s="20"/>
      <c r="D71" s="254"/>
      <c r="E71" s="379">
        <v>120645</v>
      </c>
      <c r="F71" s="380" t="s">
        <v>53</v>
      </c>
      <c r="G71" s="381"/>
      <c r="H71" s="382"/>
      <c r="I71" s="383">
        <v>2213000</v>
      </c>
      <c r="J71" s="384">
        <v>120645</v>
      </c>
      <c r="K71" s="378" t="s">
        <v>71</v>
      </c>
      <c r="L71" s="378" t="s">
        <v>78</v>
      </c>
      <c r="M71" s="378">
        <v>200</v>
      </c>
      <c r="N71" s="356">
        <v>2213000</v>
      </c>
      <c r="O71" s="28" t="b">
        <v>1</v>
      </c>
    </row>
    <row r="72" spans="1:21" s="28" customFormat="1" ht="16.5" customHeight="1">
      <c r="B72" s="20"/>
      <c r="C72" s="20"/>
      <c r="D72" s="254"/>
      <c r="E72" s="379">
        <v>122916</v>
      </c>
      <c r="F72" s="380" t="s">
        <v>54</v>
      </c>
      <c r="G72" s="381"/>
      <c r="H72" s="382"/>
      <c r="I72" s="383">
        <v>140000</v>
      </c>
      <c r="J72" s="384">
        <v>122916</v>
      </c>
      <c r="K72" s="378" t="s">
        <v>72</v>
      </c>
      <c r="L72" s="378" t="s">
        <v>78</v>
      </c>
      <c r="M72" s="378">
        <v>12</v>
      </c>
      <c r="N72" s="356">
        <v>140000</v>
      </c>
      <c r="O72" s="28" t="b">
        <v>1</v>
      </c>
    </row>
    <row r="73" spans="1:21" s="28" customFormat="1" ht="16.5" customHeight="1">
      <c r="B73" s="20"/>
      <c r="C73" s="20"/>
      <c r="D73" s="254"/>
      <c r="E73" s="379">
        <v>129171</v>
      </c>
      <c r="F73" s="380" t="s">
        <v>58</v>
      </c>
      <c r="G73" s="381"/>
      <c r="H73" s="382"/>
      <c r="I73" s="383">
        <v>59700</v>
      </c>
      <c r="J73" s="384">
        <v>129171</v>
      </c>
      <c r="K73" s="378" t="s">
        <v>70</v>
      </c>
      <c r="L73" s="378" t="s">
        <v>0</v>
      </c>
      <c r="M73" s="378">
        <v>20</v>
      </c>
      <c r="N73" s="356">
        <v>59700</v>
      </c>
      <c r="O73" s="28" t="b">
        <v>1</v>
      </c>
    </row>
    <row r="74" spans="1:21" s="28" customFormat="1" ht="16.5" customHeight="1">
      <c r="B74" s="20"/>
      <c r="C74" s="20"/>
      <c r="D74" s="254"/>
      <c r="E74" s="379">
        <v>129174</v>
      </c>
      <c r="F74" s="380" t="s">
        <v>60</v>
      </c>
      <c r="G74" s="381"/>
      <c r="H74" s="382"/>
      <c r="I74" s="383">
        <v>70200</v>
      </c>
      <c r="J74" s="384">
        <v>129174</v>
      </c>
      <c r="K74" s="378" t="s">
        <v>70</v>
      </c>
      <c r="L74" s="378" t="s">
        <v>0</v>
      </c>
      <c r="M74" s="378">
        <v>20</v>
      </c>
      <c r="N74" s="356">
        <v>70200</v>
      </c>
      <c r="O74" s="28" t="b">
        <v>1</v>
      </c>
    </row>
    <row r="75" spans="1:21" s="28" customFormat="1" ht="16.5" customHeight="1">
      <c r="B75" s="20"/>
      <c r="C75" s="20"/>
      <c r="D75" s="254"/>
      <c r="E75" s="379">
        <v>134989</v>
      </c>
      <c r="F75" s="380" t="s">
        <v>42</v>
      </c>
      <c r="G75" s="381"/>
      <c r="H75" s="382"/>
      <c r="I75" s="383">
        <v>90900</v>
      </c>
      <c r="J75" s="384">
        <v>134989</v>
      </c>
      <c r="K75" s="378" t="s">
        <v>70</v>
      </c>
      <c r="L75" s="378" t="s">
        <v>0</v>
      </c>
      <c r="M75" s="378">
        <v>20</v>
      </c>
      <c r="N75" s="356">
        <v>90900</v>
      </c>
      <c r="O75" s="28" t="b">
        <v>1</v>
      </c>
    </row>
    <row r="76" spans="1:21" s="28" customFormat="1" ht="16.5" customHeight="1">
      <c r="B76" s="20"/>
      <c r="C76" s="20"/>
      <c r="D76" s="254"/>
      <c r="E76" s="379">
        <v>135691</v>
      </c>
      <c r="F76" s="380" t="s">
        <v>62</v>
      </c>
      <c r="G76" s="381"/>
      <c r="H76" s="382"/>
      <c r="I76" s="383">
        <v>91100</v>
      </c>
      <c r="J76" s="384">
        <v>135691</v>
      </c>
      <c r="K76" s="378" t="s">
        <v>70</v>
      </c>
      <c r="L76" s="378" t="s">
        <v>0</v>
      </c>
      <c r="M76" s="378">
        <v>20</v>
      </c>
      <c r="N76" s="356">
        <v>91100</v>
      </c>
      <c r="O76" s="28" t="b">
        <v>1</v>
      </c>
    </row>
    <row r="77" spans="1:21" s="28" customFormat="1" ht="16.5" customHeight="1">
      <c r="B77" s="20"/>
      <c r="C77" s="20"/>
      <c r="D77" s="254"/>
      <c r="E77" s="379">
        <v>138838</v>
      </c>
      <c r="F77" s="380" t="s">
        <v>40</v>
      </c>
      <c r="G77" s="381"/>
      <c r="H77" s="382"/>
      <c r="I77" s="383">
        <v>615000</v>
      </c>
      <c r="J77" s="384">
        <v>138838</v>
      </c>
      <c r="K77" s="378" t="s">
        <v>71</v>
      </c>
      <c r="L77" s="378" t="s">
        <v>0</v>
      </c>
      <c r="M77" s="378">
        <v>200</v>
      </c>
      <c r="N77" s="356">
        <v>615000</v>
      </c>
      <c r="O77" s="28" t="b">
        <v>1</v>
      </c>
    </row>
    <row r="78" spans="1:21" s="28" customFormat="1" ht="16.5" customHeight="1">
      <c r="B78" s="20"/>
      <c r="C78" s="20"/>
      <c r="D78" s="254"/>
      <c r="E78" s="379">
        <v>138840</v>
      </c>
      <c r="F78" s="380" t="s">
        <v>87</v>
      </c>
      <c r="G78" s="381"/>
      <c r="H78" s="382"/>
      <c r="I78" s="383">
        <v>65600</v>
      </c>
      <c r="J78" s="384">
        <v>138840</v>
      </c>
      <c r="K78" s="378" t="s">
        <v>70</v>
      </c>
      <c r="L78" s="378" t="s">
        <v>0</v>
      </c>
      <c r="M78" s="378">
        <v>20</v>
      </c>
      <c r="N78" s="356">
        <v>65600</v>
      </c>
      <c r="O78" s="28" t="b">
        <v>1</v>
      </c>
    </row>
    <row r="79" spans="1:21" s="28" customFormat="1" ht="16.5" customHeight="1">
      <c r="B79" s="20"/>
      <c r="C79" s="20"/>
      <c r="D79" s="254"/>
      <c r="E79" s="379">
        <v>138851</v>
      </c>
      <c r="F79" s="380" t="s">
        <v>48</v>
      </c>
      <c r="G79" s="381"/>
      <c r="H79" s="382"/>
      <c r="I79" s="383">
        <v>1193000</v>
      </c>
      <c r="J79" s="384">
        <v>138851</v>
      </c>
      <c r="K79" s="378" t="s">
        <v>71</v>
      </c>
      <c r="L79" s="378" t="s">
        <v>0</v>
      </c>
      <c r="M79" s="378">
        <v>208</v>
      </c>
      <c r="N79" s="356">
        <v>1193000</v>
      </c>
      <c r="O79" s="28" t="b">
        <v>1</v>
      </c>
    </row>
    <row r="80" spans="1:21" s="28" customFormat="1" ht="16.5" customHeight="1">
      <c r="B80" s="20"/>
      <c r="C80" s="20"/>
      <c r="D80" s="254"/>
      <c r="E80" s="379">
        <v>138889</v>
      </c>
      <c r="F80" s="380" t="s">
        <v>55</v>
      </c>
      <c r="G80" s="381"/>
      <c r="H80" s="382"/>
      <c r="I80" s="383">
        <v>520000</v>
      </c>
      <c r="J80" s="384">
        <v>138889</v>
      </c>
      <c r="K80" s="378" t="s">
        <v>71</v>
      </c>
      <c r="L80" s="378" t="s">
        <v>0</v>
      </c>
      <c r="M80" s="378">
        <v>200</v>
      </c>
      <c r="N80" s="356">
        <v>520000</v>
      </c>
      <c r="O80" s="28" t="b">
        <v>1</v>
      </c>
    </row>
    <row r="81" spans="2:15" s="28" customFormat="1" ht="16.5" customHeight="1">
      <c r="B81" s="20"/>
      <c r="C81" s="20"/>
      <c r="D81" s="254"/>
      <c r="E81" s="379">
        <v>138890</v>
      </c>
      <c r="F81" s="380" t="s">
        <v>56</v>
      </c>
      <c r="G81" s="381"/>
      <c r="H81" s="382"/>
      <c r="I81" s="383">
        <v>54000</v>
      </c>
      <c r="J81" s="384">
        <v>138890</v>
      </c>
      <c r="K81" s="378" t="s">
        <v>70</v>
      </c>
      <c r="L81" s="378" t="s">
        <v>0</v>
      </c>
      <c r="M81" s="378">
        <v>20</v>
      </c>
      <c r="N81" s="356">
        <v>54000</v>
      </c>
      <c r="O81" s="28" t="b">
        <v>1</v>
      </c>
    </row>
    <row r="82" spans="2:15" s="28" customFormat="1" ht="16.5" customHeight="1">
      <c r="B82" s="20"/>
      <c r="C82" s="20"/>
      <c r="D82" s="254"/>
      <c r="E82" s="379">
        <v>138893</v>
      </c>
      <c r="F82" s="380" t="s">
        <v>57</v>
      </c>
      <c r="G82" s="381"/>
      <c r="H82" s="382"/>
      <c r="I82" s="383">
        <v>552000</v>
      </c>
      <c r="J82" s="384">
        <v>138893</v>
      </c>
      <c r="K82" s="378" t="s">
        <v>71</v>
      </c>
      <c r="L82" s="378" t="s">
        <v>0</v>
      </c>
      <c r="M82" s="378">
        <v>200</v>
      </c>
      <c r="N82" s="356">
        <v>552000</v>
      </c>
      <c r="O82" s="28" t="b">
        <v>1</v>
      </c>
    </row>
    <row r="83" spans="2:15" s="28" customFormat="1" ht="16.5" customHeight="1">
      <c r="B83" s="20"/>
      <c r="C83" s="20"/>
      <c r="D83" s="254"/>
      <c r="E83" s="379">
        <v>138895</v>
      </c>
      <c r="F83" s="380" t="s">
        <v>59</v>
      </c>
      <c r="G83" s="381"/>
      <c r="H83" s="382"/>
      <c r="I83" s="383">
        <v>662000</v>
      </c>
      <c r="J83" s="384">
        <v>138895</v>
      </c>
      <c r="K83" s="378" t="s">
        <v>71</v>
      </c>
      <c r="L83" s="378" t="s">
        <v>0</v>
      </c>
      <c r="M83" s="378">
        <v>200</v>
      </c>
      <c r="N83" s="356">
        <v>662000</v>
      </c>
      <c r="O83" s="28" t="b">
        <v>1</v>
      </c>
    </row>
    <row r="84" spans="2:15" s="28" customFormat="1" ht="16.5" customHeight="1">
      <c r="B84" s="20"/>
      <c r="C84" s="20"/>
      <c r="D84" s="254"/>
      <c r="E84" s="379">
        <v>138897</v>
      </c>
      <c r="F84" s="380" t="s">
        <v>61</v>
      </c>
      <c r="G84" s="381"/>
      <c r="H84" s="382"/>
      <c r="I84" s="383">
        <v>885000</v>
      </c>
      <c r="J84" s="384">
        <v>138897</v>
      </c>
      <c r="K84" s="378" t="s">
        <v>71</v>
      </c>
      <c r="L84" s="378" t="s">
        <v>0</v>
      </c>
      <c r="M84" s="378">
        <v>200</v>
      </c>
      <c r="N84" s="356">
        <v>885000</v>
      </c>
      <c r="O84" s="28" t="b">
        <v>1</v>
      </c>
    </row>
    <row r="85" spans="2:15" s="28" customFormat="1" ht="16.5" customHeight="1">
      <c r="B85" s="20"/>
      <c r="C85" s="20"/>
      <c r="D85" s="254"/>
      <c r="E85" s="379">
        <v>138898</v>
      </c>
      <c r="F85" s="380" t="s">
        <v>63</v>
      </c>
      <c r="G85" s="381"/>
      <c r="H85" s="382"/>
      <c r="I85" s="383">
        <v>755000</v>
      </c>
      <c r="J85" s="384">
        <v>138898</v>
      </c>
      <c r="K85" s="378" t="s">
        <v>71</v>
      </c>
      <c r="L85" s="378" t="s">
        <v>0</v>
      </c>
      <c r="M85" s="378">
        <v>200</v>
      </c>
      <c r="N85" s="356">
        <v>755000</v>
      </c>
      <c r="O85" s="28" t="b">
        <v>1</v>
      </c>
    </row>
    <row r="86" spans="2:15" s="28" customFormat="1" ht="16.5" customHeight="1">
      <c r="B86" s="20"/>
      <c r="C86" s="20"/>
      <c r="D86" s="254"/>
      <c r="E86" s="379">
        <v>138899</v>
      </c>
      <c r="F86" s="380" t="s">
        <v>64</v>
      </c>
      <c r="G86" s="381"/>
      <c r="H86" s="382"/>
      <c r="I86" s="383">
        <v>78100</v>
      </c>
      <c r="J86" s="384">
        <v>138899</v>
      </c>
      <c r="K86" s="378" t="s">
        <v>70</v>
      </c>
      <c r="L86" s="378" t="s">
        <v>0</v>
      </c>
      <c r="M86" s="378">
        <v>20</v>
      </c>
      <c r="N86" s="356">
        <v>78100</v>
      </c>
      <c r="O86" s="28" t="b">
        <v>1</v>
      </c>
    </row>
    <row r="87" spans="2:15" s="28" customFormat="1" ht="16.5" customHeight="1">
      <c r="B87" s="20"/>
      <c r="C87" s="20"/>
      <c r="D87" s="254"/>
      <c r="E87" s="379">
        <v>139641</v>
      </c>
      <c r="F87" s="380" t="s">
        <v>90</v>
      </c>
      <c r="G87" s="381"/>
      <c r="H87" s="382"/>
      <c r="I87" s="383">
        <v>43600</v>
      </c>
      <c r="J87" s="384">
        <v>139641</v>
      </c>
      <c r="K87" s="378" t="s">
        <v>73</v>
      </c>
      <c r="L87" s="378" t="s">
        <v>0</v>
      </c>
      <c r="M87" s="378">
        <v>12</v>
      </c>
      <c r="N87" s="356">
        <v>43600</v>
      </c>
      <c r="O87" s="28" t="b">
        <v>1</v>
      </c>
    </row>
    <row r="88" spans="2:15" s="28" customFormat="1" ht="16.5" customHeight="1">
      <c r="B88" s="20"/>
      <c r="C88" s="20"/>
      <c r="D88" s="254"/>
      <c r="E88" s="379">
        <v>139881</v>
      </c>
      <c r="F88" s="385" t="s">
        <v>101</v>
      </c>
      <c r="G88" s="386"/>
      <c r="H88" s="387"/>
      <c r="I88" s="383">
        <v>771000</v>
      </c>
      <c r="J88" s="384">
        <v>139881</v>
      </c>
      <c r="K88" s="378" t="s">
        <v>71</v>
      </c>
      <c r="L88" s="378" t="s">
        <v>78</v>
      </c>
      <c r="M88" s="378">
        <v>200</v>
      </c>
      <c r="N88" s="356">
        <v>771000</v>
      </c>
      <c r="O88" s="28" t="b">
        <v>1</v>
      </c>
    </row>
    <row r="89" spans="2:15" s="28" customFormat="1" ht="16.5" customHeight="1">
      <c r="B89" s="20"/>
      <c r="C89" s="20"/>
      <c r="D89" s="254"/>
      <c r="E89" s="379">
        <v>140382</v>
      </c>
      <c r="F89" s="380" t="s">
        <v>83</v>
      </c>
      <c r="G89" s="381"/>
      <c r="H89" s="382"/>
      <c r="I89" s="383">
        <v>2212000</v>
      </c>
      <c r="J89" s="384">
        <v>140382</v>
      </c>
      <c r="K89" s="378" t="s">
        <v>71</v>
      </c>
      <c r="L89" s="378" t="s">
        <v>0</v>
      </c>
      <c r="M89" s="378">
        <v>208</v>
      </c>
      <c r="N89" s="356">
        <v>2212000</v>
      </c>
      <c r="O89" s="28" t="b">
        <v>1</v>
      </c>
    </row>
    <row r="90" spans="2:15" s="28" customFormat="1" ht="16.5" customHeight="1">
      <c r="B90" s="20"/>
      <c r="C90" s="20"/>
      <c r="D90" s="254"/>
      <c r="E90" s="379">
        <v>140563</v>
      </c>
      <c r="F90" s="388" t="s">
        <v>124</v>
      </c>
      <c r="G90" s="389"/>
      <c r="H90" s="390"/>
      <c r="I90" s="383">
        <v>216000</v>
      </c>
      <c r="J90" s="391">
        <v>140563</v>
      </c>
      <c r="K90" s="392" t="s">
        <v>70</v>
      </c>
      <c r="L90" s="392" t="s">
        <v>0</v>
      </c>
      <c r="M90" s="392">
        <v>16</v>
      </c>
      <c r="N90" s="356" t="e">
        <v>#N/A</v>
      </c>
      <c r="O90" s="28" t="e">
        <v>#N/A</v>
      </c>
    </row>
    <row r="91" spans="2:15" s="28" customFormat="1" ht="16.5" customHeight="1">
      <c r="B91" s="20"/>
      <c r="C91" s="20"/>
      <c r="D91" s="254"/>
      <c r="E91" s="379">
        <v>143003</v>
      </c>
      <c r="F91" s="380" t="s">
        <v>132</v>
      </c>
      <c r="G91" s="381"/>
      <c r="H91" s="382"/>
      <c r="I91" s="383">
        <v>150000</v>
      </c>
      <c r="J91" s="384">
        <v>143003</v>
      </c>
      <c r="K91" s="378" t="s">
        <v>70</v>
      </c>
      <c r="L91" s="378" t="s">
        <v>0</v>
      </c>
      <c r="M91" s="378">
        <v>20</v>
      </c>
      <c r="N91" s="356" t="e">
        <v>#N/A</v>
      </c>
      <c r="O91" s="28" t="e">
        <v>#N/A</v>
      </c>
    </row>
    <row r="92" spans="2:15" s="28" customFormat="1" ht="16.5" customHeight="1">
      <c r="B92" s="20"/>
      <c r="C92" s="20"/>
      <c r="D92" s="254"/>
      <c r="E92" s="379">
        <v>143240</v>
      </c>
      <c r="F92" s="380" t="s">
        <v>746</v>
      </c>
      <c r="G92" s="381"/>
      <c r="H92" s="382"/>
      <c r="I92" s="383">
        <v>107800</v>
      </c>
      <c r="J92" s="384">
        <v>143240</v>
      </c>
      <c r="K92" s="378" t="s">
        <v>73</v>
      </c>
      <c r="L92" s="378" t="s">
        <v>0</v>
      </c>
      <c r="M92" s="378">
        <v>16</v>
      </c>
      <c r="N92" s="356" t="e">
        <v>#N/A</v>
      </c>
      <c r="O92" s="28" t="e">
        <v>#N/A</v>
      </c>
    </row>
    <row r="93" spans="2:15" s="28" customFormat="1" ht="16.5" customHeight="1">
      <c r="B93" s="20"/>
      <c r="C93" s="20"/>
      <c r="D93" s="254"/>
      <c r="E93" s="379">
        <v>138583</v>
      </c>
      <c r="F93" s="380" t="s">
        <v>740</v>
      </c>
      <c r="G93" s="381"/>
      <c r="H93" s="382"/>
      <c r="I93" s="383">
        <v>44600</v>
      </c>
      <c r="J93" s="378">
        <v>138583</v>
      </c>
      <c r="K93" s="378" t="s">
        <v>73</v>
      </c>
      <c r="L93" s="378" t="s">
        <v>741</v>
      </c>
      <c r="M93" s="378">
        <v>12</v>
      </c>
      <c r="N93" s="356" t="e">
        <v>#N/A</v>
      </c>
      <c r="O93" s="28" t="e">
        <v>#N/A</v>
      </c>
    </row>
    <row r="94" spans="2:15" s="28" customFormat="1" ht="16.5" customHeight="1">
      <c r="B94" s="20"/>
      <c r="C94" s="20"/>
      <c r="D94" s="254"/>
      <c r="E94" s="379">
        <v>123205</v>
      </c>
      <c r="F94" s="380" t="s">
        <v>49</v>
      </c>
      <c r="G94" s="381"/>
      <c r="H94" s="382"/>
      <c r="I94" s="383">
        <v>60300</v>
      </c>
      <c r="J94" s="384">
        <v>123205</v>
      </c>
      <c r="K94" s="393" t="s">
        <v>73</v>
      </c>
      <c r="L94" s="378" t="s">
        <v>35</v>
      </c>
      <c r="M94" s="378">
        <v>6</v>
      </c>
      <c r="N94" s="356" t="e">
        <v>#N/A</v>
      </c>
      <c r="O94" s="28" t="e">
        <v>#N/A</v>
      </c>
    </row>
    <row r="95" spans="2:15" s="28" customFormat="1" ht="16.5" customHeight="1">
      <c r="B95" s="20"/>
      <c r="C95" s="20"/>
      <c r="D95" s="254"/>
      <c r="E95" s="379">
        <v>124476</v>
      </c>
      <c r="F95" s="380" t="s">
        <v>52</v>
      </c>
      <c r="G95" s="381"/>
      <c r="H95" s="382"/>
      <c r="I95" s="383">
        <v>63200</v>
      </c>
      <c r="J95" s="384">
        <v>124476</v>
      </c>
      <c r="K95" s="378" t="s">
        <v>70</v>
      </c>
      <c r="L95" s="378" t="s">
        <v>79</v>
      </c>
      <c r="M95" s="378">
        <v>20</v>
      </c>
      <c r="N95" s="356" t="e">
        <v>#N/A</v>
      </c>
      <c r="O95" s="28" t="e">
        <v>#N/A</v>
      </c>
    </row>
    <row r="96" spans="2:15" s="28" customFormat="1" ht="16.5" customHeight="1">
      <c r="B96" s="20"/>
      <c r="C96" s="20"/>
      <c r="D96" s="254"/>
      <c r="E96" s="379">
        <v>135080</v>
      </c>
      <c r="F96" s="380" t="s">
        <v>44</v>
      </c>
      <c r="G96" s="381"/>
      <c r="H96" s="382"/>
      <c r="I96" s="383">
        <v>110000</v>
      </c>
      <c r="J96" s="378">
        <v>135080</v>
      </c>
      <c r="K96" s="393" t="s">
        <v>73</v>
      </c>
      <c r="L96" s="378" t="s">
        <v>35</v>
      </c>
      <c r="M96" s="378">
        <v>12</v>
      </c>
      <c r="N96" s="356" t="e">
        <v>#N/A</v>
      </c>
      <c r="O96" s="28" t="e">
        <v>#N/A</v>
      </c>
    </row>
    <row r="97" spans="2:15" s="28" customFormat="1" ht="16.5" customHeight="1">
      <c r="B97" s="20"/>
      <c r="C97" s="20"/>
      <c r="D97" s="254"/>
      <c r="E97" s="379">
        <v>138806</v>
      </c>
      <c r="F97" s="380" t="s">
        <v>50</v>
      </c>
      <c r="G97" s="381"/>
      <c r="H97" s="382"/>
      <c r="I97" s="383">
        <v>148600</v>
      </c>
      <c r="J97" s="384">
        <v>138806</v>
      </c>
      <c r="K97" s="378" t="s">
        <v>72</v>
      </c>
      <c r="L97" s="378" t="s">
        <v>35</v>
      </c>
      <c r="M97" s="378">
        <v>9.94</v>
      </c>
      <c r="N97" s="356">
        <v>216000</v>
      </c>
      <c r="O97" s="28" t="b">
        <v>1</v>
      </c>
    </row>
    <row r="98" spans="2:15" s="28" customFormat="1" ht="16.5" customHeight="1">
      <c r="B98" s="20"/>
      <c r="C98" s="20"/>
      <c r="D98" s="254"/>
      <c r="E98" s="379">
        <v>138827</v>
      </c>
      <c r="F98" s="380" t="s">
        <v>51</v>
      </c>
      <c r="G98" s="381"/>
      <c r="H98" s="382"/>
      <c r="I98" s="383">
        <v>595000</v>
      </c>
      <c r="J98" s="384">
        <v>138827</v>
      </c>
      <c r="K98" s="378" t="s">
        <v>71</v>
      </c>
      <c r="L98" s="378" t="s">
        <v>35</v>
      </c>
      <c r="M98" s="378">
        <v>200</v>
      </c>
      <c r="N98" s="356">
        <v>150000</v>
      </c>
      <c r="O98" s="28" t="b">
        <v>1</v>
      </c>
    </row>
    <row r="99" spans="2:15" s="28" customFormat="1" ht="16.5" customHeight="1">
      <c r="B99" s="20"/>
      <c r="C99" s="20"/>
      <c r="D99" s="254"/>
      <c r="E99" s="379">
        <v>138888</v>
      </c>
      <c r="F99" s="380" t="s">
        <v>102</v>
      </c>
      <c r="G99" s="381"/>
      <c r="H99" s="382"/>
      <c r="I99" s="383">
        <v>233000</v>
      </c>
      <c r="J99" s="384">
        <v>138888</v>
      </c>
      <c r="K99" s="378" t="s">
        <v>70</v>
      </c>
      <c r="L99" s="378" t="s">
        <v>79</v>
      </c>
      <c r="M99" s="378">
        <v>20</v>
      </c>
      <c r="N99" s="356">
        <v>107800</v>
      </c>
      <c r="O99" s="28" t="b">
        <v>1</v>
      </c>
    </row>
    <row r="100" spans="2:15" s="28" customFormat="1" ht="16.5" customHeight="1">
      <c r="B100" s="20"/>
      <c r="C100" s="20"/>
      <c r="D100" s="254"/>
      <c r="E100" s="379">
        <v>138892</v>
      </c>
      <c r="F100" s="380" t="s">
        <v>85</v>
      </c>
      <c r="G100" s="381"/>
      <c r="H100" s="382"/>
      <c r="I100" s="383">
        <v>46500</v>
      </c>
      <c r="J100" s="384">
        <v>138892</v>
      </c>
      <c r="K100" s="378" t="s">
        <v>72</v>
      </c>
      <c r="L100" s="378" t="s">
        <v>35</v>
      </c>
      <c r="M100" s="378">
        <v>16</v>
      </c>
      <c r="N100" s="356" t="e">
        <v>#N/A</v>
      </c>
      <c r="O100" s="28" t="e">
        <v>#N/A</v>
      </c>
    </row>
    <row r="101" spans="2:15" s="28" customFormat="1" ht="16.5" customHeight="1">
      <c r="B101" s="20"/>
      <c r="C101" s="20"/>
      <c r="D101" s="254"/>
      <c r="E101" s="379">
        <v>142227</v>
      </c>
      <c r="F101" s="380" t="s">
        <v>117</v>
      </c>
      <c r="G101" s="381"/>
      <c r="H101" s="382"/>
      <c r="I101" s="383">
        <v>853000</v>
      </c>
      <c r="J101" s="384">
        <v>142227</v>
      </c>
      <c r="K101" s="378" t="s">
        <v>103</v>
      </c>
      <c r="L101" s="378" t="s">
        <v>35</v>
      </c>
      <c r="M101" s="378">
        <v>200</v>
      </c>
      <c r="N101" s="356">
        <v>60300</v>
      </c>
      <c r="O101" s="28" t="b">
        <v>1</v>
      </c>
    </row>
    <row r="102" spans="2:15" s="28" customFormat="1" ht="16.5" customHeight="1">
      <c r="B102" s="20"/>
      <c r="C102" s="20"/>
      <c r="D102" s="254"/>
      <c r="E102" s="379">
        <v>140169</v>
      </c>
      <c r="F102" s="380" t="s">
        <v>84</v>
      </c>
      <c r="G102" s="381"/>
      <c r="H102" s="382"/>
      <c r="I102" s="383">
        <v>62400</v>
      </c>
      <c r="J102" s="384">
        <v>140169</v>
      </c>
      <c r="K102" s="393" t="s">
        <v>73</v>
      </c>
      <c r="L102" s="378" t="s">
        <v>35</v>
      </c>
      <c r="M102" s="378">
        <v>12</v>
      </c>
      <c r="N102" s="356">
        <v>63200</v>
      </c>
      <c r="O102" s="28" t="b">
        <v>1</v>
      </c>
    </row>
    <row r="103" spans="2:15" s="28" customFormat="1" ht="16.5" customHeight="1">
      <c r="B103" s="20"/>
      <c r="C103" s="20"/>
      <c r="D103" s="254"/>
      <c r="E103" s="379">
        <v>140657</v>
      </c>
      <c r="F103" s="380" t="s">
        <v>43</v>
      </c>
      <c r="G103" s="381"/>
      <c r="H103" s="382"/>
      <c r="I103" s="383">
        <v>118000</v>
      </c>
      <c r="J103" s="384">
        <v>140657</v>
      </c>
      <c r="K103" s="378" t="s">
        <v>73</v>
      </c>
      <c r="L103" s="378" t="s">
        <v>79</v>
      </c>
      <c r="M103" s="378">
        <v>12</v>
      </c>
      <c r="N103" s="356">
        <v>110000</v>
      </c>
      <c r="O103" s="28" t="b">
        <v>1</v>
      </c>
    </row>
    <row r="104" spans="2:15" s="28" customFormat="1" ht="16.5" customHeight="1">
      <c r="B104" s="20"/>
      <c r="C104" s="20"/>
      <c r="D104" s="254"/>
      <c r="E104" s="379">
        <v>140660</v>
      </c>
      <c r="F104" s="380" t="s">
        <v>100</v>
      </c>
      <c r="G104" s="381"/>
      <c r="H104" s="382"/>
      <c r="I104" s="383">
        <v>118000</v>
      </c>
      <c r="J104" s="384">
        <v>140660</v>
      </c>
      <c r="K104" s="378" t="s">
        <v>73</v>
      </c>
      <c r="L104" s="378" t="s">
        <v>79</v>
      </c>
      <c r="M104" s="378">
        <v>12</v>
      </c>
      <c r="N104" s="356">
        <v>148600</v>
      </c>
      <c r="O104" s="28" t="b">
        <v>1</v>
      </c>
    </row>
    <row r="105" spans="2:15" s="28" customFormat="1" ht="16.5" customHeight="1">
      <c r="B105" s="20"/>
      <c r="C105" s="20"/>
      <c r="D105" s="254"/>
      <c r="E105" s="379">
        <v>140661</v>
      </c>
      <c r="F105" s="380" t="s">
        <v>106</v>
      </c>
      <c r="G105" s="381"/>
      <c r="H105" s="382"/>
      <c r="I105" s="383">
        <v>1789000</v>
      </c>
      <c r="J105" s="378">
        <v>140661</v>
      </c>
      <c r="K105" s="378" t="s">
        <v>103</v>
      </c>
      <c r="L105" s="378" t="s">
        <v>79</v>
      </c>
      <c r="M105" s="378">
        <v>200</v>
      </c>
      <c r="N105" s="356">
        <v>595000</v>
      </c>
      <c r="O105" s="28" t="b">
        <v>1</v>
      </c>
    </row>
    <row r="106" spans="2:15" s="28" customFormat="1" ht="16.5" customHeight="1">
      <c r="B106" s="20"/>
      <c r="C106" s="20"/>
      <c r="D106" s="254"/>
      <c r="E106" s="379">
        <v>141593</v>
      </c>
      <c r="F106" s="380" t="s">
        <v>104</v>
      </c>
      <c r="G106" s="381"/>
      <c r="H106" s="382"/>
      <c r="I106" s="383">
        <v>479000</v>
      </c>
      <c r="J106" s="384">
        <v>141593</v>
      </c>
      <c r="K106" s="378" t="s">
        <v>71</v>
      </c>
      <c r="L106" s="378" t="s">
        <v>35</v>
      </c>
      <c r="M106" s="378">
        <v>200</v>
      </c>
      <c r="N106" s="356">
        <v>233000</v>
      </c>
      <c r="O106" s="28" t="b">
        <v>1</v>
      </c>
    </row>
    <row r="107" spans="2:15" s="28" customFormat="1" ht="16.5" customHeight="1">
      <c r="B107" s="20"/>
      <c r="C107" s="20"/>
      <c r="D107" s="254"/>
      <c r="E107" s="379">
        <v>120082</v>
      </c>
      <c r="F107" s="380" t="s">
        <v>97</v>
      </c>
      <c r="G107" s="381"/>
      <c r="H107" s="382"/>
      <c r="I107" s="383">
        <v>605000</v>
      </c>
      <c r="J107" s="384">
        <v>120082</v>
      </c>
      <c r="K107" s="378" t="s">
        <v>70</v>
      </c>
      <c r="L107" s="378" t="s">
        <v>69</v>
      </c>
      <c r="M107" s="378">
        <v>16</v>
      </c>
      <c r="N107" s="356">
        <v>46500</v>
      </c>
      <c r="O107" s="28" t="b">
        <v>1</v>
      </c>
    </row>
    <row r="108" spans="2:15" s="28" customFormat="1" ht="16.5" customHeight="1">
      <c r="B108" s="20"/>
      <c r="C108" s="20"/>
      <c r="D108" s="254"/>
      <c r="E108" s="379">
        <v>120084</v>
      </c>
      <c r="F108" s="380" t="s">
        <v>760</v>
      </c>
      <c r="G108" s="381"/>
      <c r="H108" s="382"/>
      <c r="I108" s="383">
        <v>458000</v>
      </c>
      <c r="J108" s="394">
        <v>120084</v>
      </c>
      <c r="K108" s="393" t="s">
        <v>761</v>
      </c>
      <c r="L108" s="378" t="s">
        <v>69</v>
      </c>
      <c r="M108" s="378">
        <v>22.8</v>
      </c>
      <c r="N108" s="356" t="e">
        <v>#N/A</v>
      </c>
      <c r="O108" s="28" t="e">
        <v>#N/A</v>
      </c>
    </row>
    <row r="109" spans="2:15" s="28" customFormat="1" ht="16.5" customHeight="1">
      <c r="B109" s="20"/>
      <c r="C109" s="20"/>
      <c r="D109" s="254"/>
      <c r="E109" s="379">
        <v>120088</v>
      </c>
      <c r="F109" s="380" t="s">
        <v>118</v>
      </c>
      <c r="G109" s="381"/>
      <c r="H109" s="382"/>
      <c r="I109" s="383">
        <v>4264030</v>
      </c>
      <c r="J109" s="384">
        <v>120088</v>
      </c>
      <c r="K109" s="378" t="s">
        <v>71</v>
      </c>
      <c r="L109" s="378" t="s">
        <v>69</v>
      </c>
      <c r="M109" s="378">
        <v>208</v>
      </c>
      <c r="N109" s="356" t="e">
        <v>#N/A</v>
      </c>
      <c r="O109" s="28" t="e">
        <v>#N/A</v>
      </c>
    </row>
    <row r="110" spans="2:15" s="28" customFormat="1" ht="16.5" customHeight="1">
      <c r="B110" s="20"/>
      <c r="C110" s="20"/>
      <c r="D110" s="254"/>
      <c r="E110" s="379">
        <v>120089</v>
      </c>
      <c r="F110" s="380" t="s">
        <v>762</v>
      </c>
      <c r="G110" s="381"/>
      <c r="H110" s="382"/>
      <c r="I110" s="383">
        <v>380000</v>
      </c>
      <c r="J110" s="384">
        <v>120089</v>
      </c>
      <c r="K110" s="378" t="s">
        <v>761</v>
      </c>
      <c r="L110" s="378" t="s">
        <v>69</v>
      </c>
      <c r="M110" s="378">
        <v>22.8</v>
      </c>
      <c r="N110" s="356">
        <v>118000</v>
      </c>
      <c r="O110" s="28" t="b">
        <v>1</v>
      </c>
    </row>
    <row r="111" spans="2:15" s="28" customFormat="1" ht="16.5" customHeight="1">
      <c r="B111" s="20"/>
      <c r="C111" s="20"/>
      <c r="D111" s="254"/>
      <c r="E111" s="379">
        <v>134601</v>
      </c>
      <c r="F111" s="380" t="s">
        <v>763</v>
      </c>
      <c r="G111" s="381"/>
      <c r="H111" s="382"/>
      <c r="I111" s="383">
        <v>3724000</v>
      </c>
      <c r="J111" s="384">
        <v>134601</v>
      </c>
      <c r="K111" s="378" t="s">
        <v>71</v>
      </c>
      <c r="L111" s="378" t="s">
        <v>69</v>
      </c>
      <c r="M111" s="378">
        <v>200</v>
      </c>
      <c r="N111" s="356">
        <v>118000</v>
      </c>
      <c r="O111" s="28" t="b">
        <v>1</v>
      </c>
    </row>
    <row r="112" spans="2:15" s="28" customFormat="1" ht="16.5" customHeight="1">
      <c r="B112" s="20"/>
      <c r="C112" s="20"/>
      <c r="D112" s="254"/>
      <c r="E112" s="379">
        <v>134756</v>
      </c>
      <c r="F112" s="380" t="s">
        <v>107</v>
      </c>
      <c r="G112" s="381"/>
      <c r="H112" s="382"/>
      <c r="I112" s="383">
        <v>662000</v>
      </c>
      <c r="J112" s="378">
        <v>134756</v>
      </c>
      <c r="K112" s="378" t="s">
        <v>70</v>
      </c>
      <c r="L112" s="378" t="s">
        <v>69</v>
      </c>
      <c r="M112" s="378">
        <v>16</v>
      </c>
      <c r="N112" s="356">
        <v>1789000</v>
      </c>
      <c r="O112" s="28" t="b">
        <v>1</v>
      </c>
    </row>
    <row r="113" spans="2:15" s="28" customFormat="1" ht="16.5" customHeight="1">
      <c r="B113" s="20"/>
      <c r="C113" s="20"/>
      <c r="D113" s="254"/>
      <c r="E113" s="379">
        <v>135390</v>
      </c>
      <c r="F113" s="380" t="s">
        <v>764</v>
      </c>
      <c r="G113" s="381"/>
      <c r="H113" s="382"/>
      <c r="I113" s="383">
        <v>524000</v>
      </c>
      <c r="J113" s="378">
        <v>135390</v>
      </c>
      <c r="K113" s="378" t="s">
        <v>70</v>
      </c>
      <c r="L113" s="378" t="s">
        <v>69</v>
      </c>
      <c r="M113" s="378">
        <v>20</v>
      </c>
      <c r="N113" s="356" t="e">
        <v>#N/A</v>
      </c>
      <c r="O113" s="28" t="e">
        <v>#N/A</v>
      </c>
    </row>
    <row r="114" spans="2:15" s="28" customFormat="1" ht="16.5" customHeight="1">
      <c r="B114" s="20"/>
      <c r="C114" s="20"/>
      <c r="D114" s="254"/>
      <c r="E114" s="379">
        <v>120969</v>
      </c>
      <c r="F114" s="395" t="s">
        <v>254</v>
      </c>
      <c r="G114" s="396"/>
      <c r="H114" s="397"/>
      <c r="I114" s="383">
        <v>235000</v>
      </c>
      <c r="J114" s="398">
        <v>120969</v>
      </c>
      <c r="K114" s="399" t="s">
        <v>70</v>
      </c>
      <c r="L114" s="399" t="s">
        <v>34</v>
      </c>
      <c r="M114" s="399">
        <v>18.899999999999999</v>
      </c>
      <c r="N114" s="356" t="e">
        <v>#N/A</v>
      </c>
      <c r="O114" s="28" t="e">
        <v>#N/A</v>
      </c>
    </row>
    <row r="115" spans="2:15" s="28" customFormat="1" ht="16.5" customHeight="1">
      <c r="B115" s="20"/>
      <c r="C115" s="20"/>
      <c r="D115" s="254"/>
      <c r="E115" s="379">
        <v>121540</v>
      </c>
      <c r="F115" s="395" t="s">
        <v>419</v>
      </c>
      <c r="G115" s="396"/>
      <c r="H115" s="397"/>
      <c r="I115" s="383">
        <v>1684000</v>
      </c>
      <c r="J115" s="398">
        <v>121540</v>
      </c>
      <c r="K115" s="399" t="s">
        <v>71</v>
      </c>
      <c r="L115" s="399" t="s">
        <v>34</v>
      </c>
      <c r="M115" s="399">
        <v>208</v>
      </c>
      <c r="N115" s="356" t="e">
        <v>#N/A</v>
      </c>
      <c r="O115" s="28" t="e">
        <v>#N/A</v>
      </c>
    </row>
    <row r="116" spans="2:15" s="28" customFormat="1" ht="16.5" customHeight="1">
      <c r="B116" s="20"/>
      <c r="C116" s="20"/>
      <c r="D116" s="254"/>
      <c r="E116" s="379">
        <v>121558</v>
      </c>
      <c r="F116" s="395" t="s">
        <v>255</v>
      </c>
      <c r="G116" s="396"/>
      <c r="H116" s="397"/>
      <c r="I116" s="383">
        <v>311000</v>
      </c>
      <c r="J116" s="398">
        <v>121558</v>
      </c>
      <c r="K116" s="399" t="s">
        <v>70</v>
      </c>
      <c r="L116" s="399" t="s">
        <v>34</v>
      </c>
      <c r="M116" s="399">
        <v>17.251999999999999</v>
      </c>
      <c r="N116" s="356" t="e">
        <v>#N/A</v>
      </c>
      <c r="O116" s="28" t="e">
        <v>#N/A</v>
      </c>
    </row>
    <row r="117" spans="2:15" s="28" customFormat="1" ht="16.5" customHeight="1">
      <c r="B117" s="20"/>
      <c r="C117" s="20"/>
      <c r="D117" s="254"/>
      <c r="E117" s="379">
        <v>121759</v>
      </c>
      <c r="F117" s="395" t="s">
        <v>765</v>
      </c>
      <c r="G117" s="396"/>
      <c r="H117" s="397"/>
      <c r="I117" s="383">
        <v>1230000</v>
      </c>
      <c r="J117" s="399">
        <v>121759</v>
      </c>
      <c r="K117" s="399" t="s">
        <v>71</v>
      </c>
      <c r="L117" s="399" t="s">
        <v>34</v>
      </c>
      <c r="M117" s="399">
        <v>208</v>
      </c>
      <c r="N117" s="356" t="e">
        <v>#N/A</v>
      </c>
      <c r="O117" s="28" t="e">
        <v>#N/A</v>
      </c>
    </row>
    <row r="118" spans="2:15" s="28" customFormat="1" ht="16.5" customHeight="1">
      <c r="B118" s="20"/>
      <c r="C118" s="20"/>
      <c r="D118" s="254"/>
      <c r="E118" s="379">
        <v>121762</v>
      </c>
      <c r="F118" s="395" t="s">
        <v>434</v>
      </c>
      <c r="G118" s="396"/>
      <c r="H118" s="397"/>
      <c r="I118" s="383">
        <v>1302000</v>
      </c>
      <c r="J118" s="399">
        <v>121762</v>
      </c>
      <c r="K118" s="399" t="s">
        <v>71</v>
      </c>
      <c r="L118" s="399" t="s">
        <v>34</v>
      </c>
      <c r="M118" s="399">
        <v>208</v>
      </c>
      <c r="N118" s="356" t="e">
        <v>#N/A</v>
      </c>
      <c r="O118" s="28" t="e">
        <v>#N/A</v>
      </c>
    </row>
    <row r="119" spans="2:15" s="28" customFormat="1" ht="16.5" customHeight="1">
      <c r="B119" s="20"/>
      <c r="C119" s="20"/>
      <c r="D119" s="254"/>
      <c r="E119" s="379">
        <v>121764</v>
      </c>
      <c r="F119" s="395" t="s">
        <v>435</v>
      </c>
      <c r="G119" s="396"/>
      <c r="H119" s="397"/>
      <c r="I119" s="383">
        <v>1246000</v>
      </c>
      <c r="J119" s="399">
        <v>121764</v>
      </c>
      <c r="K119" s="399" t="s">
        <v>71</v>
      </c>
      <c r="L119" s="399" t="s">
        <v>34</v>
      </c>
      <c r="M119" s="399">
        <v>208</v>
      </c>
      <c r="N119" s="356" t="e">
        <v>#N/A</v>
      </c>
      <c r="O119" s="28" t="e">
        <v>#N/A</v>
      </c>
    </row>
    <row r="120" spans="2:15" s="28" customFormat="1" ht="16.5" customHeight="1">
      <c r="B120" s="20"/>
      <c r="C120" s="20"/>
      <c r="D120" s="254"/>
      <c r="E120" s="379">
        <v>121892</v>
      </c>
      <c r="F120" s="395" t="s">
        <v>256</v>
      </c>
      <c r="G120" s="396"/>
      <c r="H120" s="397"/>
      <c r="I120" s="383">
        <v>481000</v>
      </c>
      <c r="J120" s="399">
        <v>121892</v>
      </c>
      <c r="K120" s="399" t="s">
        <v>70</v>
      </c>
      <c r="L120" s="399" t="s">
        <v>34</v>
      </c>
      <c r="M120" s="399">
        <v>18.899999999999999</v>
      </c>
      <c r="N120" s="356">
        <v>479000</v>
      </c>
      <c r="O120" s="28" t="b">
        <v>1</v>
      </c>
    </row>
    <row r="121" spans="2:15" s="28" customFormat="1" ht="16.5" customHeight="1">
      <c r="B121" s="20"/>
      <c r="C121" s="20"/>
      <c r="D121" s="254"/>
      <c r="E121" s="379">
        <v>121902</v>
      </c>
      <c r="F121" s="395" t="s">
        <v>257</v>
      </c>
      <c r="G121" s="396"/>
      <c r="H121" s="397"/>
      <c r="I121" s="383">
        <v>410000</v>
      </c>
      <c r="J121" s="398">
        <v>121902</v>
      </c>
      <c r="K121" s="399" t="s">
        <v>70</v>
      </c>
      <c r="L121" s="399" t="s">
        <v>34</v>
      </c>
      <c r="M121" s="399">
        <v>18.899999999999999</v>
      </c>
      <c r="N121" s="356" t="e">
        <v>#N/A</v>
      </c>
      <c r="O121" s="28" t="e">
        <v>#N/A</v>
      </c>
    </row>
    <row r="122" spans="2:15" s="28" customFormat="1" ht="16.5" customHeight="1">
      <c r="B122" s="20"/>
      <c r="C122" s="20"/>
      <c r="D122" s="254"/>
      <c r="E122" s="379">
        <v>121904</v>
      </c>
      <c r="F122" s="395" t="s">
        <v>258</v>
      </c>
      <c r="G122" s="396"/>
      <c r="H122" s="397"/>
      <c r="I122" s="383">
        <v>430000</v>
      </c>
      <c r="J122" s="398">
        <v>121904</v>
      </c>
      <c r="K122" s="399" t="s">
        <v>70</v>
      </c>
      <c r="L122" s="399" t="s">
        <v>34</v>
      </c>
      <c r="M122" s="399">
        <v>18.899999999999999</v>
      </c>
      <c r="N122" s="356" t="e">
        <v>#N/A</v>
      </c>
      <c r="O122" s="28" t="e">
        <v>#N/A</v>
      </c>
    </row>
    <row r="123" spans="2:15" s="28" customFormat="1" ht="16.5" customHeight="1">
      <c r="B123" s="20"/>
      <c r="C123" s="20"/>
      <c r="D123" s="254"/>
      <c r="E123" s="379">
        <v>121907</v>
      </c>
      <c r="F123" s="395" t="s">
        <v>259</v>
      </c>
      <c r="G123" s="396"/>
      <c r="H123" s="397"/>
      <c r="I123" s="383">
        <v>398000</v>
      </c>
      <c r="J123" s="398">
        <v>121907</v>
      </c>
      <c r="K123" s="399" t="s">
        <v>70</v>
      </c>
      <c r="L123" s="399" t="s">
        <v>34</v>
      </c>
      <c r="M123" s="399">
        <v>18.899999999999999</v>
      </c>
      <c r="N123" s="356">
        <v>605000</v>
      </c>
      <c r="O123" s="28" t="b">
        <v>1</v>
      </c>
    </row>
    <row r="124" spans="2:15" s="28" customFormat="1" ht="16.5" customHeight="1">
      <c r="B124" s="20"/>
      <c r="C124" s="20"/>
      <c r="D124" s="254"/>
      <c r="E124" s="379">
        <v>122135</v>
      </c>
      <c r="F124" s="395" t="s">
        <v>437</v>
      </c>
      <c r="G124" s="396"/>
      <c r="H124" s="397"/>
      <c r="I124" s="383">
        <v>1207000</v>
      </c>
      <c r="J124" s="399">
        <v>122135</v>
      </c>
      <c r="K124" s="399" t="s">
        <v>71</v>
      </c>
      <c r="L124" s="399" t="s">
        <v>34</v>
      </c>
      <c r="M124" s="399">
        <v>208</v>
      </c>
      <c r="N124" s="356">
        <v>458000</v>
      </c>
      <c r="O124" s="28" t="b">
        <v>1</v>
      </c>
    </row>
    <row r="125" spans="2:15" s="28" customFormat="1" ht="16.5" customHeight="1">
      <c r="B125" s="20"/>
      <c r="C125" s="20"/>
      <c r="D125" s="254"/>
      <c r="E125" s="379">
        <v>122167</v>
      </c>
      <c r="F125" s="395" t="s">
        <v>438</v>
      </c>
      <c r="G125" s="396"/>
      <c r="H125" s="397"/>
      <c r="I125" s="383">
        <v>3124000</v>
      </c>
      <c r="J125" s="398">
        <v>122167</v>
      </c>
      <c r="K125" s="399" t="s">
        <v>71</v>
      </c>
      <c r="L125" s="399" t="s">
        <v>34</v>
      </c>
      <c r="M125" s="399">
        <v>208</v>
      </c>
      <c r="N125" s="356" t="e">
        <v>#N/A</v>
      </c>
      <c r="O125" s="28" t="e">
        <v>#N/A</v>
      </c>
    </row>
    <row r="126" spans="2:15" s="28" customFormat="1" ht="16.5" customHeight="1">
      <c r="B126" s="20"/>
      <c r="C126" s="20"/>
      <c r="D126" s="254"/>
      <c r="E126" s="379">
        <v>122187</v>
      </c>
      <c r="F126" s="395" t="s">
        <v>439</v>
      </c>
      <c r="G126" s="396"/>
      <c r="H126" s="397"/>
      <c r="I126" s="383">
        <v>2760000</v>
      </c>
      <c r="J126" s="398">
        <v>122187</v>
      </c>
      <c r="K126" s="399" t="s">
        <v>71</v>
      </c>
      <c r="L126" s="399" t="s">
        <v>34</v>
      </c>
      <c r="M126" s="399">
        <v>208</v>
      </c>
      <c r="N126" s="356">
        <v>380000</v>
      </c>
      <c r="O126" s="28" t="b">
        <v>1</v>
      </c>
    </row>
    <row r="127" spans="2:15" s="28" customFormat="1" ht="16.5" customHeight="1">
      <c r="B127" s="20"/>
      <c r="C127" s="20"/>
      <c r="D127" s="254"/>
      <c r="E127" s="379">
        <v>122612</v>
      </c>
      <c r="F127" s="395" t="s">
        <v>446</v>
      </c>
      <c r="G127" s="396"/>
      <c r="H127" s="397"/>
      <c r="I127" s="383">
        <v>1525000</v>
      </c>
      <c r="J127" s="398">
        <v>122612</v>
      </c>
      <c r="K127" s="399" t="s">
        <v>71</v>
      </c>
      <c r="L127" s="399" t="s">
        <v>34</v>
      </c>
      <c r="M127" s="399">
        <v>208</v>
      </c>
      <c r="N127" s="356">
        <v>3724000</v>
      </c>
      <c r="O127" s="28" t="b">
        <v>1</v>
      </c>
    </row>
    <row r="128" spans="2:15" s="28" customFormat="1" ht="16.5" customHeight="1">
      <c r="B128" s="20"/>
      <c r="C128" s="20"/>
      <c r="D128" s="254"/>
      <c r="E128" s="379">
        <v>122650</v>
      </c>
      <c r="F128" s="395" t="s">
        <v>447</v>
      </c>
      <c r="G128" s="396"/>
      <c r="H128" s="397"/>
      <c r="I128" s="383">
        <v>3190000</v>
      </c>
      <c r="J128" s="398">
        <v>122650</v>
      </c>
      <c r="K128" s="399" t="s">
        <v>71</v>
      </c>
      <c r="L128" s="399" t="s">
        <v>34</v>
      </c>
      <c r="M128" s="399">
        <v>208</v>
      </c>
      <c r="N128" s="356">
        <v>662000</v>
      </c>
      <c r="O128" s="28" t="b">
        <v>1</v>
      </c>
    </row>
    <row r="129" spans="2:15" s="28" customFormat="1" ht="16.5" customHeight="1">
      <c r="B129" s="20"/>
      <c r="C129" s="20"/>
      <c r="D129" s="254"/>
      <c r="E129" s="379">
        <v>122713</v>
      </c>
      <c r="F129" s="395" t="s">
        <v>67</v>
      </c>
      <c r="G129" s="396"/>
      <c r="H129" s="397"/>
      <c r="I129" s="383">
        <v>106000</v>
      </c>
      <c r="J129" s="399">
        <v>122713</v>
      </c>
      <c r="K129" s="399" t="s">
        <v>70</v>
      </c>
      <c r="L129" s="399" t="s">
        <v>34</v>
      </c>
      <c r="M129" s="399">
        <v>20</v>
      </c>
      <c r="N129" s="356">
        <v>524000</v>
      </c>
      <c r="O129" s="28" t="b">
        <v>1</v>
      </c>
    </row>
    <row r="130" spans="2:15" s="28" customFormat="1" ht="16.5" customHeight="1">
      <c r="B130" s="20"/>
      <c r="C130" s="20"/>
      <c r="D130" s="254"/>
      <c r="E130" s="379">
        <v>122766</v>
      </c>
      <c r="F130" s="395" t="s">
        <v>68</v>
      </c>
      <c r="G130" s="396"/>
      <c r="H130" s="397"/>
      <c r="I130" s="383">
        <v>83600</v>
      </c>
      <c r="J130" s="398">
        <v>122766</v>
      </c>
      <c r="K130" s="399" t="s">
        <v>70</v>
      </c>
      <c r="L130" s="399" t="s">
        <v>34</v>
      </c>
      <c r="M130" s="399">
        <v>20</v>
      </c>
      <c r="N130" s="356">
        <v>222000</v>
      </c>
      <c r="O130" s="28" t="b">
        <v>0</v>
      </c>
    </row>
    <row r="131" spans="2:15" s="28" customFormat="1" ht="16.5" customHeight="1">
      <c r="B131" s="20"/>
      <c r="C131" s="20"/>
      <c r="D131" s="254"/>
      <c r="E131" s="379">
        <v>122821</v>
      </c>
      <c r="F131" s="395" t="s">
        <v>448</v>
      </c>
      <c r="G131" s="396"/>
      <c r="H131" s="397"/>
      <c r="I131" s="383"/>
      <c r="J131" s="398">
        <v>122821</v>
      </c>
      <c r="K131" s="399" t="s">
        <v>71</v>
      </c>
      <c r="L131" s="399" t="s">
        <v>34</v>
      </c>
      <c r="M131" s="399">
        <v>208</v>
      </c>
      <c r="N131" s="356">
        <v>1684000</v>
      </c>
      <c r="O131" s="28" t="b">
        <v>1</v>
      </c>
    </row>
    <row r="132" spans="2:15" s="28" customFormat="1" ht="16.5" customHeight="1">
      <c r="B132" s="20"/>
      <c r="C132" s="20"/>
      <c r="D132" s="254"/>
      <c r="E132" s="379">
        <v>122837</v>
      </c>
      <c r="F132" s="395" t="s">
        <v>65</v>
      </c>
      <c r="G132" s="396"/>
      <c r="H132" s="397"/>
      <c r="I132" s="383">
        <v>62800</v>
      </c>
      <c r="J132" s="398">
        <v>122837</v>
      </c>
      <c r="K132" s="399" t="s">
        <v>70</v>
      </c>
      <c r="L132" s="399" t="s">
        <v>34</v>
      </c>
      <c r="M132" s="399">
        <v>20</v>
      </c>
      <c r="N132" s="356">
        <v>311000</v>
      </c>
      <c r="O132" s="28" t="b">
        <v>1</v>
      </c>
    </row>
    <row r="133" spans="2:15" s="28" customFormat="1" ht="16.5" customHeight="1">
      <c r="B133" s="20"/>
      <c r="C133" s="20"/>
      <c r="D133" s="254"/>
      <c r="E133" s="379">
        <v>122842</v>
      </c>
      <c r="F133" s="395" t="s">
        <v>238</v>
      </c>
      <c r="G133" s="396"/>
      <c r="H133" s="397"/>
      <c r="I133" s="383">
        <v>79200</v>
      </c>
      <c r="J133" s="399">
        <v>122842</v>
      </c>
      <c r="K133" s="399" t="s">
        <v>70</v>
      </c>
      <c r="L133" s="399" t="s">
        <v>34</v>
      </c>
      <c r="M133" s="399">
        <v>20</v>
      </c>
      <c r="N133" s="356">
        <v>1230000</v>
      </c>
      <c r="O133" s="28" t="b">
        <v>1</v>
      </c>
    </row>
    <row r="134" spans="2:15" s="28" customFormat="1" ht="16.5" customHeight="1">
      <c r="B134" s="20"/>
      <c r="C134" s="20"/>
      <c r="D134" s="254"/>
      <c r="E134" s="379">
        <v>144277</v>
      </c>
      <c r="F134" s="395" t="s">
        <v>232</v>
      </c>
      <c r="G134" s="396"/>
      <c r="H134" s="397"/>
      <c r="I134" s="383">
        <v>46600</v>
      </c>
      <c r="J134" s="398">
        <v>122885</v>
      </c>
      <c r="K134" s="399" t="s">
        <v>70</v>
      </c>
      <c r="L134" s="399" t="s">
        <v>34</v>
      </c>
      <c r="M134" s="399">
        <v>20</v>
      </c>
      <c r="N134" s="356">
        <v>1302000</v>
      </c>
      <c r="O134" s="28" t="b">
        <v>1</v>
      </c>
    </row>
    <row r="135" spans="2:15" s="28" customFormat="1" ht="16.5" customHeight="1">
      <c r="B135" s="20"/>
      <c r="C135" s="20"/>
      <c r="D135" s="254"/>
      <c r="E135" s="379">
        <v>123004</v>
      </c>
      <c r="F135" s="395" t="s">
        <v>41</v>
      </c>
      <c r="G135" s="396"/>
      <c r="H135" s="397"/>
      <c r="I135" s="383">
        <v>402000</v>
      </c>
      <c r="J135" s="398">
        <v>123004</v>
      </c>
      <c r="K135" s="399" t="s">
        <v>70</v>
      </c>
      <c r="L135" s="399" t="s">
        <v>34</v>
      </c>
      <c r="M135" s="399">
        <v>18</v>
      </c>
      <c r="N135" s="356">
        <v>1246000</v>
      </c>
      <c r="O135" s="28" t="b">
        <v>1</v>
      </c>
    </row>
    <row r="136" spans="2:15" s="28" customFormat="1" ht="16.5" customHeight="1">
      <c r="B136" s="20"/>
      <c r="C136" s="20"/>
      <c r="D136" s="254"/>
      <c r="E136" s="379">
        <v>123291</v>
      </c>
      <c r="F136" s="395" t="s">
        <v>261</v>
      </c>
      <c r="G136" s="396"/>
      <c r="H136" s="397"/>
      <c r="I136" s="383">
        <v>326000</v>
      </c>
      <c r="J136" s="398">
        <v>123291</v>
      </c>
      <c r="K136" s="399" t="s">
        <v>70</v>
      </c>
      <c r="L136" s="399" t="s">
        <v>34</v>
      </c>
      <c r="M136" s="399">
        <v>20</v>
      </c>
      <c r="N136" s="356">
        <v>481000</v>
      </c>
      <c r="O136" s="28" t="b">
        <v>1</v>
      </c>
    </row>
    <row r="137" spans="2:15" s="28" customFormat="1" ht="16.5" customHeight="1">
      <c r="B137" s="20"/>
      <c r="C137" s="20"/>
      <c r="D137" s="254"/>
      <c r="E137" s="379">
        <v>123328</v>
      </c>
      <c r="F137" s="395" t="s">
        <v>262</v>
      </c>
      <c r="G137" s="396"/>
      <c r="H137" s="397"/>
      <c r="I137" s="383">
        <v>66800</v>
      </c>
      <c r="J137" s="398">
        <v>123328</v>
      </c>
      <c r="K137" s="399" t="s">
        <v>70</v>
      </c>
      <c r="L137" s="399" t="s">
        <v>34</v>
      </c>
      <c r="M137" s="399">
        <v>20</v>
      </c>
      <c r="N137" s="356">
        <v>410000</v>
      </c>
      <c r="O137" s="28" t="b">
        <v>1</v>
      </c>
    </row>
    <row r="138" spans="2:15" s="28" customFormat="1" ht="16.5" customHeight="1">
      <c r="B138" s="20"/>
      <c r="C138" s="20"/>
      <c r="D138" s="254"/>
      <c r="E138" s="379">
        <v>123330</v>
      </c>
      <c r="F138" s="395" t="s">
        <v>263</v>
      </c>
      <c r="G138" s="396"/>
      <c r="H138" s="397"/>
      <c r="I138" s="383">
        <v>62700</v>
      </c>
      <c r="J138" s="398">
        <v>123330</v>
      </c>
      <c r="K138" s="399" t="s">
        <v>70</v>
      </c>
      <c r="L138" s="399" t="s">
        <v>34</v>
      </c>
      <c r="M138" s="399">
        <v>20</v>
      </c>
      <c r="N138" s="356">
        <v>430000</v>
      </c>
      <c r="O138" s="28" t="b">
        <v>1</v>
      </c>
    </row>
    <row r="139" spans="2:15" s="28" customFormat="1" ht="16.5" customHeight="1">
      <c r="B139" s="20"/>
      <c r="C139" s="20"/>
      <c r="D139" s="254"/>
      <c r="E139" s="379">
        <v>123331</v>
      </c>
      <c r="F139" s="395" t="s">
        <v>264</v>
      </c>
      <c r="G139" s="396"/>
      <c r="H139" s="397"/>
      <c r="I139" s="383">
        <v>54200</v>
      </c>
      <c r="J139" s="398">
        <v>123331</v>
      </c>
      <c r="K139" s="399" t="s">
        <v>70</v>
      </c>
      <c r="L139" s="399" t="s">
        <v>34</v>
      </c>
      <c r="M139" s="399">
        <v>20</v>
      </c>
      <c r="N139" s="356">
        <v>398000</v>
      </c>
      <c r="O139" s="28" t="b">
        <v>1</v>
      </c>
    </row>
    <row r="140" spans="2:15" s="28" customFormat="1" ht="16.5" customHeight="1">
      <c r="B140" s="20"/>
      <c r="C140" s="20"/>
      <c r="D140" s="254"/>
      <c r="E140" s="379">
        <v>123336</v>
      </c>
      <c r="F140" s="395" t="s">
        <v>235</v>
      </c>
      <c r="G140" s="396"/>
      <c r="H140" s="397"/>
      <c r="I140" s="383">
        <v>63400</v>
      </c>
      <c r="J140" s="398">
        <v>123336</v>
      </c>
      <c r="K140" s="399" t="s">
        <v>70</v>
      </c>
      <c r="L140" s="399" t="s">
        <v>34</v>
      </c>
      <c r="M140" s="399">
        <v>20</v>
      </c>
      <c r="N140" s="356">
        <v>1207000</v>
      </c>
      <c r="O140" s="28" t="b">
        <v>1</v>
      </c>
    </row>
    <row r="141" spans="2:15" s="28" customFormat="1" ht="16.5" customHeight="1">
      <c r="B141" s="20"/>
      <c r="C141" s="20"/>
      <c r="D141" s="254"/>
      <c r="E141" s="379">
        <v>123339</v>
      </c>
      <c r="F141" s="395" t="s">
        <v>225</v>
      </c>
      <c r="G141" s="396"/>
      <c r="H141" s="397"/>
      <c r="I141" s="383">
        <v>55400</v>
      </c>
      <c r="J141" s="399">
        <v>123339</v>
      </c>
      <c r="K141" s="399" t="s">
        <v>70</v>
      </c>
      <c r="L141" s="399" t="s">
        <v>34</v>
      </c>
      <c r="M141" s="399">
        <v>20</v>
      </c>
      <c r="N141" s="356">
        <v>3124000</v>
      </c>
      <c r="O141" s="28" t="b">
        <v>1</v>
      </c>
    </row>
    <row r="142" spans="2:15" s="28" customFormat="1" ht="16.5" customHeight="1">
      <c r="B142" s="20"/>
      <c r="C142" s="20"/>
      <c r="D142" s="254"/>
      <c r="E142" s="379">
        <v>124528</v>
      </c>
      <c r="F142" s="395" t="s">
        <v>450</v>
      </c>
      <c r="G142" s="396"/>
      <c r="H142" s="397"/>
      <c r="I142" s="383">
        <v>3634000</v>
      </c>
      <c r="J142" s="398">
        <v>124528</v>
      </c>
      <c r="K142" s="399" t="s">
        <v>71</v>
      </c>
      <c r="L142" s="399" t="s">
        <v>34</v>
      </c>
      <c r="M142" s="399">
        <v>208</v>
      </c>
      <c r="N142" s="356">
        <v>2760000</v>
      </c>
      <c r="O142" s="28" t="b">
        <v>1</v>
      </c>
    </row>
    <row r="143" spans="2:15" s="28" customFormat="1" ht="16.5" customHeight="1">
      <c r="B143" s="20"/>
      <c r="C143" s="20"/>
      <c r="D143" s="254"/>
      <c r="E143" s="379">
        <v>126328</v>
      </c>
      <c r="F143" s="395" t="s">
        <v>453</v>
      </c>
      <c r="G143" s="396"/>
      <c r="H143" s="397"/>
      <c r="I143" s="383">
        <v>4056000</v>
      </c>
      <c r="J143" s="399">
        <v>126328</v>
      </c>
      <c r="K143" s="399" t="s">
        <v>71</v>
      </c>
      <c r="L143" s="399" t="s">
        <v>34</v>
      </c>
      <c r="M143" s="399">
        <v>208</v>
      </c>
      <c r="N143" s="356">
        <v>1525000</v>
      </c>
      <c r="O143" s="28" t="b">
        <v>0</v>
      </c>
    </row>
    <row r="144" spans="2:15" s="28" customFormat="1" ht="16.5" customHeight="1">
      <c r="B144" s="20"/>
      <c r="C144" s="20"/>
      <c r="D144" s="254"/>
      <c r="E144" s="379">
        <v>127356</v>
      </c>
      <c r="F144" s="395" t="s">
        <v>265</v>
      </c>
      <c r="G144" s="396"/>
      <c r="H144" s="397"/>
      <c r="I144" s="383">
        <v>337000</v>
      </c>
      <c r="J144" s="398">
        <v>127356</v>
      </c>
      <c r="K144" s="399" t="s">
        <v>70</v>
      </c>
      <c r="L144" s="399" t="s">
        <v>34</v>
      </c>
      <c r="M144" s="399">
        <v>20</v>
      </c>
      <c r="N144" s="356">
        <v>3190000</v>
      </c>
      <c r="O144" s="28" t="b">
        <v>1</v>
      </c>
    </row>
    <row r="145" spans="2:15" s="28" customFormat="1" ht="16.5" customHeight="1">
      <c r="B145" s="20"/>
      <c r="C145" s="20"/>
      <c r="D145" s="254"/>
      <c r="E145" s="379">
        <v>128773</v>
      </c>
      <c r="F145" s="395" t="s">
        <v>766</v>
      </c>
      <c r="G145" s="396"/>
      <c r="H145" s="397"/>
      <c r="I145" s="383">
        <v>346000</v>
      </c>
      <c r="J145" s="398">
        <v>128773</v>
      </c>
      <c r="K145" s="399" t="s">
        <v>70</v>
      </c>
      <c r="L145" s="399" t="s">
        <v>34</v>
      </c>
      <c r="M145" s="399">
        <v>18.899999999999999</v>
      </c>
      <c r="N145" s="356">
        <v>106000</v>
      </c>
      <c r="O145" s="28" t="b">
        <v>1</v>
      </c>
    </row>
    <row r="146" spans="2:15" s="28" customFormat="1" ht="16.5" customHeight="1">
      <c r="B146" s="20"/>
      <c r="C146" s="20"/>
      <c r="D146" s="254"/>
      <c r="E146" s="379">
        <v>129351</v>
      </c>
      <c r="F146" s="395" t="s">
        <v>266</v>
      </c>
      <c r="G146" s="396"/>
      <c r="H146" s="397"/>
      <c r="I146" s="383">
        <v>415000</v>
      </c>
      <c r="J146" s="398">
        <v>129351</v>
      </c>
      <c r="K146" s="399" t="s">
        <v>70</v>
      </c>
      <c r="L146" s="399" t="s">
        <v>34</v>
      </c>
      <c r="M146" s="399">
        <v>20</v>
      </c>
      <c r="N146" s="356">
        <v>83600</v>
      </c>
      <c r="O146" s="28" t="b">
        <v>1</v>
      </c>
    </row>
    <row r="147" spans="2:15" s="28" customFormat="1" ht="16.5" customHeight="1">
      <c r="B147" s="20"/>
      <c r="C147" s="20"/>
      <c r="D147" s="254"/>
      <c r="E147" s="379">
        <v>129364</v>
      </c>
      <c r="F147" s="395" t="s">
        <v>458</v>
      </c>
      <c r="G147" s="396"/>
      <c r="H147" s="397"/>
      <c r="I147" s="383"/>
      <c r="J147" s="398">
        <v>129364</v>
      </c>
      <c r="K147" s="399" t="s">
        <v>71</v>
      </c>
      <c r="L147" s="399" t="s">
        <v>34</v>
      </c>
      <c r="M147" s="399">
        <v>208</v>
      </c>
      <c r="N147" s="356" t="e">
        <v>#N/A</v>
      </c>
      <c r="O147" s="28" t="e">
        <v>#N/A</v>
      </c>
    </row>
    <row r="148" spans="2:15" s="28" customFormat="1" ht="16.5" customHeight="1">
      <c r="B148" s="20"/>
      <c r="C148" s="20"/>
      <c r="D148" s="254"/>
      <c r="E148" s="379">
        <v>129389</v>
      </c>
      <c r="F148" s="395" t="s">
        <v>459</v>
      </c>
      <c r="G148" s="396"/>
      <c r="H148" s="397"/>
      <c r="I148" s="383">
        <v>3962000</v>
      </c>
      <c r="J148" s="398">
        <v>129389</v>
      </c>
      <c r="K148" s="399" t="s">
        <v>71</v>
      </c>
      <c r="L148" s="399" t="s">
        <v>34</v>
      </c>
      <c r="M148" s="399">
        <v>208</v>
      </c>
      <c r="N148" s="356">
        <v>62800</v>
      </c>
      <c r="O148" s="28" t="b">
        <v>1</v>
      </c>
    </row>
    <row r="149" spans="2:15" s="28" customFormat="1" ht="16.5" customHeight="1">
      <c r="B149" s="20"/>
      <c r="C149" s="20"/>
      <c r="D149" s="254"/>
      <c r="E149" s="379">
        <v>130938</v>
      </c>
      <c r="F149" s="395" t="s">
        <v>461</v>
      </c>
      <c r="G149" s="396"/>
      <c r="H149" s="397"/>
      <c r="I149" s="383">
        <v>1918000</v>
      </c>
      <c r="J149" s="398">
        <v>130938</v>
      </c>
      <c r="K149" s="399" t="s">
        <v>71</v>
      </c>
      <c r="L149" s="399" t="s">
        <v>34</v>
      </c>
      <c r="M149" s="399">
        <v>181</v>
      </c>
      <c r="N149" s="356">
        <v>79200</v>
      </c>
      <c r="O149" s="28" t="b">
        <v>1</v>
      </c>
    </row>
    <row r="150" spans="2:15" s="28" customFormat="1" ht="16.5" customHeight="1">
      <c r="B150" s="20"/>
      <c r="C150" s="20"/>
      <c r="D150" s="254"/>
      <c r="E150" s="379">
        <v>130939</v>
      </c>
      <c r="F150" s="395" t="s">
        <v>267</v>
      </c>
      <c r="G150" s="396"/>
      <c r="H150" s="397"/>
      <c r="I150" s="383">
        <v>179000</v>
      </c>
      <c r="J150" s="398">
        <v>130939</v>
      </c>
      <c r="K150" s="399" t="s">
        <v>70</v>
      </c>
      <c r="L150" s="399" t="s">
        <v>34</v>
      </c>
      <c r="M150" s="399">
        <v>15.87</v>
      </c>
      <c r="N150" s="356">
        <v>46600</v>
      </c>
      <c r="O150" s="28" t="b">
        <v>1</v>
      </c>
    </row>
    <row r="151" spans="2:15" s="28" customFormat="1" ht="16.5" customHeight="1">
      <c r="B151" s="20"/>
      <c r="C151" s="20"/>
      <c r="D151" s="254"/>
      <c r="E151" s="379">
        <v>131773</v>
      </c>
      <c r="F151" s="395" t="s">
        <v>462</v>
      </c>
      <c r="G151" s="396"/>
      <c r="H151" s="397"/>
      <c r="I151" s="383"/>
      <c r="J151" s="398">
        <v>131773</v>
      </c>
      <c r="K151" s="399" t="s">
        <v>71</v>
      </c>
      <c r="L151" s="399" t="s">
        <v>34</v>
      </c>
      <c r="M151" s="399">
        <v>208</v>
      </c>
      <c r="N151" s="356">
        <v>402000</v>
      </c>
      <c r="O151" s="28" t="b">
        <v>1</v>
      </c>
    </row>
    <row r="152" spans="2:15" s="28" customFormat="1" ht="16.5" customHeight="1">
      <c r="B152" s="20"/>
      <c r="C152" s="20"/>
      <c r="D152" s="254"/>
      <c r="E152" s="379">
        <v>132528</v>
      </c>
      <c r="F152" s="395" t="s">
        <v>270</v>
      </c>
      <c r="G152" s="396"/>
      <c r="H152" s="397"/>
      <c r="I152" s="383">
        <v>269000</v>
      </c>
      <c r="J152" s="398">
        <v>132528</v>
      </c>
      <c r="K152" s="399" t="s">
        <v>70</v>
      </c>
      <c r="L152" s="399" t="s">
        <v>34</v>
      </c>
      <c r="M152" s="399">
        <v>16</v>
      </c>
      <c r="N152" s="356">
        <v>326000</v>
      </c>
      <c r="O152" s="28" t="b">
        <v>1</v>
      </c>
    </row>
    <row r="153" spans="2:15" s="28" customFormat="1" ht="16.5" customHeight="1">
      <c r="B153" s="20"/>
      <c r="C153" s="20"/>
      <c r="D153" s="254"/>
      <c r="E153" s="379">
        <v>132549</v>
      </c>
      <c r="F153" s="395" t="s">
        <v>463</v>
      </c>
      <c r="G153" s="396"/>
      <c r="H153" s="397"/>
      <c r="I153" s="383">
        <v>3029000</v>
      </c>
      <c r="J153" s="398">
        <v>132549</v>
      </c>
      <c r="K153" s="399" t="s">
        <v>71</v>
      </c>
      <c r="L153" s="399" t="s">
        <v>34</v>
      </c>
      <c r="M153" s="399">
        <v>208</v>
      </c>
      <c r="N153" s="356">
        <v>66800</v>
      </c>
      <c r="O153" s="28" t="b">
        <v>1</v>
      </c>
    </row>
    <row r="154" spans="2:15" s="28" customFormat="1" ht="16.5" customHeight="1">
      <c r="B154" s="20"/>
      <c r="C154" s="20"/>
      <c r="D154" s="254"/>
      <c r="E154" s="379">
        <v>132550</v>
      </c>
      <c r="F154" s="395" t="s">
        <v>464</v>
      </c>
      <c r="G154" s="396"/>
      <c r="H154" s="397"/>
      <c r="I154" s="383">
        <v>3173000</v>
      </c>
      <c r="J154" s="398">
        <v>132550</v>
      </c>
      <c r="K154" s="399" t="s">
        <v>71</v>
      </c>
      <c r="L154" s="399" t="s">
        <v>34</v>
      </c>
      <c r="M154" s="399">
        <v>208</v>
      </c>
      <c r="N154" s="356">
        <v>62700</v>
      </c>
      <c r="O154" s="28" t="b">
        <v>1</v>
      </c>
    </row>
    <row r="155" spans="2:15" s="28" customFormat="1" ht="16.5" customHeight="1">
      <c r="B155" s="20"/>
      <c r="C155" s="20"/>
      <c r="D155" s="254"/>
      <c r="E155" s="379">
        <v>132558</v>
      </c>
      <c r="F155" s="395" t="s">
        <v>465</v>
      </c>
      <c r="G155" s="396"/>
      <c r="H155" s="397"/>
      <c r="I155" s="383">
        <v>3541000</v>
      </c>
      <c r="J155" s="398">
        <v>132558</v>
      </c>
      <c r="K155" s="399" t="s">
        <v>71</v>
      </c>
      <c r="L155" s="399" t="s">
        <v>34</v>
      </c>
      <c r="M155" s="399">
        <v>208</v>
      </c>
      <c r="N155" s="356">
        <v>54200</v>
      </c>
      <c r="O155" s="28" t="b">
        <v>1</v>
      </c>
    </row>
    <row r="156" spans="2:15" s="28" customFormat="1" ht="16.5" customHeight="1">
      <c r="B156" s="20"/>
      <c r="C156" s="20"/>
      <c r="D156" s="254"/>
      <c r="E156" s="379">
        <v>140202</v>
      </c>
      <c r="F156" s="395" t="s">
        <v>377</v>
      </c>
      <c r="G156" s="396"/>
      <c r="H156" s="397"/>
      <c r="I156" s="383">
        <v>352000</v>
      </c>
      <c r="J156" s="398">
        <v>140202</v>
      </c>
      <c r="K156" s="399" t="s">
        <v>70</v>
      </c>
      <c r="L156" s="399" t="s">
        <v>34</v>
      </c>
      <c r="M156" s="399">
        <v>16</v>
      </c>
      <c r="N156" s="356">
        <v>63400</v>
      </c>
      <c r="O156" s="28" t="b">
        <v>1</v>
      </c>
    </row>
    <row r="157" spans="2:15" s="28" customFormat="1" ht="16.5" customHeight="1">
      <c r="B157" s="20"/>
      <c r="C157" s="20"/>
      <c r="D157" s="254"/>
      <c r="E157" s="379">
        <v>140203</v>
      </c>
      <c r="F157" s="395" t="s">
        <v>273</v>
      </c>
      <c r="G157" s="396"/>
      <c r="H157" s="397"/>
      <c r="I157" s="383">
        <v>355000</v>
      </c>
      <c r="J157" s="398">
        <v>140203</v>
      </c>
      <c r="K157" s="399" t="s">
        <v>70</v>
      </c>
      <c r="L157" s="399" t="s">
        <v>34</v>
      </c>
      <c r="M157" s="399">
        <v>16</v>
      </c>
      <c r="N157" s="356">
        <v>55400</v>
      </c>
      <c r="O157" s="28" t="b">
        <v>1</v>
      </c>
    </row>
    <row r="158" spans="2:15" s="28" customFormat="1" ht="16.5" customHeight="1">
      <c r="B158" s="20"/>
      <c r="C158" s="20"/>
      <c r="D158" s="254"/>
      <c r="E158" s="379">
        <v>132575</v>
      </c>
      <c r="F158" s="400" t="s">
        <v>274</v>
      </c>
      <c r="G158" s="401"/>
      <c r="H158" s="402"/>
      <c r="I158" s="383">
        <v>394000</v>
      </c>
      <c r="J158" s="398">
        <v>132575</v>
      </c>
      <c r="K158" s="399" t="s">
        <v>70</v>
      </c>
      <c r="L158" s="399" t="s">
        <v>34</v>
      </c>
      <c r="M158" s="399">
        <v>16</v>
      </c>
      <c r="N158" s="356">
        <v>3634000</v>
      </c>
      <c r="O158" s="28" t="b">
        <v>1</v>
      </c>
    </row>
    <row r="159" spans="2:15" s="28" customFormat="1" ht="16.5" customHeight="1">
      <c r="B159" s="20"/>
      <c r="C159" s="20"/>
      <c r="D159" s="254"/>
      <c r="E159" s="379">
        <v>132610</v>
      </c>
      <c r="F159" s="395" t="s">
        <v>466</v>
      </c>
      <c r="G159" s="396"/>
      <c r="H159" s="397"/>
      <c r="I159" s="383">
        <v>3730000</v>
      </c>
      <c r="J159" s="398">
        <v>132610</v>
      </c>
      <c r="K159" s="399" t="s">
        <v>71</v>
      </c>
      <c r="L159" s="399" t="s">
        <v>34</v>
      </c>
      <c r="M159" s="399">
        <v>174</v>
      </c>
      <c r="N159" s="356">
        <v>4056000</v>
      </c>
      <c r="O159" s="28" t="b">
        <v>1</v>
      </c>
    </row>
    <row r="160" spans="2:15" s="28" customFormat="1" ht="16.5" customHeight="1">
      <c r="B160" s="20"/>
      <c r="C160" s="20"/>
      <c r="D160" s="254"/>
      <c r="E160" s="379">
        <v>132611</v>
      </c>
      <c r="F160" s="395" t="s">
        <v>275</v>
      </c>
      <c r="G160" s="396"/>
      <c r="H160" s="397"/>
      <c r="I160" s="383">
        <v>338000</v>
      </c>
      <c r="J160" s="398">
        <v>132611</v>
      </c>
      <c r="K160" s="399" t="s">
        <v>70</v>
      </c>
      <c r="L160" s="399" t="s">
        <v>34</v>
      </c>
      <c r="M160" s="399">
        <v>15.87</v>
      </c>
      <c r="N160" s="356">
        <v>337000</v>
      </c>
      <c r="O160" s="28" t="b">
        <v>1</v>
      </c>
    </row>
    <row r="161" spans="2:15" s="28" customFormat="1" ht="16.5" customHeight="1">
      <c r="B161" s="20"/>
      <c r="C161" s="20"/>
      <c r="D161" s="254"/>
      <c r="E161" s="379">
        <v>132642</v>
      </c>
      <c r="F161" s="395" t="s">
        <v>276</v>
      </c>
      <c r="G161" s="396"/>
      <c r="H161" s="397"/>
      <c r="I161" s="383">
        <v>351000</v>
      </c>
      <c r="J161" s="398">
        <v>132642</v>
      </c>
      <c r="K161" s="399" t="s">
        <v>70</v>
      </c>
      <c r="L161" s="399" t="s">
        <v>34</v>
      </c>
      <c r="M161" s="399">
        <v>16</v>
      </c>
      <c r="N161" s="356">
        <v>346000</v>
      </c>
      <c r="O161" s="28" t="b">
        <v>1</v>
      </c>
    </row>
    <row r="162" spans="2:15" s="28" customFormat="1" ht="16.5" customHeight="1">
      <c r="B162" s="20"/>
      <c r="C162" s="20"/>
      <c r="D162" s="254"/>
      <c r="E162" s="379">
        <v>132796</v>
      </c>
      <c r="F162" s="403" t="s">
        <v>278</v>
      </c>
      <c r="G162" s="404"/>
      <c r="H162" s="405"/>
      <c r="I162" s="383">
        <v>562000</v>
      </c>
      <c r="J162" s="398">
        <v>132796</v>
      </c>
      <c r="K162" s="406" t="s">
        <v>70</v>
      </c>
      <c r="L162" s="406" t="s">
        <v>34</v>
      </c>
      <c r="M162" s="406">
        <v>18</v>
      </c>
      <c r="N162" s="356">
        <v>415000</v>
      </c>
      <c r="O162" s="28" t="b">
        <v>1</v>
      </c>
    </row>
    <row r="163" spans="2:15" s="28" customFormat="1" ht="16.5" customHeight="1">
      <c r="B163" s="20"/>
      <c r="C163" s="20"/>
      <c r="D163" s="254"/>
      <c r="E163" s="379">
        <v>132835</v>
      </c>
      <c r="F163" s="395" t="s">
        <v>474</v>
      </c>
      <c r="G163" s="396"/>
      <c r="H163" s="397"/>
      <c r="I163" s="383">
        <v>3480000</v>
      </c>
      <c r="J163" s="398">
        <v>132835</v>
      </c>
      <c r="K163" s="399" t="s">
        <v>71</v>
      </c>
      <c r="L163" s="399" t="s">
        <v>34</v>
      </c>
      <c r="M163" s="399">
        <v>208</v>
      </c>
      <c r="N163" s="356" t="e">
        <v>#N/A</v>
      </c>
      <c r="O163" s="28" t="e">
        <v>#N/A</v>
      </c>
    </row>
    <row r="164" spans="2:15" s="28" customFormat="1" ht="16.5" customHeight="1">
      <c r="B164" s="20"/>
      <c r="C164" s="20"/>
      <c r="D164" s="254"/>
      <c r="E164" s="379">
        <v>133450</v>
      </c>
      <c r="F164" s="395" t="s">
        <v>475</v>
      </c>
      <c r="G164" s="396"/>
      <c r="H164" s="397"/>
      <c r="I164" s="383">
        <v>4688000</v>
      </c>
      <c r="J164" s="398">
        <v>133450</v>
      </c>
      <c r="K164" s="399" t="s">
        <v>71</v>
      </c>
      <c r="L164" s="399" t="s">
        <v>34</v>
      </c>
      <c r="M164" s="399">
        <v>208</v>
      </c>
      <c r="N164" s="356">
        <v>3962000</v>
      </c>
      <c r="O164" s="28" t="b">
        <v>1</v>
      </c>
    </row>
    <row r="165" spans="2:15" s="28" customFormat="1" ht="16.5" customHeight="1">
      <c r="B165" s="20"/>
      <c r="C165" s="20"/>
      <c r="D165" s="254"/>
      <c r="E165" s="379">
        <v>134221</v>
      </c>
      <c r="F165" s="400" t="s">
        <v>476</v>
      </c>
      <c r="G165" s="401"/>
      <c r="H165" s="402"/>
      <c r="I165" s="383">
        <v>4412000</v>
      </c>
      <c r="J165" s="407">
        <v>134221</v>
      </c>
      <c r="K165" s="399" t="s">
        <v>71</v>
      </c>
      <c r="L165" s="399" t="s">
        <v>34</v>
      </c>
      <c r="M165" s="399">
        <v>216</v>
      </c>
      <c r="N165" s="356">
        <v>1918000</v>
      </c>
      <c r="O165" s="28" t="b">
        <v>1</v>
      </c>
    </row>
    <row r="166" spans="2:15" s="28" customFormat="1" ht="16.5" customHeight="1">
      <c r="B166" s="20"/>
      <c r="C166" s="20"/>
      <c r="D166" s="254"/>
      <c r="E166" s="379">
        <v>134320</v>
      </c>
      <c r="F166" s="400" t="s">
        <v>477</v>
      </c>
      <c r="G166" s="396"/>
      <c r="H166" s="397"/>
      <c r="I166" s="383">
        <v>3144000</v>
      </c>
      <c r="J166" s="398">
        <v>134320</v>
      </c>
      <c r="K166" s="399" t="s">
        <v>71</v>
      </c>
      <c r="L166" s="399" t="s">
        <v>34</v>
      </c>
      <c r="M166" s="399">
        <v>208</v>
      </c>
      <c r="N166" s="356">
        <v>179000</v>
      </c>
      <c r="O166" s="28" t="b">
        <v>1</v>
      </c>
    </row>
    <row r="167" spans="2:15" s="28" customFormat="1" ht="16.5" customHeight="1">
      <c r="B167" s="20"/>
      <c r="C167" s="20"/>
      <c r="D167" s="254"/>
      <c r="E167" s="379">
        <v>134445</v>
      </c>
      <c r="F167" s="400" t="s">
        <v>239</v>
      </c>
      <c r="G167" s="396"/>
      <c r="H167" s="397"/>
      <c r="I167" s="383">
        <v>66900</v>
      </c>
      <c r="J167" s="398">
        <v>134445</v>
      </c>
      <c r="K167" s="399" t="s">
        <v>70</v>
      </c>
      <c r="L167" s="399" t="s">
        <v>34</v>
      </c>
      <c r="M167" s="399">
        <v>20</v>
      </c>
      <c r="N167" s="356" t="e">
        <v>#N/A</v>
      </c>
      <c r="O167" s="28" t="e">
        <v>#N/A</v>
      </c>
    </row>
    <row r="168" spans="2:15" s="28" customFormat="1" ht="16.5" customHeight="1">
      <c r="B168" s="20"/>
      <c r="C168" s="20"/>
      <c r="D168" s="254"/>
      <c r="E168" s="379">
        <v>134602</v>
      </c>
      <c r="F168" s="400" t="s">
        <v>481</v>
      </c>
      <c r="G168" s="396"/>
      <c r="H168" s="397"/>
      <c r="I168" s="383">
        <v>3680000</v>
      </c>
      <c r="J168" s="407">
        <v>134602</v>
      </c>
      <c r="K168" s="399" t="s">
        <v>71</v>
      </c>
      <c r="L168" s="399" t="s">
        <v>34</v>
      </c>
      <c r="M168" s="399">
        <v>208</v>
      </c>
      <c r="N168" s="356">
        <v>269000</v>
      </c>
      <c r="O168" s="28" t="b">
        <v>1</v>
      </c>
    </row>
    <row r="169" spans="2:15" s="28" customFormat="1" ht="16.5" customHeight="1">
      <c r="B169" s="20"/>
      <c r="C169" s="20"/>
      <c r="D169" s="254"/>
      <c r="E169" s="379">
        <v>134604</v>
      </c>
      <c r="F169" s="400" t="s">
        <v>280</v>
      </c>
      <c r="G169" s="396"/>
      <c r="H169" s="397"/>
      <c r="I169" s="383">
        <v>120000</v>
      </c>
      <c r="J169" s="398">
        <v>134604</v>
      </c>
      <c r="K169" s="399" t="s">
        <v>70</v>
      </c>
      <c r="L169" s="399" t="s">
        <v>34</v>
      </c>
      <c r="M169" s="399">
        <v>16</v>
      </c>
      <c r="N169" s="356">
        <v>3029000</v>
      </c>
      <c r="O169" s="28" t="b">
        <v>1</v>
      </c>
    </row>
    <row r="170" spans="2:15" s="28" customFormat="1" ht="16.5" customHeight="1">
      <c r="B170" s="20"/>
      <c r="C170" s="20"/>
      <c r="D170" s="254"/>
      <c r="E170" s="379">
        <v>134884</v>
      </c>
      <c r="F170" s="400" t="s">
        <v>281</v>
      </c>
      <c r="G170" s="396"/>
      <c r="H170" s="397"/>
      <c r="I170" s="383">
        <v>80500</v>
      </c>
      <c r="J170" s="407">
        <v>134884</v>
      </c>
      <c r="K170" s="399" t="s">
        <v>70</v>
      </c>
      <c r="L170" s="399" t="s">
        <v>34</v>
      </c>
      <c r="M170" s="399">
        <v>20</v>
      </c>
      <c r="N170" s="356">
        <v>3173000</v>
      </c>
      <c r="O170" s="28" t="b">
        <v>1</v>
      </c>
    </row>
    <row r="171" spans="2:15" s="28" customFormat="1" ht="16.5" customHeight="1">
      <c r="B171" s="20"/>
      <c r="C171" s="20"/>
      <c r="D171" s="254"/>
      <c r="E171" s="379">
        <v>134937</v>
      </c>
      <c r="F171" s="400" t="s">
        <v>486</v>
      </c>
      <c r="G171" s="396"/>
      <c r="H171" s="397"/>
      <c r="I171" s="383">
        <v>3079000</v>
      </c>
      <c r="J171" s="407">
        <v>134937</v>
      </c>
      <c r="K171" s="399" t="s">
        <v>71</v>
      </c>
      <c r="L171" s="399" t="s">
        <v>34</v>
      </c>
      <c r="M171" s="399">
        <v>208</v>
      </c>
      <c r="N171" s="356">
        <v>3541000</v>
      </c>
      <c r="O171" s="28" t="b">
        <v>1</v>
      </c>
    </row>
    <row r="172" spans="2:15" s="28" customFormat="1" ht="16.5" customHeight="1">
      <c r="B172" s="20"/>
      <c r="C172" s="20"/>
      <c r="D172" s="254"/>
      <c r="E172" s="379">
        <v>134962</v>
      </c>
      <c r="F172" s="395" t="s">
        <v>47</v>
      </c>
      <c r="G172" s="396"/>
      <c r="H172" s="397"/>
      <c r="I172" s="383">
        <v>364000</v>
      </c>
      <c r="J172" s="398">
        <v>134962</v>
      </c>
      <c r="K172" s="399" t="s">
        <v>70</v>
      </c>
      <c r="L172" s="399" t="s">
        <v>34</v>
      </c>
      <c r="M172" s="399">
        <v>20</v>
      </c>
      <c r="N172" s="356">
        <v>352000</v>
      </c>
      <c r="O172" s="28" t="b">
        <v>1</v>
      </c>
    </row>
    <row r="173" spans="2:15" s="28" customFormat="1" ht="16.5" customHeight="1">
      <c r="B173" s="20"/>
      <c r="C173" s="20"/>
      <c r="D173" s="254"/>
      <c r="E173" s="379">
        <v>134995</v>
      </c>
      <c r="F173" s="395" t="s">
        <v>283</v>
      </c>
      <c r="G173" s="396"/>
      <c r="H173" s="397"/>
      <c r="I173" s="383">
        <v>475000</v>
      </c>
      <c r="J173" s="398">
        <v>134995</v>
      </c>
      <c r="K173" s="399" t="s">
        <v>70</v>
      </c>
      <c r="L173" s="399" t="s">
        <v>34</v>
      </c>
      <c r="M173" s="399">
        <v>16</v>
      </c>
      <c r="N173" s="356">
        <v>355000</v>
      </c>
      <c r="O173" s="28" t="b">
        <v>1</v>
      </c>
    </row>
    <row r="174" spans="2:15" s="28" customFormat="1" ht="16.5" customHeight="1">
      <c r="B174" s="20"/>
      <c r="C174" s="20"/>
      <c r="D174" s="254"/>
      <c r="E174" s="379">
        <v>134997</v>
      </c>
      <c r="F174" s="408" t="s">
        <v>284</v>
      </c>
      <c r="G174" s="409"/>
      <c r="H174" s="410"/>
      <c r="I174" s="383">
        <v>316000</v>
      </c>
      <c r="J174" s="398">
        <v>134997</v>
      </c>
      <c r="K174" s="378" t="s">
        <v>70</v>
      </c>
      <c r="L174" s="378" t="s">
        <v>34</v>
      </c>
      <c r="M174" s="378">
        <v>15.87</v>
      </c>
      <c r="N174" s="356">
        <v>394000</v>
      </c>
      <c r="O174" s="28" t="b">
        <v>1</v>
      </c>
    </row>
    <row r="175" spans="2:15" s="28" customFormat="1" ht="16.5" customHeight="1">
      <c r="B175" s="20"/>
      <c r="C175" s="20"/>
      <c r="D175" s="254"/>
      <c r="E175" s="379">
        <v>134999</v>
      </c>
      <c r="F175" s="395" t="s">
        <v>285</v>
      </c>
      <c r="G175" s="396"/>
      <c r="H175" s="397"/>
      <c r="I175" s="383">
        <v>476000</v>
      </c>
      <c r="J175" s="398">
        <v>134999</v>
      </c>
      <c r="K175" s="399" t="s">
        <v>70</v>
      </c>
      <c r="L175" s="399" t="s">
        <v>34</v>
      </c>
      <c r="M175" s="399">
        <v>15.87</v>
      </c>
      <c r="N175" s="356">
        <v>3730000</v>
      </c>
      <c r="O175" s="28" t="b">
        <v>1</v>
      </c>
    </row>
    <row r="176" spans="2:15" s="28" customFormat="1" ht="16.5" customHeight="1">
      <c r="B176" s="20"/>
      <c r="C176" s="20"/>
      <c r="D176" s="254"/>
      <c r="E176" s="379">
        <v>135000</v>
      </c>
      <c r="F176" s="395" t="s">
        <v>487</v>
      </c>
      <c r="G176" s="396"/>
      <c r="H176" s="397"/>
      <c r="I176" s="383">
        <v>2918000</v>
      </c>
      <c r="J176" s="398">
        <v>135000</v>
      </c>
      <c r="K176" s="399" t="s">
        <v>71</v>
      </c>
      <c r="L176" s="399" t="s">
        <v>34</v>
      </c>
      <c r="M176" s="399">
        <v>208</v>
      </c>
      <c r="N176" s="356">
        <v>338000</v>
      </c>
      <c r="O176" s="28" t="b">
        <v>1</v>
      </c>
    </row>
    <row r="177" spans="2:15" s="28" customFormat="1" ht="16.5" customHeight="1">
      <c r="B177" s="20"/>
      <c r="C177" s="20"/>
      <c r="D177" s="254"/>
      <c r="E177" s="379">
        <v>135002</v>
      </c>
      <c r="F177" s="395" t="s">
        <v>286</v>
      </c>
      <c r="G177" s="396"/>
      <c r="H177" s="397"/>
      <c r="I177" s="383">
        <v>364000</v>
      </c>
      <c r="J177" s="398">
        <v>135002</v>
      </c>
      <c r="K177" s="399" t="s">
        <v>70</v>
      </c>
      <c r="L177" s="399" t="s">
        <v>34</v>
      </c>
      <c r="M177" s="399">
        <v>20</v>
      </c>
      <c r="N177" s="356">
        <v>351000</v>
      </c>
      <c r="O177" s="28" t="b">
        <v>1</v>
      </c>
    </row>
    <row r="178" spans="2:15" s="28" customFormat="1" ht="16.5" customHeight="1">
      <c r="B178" s="20"/>
      <c r="C178" s="20"/>
      <c r="D178" s="254"/>
      <c r="E178" s="379">
        <v>135004</v>
      </c>
      <c r="F178" s="395" t="s">
        <v>287</v>
      </c>
      <c r="G178" s="396"/>
      <c r="H178" s="397"/>
      <c r="I178" s="383">
        <v>300000</v>
      </c>
      <c r="J178" s="398">
        <v>135004</v>
      </c>
      <c r="K178" s="399" t="s">
        <v>70</v>
      </c>
      <c r="L178" s="399" t="s">
        <v>34</v>
      </c>
      <c r="M178" s="399">
        <v>18.899999999999999</v>
      </c>
      <c r="N178" s="356">
        <v>562000</v>
      </c>
      <c r="O178" s="28" t="b">
        <v>1</v>
      </c>
    </row>
    <row r="179" spans="2:15" s="28" customFormat="1" ht="16.5" customHeight="1">
      <c r="B179" s="20"/>
      <c r="C179" s="20"/>
      <c r="D179" s="254"/>
      <c r="E179" s="379">
        <v>135008</v>
      </c>
      <c r="F179" s="395" t="s">
        <v>288</v>
      </c>
      <c r="G179" s="396"/>
      <c r="H179" s="397"/>
      <c r="I179" s="383">
        <v>274000</v>
      </c>
      <c r="J179" s="398">
        <v>135008</v>
      </c>
      <c r="K179" s="399" t="s">
        <v>70</v>
      </c>
      <c r="L179" s="399" t="s">
        <v>34</v>
      </c>
      <c r="M179" s="399">
        <v>20</v>
      </c>
      <c r="N179" s="356">
        <v>3480000</v>
      </c>
      <c r="O179" s="28" t="b">
        <v>1</v>
      </c>
    </row>
    <row r="180" spans="2:15" s="28" customFormat="1" ht="16.5" customHeight="1">
      <c r="B180" s="20"/>
      <c r="C180" s="20"/>
      <c r="D180" s="254"/>
      <c r="E180" s="379">
        <v>135010</v>
      </c>
      <c r="F180" s="395" t="s">
        <v>488</v>
      </c>
      <c r="G180" s="396"/>
      <c r="H180" s="397"/>
      <c r="I180" s="383">
        <v>3777000</v>
      </c>
      <c r="J180" s="398">
        <v>135010</v>
      </c>
      <c r="K180" s="399" t="s">
        <v>71</v>
      </c>
      <c r="L180" s="399" t="s">
        <v>34</v>
      </c>
      <c r="M180" s="399">
        <v>174</v>
      </c>
      <c r="N180" s="356">
        <v>4688000</v>
      </c>
      <c r="O180" s="28" t="b">
        <v>1</v>
      </c>
    </row>
    <row r="181" spans="2:15" s="28" customFormat="1" ht="16.5" customHeight="1">
      <c r="B181" s="20"/>
      <c r="C181" s="20"/>
      <c r="D181" s="254"/>
      <c r="E181" s="379">
        <v>135013</v>
      </c>
      <c r="F181" s="395" t="s">
        <v>489</v>
      </c>
      <c r="G181" s="396"/>
      <c r="H181" s="397"/>
      <c r="I181" s="383">
        <v>2922000</v>
      </c>
      <c r="J181" s="398">
        <v>135013</v>
      </c>
      <c r="K181" s="399" t="s">
        <v>71</v>
      </c>
      <c r="L181" s="399" t="s">
        <v>34</v>
      </c>
      <c r="M181" s="399">
        <v>208</v>
      </c>
      <c r="N181" s="356">
        <v>4412000</v>
      </c>
      <c r="O181" s="28" t="b">
        <v>1</v>
      </c>
    </row>
    <row r="182" spans="2:15" s="28" customFormat="1" ht="16.5" customHeight="1">
      <c r="B182" s="20"/>
      <c r="C182" s="20"/>
      <c r="D182" s="254"/>
      <c r="E182" s="379">
        <v>135014</v>
      </c>
      <c r="F182" s="395" t="s">
        <v>490</v>
      </c>
      <c r="G182" s="396"/>
      <c r="H182" s="397"/>
      <c r="I182" s="383">
        <v>3151000</v>
      </c>
      <c r="J182" s="398">
        <v>135014</v>
      </c>
      <c r="K182" s="399" t="s">
        <v>71</v>
      </c>
      <c r="L182" s="399" t="s">
        <v>34</v>
      </c>
      <c r="M182" s="399">
        <v>208</v>
      </c>
      <c r="N182" s="356">
        <v>3144000</v>
      </c>
      <c r="O182" s="28" t="b">
        <v>1</v>
      </c>
    </row>
    <row r="183" spans="2:15" s="28" customFormat="1" ht="16.5" customHeight="1">
      <c r="B183" s="20"/>
      <c r="C183" s="20"/>
      <c r="D183" s="254"/>
      <c r="E183" s="379">
        <v>135016</v>
      </c>
      <c r="F183" s="395" t="s">
        <v>289</v>
      </c>
      <c r="G183" s="396"/>
      <c r="H183" s="397"/>
      <c r="I183" s="383">
        <v>353000</v>
      </c>
      <c r="J183" s="398">
        <v>135016</v>
      </c>
      <c r="K183" s="399" t="s">
        <v>70</v>
      </c>
      <c r="L183" s="399" t="s">
        <v>34</v>
      </c>
      <c r="M183" s="399">
        <v>20</v>
      </c>
      <c r="N183" s="356">
        <v>66900</v>
      </c>
      <c r="O183" s="28" t="b">
        <v>1</v>
      </c>
    </row>
    <row r="184" spans="2:15" s="28" customFormat="1" ht="16.5" customHeight="1">
      <c r="B184" s="20"/>
      <c r="C184" s="20"/>
      <c r="D184" s="254"/>
      <c r="E184" s="379">
        <v>135152</v>
      </c>
      <c r="F184" s="395" t="s">
        <v>290</v>
      </c>
      <c r="G184" s="396"/>
      <c r="H184" s="397"/>
      <c r="I184" s="383">
        <v>327000</v>
      </c>
      <c r="J184" s="398">
        <v>135152</v>
      </c>
      <c r="K184" s="399" t="s">
        <v>70</v>
      </c>
      <c r="L184" s="399" t="s">
        <v>34</v>
      </c>
      <c r="M184" s="399">
        <v>20</v>
      </c>
      <c r="N184" s="356">
        <v>3680000</v>
      </c>
      <c r="O184" s="28" t="b">
        <v>1</v>
      </c>
    </row>
    <row r="185" spans="2:15" s="28" customFormat="1" ht="16.5" customHeight="1">
      <c r="B185" s="20"/>
      <c r="C185" s="20"/>
      <c r="D185" s="254"/>
      <c r="E185" s="379">
        <v>135153</v>
      </c>
      <c r="F185" s="395" t="s">
        <v>291</v>
      </c>
      <c r="G185" s="396"/>
      <c r="H185" s="397"/>
      <c r="I185" s="383">
        <v>277000</v>
      </c>
      <c r="J185" s="398">
        <v>135153</v>
      </c>
      <c r="K185" s="399" t="s">
        <v>70</v>
      </c>
      <c r="L185" s="399" t="s">
        <v>34</v>
      </c>
      <c r="M185" s="399">
        <v>20</v>
      </c>
      <c r="N185" s="356">
        <v>120000</v>
      </c>
      <c r="O185" s="28" t="b">
        <v>1</v>
      </c>
    </row>
    <row r="186" spans="2:15" s="28" customFormat="1" ht="16.5" customHeight="1">
      <c r="B186" s="20"/>
      <c r="C186" s="20"/>
      <c r="D186" s="254"/>
      <c r="E186" s="379">
        <v>135179</v>
      </c>
      <c r="F186" s="395" t="s">
        <v>491</v>
      </c>
      <c r="G186" s="396"/>
      <c r="H186" s="397"/>
      <c r="I186" s="383">
        <v>2733000</v>
      </c>
      <c r="J186" s="398">
        <v>135179</v>
      </c>
      <c r="K186" s="399" t="s">
        <v>71</v>
      </c>
      <c r="L186" s="399" t="s">
        <v>34</v>
      </c>
      <c r="M186" s="399">
        <v>208</v>
      </c>
      <c r="N186" s="356">
        <v>80500</v>
      </c>
      <c r="O186" s="28" t="b">
        <v>1</v>
      </c>
    </row>
    <row r="187" spans="2:15" s="28" customFormat="1" ht="16.5" customHeight="1">
      <c r="B187" s="20"/>
      <c r="C187" s="20"/>
      <c r="D187" s="254"/>
      <c r="E187" s="379">
        <v>135180</v>
      </c>
      <c r="F187" s="395" t="s">
        <v>492</v>
      </c>
      <c r="G187" s="401"/>
      <c r="H187" s="402"/>
      <c r="I187" s="383">
        <v>3124000</v>
      </c>
      <c r="J187" s="398">
        <v>135180</v>
      </c>
      <c r="K187" s="399" t="s">
        <v>71</v>
      </c>
      <c r="L187" s="399" t="s">
        <v>34</v>
      </c>
      <c r="M187" s="399">
        <v>208</v>
      </c>
      <c r="N187" s="356">
        <v>3079000</v>
      </c>
      <c r="O187" s="28" t="b">
        <v>1</v>
      </c>
    </row>
    <row r="188" spans="2:15" s="28" customFormat="1" ht="16.5" customHeight="1">
      <c r="B188" s="20"/>
      <c r="C188" s="20"/>
      <c r="D188" s="254"/>
      <c r="E188" s="379">
        <v>135181</v>
      </c>
      <c r="F188" s="395" t="s">
        <v>292</v>
      </c>
      <c r="G188" s="396"/>
      <c r="H188" s="397"/>
      <c r="I188" s="383">
        <v>269000</v>
      </c>
      <c r="J188" s="398">
        <v>135181</v>
      </c>
      <c r="K188" s="399" t="s">
        <v>70</v>
      </c>
      <c r="L188" s="399" t="s">
        <v>34</v>
      </c>
      <c r="M188" s="399">
        <v>20</v>
      </c>
      <c r="N188" s="356">
        <v>364000</v>
      </c>
      <c r="O188" s="28" t="b">
        <v>1</v>
      </c>
    </row>
    <row r="189" spans="2:15" s="28" customFormat="1" ht="16.5" customHeight="1">
      <c r="B189" s="20"/>
      <c r="C189" s="20"/>
      <c r="D189" s="254"/>
      <c r="E189" s="379">
        <v>135182</v>
      </c>
      <c r="F189" s="395" t="s">
        <v>493</v>
      </c>
      <c r="G189" s="396"/>
      <c r="H189" s="397"/>
      <c r="I189" s="383">
        <v>2995000</v>
      </c>
      <c r="J189" s="398">
        <v>135182</v>
      </c>
      <c r="K189" s="399" t="s">
        <v>71</v>
      </c>
      <c r="L189" s="399" t="s">
        <v>34</v>
      </c>
      <c r="M189" s="399">
        <v>208</v>
      </c>
      <c r="N189" s="356">
        <v>475000</v>
      </c>
      <c r="O189" s="28" t="b">
        <v>1</v>
      </c>
    </row>
    <row r="190" spans="2:15" s="28" customFormat="1" ht="16.5" customHeight="1">
      <c r="B190" s="20"/>
      <c r="C190" s="20"/>
      <c r="D190" s="254"/>
      <c r="E190" s="379">
        <v>135183</v>
      </c>
      <c r="F190" s="395" t="s">
        <v>293</v>
      </c>
      <c r="G190" s="396"/>
      <c r="H190" s="397"/>
      <c r="I190" s="383">
        <v>302000</v>
      </c>
      <c r="J190" s="398">
        <v>135183</v>
      </c>
      <c r="K190" s="399" t="s">
        <v>70</v>
      </c>
      <c r="L190" s="399" t="s">
        <v>34</v>
      </c>
      <c r="M190" s="399">
        <v>20</v>
      </c>
      <c r="N190" s="356">
        <v>316000</v>
      </c>
      <c r="O190" s="28" t="b">
        <v>1</v>
      </c>
    </row>
    <row r="191" spans="2:15" s="28" customFormat="1" ht="16.5" customHeight="1">
      <c r="B191" s="20"/>
      <c r="C191" s="20"/>
      <c r="D191" s="254"/>
      <c r="E191" s="379">
        <v>135184</v>
      </c>
      <c r="F191" s="395" t="s">
        <v>494</v>
      </c>
      <c r="G191" s="396"/>
      <c r="H191" s="397"/>
      <c r="I191" s="383">
        <v>3255000</v>
      </c>
      <c r="J191" s="398">
        <v>135184</v>
      </c>
      <c r="K191" s="399" t="s">
        <v>71</v>
      </c>
      <c r="L191" s="399" t="s">
        <v>34</v>
      </c>
      <c r="M191" s="399">
        <v>208</v>
      </c>
      <c r="N191" s="356">
        <v>476000</v>
      </c>
      <c r="O191" s="28" t="b">
        <v>1</v>
      </c>
    </row>
    <row r="192" spans="2:15" s="28" customFormat="1" ht="16.5" customHeight="1">
      <c r="B192" s="20"/>
      <c r="C192" s="20"/>
      <c r="D192" s="254"/>
      <c r="E192" s="379">
        <v>135185</v>
      </c>
      <c r="F192" s="395" t="s">
        <v>495</v>
      </c>
      <c r="G192" s="396"/>
      <c r="H192" s="397"/>
      <c r="I192" s="383">
        <v>3450000</v>
      </c>
      <c r="J192" s="398">
        <v>135185</v>
      </c>
      <c r="K192" s="399" t="s">
        <v>71</v>
      </c>
      <c r="L192" s="399" t="s">
        <v>34</v>
      </c>
      <c r="M192" s="399">
        <v>208</v>
      </c>
      <c r="N192" s="356">
        <v>2918000</v>
      </c>
      <c r="O192" s="28" t="b">
        <v>1</v>
      </c>
    </row>
    <row r="193" spans="2:15" s="28" customFormat="1" ht="16.5" customHeight="1">
      <c r="B193" s="20"/>
      <c r="C193" s="20"/>
      <c r="D193" s="254"/>
      <c r="E193" s="379">
        <v>135186</v>
      </c>
      <c r="F193" s="395" t="s">
        <v>496</v>
      </c>
      <c r="G193" s="396"/>
      <c r="H193" s="397"/>
      <c r="I193" s="383">
        <v>3644000</v>
      </c>
      <c r="J193" s="398">
        <v>135186</v>
      </c>
      <c r="K193" s="399" t="s">
        <v>71</v>
      </c>
      <c r="L193" s="399" t="s">
        <v>34</v>
      </c>
      <c r="M193" s="399">
        <v>208</v>
      </c>
      <c r="N193" s="356">
        <v>364000</v>
      </c>
      <c r="O193" s="28" t="b">
        <v>1</v>
      </c>
    </row>
    <row r="194" spans="2:15" s="28" customFormat="1" ht="16.5" customHeight="1">
      <c r="B194" s="20"/>
      <c r="C194" s="20"/>
      <c r="D194" s="254"/>
      <c r="E194" s="379">
        <v>135187</v>
      </c>
      <c r="F194" s="395" t="s">
        <v>497</v>
      </c>
      <c r="G194" s="396"/>
      <c r="H194" s="397"/>
      <c r="I194" s="383">
        <v>3124000</v>
      </c>
      <c r="J194" s="398">
        <v>135187</v>
      </c>
      <c r="K194" s="399" t="s">
        <v>71</v>
      </c>
      <c r="L194" s="399" t="s">
        <v>34</v>
      </c>
      <c r="M194" s="399">
        <v>208</v>
      </c>
      <c r="N194" s="356">
        <v>300000</v>
      </c>
      <c r="O194" s="28" t="b">
        <v>1</v>
      </c>
    </row>
    <row r="195" spans="2:15" s="28" customFormat="1" ht="16.5" customHeight="1">
      <c r="B195" s="20"/>
      <c r="C195" s="20"/>
      <c r="D195" s="254"/>
      <c r="E195" s="379">
        <v>135188</v>
      </c>
      <c r="F195" s="395" t="s">
        <v>294</v>
      </c>
      <c r="G195" s="396"/>
      <c r="H195" s="397"/>
      <c r="I195" s="383">
        <v>315000</v>
      </c>
      <c r="J195" s="398">
        <v>135188</v>
      </c>
      <c r="K195" s="399" t="s">
        <v>70</v>
      </c>
      <c r="L195" s="399" t="s">
        <v>34</v>
      </c>
      <c r="M195" s="399">
        <v>20</v>
      </c>
      <c r="N195" s="356">
        <v>274000</v>
      </c>
      <c r="O195" s="28" t="b">
        <v>1</v>
      </c>
    </row>
    <row r="196" spans="2:15" s="28" customFormat="1" ht="16.5" customHeight="1">
      <c r="B196" s="20"/>
      <c r="C196" s="20"/>
      <c r="D196" s="254"/>
      <c r="E196" s="379">
        <v>135190</v>
      </c>
      <c r="F196" s="395" t="s">
        <v>295</v>
      </c>
      <c r="G196" s="396"/>
      <c r="H196" s="397"/>
      <c r="I196" s="383">
        <v>346000</v>
      </c>
      <c r="J196" s="398">
        <v>135190</v>
      </c>
      <c r="K196" s="399" t="s">
        <v>70</v>
      </c>
      <c r="L196" s="399" t="s">
        <v>34</v>
      </c>
      <c r="M196" s="399">
        <v>20</v>
      </c>
      <c r="N196" s="356">
        <v>3777000</v>
      </c>
      <c r="O196" s="28" t="b">
        <v>1</v>
      </c>
    </row>
    <row r="197" spans="2:15" s="28" customFormat="1" ht="16.5" customHeight="1">
      <c r="B197" s="20"/>
      <c r="C197" s="20"/>
      <c r="D197" s="254"/>
      <c r="E197" s="379">
        <v>135249</v>
      </c>
      <c r="F197" s="395" t="s">
        <v>498</v>
      </c>
      <c r="G197" s="401"/>
      <c r="H197" s="402"/>
      <c r="I197" s="383">
        <v>1871000</v>
      </c>
      <c r="J197" s="398">
        <v>135249</v>
      </c>
      <c r="K197" s="399" t="s">
        <v>71</v>
      </c>
      <c r="L197" s="399" t="s">
        <v>34</v>
      </c>
      <c r="M197" s="399">
        <v>180</v>
      </c>
      <c r="N197" s="356">
        <v>2922000</v>
      </c>
      <c r="O197" s="28" t="b">
        <v>1</v>
      </c>
    </row>
    <row r="198" spans="2:15" s="28" customFormat="1" ht="16.5" customHeight="1">
      <c r="B198" s="20"/>
      <c r="C198" s="20"/>
      <c r="D198" s="254"/>
      <c r="E198" s="379">
        <v>135304</v>
      </c>
      <c r="F198" s="395" t="s">
        <v>499</v>
      </c>
      <c r="G198" s="396"/>
      <c r="H198" s="397"/>
      <c r="I198" s="383">
        <v>3473000</v>
      </c>
      <c r="J198" s="398">
        <v>135304</v>
      </c>
      <c r="K198" s="399" t="s">
        <v>71</v>
      </c>
      <c r="L198" s="399" t="s">
        <v>34</v>
      </c>
      <c r="M198" s="399">
        <v>208</v>
      </c>
      <c r="N198" s="356">
        <v>3151000</v>
      </c>
      <c r="O198" s="28" t="b">
        <v>1</v>
      </c>
    </row>
    <row r="199" spans="2:15" s="28" customFormat="1" ht="16.5" customHeight="1">
      <c r="B199" s="20"/>
      <c r="C199" s="20"/>
      <c r="D199" s="254"/>
      <c r="E199" s="379">
        <v>135361</v>
      </c>
      <c r="F199" s="395" t="s">
        <v>296</v>
      </c>
      <c r="G199" s="396"/>
      <c r="H199" s="397"/>
      <c r="I199" s="383">
        <v>317000</v>
      </c>
      <c r="J199" s="398">
        <v>135361</v>
      </c>
      <c r="K199" s="399" t="s">
        <v>70</v>
      </c>
      <c r="L199" s="399" t="s">
        <v>34</v>
      </c>
      <c r="M199" s="399">
        <v>18.899999999999999</v>
      </c>
      <c r="N199" s="356">
        <v>353000</v>
      </c>
      <c r="O199" s="28" t="b">
        <v>1</v>
      </c>
    </row>
    <row r="200" spans="2:15" s="28" customFormat="1" ht="16.5" customHeight="1">
      <c r="B200" s="20"/>
      <c r="C200" s="20"/>
      <c r="D200" s="254"/>
      <c r="E200" s="379">
        <v>135421</v>
      </c>
      <c r="F200" s="395" t="s">
        <v>500</v>
      </c>
      <c r="G200" s="396"/>
      <c r="H200" s="397"/>
      <c r="I200" s="383">
        <v>5049000</v>
      </c>
      <c r="J200" s="398">
        <v>135421</v>
      </c>
      <c r="K200" s="399" t="s">
        <v>71</v>
      </c>
      <c r="L200" s="399" t="s">
        <v>34</v>
      </c>
      <c r="M200" s="399">
        <v>208</v>
      </c>
      <c r="N200" s="356">
        <v>327000</v>
      </c>
      <c r="O200" s="28" t="b">
        <v>1</v>
      </c>
    </row>
    <row r="201" spans="2:15" s="28" customFormat="1" ht="16.5" customHeight="1">
      <c r="B201" s="20"/>
      <c r="C201" s="20"/>
      <c r="D201" s="254"/>
      <c r="E201" s="379">
        <v>135431</v>
      </c>
      <c r="F201" s="395" t="s">
        <v>501</v>
      </c>
      <c r="G201" s="396"/>
      <c r="H201" s="397"/>
      <c r="I201" s="383">
        <v>3873000</v>
      </c>
      <c r="J201" s="398">
        <v>135431</v>
      </c>
      <c r="K201" s="399" t="s">
        <v>71</v>
      </c>
      <c r="L201" s="399" t="s">
        <v>34</v>
      </c>
      <c r="M201" s="399">
        <v>177</v>
      </c>
      <c r="N201" s="356">
        <v>277000</v>
      </c>
      <c r="O201" s="28" t="b">
        <v>1</v>
      </c>
    </row>
    <row r="202" spans="2:15" s="28" customFormat="1" ht="16.5" customHeight="1">
      <c r="B202" s="20"/>
      <c r="C202" s="20"/>
      <c r="D202" s="254"/>
      <c r="E202" s="379">
        <v>135432</v>
      </c>
      <c r="F202" s="395" t="s">
        <v>502</v>
      </c>
      <c r="G202" s="396"/>
      <c r="H202" s="397"/>
      <c r="I202" s="383">
        <v>3962000</v>
      </c>
      <c r="J202" s="398">
        <v>135432</v>
      </c>
      <c r="K202" s="399" t="s">
        <v>71</v>
      </c>
      <c r="L202" s="399" t="s">
        <v>34</v>
      </c>
      <c r="M202" s="399">
        <v>177</v>
      </c>
      <c r="N202" s="356">
        <v>2733000</v>
      </c>
      <c r="O202" s="28" t="b">
        <v>1</v>
      </c>
    </row>
    <row r="203" spans="2:15" s="28" customFormat="1" ht="16.5" customHeight="1">
      <c r="B203" s="20"/>
      <c r="C203" s="20"/>
      <c r="D203" s="254"/>
      <c r="E203" s="379">
        <v>135437</v>
      </c>
      <c r="F203" s="395" t="s">
        <v>503</v>
      </c>
      <c r="G203" s="396"/>
      <c r="H203" s="397"/>
      <c r="I203" s="383">
        <v>3634000</v>
      </c>
      <c r="J203" s="398">
        <v>135437</v>
      </c>
      <c r="K203" s="399" t="s">
        <v>71</v>
      </c>
      <c r="L203" s="399" t="s">
        <v>34</v>
      </c>
      <c r="M203" s="399">
        <v>176.9</v>
      </c>
      <c r="N203" s="356">
        <v>3124000</v>
      </c>
      <c r="O203" s="28" t="b">
        <v>1</v>
      </c>
    </row>
    <row r="204" spans="2:15" s="28" customFormat="1" ht="16.5" customHeight="1">
      <c r="B204" s="20"/>
      <c r="C204" s="20"/>
      <c r="D204" s="254"/>
      <c r="E204" s="379">
        <v>135439</v>
      </c>
      <c r="F204" s="395" t="s">
        <v>504</v>
      </c>
      <c r="G204" s="396"/>
      <c r="H204" s="397"/>
      <c r="I204" s="383">
        <v>4035000</v>
      </c>
      <c r="J204" s="398">
        <v>135439</v>
      </c>
      <c r="K204" s="399" t="s">
        <v>71</v>
      </c>
      <c r="L204" s="399" t="s">
        <v>34</v>
      </c>
      <c r="M204" s="399">
        <v>176.9</v>
      </c>
      <c r="N204" s="356">
        <v>269000</v>
      </c>
      <c r="O204" s="28" t="b">
        <v>1</v>
      </c>
    </row>
    <row r="205" spans="2:15" s="28" customFormat="1" ht="16.5" customHeight="1">
      <c r="B205" s="20"/>
      <c r="C205" s="20"/>
      <c r="D205" s="254"/>
      <c r="E205" s="379">
        <v>135440</v>
      </c>
      <c r="F205" s="395" t="s">
        <v>505</v>
      </c>
      <c r="G205" s="396"/>
      <c r="H205" s="397"/>
      <c r="I205" s="383">
        <v>2915000</v>
      </c>
      <c r="J205" s="398">
        <v>135440</v>
      </c>
      <c r="K205" s="399" t="s">
        <v>71</v>
      </c>
      <c r="L205" s="399" t="s">
        <v>34</v>
      </c>
      <c r="M205" s="399">
        <v>208</v>
      </c>
      <c r="N205" s="356">
        <v>2995000</v>
      </c>
      <c r="O205" s="28" t="b">
        <v>1</v>
      </c>
    </row>
    <row r="206" spans="2:15" s="28" customFormat="1" ht="16.5" customHeight="1">
      <c r="B206" s="20"/>
      <c r="C206" s="20"/>
      <c r="D206" s="254"/>
      <c r="E206" s="379">
        <v>135444</v>
      </c>
      <c r="F206" s="395" t="s">
        <v>507</v>
      </c>
      <c r="G206" s="396"/>
      <c r="H206" s="397"/>
      <c r="I206" s="383">
        <v>4131000</v>
      </c>
      <c r="J206" s="399">
        <v>135444</v>
      </c>
      <c r="K206" s="399" t="s">
        <v>71</v>
      </c>
      <c r="L206" s="399" t="s">
        <v>34</v>
      </c>
      <c r="M206" s="399">
        <v>177</v>
      </c>
      <c r="N206" s="356">
        <v>302000</v>
      </c>
      <c r="O206" s="28" t="b">
        <v>1</v>
      </c>
    </row>
    <row r="207" spans="2:15" s="28" customFormat="1" ht="16.5" customHeight="1">
      <c r="B207" s="20"/>
      <c r="C207" s="20"/>
      <c r="D207" s="254"/>
      <c r="E207" s="379">
        <v>135448</v>
      </c>
      <c r="F207" s="395" t="s">
        <v>508</v>
      </c>
      <c r="G207" s="396"/>
      <c r="H207" s="397"/>
      <c r="I207" s="383">
        <v>3842000</v>
      </c>
      <c r="J207" s="398">
        <v>135448</v>
      </c>
      <c r="K207" s="399" t="s">
        <v>71</v>
      </c>
      <c r="L207" s="399" t="s">
        <v>34</v>
      </c>
      <c r="M207" s="399">
        <v>177</v>
      </c>
      <c r="N207" s="356">
        <v>3255000</v>
      </c>
      <c r="O207" s="28" t="b">
        <v>1</v>
      </c>
    </row>
    <row r="208" spans="2:15" s="28" customFormat="1" ht="16.5" customHeight="1">
      <c r="B208" s="20"/>
      <c r="C208" s="20"/>
      <c r="D208" s="254"/>
      <c r="E208" s="379">
        <v>135449</v>
      </c>
      <c r="F208" s="395" t="s">
        <v>300</v>
      </c>
      <c r="G208" s="396"/>
      <c r="H208" s="397"/>
      <c r="I208" s="383"/>
      <c r="J208" s="398">
        <v>135449</v>
      </c>
      <c r="K208" s="399" t="s">
        <v>73</v>
      </c>
      <c r="L208" s="399" t="s">
        <v>34</v>
      </c>
      <c r="M208" s="399">
        <v>21.1</v>
      </c>
      <c r="N208" s="356">
        <v>3450000</v>
      </c>
      <c r="O208" s="28" t="b">
        <v>1</v>
      </c>
    </row>
    <row r="209" spans="2:15" s="28" customFormat="1" ht="16.5" customHeight="1">
      <c r="B209" s="20"/>
      <c r="C209" s="20"/>
      <c r="D209" s="254"/>
      <c r="E209" s="379">
        <v>135451</v>
      </c>
      <c r="F209" s="395" t="s">
        <v>509</v>
      </c>
      <c r="G209" s="396"/>
      <c r="H209" s="397"/>
      <c r="I209" s="383">
        <v>3847000</v>
      </c>
      <c r="J209" s="398">
        <v>135451</v>
      </c>
      <c r="K209" s="399" t="s">
        <v>71</v>
      </c>
      <c r="L209" s="399" t="s">
        <v>34</v>
      </c>
      <c r="M209" s="399">
        <v>177</v>
      </c>
      <c r="N209" s="356">
        <v>3644000</v>
      </c>
      <c r="O209" s="28" t="b">
        <v>1</v>
      </c>
    </row>
    <row r="210" spans="2:15" s="28" customFormat="1" ht="16.5" customHeight="1">
      <c r="B210" s="20"/>
      <c r="C210" s="20"/>
      <c r="D210" s="254"/>
      <c r="E210" s="379">
        <v>135452</v>
      </c>
      <c r="F210" s="395" t="s">
        <v>510</v>
      </c>
      <c r="G210" s="396"/>
      <c r="H210" s="397"/>
      <c r="I210" s="383">
        <v>2586000</v>
      </c>
      <c r="J210" s="398">
        <v>135452</v>
      </c>
      <c r="K210" s="399" t="s">
        <v>71</v>
      </c>
      <c r="L210" s="399" t="s">
        <v>34</v>
      </c>
      <c r="M210" s="399">
        <v>208</v>
      </c>
      <c r="N210" s="356">
        <v>3124000</v>
      </c>
      <c r="O210" s="28" t="b">
        <v>1</v>
      </c>
    </row>
    <row r="211" spans="2:15" s="28" customFormat="1" ht="16.5" customHeight="1">
      <c r="B211" s="20"/>
      <c r="C211" s="20"/>
      <c r="D211" s="254"/>
      <c r="E211" s="379">
        <v>135453</v>
      </c>
      <c r="F211" s="395" t="s">
        <v>301</v>
      </c>
      <c r="G211" s="396"/>
      <c r="H211" s="397"/>
      <c r="I211" s="383">
        <v>262000</v>
      </c>
      <c r="J211" s="398">
        <v>135453</v>
      </c>
      <c r="K211" s="399" t="s">
        <v>70</v>
      </c>
      <c r="L211" s="399" t="s">
        <v>34</v>
      </c>
      <c r="M211" s="399">
        <v>18.899999999999999</v>
      </c>
      <c r="N211" s="356">
        <v>315000</v>
      </c>
      <c r="O211" s="28" t="b">
        <v>1</v>
      </c>
    </row>
    <row r="212" spans="2:15" s="28" customFormat="1" ht="16.5" customHeight="1">
      <c r="B212" s="20"/>
      <c r="C212" s="20"/>
      <c r="D212" s="254"/>
      <c r="E212" s="379">
        <v>135454</v>
      </c>
      <c r="F212" s="395" t="s">
        <v>511</v>
      </c>
      <c r="G212" s="396"/>
      <c r="H212" s="397"/>
      <c r="I212" s="383">
        <v>2602000</v>
      </c>
      <c r="J212" s="398">
        <v>135454</v>
      </c>
      <c r="K212" s="399" t="s">
        <v>71</v>
      </c>
      <c r="L212" s="399" t="s">
        <v>34</v>
      </c>
      <c r="M212" s="399">
        <v>208</v>
      </c>
      <c r="N212" s="356">
        <v>346000</v>
      </c>
      <c r="O212" s="28" t="b">
        <v>1</v>
      </c>
    </row>
    <row r="213" spans="2:15" s="28" customFormat="1" ht="16.5" customHeight="1">
      <c r="B213" s="20"/>
      <c r="C213" s="20"/>
      <c r="D213" s="254"/>
      <c r="E213" s="379">
        <v>135455</v>
      </c>
      <c r="F213" s="395" t="s">
        <v>302</v>
      </c>
      <c r="G213" s="396"/>
      <c r="H213" s="397"/>
      <c r="I213" s="383">
        <v>282000</v>
      </c>
      <c r="J213" s="398">
        <v>135455</v>
      </c>
      <c r="K213" s="399" t="s">
        <v>70</v>
      </c>
      <c r="L213" s="399" t="s">
        <v>34</v>
      </c>
      <c r="M213" s="399">
        <v>18.899999999999999</v>
      </c>
      <c r="N213" s="356">
        <v>1871000</v>
      </c>
      <c r="O213" s="28" t="b">
        <v>1</v>
      </c>
    </row>
    <row r="214" spans="2:15" s="28" customFormat="1" ht="16.5" customHeight="1">
      <c r="B214" s="20"/>
      <c r="C214" s="20"/>
      <c r="D214" s="254"/>
      <c r="E214" s="379">
        <v>135456</v>
      </c>
      <c r="F214" s="395" t="s">
        <v>512</v>
      </c>
      <c r="G214" s="396"/>
      <c r="H214" s="397"/>
      <c r="I214" s="383">
        <v>2995000</v>
      </c>
      <c r="J214" s="398">
        <v>135456</v>
      </c>
      <c r="K214" s="399" t="s">
        <v>71</v>
      </c>
      <c r="L214" s="399" t="s">
        <v>34</v>
      </c>
      <c r="M214" s="399">
        <v>208</v>
      </c>
      <c r="N214" s="356">
        <v>3473000</v>
      </c>
      <c r="O214" s="28" t="b">
        <v>1</v>
      </c>
    </row>
    <row r="215" spans="2:15" s="28" customFormat="1" ht="16.5" customHeight="1">
      <c r="B215" s="20"/>
      <c r="C215" s="20"/>
      <c r="D215" s="254"/>
      <c r="E215" s="379">
        <v>135457</v>
      </c>
      <c r="F215" s="395" t="s">
        <v>303</v>
      </c>
      <c r="G215" s="396"/>
      <c r="H215" s="397"/>
      <c r="I215" s="383">
        <v>287000</v>
      </c>
      <c r="J215" s="398">
        <v>135457</v>
      </c>
      <c r="K215" s="399" t="s">
        <v>70</v>
      </c>
      <c r="L215" s="399" t="s">
        <v>34</v>
      </c>
      <c r="M215" s="399">
        <v>18.899999999999999</v>
      </c>
      <c r="N215" s="356">
        <v>317000</v>
      </c>
      <c r="O215" s="28" t="b">
        <v>1</v>
      </c>
    </row>
    <row r="216" spans="2:15" s="28" customFormat="1" ht="16.5" customHeight="1">
      <c r="B216" s="20"/>
      <c r="C216" s="20"/>
      <c r="D216" s="254"/>
      <c r="E216" s="379">
        <v>135458</v>
      </c>
      <c r="F216" s="395" t="s">
        <v>420</v>
      </c>
      <c r="G216" s="396"/>
      <c r="H216" s="397"/>
      <c r="I216" s="383">
        <v>2763000</v>
      </c>
      <c r="J216" s="398">
        <v>135458</v>
      </c>
      <c r="K216" s="399" t="s">
        <v>71</v>
      </c>
      <c r="L216" s="399" t="s">
        <v>34</v>
      </c>
      <c r="M216" s="399">
        <v>208</v>
      </c>
      <c r="N216" s="356">
        <v>5049000</v>
      </c>
      <c r="O216" s="28" t="b">
        <v>1</v>
      </c>
    </row>
    <row r="217" spans="2:15" s="28" customFormat="1" ht="16.5" customHeight="1">
      <c r="B217" s="20"/>
      <c r="C217" s="20"/>
      <c r="D217" s="254"/>
      <c r="E217" s="379">
        <v>135460</v>
      </c>
      <c r="F217" s="395" t="s">
        <v>304</v>
      </c>
      <c r="G217" s="396"/>
      <c r="H217" s="397"/>
      <c r="I217" s="383">
        <v>337000</v>
      </c>
      <c r="J217" s="398">
        <v>135460</v>
      </c>
      <c r="K217" s="399" t="s">
        <v>70</v>
      </c>
      <c r="L217" s="399" t="s">
        <v>34</v>
      </c>
      <c r="M217" s="399">
        <v>18.899999999999999</v>
      </c>
      <c r="N217" s="356">
        <v>3873000</v>
      </c>
      <c r="O217" s="28" t="b">
        <v>1</v>
      </c>
    </row>
    <row r="218" spans="2:15" s="28" customFormat="1" ht="16.5" customHeight="1">
      <c r="B218" s="20"/>
      <c r="C218" s="20"/>
      <c r="D218" s="254"/>
      <c r="E218" s="379">
        <v>135461</v>
      </c>
      <c r="F218" s="395" t="s">
        <v>513</v>
      </c>
      <c r="G218" s="396"/>
      <c r="H218" s="397"/>
      <c r="I218" s="383">
        <v>3255000</v>
      </c>
      <c r="J218" s="398">
        <v>135461</v>
      </c>
      <c r="K218" s="399" t="s">
        <v>71</v>
      </c>
      <c r="L218" s="399" t="s">
        <v>34</v>
      </c>
      <c r="M218" s="399">
        <v>208</v>
      </c>
      <c r="N218" s="356">
        <v>3962000</v>
      </c>
      <c r="O218" s="28" t="b">
        <v>1</v>
      </c>
    </row>
    <row r="219" spans="2:15" s="28" customFormat="1" ht="16.5" customHeight="1">
      <c r="B219" s="20"/>
      <c r="C219" s="20"/>
      <c r="D219" s="254"/>
      <c r="E219" s="379">
        <v>135462</v>
      </c>
      <c r="F219" s="395" t="s">
        <v>305</v>
      </c>
      <c r="G219" s="396"/>
      <c r="H219" s="397"/>
      <c r="I219" s="383">
        <v>351000</v>
      </c>
      <c r="J219" s="398">
        <v>135462</v>
      </c>
      <c r="K219" s="399" t="s">
        <v>70</v>
      </c>
      <c r="L219" s="399" t="s">
        <v>34</v>
      </c>
      <c r="M219" s="399">
        <v>18.899999999999999</v>
      </c>
      <c r="N219" s="356">
        <v>3634000</v>
      </c>
      <c r="O219" s="28" t="b">
        <v>1</v>
      </c>
    </row>
    <row r="220" spans="2:15" s="28" customFormat="1" ht="16.5" customHeight="1">
      <c r="B220" s="20"/>
      <c r="C220" s="20"/>
      <c r="D220" s="254"/>
      <c r="E220" s="379">
        <v>135463</v>
      </c>
      <c r="F220" s="395" t="s">
        <v>514</v>
      </c>
      <c r="G220" s="396"/>
      <c r="H220" s="397"/>
      <c r="I220" s="383">
        <v>3383000</v>
      </c>
      <c r="J220" s="398">
        <v>135463</v>
      </c>
      <c r="K220" s="399" t="s">
        <v>71</v>
      </c>
      <c r="L220" s="399" t="s">
        <v>34</v>
      </c>
      <c r="M220" s="399">
        <v>208</v>
      </c>
      <c r="N220" s="356">
        <v>4035000</v>
      </c>
      <c r="O220" s="28" t="b">
        <v>1</v>
      </c>
    </row>
    <row r="221" spans="2:15" s="28" customFormat="1" ht="16.5" customHeight="1">
      <c r="B221" s="20"/>
      <c r="C221" s="20"/>
      <c r="D221" s="254"/>
      <c r="E221" s="379">
        <v>135464</v>
      </c>
      <c r="F221" s="395" t="s">
        <v>306</v>
      </c>
      <c r="G221" s="396"/>
      <c r="H221" s="397"/>
      <c r="I221" s="383">
        <v>364000</v>
      </c>
      <c r="J221" s="398">
        <v>135464</v>
      </c>
      <c r="K221" s="399" t="s">
        <v>70</v>
      </c>
      <c r="L221" s="399" t="s">
        <v>34</v>
      </c>
      <c r="M221" s="399">
        <v>18.899999999999999</v>
      </c>
      <c r="N221" s="356">
        <v>2915000</v>
      </c>
      <c r="O221" s="28" t="b">
        <v>1</v>
      </c>
    </row>
    <row r="222" spans="2:15" s="28" customFormat="1" ht="16.5" customHeight="1">
      <c r="B222" s="20"/>
      <c r="C222" s="20"/>
      <c r="D222" s="254"/>
      <c r="E222" s="379">
        <v>135488</v>
      </c>
      <c r="F222" s="395" t="s">
        <v>240</v>
      </c>
      <c r="G222" s="396"/>
      <c r="H222" s="397"/>
      <c r="I222" s="383">
        <v>47600</v>
      </c>
      <c r="J222" s="398">
        <v>135488</v>
      </c>
      <c r="K222" s="399" t="s">
        <v>70</v>
      </c>
      <c r="L222" s="399" t="s">
        <v>34</v>
      </c>
      <c r="M222" s="399">
        <v>20</v>
      </c>
      <c r="N222" s="356">
        <v>4131000</v>
      </c>
      <c r="O222" s="28" t="b">
        <v>1</v>
      </c>
    </row>
    <row r="223" spans="2:15" s="28" customFormat="1" ht="16.5" customHeight="1">
      <c r="B223" s="20"/>
      <c r="C223" s="20"/>
      <c r="D223" s="254"/>
      <c r="E223" s="379">
        <v>135542</v>
      </c>
      <c r="F223" s="395" t="s">
        <v>307</v>
      </c>
      <c r="G223" s="396"/>
      <c r="H223" s="397"/>
      <c r="I223" s="383">
        <v>69500</v>
      </c>
      <c r="J223" s="398">
        <v>135542</v>
      </c>
      <c r="K223" s="399" t="s">
        <v>70</v>
      </c>
      <c r="L223" s="399" t="s">
        <v>34</v>
      </c>
      <c r="M223" s="399">
        <v>20</v>
      </c>
      <c r="N223" s="356">
        <v>3842000</v>
      </c>
      <c r="O223" s="28" t="b">
        <v>1</v>
      </c>
    </row>
    <row r="224" spans="2:15" s="28" customFormat="1" ht="16.5" customHeight="1">
      <c r="B224" s="20"/>
      <c r="C224" s="20"/>
      <c r="D224" s="254"/>
      <c r="E224" s="379">
        <v>135627</v>
      </c>
      <c r="F224" s="395" t="s">
        <v>36</v>
      </c>
      <c r="G224" s="396"/>
      <c r="H224" s="397"/>
      <c r="I224" s="383">
        <v>4915000</v>
      </c>
      <c r="J224" s="398">
        <v>135627</v>
      </c>
      <c r="K224" s="399" t="s">
        <v>71</v>
      </c>
      <c r="L224" s="399" t="s">
        <v>34</v>
      </c>
      <c r="M224" s="399">
        <v>175</v>
      </c>
      <c r="N224" s="356" t="e">
        <v>#N/A</v>
      </c>
      <c r="O224" s="28" t="e">
        <v>#N/A</v>
      </c>
    </row>
    <row r="225" spans="2:15" s="28" customFormat="1" ht="16.5" customHeight="1">
      <c r="B225" s="20"/>
      <c r="C225" s="20"/>
      <c r="D225" s="254"/>
      <c r="E225" s="379">
        <v>135836</v>
      </c>
      <c r="F225" s="395" t="s">
        <v>66</v>
      </c>
      <c r="G225" s="396"/>
      <c r="H225" s="397"/>
      <c r="I225" s="383">
        <v>3321000</v>
      </c>
      <c r="J225" s="398">
        <v>135836</v>
      </c>
      <c r="K225" s="399" t="s">
        <v>71</v>
      </c>
      <c r="L225" s="399" t="s">
        <v>34</v>
      </c>
      <c r="M225" s="399">
        <v>208</v>
      </c>
      <c r="N225" s="356">
        <v>3847000</v>
      </c>
      <c r="O225" s="28" t="b">
        <v>1</v>
      </c>
    </row>
    <row r="226" spans="2:15" s="28" customFormat="1" ht="16.5" customHeight="1">
      <c r="B226" s="20"/>
      <c r="C226" s="20"/>
      <c r="D226" s="254"/>
      <c r="E226" s="379">
        <v>135877</v>
      </c>
      <c r="F226" s="395" t="s">
        <v>308</v>
      </c>
      <c r="G226" s="396"/>
      <c r="H226" s="397"/>
      <c r="I226" s="383">
        <v>474000</v>
      </c>
      <c r="J226" s="398">
        <v>135877</v>
      </c>
      <c r="K226" s="399" t="s">
        <v>70</v>
      </c>
      <c r="L226" s="399" t="s">
        <v>34</v>
      </c>
      <c r="M226" s="399">
        <v>20</v>
      </c>
      <c r="N226" s="356">
        <v>2586000</v>
      </c>
      <c r="O226" s="28" t="b">
        <v>1</v>
      </c>
    </row>
    <row r="227" spans="2:15" s="28" customFormat="1" ht="16.5" customHeight="1">
      <c r="B227" s="20"/>
      <c r="C227" s="20"/>
      <c r="D227" s="254"/>
      <c r="E227" s="379">
        <v>135916</v>
      </c>
      <c r="F227" s="395" t="s">
        <v>516</v>
      </c>
      <c r="G227" s="396"/>
      <c r="H227" s="397"/>
      <c r="I227" s="383">
        <v>547000</v>
      </c>
      <c r="J227" s="398">
        <v>135916</v>
      </c>
      <c r="K227" s="399" t="s">
        <v>71</v>
      </c>
      <c r="L227" s="399" t="s">
        <v>34</v>
      </c>
      <c r="M227" s="399">
        <v>200</v>
      </c>
      <c r="N227" s="356">
        <v>262000</v>
      </c>
      <c r="O227" s="28" t="b">
        <v>1</v>
      </c>
    </row>
    <row r="228" spans="2:15" s="28" customFormat="1" ht="16.5" customHeight="1">
      <c r="B228" s="20"/>
      <c r="C228" s="20"/>
      <c r="D228" s="254"/>
      <c r="E228" s="379">
        <v>148680</v>
      </c>
      <c r="F228" s="395" t="s">
        <v>45</v>
      </c>
      <c r="G228" s="396"/>
      <c r="H228" s="397"/>
      <c r="I228" s="383">
        <v>850000</v>
      </c>
      <c r="J228" s="398">
        <v>148680</v>
      </c>
      <c r="K228" s="399" t="s">
        <v>71</v>
      </c>
      <c r="L228" s="399" t="s">
        <v>34</v>
      </c>
      <c r="M228" s="399">
        <v>208</v>
      </c>
      <c r="N228" s="356">
        <v>2602000</v>
      </c>
      <c r="O228" s="28" t="b">
        <v>1</v>
      </c>
    </row>
    <row r="229" spans="2:15" s="28" customFormat="1" ht="16.5" customHeight="1">
      <c r="B229" s="20"/>
      <c r="C229" s="20"/>
      <c r="D229" s="254"/>
      <c r="E229" s="379">
        <v>135934</v>
      </c>
      <c r="F229" s="395" t="s">
        <v>309</v>
      </c>
      <c r="G229" s="396"/>
      <c r="H229" s="397"/>
      <c r="I229" s="383">
        <v>183000</v>
      </c>
      <c r="J229" s="398">
        <v>135934</v>
      </c>
      <c r="K229" s="399" t="s">
        <v>70</v>
      </c>
      <c r="L229" s="399" t="s">
        <v>34</v>
      </c>
      <c r="M229" s="399">
        <v>16</v>
      </c>
      <c r="N229" s="356">
        <v>282000</v>
      </c>
      <c r="O229" s="28" t="b">
        <v>1</v>
      </c>
    </row>
    <row r="230" spans="2:15" s="28" customFormat="1" ht="16.5" customHeight="1">
      <c r="B230" s="20"/>
      <c r="C230" s="20"/>
      <c r="D230" s="254"/>
      <c r="E230" s="379">
        <v>135935</v>
      </c>
      <c r="F230" s="395" t="s">
        <v>517</v>
      </c>
      <c r="G230" s="401"/>
      <c r="H230" s="402"/>
      <c r="I230" s="383">
        <v>1871000</v>
      </c>
      <c r="J230" s="398">
        <v>135935</v>
      </c>
      <c r="K230" s="399" t="s">
        <v>71</v>
      </c>
      <c r="L230" s="399" t="s">
        <v>34</v>
      </c>
      <c r="M230" s="399">
        <v>180</v>
      </c>
      <c r="N230" s="356">
        <v>2995000</v>
      </c>
      <c r="O230" s="28" t="b">
        <v>1</v>
      </c>
    </row>
    <row r="231" spans="2:15" s="28" customFormat="1" ht="16.5" customHeight="1">
      <c r="B231" s="20"/>
      <c r="C231" s="20"/>
      <c r="D231" s="254"/>
      <c r="E231" s="379">
        <v>148676</v>
      </c>
      <c r="F231" s="395" t="s">
        <v>520</v>
      </c>
      <c r="G231" s="396"/>
      <c r="H231" s="397"/>
      <c r="I231" s="383">
        <v>645000</v>
      </c>
      <c r="J231" s="398">
        <v>148676</v>
      </c>
      <c r="K231" s="399" t="s">
        <v>71</v>
      </c>
      <c r="L231" s="399" t="s">
        <v>34</v>
      </c>
      <c r="M231" s="399">
        <v>208</v>
      </c>
      <c r="N231" s="356">
        <v>287000</v>
      </c>
      <c r="O231" s="28" t="b">
        <v>1</v>
      </c>
    </row>
    <row r="232" spans="2:15" s="28" customFormat="1" ht="16.5" customHeight="1">
      <c r="B232" s="20"/>
      <c r="C232" s="20"/>
      <c r="D232" s="254"/>
      <c r="E232" s="379">
        <v>136130</v>
      </c>
      <c r="F232" s="395" t="s">
        <v>311</v>
      </c>
      <c r="G232" s="396"/>
      <c r="H232" s="397"/>
      <c r="I232" s="383">
        <v>198000</v>
      </c>
      <c r="J232" s="398">
        <v>136130</v>
      </c>
      <c r="K232" s="399" t="s">
        <v>70</v>
      </c>
      <c r="L232" s="399" t="s">
        <v>34</v>
      </c>
      <c r="M232" s="399">
        <v>16</v>
      </c>
      <c r="N232" s="356">
        <v>2763000</v>
      </c>
      <c r="O232" s="28" t="b">
        <v>1</v>
      </c>
    </row>
    <row r="233" spans="2:15" s="28" customFormat="1" ht="16.5" customHeight="1">
      <c r="B233" s="20"/>
      <c r="C233" s="20"/>
      <c r="D233" s="254"/>
      <c r="E233" s="379">
        <v>136131</v>
      </c>
      <c r="F233" s="395" t="s">
        <v>521</v>
      </c>
      <c r="G233" s="396"/>
      <c r="H233" s="397"/>
      <c r="I233" s="383">
        <v>2166000</v>
      </c>
      <c r="J233" s="398">
        <v>136131</v>
      </c>
      <c r="K233" s="399" t="s">
        <v>71</v>
      </c>
      <c r="L233" s="399" t="s">
        <v>34</v>
      </c>
      <c r="M233" s="399">
        <v>180</v>
      </c>
      <c r="N233" s="356">
        <v>337000</v>
      </c>
      <c r="O233" s="28" t="b">
        <v>1</v>
      </c>
    </row>
    <row r="234" spans="2:15" s="28" customFormat="1" ht="16.5" customHeight="1">
      <c r="B234" s="20"/>
      <c r="C234" s="20"/>
      <c r="D234" s="254"/>
      <c r="E234" s="379">
        <v>136132</v>
      </c>
      <c r="F234" s="395" t="s">
        <v>312</v>
      </c>
      <c r="G234" s="396"/>
      <c r="H234" s="397"/>
      <c r="I234" s="383">
        <v>198000</v>
      </c>
      <c r="J234" s="398">
        <v>136132</v>
      </c>
      <c r="K234" s="399" t="s">
        <v>70</v>
      </c>
      <c r="L234" s="399" t="s">
        <v>34</v>
      </c>
      <c r="M234" s="399">
        <v>16</v>
      </c>
      <c r="N234" s="356">
        <v>3255000</v>
      </c>
      <c r="O234" s="28" t="b">
        <v>1</v>
      </c>
    </row>
    <row r="235" spans="2:15" s="28" customFormat="1" ht="16.5" customHeight="1">
      <c r="B235" s="20"/>
      <c r="C235" s="20"/>
      <c r="D235" s="254"/>
      <c r="E235" s="379">
        <v>136133</v>
      </c>
      <c r="F235" s="395" t="s">
        <v>522</v>
      </c>
      <c r="G235" s="396"/>
      <c r="H235" s="397"/>
      <c r="I235" s="383">
        <v>2222000</v>
      </c>
      <c r="J235" s="398">
        <v>136133</v>
      </c>
      <c r="K235" s="399" t="s">
        <v>71</v>
      </c>
      <c r="L235" s="399" t="s">
        <v>34</v>
      </c>
      <c r="M235" s="399">
        <v>180</v>
      </c>
      <c r="N235" s="356">
        <v>351000</v>
      </c>
      <c r="O235" s="28" t="b">
        <v>1</v>
      </c>
    </row>
    <row r="236" spans="2:15" s="28" customFormat="1" ht="16.5" customHeight="1">
      <c r="B236" s="20"/>
      <c r="C236" s="20"/>
      <c r="D236" s="254"/>
      <c r="E236" s="379">
        <v>136141</v>
      </c>
      <c r="F236" s="395" t="s">
        <v>523</v>
      </c>
      <c r="G236" s="396"/>
      <c r="H236" s="397"/>
      <c r="I236" s="383">
        <v>3527000</v>
      </c>
      <c r="J236" s="398">
        <v>136141</v>
      </c>
      <c r="K236" s="399" t="s">
        <v>71</v>
      </c>
      <c r="L236" s="399" t="s">
        <v>34</v>
      </c>
      <c r="M236" s="399">
        <v>181</v>
      </c>
      <c r="N236" s="356">
        <v>3383000</v>
      </c>
      <c r="O236" s="28" t="b">
        <v>1</v>
      </c>
    </row>
    <row r="237" spans="2:15" s="28" customFormat="1" ht="16.5" customHeight="1">
      <c r="B237" s="20"/>
      <c r="C237" s="20"/>
      <c r="D237" s="254"/>
      <c r="E237" s="379">
        <v>136159</v>
      </c>
      <c r="F237" s="395" t="s">
        <v>525</v>
      </c>
      <c r="G237" s="396"/>
      <c r="H237" s="397"/>
      <c r="I237" s="383">
        <v>4607000</v>
      </c>
      <c r="J237" s="398">
        <v>136159</v>
      </c>
      <c r="K237" s="399" t="s">
        <v>71</v>
      </c>
      <c r="L237" s="399" t="s">
        <v>34</v>
      </c>
      <c r="M237" s="399">
        <v>208</v>
      </c>
      <c r="N237" s="356">
        <v>364000</v>
      </c>
      <c r="O237" s="28" t="b">
        <v>1</v>
      </c>
    </row>
    <row r="238" spans="2:15" s="28" customFormat="1" ht="16.5" customHeight="1">
      <c r="B238" s="20"/>
      <c r="C238" s="20"/>
      <c r="D238" s="254"/>
      <c r="E238" s="379">
        <v>136174</v>
      </c>
      <c r="F238" s="395" t="s">
        <v>526</v>
      </c>
      <c r="G238" s="396"/>
      <c r="H238" s="397"/>
      <c r="I238" s="383">
        <v>630000</v>
      </c>
      <c r="J238" s="398">
        <v>136174</v>
      </c>
      <c r="K238" s="399" t="s">
        <v>71</v>
      </c>
      <c r="L238" s="399" t="s">
        <v>34</v>
      </c>
      <c r="M238" s="399">
        <v>200</v>
      </c>
      <c r="N238" s="356">
        <v>47600</v>
      </c>
      <c r="O238" s="28" t="b">
        <v>1</v>
      </c>
    </row>
    <row r="239" spans="2:15" s="28" customFormat="1" ht="16.5" customHeight="1">
      <c r="B239" s="20"/>
      <c r="C239" s="20"/>
      <c r="D239" s="254"/>
      <c r="E239" s="379">
        <v>136235</v>
      </c>
      <c r="F239" s="395" t="s">
        <v>739</v>
      </c>
      <c r="G239" s="396"/>
      <c r="H239" s="397"/>
      <c r="I239" s="383">
        <v>858000</v>
      </c>
      <c r="J239" s="398">
        <v>136235</v>
      </c>
      <c r="K239" s="399" t="s">
        <v>71</v>
      </c>
      <c r="L239" s="399" t="s">
        <v>34</v>
      </c>
      <c r="M239" s="399">
        <v>208</v>
      </c>
      <c r="N239" s="356">
        <v>69500</v>
      </c>
      <c r="O239" s="28" t="b">
        <v>1</v>
      </c>
    </row>
    <row r="240" spans="2:15" s="28" customFormat="1" ht="16.5" customHeight="1">
      <c r="B240" s="20"/>
      <c r="C240" s="20"/>
      <c r="D240" s="254"/>
      <c r="E240" s="379">
        <v>148678</v>
      </c>
      <c r="F240" s="395" t="s">
        <v>527</v>
      </c>
      <c r="G240" s="396"/>
      <c r="H240" s="397"/>
      <c r="I240" s="383">
        <v>645000</v>
      </c>
      <c r="J240" s="398">
        <v>148678</v>
      </c>
      <c r="K240" s="399" t="s">
        <v>71</v>
      </c>
      <c r="L240" s="399" t="s">
        <v>34</v>
      </c>
      <c r="M240" s="399">
        <v>208</v>
      </c>
      <c r="N240" s="356">
        <v>4915000</v>
      </c>
      <c r="O240" s="28" t="b">
        <v>1</v>
      </c>
    </row>
    <row r="241" spans="2:15" s="28" customFormat="1" ht="16.5" customHeight="1">
      <c r="B241" s="20"/>
      <c r="C241" s="20"/>
      <c r="D241" s="254"/>
      <c r="E241" s="379">
        <v>143561</v>
      </c>
      <c r="F241" s="395" t="s">
        <v>558</v>
      </c>
      <c r="G241" s="396"/>
      <c r="H241" s="397"/>
      <c r="I241" s="383">
        <v>728000</v>
      </c>
      <c r="J241" s="398">
        <v>138959</v>
      </c>
      <c r="K241" s="399" t="s">
        <v>71</v>
      </c>
      <c r="L241" s="399" t="s">
        <v>34</v>
      </c>
      <c r="M241" s="399">
        <v>200</v>
      </c>
      <c r="N241" s="356">
        <v>3321000</v>
      </c>
      <c r="O241" s="28" t="b">
        <v>1</v>
      </c>
    </row>
    <row r="242" spans="2:15" s="28" customFormat="1" ht="16.5" customHeight="1">
      <c r="B242" s="20"/>
      <c r="C242" s="20"/>
      <c r="D242" s="254"/>
      <c r="E242" s="379">
        <v>143560</v>
      </c>
      <c r="F242" s="395" t="s">
        <v>559</v>
      </c>
      <c r="G242" s="396"/>
      <c r="H242" s="397"/>
      <c r="I242" s="383">
        <v>728000</v>
      </c>
      <c r="J242" s="398">
        <v>138960</v>
      </c>
      <c r="K242" s="399" t="s">
        <v>71</v>
      </c>
      <c r="L242" s="399" t="s">
        <v>34</v>
      </c>
      <c r="M242" s="399">
        <v>200</v>
      </c>
      <c r="N242" s="356">
        <v>474000</v>
      </c>
      <c r="O242" s="28" t="b">
        <v>1</v>
      </c>
    </row>
    <row r="243" spans="2:15" s="28" customFormat="1" ht="16.5" customHeight="1">
      <c r="B243" s="20"/>
      <c r="C243" s="20"/>
      <c r="D243" s="254"/>
      <c r="E243" s="379">
        <v>141666</v>
      </c>
      <c r="F243" s="395" t="s">
        <v>560</v>
      </c>
      <c r="G243" s="396"/>
      <c r="H243" s="397"/>
      <c r="I243" s="383">
        <v>755000</v>
      </c>
      <c r="J243" s="398">
        <v>138961</v>
      </c>
      <c r="K243" s="399" t="s">
        <v>71</v>
      </c>
      <c r="L243" s="399" t="s">
        <v>34</v>
      </c>
      <c r="M243" s="399">
        <v>200</v>
      </c>
      <c r="N243" s="356">
        <v>547000</v>
      </c>
      <c r="O243" s="28" t="b">
        <v>1</v>
      </c>
    </row>
    <row r="244" spans="2:15" s="28" customFormat="1" ht="16.5" customHeight="1">
      <c r="B244" s="20"/>
      <c r="C244" s="20"/>
      <c r="D244" s="254"/>
      <c r="E244" s="379">
        <v>138963</v>
      </c>
      <c r="F244" s="395" t="s">
        <v>562</v>
      </c>
      <c r="G244" s="396"/>
      <c r="H244" s="397"/>
      <c r="I244" s="383">
        <v>755000</v>
      </c>
      <c r="J244" s="398">
        <v>138963</v>
      </c>
      <c r="K244" s="399" t="s">
        <v>71</v>
      </c>
      <c r="L244" s="399" t="s">
        <v>34</v>
      </c>
      <c r="M244" s="399">
        <v>200</v>
      </c>
      <c r="N244" s="356">
        <v>850000</v>
      </c>
      <c r="O244" s="28" t="b">
        <v>1</v>
      </c>
    </row>
    <row r="245" spans="2:15" s="28" customFormat="1" ht="16.5" customHeight="1">
      <c r="B245" s="20"/>
      <c r="C245" s="20"/>
      <c r="D245" s="254"/>
      <c r="E245" s="379">
        <v>138964</v>
      </c>
      <c r="F245" s="395" t="s">
        <v>315</v>
      </c>
      <c r="G245" s="396"/>
      <c r="H245" s="397"/>
      <c r="I245" s="383">
        <v>79600</v>
      </c>
      <c r="J245" s="398">
        <v>138964</v>
      </c>
      <c r="K245" s="399" t="s">
        <v>70</v>
      </c>
      <c r="L245" s="399" t="s">
        <v>34</v>
      </c>
      <c r="M245" s="399">
        <v>20</v>
      </c>
      <c r="N245" s="356">
        <v>183000</v>
      </c>
      <c r="O245" s="28" t="b">
        <v>1</v>
      </c>
    </row>
    <row r="246" spans="2:15" s="28" customFormat="1" ht="16.5" customHeight="1">
      <c r="B246" s="20"/>
      <c r="C246" s="20"/>
      <c r="D246" s="254"/>
      <c r="E246" s="379">
        <v>136234</v>
      </c>
      <c r="F246" s="395" t="s">
        <v>316</v>
      </c>
      <c r="G246" s="396"/>
      <c r="H246" s="397"/>
      <c r="I246" s="383">
        <v>94600</v>
      </c>
      <c r="J246" s="398">
        <v>138980</v>
      </c>
      <c r="K246" s="399" t="s">
        <v>70</v>
      </c>
      <c r="L246" s="399" t="s">
        <v>34</v>
      </c>
      <c r="M246" s="399">
        <v>20</v>
      </c>
      <c r="N246" s="356">
        <v>1871000</v>
      </c>
      <c r="O246" s="28" t="b">
        <v>1</v>
      </c>
    </row>
    <row r="247" spans="2:15" s="28" customFormat="1" ht="16.5" customHeight="1">
      <c r="B247" s="20"/>
      <c r="C247" s="20"/>
      <c r="D247" s="254"/>
      <c r="E247" s="379">
        <v>139023</v>
      </c>
      <c r="F247" s="395" t="s">
        <v>569</v>
      </c>
      <c r="G247" s="396"/>
      <c r="H247" s="397"/>
      <c r="I247" s="383">
        <v>893000</v>
      </c>
      <c r="J247" s="398">
        <v>139023</v>
      </c>
      <c r="K247" s="399" t="s">
        <v>71</v>
      </c>
      <c r="L247" s="399" t="s">
        <v>34</v>
      </c>
      <c r="M247" s="399">
        <v>200</v>
      </c>
      <c r="N247" s="356">
        <v>645000</v>
      </c>
      <c r="O247" s="28" t="b">
        <v>1</v>
      </c>
    </row>
    <row r="248" spans="2:15" s="28" customFormat="1" ht="16.5" customHeight="1">
      <c r="B248" s="20"/>
      <c r="C248" s="20"/>
      <c r="D248" s="254"/>
      <c r="E248" s="379">
        <v>139026</v>
      </c>
      <c r="F248" s="395" t="s">
        <v>571</v>
      </c>
      <c r="G248" s="396"/>
      <c r="H248" s="397"/>
      <c r="I248" s="383">
        <v>670000</v>
      </c>
      <c r="J248" s="398">
        <v>139026</v>
      </c>
      <c r="K248" s="399" t="s">
        <v>71</v>
      </c>
      <c r="L248" s="399" t="s">
        <v>34</v>
      </c>
      <c r="M248" s="399">
        <v>200</v>
      </c>
      <c r="N248" s="356">
        <v>198000</v>
      </c>
      <c r="O248" s="28" t="b">
        <v>1</v>
      </c>
    </row>
    <row r="249" spans="2:15" s="28" customFormat="1" ht="16.5" customHeight="1">
      <c r="B249" s="20"/>
      <c r="C249" s="20"/>
      <c r="D249" s="254"/>
      <c r="E249" s="379">
        <v>139027</v>
      </c>
      <c r="F249" s="395" t="s">
        <v>572</v>
      </c>
      <c r="G249" s="396"/>
      <c r="H249" s="397"/>
      <c r="I249" s="383">
        <v>749000</v>
      </c>
      <c r="J249" s="398">
        <v>139027</v>
      </c>
      <c r="K249" s="399" t="s">
        <v>71</v>
      </c>
      <c r="L249" s="399" t="s">
        <v>34</v>
      </c>
      <c r="M249" s="399">
        <v>200</v>
      </c>
      <c r="N249" s="356">
        <v>2166000</v>
      </c>
      <c r="O249" s="28" t="b">
        <v>1</v>
      </c>
    </row>
    <row r="250" spans="2:15" s="28" customFormat="1" ht="16.5" customHeight="1">
      <c r="B250" s="20"/>
      <c r="C250" s="20"/>
      <c r="D250" s="254"/>
      <c r="E250" s="379">
        <v>139028</v>
      </c>
      <c r="F250" s="395" t="s">
        <v>573</v>
      </c>
      <c r="G250" s="396"/>
      <c r="H250" s="397"/>
      <c r="I250" s="383">
        <v>893000</v>
      </c>
      <c r="J250" s="398">
        <v>139028</v>
      </c>
      <c r="K250" s="399" t="s">
        <v>71</v>
      </c>
      <c r="L250" s="399" t="s">
        <v>34</v>
      </c>
      <c r="M250" s="399">
        <v>200</v>
      </c>
      <c r="N250" s="356">
        <v>198000</v>
      </c>
      <c r="O250" s="28" t="b">
        <v>1</v>
      </c>
    </row>
    <row r="251" spans="2:15" s="28" customFormat="1" ht="16.5" customHeight="1">
      <c r="B251" s="20"/>
      <c r="C251" s="20"/>
      <c r="D251" s="254"/>
      <c r="E251" s="379">
        <v>139029</v>
      </c>
      <c r="F251" s="395" t="s">
        <v>574</v>
      </c>
      <c r="G251" s="396"/>
      <c r="H251" s="397"/>
      <c r="I251" s="383">
        <v>535000</v>
      </c>
      <c r="J251" s="398">
        <v>139029</v>
      </c>
      <c r="K251" s="399" t="s">
        <v>71</v>
      </c>
      <c r="L251" s="399" t="s">
        <v>34</v>
      </c>
      <c r="M251" s="399">
        <v>200</v>
      </c>
      <c r="N251" s="356">
        <v>2222000</v>
      </c>
      <c r="O251" s="28" t="b">
        <v>1</v>
      </c>
    </row>
    <row r="252" spans="2:15" s="28" customFormat="1" ht="16.5" customHeight="1">
      <c r="B252" s="20"/>
      <c r="C252" s="20"/>
      <c r="D252" s="254"/>
      <c r="E252" s="379">
        <v>139030</v>
      </c>
      <c r="F252" s="395" t="s">
        <v>236</v>
      </c>
      <c r="G252" s="396"/>
      <c r="H252" s="397"/>
      <c r="I252" s="383">
        <v>54500</v>
      </c>
      <c r="J252" s="398">
        <v>139030</v>
      </c>
      <c r="K252" s="399" t="s">
        <v>70</v>
      </c>
      <c r="L252" s="399" t="s">
        <v>34</v>
      </c>
      <c r="M252" s="399">
        <v>20</v>
      </c>
      <c r="N252" s="356">
        <v>3527000</v>
      </c>
      <c r="O252" s="28" t="b">
        <v>1</v>
      </c>
    </row>
    <row r="253" spans="2:15" s="28" customFormat="1" ht="16.5" customHeight="1">
      <c r="B253" s="20"/>
      <c r="C253" s="20"/>
      <c r="D253" s="254"/>
      <c r="E253" s="379">
        <v>139032</v>
      </c>
      <c r="F253" s="395" t="s">
        <v>322</v>
      </c>
      <c r="G253" s="396"/>
      <c r="H253" s="397"/>
      <c r="I253" s="383">
        <v>371000</v>
      </c>
      <c r="J253" s="398">
        <v>139032</v>
      </c>
      <c r="K253" s="399" t="s">
        <v>70</v>
      </c>
      <c r="L253" s="399" t="s">
        <v>34</v>
      </c>
      <c r="M253" s="399">
        <v>20</v>
      </c>
      <c r="N253" s="356">
        <v>4607000</v>
      </c>
      <c r="O253" s="28" t="b">
        <v>1</v>
      </c>
    </row>
    <row r="254" spans="2:15" s="28" customFormat="1" ht="16.5" customHeight="1">
      <c r="B254" s="20"/>
      <c r="C254" s="20"/>
      <c r="D254" s="254"/>
      <c r="E254" s="379">
        <v>139033</v>
      </c>
      <c r="F254" s="395" t="s">
        <v>323</v>
      </c>
      <c r="G254" s="396"/>
      <c r="H254" s="397"/>
      <c r="I254" s="383">
        <v>392000</v>
      </c>
      <c r="J254" s="398">
        <v>139033</v>
      </c>
      <c r="K254" s="399" t="s">
        <v>70</v>
      </c>
      <c r="L254" s="399" t="s">
        <v>34</v>
      </c>
      <c r="M254" s="399">
        <v>20</v>
      </c>
      <c r="N254" s="356">
        <v>630000</v>
      </c>
      <c r="O254" s="28" t="b">
        <v>1</v>
      </c>
    </row>
    <row r="255" spans="2:15" s="28" customFormat="1" ht="16.5" customHeight="1">
      <c r="B255" s="20"/>
      <c r="C255" s="20"/>
      <c r="D255" s="254"/>
      <c r="E255" s="379">
        <v>139036</v>
      </c>
      <c r="F255" s="395" t="s">
        <v>575</v>
      </c>
      <c r="G255" s="396"/>
      <c r="H255" s="397"/>
      <c r="I255" s="383">
        <v>649000</v>
      </c>
      <c r="J255" s="398">
        <v>139036</v>
      </c>
      <c r="K255" s="399" t="s">
        <v>71</v>
      </c>
      <c r="L255" s="399" t="s">
        <v>34</v>
      </c>
      <c r="M255" s="399">
        <v>200</v>
      </c>
      <c r="N255" s="356">
        <v>858000</v>
      </c>
      <c r="O255" s="28" t="b">
        <v>1</v>
      </c>
    </row>
    <row r="256" spans="2:15" s="28" customFormat="1" ht="16.5" customHeight="1">
      <c r="B256" s="20"/>
      <c r="C256" s="20"/>
      <c r="D256" s="254"/>
      <c r="E256" s="379">
        <v>139037</v>
      </c>
      <c r="F256" s="395" t="s">
        <v>324</v>
      </c>
      <c r="G256" s="396"/>
      <c r="H256" s="397"/>
      <c r="I256" s="383">
        <v>82400</v>
      </c>
      <c r="J256" s="398">
        <v>139037</v>
      </c>
      <c r="K256" s="399" t="s">
        <v>70</v>
      </c>
      <c r="L256" s="399" t="s">
        <v>34</v>
      </c>
      <c r="M256" s="399">
        <v>20</v>
      </c>
      <c r="N256" s="356">
        <v>645000</v>
      </c>
      <c r="O256" s="28" t="b">
        <v>1</v>
      </c>
    </row>
    <row r="257" spans="2:15" s="28" customFormat="1" ht="16.5" customHeight="1">
      <c r="B257" s="20"/>
      <c r="C257" s="20"/>
      <c r="D257" s="254"/>
      <c r="E257" s="379">
        <v>139038</v>
      </c>
      <c r="F257" s="395" t="s">
        <v>576</v>
      </c>
      <c r="G257" s="396"/>
      <c r="H257" s="397"/>
      <c r="I257" s="383">
        <v>746000</v>
      </c>
      <c r="J257" s="398">
        <v>139038</v>
      </c>
      <c r="K257" s="399" t="s">
        <v>71</v>
      </c>
      <c r="L257" s="399" t="s">
        <v>34</v>
      </c>
      <c r="M257" s="399">
        <v>200</v>
      </c>
      <c r="N257" s="356">
        <v>728000</v>
      </c>
      <c r="O257" s="28" t="b">
        <v>1</v>
      </c>
    </row>
    <row r="258" spans="2:15" s="28" customFormat="1" ht="16.5" customHeight="1">
      <c r="B258" s="20"/>
      <c r="C258" s="20"/>
      <c r="D258" s="254"/>
      <c r="E258" s="379">
        <v>139040</v>
      </c>
      <c r="F258" s="395" t="s">
        <v>577</v>
      </c>
      <c r="G258" s="396"/>
      <c r="H258" s="397"/>
      <c r="I258" s="383">
        <v>575000</v>
      </c>
      <c r="J258" s="398">
        <v>139040</v>
      </c>
      <c r="K258" s="399" t="s">
        <v>71</v>
      </c>
      <c r="L258" s="399" t="s">
        <v>34</v>
      </c>
      <c r="M258" s="399">
        <v>200</v>
      </c>
      <c r="N258" s="356">
        <v>728000</v>
      </c>
      <c r="O258" s="28" t="b">
        <v>1</v>
      </c>
    </row>
    <row r="259" spans="2:15" s="28" customFormat="1" ht="16.5" customHeight="1">
      <c r="B259" s="20"/>
      <c r="C259" s="20"/>
      <c r="D259" s="254"/>
      <c r="E259" s="379">
        <v>139041</v>
      </c>
      <c r="F259" s="395" t="s">
        <v>325</v>
      </c>
      <c r="G259" s="396"/>
      <c r="H259" s="397"/>
      <c r="I259" s="383">
        <v>61300</v>
      </c>
      <c r="J259" s="398">
        <v>139041</v>
      </c>
      <c r="K259" s="399" t="s">
        <v>70</v>
      </c>
      <c r="L259" s="399" t="s">
        <v>34</v>
      </c>
      <c r="M259" s="399">
        <v>20</v>
      </c>
      <c r="N259" s="356">
        <v>755000</v>
      </c>
      <c r="O259" s="28" t="b">
        <v>1</v>
      </c>
    </row>
    <row r="260" spans="2:15" s="28" customFormat="1" ht="16.5" customHeight="1">
      <c r="B260" s="20"/>
      <c r="C260" s="20"/>
      <c r="D260" s="254"/>
      <c r="E260" s="379">
        <v>139042</v>
      </c>
      <c r="F260" s="395" t="s">
        <v>578</v>
      </c>
      <c r="G260" s="396"/>
      <c r="H260" s="397"/>
      <c r="I260" s="383">
        <v>575000</v>
      </c>
      <c r="J260" s="398">
        <v>139042</v>
      </c>
      <c r="K260" s="399" t="s">
        <v>71</v>
      </c>
      <c r="L260" s="399" t="s">
        <v>34</v>
      </c>
      <c r="M260" s="399">
        <v>200</v>
      </c>
      <c r="N260" s="356">
        <v>755000</v>
      </c>
      <c r="O260" s="28" t="b">
        <v>1</v>
      </c>
    </row>
    <row r="261" spans="2:15" s="28" customFormat="1" ht="16.5" customHeight="1">
      <c r="B261" s="20"/>
      <c r="C261" s="20"/>
      <c r="D261" s="254"/>
      <c r="E261" s="379">
        <v>139043</v>
      </c>
      <c r="F261" s="395" t="s">
        <v>326</v>
      </c>
      <c r="G261" s="396"/>
      <c r="H261" s="397"/>
      <c r="I261" s="383">
        <v>100000</v>
      </c>
      <c r="J261" s="398">
        <v>139043</v>
      </c>
      <c r="K261" s="399" t="s">
        <v>70</v>
      </c>
      <c r="L261" s="399" t="s">
        <v>34</v>
      </c>
      <c r="M261" s="399">
        <v>20</v>
      </c>
      <c r="N261" s="356">
        <v>79600</v>
      </c>
      <c r="O261" s="28" t="b">
        <v>1</v>
      </c>
    </row>
    <row r="262" spans="2:15" s="28" customFormat="1" ht="16.5" customHeight="1">
      <c r="B262" s="20"/>
      <c r="C262" s="20"/>
      <c r="D262" s="254"/>
      <c r="E262" s="379">
        <v>139044</v>
      </c>
      <c r="F262" s="395" t="s">
        <v>579</v>
      </c>
      <c r="G262" s="396"/>
      <c r="H262" s="397"/>
      <c r="I262" s="383">
        <v>960000</v>
      </c>
      <c r="J262" s="398">
        <v>139044</v>
      </c>
      <c r="K262" s="399" t="s">
        <v>71</v>
      </c>
      <c r="L262" s="399" t="s">
        <v>34</v>
      </c>
      <c r="M262" s="399">
        <v>200</v>
      </c>
      <c r="N262" s="356">
        <v>94600</v>
      </c>
      <c r="O262" s="28" t="b">
        <v>1</v>
      </c>
    </row>
    <row r="263" spans="2:15" s="28" customFormat="1" ht="16.5" customHeight="1">
      <c r="B263" s="20"/>
      <c r="C263" s="20"/>
      <c r="D263" s="254"/>
      <c r="E263" s="379">
        <v>139045</v>
      </c>
      <c r="F263" s="395" t="s">
        <v>327</v>
      </c>
      <c r="G263" s="396"/>
      <c r="H263" s="397"/>
      <c r="I263" s="383">
        <v>100000</v>
      </c>
      <c r="J263" s="398">
        <v>139045</v>
      </c>
      <c r="K263" s="399" t="s">
        <v>70</v>
      </c>
      <c r="L263" s="399" t="s">
        <v>34</v>
      </c>
      <c r="M263" s="399">
        <v>20</v>
      </c>
      <c r="N263" s="356">
        <v>893000</v>
      </c>
      <c r="O263" s="28" t="b">
        <v>1</v>
      </c>
    </row>
    <row r="264" spans="2:15" s="28" customFormat="1" ht="16.5" customHeight="1">
      <c r="B264" s="20"/>
      <c r="C264" s="20"/>
      <c r="D264" s="254"/>
      <c r="E264" s="379">
        <v>139048</v>
      </c>
      <c r="F264" s="395" t="s">
        <v>328</v>
      </c>
      <c r="G264" s="396"/>
      <c r="H264" s="397"/>
      <c r="I264" s="383">
        <v>166000</v>
      </c>
      <c r="J264" s="398">
        <v>139048</v>
      </c>
      <c r="K264" s="399" t="s">
        <v>70</v>
      </c>
      <c r="L264" s="399" t="s">
        <v>34</v>
      </c>
      <c r="M264" s="399">
        <v>20</v>
      </c>
      <c r="N264" s="356">
        <v>670000</v>
      </c>
      <c r="O264" s="28" t="b">
        <v>1</v>
      </c>
    </row>
    <row r="265" spans="2:15" s="28" customFormat="1" ht="16.5" customHeight="1">
      <c r="B265" s="20"/>
      <c r="C265" s="20"/>
      <c r="D265" s="254"/>
      <c r="E265" s="379">
        <v>139049</v>
      </c>
      <c r="F265" s="395" t="s">
        <v>329</v>
      </c>
      <c r="G265" s="396"/>
      <c r="H265" s="397"/>
      <c r="I265" s="383">
        <v>146000</v>
      </c>
      <c r="J265" s="398">
        <v>139049</v>
      </c>
      <c r="K265" s="399" t="s">
        <v>70</v>
      </c>
      <c r="L265" s="399" t="s">
        <v>34</v>
      </c>
      <c r="M265" s="399">
        <v>20</v>
      </c>
      <c r="N265" s="356">
        <v>749000</v>
      </c>
      <c r="O265" s="28" t="b">
        <v>1</v>
      </c>
    </row>
    <row r="266" spans="2:15" s="28" customFormat="1" ht="16.5" customHeight="1">
      <c r="B266" s="20"/>
      <c r="C266" s="20"/>
      <c r="D266" s="254"/>
      <c r="E266" s="379">
        <v>139050</v>
      </c>
      <c r="F266" s="395" t="s">
        <v>330</v>
      </c>
      <c r="G266" s="396"/>
      <c r="H266" s="397"/>
      <c r="I266" s="383"/>
      <c r="J266" s="398">
        <v>139050</v>
      </c>
      <c r="K266" s="399" t="s">
        <v>70</v>
      </c>
      <c r="L266" s="399" t="s">
        <v>34</v>
      </c>
      <c r="M266" s="399">
        <v>20</v>
      </c>
      <c r="N266" s="356">
        <v>893000</v>
      </c>
      <c r="O266" s="28" t="b">
        <v>1</v>
      </c>
    </row>
    <row r="267" spans="2:15" s="28" customFormat="1" ht="16.5" customHeight="1">
      <c r="B267" s="20"/>
      <c r="C267" s="20"/>
      <c r="D267" s="254"/>
      <c r="E267" s="379">
        <v>139051</v>
      </c>
      <c r="F267" s="395" t="s">
        <v>331</v>
      </c>
      <c r="G267" s="396"/>
      <c r="H267" s="397"/>
      <c r="I267" s="383">
        <v>169000</v>
      </c>
      <c r="J267" s="398">
        <v>139051</v>
      </c>
      <c r="K267" s="399" t="s">
        <v>70</v>
      </c>
      <c r="L267" s="399" t="s">
        <v>34</v>
      </c>
      <c r="M267" s="399">
        <v>18.899999999999999</v>
      </c>
      <c r="N267" s="356">
        <v>535000</v>
      </c>
      <c r="O267" s="28" t="b">
        <v>1</v>
      </c>
    </row>
    <row r="268" spans="2:15" s="28" customFormat="1" ht="16.5" customHeight="1">
      <c r="B268" s="20"/>
      <c r="C268" s="20"/>
      <c r="D268" s="254"/>
      <c r="E268" s="379">
        <v>139052</v>
      </c>
      <c r="F268" s="395" t="s">
        <v>582</v>
      </c>
      <c r="G268" s="396"/>
      <c r="H268" s="397"/>
      <c r="I268" s="383"/>
      <c r="J268" s="398">
        <v>139052</v>
      </c>
      <c r="K268" s="399" t="s">
        <v>71</v>
      </c>
      <c r="L268" s="399" t="s">
        <v>34</v>
      </c>
      <c r="M268" s="399">
        <v>200</v>
      </c>
      <c r="N268" s="356">
        <v>54500</v>
      </c>
      <c r="O268" s="28" t="b">
        <v>1</v>
      </c>
    </row>
    <row r="269" spans="2:15" s="28" customFormat="1" ht="16.5" customHeight="1">
      <c r="B269" s="20"/>
      <c r="C269" s="20"/>
      <c r="D269" s="254"/>
      <c r="E269" s="379">
        <v>139057</v>
      </c>
      <c r="F269" s="395" t="s">
        <v>583</v>
      </c>
      <c r="G269" s="396"/>
      <c r="H269" s="397"/>
      <c r="I269" s="383">
        <v>721000</v>
      </c>
      <c r="J269" s="398">
        <v>139057</v>
      </c>
      <c r="K269" s="399" t="s">
        <v>71</v>
      </c>
      <c r="L269" s="399" t="s">
        <v>34</v>
      </c>
      <c r="M269" s="399">
        <v>200</v>
      </c>
      <c r="N269" s="356">
        <v>371000</v>
      </c>
      <c r="O269" s="28" t="b">
        <v>1</v>
      </c>
    </row>
    <row r="270" spans="2:15" s="28" customFormat="1" ht="16.5" customHeight="1">
      <c r="B270" s="20"/>
      <c r="C270" s="20"/>
      <c r="D270" s="254"/>
      <c r="E270" s="379">
        <v>139058</v>
      </c>
      <c r="F270" s="395" t="s">
        <v>584</v>
      </c>
      <c r="G270" s="396"/>
      <c r="H270" s="397"/>
      <c r="I270" s="383">
        <v>893000</v>
      </c>
      <c r="J270" s="398">
        <v>139058</v>
      </c>
      <c r="K270" s="399" t="s">
        <v>71</v>
      </c>
      <c r="L270" s="399" t="s">
        <v>34</v>
      </c>
      <c r="M270" s="399">
        <v>200</v>
      </c>
      <c r="N270" s="356">
        <v>392000</v>
      </c>
      <c r="O270" s="28" t="b">
        <v>1</v>
      </c>
    </row>
    <row r="271" spans="2:15" s="28" customFormat="1" ht="16.5" customHeight="1">
      <c r="B271" s="20"/>
      <c r="C271" s="20"/>
      <c r="D271" s="254"/>
      <c r="E271" s="379">
        <v>139059</v>
      </c>
      <c r="F271" s="395" t="s">
        <v>585</v>
      </c>
      <c r="G271" s="396"/>
      <c r="H271" s="397"/>
      <c r="I271" s="383">
        <v>691000</v>
      </c>
      <c r="J271" s="398">
        <v>139059</v>
      </c>
      <c r="K271" s="399" t="s">
        <v>71</v>
      </c>
      <c r="L271" s="399" t="s">
        <v>34</v>
      </c>
      <c r="M271" s="399">
        <v>200</v>
      </c>
      <c r="N271" s="356">
        <v>649000</v>
      </c>
      <c r="O271" s="28" t="b">
        <v>1</v>
      </c>
    </row>
    <row r="272" spans="2:15" s="28" customFormat="1" ht="16.5" customHeight="1">
      <c r="B272" s="20"/>
      <c r="C272" s="20"/>
      <c r="D272" s="254"/>
      <c r="E272" s="379">
        <v>139061</v>
      </c>
      <c r="F272" s="395" t="s">
        <v>242</v>
      </c>
      <c r="G272" s="396"/>
      <c r="H272" s="397"/>
      <c r="I272" s="383">
        <v>83600</v>
      </c>
      <c r="J272" s="398">
        <v>139061</v>
      </c>
      <c r="K272" s="399" t="s">
        <v>70</v>
      </c>
      <c r="L272" s="399" t="s">
        <v>34</v>
      </c>
      <c r="M272" s="399">
        <v>20</v>
      </c>
      <c r="N272" s="356">
        <v>82400</v>
      </c>
      <c r="O272" s="28" t="b">
        <v>1</v>
      </c>
    </row>
    <row r="273" spans="2:15" s="28" customFormat="1" ht="16.5" customHeight="1">
      <c r="B273" s="20"/>
      <c r="C273" s="20"/>
      <c r="D273" s="254"/>
      <c r="E273" s="379">
        <v>139062</v>
      </c>
      <c r="F273" s="395" t="s">
        <v>586</v>
      </c>
      <c r="G273" s="396"/>
      <c r="H273" s="397"/>
      <c r="I273" s="383">
        <v>687000</v>
      </c>
      <c r="J273" s="398">
        <v>139062</v>
      </c>
      <c r="K273" s="399" t="s">
        <v>71</v>
      </c>
      <c r="L273" s="399" t="s">
        <v>34</v>
      </c>
      <c r="M273" s="399">
        <v>200</v>
      </c>
      <c r="N273" s="356">
        <v>746000</v>
      </c>
      <c r="O273" s="28" t="b">
        <v>1</v>
      </c>
    </row>
    <row r="274" spans="2:15" s="28" customFormat="1" ht="16.5" customHeight="1">
      <c r="B274" s="20"/>
      <c r="C274" s="20"/>
      <c r="D274" s="254"/>
      <c r="E274" s="379">
        <v>139063</v>
      </c>
      <c r="F274" s="395" t="s">
        <v>587</v>
      </c>
      <c r="G274" s="396"/>
      <c r="H274" s="397"/>
      <c r="I274" s="383">
        <v>670000</v>
      </c>
      <c r="J274" s="398">
        <v>139063</v>
      </c>
      <c r="K274" s="399" t="s">
        <v>71</v>
      </c>
      <c r="L274" s="399" t="s">
        <v>34</v>
      </c>
      <c r="M274" s="399">
        <v>200</v>
      </c>
      <c r="N274" s="356">
        <v>575000</v>
      </c>
      <c r="O274" s="28" t="b">
        <v>1</v>
      </c>
    </row>
    <row r="275" spans="2:15" s="28" customFormat="1" ht="16.5" customHeight="1">
      <c r="B275" s="20"/>
      <c r="C275" s="20"/>
      <c r="D275" s="254"/>
      <c r="E275" s="379">
        <v>139064</v>
      </c>
      <c r="F275" s="395" t="s">
        <v>233</v>
      </c>
      <c r="G275" s="396"/>
      <c r="H275" s="397"/>
      <c r="I275" s="383">
        <v>66400</v>
      </c>
      <c r="J275" s="398">
        <v>139064</v>
      </c>
      <c r="K275" s="399" t="s">
        <v>70</v>
      </c>
      <c r="L275" s="399" t="s">
        <v>34</v>
      </c>
      <c r="M275" s="399">
        <v>20</v>
      </c>
      <c r="N275" s="356">
        <v>61300</v>
      </c>
      <c r="O275" s="28" t="b">
        <v>1</v>
      </c>
    </row>
    <row r="276" spans="2:15" s="28" customFormat="1" ht="16.5" customHeight="1">
      <c r="B276" s="20"/>
      <c r="C276" s="20"/>
      <c r="D276" s="254"/>
      <c r="E276" s="379">
        <v>139065</v>
      </c>
      <c r="F276" s="395" t="s">
        <v>588</v>
      </c>
      <c r="G276" s="396"/>
      <c r="H276" s="397"/>
      <c r="I276" s="383">
        <v>685000</v>
      </c>
      <c r="J276" s="398">
        <v>139065</v>
      </c>
      <c r="K276" s="399" t="s">
        <v>71</v>
      </c>
      <c r="L276" s="399" t="s">
        <v>34</v>
      </c>
      <c r="M276" s="399">
        <v>200</v>
      </c>
      <c r="N276" s="356">
        <v>575000</v>
      </c>
      <c r="O276" s="28" t="b">
        <v>1</v>
      </c>
    </row>
    <row r="277" spans="2:15" s="28" customFormat="1" ht="16.5" customHeight="1">
      <c r="B277" s="20"/>
      <c r="C277" s="20"/>
      <c r="D277" s="254"/>
      <c r="E277" s="379">
        <v>139066</v>
      </c>
      <c r="F277" s="395" t="s">
        <v>332</v>
      </c>
      <c r="G277" s="396"/>
      <c r="H277" s="397"/>
      <c r="I277" s="383">
        <v>69100</v>
      </c>
      <c r="J277" s="398">
        <v>139066</v>
      </c>
      <c r="K277" s="399" t="s">
        <v>70</v>
      </c>
      <c r="L277" s="399" t="s">
        <v>34</v>
      </c>
      <c r="M277" s="399">
        <v>20</v>
      </c>
      <c r="N277" s="356">
        <v>100000</v>
      </c>
      <c r="O277" s="28" t="b">
        <v>1</v>
      </c>
    </row>
    <row r="278" spans="2:15" s="28" customFormat="1" ht="16.5" customHeight="1">
      <c r="B278" s="20"/>
      <c r="C278" s="20"/>
      <c r="D278" s="254"/>
      <c r="E278" s="379">
        <v>139067</v>
      </c>
      <c r="F278" s="395" t="s">
        <v>333</v>
      </c>
      <c r="G278" s="396"/>
      <c r="H278" s="397"/>
      <c r="I278" s="383"/>
      <c r="J278" s="398">
        <v>139067</v>
      </c>
      <c r="K278" s="399" t="s">
        <v>70</v>
      </c>
      <c r="L278" s="399" t="s">
        <v>34</v>
      </c>
      <c r="M278" s="399">
        <v>18.899999999999999</v>
      </c>
      <c r="N278" s="356">
        <v>960000</v>
      </c>
      <c r="O278" s="28" t="b">
        <v>1</v>
      </c>
    </row>
    <row r="279" spans="2:15" s="28" customFormat="1" ht="16.5" customHeight="1">
      <c r="B279" s="20"/>
      <c r="C279" s="20"/>
      <c r="D279" s="254"/>
      <c r="E279" s="379">
        <v>139068</v>
      </c>
      <c r="F279" s="395" t="s">
        <v>589</v>
      </c>
      <c r="G279" s="396"/>
      <c r="H279" s="397"/>
      <c r="I279" s="383">
        <v>4688000</v>
      </c>
      <c r="J279" s="398">
        <v>139068</v>
      </c>
      <c r="K279" s="399" t="s">
        <v>71</v>
      </c>
      <c r="L279" s="399" t="s">
        <v>34</v>
      </c>
      <c r="M279" s="399">
        <v>208</v>
      </c>
      <c r="N279" s="356">
        <v>100000</v>
      </c>
      <c r="O279" s="28" t="b">
        <v>1</v>
      </c>
    </row>
    <row r="280" spans="2:15" s="28" customFormat="1" ht="16.5" customHeight="1">
      <c r="B280" s="20"/>
      <c r="C280" s="20"/>
      <c r="D280" s="254"/>
      <c r="E280" s="379">
        <v>139069</v>
      </c>
      <c r="F280" s="395" t="s">
        <v>334</v>
      </c>
      <c r="G280" s="396"/>
      <c r="H280" s="397"/>
      <c r="I280" s="383">
        <v>296000</v>
      </c>
      <c r="J280" s="398">
        <v>139069</v>
      </c>
      <c r="K280" s="399" t="s">
        <v>70</v>
      </c>
      <c r="L280" s="399" t="s">
        <v>34</v>
      </c>
      <c r="M280" s="399">
        <v>20</v>
      </c>
      <c r="N280" s="356">
        <v>166000</v>
      </c>
      <c r="O280" s="28" t="b">
        <v>1</v>
      </c>
    </row>
    <row r="281" spans="2:15" s="28" customFormat="1" ht="16.5" customHeight="1">
      <c r="B281" s="20"/>
      <c r="C281" s="20"/>
      <c r="D281" s="254"/>
      <c r="E281" s="379">
        <v>139070</v>
      </c>
      <c r="F281" s="395" t="s">
        <v>335</v>
      </c>
      <c r="G281" s="396"/>
      <c r="H281" s="397"/>
      <c r="I281" s="383">
        <v>318000</v>
      </c>
      <c r="J281" s="398">
        <v>139070</v>
      </c>
      <c r="K281" s="399" t="s">
        <v>70</v>
      </c>
      <c r="L281" s="399" t="s">
        <v>34</v>
      </c>
      <c r="M281" s="399">
        <v>20</v>
      </c>
      <c r="N281" s="356">
        <v>146000</v>
      </c>
      <c r="O281" s="28" t="b">
        <v>1</v>
      </c>
    </row>
    <row r="282" spans="2:15" s="28" customFormat="1" ht="16.5" customHeight="1">
      <c r="B282" s="20"/>
      <c r="C282" s="20"/>
      <c r="D282" s="254"/>
      <c r="E282" s="379">
        <v>139071</v>
      </c>
      <c r="F282" s="395" t="s">
        <v>590</v>
      </c>
      <c r="G282" s="396"/>
      <c r="H282" s="397"/>
      <c r="I282" s="383">
        <v>746000</v>
      </c>
      <c r="J282" s="398">
        <v>139071</v>
      </c>
      <c r="K282" s="399" t="s">
        <v>71</v>
      </c>
      <c r="L282" s="399" t="s">
        <v>34</v>
      </c>
      <c r="M282" s="399">
        <v>200</v>
      </c>
      <c r="N282" s="356" t="e">
        <v>#N/A</v>
      </c>
      <c r="O282" s="28" t="e">
        <v>#N/A</v>
      </c>
    </row>
    <row r="283" spans="2:15" s="28" customFormat="1" ht="16.5" customHeight="1">
      <c r="B283" s="20"/>
      <c r="C283" s="20"/>
      <c r="D283" s="254"/>
      <c r="E283" s="379">
        <v>139074</v>
      </c>
      <c r="F283" s="395" t="s">
        <v>591</v>
      </c>
      <c r="G283" s="396"/>
      <c r="H283" s="397"/>
      <c r="I283" s="383">
        <v>746000</v>
      </c>
      <c r="J283" s="398">
        <v>139074</v>
      </c>
      <c r="K283" s="399" t="s">
        <v>71</v>
      </c>
      <c r="L283" s="399" t="s">
        <v>34</v>
      </c>
      <c r="M283" s="399">
        <v>200</v>
      </c>
      <c r="N283" s="356">
        <v>169000</v>
      </c>
      <c r="O283" s="28" t="b">
        <v>1</v>
      </c>
    </row>
    <row r="284" spans="2:15" s="28" customFormat="1" ht="16.5" customHeight="1">
      <c r="B284" s="20"/>
      <c r="C284" s="20"/>
      <c r="D284" s="254"/>
      <c r="E284" s="379">
        <v>139075</v>
      </c>
      <c r="F284" s="395" t="s">
        <v>592</v>
      </c>
      <c r="G284" s="396"/>
      <c r="H284" s="397"/>
      <c r="I284" s="383">
        <v>746000</v>
      </c>
      <c r="J284" s="398">
        <v>139075</v>
      </c>
      <c r="K284" s="399" t="s">
        <v>71</v>
      </c>
      <c r="L284" s="399" t="s">
        <v>34</v>
      </c>
      <c r="M284" s="399">
        <v>200</v>
      </c>
      <c r="N284" s="356" t="e">
        <v>#N/A</v>
      </c>
      <c r="O284" s="28" t="e">
        <v>#N/A</v>
      </c>
    </row>
    <row r="285" spans="2:15" s="28" customFormat="1" ht="16.5" customHeight="1">
      <c r="B285" s="20"/>
      <c r="C285" s="20"/>
      <c r="D285" s="254"/>
      <c r="E285" s="379">
        <v>135303</v>
      </c>
      <c r="F285" s="395" t="s">
        <v>336</v>
      </c>
      <c r="G285" s="396"/>
      <c r="H285" s="397"/>
      <c r="I285" s="383">
        <v>370000</v>
      </c>
      <c r="J285" s="398">
        <v>135303</v>
      </c>
      <c r="K285" s="399" t="s">
        <v>70</v>
      </c>
      <c r="L285" s="399" t="s">
        <v>34</v>
      </c>
      <c r="M285" s="399">
        <v>20</v>
      </c>
      <c r="N285" s="356">
        <v>721000</v>
      </c>
      <c r="O285" s="28" t="b">
        <v>1</v>
      </c>
    </row>
    <row r="286" spans="2:15" s="28" customFormat="1" ht="16.5" customHeight="1">
      <c r="B286" s="20"/>
      <c r="C286" s="20"/>
      <c r="D286" s="254"/>
      <c r="E286" s="379">
        <v>139080</v>
      </c>
      <c r="F286" s="395" t="s">
        <v>337</v>
      </c>
      <c r="G286" s="396"/>
      <c r="H286" s="397"/>
      <c r="I286" s="383">
        <v>300000</v>
      </c>
      <c r="J286" s="398">
        <v>139080</v>
      </c>
      <c r="K286" s="399" t="s">
        <v>70</v>
      </c>
      <c r="L286" s="399" t="s">
        <v>34</v>
      </c>
      <c r="M286" s="399">
        <v>20</v>
      </c>
      <c r="N286" s="356">
        <v>893000</v>
      </c>
      <c r="O286" s="28" t="b">
        <v>1</v>
      </c>
    </row>
    <row r="287" spans="2:15" s="28" customFormat="1" ht="16.5" customHeight="1">
      <c r="B287" s="20"/>
      <c r="C287" s="20"/>
      <c r="D287" s="254"/>
      <c r="E287" s="379">
        <v>139082</v>
      </c>
      <c r="F287" s="395" t="s">
        <v>338</v>
      </c>
      <c r="G287" s="396"/>
      <c r="H287" s="397"/>
      <c r="I287" s="383">
        <v>366000</v>
      </c>
      <c r="J287" s="398">
        <v>139082</v>
      </c>
      <c r="K287" s="399" t="s">
        <v>70</v>
      </c>
      <c r="L287" s="399" t="s">
        <v>34</v>
      </c>
      <c r="M287" s="399">
        <v>20</v>
      </c>
      <c r="N287" s="356">
        <v>691000</v>
      </c>
      <c r="O287" s="28" t="b">
        <v>1</v>
      </c>
    </row>
    <row r="288" spans="2:15" s="28" customFormat="1" ht="16.5" customHeight="1">
      <c r="B288" s="20"/>
      <c r="C288" s="20"/>
      <c r="D288" s="254"/>
      <c r="E288" s="379">
        <v>139084</v>
      </c>
      <c r="F288" s="395" t="s">
        <v>243</v>
      </c>
      <c r="G288" s="401"/>
      <c r="H288" s="402"/>
      <c r="I288" s="383">
        <v>58600</v>
      </c>
      <c r="J288" s="399">
        <v>139084</v>
      </c>
      <c r="K288" s="399" t="s">
        <v>70</v>
      </c>
      <c r="L288" s="399" t="s">
        <v>34</v>
      </c>
      <c r="M288" s="399">
        <v>20</v>
      </c>
      <c r="N288" s="356">
        <v>83600</v>
      </c>
      <c r="O288" s="28" t="b">
        <v>1</v>
      </c>
    </row>
    <row r="289" spans="2:15" s="28" customFormat="1" ht="16.5" customHeight="1">
      <c r="B289" s="20"/>
      <c r="C289" s="20"/>
      <c r="D289" s="254"/>
      <c r="E289" s="379">
        <v>139085</v>
      </c>
      <c r="F289" s="395" t="s">
        <v>593</v>
      </c>
      <c r="G289" s="401"/>
      <c r="H289" s="402"/>
      <c r="I289" s="383">
        <v>535000</v>
      </c>
      <c r="J289" s="398">
        <v>139085</v>
      </c>
      <c r="K289" s="399" t="s">
        <v>71</v>
      </c>
      <c r="L289" s="399" t="s">
        <v>34</v>
      </c>
      <c r="M289" s="399">
        <v>200</v>
      </c>
      <c r="N289" s="356">
        <v>687000</v>
      </c>
      <c r="O289" s="28" t="b">
        <v>1</v>
      </c>
    </row>
    <row r="290" spans="2:15" s="28" customFormat="1" ht="16.5" customHeight="1">
      <c r="B290" s="20"/>
      <c r="C290" s="20"/>
      <c r="D290" s="254"/>
      <c r="E290" s="379">
        <v>139086</v>
      </c>
      <c r="F290" s="395" t="s">
        <v>226</v>
      </c>
      <c r="G290" s="401"/>
      <c r="H290" s="402"/>
      <c r="I290" s="383">
        <v>54500</v>
      </c>
      <c r="J290" s="398">
        <v>139086</v>
      </c>
      <c r="K290" s="399" t="s">
        <v>70</v>
      </c>
      <c r="L290" s="399" t="s">
        <v>34</v>
      </c>
      <c r="M290" s="399">
        <v>20</v>
      </c>
      <c r="N290" s="356">
        <v>670000</v>
      </c>
      <c r="O290" s="28" t="b">
        <v>1</v>
      </c>
    </row>
    <row r="291" spans="2:15" s="28" customFormat="1" ht="16.5" customHeight="1">
      <c r="B291" s="20"/>
      <c r="C291" s="20"/>
      <c r="D291" s="254"/>
      <c r="E291" s="379">
        <v>139087</v>
      </c>
      <c r="F291" s="395" t="s">
        <v>594</v>
      </c>
      <c r="G291" s="401"/>
      <c r="H291" s="402"/>
      <c r="I291" s="383">
        <v>547000</v>
      </c>
      <c r="J291" s="398">
        <v>139087</v>
      </c>
      <c r="K291" s="399" t="s">
        <v>71</v>
      </c>
      <c r="L291" s="399" t="s">
        <v>34</v>
      </c>
      <c r="M291" s="399">
        <v>200</v>
      </c>
      <c r="N291" s="356">
        <v>66400</v>
      </c>
      <c r="O291" s="28" t="b">
        <v>1</v>
      </c>
    </row>
    <row r="292" spans="2:15" s="28" customFormat="1" ht="16.5" customHeight="1">
      <c r="B292" s="20"/>
      <c r="C292" s="20"/>
      <c r="D292" s="254"/>
      <c r="E292" s="379">
        <v>139088</v>
      </c>
      <c r="F292" s="395" t="s">
        <v>234</v>
      </c>
      <c r="G292" s="401"/>
      <c r="H292" s="402"/>
      <c r="I292" s="383">
        <v>58600</v>
      </c>
      <c r="J292" s="398">
        <v>139088</v>
      </c>
      <c r="K292" s="399" t="s">
        <v>70</v>
      </c>
      <c r="L292" s="399" t="s">
        <v>34</v>
      </c>
      <c r="M292" s="399">
        <v>20</v>
      </c>
      <c r="N292" s="356">
        <v>685000</v>
      </c>
      <c r="O292" s="28" t="b">
        <v>1</v>
      </c>
    </row>
    <row r="293" spans="2:15" s="28" customFormat="1" ht="16.5" customHeight="1">
      <c r="B293" s="20"/>
      <c r="C293" s="20"/>
      <c r="D293" s="254"/>
      <c r="E293" s="379">
        <v>139089</v>
      </c>
      <c r="F293" s="395" t="s">
        <v>595</v>
      </c>
      <c r="G293" s="401"/>
      <c r="H293" s="402"/>
      <c r="I293" s="383">
        <v>663000</v>
      </c>
      <c r="J293" s="398">
        <v>139089</v>
      </c>
      <c r="K293" s="399" t="s">
        <v>71</v>
      </c>
      <c r="L293" s="399" t="s">
        <v>34</v>
      </c>
      <c r="M293" s="399">
        <v>200</v>
      </c>
      <c r="N293" s="356">
        <v>69100</v>
      </c>
      <c r="O293" s="28" t="b">
        <v>1</v>
      </c>
    </row>
    <row r="294" spans="2:15" s="28" customFormat="1" ht="16.5" customHeight="1">
      <c r="B294" s="20"/>
      <c r="C294" s="20"/>
      <c r="D294" s="254"/>
      <c r="E294" s="379">
        <v>139090</v>
      </c>
      <c r="F294" s="395" t="s">
        <v>596</v>
      </c>
      <c r="G294" s="396"/>
      <c r="H294" s="397"/>
      <c r="I294" s="383">
        <v>626000</v>
      </c>
      <c r="J294" s="398">
        <v>139090</v>
      </c>
      <c r="K294" s="399" t="s">
        <v>71</v>
      </c>
      <c r="L294" s="399" t="s">
        <v>34</v>
      </c>
      <c r="M294" s="399">
        <v>200</v>
      </c>
      <c r="N294" s="356" t="e">
        <v>#N/A</v>
      </c>
      <c r="O294" s="28" t="e">
        <v>#N/A</v>
      </c>
    </row>
    <row r="295" spans="2:15" s="28" customFormat="1" ht="16.5" customHeight="1">
      <c r="B295" s="20"/>
      <c r="C295" s="20"/>
      <c r="D295" s="254"/>
      <c r="E295" s="379">
        <v>139091</v>
      </c>
      <c r="F295" s="395" t="s">
        <v>597</v>
      </c>
      <c r="G295" s="401"/>
      <c r="H295" s="402"/>
      <c r="I295" s="383">
        <v>508000</v>
      </c>
      <c r="J295" s="399">
        <v>139091</v>
      </c>
      <c r="K295" s="399" t="s">
        <v>71</v>
      </c>
      <c r="L295" s="399" t="s">
        <v>34</v>
      </c>
      <c r="M295" s="399">
        <v>200</v>
      </c>
      <c r="N295" s="356">
        <v>4688000</v>
      </c>
      <c r="O295" s="28" t="b">
        <v>1</v>
      </c>
    </row>
    <row r="296" spans="2:15" s="28" customFormat="1" ht="16.5" customHeight="1">
      <c r="B296" s="20"/>
      <c r="C296" s="20"/>
      <c r="D296" s="254"/>
      <c r="E296" s="379">
        <v>139092</v>
      </c>
      <c r="F296" s="395" t="s">
        <v>598</v>
      </c>
      <c r="G296" s="401"/>
      <c r="H296" s="402"/>
      <c r="I296" s="383">
        <v>907000</v>
      </c>
      <c r="J296" s="398">
        <v>139092</v>
      </c>
      <c r="K296" s="399" t="s">
        <v>71</v>
      </c>
      <c r="L296" s="399" t="s">
        <v>34</v>
      </c>
      <c r="M296" s="399">
        <v>200</v>
      </c>
      <c r="N296" s="356">
        <v>296000</v>
      </c>
      <c r="O296" s="28" t="b">
        <v>1</v>
      </c>
    </row>
    <row r="297" spans="2:15" s="28" customFormat="1" ht="16.5" customHeight="1">
      <c r="B297" s="20"/>
      <c r="C297" s="20"/>
      <c r="D297" s="254"/>
      <c r="E297" s="379">
        <v>139094</v>
      </c>
      <c r="F297" s="395" t="s">
        <v>599</v>
      </c>
      <c r="G297" s="401"/>
      <c r="H297" s="402"/>
      <c r="I297" s="383">
        <v>781000</v>
      </c>
      <c r="J297" s="398">
        <v>139094</v>
      </c>
      <c r="K297" s="399" t="s">
        <v>71</v>
      </c>
      <c r="L297" s="399" t="s">
        <v>34</v>
      </c>
      <c r="M297" s="399">
        <v>200</v>
      </c>
      <c r="N297" s="356">
        <v>318000</v>
      </c>
      <c r="O297" s="28" t="b">
        <v>1</v>
      </c>
    </row>
    <row r="298" spans="2:15" s="28" customFormat="1" ht="16.5" customHeight="1">
      <c r="B298" s="20"/>
      <c r="C298" s="20"/>
      <c r="D298" s="254"/>
      <c r="E298" s="379">
        <v>139095</v>
      </c>
      <c r="F298" s="395" t="s">
        <v>600</v>
      </c>
      <c r="G298" s="401"/>
      <c r="H298" s="402"/>
      <c r="I298" s="383">
        <v>843000</v>
      </c>
      <c r="J298" s="398">
        <v>139095</v>
      </c>
      <c r="K298" s="399" t="s">
        <v>71</v>
      </c>
      <c r="L298" s="399" t="s">
        <v>34</v>
      </c>
      <c r="M298" s="399">
        <v>200</v>
      </c>
      <c r="N298" s="356">
        <v>746000</v>
      </c>
      <c r="O298" s="28" t="b">
        <v>1</v>
      </c>
    </row>
    <row r="299" spans="2:15" s="28" customFormat="1" ht="16.5" customHeight="1">
      <c r="B299" s="20"/>
      <c r="C299" s="20"/>
      <c r="D299" s="254"/>
      <c r="E299" s="379">
        <v>139096</v>
      </c>
      <c r="F299" s="395" t="s">
        <v>339</v>
      </c>
      <c r="G299" s="401"/>
      <c r="H299" s="402"/>
      <c r="I299" s="383">
        <v>89700</v>
      </c>
      <c r="J299" s="398">
        <v>139096</v>
      </c>
      <c r="K299" s="399" t="s">
        <v>70</v>
      </c>
      <c r="L299" s="399" t="s">
        <v>34</v>
      </c>
      <c r="M299" s="399">
        <v>20</v>
      </c>
      <c r="N299" s="356">
        <v>746000</v>
      </c>
      <c r="O299" s="28" t="b">
        <v>1</v>
      </c>
    </row>
    <row r="300" spans="2:15" s="28" customFormat="1" ht="16.5" customHeight="1">
      <c r="B300" s="20"/>
      <c r="C300" s="20"/>
      <c r="D300" s="254"/>
      <c r="E300" s="379">
        <v>139097</v>
      </c>
      <c r="F300" s="395" t="s">
        <v>601</v>
      </c>
      <c r="G300" s="401"/>
      <c r="H300" s="402"/>
      <c r="I300" s="383">
        <v>987000</v>
      </c>
      <c r="J300" s="398">
        <v>139097</v>
      </c>
      <c r="K300" s="399" t="s">
        <v>71</v>
      </c>
      <c r="L300" s="399" t="s">
        <v>34</v>
      </c>
      <c r="M300" s="399">
        <v>200</v>
      </c>
      <c r="N300" s="356">
        <v>746000</v>
      </c>
      <c r="O300" s="28" t="b">
        <v>1</v>
      </c>
    </row>
    <row r="301" spans="2:15" s="28" customFormat="1" ht="16.5" customHeight="1">
      <c r="B301" s="20"/>
      <c r="C301" s="20"/>
      <c r="D301" s="254"/>
      <c r="E301" s="379">
        <v>139099</v>
      </c>
      <c r="F301" s="395" t="s">
        <v>602</v>
      </c>
      <c r="G301" s="396"/>
      <c r="H301" s="397"/>
      <c r="I301" s="383">
        <v>637000</v>
      </c>
      <c r="J301" s="398">
        <v>139099</v>
      </c>
      <c r="K301" s="399" t="s">
        <v>71</v>
      </c>
      <c r="L301" s="399" t="s">
        <v>34</v>
      </c>
      <c r="M301" s="399">
        <v>200</v>
      </c>
      <c r="N301" s="356">
        <v>370000</v>
      </c>
      <c r="O301" s="28" t="b">
        <v>1</v>
      </c>
    </row>
    <row r="302" spans="2:15" s="28" customFormat="1" ht="16.5" customHeight="1">
      <c r="B302" s="20"/>
      <c r="C302" s="20"/>
      <c r="D302" s="254"/>
      <c r="E302" s="379">
        <v>139101</v>
      </c>
      <c r="F302" s="395" t="s">
        <v>603</v>
      </c>
      <c r="G302" s="396"/>
      <c r="H302" s="397"/>
      <c r="I302" s="383">
        <v>616000</v>
      </c>
      <c r="J302" s="398">
        <v>139101</v>
      </c>
      <c r="K302" s="399" t="s">
        <v>71</v>
      </c>
      <c r="L302" s="399" t="s">
        <v>34</v>
      </c>
      <c r="M302" s="399">
        <v>200</v>
      </c>
      <c r="N302" s="356">
        <v>300000</v>
      </c>
      <c r="O302" s="28" t="b">
        <v>1</v>
      </c>
    </row>
    <row r="303" spans="2:15" s="28" customFormat="1" ht="16.5" customHeight="1">
      <c r="B303" s="20"/>
      <c r="C303" s="20"/>
      <c r="D303" s="254"/>
      <c r="E303" s="379">
        <v>139103</v>
      </c>
      <c r="F303" s="395" t="s">
        <v>604</v>
      </c>
      <c r="G303" s="396"/>
      <c r="H303" s="397"/>
      <c r="I303" s="383">
        <v>564000</v>
      </c>
      <c r="J303" s="398">
        <v>139103</v>
      </c>
      <c r="K303" s="399" t="s">
        <v>71</v>
      </c>
      <c r="L303" s="399" t="s">
        <v>34</v>
      </c>
      <c r="M303" s="399">
        <v>200</v>
      </c>
      <c r="N303" s="356">
        <v>366000</v>
      </c>
      <c r="O303" s="28" t="b">
        <v>1</v>
      </c>
    </row>
    <row r="304" spans="2:15" s="28" customFormat="1" ht="16.5" customHeight="1">
      <c r="B304" s="20"/>
      <c r="C304" s="20"/>
      <c r="D304" s="254"/>
      <c r="E304" s="379">
        <v>139105</v>
      </c>
      <c r="F304" s="395" t="s">
        <v>605</v>
      </c>
      <c r="G304" s="396"/>
      <c r="H304" s="397"/>
      <c r="I304" s="383">
        <v>628000</v>
      </c>
      <c r="J304" s="398">
        <v>139105</v>
      </c>
      <c r="K304" s="399" t="s">
        <v>71</v>
      </c>
      <c r="L304" s="399" t="s">
        <v>34</v>
      </c>
      <c r="M304" s="399">
        <v>200</v>
      </c>
      <c r="N304" s="356">
        <v>58600</v>
      </c>
      <c r="O304" s="28" t="b">
        <v>1</v>
      </c>
    </row>
    <row r="305" spans="2:15" s="28" customFormat="1" ht="16.5" customHeight="1">
      <c r="B305" s="20"/>
      <c r="C305" s="20"/>
      <c r="D305" s="254"/>
      <c r="E305" s="379">
        <v>139106</v>
      </c>
      <c r="F305" s="395" t="s">
        <v>340</v>
      </c>
      <c r="G305" s="396"/>
      <c r="H305" s="397"/>
      <c r="I305" s="383">
        <v>76400</v>
      </c>
      <c r="J305" s="398">
        <v>139106</v>
      </c>
      <c r="K305" s="399" t="s">
        <v>70</v>
      </c>
      <c r="L305" s="399" t="s">
        <v>34</v>
      </c>
      <c r="M305" s="399">
        <v>20</v>
      </c>
      <c r="N305" s="356">
        <v>535000</v>
      </c>
      <c r="O305" s="28" t="b">
        <v>1</v>
      </c>
    </row>
    <row r="306" spans="2:15" s="28" customFormat="1" ht="16.5" customHeight="1">
      <c r="B306" s="20"/>
      <c r="C306" s="20"/>
      <c r="D306" s="254"/>
      <c r="E306" s="379">
        <v>139107</v>
      </c>
      <c r="F306" s="395" t="s">
        <v>606</v>
      </c>
      <c r="G306" s="396"/>
      <c r="H306" s="397"/>
      <c r="I306" s="383">
        <v>630000</v>
      </c>
      <c r="J306" s="398">
        <v>139107</v>
      </c>
      <c r="K306" s="399" t="s">
        <v>71</v>
      </c>
      <c r="L306" s="399" t="s">
        <v>34</v>
      </c>
      <c r="M306" s="399">
        <v>200</v>
      </c>
      <c r="N306" s="356">
        <v>54500</v>
      </c>
      <c r="O306" s="28" t="b">
        <v>1</v>
      </c>
    </row>
    <row r="307" spans="2:15" s="28" customFormat="1" ht="16.5" customHeight="1">
      <c r="B307" s="20"/>
      <c r="C307" s="20"/>
      <c r="D307" s="254"/>
      <c r="E307" s="379">
        <v>139108</v>
      </c>
      <c r="F307" s="395" t="s">
        <v>341</v>
      </c>
      <c r="G307" s="396"/>
      <c r="H307" s="397"/>
      <c r="I307" s="383" t="e">
        <v>#N/A</v>
      </c>
      <c r="J307" s="398">
        <v>139108</v>
      </c>
      <c r="K307" s="399" t="s">
        <v>70</v>
      </c>
      <c r="L307" s="399" t="s">
        <v>34</v>
      </c>
      <c r="M307" s="399">
        <v>20</v>
      </c>
      <c r="N307" s="356">
        <v>547000</v>
      </c>
      <c r="O307" s="28" t="b">
        <v>1</v>
      </c>
    </row>
    <row r="308" spans="2:15" s="28" customFormat="1" ht="16.5" customHeight="1">
      <c r="B308" s="20"/>
      <c r="C308" s="20"/>
      <c r="D308" s="254"/>
      <c r="E308" s="379">
        <v>139109</v>
      </c>
      <c r="F308" s="395" t="s">
        <v>607</v>
      </c>
      <c r="G308" s="396"/>
      <c r="H308" s="397"/>
      <c r="I308" s="383">
        <v>593000</v>
      </c>
      <c r="J308" s="398">
        <v>139109</v>
      </c>
      <c r="K308" s="399" t="s">
        <v>71</v>
      </c>
      <c r="L308" s="399" t="s">
        <v>34</v>
      </c>
      <c r="M308" s="399">
        <v>200</v>
      </c>
      <c r="N308" s="356">
        <v>58600</v>
      </c>
      <c r="O308" s="28" t="b">
        <v>1</v>
      </c>
    </row>
    <row r="309" spans="2:15" s="28" customFormat="1" ht="16.5" customHeight="1">
      <c r="B309" s="20"/>
      <c r="C309" s="20"/>
      <c r="D309" s="254"/>
      <c r="E309" s="379">
        <v>139110</v>
      </c>
      <c r="F309" s="395" t="s">
        <v>342</v>
      </c>
      <c r="G309" s="396"/>
      <c r="H309" s="397"/>
      <c r="I309" s="383">
        <v>72300</v>
      </c>
      <c r="J309" s="398">
        <v>139110</v>
      </c>
      <c r="K309" s="399" t="s">
        <v>70</v>
      </c>
      <c r="L309" s="399" t="s">
        <v>34</v>
      </c>
      <c r="M309" s="399">
        <v>20</v>
      </c>
      <c r="N309" s="356">
        <v>663000</v>
      </c>
      <c r="O309" s="28" t="b">
        <v>1</v>
      </c>
    </row>
    <row r="310" spans="2:15" s="28" customFormat="1" ht="16.5" customHeight="1">
      <c r="B310" s="20"/>
      <c r="C310" s="20"/>
      <c r="D310" s="254"/>
      <c r="E310" s="379">
        <v>139111</v>
      </c>
      <c r="F310" s="395" t="s">
        <v>608</v>
      </c>
      <c r="G310" s="396"/>
      <c r="H310" s="397"/>
      <c r="I310" s="383">
        <v>654000</v>
      </c>
      <c r="J310" s="398">
        <v>139111</v>
      </c>
      <c r="K310" s="399" t="s">
        <v>71</v>
      </c>
      <c r="L310" s="399" t="s">
        <v>34</v>
      </c>
      <c r="M310" s="399">
        <v>200</v>
      </c>
      <c r="N310" s="356">
        <v>626000</v>
      </c>
      <c r="O310" s="28" t="b">
        <v>1</v>
      </c>
    </row>
    <row r="311" spans="2:15" s="28" customFormat="1" ht="16.5" customHeight="1">
      <c r="B311" s="20"/>
      <c r="C311" s="20"/>
      <c r="D311" s="254"/>
      <c r="E311" s="379">
        <v>139112</v>
      </c>
      <c r="F311" s="395" t="s">
        <v>343</v>
      </c>
      <c r="G311" s="396"/>
      <c r="H311" s="397"/>
      <c r="I311" s="383">
        <v>465000</v>
      </c>
      <c r="J311" s="398">
        <v>139112</v>
      </c>
      <c r="K311" s="399" t="s">
        <v>70</v>
      </c>
      <c r="L311" s="399" t="s">
        <v>34</v>
      </c>
      <c r="M311" s="399">
        <v>20</v>
      </c>
      <c r="N311" s="356">
        <v>508000</v>
      </c>
      <c r="O311" s="28" t="b">
        <v>1</v>
      </c>
    </row>
    <row r="312" spans="2:15" s="28" customFormat="1" ht="16.5" customHeight="1">
      <c r="B312" s="20"/>
      <c r="C312" s="20"/>
      <c r="D312" s="254"/>
      <c r="E312" s="379">
        <v>139113</v>
      </c>
      <c r="F312" s="395" t="s">
        <v>344</v>
      </c>
      <c r="G312" s="396"/>
      <c r="H312" s="397"/>
      <c r="I312" s="383">
        <v>364000</v>
      </c>
      <c r="J312" s="398">
        <v>139113</v>
      </c>
      <c r="K312" s="399" t="s">
        <v>70</v>
      </c>
      <c r="L312" s="399" t="s">
        <v>34</v>
      </c>
      <c r="M312" s="399">
        <v>20</v>
      </c>
      <c r="N312" s="356">
        <v>907000</v>
      </c>
      <c r="O312" s="28" t="b">
        <v>1</v>
      </c>
    </row>
    <row r="313" spans="2:15" s="28" customFormat="1" ht="16.5" customHeight="1">
      <c r="B313" s="20"/>
      <c r="C313" s="20"/>
      <c r="D313" s="254"/>
      <c r="E313" s="379">
        <v>139118</v>
      </c>
      <c r="F313" s="395" t="s">
        <v>609</v>
      </c>
      <c r="G313" s="396"/>
      <c r="H313" s="397"/>
      <c r="I313" s="383">
        <v>952000</v>
      </c>
      <c r="J313" s="398">
        <v>139118</v>
      </c>
      <c r="K313" s="399" t="s">
        <v>71</v>
      </c>
      <c r="L313" s="399" t="s">
        <v>34</v>
      </c>
      <c r="M313" s="399">
        <v>200</v>
      </c>
      <c r="N313" s="356">
        <v>781000</v>
      </c>
      <c r="O313" s="28" t="b">
        <v>1</v>
      </c>
    </row>
    <row r="314" spans="2:15" s="28" customFormat="1" ht="16.5" customHeight="1">
      <c r="B314" s="20"/>
      <c r="C314" s="20"/>
      <c r="D314" s="254"/>
      <c r="E314" s="379">
        <v>139121</v>
      </c>
      <c r="F314" s="395" t="s">
        <v>610</v>
      </c>
      <c r="G314" s="396"/>
      <c r="H314" s="397"/>
      <c r="I314" s="383">
        <v>952000</v>
      </c>
      <c r="J314" s="398">
        <v>139121</v>
      </c>
      <c r="K314" s="399" t="s">
        <v>71</v>
      </c>
      <c r="L314" s="399" t="s">
        <v>34</v>
      </c>
      <c r="M314" s="399">
        <v>200</v>
      </c>
      <c r="N314" s="356">
        <v>843000</v>
      </c>
      <c r="O314" s="28" t="b">
        <v>1</v>
      </c>
    </row>
    <row r="315" spans="2:15" s="28" customFormat="1" ht="16.5" customHeight="1">
      <c r="B315" s="20"/>
      <c r="C315" s="20"/>
      <c r="D315" s="254"/>
      <c r="E315" s="379">
        <v>139123</v>
      </c>
      <c r="F315" s="395" t="s">
        <v>611</v>
      </c>
      <c r="G315" s="396"/>
      <c r="H315" s="397"/>
      <c r="I315" s="383">
        <v>952000</v>
      </c>
      <c r="J315" s="398">
        <v>139123</v>
      </c>
      <c r="K315" s="399" t="s">
        <v>71</v>
      </c>
      <c r="L315" s="399" t="s">
        <v>34</v>
      </c>
      <c r="M315" s="399">
        <v>200</v>
      </c>
      <c r="N315" s="356">
        <v>89700</v>
      </c>
      <c r="O315" s="28" t="b">
        <v>1</v>
      </c>
    </row>
    <row r="316" spans="2:15" s="28" customFormat="1" ht="16.5" customHeight="1">
      <c r="B316" s="20"/>
      <c r="C316" s="20"/>
      <c r="D316" s="254"/>
      <c r="E316" s="379">
        <v>139125</v>
      </c>
      <c r="F316" s="395" t="s">
        <v>612</v>
      </c>
      <c r="G316" s="396"/>
      <c r="H316" s="397"/>
      <c r="I316" s="383">
        <v>618000</v>
      </c>
      <c r="J316" s="398">
        <v>139125</v>
      </c>
      <c r="K316" s="399" t="s">
        <v>71</v>
      </c>
      <c r="L316" s="399" t="s">
        <v>34</v>
      </c>
      <c r="M316" s="399">
        <v>200</v>
      </c>
      <c r="N316" s="356">
        <v>987000</v>
      </c>
      <c r="O316" s="28" t="b">
        <v>1</v>
      </c>
    </row>
    <row r="317" spans="2:15" s="28" customFormat="1" ht="16.5" customHeight="1">
      <c r="B317" s="20"/>
      <c r="C317" s="20"/>
      <c r="D317" s="254"/>
      <c r="E317" s="379">
        <v>139127</v>
      </c>
      <c r="F317" s="395" t="s">
        <v>244</v>
      </c>
      <c r="G317" s="396"/>
      <c r="H317" s="397"/>
      <c r="I317" s="383">
        <v>71000</v>
      </c>
      <c r="J317" s="398">
        <v>139127</v>
      </c>
      <c r="K317" s="399" t="s">
        <v>70</v>
      </c>
      <c r="L317" s="399" t="s">
        <v>34</v>
      </c>
      <c r="M317" s="399">
        <v>20</v>
      </c>
      <c r="N317" s="356">
        <v>637000</v>
      </c>
      <c r="O317" s="28" t="b">
        <v>1</v>
      </c>
    </row>
    <row r="318" spans="2:15" s="28" customFormat="1" ht="16.5" customHeight="1">
      <c r="B318" s="20"/>
      <c r="C318" s="20"/>
      <c r="D318" s="254"/>
      <c r="E318" s="379">
        <v>139128</v>
      </c>
      <c r="F318" s="395" t="s">
        <v>613</v>
      </c>
      <c r="G318" s="396"/>
      <c r="H318" s="397"/>
      <c r="I318" s="383">
        <v>607000</v>
      </c>
      <c r="J318" s="398">
        <v>139128</v>
      </c>
      <c r="K318" s="399" t="s">
        <v>71</v>
      </c>
      <c r="L318" s="399" t="s">
        <v>34</v>
      </c>
      <c r="M318" s="399">
        <v>200</v>
      </c>
      <c r="N318" s="356">
        <v>616000</v>
      </c>
      <c r="O318" s="28" t="b">
        <v>1</v>
      </c>
    </row>
    <row r="319" spans="2:15" s="28" customFormat="1" ht="16.5" customHeight="1">
      <c r="B319" s="20"/>
      <c r="C319" s="20"/>
      <c r="D319" s="254"/>
      <c r="E319" s="379">
        <v>139129</v>
      </c>
      <c r="F319" s="395" t="s">
        <v>245</v>
      </c>
      <c r="G319" s="396"/>
      <c r="H319" s="397"/>
      <c r="I319" s="383">
        <v>69800</v>
      </c>
      <c r="J319" s="398">
        <v>139129</v>
      </c>
      <c r="K319" s="399" t="s">
        <v>70</v>
      </c>
      <c r="L319" s="399" t="s">
        <v>34</v>
      </c>
      <c r="M319" s="399">
        <v>20</v>
      </c>
      <c r="N319" s="356">
        <v>564000</v>
      </c>
      <c r="O319" s="28" t="b">
        <v>1</v>
      </c>
    </row>
    <row r="320" spans="2:15" s="28" customFormat="1" ht="16.5" customHeight="1">
      <c r="B320" s="20"/>
      <c r="C320" s="20"/>
      <c r="D320" s="254"/>
      <c r="E320" s="379">
        <v>139130</v>
      </c>
      <c r="F320" s="395" t="s">
        <v>614</v>
      </c>
      <c r="G320" s="396"/>
      <c r="H320" s="397"/>
      <c r="I320" s="383">
        <v>623000</v>
      </c>
      <c r="J320" s="398">
        <v>139130</v>
      </c>
      <c r="K320" s="399" t="s">
        <v>71</v>
      </c>
      <c r="L320" s="399" t="s">
        <v>34</v>
      </c>
      <c r="M320" s="399">
        <v>200</v>
      </c>
      <c r="N320" s="356">
        <v>628000</v>
      </c>
      <c r="O320" s="28" t="b">
        <v>1</v>
      </c>
    </row>
    <row r="321" spans="2:15" s="28" customFormat="1" ht="16.5" customHeight="1">
      <c r="B321" s="20"/>
      <c r="C321" s="20"/>
      <c r="D321" s="254"/>
      <c r="E321" s="379">
        <v>139131</v>
      </c>
      <c r="F321" s="395" t="s">
        <v>237</v>
      </c>
      <c r="G321" s="396"/>
      <c r="H321" s="397"/>
      <c r="I321" s="383">
        <v>74600</v>
      </c>
      <c r="J321" s="398">
        <v>139131</v>
      </c>
      <c r="K321" s="399" t="s">
        <v>70</v>
      </c>
      <c r="L321" s="399" t="s">
        <v>34</v>
      </c>
      <c r="M321" s="399">
        <v>20</v>
      </c>
      <c r="N321" s="356">
        <v>76400</v>
      </c>
      <c r="O321" s="28" t="b">
        <v>1</v>
      </c>
    </row>
    <row r="322" spans="2:15" s="28" customFormat="1" ht="16.5" customHeight="1">
      <c r="B322" s="20"/>
      <c r="C322" s="20"/>
      <c r="D322" s="254"/>
      <c r="E322" s="379">
        <v>139132</v>
      </c>
      <c r="F322" s="395" t="s">
        <v>615</v>
      </c>
      <c r="G322" s="396"/>
      <c r="H322" s="397"/>
      <c r="I322" s="383">
        <v>623000</v>
      </c>
      <c r="J322" s="398">
        <v>139132</v>
      </c>
      <c r="K322" s="399" t="s">
        <v>71</v>
      </c>
      <c r="L322" s="399" t="s">
        <v>34</v>
      </c>
      <c r="M322" s="399">
        <v>200</v>
      </c>
      <c r="N322" s="356">
        <v>630000</v>
      </c>
      <c r="O322" s="28" t="b">
        <v>1</v>
      </c>
    </row>
    <row r="323" spans="2:15" s="28" customFormat="1" ht="16.5" customHeight="1">
      <c r="B323" s="20"/>
      <c r="C323" s="20"/>
      <c r="D323" s="254"/>
      <c r="E323" s="379">
        <v>139134</v>
      </c>
      <c r="F323" s="395" t="s">
        <v>227</v>
      </c>
      <c r="G323" s="396"/>
      <c r="H323" s="397"/>
      <c r="I323" s="383">
        <v>70900</v>
      </c>
      <c r="J323" s="398">
        <v>139134</v>
      </c>
      <c r="K323" s="399" t="s">
        <v>70</v>
      </c>
      <c r="L323" s="399" t="s">
        <v>34</v>
      </c>
      <c r="M323" s="399">
        <v>20</v>
      </c>
      <c r="N323" s="356" t="e">
        <v>#N/A</v>
      </c>
      <c r="O323" s="28" t="e">
        <v>#N/A</v>
      </c>
    </row>
    <row r="324" spans="2:15" s="28" customFormat="1" ht="16.5" customHeight="1">
      <c r="B324" s="20"/>
      <c r="C324" s="20"/>
      <c r="D324" s="254"/>
      <c r="E324" s="379">
        <v>139135</v>
      </c>
      <c r="F324" s="395" t="s">
        <v>616</v>
      </c>
      <c r="G324" s="396"/>
      <c r="H324" s="397"/>
      <c r="I324" s="383">
        <v>641000</v>
      </c>
      <c r="J324" s="398">
        <v>139135</v>
      </c>
      <c r="K324" s="399" t="s">
        <v>71</v>
      </c>
      <c r="L324" s="399" t="s">
        <v>34</v>
      </c>
      <c r="M324" s="399">
        <v>200</v>
      </c>
      <c r="N324" s="356">
        <v>593000</v>
      </c>
      <c r="O324" s="28" t="b">
        <v>1</v>
      </c>
    </row>
    <row r="325" spans="2:15" s="28" customFormat="1" ht="16.5" customHeight="1">
      <c r="B325" s="20"/>
      <c r="C325" s="20"/>
      <c r="D325" s="254"/>
      <c r="E325" s="379">
        <v>139137</v>
      </c>
      <c r="F325" s="395" t="s">
        <v>246</v>
      </c>
      <c r="G325" s="396"/>
      <c r="H325" s="397"/>
      <c r="I325" s="383">
        <v>80900</v>
      </c>
      <c r="J325" s="398">
        <v>139137</v>
      </c>
      <c r="K325" s="399" t="s">
        <v>70</v>
      </c>
      <c r="L325" s="399" t="s">
        <v>34</v>
      </c>
      <c r="M325" s="399">
        <v>20</v>
      </c>
      <c r="N325" s="356">
        <v>72300</v>
      </c>
      <c r="O325" s="28" t="b">
        <v>1</v>
      </c>
    </row>
    <row r="326" spans="2:15" s="28" customFormat="1" ht="16.5" customHeight="1">
      <c r="B326" s="20"/>
      <c r="C326" s="20"/>
      <c r="D326" s="254"/>
      <c r="E326" s="379">
        <v>139138</v>
      </c>
      <c r="F326" s="395" t="s">
        <v>617</v>
      </c>
      <c r="G326" s="396"/>
      <c r="H326" s="397"/>
      <c r="I326" s="383">
        <v>740000</v>
      </c>
      <c r="J326" s="398">
        <v>139138</v>
      </c>
      <c r="K326" s="399" t="s">
        <v>71</v>
      </c>
      <c r="L326" s="399" t="s">
        <v>34</v>
      </c>
      <c r="M326" s="399">
        <v>200</v>
      </c>
      <c r="N326" s="356">
        <v>654000</v>
      </c>
      <c r="O326" s="28" t="b">
        <v>1</v>
      </c>
    </row>
    <row r="327" spans="2:15" s="28" customFormat="1" ht="16.5" customHeight="1">
      <c r="B327" s="20"/>
      <c r="C327" s="20"/>
      <c r="D327" s="254"/>
      <c r="E327" s="379">
        <v>139139</v>
      </c>
      <c r="F327" s="395" t="s">
        <v>247</v>
      </c>
      <c r="G327" s="396"/>
      <c r="H327" s="397"/>
      <c r="I327" s="383">
        <v>80900</v>
      </c>
      <c r="J327" s="398">
        <v>139139</v>
      </c>
      <c r="K327" s="399" t="s">
        <v>70</v>
      </c>
      <c r="L327" s="399" t="s">
        <v>34</v>
      </c>
      <c r="M327" s="399">
        <v>20</v>
      </c>
      <c r="N327" s="356">
        <v>465000</v>
      </c>
      <c r="O327" s="28" t="b">
        <v>1</v>
      </c>
    </row>
    <row r="328" spans="2:15" s="28" customFormat="1" ht="16.5" customHeight="1">
      <c r="B328" s="20"/>
      <c r="C328" s="20"/>
      <c r="D328" s="254"/>
      <c r="E328" s="379">
        <v>139140</v>
      </c>
      <c r="F328" s="395" t="s">
        <v>618</v>
      </c>
      <c r="G328" s="396"/>
      <c r="H328" s="397"/>
      <c r="I328" s="383">
        <v>750000</v>
      </c>
      <c r="J328" s="398">
        <v>139140</v>
      </c>
      <c r="K328" s="399" t="s">
        <v>71</v>
      </c>
      <c r="L328" s="399" t="s">
        <v>34</v>
      </c>
      <c r="M328" s="399">
        <v>200</v>
      </c>
      <c r="N328" s="356">
        <v>364000</v>
      </c>
      <c r="O328" s="28" t="b">
        <v>1</v>
      </c>
    </row>
    <row r="329" spans="2:15" s="28" customFormat="1" ht="16.5" customHeight="1">
      <c r="B329" s="20"/>
      <c r="C329" s="20"/>
      <c r="D329" s="254"/>
      <c r="E329" s="379">
        <v>139141</v>
      </c>
      <c r="F329" s="395" t="s">
        <v>345</v>
      </c>
      <c r="G329" s="396"/>
      <c r="H329" s="397"/>
      <c r="I329" s="383">
        <v>87100</v>
      </c>
      <c r="J329" s="398">
        <v>139141</v>
      </c>
      <c r="K329" s="399" t="s">
        <v>70</v>
      </c>
      <c r="L329" s="399" t="s">
        <v>34</v>
      </c>
      <c r="M329" s="399">
        <v>20</v>
      </c>
      <c r="N329" s="356">
        <v>952000</v>
      </c>
      <c r="O329" s="28" t="b">
        <v>1</v>
      </c>
    </row>
    <row r="330" spans="2:15" s="28" customFormat="1" ht="16.5" customHeight="1">
      <c r="B330" s="20"/>
      <c r="C330" s="20"/>
      <c r="D330" s="254"/>
      <c r="E330" s="379">
        <v>139142</v>
      </c>
      <c r="F330" s="395" t="s">
        <v>619</v>
      </c>
      <c r="G330" s="396"/>
      <c r="H330" s="397"/>
      <c r="I330" s="383">
        <v>423000</v>
      </c>
      <c r="J330" s="398">
        <v>139142</v>
      </c>
      <c r="K330" s="399" t="s">
        <v>71</v>
      </c>
      <c r="L330" s="399" t="s">
        <v>34</v>
      </c>
      <c r="M330" s="399">
        <v>200</v>
      </c>
      <c r="N330" s="356">
        <v>952000</v>
      </c>
      <c r="O330" s="28" t="b">
        <v>1</v>
      </c>
    </row>
    <row r="331" spans="2:15" s="28" customFormat="1" ht="16.5" customHeight="1">
      <c r="B331" s="20"/>
      <c r="C331" s="20"/>
      <c r="D331" s="254"/>
      <c r="E331" s="379">
        <v>139143</v>
      </c>
      <c r="F331" s="395" t="s">
        <v>248</v>
      </c>
      <c r="G331" s="396"/>
      <c r="H331" s="397"/>
      <c r="I331" s="383">
        <v>44000</v>
      </c>
      <c r="J331" s="398">
        <v>139143</v>
      </c>
      <c r="K331" s="399" t="s">
        <v>70</v>
      </c>
      <c r="L331" s="399" t="s">
        <v>34</v>
      </c>
      <c r="M331" s="399">
        <v>20</v>
      </c>
      <c r="N331" s="356">
        <v>952000</v>
      </c>
      <c r="O331" s="28" t="b">
        <v>1</v>
      </c>
    </row>
    <row r="332" spans="2:15" s="28" customFormat="1" ht="16.5" customHeight="1">
      <c r="B332" s="20"/>
      <c r="C332" s="20"/>
      <c r="D332" s="254"/>
      <c r="E332" s="379">
        <v>139144</v>
      </c>
      <c r="F332" s="395" t="s">
        <v>620</v>
      </c>
      <c r="G332" s="396"/>
      <c r="H332" s="397"/>
      <c r="I332" s="383">
        <v>423000</v>
      </c>
      <c r="J332" s="398">
        <v>139144</v>
      </c>
      <c r="K332" s="399" t="s">
        <v>71</v>
      </c>
      <c r="L332" s="399" t="s">
        <v>34</v>
      </c>
      <c r="M332" s="399">
        <v>200</v>
      </c>
      <c r="N332" s="356">
        <v>618000</v>
      </c>
      <c r="O332" s="28" t="b">
        <v>1</v>
      </c>
    </row>
    <row r="333" spans="2:15" s="28" customFormat="1" ht="16.5" customHeight="1">
      <c r="B333" s="20"/>
      <c r="C333" s="20"/>
      <c r="D333" s="254"/>
      <c r="E333" s="379">
        <v>139145</v>
      </c>
      <c r="F333" s="395" t="s">
        <v>228</v>
      </c>
      <c r="G333" s="396"/>
      <c r="H333" s="397"/>
      <c r="I333" s="383">
        <v>44000</v>
      </c>
      <c r="J333" s="398">
        <v>139145</v>
      </c>
      <c r="K333" s="399" t="s">
        <v>70</v>
      </c>
      <c r="L333" s="399" t="s">
        <v>34</v>
      </c>
      <c r="M333" s="399">
        <v>20</v>
      </c>
      <c r="N333" s="356">
        <v>71000</v>
      </c>
      <c r="O333" s="28" t="b">
        <v>1</v>
      </c>
    </row>
    <row r="334" spans="2:15" s="28" customFormat="1" ht="16.5" customHeight="1">
      <c r="B334" s="20"/>
      <c r="C334" s="20"/>
      <c r="D334" s="254"/>
      <c r="E334" s="379">
        <v>139146</v>
      </c>
      <c r="F334" s="395" t="s">
        <v>621</v>
      </c>
      <c r="G334" s="396"/>
      <c r="H334" s="397"/>
      <c r="I334" s="383">
        <v>455000</v>
      </c>
      <c r="J334" s="398">
        <v>139146</v>
      </c>
      <c r="K334" s="399" t="s">
        <v>71</v>
      </c>
      <c r="L334" s="399" t="s">
        <v>34</v>
      </c>
      <c r="M334" s="399">
        <v>200</v>
      </c>
      <c r="N334" s="356">
        <v>607000</v>
      </c>
      <c r="O334" s="28" t="b">
        <v>1</v>
      </c>
    </row>
    <row r="335" spans="2:15" s="28" customFormat="1" ht="16.5" customHeight="1">
      <c r="B335" s="20"/>
      <c r="C335" s="20"/>
      <c r="D335" s="254"/>
      <c r="E335" s="379">
        <v>139147</v>
      </c>
      <c r="F335" s="395" t="s">
        <v>622</v>
      </c>
      <c r="G335" s="396"/>
      <c r="H335" s="397"/>
      <c r="I335" s="383">
        <v>475000</v>
      </c>
      <c r="J335" s="398">
        <v>139147</v>
      </c>
      <c r="K335" s="399" t="s">
        <v>71</v>
      </c>
      <c r="L335" s="399" t="s">
        <v>34</v>
      </c>
      <c r="M335" s="399">
        <v>200</v>
      </c>
      <c r="N335" s="356">
        <v>69800</v>
      </c>
      <c r="O335" s="28" t="b">
        <v>1</v>
      </c>
    </row>
    <row r="336" spans="2:15" s="28" customFormat="1" ht="16.5" customHeight="1">
      <c r="B336" s="20"/>
      <c r="C336" s="20"/>
      <c r="D336" s="254"/>
      <c r="E336" s="379">
        <v>139148</v>
      </c>
      <c r="F336" s="395" t="s">
        <v>346</v>
      </c>
      <c r="G336" s="396"/>
      <c r="H336" s="397"/>
      <c r="I336" s="383">
        <v>50600</v>
      </c>
      <c r="J336" s="398">
        <v>139148</v>
      </c>
      <c r="K336" s="399" t="s">
        <v>70</v>
      </c>
      <c r="L336" s="399" t="s">
        <v>34</v>
      </c>
      <c r="M336" s="399">
        <v>20</v>
      </c>
      <c r="N336" s="356">
        <v>623000</v>
      </c>
      <c r="O336" s="28" t="b">
        <v>1</v>
      </c>
    </row>
    <row r="337" spans="2:15" s="28" customFormat="1" ht="16.5" customHeight="1">
      <c r="B337" s="20"/>
      <c r="C337" s="20"/>
      <c r="D337" s="254"/>
      <c r="E337" s="379">
        <v>139149</v>
      </c>
      <c r="F337" s="395" t="s">
        <v>623</v>
      </c>
      <c r="G337" s="396"/>
      <c r="H337" s="397"/>
      <c r="I337" s="383">
        <v>539000</v>
      </c>
      <c r="J337" s="398">
        <v>139149</v>
      </c>
      <c r="K337" s="399" t="s">
        <v>71</v>
      </c>
      <c r="L337" s="399" t="s">
        <v>34</v>
      </c>
      <c r="M337" s="399">
        <v>200</v>
      </c>
      <c r="N337" s="356">
        <v>74600</v>
      </c>
      <c r="O337" s="28" t="b">
        <v>1</v>
      </c>
    </row>
    <row r="338" spans="2:15" s="28" customFormat="1" ht="16.5" customHeight="1">
      <c r="B338" s="20"/>
      <c r="C338" s="20"/>
      <c r="D338" s="254"/>
      <c r="E338" s="379">
        <v>139150</v>
      </c>
      <c r="F338" s="395" t="s">
        <v>249</v>
      </c>
      <c r="G338" s="396"/>
      <c r="H338" s="397"/>
      <c r="I338" s="383">
        <v>56700</v>
      </c>
      <c r="J338" s="398">
        <v>139150</v>
      </c>
      <c r="K338" s="399" t="s">
        <v>70</v>
      </c>
      <c r="L338" s="399" t="s">
        <v>34</v>
      </c>
      <c r="M338" s="399">
        <v>20</v>
      </c>
      <c r="N338" s="356">
        <v>623000</v>
      </c>
      <c r="O338" s="28" t="b">
        <v>1</v>
      </c>
    </row>
    <row r="339" spans="2:15" s="28" customFormat="1" ht="16.5" customHeight="1">
      <c r="B339" s="20"/>
      <c r="C339" s="20"/>
      <c r="D339" s="254"/>
      <c r="E339" s="379">
        <v>139151</v>
      </c>
      <c r="F339" s="395" t="s">
        <v>624</v>
      </c>
      <c r="G339" s="396"/>
      <c r="H339" s="397"/>
      <c r="I339" s="383">
        <v>539000</v>
      </c>
      <c r="J339" s="398">
        <v>139151</v>
      </c>
      <c r="K339" s="399" t="s">
        <v>71</v>
      </c>
      <c r="L339" s="399" t="s">
        <v>34</v>
      </c>
      <c r="M339" s="399">
        <v>200</v>
      </c>
      <c r="N339" s="356">
        <v>70900</v>
      </c>
      <c r="O339" s="28" t="b">
        <v>1</v>
      </c>
    </row>
    <row r="340" spans="2:15" s="28" customFormat="1" ht="16.5" customHeight="1">
      <c r="B340" s="20"/>
      <c r="C340" s="20"/>
      <c r="D340" s="254"/>
      <c r="E340" s="379">
        <v>139152</v>
      </c>
      <c r="F340" s="395" t="s">
        <v>250</v>
      </c>
      <c r="G340" s="396"/>
      <c r="H340" s="397"/>
      <c r="I340" s="383">
        <v>56700</v>
      </c>
      <c r="J340" s="398">
        <v>139152</v>
      </c>
      <c r="K340" s="399" t="s">
        <v>70</v>
      </c>
      <c r="L340" s="399" t="s">
        <v>34</v>
      </c>
      <c r="M340" s="399">
        <v>20</v>
      </c>
      <c r="N340" s="356">
        <v>641000</v>
      </c>
      <c r="O340" s="28" t="b">
        <v>1</v>
      </c>
    </row>
    <row r="341" spans="2:15" s="28" customFormat="1" ht="16.5" customHeight="1">
      <c r="B341" s="20"/>
      <c r="C341" s="20"/>
      <c r="D341" s="254"/>
      <c r="E341" s="379">
        <v>139153</v>
      </c>
      <c r="F341" s="395" t="s">
        <v>625</v>
      </c>
      <c r="G341" s="396"/>
      <c r="H341" s="397"/>
      <c r="I341" s="383">
        <v>580000</v>
      </c>
      <c r="J341" s="398">
        <v>139153</v>
      </c>
      <c r="K341" s="399" t="s">
        <v>71</v>
      </c>
      <c r="L341" s="399" t="s">
        <v>34</v>
      </c>
      <c r="M341" s="399">
        <v>200</v>
      </c>
      <c r="N341" s="356">
        <v>80900</v>
      </c>
      <c r="O341" s="28" t="b">
        <v>1</v>
      </c>
    </row>
    <row r="342" spans="2:15" s="28" customFormat="1" ht="16.5" customHeight="1">
      <c r="B342" s="20"/>
      <c r="C342" s="20"/>
      <c r="D342" s="254"/>
      <c r="E342" s="379">
        <v>139154</v>
      </c>
      <c r="F342" s="395" t="s">
        <v>251</v>
      </c>
      <c r="G342" s="396"/>
      <c r="H342" s="397"/>
      <c r="I342" s="383">
        <v>60600</v>
      </c>
      <c r="J342" s="398">
        <v>139154</v>
      </c>
      <c r="K342" s="399" t="s">
        <v>70</v>
      </c>
      <c r="L342" s="399" t="s">
        <v>34</v>
      </c>
      <c r="M342" s="399">
        <v>20</v>
      </c>
      <c r="N342" s="356">
        <v>740000</v>
      </c>
      <c r="O342" s="28" t="b">
        <v>1</v>
      </c>
    </row>
    <row r="343" spans="2:15" s="28" customFormat="1" ht="16.5" customHeight="1">
      <c r="B343" s="20"/>
      <c r="C343" s="20"/>
      <c r="D343" s="254"/>
      <c r="E343" s="379">
        <v>139155</v>
      </c>
      <c r="F343" s="395" t="s">
        <v>626</v>
      </c>
      <c r="G343" s="396"/>
      <c r="H343" s="397"/>
      <c r="I343" s="383">
        <v>610000</v>
      </c>
      <c r="J343" s="398">
        <v>139155</v>
      </c>
      <c r="K343" s="399" t="s">
        <v>71</v>
      </c>
      <c r="L343" s="399" t="s">
        <v>34</v>
      </c>
      <c r="M343" s="399">
        <v>200</v>
      </c>
      <c r="N343" s="356">
        <v>80900</v>
      </c>
      <c r="O343" s="28" t="b">
        <v>1</v>
      </c>
    </row>
    <row r="344" spans="2:15" s="28" customFormat="1" ht="16.5" customHeight="1">
      <c r="B344" s="20"/>
      <c r="C344" s="20"/>
      <c r="D344" s="254"/>
      <c r="E344" s="379">
        <v>139156</v>
      </c>
      <c r="F344" s="395" t="s">
        <v>252</v>
      </c>
      <c r="G344" s="396"/>
      <c r="H344" s="397"/>
      <c r="I344" s="383">
        <v>64600</v>
      </c>
      <c r="J344" s="398">
        <v>139156</v>
      </c>
      <c r="K344" s="399" t="s">
        <v>70</v>
      </c>
      <c r="L344" s="399" t="s">
        <v>34</v>
      </c>
      <c r="M344" s="399">
        <v>20</v>
      </c>
      <c r="N344" s="356">
        <v>750000</v>
      </c>
      <c r="O344" s="28" t="b">
        <v>1</v>
      </c>
    </row>
    <row r="345" spans="2:15" s="28" customFormat="1" ht="16.5" customHeight="1">
      <c r="B345" s="20"/>
      <c r="C345" s="20"/>
      <c r="D345" s="254"/>
      <c r="E345" s="379">
        <v>139158</v>
      </c>
      <c r="F345" s="395" t="s">
        <v>627</v>
      </c>
      <c r="G345" s="396"/>
      <c r="H345" s="397"/>
      <c r="I345" s="383">
        <v>636000</v>
      </c>
      <c r="J345" s="398">
        <v>139158</v>
      </c>
      <c r="K345" s="399" t="s">
        <v>71</v>
      </c>
      <c r="L345" s="399" t="s">
        <v>34</v>
      </c>
      <c r="M345" s="399">
        <v>200</v>
      </c>
      <c r="N345" s="356">
        <v>87100</v>
      </c>
      <c r="O345" s="28" t="b">
        <v>1</v>
      </c>
    </row>
    <row r="346" spans="2:15" s="28" customFormat="1" ht="16.5" customHeight="1">
      <c r="B346" s="20"/>
      <c r="C346" s="20"/>
      <c r="D346" s="254"/>
      <c r="E346" s="379">
        <v>139160</v>
      </c>
      <c r="F346" s="395" t="s">
        <v>628</v>
      </c>
      <c r="G346" s="396"/>
      <c r="H346" s="397"/>
      <c r="I346" s="383">
        <v>683000</v>
      </c>
      <c r="J346" s="398">
        <v>139160</v>
      </c>
      <c r="K346" s="399" t="s">
        <v>71</v>
      </c>
      <c r="L346" s="399" t="s">
        <v>34</v>
      </c>
      <c r="M346" s="399">
        <v>200</v>
      </c>
      <c r="N346" s="356">
        <v>423000</v>
      </c>
      <c r="O346" s="28" t="b">
        <v>1</v>
      </c>
    </row>
    <row r="347" spans="2:15" s="28" customFormat="1" ht="16.5" customHeight="1">
      <c r="B347" s="20"/>
      <c r="C347" s="20"/>
      <c r="D347" s="254"/>
      <c r="E347" s="379">
        <v>139161</v>
      </c>
      <c r="F347" s="395" t="s">
        <v>347</v>
      </c>
      <c r="G347" s="396"/>
      <c r="H347" s="397"/>
      <c r="I347" s="383">
        <v>80500</v>
      </c>
      <c r="J347" s="398">
        <v>139161</v>
      </c>
      <c r="K347" s="399" t="s">
        <v>70</v>
      </c>
      <c r="L347" s="399" t="s">
        <v>34</v>
      </c>
      <c r="M347" s="399">
        <v>20</v>
      </c>
      <c r="N347" s="356">
        <v>44000</v>
      </c>
      <c r="O347" s="28" t="b">
        <v>1</v>
      </c>
    </row>
    <row r="348" spans="2:15" s="28" customFormat="1" ht="16.5" customHeight="1">
      <c r="B348" s="20"/>
      <c r="C348" s="20"/>
      <c r="D348" s="254"/>
      <c r="E348" s="379">
        <v>139163</v>
      </c>
      <c r="F348" s="395" t="s">
        <v>629</v>
      </c>
      <c r="G348" s="396"/>
      <c r="H348" s="397"/>
      <c r="I348" s="383">
        <v>763000</v>
      </c>
      <c r="J348" s="398">
        <v>139163</v>
      </c>
      <c r="K348" s="399" t="s">
        <v>71</v>
      </c>
      <c r="L348" s="399" t="s">
        <v>34</v>
      </c>
      <c r="M348" s="399">
        <v>200</v>
      </c>
      <c r="N348" s="356">
        <v>423000</v>
      </c>
      <c r="O348" s="28" t="b">
        <v>1</v>
      </c>
    </row>
    <row r="349" spans="2:15" s="28" customFormat="1" ht="16.5" customHeight="1">
      <c r="B349" s="20"/>
      <c r="C349" s="20"/>
      <c r="D349" s="254"/>
      <c r="E349" s="379">
        <v>139164</v>
      </c>
      <c r="F349" s="395" t="s">
        <v>348</v>
      </c>
      <c r="G349" s="396"/>
      <c r="H349" s="397"/>
      <c r="I349" s="383">
        <v>80500</v>
      </c>
      <c r="J349" s="398">
        <v>139164</v>
      </c>
      <c r="K349" s="399" t="s">
        <v>70</v>
      </c>
      <c r="L349" s="399" t="s">
        <v>34</v>
      </c>
      <c r="M349" s="399">
        <v>20</v>
      </c>
      <c r="N349" s="356">
        <v>44000</v>
      </c>
      <c r="O349" s="28" t="b">
        <v>1</v>
      </c>
    </row>
    <row r="350" spans="2:15" s="28" customFormat="1" ht="16.5" customHeight="1">
      <c r="B350" s="20"/>
      <c r="C350" s="20"/>
      <c r="D350" s="254"/>
      <c r="E350" s="379">
        <v>139167</v>
      </c>
      <c r="F350" s="395" t="s">
        <v>630</v>
      </c>
      <c r="G350" s="396"/>
      <c r="H350" s="397"/>
      <c r="I350" s="383">
        <v>499000</v>
      </c>
      <c r="J350" s="398">
        <v>139167</v>
      </c>
      <c r="K350" s="399" t="s">
        <v>71</v>
      </c>
      <c r="L350" s="399" t="s">
        <v>34</v>
      </c>
      <c r="M350" s="399">
        <v>200</v>
      </c>
      <c r="N350" s="356">
        <v>455000</v>
      </c>
      <c r="O350" s="28" t="b">
        <v>1</v>
      </c>
    </row>
    <row r="351" spans="2:15" s="28" customFormat="1" ht="16.5" customHeight="1">
      <c r="B351" s="20"/>
      <c r="C351" s="20"/>
      <c r="D351" s="254"/>
      <c r="E351" s="379">
        <v>140145</v>
      </c>
      <c r="F351" s="395" t="s">
        <v>46</v>
      </c>
      <c r="G351" s="396"/>
      <c r="H351" s="397"/>
      <c r="I351" s="383">
        <v>183000</v>
      </c>
      <c r="J351" s="398">
        <v>140145</v>
      </c>
      <c r="K351" s="399" t="s">
        <v>70</v>
      </c>
      <c r="L351" s="399" t="s">
        <v>34</v>
      </c>
      <c r="M351" s="399">
        <v>16</v>
      </c>
      <c r="N351" s="356">
        <v>475000</v>
      </c>
      <c r="O351" s="28" t="b">
        <v>1</v>
      </c>
    </row>
    <row r="352" spans="2:15" s="28" customFormat="1" ht="16.5" customHeight="1">
      <c r="B352" s="20"/>
      <c r="C352" s="20"/>
      <c r="D352" s="254"/>
      <c r="E352" s="379">
        <v>139600</v>
      </c>
      <c r="F352" s="395" t="s">
        <v>767</v>
      </c>
      <c r="G352" s="396"/>
      <c r="H352" s="397"/>
      <c r="I352" s="383">
        <v>482000</v>
      </c>
      <c r="J352" s="398">
        <v>139600</v>
      </c>
      <c r="K352" s="399" t="s">
        <v>70</v>
      </c>
      <c r="L352" s="399" t="s">
        <v>34</v>
      </c>
      <c r="M352" s="399">
        <v>20</v>
      </c>
      <c r="N352" s="356">
        <v>50600</v>
      </c>
      <c r="O352" s="28" t="b">
        <v>1</v>
      </c>
    </row>
    <row r="353" spans="2:15" s="28" customFormat="1" ht="16.5" customHeight="1">
      <c r="B353" s="20"/>
      <c r="C353" s="20"/>
      <c r="D353" s="254"/>
      <c r="E353" s="379">
        <v>139639</v>
      </c>
      <c r="F353" s="395" t="s">
        <v>353</v>
      </c>
      <c r="G353" s="396"/>
      <c r="H353" s="397"/>
      <c r="I353" s="383">
        <v>94100</v>
      </c>
      <c r="J353" s="398">
        <v>139639</v>
      </c>
      <c r="K353" s="399" t="s">
        <v>70</v>
      </c>
      <c r="L353" s="399" t="s">
        <v>34</v>
      </c>
      <c r="M353" s="399">
        <v>20</v>
      </c>
      <c r="N353" s="356">
        <v>539000</v>
      </c>
      <c r="O353" s="28" t="b">
        <v>1</v>
      </c>
    </row>
    <row r="354" spans="2:15" s="28" customFormat="1" ht="16.5" customHeight="1">
      <c r="B354" s="20"/>
      <c r="C354" s="20"/>
      <c r="D354" s="254"/>
      <c r="E354" s="379">
        <v>139643</v>
      </c>
      <c r="F354" s="395" t="s">
        <v>354</v>
      </c>
      <c r="G354" s="396"/>
      <c r="H354" s="397"/>
      <c r="I354" s="383">
        <v>79200</v>
      </c>
      <c r="J354" s="398">
        <v>139643</v>
      </c>
      <c r="K354" s="399" t="s">
        <v>70</v>
      </c>
      <c r="L354" s="399" t="s">
        <v>34</v>
      </c>
      <c r="M354" s="399">
        <v>20</v>
      </c>
      <c r="N354" s="356">
        <v>56700</v>
      </c>
      <c r="O354" s="28" t="b">
        <v>1</v>
      </c>
    </row>
    <row r="355" spans="2:15" s="28" customFormat="1" ht="16.5" customHeight="1">
      <c r="B355" s="20"/>
      <c r="C355" s="20"/>
      <c r="D355" s="254"/>
      <c r="E355" s="379">
        <v>148679</v>
      </c>
      <c r="F355" s="395" t="s">
        <v>421</v>
      </c>
      <c r="G355" s="396"/>
      <c r="H355" s="397"/>
      <c r="I355" s="383">
        <v>645000</v>
      </c>
      <c r="J355" s="398">
        <v>148679</v>
      </c>
      <c r="K355" s="399" t="s">
        <v>71</v>
      </c>
      <c r="L355" s="399" t="s">
        <v>34</v>
      </c>
      <c r="M355" s="399">
        <v>208</v>
      </c>
      <c r="N355" s="356">
        <v>539000</v>
      </c>
      <c r="O355" s="28" t="b">
        <v>1</v>
      </c>
    </row>
    <row r="356" spans="2:15" s="28" customFormat="1" ht="16.5" customHeight="1">
      <c r="B356" s="20"/>
      <c r="C356" s="20"/>
      <c r="D356" s="254"/>
      <c r="E356" s="379">
        <v>141825</v>
      </c>
      <c r="F356" s="395" t="s">
        <v>641</v>
      </c>
      <c r="G356" s="396"/>
      <c r="H356" s="397"/>
      <c r="I356" s="383">
        <v>2660000</v>
      </c>
      <c r="J356" s="398">
        <v>141825</v>
      </c>
      <c r="K356" s="399" t="s">
        <v>71</v>
      </c>
      <c r="L356" s="399" t="s">
        <v>34</v>
      </c>
      <c r="M356" s="399">
        <v>208</v>
      </c>
      <c r="N356" s="356">
        <v>56700</v>
      </c>
      <c r="O356" s="28" t="b">
        <v>1</v>
      </c>
    </row>
    <row r="357" spans="2:15" s="28" customFormat="1" ht="16.5" customHeight="1">
      <c r="B357" s="20"/>
      <c r="C357" s="20"/>
      <c r="D357" s="254"/>
      <c r="E357" s="379">
        <v>139819</v>
      </c>
      <c r="F357" s="395" t="s">
        <v>642</v>
      </c>
      <c r="G357" s="396"/>
      <c r="H357" s="397"/>
      <c r="I357" s="383">
        <v>2692000</v>
      </c>
      <c r="J357" s="398">
        <v>139819</v>
      </c>
      <c r="K357" s="399" t="s">
        <v>71</v>
      </c>
      <c r="L357" s="399" t="s">
        <v>34</v>
      </c>
      <c r="M357" s="399">
        <v>208</v>
      </c>
      <c r="N357" s="356">
        <v>580000</v>
      </c>
      <c r="O357" s="28" t="b">
        <v>1</v>
      </c>
    </row>
    <row r="358" spans="2:15" s="28" customFormat="1" ht="16.5" customHeight="1">
      <c r="B358" s="20"/>
      <c r="C358" s="20"/>
      <c r="D358" s="254"/>
      <c r="E358" s="379">
        <v>139821</v>
      </c>
      <c r="F358" s="395" t="s">
        <v>643</v>
      </c>
      <c r="G358" s="396"/>
      <c r="H358" s="397"/>
      <c r="I358" s="383">
        <v>3429000</v>
      </c>
      <c r="J358" s="398">
        <v>139821</v>
      </c>
      <c r="K358" s="399" t="s">
        <v>71</v>
      </c>
      <c r="L358" s="399" t="s">
        <v>34</v>
      </c>
      <c r="M358" s="399">
        <v>208</v>
      </c>
      <c r="N358" s="356">
        <v>60600</v>
      </c>
      <c r="O358" s="28" t="b">
        <v>1</v>
      </c>
    </row>
    <row r="359" spans="2:15" s="28" customFormat="1" ht="16.5" customHeight="1">
      <c r="B359" s="20"/>
      <c r="C359" s="20"/>
      <c r="D359" s="254"/>
      <c r="E359" s="379">
        <v>143919</v>
      </c>
      <c r="F359" s="395" t="s">
        <v>863</v>
      </c>
      <c r="G359" s="396"/>
      <c r="H359" s="397"/>
      <c r="I359" s="383">
        <v>64000</v>
      </c>
      <c r="J359" s="398">
        <v>143919</v>
      </c>
      <c r="K359" s="399" t="s">
        <v>73</v>
      </c>
      <c r="L359" s="399" t="s">
        <v>34</v>
      </c>
      <c r="M359" s="399">
        <v>4.68</v>
      </c>
      <c r="N359" s="356">
        <v>610000</v>
      </c>
      <c r="O359" s="28" t="b">
        <v>1</v>
      </c>
    </row>
    <row r="360" spans="2:15" s="28" customFormat="1" ht="16.5" customHeight="1">
      <c r="B360" s="20"/>
      <c r="C360" s="20"/>
      <c r="D360" s="254"/>
      <c r="E360" s="379">
        <v>141840</v>
      </c>
      <c r="F360" s="395" t="s">
        <v>358</v>
      </c>
      <c r="G360" s="396"/>
      <c r="H360" s="397"/>
      <c r="I360" s="383">
        <v>270000</v>
      </c>
      <c r="J360" s="398">
        <v>141840</v>
      </c>
      <c r="K360" s="399" t="s">
        <v>70</v>
      </c>
      <c r="L360" s="399" t="s">
        <v>34</v>
      </c>
      <c r="M360" s="399">
        <v>20</v>
      </c>
      <c r="N360" s="356">
        <v>64600</v>
      </c>
      <c r="O360" s="28" t="b">
        <v>1</v>
      </c>
    </row>
    <row r="361" spans="2:15" s="28" customFormat="1" ht="16.5" customHeight="1">
      <c r="B361" s="20"/>
      <c r="C361" s="20"/>
      <c r="D361" s="254"/>
      <c r="E361" s="379">
        <v>139962</v>
      </c>
      <c r="F361" s="395" t="s">
        <v>359</v>
      </c>
      <c r="G361" s="396"/>
      <c r="H361" s="397"/>
      <c r="I361" s="383">
        <v>255000</v>
      </c>
      <c r="J361" s="398">
        <v>139962</v>
      </c>
      <c r="K361" s="399" t="s">
        <v>70</v>
      </c>
      <c r="L361" s="399" t="s">
        <v>34</v>
      </c>
      <c r="M361" s="399">
        <v>20</v>
      </c>
      <c r="N361" s="356">
        <v>636000</v>
      </c>
      <c r="O361" s="28" t="b">
        <v>1</v>
      </c>
    </row>
    <row r="362" spans="2:15" s="28" customFormat="1" ht="16.5" customHeight="1">
      <c r="B362" s="20"/>
      <c r="C362" s="20"/>
      <c r="D362" s="254"/>
      <c r="E362" s="379">
        <v>139963</v>
      </c>
      <c r="F362" s="395" t="s">
        <v>360</v>
      </c>
      <c r="G362" s="396"/>
      <c r="H362" s="397"/>
      <c r="I362" s="383">
        <v>271000</v>
      </c>
      <c r="J362" s="398">
        <v>139963</v>
      </c>
      <c r="K362" s="399" t="s">
        <v>70</v>
      </c>
      <c r="L362" s="399" t="s">
        <v>34</v>
      </c>
      <c r="M362" s="399">
        <v>20</v>
      </c>
      <c r="N362" s="356">
        <v>683000</v>
      </c>
      <c r="O362" s="28" t="b">
        <v>1</v>
      </c>
    </row>
    <row r="363" spans="2:15" s="28" customFormat="1" ht="16.5" customHeight="1">
      <c r="B363" s="20"/>
      <c r="C363" s="20"/>
      <c r="D363" s="254"/>
      <c r="E363" s="379">
        <v>140058</v>
      </c>
      <c r="F363" s="395" t="s">
        <v>645</v>
      </c>
      <c r="G363" s="396"/>
      <c r="H363" s="397"/>
      <c r="I363" s="383">
        <v>520000</v>
      </c>
      <c r="J363" s="398">
        <v>140058</v>
      </c>
      <c r="K363" s="399" t="s">
        <v>71</v>
      </c>
      <c r="L363" s="399" t="s">
        <v>34</v>
      </c>
      <c r="M363" s="399">
        <v>200</v>
      </c>
      <c r="N363" s="356">
        <v>80500</v>
      </c>
      <c r="O363" s="28" t="b">
        <v>1</v>
      </c>
    </row>
    <row r="364" spans="2:15" s="28" customFormat="1" ht="16.5" customHeight="1">
      <c r="B364" s="20"/>
      <c r="C364" s="20"/>
      <c r="D364" s="254"/>
      <c r="E364" s="379">
        <v>140059</v>
      </c>
      <c r="F364" s="395" t="s">
        <v>361</v>
      </c>
      <c r="G364" s="396"/>
      <c r="H364" s="397"/>
      <c r="I364" s="383">
        <v>54000</v>
      </c>
      <c r="J364" s="398">
        <v>140059</v>
      </c>
      <c r="K364" s="399" t="s">
        <v>70</v>
      </c>
      <c r="L364" s="399" t="s">
        <v>34</v>
      </c>
      <c r="M364" s="399">
        <v>20</v>
      </c>
      <c r="N364" s="356">
        <v>763000</v>
      </c>
      <c r="O364" s="28" t="b">
        <v>1</v>
      </c>
    </row>
    <row r="365" spans="2:15" s="28" customFormat="1" ht="16.5" customHeight="1">
      <c r="B365" s="20"/>
      <c r="C365" s="20"/>
      <c r="D365" s="254"/>
      <c r="E365" s="379">
        <v>140107</v>
      </c>
      <c r="F365" s="395" t="s">
        <v>646</v>
      </c>
      <c r="G365" s="396"/>
      <c r="H365" s="397"/>
      <c r="I365" s="383">
        <v>3193000</v>
      </c>
      <c r="J365" s="398">
        <v>140107</v>
      </c>
      <c r="K365" s="399" t="s">
        <v>71</v>
      </c>
      <c r="L365" s="399" t="s">
        <v>34</v>
      </c>
      <c r="M365" s="399">
        <v>193.8</v>
      </c>
      <c r="N365" s="356">
        <v>80500</v>
      </c>
      <c r="O365" s="28" t="b">
        <v>1</v>
      </c>
    </row>
    <row r="366" spans="2:15" s="28" customFormat="1" ht="16.5" customHeight="1">
      <c r="B366" s="20"/>
      <c r="C366" s="20"/>
      <c r="D366" s="254"/>
      <c r="E366" s="379">
        <v>140108</v>
      </c>
      <c r="F366" s="395" t="s">
        <v>647</v>
      </c>
      <c r="G366" s="396"/>
      <c r="H366" s="397"/>
      <c r="I366" s="383">
        <v>3403000</v>
      </c>
      <c r="J366" s="398">
        <v>140108</v>
      </c>
      <c r="K366" s="399" t="s">
        <v>71</v>
      </c>
      <c r="L366" s="399" t="s">
        <v>34</v>
      </c>
      <c r="M366" s="399">
        <v>193.8</v>
      </c>
      <c r="N366" s="356">
        <v>499000</v>
      </c>
      <c r="O366" s="28" t="b">
        <v>1</v>
      </c>
    </row>
    <row r="367" spans="2:15" s="28" customFormat="1" ht="16.5" customHeight="1">
      <c r="B367" s="20"/>
      <c r="C367" s="20"/>
      <c r="D367" s="254"/>
      <c r="E367" s="379">
        <v>140109</v>
      </c>
      <c r="F367" s="395" t="s">
        <v>362</v>
      </c>
      <c r="G367" s="396"/>
      <c r="H367" s="397"/>
      <c r="I367" s="383">
        <v>320000</v>
      </c>
      <c r="J367" s="398">
        <v>140109</v>
      </c>
      <c r="K367" s="399" t="s">
        <v>70</v>
      </c>
      <c r="L367" s="399" t="s">
        <v>34</v>
      </c>
      <c r="M367" s="399">
        <v>17.457000000000001</v>
      </c>
      <c r="N367" s="356">
        <v>183000</v>
      </c>
      <c r="O367" s="28" t="b">
        <v>1</v>
      </c>
    </row>
    <row r="368" spans="2:15" s="28" customFormat="1" ht="16.5" customHeight="1">
      <c r="B368" s="20"/>
      <c r="C368" s="20"/>
      <c r="D368" s="254"/>
      <c r="E368" s="379">
        <v>140110</v>
      </c>
      <c r="F368" s="395" t="s">
        <v>648</v>
      </c>
      <c r="G368" s="396"/>
      <c r="H368" s="397"/>
      <c r="I368" s="383">
        <v>3231000</v>
      </c>
      <c r="J368" s="398">
        <v>140110</v>
      </c>
      <c r="K368" s="399" t="s">
        <v>71</v>
      </c>
      <c r="L368" s="399" t="s">
        <v>34</v>
      </c>
      <c r="M368" s="399">
        <v>193.8</v>
      </c>
      <c r="N368" s="356">
        <v>482000</v>
      </c>
      <c r="O368" s="28" t="b">
        <v>1</v>
      </c>
    </row>
    <row r="369" spans="2:15" s="28" customFormat="1" ht="16.5" customHeight="1">
      <c r="B369" s="20"/>
      <c r="C369" s="20"/>
      <c r="D369" s="254"/>
      <c r="E369" s="379">
        <v>140111</v>
      </c>
      <c r="F369" s="395" t="s">
        <v>363</v>
      </c>
      <c r="G369" s="396"/>
      <c r="H369" s="397"/>
      <c r="I369" s="383">
        <v>326000</v>
      </c>
      <c r="J369" s="398">
        <v>140111</v>
      </c>
      <c r="K369" s="399" t="s">
        <v>70</v>
      </c>
      <c r="L369" s="399" t="s">
        <v>34</v>
      </c>
      <c r="M369" s="399">
        <v>17.329999999999998</v>
      </c>
      <c r="N369" s="356">
        <v>94100</v>
      </c>
      <c r="O369" s="28" t="b">
        <v>1</v>
      </c>
    </row>
    <row r="370" spans="2:15" s="28" customFormat="1" ht="16.5" customHeight="1">
      <c r="B370" s="20"/>
      <c r="C370" s="20"/>
      <c r="D370" s="254"/>
      <c r="E370" s="379">
        <v>140112</v>
      </c>
      <c r="F370" s="395" t="s">
        <v>364</v>
      </c>
      <c r="G370" s="396"/>
      <c r="H370" s="397"/>
      <c r="I370" s="383">
        <v>340000</v>
      </c>
      <c r="J370" s="398">
        <v>140112</v>
      </c>
      <c r="K370" s="399" t="s">
        <v>70</v>
      </c>
      <c r="L370" s="399" t="s">
        <v>34</v>
      </c>
      <c r="M370" s="399">
        <v>17.329999999999998</v>
      </c>
      <c r="N370" s="356">
        <v>79200</v>
      </c>
      <c r="O370" s="28" t="b">
        <v>1</v>
      </c>
    </row>
    <row r="371" spans="2:15" s="28" customFormat="1" ht="16.5" customHeight="1">
      <c r="B371" s="20"/>
      <c r="C371" s="20"/>
      <c r="D371" s="254"/>
      <c r="E371" s="379">
        <v>140139</v>
      </c>
      <c r="F371" s="395" t="s">
        <v>368</v>
      </c>
      <c r="G371" s="396"/>
      <c r="H371" s="397"/>
      <c r="I371" s="383">
        <v>140000</v>
      </c>
      <c r="J371" s="398">
        <v>140139</v>
      </c>
      <c r="K371" s="399" t="s">
        <v>70</v>
      </c>
      <c r="L371" s="399" t="s">
        <v>34</v>
      </c>
      <c r="M371" s="399">
        <v>16</v>
      </c>
      <c r="N371" s="356">
        <v>645000</v>
      </c>
      <c r="O371" s="28" t="b">
        <v>1</v>
      </c>
    </row>
    <row r="372" spans="2:15" s="28" customFormat="1" ht="16.5" customHeight="1">
      <c r="B372" s="20"/>
      <c r="C372" s="20"/>
      <c r="D372" s="254"/>
      <c r="E372" s="379">
        <v>140140</v>
      </c>
      <c r="F372" s="395" t="s">
        <v>369</v>
      </c>
      <c r="G372" s="396"/>
      <c r="H372" s="397"/>
      <c r="I372" s="383">
        <v>120000</v>
      </c>
      <c r="J372" s="398">
        <v>140140</v>
      </c>
      <c r="K372" s="399" t="s">
        <v>70</v>
      </c>
      <c r="L372" s="399" t="s">
        <v>34</v>
      </c>
      <c r="M372" s="399">
        <v>16</v>
      </c>
      <c r="N372" s="356">
        <v>2660000</v>
      </c>
      <c r="O372" s="28" t="b">
        <v>1</v>
      </c>
    </row>
    <row r="373" spans="2:15" s="28" customFormat="1" ht="16.5" customHeight="1">
      <c r="B373" s="20"/>
      <c r="C373" s="20"/>
      <c r="D373" s="254"/>
      <c r="E373" s="379">
        <v>140141</v>
      </c>
      <c r="F373" s="395" t="s">
        <v>370</v>
      </c>
      <c r="G373" s="396"/>
      <c r="H373" s="397"/>
      <c r="I373" s="383">
        <v>188000</v>
      </c>
      <c r="J373" s="398">
        <v>140141</v>
      </c>
      <c r="K373" s="399" t="s">
        <v>70</v>
      </c>
      <c r="L373" s="399" t="s">
        <v>34</v>
      </c>
      <c r="M373" s="399">
        <v>16</v>
      </c>
      <c r="N373" s="356">
        <v>2692000</v>
      </c>
      <c r="O373" s="28" t="b">
        <v>1</v>
      </c>
    </row>
    <row r="374" spans="2:15" s="28" customFormat="1" ht="16.5" customHeight="1">
      <c r="B374" s="20"/>
      <c r="C374" s="20"/>
      <c r="D374" s="254"/>
      <c r="E374" s="379">
        <v>140142</v>
      </c>
      <c r="F374" s="395" t="s">
        <v>371</v>
      </c>
      <c r="G374" s="396"/>
      <c r="H374" s="397"/>
      <c r="I374" s="383">
        <v>130000</v>
      </c>
      <c r="J374" s="398">
        <v>140142</v>
      </c>
      <c r="K374" s="399" t="s">
        <v>70</v>
      </c>
      <c r="L374" s="399" t="s">
        <v>34</v>
      </c>
      <c r="M374" s="399">
        <v>16</v>
      </c>
      <c r="N374" s="356">
        <v>3429000</v>
      </c>
      <c r="O374" s="28" t="b">
        <v>1</v>
      </c>
    </row>
    <row r="375" spans="2:15" s="28" customFormat="1" ht="16.5" customHeight="1">
      <c r="B375" s="20"/>
      <c r="C375" s="20"/>
      <c r="D375" s="254"/>
      <c r="E375" s="379">
        <v>140143</v>
      </c>
      <c r="F375" s="395" t="s">
        <v>372</v>
      </c>
      <c r="G375" s="396"/>
      <c r="H375" s="397"/>
      <c r="I375" s="383">
        <v>203000</v>
      </c>
      <c r="J375" s="398">
        <v>140143</v>
      </c>
      <c r="K375" s="399" t="s">
        <v>70</v>
      </c>
      <c r="L375" s="399" t="s">
        <v>34</v>
      </c>
      <c r="M375" s="399">
        <v>16</v>
      </c>
      <c r="N375" s="356">
        <v>201000</v>
      </c>
      <c r="O375" s="28" t="b">
        <v>1</v>
      </c>
    </row>
    <row r="376" spans="2:15" s="28" customFormat="1" ht="16.5" customHeight="1">
      <c r="B376" s="20"/>
      <c r="C376" s="20"/>
      <c r="D376" s="254"/>
      <c r="E376" s="379">
        <v>140148</v>
      </c>
      <c r="F376" s="395" t="s">
        <v>650</v>
      </c>
      <c r="G376" s="401"/>
      <c r="H376" s="402"/>
      <c r="I376" s="383">
        <v>1484000</v>
      </c>
      <c r="J376" s="398">
        <v>140148</v>
      </c>
      <c r="K376" s="399" t="s">
        <v>71</v>
      </c>
      <c r="L376" s="399" t="s">
        <v>34</v>
      </c>
      <c r="M376" s="399">
        <v>180</v>
      </c>
      <c r="N376" s="356">
        <v>456000</v>
      </c>
      <c r="O376" s="28" t="b">
        <v>1</v>
      </c>
    </row>
    <row r="377" spans="2:15" s="28" customFormat="1" ht="16.5" customHeight="1">
      <c r="B377" s="20"/>
      <c r="C377" s="20"/>
      <c r="D377" s="254"/>
      <c r="E377" s="379">
        <v>140149</v>
      </c>
      <c r="F377" s="395" t="s">
        <v>651</v>
      </c>
      <c r="G377" s="396"/>
      <c r="H377" s="397"/>
      <c r="I377" s="383">
        <v>1303000</v>
      </c>
      <c r="J377" s="398">
        <v>140149</v>
      </c>
      <c r="K377" s="399" t="s">
        <v>71</v>
      </c>
      <c r="L377" s="399" t="s">
        <v>34</v>
      </c>
      <c r="M377" s="399">
        <v>180</v>
      </c>
      <c r="N377" s="356">
        <v>270000</v>
      </c>
      <c r="O377" s="28" t="b">
        <v>1</v>
      </c>
    </row>
    <row r="378" spans="2:15" s="28" customFormat="1" ht="16.5" customHeight="1">
      <c r="B378" s="20"/>
      <c r="C378" s="20"/>
      <c r="D378" s="254"/>
      <c r="E378" s="379">
        <v>140150</v>
      </c>
      <c r="F378" s="395" t="s">
        <v>652</v>
      </c>
      <c r="G378" s="396"/>
      <c r="H378" s="397"/>
      <c r="I378" s="383">
        <v>1484000</v>
      </c>
      <c r="J378" s="398">
        <v>140150</v>
      </c>
      <c r="K378" s="399" t="s">
        <v>71</v>
      </c>
      <c r="L378" s="399" t="s">
        <v>34</v>
      </c>
      <c r="M378" s="399">
        <v>180</v>
      </c>
      <c r="N378" s="356">
        <v>255000</v>
      </c>
      <c r="O378" s="28" t="b">
        <v>1</v>
      </c>
    </row>
    <row r="379" spans="2:15" s="28" customFormat="1" ht="16.5" customHeight="1">
      <c r="B379" s="20"/>
      <c r="C379" s="20"/>
      <c r="D379" s="254"/>
      <c r="E379" s="379">
        <v>140151</v>
      </c>
      <c r="F379" s="395" t="s">
        <v>653</v>
      </c>
      <c r="G379" s="396"/>
      <c r="H379" s="397"/>
      <c r="I379" s="383">
        <v>1568000</v>
      </c>
      <c r="J379" s="398">
        <v>140151</v>
      </c>
      <c r="K379" s="399" t="s">
        <v>71</v>
      </c>
      <c r="L379" s="399" t="s">
        <v>34</v>
      </c>
      <c r="M379" s="399">
        <v>180</v>
      </c>
      <c r="N379" s="356">
        <v>271000</v>
      </c>
      <c r="O379" s="28" t="b">
        <v>1</v>
      </c>
    </row>
    <row r="380" spans="2:15" s="28" customFormat="1" ht="16.5" customHeight="1">
      <c r="B380" s="20"/>
      <c r="C380" s="20"/>
      <c r="D380" s="254"/>
      <c r="E380" s="379">
        <v>140152</v>
      </c>
      <c r="F380" s="395" t="s">
        <v>654</v>
      </c>
      <c r="G380" s="396"/>
      <c r="H380" s="397"/>
      <c r="I380" s="383">
        <v>2126000</v>
      </c>
      <c r="J380" s="398">
        <v>140152</v>
      </c>
      <c r="K380" s="399" t="s">
        <v>71</v>
      </c>
      <c r="L380" s="399" t="s">
        <v>34</v>
      </c>
      <c r="M380" s="399">
        <v>180</v>
      </c>
      <c r="N380" s="356">
        <v>520000</v>
      </c>
      <c r="O380" s="28" t="b">
        <v>1</v>
      </c>
    </row>
    <row r="381" spans="2:15" s="28" customFormat="1" ht="16.5" customHeight="1">
      <c r="B381" s="20"/>
      <c r="C381" s="20"/>
      <c r="D381" s="254"/>
      <c r="E381" s="379">
        <v>140153</v>
      </c>
      <c r="F381" s="395" t="s">
        <v>655</v>
      </c>
      <c r="G381" s="396"/>
      <c r="H381" s="397"/>
      <c r="I381" s="383">
        <v>2128000</v>
      </c>
      <c r="J381" s="398">
        <v>140153</v>
      </c>
      <c r="K381" s="399" t="s">
        <v>71</v>
      </c>
      <c r="L381" s="399" t="s">
        <v>34</v>
      </c>
      <c r="M381" s="399">
        <v>180</v>
      </c>
      <c r="N381" s="356">
        <v>54000</v>
      </c>
      <c r="O381" s="28" t="b">
        <v>1</v>
      </c>
    </row>
    <row r="382" spans="2:15" s="28" customFormat="1" ht="16.5" customHeight="1">
      <c r="B382" s="20"/>
      <c r="C382" s="20"/>
      <c r="D382" s="254"/>
      <c r="E382" s="379">
        <v>140154</v>
      </c>
      <c r="F382" s="395" t="s">
        <v>656</v>
      </c>
      <c r="G382" s="396"/>
      <c r="H382" s="397"/>
      <c r="I382" s="383" t="e">
        <v>#N/A</v>
      </c>
      <c r="J382" s="398">
        <v>140154</v>
      </c>
      <c r="K382" s="399" t="s">
        <v>71</v>
      </c>
      <c r="L382" s="399" t="s">
        <v>34</v>
      </c>
      <c r="M382" s="399">
        <v>180</v>
      </c>
      <c r="N382" s="356">
        <v>3193000</v>
      </c>
      <c r="O382" s="28" t="b">
        <v>1</v>
      </c>
    </row>
    <row r="383" spans="2:15" s="28" customFormat="1" ht="16.5" customHeight="1">
      <c r="B383" s="20"/>
      <c r="C383" s="20"/>
      <c r="D383" s="254"/>
      <c r="E383" s="379">
        <v>140204</v>
      </c>
      <c r="F383" s="395" t="s">
        <v>379</v>
      </c>
      <c r="G383" s="396"/>
      <c r="H383" s="397"/>
      <c r="I383" s="383">
        <v>352000</v>
      </c>
      <c r="J383" s="398">
        <v>140204</v>
      </c>
      <c r="K383" s="399" t="s">
        <v>70</v>
      </c>
      <c r="L383" s="399" t="s">
        <v>34</v>
      </c>
      <c r="M383" s="399">
        <v>16</v>
      </c>
      <c r="N383" s="356">
        <v>3403000</v>
      </c>
      <c r="O383" s="28" t="b">
        <v>1</v>
      </c>
    </row>
    <row r="384" spans="2:15" s="28" customFormat="1" ht="16.5" customHeight="1">
      <c r="B384" s="20"/>
      <c r="C384" s="20"/>
      <c r="D384" s="254"/>
      <c r="E384" s="379">
        <v>140205</v>
      </c>
      <c r="F384" s="395" t="s">
        <v>380</v>
      </c>
      <c r="G384" s="401"/>
      <c r="H384" s="402"/>
      <c r="I384" s="383">
        <v>355000</v>
      </c>
      <c r="J384" s="398">
        <v>140205</v>
      </c>
      <c r="K384" s="399" t="s">
        <v>70</v>
      </c>
      <c r="L384" s="399" t="s">
        <v>34</v>
      </c>
      <c r="M384" s="399">
        <v>16</v>
      </c>
      <c r="N384" s="356">
        <v>320000</v>
      </c>
      <c r="O384" s="28" t="b">
        <v>1</v>
      </c>
    </row>
    <row r="385" spans="2:15" s="28" customFormat="1" ht="16.5" customHeight="1">
      <c r="B385" s="20"/>
      <c r="C385" s="20"/>
      <c r="D385" s="254"/>
      <c r="E385" s="379">
        <v>140206</v>
      </c>
      <c r="F385" s="395" t="s">
        <v>659</v>
      </c>
      <c r="G385" s="396"/>
      <c r="H385" s="397"/>
      <c r="I385" s="383">
        <v>3685000</v>
      </c>
      <c r="J385" s="398">
        <v>140206</v>
      </c>
      <c r="K385" s="399" t="s">
        <v>71</v>
      </c>
      <c r="L385" s="399" t="s">
        <v>34</v>
      </c>
      <c r="M385" s="399">
        <v>174</v>
      </c>
      <c r="N385" s="356">
        <v>3231000</v>
      </c>
      <c r="O385" s="28" t="b">
        <v>1</v>
      </c>
    </row>
    <row r="386" spans="2:15" s="28" customFormat="1" ht="16.5" customHeight="1">
      <c r="B386" s="20"/>
      <c r="C386" s="20"/>
      <c r="D386" s="254"/>
      <c r="E386" s="379">
        <v>140207</v>
      </c>
      <c r="F386" s="395" t="s">
        <v>660</v>
      </c>
      <c r="G386" s="396"/>
      <c r="H386" s="397"/>
      <c r="I386" s="383">
        <v>3777000</v>
      </c>
      <c r="J386" s="398">
        <v>140207</v>
      </c>
      <c r="K386" s="399" t="s">
        <v>71</v>
      </c>
      <c r="L386" s="399" t="s">
        <v>34</v>
      </c>
      <c r="M386" s="399">
        <v>174</v>
      </c>
      <c r="N386" s="356">
        <v>326000</v>
      </c>
      <c r="O386" s="28" t="b">
        <v>1</v>
      </c>
    </row>
    <row r="387" spans="2:15" s="28" customFormat="1" ht="16.5" customHeight="1">
      <c r="B387" s="20"/>
      <c r="C387" s="20"/>
      <c r="D387" s="254"/>
      <c r="E387" s="379">
        <v>140208</v>
      </c>
      <c r="F387" s="395" t="s">
        <v>661</v>
      </c>
      <c r="G387" s="396"/>
      <c r="H387" s="397"/>
      <c r="I387" s="383">
        <v>3689000</v>
      </c>
      <c r="J387" s="398">
        <v>140208</v>
      </c>
      <c r="K387" s="399" t="s">
        <v>71</v>
      </c>
      <c r="L387" s="399" t="s">
        <v>34</v>
      </c>
      <c r="M387" s="399">
        <v>174</v>
      </c>
      <c r="N387" s="356">
        <v>340000</v>
      </c>
      <c r="O387" s="28" t="b">
        <v>1</v>
      </c>
    </row>
    <row r="388" spans="2:15" s="28" customFormat="1" ht="16.5" customHeight="1">
      <c r="B388" s="20"/>
      <c r="C388" s="20"/>
      <c r="D388" s="254"/>
      <c r="E388" s="379">
        <v>140209</v>
      </c>
      <c r="F388" s="395" t="s">
        <v>662</v>
      </c>
      <c r="G388" s="396"/>
      <c r="H388" s="397"/>
      <c r="I388" s="383">
        <v>3730000</v>
      </c>
      <c r="J388" s="398">
        <v>140209</v>
      </c>
      <c r="K388" s="399" t="s">
        <v>71</v>
      </c>
      <c r="L388" s="399" t="s">
        <v>34</v>
      </c>
      <c r="M388" s="399">
        <v>174</v>
      </c>
      <c r="N388" s="356">
        <v>140000</v>
      </c>
      <c r="O388" s="28" t="b">
        <v>1</v>
      </c>
    </row>
    <row r="389" spans="2:15" s="28" customFormat="1" ht="16.5" customHeight="1">
      <c r="B389" s="20"/>
      <c r="C389" s="20"/>
      <c r="D389" s="254"/>
      <c r="E389" s="379">
        <v>140210</v>
      </c>
      <c r="F389" s="395" t="s">
        <v>663</v>
      </c>
      <c r="G389" s="396"/>
      <c r="H389" s="397"/>
      <c r="I389" s="383">
        <v>3687000</v>
      </c>
      <c r="J389" s="398">
        <v>140210</v>
      </c>
      <c r="K389" s="399" t="s">
        <v>71</v>
      </c>
      <c r="L389" s="399" t="s">
        <v>34</v>
      </c>
      <c r="M389" s="399">
        <v>174</v>
      </c>
      <c r="N389" s="356">
        <v>120000</v>
      </c>
      <c r="O389" s="28" t="b">
        <v>1</v>
      </c>
    </row>
    <row r="390" spans="2:15" s="28" customFormat="1" ht="16.5" customHeight="1">
      <c r="B390" s="20"/>
      <c r="C390" s="20"/>
      <c r="D390" s="254"/>
      <c r="E390" s="379">
        <v>140211</v>
      </c>
      <c r="F390" s="395" t="s">
        <v>664</v>
      </c>
      <c r="G390" s="396"/>
      <c r="H390" s="397"/>
      <c r="I390" s="383">
        <v>3730000</v>
      </c>
      <c r="J390" s="398">
        <v>140211</v>
      </c>
      <c r="K390" s="399" t="s">
        <v>71</v>
      </c>
      <c r="L390" s="399" t="s">
        <v>34</v>
      </c>
      <c r="M390" s="399">
        <v>174</v>
      </c>
      <c r="N390" s="356">
        <v>188000</v>
      </c>
      <c r="O390" s="28" t="b">
        <v>1</v>
      </c>
    </row>
    <row r="391" spans="2:15" s="28" customFormat="1" ht="16.5" customHeight="1">
      <c r="B391" s="20"/>
      <c r="C391" s="20"/>
      <c r="D391" s="254"/>
      <c r="E391" s="379">
        <v>140252</v>
      </c>
      <c r="F391" s="395" t="s">
        <v>381</v>
      </c>
      <c r="G391" s="396"/>
      <c r="H391" s="397"/>
      <c r="I391" s="383">
        <v>81000</v>
      </c>
      <c r="J391" s="398">
        <v>140252</v>
      </c>
      <c r="K391" s="399" t="s">
        <v>70</v>
      </c>
      <c r="L391" s="399" t="s">
        <v>34</v>
      </c>
      <c r="M391" s="399">
        <v>16</v>
      </c>
      <c r="N391" s="356">
        <v>130000</v>
      </c>
      <c r="O391" s="28" t="b">
        <v>1</v>
      </c>
    </row>
    <row r="392" spans="2:15" s="28" customFormat="1" ht="16.5" customHeight="1">
      <c r="B392" s="20"/>
      <c r="C392" s="20"/>
      <c r="D392" s="254"/>
      <c r="E392" s="379">
        <v>140254</v>
      </c>
      <c r="F392" s="395" t="s">
        <v>382</v>
      </c>
      <c r="G392" s="396"/>
      <c r="H392" s="397"/>
      <c r="I392" s="383">
        <v>81000</v>
      </c>
      <c r="J392" s="398">
        <v>140254</v>
      </c>
      <c r="K392" s="399" t="s">
        <v>70</v>
      </c>
      <c r="L392" s="399" t="s">
        <v>34</v>
      </c>
      <c r="M392" s="399">
        <v>16</v>
      </c>
      <c r="N392" s="356">
        <v>203000</v>
      </c>
      <c r="O392" s="28" t="b">
        <v>1</v>
      </c>
    </row>
    <row r="393" spans="2:15" s="28" customFormat="1" ht="16.5" customHeight="1">
      <c r="B393" s="20"/>
      <c r="C393" s="20"/>
      <c r="D393" s="254"/>
      <c r="E393" s="379">
        <v>140255</v>
      </c>
      <c r="F393" s="395" t="s">
        <v>383</v>
      </c>
      <c r="G393" s="396"/>
      <c r="H393" s="397"/>
      <c r="I393" s="383">
        <v>81000</v>
      </c>
      <c r="J393" s="398">
        <v>140255</v>
      </c>
      <c r="K393" s="399" t="s">
        <v>70</v>
      </c>
      <c r="L393" s="399" t="s">
        <v>34</v>
      </c>
      <c r="M393" s="399">
        <v>16</v>
      </c>
      <c r="N393" s="356">
        <v>1484000</v>
      </c>
      <c r="O393" s="28" t="b">
        <v>1</v>
      </c>
    </row>
    <row r="394" spans="2:15" s="28" customFormat="1" ht="16.5" customHeight="1">
      <c r="B394" s="20"/>
      <c r="C394" s="20"/>
      <c r="D394" s="254"/>
      <c r="E394" s="379">
        <v>140256</v>
      </c>
      <c r="F394" s="395" t="s">
        <v>384</v>
      </c>
      <c r="G394" s="396"/>
      <c r="H394" s="397"/>
      <c r="I394" s="383">
        <v>81000</v>
      </c>
      <c r="J394" s="398">
        <v>140256</v>
      </c>
      <c r="K394" s="399" t="s">
        <v>70</v>
      </c>
      <c r="L394" s="399" t="s">
        <v>34</v>
      </c>
      <c r="M394" s="399">
        <v>16</v>
      </c>
      <c r="N394" s="356">
        <v>1303000</v>
      </c>
      <c r="O394" s="28" t="b">
        <v>1</v>
      </c>
    </row>
    <row r="395" spans="2:15" s="28" customFormat="1" ht="16.5" customHeight="1">
      <c r="B395" s="20"/>
      <c r="C395" s="20"/>
      <c r="D395" s="254"/>
      <c r="E395" s="379">
        <v>140257</v>
      </c>
      <c r="F395" s="395" t="s">
        <v>127</v>
      </c>
      <c r="G395" s="396"/>
      <c r="H395" s="397"/>
      <c r="I395" s="383">
        <v>728000</v>
      </c>
      <c r="J395" s="398">
        <v>140257</v>
      </c>
      <c r="K395" s="399" t="s">
        <v>71</v>
      </c>
      <c r="L395" s="399" t="s">
        <v>34</v>
      </c>
      <c r="M395" s="399">
        <v>180</v>
      </c>
      <c r="N395" s="356">
        <v>1484000</v>
      </c>
      <c r="O395" s="28" t="b">
        <v>1</v>
      </c>
    </row>
    <row r="396" spans="2:15" s="28" customFormat="1" ht="16.5" customHeight="1">
      <c r="B396" s="20"/>
      <c r="C396" s="20"/>
      <c r="D396" s="254"/>
      <c r="E396" s="379">
        <v>140259</v>
      </c>
      <c r="F396" s="395" t="s">
        <v>665</v>
      </c>
      <c r="G396" s="396"/>
      <c r="H396" s="397"/>
      <c r="I396" s="383">
        <v>728000</v>
      </c>
      <c r="J396" s="398">
        <v>140259</v>
      </c>
      <c r="K396" s="399" t="s">
        <v>71</v>
      </c>
      <c r="L396" s="399" t="s">
        <v>34</v>
      </c>
      <c r="M396" s="399">
        <v>180</v>
      </c>
      <c r="N396" s="356">
        <v>1568000</v>
      </c>
      <c r="O396" s="28" t="b">
        <v>1</v>
      </c>
    </row>
    <row r="397" spans="2:15" s="28" customFormat="1" ht="16.5" customHeight="1">
      <c r="B397" s="20"/>
      <c r="C397" s="20"/>
      <c r="D397" s="254"/>
      <c r="E397" s="379">
        <v>140260</v>
      </c>
      <c r="F397" s="395" t="s">
        <v>666</v>
      </c>
      <c r="G397" s="396"/>
      <c r="H397" s="397"/>
      <c r="I397" s="383">
        <v>728000</v>
      </c>
      <c r="J397" s="398">
        <v>140260</v>
      </c>
      <c r="K397" s="399" t="s">
        <v>71</v>
      </c>
      <c r="L397" s="399" t="s">
        <v>34</v>
      </c>
      <c r="M397" s="399">
        <v>180</v>
      </c>
      <c r="N397" s="356">
        <v>2126000</v>
      </c>
      <c r="O397" s="28" t="b">
        <v>1</v>
      </c>
    </row>
    <row r="398" spans="2:15" s="28" customFormat="1" ht="16.5" customHeight="1">
      <c r="B398" s="20"/>
      <c r="C398" s="20"/>
      <c r="D398" s="254"/>
      <c r="E398" s="379">
        <v>140261</v>
      </c>
      <c r="F398" s="395" t="s">
        <v>667</v>
      </c>
      <c r="G398" s="396"/>
      <c r="H398" s="397"/>
      <c r="I398" s="383">
        <v>728000</v>
      </c>
      <c r="J398" s="398">
        <v>140261</v>
      </c>
      <c r="K398" s="399" t="s">
        <v>71</v>
      </c>
      <c r="L398" s="399" t="s">
        <v>34</v>
      </c>
      <c r="M398" s="399">
        <v>180</v>
      </c>
      <c r="N398" s="356">
        <v>2128000</v>
      </c>
      <c r="O398" s="28" t="b">
        <v>1</v>
      </c>
    </row>
    <row r="399" spans="2:15" s="28" customFormat="1" ht="16.5" customHeight="1">
      <c r="B399" s="20"/>
      <c r="C399" s="20"/>
      <c r="D399" s="254"/>
      <c r="E399" s="379">
        <v>140262</v>
      </c>
      <c r="F399" s="395" t="s">
        <v>668</v>
      </c>
      <c r="G399" s="396"/>
      <c r="H399" s="397"/>
      <c r="I399" s="383">
        <v>728000</v>
      </c>
      <c r="J399" s="398">
        <v>140262</v>
      </c>
      <c r="K399" s="399" t="s">
        <v>71</v>
      </c>
      <c r="L399" s="399" t="s">
        <v>34</v>
      </c>
      <c r="M399" s="399">
        <v>180</v>
      </c>
      <c r="N399" s="356" t="e">
        <v>#N/A</v>
      </c>
      <c r="O399" s="28" t="e">
        <v>#N/A</v>
      </c>
    </row>
    <row r="400" spans="2:15" s="28" customFormat="1" ht="16.5" customHeight="1">
      <c r="B400" s="20"/>
      <c r="C400" s="20"/>
      <c r="D400" s="254"/>
      <c r="E400" s="379">
        <v>140263</v>
      </c>
      <c r="F400" s="395" t="s">
        <v>126</v>
      </c>
      <c r="G400" s="396"/>
      <c r="H400" s="397"/>
      <c r="I400" s="383">
        <v>81000</v>
      </c>
      <c r="J400" s="398">
        <v>140263</v>
      </c>
      <c r="K400" s="399" t="s">
        <v>70</v>
      </c>
      <c r="L400" s="399" t="s">
        <v>34</v>
      </c>
      <c r="M400" s="399">
        <v>16</v>
      </c>
      <c r="N400" s="356">
        <v>352000</v>
      </c>
      <c r="O400" s="28" t="b">
        <v>1</v>
      </c>
    </row>
    <row r="401" spans="2:15" s="28" customFormat="1" ht="16.5" customHeight="1">
      <c r="B401" s="20"/>
      <c r="C401" s="20"/>
      <c r="D401" s="254"/>
      <c r="E401" s="379">
        <v>140355</v>
      </c>
      <c r="F401" s="395" t="s">
        <v>385</v>
      </c>
      <c r="G401" s="396"/>
      <c r="H401" s="397"/>
      <c r="I401" s="383" t="e">
        <v>#N/A</v>
      </c>
      <c r="J401" s="398">
        <v>140355</v>
      </c>
      <c r="K401" s="399" t="s">
        <v>70</v>
      </c>
      <c r="L401" s="399" t="s">
        <v>34</v>
      </c>
      <c r="M401" s="399">
        <v>18</v>
      </c>
      <c r="N401" s="356">
        <v>355000</v>
      </c>
      <c r="O401" s="28" t="b">
        <v>1</v>
      </c>
    </row>
    <row r="402" spans="2:15" s="28" customFormat="1" ht="16.5" customHeight="1">
      <c r="B402" s="20"/>
      <c r="C402" s="20"/>
      <c r="D402" s="254"/>
      <c r="E402" s="379">
        <v>140435</v>
      </c>
      <c r="F402" s="395" t="s">
        <v>89</v>
      </c>
      <c r="G402" s="396"/>
      <c r="H402" s="397"/>
      <c r="I402" s="383">
        <v>395000</v>
      </c>
      <c r="J402" s="398">
        <v>140435</v>
      </c>
      <c r="K402" s="399" t="s">
        <v>70</v>
      </c>
      <c r="L402" s="399" t="s">
        <v>34</v>
      </c>
      <c r="M402" s="399">
        <v>20</v>
      </c>
      <c r="N402" s="356">
        <v>3685000</v>
      </c>
      <c r="O402" s="28" t="b">
        <v>1</v>
      </c>
    </row>
    <row r="403" spans="2:15" s="28" customFormat="1" ht="16.5" customHeight="1">
      <c r="B403" s="20"/>
      <c r="C403" s="20"/>
      <c r="D403" s="254"/>
      <c r="E403" s="379">
        <v>140485</v>
      </c>
      <c r="F403" s="395" t="s">
        <v>386</v>
      </c>
      <c r="G403" s="396"/>
      <c r="H403" s="397"/>
      <c r="I403" s="383">
        <v>107000</v>
      </c>
      <c r="J403" s="398">
        <v>140485</v>
      </c>
      <c r="K403" s="399" t="s">
        <v>70</v>
      </c>
      <c r="L403" s="399" t="s">
        <v>34</v>
      </c>
      <c r="M403" s="399">
        <v>20</v>
      </c>
      <c r="N403" s="356">
        <v>3777000</v>
      </c>
      <c r="O403" s="28" t="b">
        <v>1</v>
      </c>
    </row>
    <row r="404" spans="2:15" s="28" customFormat="1" ht="16.5" customHeight="1">
      <c r="B404" s="20"/>
      <c r="C404" s="20"/>
      <c r="D404" s="254"/>
      <c r="E404" s="379">
        <v>140499</v>
      </c>
      <c r="F404" s="395" t="s">
        <v>670</v>
      </c>
      <c r="G404" s="396"/>
      <c r="H404" s="397"/>
      <c r="I404" s="383">
        <v>3384000</v>
      </c>
      <c r="J404" s="398">
        <v>140499</v>
      </c>
      <c r="K404" s="399" t="s">
        <v>71</v>
      </c>
      <c r="L404" s="399" t="s">
        <v>34</v>
      </c>
      <c r="M404" s="399">
        <v>208</v>
      </c>
      <c r="N404" s="356">
        <v>3689000</v>
      </c>
      <c r="O404" s="28" t="b">
        <v>1</v>
      </c>
    </row>
    <row r="405" spans="2:15" s="28" customFormat="1" ht="16.5" customHeight="1">
      <c r="B405" s="20"/>
      <c r="C405" s="20"/>
      <c r="D405" s="254"/>
      <c r="E405" s="379">
        <v>140501</v>
      </c>
      <c r="F405" s="395" t="s">
        <v>671</v>
      </c>
      <c r="G405" s="396"/>
      <c r="H405" s="397"/>
      <c r="I405" s="383">
        <v>4442000</v>
      </c>
      <c r="J405" s="398">
        <v>140501</v>
      </c>
      <c r="K405" s="399" t="s">
        <v>71</v>
      </c>
      <c r="L405" s="399" t="s">
        <v>34</v>
      </c>
      <c r="M405" s="399">
        <v>208</v>
      </c>
      <c r="N405" s="356">
        <v>3730000</v>
      </c>
      <c r="O405" s="28" t="b">
        <v>1</v>
      </c>
    </row>
    <row r="406" spans="2:15" s="28" customFormat="1" ht="16.5" customHeight="1">
      <c r="B406" s="20"/>
      <c r="C406" s="20"/>
      <c r="D406" s="254"/>
      <c r="E406" s="379">
        <v>140503</v>
      </c>
      <c r="F406" s="395" t="s">
        <v>672</v>
      </c>
      <c r="G406" s="396"/>
      <c r="H406" s="397"/>
      <c r="I406" s="383">
        <v>4515000</v>
      </c>
      <c r="J406" s="398">
        <v>140503</v>
      </c>
      <c r="K406" s="399" t="s">
        <v>71</v>
      </c>
      <c r="L406" s="399" t="s">
        <v>34</v>
      </c>
      <c r="M406" s="399">
        <v>208</v>
      </c>
      <c r="N406" s="356">
        <v>3687000</v>
      </c>
      <c r="O406" s="28" t="b">
        <v>1</v>
      </c>
    </row>
    <row r="407" spans="2:15" s="28" customFormat="1" ht="16.5" customHeight="1">
      <c r="B407" s="20"/>
      <c r="C407" s="20"/>
      <c r="D407" s="254"/>
      <c r="E407" s="379">
        <v>140541</v>
      </c>
      <c r="F407" s="395" t="s">
        <v>387</v>
      </c>
      <c r="G407" s="396"/>
      <c r="H407" s="397"/>
      <c r="I407" s="383"/>
      <c r="J407" s="398">
        <v>140541</v>
      </c>
      <c r="K407" s="399" t="s">
        <v>70</v>
      </c>
      <c r="L407" s="399" t="s">
        <v>34</v>
      </c>
      <c r="M407" s="399">
        <v>20</v>
      </c>
      <c r="N407" s="356">
        <v>3730000</v>
      </c>
      <c r="O407" s="28" t="b">
        <v>1</v>
      </c>
    </row>
    <row r="408" spans="2:15" s="28" customFormat="1" ht="16.5" customHeight="1">
      <c r="B408" s="20"/>
      <c r="C408" s="20"/>
      <c r="D408" s="254"/>
      <c r="E408" s="379">
        <v>140627</v>
      </c>
      <c r="F408" s="395" t="s">
        <v>676</v>
      </c>
      <c r="G408" s="396"/>
      <c r="H408" s="397"/>
      <c r="I408" s="383">
        <v>746000</v>
      </c>
      <c r="J408" s="398">
        <v>140627</v>
      </c>
      <c r="K408" s="399" t="s">
        <v>71</v>
      </c>
      <c r="L408" s="399" t="s">
        <v>34</v>
      </c>
      <c r="M408" s="399">
        <v>200</v>
      </c>
      <c r="N408" s="356">
        <v>81000</v>
      </c>
      <c r="O408" s="28" t="b">
        <v>1</v>
      </c>
    </row>
    <row r="409" spans="2:15" s="28" customFormat="1" ht="16.5" customHeight="1">
      <c r="B409" s="20"/>
      <c r="C409" s="20"/>
      <c r="D409" s="254"/>
      <c r="E409" s="379">
        <v>140629</v>
      </c>
      <c r="F409" s="395" t="s">
        <v>677</v>
      </c>
      <c r="G409" s="396"/>
      <c r="H409" s="397"/>
      <c r="I409" s="383">
        <v>746000</v>
      </c>
      <c r="J409" s="398">
        <v>140629</v>
      </c>
      <c r="K409" s="399" t="s">
        <v>71</v>
      </c>
      <c r="L409" s="399" t="s">
        <v>34</v>
      </c>
      <c r="M409" s="399">
        <v>200</v>
      </c>
      <c r="N409" s="356">
        <v>81000</v>
      </c>
      <c r="O409" s="28" t="b">
        <v>1</v>
      </c>
    </row>
    <row r="410" spans="2:15" s="28" customFormat="1" ht="16.5" customHeight="1">
      <c r="B410" s="20"/>
      <c r="C410" s="20"/>
      <c r="D410" s="254"/>
      <c r="E410" s="379">
        <v>140631</v>
      </c>
      <c r="F410" s="395" t="s">
        <v>678</v>
      </c>
      <c r="G410" s="396"/>
      <c r="H410" s="397"/>
      <c r="I410" s="383">
        <v>746000</v>
      </c>
      <c r="J410" s="398">
        <v>140631</v>
      </c>
      <c r="K410" s="399" t="s">
        <v>71</v>
      </c>
      <c r="L410" s="399" t="s">
        <v>34</v>
      </c>
      <c r="M410" s="399">
        <v>200</v>
      </c>
      <c r="N410" s="356">
        <v>81000</v>
      </c>
      <c r="O410" s="28" t="b">
        <v>1</v>
      </c>
    </row>
    <row r="411" spans="2:15" s="28" customFormat="1" ht="16.5" customHeight="1">
      <c r="B411" s="20"/>
      <c r="C411" s="20"/>
      <c r="D411" s="254"/>
      <c r="E411" s="379">
        <v>140675</v>
      </c>
      <c r="F411" s="395" t="s">
        <v>388</v>
      </c>
      <c r="G411" s="396"/>
      <c r="H411" s="397"/>
      <c r="I411" s="383">
        <v>79200</v>
      </c>
      <c r="J411" s="398">
        <v>140675</v>
      </c>
      <c r="K411" s="399" t="s">
        <v>70</v>
      </c>
      <c r="L411" s="399" t="s">
        <v>34</v>
      </c>
      <c r="M411" s="399">
        <v>20</v>
      </c>
      <c r="N411" s="356">
        <v>81000</v>
      </c>
      <c r="O411" s="28" t="b">
        <v>1</v>
      </c>
    </row>
    <row r="412" spans="2:15" s="28" customFormat="1" ht="16.5" customHeight="1">
      <c r="B412" s="20"/>
      <c r="C412" s="20"/>
      <c r="D412" s="254"/>
      <c r="E412" s="379">
        <v>140676</v>
      </c>
      <c r="F412" s="395" t="s">
        <v>389</v>
      </c>
      <c r="G412" s="396"/>
      <c r="H412" s="397"/>
      <c r="I412" s="383">
        <v>79200</v>
      </c>
      <c r="J412" s="398">
        <v>140676</v>
      </c>
      <c r="K412" s="399" t="s">
        <v>70</v>
      </c>
      <c r="L412" s="399" t="s">
        <v>34</v>
      </c>
      <c r="M412" s="399">
        <v>20</v>
      </c>
      <c r="N412" s="356">
        <v>728000</v>
      </c>
      <c r="O412" s="28" t="b">
        <v>1</v>
      </c>
    </row>
    <row r="413" spans="2:15" s="28" customFormat="1" ht="16.5" customHeight="1">
      <c r="B413" s="20"/>
      <c r="C413" s="20"/>
      <c r="D413" s="254"/>
      <c r="E413" s="379">
        <v>140677</v>
      </c>
      <c r="F413" s="395" t="s">
        <v>390</v>
      </c>
      <c r="G413" s="396"/>
      <c r="H413" s="397"/>
      <c r="I413" s="383">
        <v>79200</v>
      </c>
      <c r="J413" s="398">
        <v>140677</v>
      </c>
      <c r="K413" s="399" t="s">
        <v>70</v>
      </c>
      <c r="L413" s="399" t="s">
        <v>34</v>
      </c>
      <c r="M413" s="399">
        <v>20</v>
      </c>
      <c r="N413" s="356">
        <v>728000</v>
      </c>
      <c r="O413" s="28" t="b">
        <v>1</v>
      </c>
    </row>
    <row r="414" spans="2:15" s="28" customFormat="1" ht="16.5" customHeight="1">
      <c r="B414" s="20"/>
      <c r="C414" s="20"/>
      <c r="D414" s="254"/>
      <c r="E414" s="379">
        <v>140787</v>
      </c>
      <c r="F414" s="395" t="s">
        <v>682</v>
      </c>
      <c r="G414" s="396"/>
      <c r="H414" s="397"/>
      <c r="I414" s="383">
        <v>1151000</v>
      </c>
      <c r="J414" s="398">
        <v>140787</v>
      </c>
      <c r="K414" s="399" t="s">
        <v>71</v>
      </c>
      <c r="L414" s="399" t="s">
        <v>34</v>
      </c>
      <c r="M414" s="399">
        <v>208</v>
      </c>
      <c r="N414" s="356">
        <v>728000</v>
      </c>
      <c r="O414" s="28" t="b">
        <v>1</v>
      </c>
    </row>
    <row r="415" spans="2:15" s="28" customFormat="1" ht="16.5" customHeight="1">
      <c r="B415" s="20"/>
      <c r="C415" s="20"/>
      <c r="D415" s="254"/>
      <c r="E415" s="379">
        <v>140817</v>
      </c>
      <c r="F415" s="395" t="s">
        <v>122</v>
      </c>
      <c r="G415" s="396"/>
      <c r="H415" s="397"/>
      <c r="I415" s="383" t="e">
        <v>#N/A</v>
      </c>
      <c r="J415" s="398">
        <v>140817</v>
      </c>
      <c r="K415" s="399" t="s">
        <v>71</v>
      </c>
      <c r="L415" s="399" t="s">
        <v>34</v>
      </c>
      <c r="M415" s="399">
        <v>208</v>
      </c>
      <c r="N415" s="356">
        <v>728000</v>
      </c>
      <c r="O415" s="28" t="b">
        <v>1</v>
      </c>
    </row>
    <row r="416" spans="2:15" s="28" customFormat="1" ht="16.5" customHeight="1">
      <c r="B416" s="20"/>
      <c r="C416" s="20"/>
      <c r="D416" s="254"/>
      <c r="E416" s="379">
        <v>140854</v>
      </c>
      <c r="F416" s="395" t="s">
        <v>756</v>
      </c>
      <c r="G416" s="396"/>
      <c r="H416" s="397"/>
      <c r="I416" s="383">
        <v>287000</v>
      </c>
      <c r="J416" s="398">
        <v>140854</v>
      </c>
      <c r="K416" s="399" t="s">
        <v>70</v>
      </c>
      <c r="L416" s="399" t="s">
        <v>34</v>
      </c>
      <c r="M416" s="399">
        <v>20</v>
      </c>
      <c r="N416" s="356">
        <v>728000</v>
      </c>
      <c r="O416" s="28" t="b">
        <v>1</v>
      </c>
    </row>
    <row r="417" spans="2:15" s="28" customFormat="1" ht="16.5" customHeight="1">
      <c r="B417" s="20"/>
      <c r="C417" s="20"/>
      <c r="D417" s="254"/>
      <c r="E417" s="379">
        <v>141187</v>
      </c>
      <c r="F417" s="395" t="s">
        <v>125</v>
      </c>
      <c r="G417" s="396"/>
      <c r="H417" s="397"/>
      <c r="I417" s="383"/>
      <c r="J417" s="398">
        <v>141187</v>
      </c>
      <c r="K417" s="399" t="s">
        <v>71</v>
      </c>
      <c r="L417" s="399" t="s">
        <v>34</v>
      </c>
      <c r="M417" s="399">
        <v>200</v>
      </c>
      <c r="N417" s="356">
        <v>81000</v>
      </c>
      <c r="O417" s="28" t="b">
        <v>1</v>
      </c>
    </row>
    <row r="418" spans="2:15" s="28" customFormat="1" ht="16.5" customHeight="1">
      <c r="B418" s="20"/>
      <c r="C418" s="20"/>
      <c r="D418" s="254"/>
      <c r="E418" s="379">
        <v>141361</v>
      </c>
      <c r="F418" s="395" t="s">
        <v>391</v>
      </c>
      <c r="G418" s="396"/>
      <c r="H418" s="397"/>
      <c r="I418" s="383">
        <v>476000</v>
      </c>
      <c r="J418" s="398">
        <v>141361</v>
      </c>
      <c r="K418" s="399" t="s">
        <v>70</v>
      </c>
      <c r="L418" s="399" t="s">
        <v>34</v>
      </c>
      <c r="M418" s="399">
        <v>16</v>
      </c>
      <c r="N418" s="356" t="e">
        <v>#N/A</v>
      </c>
      <c r="O418" s="28" t="e">
        <v>#N/A</v>
      </c>
    </row>
    <row r="419" spans="2:15" s="28" customFormat="1" ht="16.5" customHeight="1">
      <c r="B419" s="20"/>
      <c r="C419" s="20"/>
      <c r="D419" s="254"/>
      <c r="E419" s="379">
        <v>141367</v>
      </c>
      <c r="F419" s="395" t="s">
        <v>392</v>
      </c>
      <c r="G419" s="396"/>
      <c r="H419" s="397"/>
      <c r="I419" s="383">
        <v>107000</v>
      </c>
      <c r="J419" s="398">
        <v>141367</v>
      </c>
      <c r="K419" s="399" t="s">
        <v>70</v>
      </c>
      <c r="L419" s="399" t="s">
        <v>34</v>
      </c>
      <c r="M419" s="399">
        <v>20</v>
      </c>
      <c r="N419" s="356">
        <v>395000</v>
      </c>
      <c r="O419" s="28" t="b">
        <v>1</v>
      </c>
    </row>
    <row r="420" spans="2:15" s="28" customFormat="1" ht="16.5" customHeight="1">
      <c r="B420" s="20"/>
      <c r="C420" s="20"/>
      <c r="D420" s="254"/>
      <c r="E420" s="379">
        <v>148677</v>
      </c>
      <c r="F420" s="395" t="s">
        <v>134</v>
      </c>
      <c r="G420" s="396"/>
      <c r="H420" s="397"/>
      <c r="I420" s="383">
        <v>1029000</v>
      </c>
      <c r="J420" s="398">
        <v>148677</v>
      </c>
      <c r="K420" s="399" t="s">
        <v>71</v>
      </c>
      <c r="L420" s="399" t="s">
        <v>34</v>
      </c>
      <c r="M420" s="399">
        <v>200</v>
      </c>
      <c r="N420" s="356">
        <v>107000</v>
      </c>
      <c r="O420" s="28" t="b">
        <v>1</v>
      </c>
    </row>
    <row r="421" spans="2:15" s="28" customFormat="1" ht="16.5" customHeight="1">
      <c r="B421" s="20"/>
      <c r="C421" s="20"/>
      <c r="D421" s="254"/>
      <c r="E421" s="379">
        <v>141429</v>
      </c>
      <c r="F421" s="395" t="s">
        <v>119</v>
      </c>
      <c r="G421" s="396"/>
      <c r="H421" s="397"/>
      <c r="I421" s="383">
        <v>4915000</v>
      </c>
      <c r="J421" s="398">
        <v>141429</v>
      </c>
      <c r="K421" s="399" t="s">
        <v>71</v>
      </c>
      <c r="L421" s="399" t="s">
        <v>34</v>
      </c>
      <c r="M421" s="399">
        <v>174</v>
      </c>
      <c r="N421" s="356">
        <v>3384000</v>
      </c>
      <c r="O421" s="28" t="b">
        <v>1</v>
      </c>
    </row>
    <row r="422" spans="2:15" s="28" customFormat="1" ht="16.5" customHeight="1">
      <c r="B422" s="20"/>
      <c r="C422" s="20"/>
      <c r="D422" s="254"/>
      <c r="E422" s="379">
        <v>141467</v>
      </c>
      <c r="F422" s="395" t="s">
        <v>393</v>
      </c>
      <c r="G422" s="396"/>
      <c r="H422" s="397"/>
      <c r="I422" s="383">
        <v>233000</v>
      </c>
      <c r="J422" s="398">
        <v>141467</v>
      </c>
      <c r="K422" s="399" t="s">
        <v>70</v>
      </c>
      <c r="L422" s="399" t="s">
        <v>34</v>
      </c>
      <c r="M422" s="399">
        <v>15.87</v>
      </c>
      <c r="N422" s="356">
        <v>4442000</v>
      </c>
      <c r="O422" s="28" t="b">
        <v>1</v>
      </c>
    </row>
    <row r="423" spans="2:15" s="28" customFormat="1" ht="16.5" customHeight="1">
      <c r="B423" s="20"/>
      <c r="C423" s="20"/>
      <c r="D423" s="254"/>
      <c r="E423" s="379">
        <v>141468</v>
      </c>
      <c r="F423" s="395" t="s">
        <v>686</v>
      </c>
      <c r="G423" s="396"/>
      <c r="H423" s="397"/>
      <c r="I423" s="383">
        <v>2439000</v>
      </c>
      <c r="J423" s="398">
        <v>141468</v>
      </c>
      <c r="K423" s="399" t="s">
        <v>71</v>
      </c>
      <c r="L423" s="399" t="s">
        <v>34</v>
      </c>
      <c r="M423" s="399">
        <v>180</v>
      </c>
      <c r="N423" s="356">
        <v>4515000</v>
      </c>
      <c r="O423" s="28" t="b">
        <v>1</v>
      </c>
    </row>
    <row r="424" spans="2:15" s="28" customFormat="1" ht="16.5" customHeight="1">
      <c r="B424" s="20"/>
      <c r="C424" s="20"/>
      <c r="D424" s="254"/>
      <c r="E424" s="379">
        <v>141654</v>
      </c>
      <c r="F424" s="395" t="s">
        <v>394</v>
      </c>
      <c r="G424" s="396"/>
      <c r="H424" s="397"/>
      <c r="I424" s="383">
        <v>62700</v>
      </c>
      <c r="J424" s="398">
        <v>141654</v>
      </c>
      <c r="K424" s="399" t="s">
        <v>70</v>
      </c>
      <c r="L424" s="399" t="s">
        <v>34</v>
      </c>
      <c r="M424" s="399">
        <v>20</v>
      </c>
      <c r="N424" s="356" t="e">
        <v>#N/A</v>
      </c>
      <c r="O424" s="28" t="e">
        <v>#N/A</v>
      </c>
    </row>
    <row r="425" spans="2:15" s="28" customFormat="1" ht="16.5" customHeight="1">
      <c r="B425" s="20"/>
      <c r="C425" s="20"/>
      <c r="D425" s="254"/>
      <c r="E425" s="379">
        <v>141655</v>
      </c>
      <c r="F425" s="395" t="s">
        <v>689</v>
      </c>
      <c r="G425" s="396"/>
      <c r="H425" s="397"/>
      <c r="I425" s="383">
        <v>582000</v>
      </c>
      <c r="J425" s="398">
        <v>141655</v>
      </c>
      <c r="K425" s="399" t="s">
        <v>71</v>
      </c>
      <c r="L425" s="399" t="s">
        <v>34</v>
      </c>
      <c r="M425" s="399">
        <v>200</v>
      </c>
      <c r="N425" s="356">
        <v>746000</v>
      </c>
      <c r="O425" s="28" t="b">
        <v>1</v>
      </c>
    </row>
    <row r="426" spans="2:15" s="28" customFormat="1" ht="16.5" customHeight="1">
      <c r="B426" s="20"/>
      <c r="C426" s="20"/>
      <c r="D426" s="254"/>
      <c r="E426" s="379">
        <v>141657</v>
      </c>
      <c r="F426" s="395" t="s">
        <v>395</v>
      </c>
      <c r="G426" s="396"/>
      <c r="H426" s="397"/>
      <c r="I426" s="383">
        <v>62700</v>
      </c>
      <c r="J426" s="398">
        <v>141657</v>
      </c>
      <c r="K426" s="399" t="s">
        <v>70</v>
      </c>
      <c r="L426" s="399" t="s">
        <v>34</v>
      </c>
      <c r="M426" s="399">
        <v>20</v>
      </c>
      <c r="N426" s="356">
        <v>746000</v>
      </c>
      <c r="O426" s="28" t="b">
        <v>1</v>
      </c>
    </row>
    <row r="427" spans="2:15" s="28" customFormat="1" ht="16.5" customHeight="1">
      <c r="B427" s="20"/>
      <c r="C427" s="20"/>
      <c r="D427" s="254"/>
      <c r="E427" s="379">
        <v>141658</v>
      </c>
      <c r="F427" s="395" t="s">
        <v>691</v>
      </c>
      <c r="G427" s="396"/>
      <c r="H427" s="397"/>
      <c r="I427" s="383">
        <v>582000</v>
      </c>
      <c r="J427" s="398">
        <v>141658</v>
      </c>
      <c r="K427" s="399" t="s">
        <v>71</v>
      </c>
      <c r="L427" s="399" t="s">
        <v>34</v>
      </c>
      <c r="M427" s="399">
        <v>200</v>
      </c>
      <c r="N427" s="356">
        <v>746000</v>
      </c>
      <c r="O427" s="28" t="b">
        <v>1</v>
      </c>
    </row>
    <row r="428" spans="2:15" s="28" customFormat="1" ht="16.5" customHeight="1">
      <c r="B428" s="20"/>
      <c r="C428" s="20"/>
      <c r="D428" s="254"/>
      <c r="E428" s="379">
        <v>141666</v>
      </c>
      <c r="F428" s="395" t="s">
        <v>693</v>
      </c>
      <c r="G428" s="396"/>
      <c r="H428" s="397"/>
      <c r="I428" s="383">
        <v>755000</v>
      </c>
      <c r="J428" s="398">
        <v>141666</v>
      </c>
      <c r="K428" s="399" t="s">
        <v>71</v>
      </c>
      <c r="L428" s="399" t="s">
        <v>34</v>
      </c>
      <c r="M428" s="399">
        <v>200</v>
      </c>
      <c r="N428" s="356">
        <v>79200</v>
      </c>
      <c r="O428" s="28" t="b">
        <v>1</v>
      </c>
    </row>
    <row r="429" spans="2:15" s="28" customFormat="1" ht="16.5" customHeight="1">
      <c r="B429" s="20"/>
      <c r="C429" s="20"/>
      <c r="D429" s="254"/>
      <c r="E429" s="379">
        <v>141667</v>
      </c>
      <c r="F429" s="395" t="s">
        <v>694</v>
      </c>
      <c r="G429" s="396"/>
      <c r="H429" s="397"/>
      <c r="I429" s="383">
        <v>755000</v>
      </c>
      <c r="J429" s="398">
        <v>141667</v>
      </c>
      <c r="K429" s="399" t="s">
        <v>71</v>
      </c>
      <c r="L429" s="399" t="s">
        <v>34</v>
      </c>
      <c r="M429" s="399">
        <v>200</v>
      </c>
      <c r="N429" s="356">
        <v>79200</v>
      </c>
      <c r="O429" s="28" t="b">
        <v>1</v>
      </c>
    </row>
    <row r="430" spans="2:15" s="28" customFormat="1" ht="16.5" customHeight="1">
      <c r="B430" s="20"/>
      <c r="C430" s="20"/>
      <c r="D430" s="254"/>
      <c r="E430" s="379">
        <v>141737</v>
      </c>
      <c r="F430" s="395" t="s">
        <v>116</v>
      </c>
      <c r="G430" s="396"/>
      <c r="H430" s="397"/>
      <c r="I430" s="383">
        <v>56300</v>
      </c>
      <c r="J430" s="398">
        <v>141737</v>
      </c>
      <c r="K430" s="399" t="s">
        <v>70</v>
      </c>
      <c r="L430" s="399" t="s">
        <v>34</v>
      </c>
      <c r="M430" s="399">
        <v>20</v>
      </c>
      <c r="N430" s="356">
        <v>79200</v>
      </c>
      <c r="O430" s="28" t="b">
        <v>1</v>
      </c>
    </row>
    <row r="431" spans="2:15" s="28" customFormat="1" ht="16.5" customHeight="1">
      <c r="B431" s="20"/>
      <c r="C431" s="20"/>
      <c r="D431" s="254"/>
      <c r="E431" s="379">
        <v>141738</v>
      </c>
      <c r="F431" s="395" t="s">
        <v>115</v>
      </c>
      <c r="G431" s="396"/>
      <c r="H431" s="397"/>
      <c r="I431" s="383">
        <v>520000</v>
      </c>
      <c r="J431" s="398">
        <v>141738</v>
      </c>
      <c r="K431" s="399" t="s">
        <v>71</v>
      </c>
      <c r="L431" s="399" t="s">
        <v>34</v>
      </c>
      <c r="M431" s="399">
        <v>200</v>
      </c>
      <c r="N431" s="356">
        <v>1151000</v>
      </c>
      <c r="O431" s="28" t="b">
        <v>1</v>
      </c>
    </row>
    <row r="432" spans="2:15" s="28" customFormat="1" ht="16.5" customHeight="1">
      <c r="B432" s="20"/>
      <c r="C432" s="20"/>
      <c r="D432" s="254"/>
      <c r="E432" s="379">
        <v>141741</v>
      </c>
      <c r="F432" s="395" t="s">
        <v>114</v>
      </c>
      <c r="G432" s="396"/>
      <c r="H432" s="397"/>
      <c r="I432" s="383">
        <v>53900</v>
      </c>
      <c r="J432" s="398">
        <v>141741</v>
      </c>
      <c r="K432" s="399" t="s">
        <v>70</v>
      </c>
      <c r="L432" s="399" t="s">
        <v>34</v>
      </c>
      <c r="M432" s="399">
        <v>20</v>
      </c>
      <c r="N432" s="356">
        <v>1065000</v>
      </c>
      <c r="O432" s="28" t="e">
        <v>#N/A</v>
      </c>
    </row>
    <row r="433" spans="2:15" s="28" customFormat="1" ht="16.5" customHeight="1">
      <c r="B433" s="20"/>
      <c r="C433" s="20"/>
      <c r="D433" s="254"/>
      <c r="E433" s="379">
        <v>141742</v>
      </c>
      <c r="F433" s="395" t="s">
        <v>113</v>
      </c>
      <c r="G433" s="396"/>
      <c r="H433" s="397"/>
      <c r="I433" s="383">
        <v>492000</v>
      </c>
      <c r="J433" s="398">
        <v>141742</v>
      </c>
      <c r="K433" s="399" t="s">
        <v>71</v>
      </c>
      <c r="L433" s="399" t="s">
        <v>34</v>
      </c>
      <c r="M433" s="399">
        <v>200</v>
      </c>
      <c r="N433" s="356">
        <v>287000</v>
      </c>
      <c r="O433" s="28" t="b">
        <v>1</v>
      </c>
    </row>
    <row r="434" spans="2:15" s="28" customFormat="1" ht="16.5" customHeight="1">
      <c r="B434" s="20"/>
      <c r="C434" s="20"/>
      <c r="D434" s="254"/>
      <c r="E434" s="379">
        <v>141745</v>
      </c>
      <c r="F434" s="395" t="s">
        <v>112</v>
      </c>
      <c r="G434" s="396"/>
      <c r="H434" s="397"/>
      <c r="I434" s="383">
        <v>53900</v>
      </c>
      <c r="J434" s="398">
        <v>141745</v>
      </c>
      <c r="K434" s="399" t="s">
        <v>70</v>
      </c>
      <c r="L434" s="399" t="s">
        <v>34</v>
      </c>
      <c r="M434" s="399">
        <v>20</v>
      </c>
      <c r="N434" s="356" t="e">
        <v>#N/A</v>
      </c>
      <c r="O434" s="28" t="e">
        <v>#N/A</v>
      </c>
    </row>
    <row r="435" spans="2:15" s="28" customFormat="1" ht="16.5" customHeight="1">
      <c r="B435" s="20"/>
      <c r="C435" s="20"/>
      <c r="D435" s="254"/>
      <c r="E435" s="379">
        <v>141746</v>
      </c>
      <c r="F435" s="395" t="s">
        <v>111</v>
      </c>
      <c r="G435" s="396"/>
      <c r="H435" s="397"/>
      <c r="I435" s="383">
        <v>492000</v>
      </c>
      <c r="J435" s="398">
        <v>141746</v>
      </c>
      <c r="K435" s="399" t="s">
        <v>71</v>
      </c>
      <c r="L435" s="399" t="s">
        <v>34</v>
      </c>
      <c r="M435" s="399">
        <v>200</v>
      </c>
      <c r="N435" s="356">
        <v>476000</v>
      </c>
      <c r="O435" s="28" t="b">
        <v>1</v>
      </c>
    </row>
    <row r="436" spans="2:15" s="28" customFormat="1" ht="16.5" customHeight="1">
      <c r="B436" s="20"/>
      <c r="C436" s="20"/>
      <c r="D436" s="254"/>
      <c r="E436" s="379">
        <v>141750</v>
      </c>
      <c r="F436" s="395" t="s">
        <v>231</v>
      </c>
      <c r="G436" s="396"/>
      <c r="H436" s="397"/>
      <c r="I436" s="383">
        <v>53900</v>
      </c>
      <c r="J436" s="398">
        <v>141750</v>
      </c>
      <c r="K436" s="399" t="s">
        <v>70</v>
      </c>
      <c r="L436" s="399" t="s">
        <v>34</v>
      </c>
      <c r="M436" s="399">
        <v>20</v>
      </c>
      <c r="N436" s="356">
        <v>107000</v>
      </c>
      <c r="O436" s="28" t="b">
        <v>1</v>
      </c>
    </row>
    <row r="437" spans="2:15" s="28" customFormat="1" ht="16.5" customHeight="1">
      <c r="B437" s="20"/>
      <c r="C437" s="20"/>
      <c r="D437" s="254"/>
      <c r="E437" s="379">
        <v>141751</v>
      </c>
      <c r="F437" s="395" t="s">
        <v>110</v>
      </c>
      <c r="G437" s="396"/>
      <c r="H437" s="397"/>
      <c r="I437" s="383">
        <v>492000</v>
      </c>
      <c r="J437" s="398">
        <v>141751</v>
      </c>
      <c r="K437" s="399" t="s">
        <v>71</v>
      </c>
      <c r="L437" s="399" t="s">
        <v>34</v>
      </c>
      <c r="M437" s="399">
        <v>200</v>
      </c>
      <c r="N437" s="356">
        <v>1029000</v>
      </c>
      <c r="O437" s="28" t="b">
        <v>1</v>
      </c>
    </row>
    <row r="438" spans="2:15" s="28" customFormat="1" ht="16.5" customHeight="1">
      <c r="B438" s="20"/>
      <c r="C438" s="20"/>
      <c r="D438" s="254"/>
      <c r="E438" s="379">
        <v>141763</v>
      </c>
      <c r="F438" s="395" t="s">
        <v>396</v>
      </c>
      <c r="G438" s="396"/>
      <c r="H438" s="397"/>
      <c r="I438" s="383">
        <v>79600</v>
      </c>
      <c r="J438" s="398">
        <v>141763</v>
      </c>
      <c r="K438" s="399" t="s">
        <v>70</v>
      </c>
      <c r="L438" s="399" t="s">
        <v>34</v>
      </c>
      <c r="M438" s="399">
        <v>20</v>
      </c>
      <c r="N438" s="356">
        <v>4915000</v>
      </c>
      <c r="O438" s="28" t="b">
        <v>1</v>
      </c>
    </row>
    <row r="439" spans="2:15" s="28" customFormat="1" ht="16.5" customHeight="1">
      <c r="B439" s="20"/>
      <c r="C439" s="20"/>
      <c r="D439" s="254"/>
      <c r="E439" s="379">
        <v>142012</v>
      </c>
      <c r="F439" s="395" t="s">
        <v>129</v>
      </c>
      <c r="G439" s="396"/>
      <c r="H439" s="397"/>
      <c r="I439" s="383">
        <v>46900</v>
      </c>
      <c r="J439" s="398">
        <v>142012</v>
      </c>
      <c r="K439" s="399" t="s">
        <v>70</v>
      </c>
      <c r="L439" s="399" t="s">
        <v>34</v>
      </c>
      <c r="M439" s="399">
        <v>20</v>
      </c>
      <c r="N439" s="356">
        <v>233000</v>
      </c>
      <c r="O439" s="28" t="b">
        <v>1</v>
      </c>
    </row>
    <row r="440" spans="2:15" s="28" customFormat="1" ht="16.5" customHeight="1">
      <c r="B440" s="20"/>
      <c r="C440" s="20"/>
      <c r="D440" s="254"/>
      <c r="E440" s="379">
        <v>142028</v>
      </c>
      <c r="F440" s="395" t="s">
        <v>768</v>
      </c>
      <c r="G440" s="396"/>
      <c r="H440" s="397"/>
      <c r="I440" s="383">
        <v>318000</v>
      </c>
      <c r="J440" s="398">
        <v>142028</v>
      </c>
      <c r="K440" s="399" t="s">
        <v>70</v>
      </c>
      <c r="L440" s="399" t="s">
        <v>34</v>
      </c>
      <c r="M440" s="399">
        <v>16</v>
      </c>
      <c r="N440" s="356">
        <v>2439000</v>
      </c>
      <c r="O440" s="28" t="b">
        <v>1</v>
      </c>
    </row>
    <row r="441" spans="2:15" s="28" customFormat="1" ht="16.5" customHeight="1">
      <c r="B441" s="20"/>
      <c r="C441" s="20"/>
      <c r="D441" s="254"/>
      <c r="E441" s="379">
        <v>142288</v>
      </c>
      <c r="F441" s="395" t="s">
        <v>121</v>
      </c>
      <c r="G441" s="396"/>
      <c r="H441" s="397"/>
      <c r="I441" s="383">
        <v>6002000</v>
      </c>
      <c r="J441" s="398">
        <v>142288</v>
      </c>
      <c r="K441" s="399" t="s">
        <v>71</v>
      </c>
      <c r="L441" s="399" t="s">
        <v>34</v>
      </c>
      <c r="M441" s="399">
        <v>208</v>
      </c>
      <c r="N441" s="356">
        <v>62700</v>
      </c>
      <c r="O441" s="28" t="b">
        <v>1</v>
      </c>
    </row>
    <row r="442" spans="2:15" s="28" customFormat="1" ht="16.5" customHeight="1">
      <c r="B442" s="20"/>
      <c r="C442" s="20"/>
      <c r="D442" s="254"/>
      <c r="E442" s="379">
        <v>142411</v>
      </c>
      <c r="F442" s="395" t="s">
        <v>705</v>
      </c>
      <c r="G442" s="396"/>
      <c r="H442" s="397"/>
      <c r="I442" s="383">
        <v>777000</v>
      </c>
      <c r="J442" s="398">
        <v>142411</v>
      </c>
      <c r="K442" s="399" t="s">
        <v>71</v>
      </c>
      <c r="L442" s="399" t="s">
        <v>34</v>
      </c>
      <c r="M442" s="399">
        <v>200</v>
      </c>
      <c r="N442" s="356">
        <v>582000</v>
      </c>
      <c r="O442" s="28" t="b">
        <v>1</v>
      </c>
    </row>
    <row r="443" spans="2:15" s="28" customFormat="1" ht="16.5" customHeight="1">
      <c r="B443" s="20"/>
      <c r="C443" s="20"/>
      <c r="D443" s="254"/>
      <c r="E443" s="379">
        <v>142637</v>
      </c>
      <c r="F443" s="395" t="s">
        <v>707</v>
      </c>
      <c r="G443" s="396"/>
      <c r="H443" s="397"/>
      <c r="I443" s="383">
        <v>4494000</v>
      </c>
      <c r="J443" s="399">
        <v>142637</v>
      </c>
      <c r="K443" s="399" t="s">
        <v>71</v>
      </c>
      <c r="L443" s="399" t="s">
        <v>34</v>
      </c>
      <c r="M443" s="399">
        <v>200</v>
      </c>
      <c r="N443" s="356">
        <v>62700</v>
      </c>
      <c r="O443" s="28" t="b">
        <v>1</v>
      </c>
    </row>
    <row r="444" spans="2:15" s="28" customFormat="1" ht="16.5" customHeight="1">
      <c r="B444" s="20"/>
      <c r="C444" s="20"/>
      <c r="D444" s="254"/>
      <c r="E444" s="379">
        <v>143560</v>
      </c>
      <c r="F444" s="395" t="s">
        <v>724</v>
      </c>
      <c r="G444" s="396"/>
      <c r="H444" s="397"/>
      <c r="I444" s="383">
        <v>728000</v>
      </c>
      <c r="J444" s="398">
        <v>143560</v>
      </c>
      <c r="K444" s="399" t="s">
        <v>71</v>
      </c>
      <c r="L444" s="399" t="s">
        <v>34</v>
      </c>
      <c r="M444" s="399">
        <v>200</v>
      </c>
      <c r="N444" s="356">
        <v>582000</v>
      </c>
      <c r="O444" s="28" t="b">
        <v>1</v>
      </c>
    </row>
    <row r="445" spans="2:15" s="28" customFormat="1" ht="16.5" customHeight="1">
      <c r="B445" s="20"/>
      <c r="C445" s="20"/>
      <c r="D445" s="254"/>
      <c r="E445" s="379">
        <v>143561</v>
      </c>
      <c r="F445" s="395" t="s">
        <v>725</v>
      </c>
      <c r="G445" s="396"/>
      <c r="H445" s="397"/>
      <c r="I445" s="383">
        <v>728000</v>
      </c>
      <c r="J445" s="398">
        <v>143561</v>
      </c>
      <c r="K445" s="399" t="s">
        <v>71</v>
      </c>
      <c r="L445" s="399" t="s">
        <v>34</v>
      </c>
      <c r="M445" s="399">
        <v>200</v>
      </c>
      <c r="N445" s="356">
        <v>755000</v>
      </c>
      <c r="O445" s="28" t="b">
        <v>1</v>
      </c>
    </row>
    <row r="446" spans="2:15" s="28" customFormat="1" ht="16.5" customHeight="1">
      <c r="B446" s="20"/>
      <c r="C446" s="20"/>
      <c r="D446" s="254"/>
      <c r="E446" s="379">
        <v>143563</v>
      </c>
      <c r="F446" s="395" t="s">
        <v>726</v>
      </c>
      <c r="G446" s="396"/>
      <c r="H446" s="397"/>
      <c r="I446" s="383">
        <v>728000</v>
      </c>
      <c r="J446" s="398">
        <v>143563</v>
      </c>
      <c r="K446" s="399" t="s">
        <v>71</v>
      </c>
      <c r="L446" s="399" t="s">
        <v>34</v>
      </c>
      <c r="M446" s="399">
        <v>200</v>
      </c>
      <c r="N446" s="356">
        <v>755000</v>
      </c>
      <c r="O446" s="28" t="b">
        <v>1</v>
      </c>
    </row>
    <row r="447" spans="2:15" s="28" customFormat="1" ht="16.5" customHeight="1">
      <c r="B447" s="20"/>
      <c r="C447" s="20"/>
      <c r="D447" s="254"/>
      <c r="E447" s="379">
        <v>143982</v>
      </c>
      <c r="F447" s="395" t="s">
        <v>749</v>
      </c>
      <c r="G447" s="396"/>
      <c r="H447" s="397"/>
      <c r="I447" s="383">
        <v>2995000</v>
      </c>
      <c r="J447" s="398">
        <v>143982</v>
      </c>
      <c r="K447" s="399" t="s">
        <v>71</v>
      </c>
      <c r="L447" s="399" t="s">
        <v>34</v>
      </c>
      <c r="M447" s="399">
        <v>208</v>
      </c>
      <c r="N447" s="356">
        <v>56300</v>
      </c>
      <c r="O447" s="28" t="b">
        <v>1</v>
      </c>
    </row>
    <row r="448" spans="2:15" s="28" customFormat="1" ht="16.5" customHeight="1">
      <c r="B448" s="20"/>
      <c r="C448" s="20"/>
      <c r="D448" s="254"/>
      <c r="E448" s="379">
        <v>143983</v>
      </c>
      <c r="F448" s="395" t="s">
        <v>743</v>
      </c>
      <c r="G448" s="396"/>
      <c r="H448" s="397"/>
      <c r="I448" s="383">
        <v>287000</v>
      </c>
      <c r="J448" s="399">
        <v>143983</v>
      </c>
      <c r="K448" s="399" t="s">
        <v>70</v>
      </c>
      <c r="L448" s="399" t="s">
        <v>34</v>
      </c>
      <c r="M448" s="399">
        <v>20</v>
      </c>
      <c r="N448" s="356">
        <v>520000</v>
      </c>
      <c r="O448" s="28" t="b">
        <v>1</v>
      </c>
    </row>
    <row r="449" spans="2:15" s="28" customFormat="1" ht="16.5" customHeight="1">
      <c r="B449" s="20"/>
      <c r="C449" s="20"/>
      <c r="D449" s="254"/>
      <c r="E449" s="379">
        <v>143985</v>
      </c>
      <c r="F449" s="395" t="s">
        <v>769</v>
      </c>
      <c r="G449" s="396"/>
      <c r="H449" s="397"/>
      <c r="I449" s="383">
        <v>2763000</v>
      </c>
      <c r="J449" s="398">
        <v>143985</v>
      </c>
      <c r="K449" s="399" t="s">
        <v>71</v>
      </c>
      <c r="L449" s="399" t="s">
        <v>34</v>
      </c>
      <c r="M449" s="399">
        <v>208</v>
      </c>
      <c r="N449" s="356">
        <v>53900</v>
      </c>
      <c r="O449" s="28" t="b">
        <v>1</v>
      </c>
    </row>
    <row r="450" spans="2:15" s="28" customFormat="1" ht="16.5" customHeight="1">
      <c r="B450" s="20"/>
      <c r="C450" s="20"/>
      <c r="D450" s="254"/>
      <c r="E450" s="379">
        <v>143987</v>
      </c>
      <c r="F450" s="395" t="s">
        <v>747</v>
      </c>
      <c r="G450" s="396"/>
      <c r="H450" s="397"/>
      <c r="I450" s="383">
        <v>2938000</v>
      </c>
      <c r="J450" s="398">
        <v>143987</v>
      </c>
      <c r="K450" s="399" t="s">
        <v>71</v>
      </c>
      <c r="L450" s="399" t="s">
        <v>34</v>
      </c>
      <c r="M450" s="399">
        <v>208</v>
      </c>
      <c r="N450" s="356">
        <v>492000</v>
      </c>
      <c r="O450" s="28" t="b">
        <v>1</v>
      </c>
    </row>
    <row r="451" spans="2:15" s="28" customFormat="1" ht="16.5" customHeight="1">
      <c r="B451" s="20"/>
      <c r="C451" s="20"/>
      <c r="D451" s="254"/>
      <c r="E451" s="379">
        <v>143988</v>
      </c>
      <c r="F451" s="395" t="s">
        <v>742</v>
      </c>
      <c r="G451" s="396"/>
      <c r="H451" s="397"/>
      <c r="I451" s="383">
        <v>289000</v>
      </c>
      <c r="J451" s="398">
        <v>143988</v>
      </c>
      <c r="K451" s="399" t="s">
        <v>70</v>
      </c>
      <c r="L451" s="399" t="s">
        <v>34</v>
      </c>
      <c r="M451" s="399">
        <v>20</v>
      </c>
      <c r="N451" s="356">
        <v>53900</v>
      </c>
      <c r="O451" s="28" t="b">
        <v>1</v>
      </c>
    </row>
    <row r="452" spans="2:15" s="28" customFormat="1" ht="16.5" customHeight="1">
      <c r="B452" s="20"/>
      <c r="C452" s="20"/>
      <c r="D452" s="254"/>
      <c r="E452" s="379">
        <v>143990</v>
      </c>
      <c r="F452" s="395" t="s">
        <v>770</v>
      </c>
      <c r="G452" s="396"/>
      <c r="H452" s="397"/>
      <c r="I452" s="383">
        <v>3124000</v>
      </c>
      <c r="J452" s="398">
        <v>143990</v>
      </c>
      <c r="K452" s="399" t="s">
        <v>71</v>
      </c>
      <c r="L452" s="399" t="s">
        <v>34</v>
      </c>
      <c r="M452" s="399">
        <v>208</v>
      </c>
      <c r="N452" s="356">
        <v>492000</v>
      </c>
      <c r="O452" s="28" t="b">
        <v>1</v>
      </c>
    </row>
    <row r="453" spans="2:15" s="28" customFormat="1" ht="16.5" customHeight="1">
      <c r="B453" s="20"/>
      <c r="C453" s="20"/>
      <c r="D453" s="254"/>
      <c r="E453" s="379">
        <v>143991</v>
      </c>
      <c r="F453" s="395" t="s">
        <v>771</v>
      </c>
      <c r="G453" s="396"/>
      <c r="H453" s="397"/>
      <c r="I453" s="383">
        <v>337000</v>
      </c>
      <c r="J453" s="398">
        <v>143991</v>
      </c>
      <c r="K453" s="399" t="s">
        <v>70</v>
      </c>
      <c r="L453" s="399" t="s">
        <v>34</v>
      </c>
      <c r="M453" s="399">
        <v>20</v>
      </c>
      <c r="N453" s="356">
        <v>53900</v>
      </c>
      <c r="O453" s="28" t="b">
        <v>1</v>
      </c>
    </row>
    <row r="454" spans="2:15" s="28" customFormat="1" ht="16.5" customHeight="1">
      <c r="B454" s="20"/>
      <c r="C454" s="20"/>
      <c r="D454" s="254"/>
      <c r="E454" s="379">
        <v>143993</v>
      </c>
      <c r="F454" s="395" t="s">
        <v>772</v>
      </c>
      <c r="G454" s="396"/>
      <c r="H454" s="397"/>
      <c r="I454" s="383">
        <v>3255000</v>
      </c>
      <c r="J454" s="399">
        <v>143993</v>
      </c>
      <c r="K454" s="399" t="s">
        <v>71</v>
      </c>
      <c r="L454" s="399" t="s">
        <v>34</v>
      </c>
      <c r="M454" s="399">
        <v>208</v>
      </c>
      <c r="N454" s="356">
        <v>492000</v>
      </c>
      <c r="O454" s="28" t="b">
        <v>1</v>
      </c>
    </row>
    <row r="455" spans="2:15" s="28" customFormat="1" ht="16.5" customHeight="1">
      <c r="B455" s="20"/>
      <c r="C455" s="20"/>
      <c r="D455" s="254"/>
      <c r="E455" s="379">
        <v>143994</v>
      </c>
      <c r="F455" s="395" t="s">
        <v>773</v>
      </c>
      <c r="G455" s="396"/>
      <c r="H455" s="397"/>
      <c r="I455" s="383">
        <v>351000</v>
      </c>
      <c r="J455" s="398">
        <v>143994</v>
      </c>
      <c r="K455" s="399" t="s">
        <v>70</v>
      </c>
      <c r="L455" s="399" t="s">
        <v>34</v>
      </c>
      <c r="M455" s="399">
        <v>20</v>
      </c>
      <c r="N455" s="356">
        <v>79600</v>
      </c>
      <c r="O455" s="28" t="b">
        <v>1</v>
      </c>
    </row>
    <row r="456" spans="2:15" s="28" customFormat="1" ht="16.5" customHeight="1">
      <c r="B456" s="20"/>
      <c r="C456" s="20"/>
      <c r="D456" s="254"/>
      <c r="E456" s="379">
        <v>144165</v>
      </c>
      <c r="F456" s="395" t="s">
        <v>750</v>
      </c>
      <c r="G456" s="396"/>
      <c r="H456" s="397"/>
      <c r="I456" s="383">
        <v>32800</v>
      </c>
      <c r="J456" s="398">
        <v>144165</v>
      </c>
      <c r="K456" s="399" t="s">
        <v>70</v>
      </c>
      <c r="L456" s="399" t="s">
        <v>34</v>
      </c>
      <c r="M456" s="399">
        <v>20</v>
      </c>
      <c r="N456" s="356">
        <v>46900</v>
      </c>
      <c r="O456" s="28" t="b">
        <v>1</v>
      </c>
    </row>
    <row r="457" spans="2:15" s="28" customFormat="1" ht="16.5" customHeight="1">
      <c r="B457" s="20"/>
      <c r="C457" s="20"/>
      <c r="D457" s="254"/>
      <c r="E457" s="379">
        <v>144166</v>
      </c>
      <c r="F457" s="395" t="s">
        <v>748</v>
      </c>
      <c r="G457" s="396"/>
      <c r="H457" s="397"/>
      <c r="I457" s="383">
        <v>303000</v>
      </c>
      <c r="J457" s="398">
        <v>144166</v>
      </c>
      <c r="K457" s="399" t="s">
        <v>71</v>
      </c>
      <c r="L457" s="399" t="s">
        <v>34</v>
      </c>
      <c r="M457" s="399">
        <v>200</v>
      </c>
      <c r="N457" s="356">
        <v>318000</v>
      </c>
      <c r="O457" s="28" t="b">
        <v>1</v>
      </c>
    </row>
    <row r="458" spans="2:15" s="28" customFormat="1" ht="16.5" customHeight="1">
      <c r="B458" s="20"/>
      <c r="C458" s="20"/>
      <c r="D458" s="254"/>
      <c r="E458" s="379">
        <v>144167</v>
      </c>
      <c r="F458" s="395" t="s">
        <v>745</v>
      </c>
      <c r="G458" s="396"/>
      <c r="H458" s="397"/>
      <c r="I458" s="383">
        <v>32800</v>
      </c>
      <c r="J458" s="398">
        <v>144167</v>
      </c>
      <c r="K458" s="399" t="s">
        <v>70</v>
      </c>
      <c r="L458" s="399" t="s">
        <v>34</v>
      </c>
      <c r="M458" s="399">
        <v>20</v>
      </c>
      <c r="N458" s="356">
        <v>6002000</v>
      </c>
      <c r="O458" s="28" t="b">
        <v>1</v>
      </c>
    </row>
    <row r="459" spans="2:15" s="28" customFormat="1" ht="16.5" customHeight="1">
      <c r="B459" s="20"/>
      <c r="C459" s="20"/>
      <c r="D459" s="254"/>
      <c r="E459" s="379">
        <v>144168</v>
      </c>
      <c r="F459" s="395" t="s">
        <v>744</v>
      </c>
      <c r="G459" s="396"/>
      <c r="H459" s="397"/>
      <c r="I459" s="383">
        <v>303000</v>
      </c>
      <c r="J459" s="398">
        <v>144168</v>
      </c>
      <c r="K459" s="399" t="s">
        <v>71</v>
      </c>
      <c r="L459" s="399" t="s">
        <v>34</v>
      </c>
      <c r="M459" s="399">
        <v>200</v>
      </c>
      <c r="N459" s="356">
        <v>777000</v>
      </c>
      <c r="O459" s="28" t="b">
        <v>1</v>
      </c>
    </row>
    <row r="460" spans="2:15" s="28" customFormat="1" ht="16.5" customHeight="1">
      <c r="B460" s="20"/>
      <c r="C460" s="20"/>
      <c r="D460" s="254"/>
      <c r="E460" s="379">
        <v>144169</v>
      </c>
      <c r="F460" s="395" t="s">
        <v>751</v>
      </c>
      <c r="G460" s="396"/>
      <c r="H460" s="397"/>
      <c r="I460" s="383">
        <v>33800</v>
      </c>
      <c r="J460" s="398">
        <v>144169</v>
      </c>
      <c r="K460" s="399" t="s">
        <v>70</v>
      </c>
      <c r="L460" s="399" t="s">
        <v>34</v>
      </c>
      <c r="M460" s="399">
        <v>20</v>
      </c>
      <c r="N460" s="356">
        <v>4494000</v>
      </c>
      <c r="O460" s="28" t="b">
        <v>1</v>
      </c>
    </row>
    <row r="461" spans="2:15" s="28" customFormat="1" ht="16.5" customHeight="1">
      <c r="B461" s="20"/>
      <c r="C461" s="20"/>
      <c r="D461" s="254"/>
      <c r="E461" s="379">
        <v>144170</v>
      </c>
      <c r="F461" s="395" t="s">
        <v>752</v>
      </c>
      <c r="G461" s="396"/>
      <c r="H461" s="397"/>
      <c r="I461" s="383">
        <v>313000</v>
      </c>
      <c r="J461" s="398">
        <v>144170</v>
      </c>
      <c r="K461" s="399" t="s">
        <v>71</v>
      </c>
      <c r="L461" s="399" t="s">
        <v>34</v>
      </c>
      <c r="M461" s="399">
        <v>200</v>
      </c>
      <c r="N461" s="356">
        <v>728000</v>
      </c>
      <c r="O461" s="28" t="b">
        <v>1</v>
      </c>
    </row>
    <row r="462" spans="2:15" s="28" customFormat="1" ht="16.5" customHeight="1">
      <c r="B462" s="20"/>
      <c r="C462" s="20"/>
      <c r="D462" s="254"/>
      <c r="E462" s="379">
        <v>138924</v>
      </c>
      <c r="F462" s="395" t="s">
        <v>555</v>
      </c>
      <c r="G462" s="396"/>
      <c r="H462" s="397"/>
      <c r="I462" s="383"/>
      <c r="J462" s="398">
        <v>138924</v>
      </c>
      <c r="K462" s="399" t="s">
        <v>71</v>
      </c>
      <c r="L462" s="399" t="s">
        <v>34</v>
      </c>
      <c r="M462" s="399">
        <v>200</v>
      </c>
      <c r="N462" s="356">
        <v>728000</v>
      </c>
      <c r="O462" s="28" t="b">
        <v>1</v>
      </c>
    </row>
    <row r="463" spans="2:15" s="28" customFormat="1" ht="16.5" customHeight="1">
      <c r="B463" s="20"/>
      <c r="C463" s="20"/>
      <c r="D463" s="254"/>
      <c r="E463" s="379">
        <v>144364</v>
      </c>
      <c r="F463" s="395" t="s">
        <v>780</v>
      </c>
      <c r="G463" s="396"/>
      <c r="H463" s="397"/>
      <c r="I463" s="383">
        <v>713000</v>
      </c>
      <c r="J463" s="398">
        <v>144364</v>
      </c>
      <c r="K463" s="399" t="s">
        <v>71</v>
      </c>
      <c r="L463" s="399" t="s">
        <v>34</v>
      </c>
      <c r="M463" s="399">
        <v>200</v>
      </c>
      <c r="N463" s="356">
        <v>728000</v>
      </c>
      <c r="O463" s="28" t="b">
        <v>1</v>
      </c>
    </row>
    <row r="464" spans="2:15" s="28" customFormat="1" ht="16.5" customHeight="1">
      <c r="B464" s="20"/>
      <c r="C464" s="20"/>
      <c r="D464" s="254"/>
      <c r="E464" s="379">
        <v>136171</v>
      </c>
      <c r="F464" s="395" t="s">
        <v>39</v>
      </c>
      <c r="G464" s="396"/>
      <c r="H464" s="397"/>
      <c r="I464" s="383"/>
      <c r="J464" s="398">
        <v>136171</v>
      </c>
      <c r="K464" s="399" t="s">
        <v>70</v>
      </c>
      <c r="L464" s="399" t="s">
        <v>34</v>
      </c>
      <c r="M464" s="399">
        <v>20</v>
      </c>
      <c r="N464" s="356">
        <v>2995000</v>
      </c>
      <c r="O464" s="28" t="b">
        <v>1</v>
      </c>
    </row>
    <row r="465" spans="2:15" s="28" customFormat="1" ht="16.5" customHeight="1">
      <c r="B465" s="20"/>
      <c r="C465" s="20"/>
      <c r="D465" s="254"/>
      <c r="E465" s="379">
        <v>144363</v>
      </c>
      <c r="F465" s="395" t="s">
        <v>779</v>
      </c>
      <c r="G465" s="396"/>
      <c r="H465" s="397"/>
      <c r="I465" s="383">
        <v>76100</v>
      </c>
      <c r="J465" s="398">
        <v>144363</v>
      </c>
      <c r="K465" s="399" t="s">
        <v>70</v>
      </c>
      <c r="L465" s="399" t="s">
        <v>34</v>
      </c>
      <c r="M465" s="399">
        <v>20</v>
      </c>
      <c r="N465" s="356">
        <v>287000</v>
      </c>
      <c r="O465" s="28" t="b">
        <v>1</v>
      </c>
    </row>
    <row r="466" spans="2:15" s="28" customFormat="1" ht="16.5" customHeight="1">
      <c r="B466" s="20"/>
      <c r="C466" s="20"/>
      <c r="D466" s="254"/>
      <c r="E466" s="379">
        <v>144353</v>
      </c>
      <c r="F466" s="395" t="s">
        <v>774</v>
      </c>
      <c r="G466" s="396"/>
      <c r="H466" s="397"/>
      <c r="I466" s="383">
        <v>670000</v>
      </c>
      <c r="J466" s="398">
        <v>144353</v>
      </c>
      <c r="K466" s="399" t="s">
        <v>71</v>
      </c>
      <c r="L466" s="399" t="s">
        <v>34</v>
      </c>
      <c r="M466" s="399">
        <v>200</v>
      </c>
      <c r="N466" s="356">
        <v>2763000</v>
      </c>
      <c r="O466" s="28" t="b">
        <v>1</v>
      </c>
    </row>
    <row r="467" spans="2:15" s="28" customFormat="1" ht="16.5" customHeight="1">
      <c r="B467" s="20"/>
      <c r="C467" s="20"/>
      <c r="D467" s="254"/>
      <c r="E467" s="379">
        <v>144351</v>
      </c>
      <c r="F467" s="395" t="s">
        <v>758</v>
      </c>
      <c r="G467" s="396"/>
      <c r="H467" s="397"/>
      <c r="I467" s="383">
        <v>71700</v>
      </c>
      <c r="J467" s="398">
        <v>144351</v>
      </c>
      <c r="K467" s="399" t="s">
        <v>70</v>
      </c>
      <c r="L467" s="399" t="s">
        <v>34</v>
      </c>
      <c r="M467" s="399">
        <v>20</v>
      </c>
      <c r="N467" s="356">
        <v>2938000</v>
      </c>
      <c r="O467" s="28" t="b">
        <v>1</v>
      </c>
    </row>
    <row r="468" spans="2:15" s="28" customFormat="1" ht="16.5" customHeight="1">
      <c r="B468" s="20"/>
      <c r="C468" s="20"/>
      <c r="D468" s="254"/>
      <c r="E468" s="379">
        <v>138925</v>
      </c>
      <c r="F468" s="395" t="s">
        <v>556</v>
      </c>
      <c r="G468" s="396"/>
      <c r="H468" s="397"/>
      <c r="I468" s="383"/>
      <c r="J468" s="398">
        <v>138925</v>
      </c>
      <c r="K468" s="399" t="s">
        <v>71</v>
      </c>
      <c r="L468" s="399" t="s">
        <v>34</v>
      </c>
      <c r="M468" s="399">
        <v>200</v>
      </c>
      <c r="N468" s="356">
        <v>289000</v>
      </c>
      <c r="O468" s="28" t="b">
        <v>1</v>
      </c>
    </row>
    <row r="469" spans="2:15" s="28" customFormat="1" ht="16.5" customHeight="1">
      <c r="B469" s="20"/>
      <c r="C469" s="20"/>
      <c r="D469" s="254"/>
      <c r="E469" s="379">
        <v>144367</v>
      </c>
      <c r="F469" s="395" t="s">
        <v>782</v>
      </c>
      <c r="G469" s="396"/>
      <c r="H469" s="397"/>
      <c r="I469" s="383">
        <v>756000</v>
      </c>
      <c r="J469" s="398">
        <v>144367</v>
      </c>
      <c r="K469" s="399" t="s">
        <v>71</v>
      </c>
      <c r="L469" s="399" t="s">
        <v>34</v>
      </c>
      <c r="M469" s="399">
        <v>200</v>
      </c>
      <c r="N469" s="356">
        <v>3124000</v>
      </c>
      <c r="O469" s="28" t="b">
        <v>1</v>
      </c>
    </row>
    <row r="470" spans="2:15" s="28" customFormat="1" ht="16.5" customHeight="1">
      <c r="B470" s="20"/>
      <c r="C470" s="20"/>
      <c r="D470" s="254"/>
      <c r="E470" s="379">
        <v>136172</v>
      </c>
      <c r="F470" s="395" t="s">
        <v>38</v>
      </c>
      <c r="G470" s="396"/>
      <c r="H470" s="397"/>
      <c r="I470" s="383"/>
      <c r="J470" s="398">
        <v>136172</v>
      </c>
      <c r="K470" s="399" t="s">
        <v>70</v>
      </c>
      <c r="L470" s="399" t="s">
        <v>34</v>
      </c>
      <c r="M470" s="399">
        <v>20</v>
      </c>
      <c r="N470" s="356">
        <v>337000</v>
      </c>
      <c r="O470" s="28" t="b">
        <v>1</v>
      </c>
    </row>
    <row r="471" spans="2:15" s="28" customFormat="1" ht="16.5" customHeight="1">
      <c r="B471" s="20"/>
      <c r="C471" s="20"/>
      <c r="D471" s="254"/>
      <c r="E471" s="379">
        <v>144366</v>
      </c>
      <c r="F471" s="395" t="s">
        <v>781</v>
      </c>
      <c r="G471" s="396"/>
      <c r="H471" s="397"/>
      <c r="I471" s="383">
        <v>80200</v>
      </c>
      <c r="J471" s="398">
        <v>144366</v>
      </c>
      <c r="K471" s="399" t="s">
        <v>70</v>
      </c>
      <c r="L471" s="399" t="s">
        <v>34</v>
      </c>
      <c r="M471" s="399">
        <v>20</v>
      </c>
      <c r="N471" s="356">
        <v>3255000</v>
      </c>
      <c r="O471" s="28" t="b">
        <v>1</v>
      </c>
    </row>
    <row r="472" spans="2:15" s="28" customFormat="1" ht="16.5" customHeight="1">
      <c r="B472" s="20"/>
      <c r="C472" s="20"/>
      <c r="D472" s="254"/>
      <c r="E472" s="379">
        <v>144355</v>
      </c>
      <c r="F472" s="395" t="s">
        <v>775</v>
      </c>
      <c r="G472" s="396"/>
      <c r="H472" s="397"/>
      <c r="I472" s="383">
        <v>670000</v>
      </c>
      <c r="J472" s="398">
        <v>144355</v>
      </c>
      <c r="K472" s="399" t="s">
        <v>71</v>
      </c>
      <c r="L472" s="399" t="s">
        <v>34</v>
      </c>
      <c r="M472" s="399">
        <v>200</v>
      </c>
      <c r="N472" s="356">
        <v>351000</v>
      </c>
      <c r="O472" s="28" t="b">
        <v>1</v>
      </c>
    </row>
    <row r="473" spans="2:15" s="28" customFormat="1" ht="16.5" customHeight="1">
      <c r="B473" s="20"/>
      <c r="C473" s="20"/>
      <c r="D473" s="254"/>
      <c r="E473" s="379">
        <v>144352</v>
      </c>
      <c r="F473" s="395" t="s">
        <v>755</v>
      </c>
      <c r="G473" s="396"/>
      <c r="H473" s="397"/>
      <c r="I473" s="383">
        <v>71700</v>
      </c>
      <c r="J473" s="398">
        <v>144352</v>
      </c>
      <c r="K473" s="399" t="s">
        <v>70</v>
      </c>
      <c r="L473" s="399" t="s">
        <v>34</v>
      </c>
      <c r="M473" s="399">
        <v>20</v>
      </c>
      <c r="N473" s="356">
        <v>32800</v>
      </c>
      <c r="O473" s="28" t="b">
        <v>1</v>
      </c>
    </row>
    <row r="474" spans="2:15" s="28" customFormat="1" ht="16.5" customHeight="1">
      <c r="B474" s="20"/>
      <c r="C474" s="20"/>
      <c r="D474" s="254"/>
      <c r="E474" s="379">
        <v>144358</v>
      </c>
      <c r="F474" s="395" t="s">
        <v>754</v>
      </c>
      <c r="G474" s="396"/>
      <c r="H474" s="397"/>
      <c r="I474" s="383">
        <v>670000</v>
      </c>
      <c r="J474" s="398">
        <v>144358</v>
      </c>
      <c r="K474" s="399" t="s">
        <v>71</v>
      </c>
      <c r="L474" s="399" t="s">
        <v>34</v>
      </c>
      <c r="M474" s="399">
        <v>200</v>
      </c>
      <c r="N474" s="356">
        <v>303000</v>
      </c>
      <c r="O474" s="28" t="b">
        <v>1</v>
      </c>
    </row>
    <row r="475" spans="2:15" s="28" customFormat="1" ht="16.5" customHeight="1">
      <c r="B475" s="20"/>
      <c r="C475" s="20"/>
      <c r="D475" s="254"/>
      <c r="E475" s="379">
        <v>144357</v>
      </c>
      <c r="F475" s="395" t="s">
        <v>776</v>
      </c>
      <c r="G475" s="396"/>
      <c r="H475" s="397"/>
      <c r="I475" s="383">
        <v>71700</v>
      </c>
      <c r="J475" s="398">
        <v>144357</v>
      </c>
      <c r="K475" s="399" t="s">
        <v>70</v>
      </c>
      <c r="L475" s="399" t="s">
        <v>34</v>
      </c>
      <c r="M475" s="399">
        <v>20</v>
      </c>
      <c r="N475" s="356">
        <v>32800</v>
      </c>
      <c r="O475" s="28" t="b">
        <v>1</v>
      </c>
    </row>
    <row r="476" spans="2:15" s="28" customFormat="1" ht="16.5" customHeight="1">
      <c r="B476" s="20"/>
      <c r="C476" s="20"/>
      <c r="D476" s="254"/>
      <c r="E476" s="379">
        <v>144361</v>
      </c>
      <c r="F476" s="395" t="s">
        <v>778</v>
      </c>
      <c r="G476" s="396"/>
      <c r="H476" s="397"/>
      <c r="I476" s="383">
        <v>670000</v>
      </c>
      <c r="J476" s="398">
        <v>144361</v>
      </c>
      <c r="K476" s="399" t="s">
        <v>71</v>
      </c>
      <c r="L476" s="399" t="s">
        <v>34</v>
      </c>
      <c r="M476" s="399">
        <v>200</v>
      </c>
      <c r="N476" s="356">
        <v>303000</v>
      </c>
      <c r="O476" s="28" t="b">
        <v>1</v>
      </c>
    </row>
    <row r="477" spans="2:15" s="28" customFormat="1" ht="16.5" customHeight="1">
      <c r="B477" s="20"/>
      <c r="C477" s="20"/>
      <c r="D477" s="254"/>
      <c r="E477" s="379">
        <v>144360</v>
      </c>
      <c r="F477" s="395" t="s">
        <v>777</v>
      </c>
      <c r="G477" s="396"/>
      <c r="H477" s="397"/>
      <c r="I477" s="383">
        <v>71700</v>
      </c>
      <c r="J477" s="398">
        <v>144360</v>
      </c>
      <c r="K477" s="399" t="s">
        <v>70</v>
      </c>
      <c r="L477" s="399" t="s">
        <v>34</v>
      </c>
      <c r="M477" s="399">
        <v>20</v>
      </c>
      <c r="N477" s="356">
        <v>32800</v>
      </c>
      <c r="O477" s="28" t="b">
        <v>1</v>
      </c>
    </row>
    <row r="478" spans="2:15" s="28" customFormat="1" ht="16.5" customHeight="1">
      <c r="B478" s="20"/>
      <c r="C478" s="20"/>
      <c r="D478" s="254"/>
      <c r="E478" s="379">
        <v>144355</v>
      </c>
      <c r="F478" s="395" t="s">
        <v>775</v>
      </c>
      <c r="G478" s="396"/>
      <c r="H478" s="397"/>
      <c r="I478" s="383">
        <v>670000</v>
      </c>
      <c r="J478" s="398">
        <v>144355</v>
      </c>
      <c r="K478" s="399" t="s">
        <v>71</v>
      </c>
      <c r="L478" s="399" t="s">
        <v>34</v>
      </c>
      <c r="M478" s="399">
        <v>200</v>
      </c>
      <c r="N478" s="356">
        <v>313000</v>
      </c>
      <c r="O478" s="28" t="b">
        <v>1</v>
      </c>
    </row>
    <row r="479" spans="2:15" s="28" customFormat="1" ht="16.5" customHeight="1">
      <c r="B479" s="20"/>
      <c r="C479" s="20"/>
      <c r="D479" s="254"/>
      <c r="E479" s="379">
        <v>144352</v>
      </c>
      <c r="F479" s="395" t="s">
        <v>755</v>
      </c>
      <c r="G479" s="396"/>
      <c r="H479" s="397"/>
      <c r="I479" s="383">
        <v>71700</v>
      </c>
      <c r="J479" s="398">
        <v>144352</v>
      </c>
      <c r="K479" s="399" t="s">
        <v>70</v>
      </c>
      <c r="L479" s="399" t="s">
        <v>34</v>
      </c>
      <c r="M479" s="399">
        <v>20</v>
      </c>
      <c r="N479" s="356" t="e">
        <v>#N/A</v>
      </c>
      <c r="O479" s="28" t="e">
        <v>#N/A</v>
      </c>
    </row>
    <row r="480" spans="2:15" s="28" customFormat="1" ht="16.5" customHeight="1">
      <c r="B480" s="20"/>
      <c r="C480" s="20"/>
      <c r="D480" s="254"/>
      <c r="E480" s="379">
        <v>144358</v>
      </c>
      <c r="F480" s="395" t="s">
        <v>754</v>
      </c>
      <c r="G480" s="396"/>
      <c r="H480" s="397"/>
      <c r="I480" s="383">
        <v>670000</v>
      </c>
      <c r="J480" s="398">
        <v>144358</v>
      </c>
      <c r="K480" s="399" t="s">
        <v>71</v>
      </c>
      <c r="L480" s="399" t="s">
        <v>34</v>
      </c>
      <c r="M480" s="399">
        <v>200</v>
      </c>
      <c r="N480" s="356">
        <v>713000</v>
      </c>
      <c r="O480" s="28" t="b">
        <v>1</v>
      </c>
    </row>
    <row r="481" spans="2:15" s="28" customFormat="1" ht="16.5" customHeight="1">
      <c r="B481" s="20"/>
      <c r="C481" s="20"/>
      <c r="D481" s="254"/>
      <c r="E481" s="379">
        <v>144357</v>
      </c>
      <c r="F481" s="395" t="s">
        <v>776</v>
      </c>
      <c r="G481" s="396"/>
      <c r="H481" s="397"/>
      <c r="I481" s="383">
        <v>71700</v>
      </c>
      <c r="J481" s="398">
        <v>144357</v>
      </c>
      <c r="K481" s="399" t="s">
        <v>70</v>
      </c>
      <c r="L481" s="399" t="s">
        <v>34</v>
      </c>
      <c r="M481" s="399">
        <v>20</v>
      </c>
      <c r="N481" s="356" t="e">
        <v>#N/A</v>
      </c>
      <c r="O481" s="28" t="e">
        <v>#N/A</v>
      </c>
    </row>
    <row r="482" spans="2:15" s="28" customFormat="1" ht="16.5" customHeight="1">
      <c r="B482" s="20"/>
      <c r="C482" s="20"/>
      <c r="D482" s="254"/>
      <c r="E482" s="379">
        <v>144361</v>
      </c>
      <c r="F482" s="395" t="s">
        <v>778</v>
      </c>
      <c r="G482" s="396"/>
      <c r="H482" s="397"/>
      <c r="I482" s="383">
        <v>670000</v>
      </c>
      <c r="J482" s="398">
        <v>144361</v>
      </c>
      <c r="K482" s="399" t="s">
        <v>71</v>
      </c>
      <c r="L482" s="399" t="s">
        <v>34</v>
      </c>
      <c r="M482" s="399">
        <v>200</v>
      </c>
      <c r="N482" s="356">
        <v>76100</v>
      </c>
      <c r="O482" s="28" t="b">
        <v>1</v>
      </c>
    </row>
    <row r="483" spans="2:15" s="28" customFormat="1" ht="16.5" customHeight="1">
      <c r="B483" s="20"/>
      <c r="C483" s="20"/>
      <c r="D483" s="254"/>
      <c r="E483" s="379">
        <v>144360</v>
      </c>
      <c r="F483" s="395" t="s">
        <v>777</v>
      </c>
      <c r="G483" s="396"/>
      <c r="H483" s="397"/>
      <c r="I483" s="383">
        <v>71700</v>
      </c>
      <c r="J483" s="398">
        <v>144360</v>
      </c>
      <c r="K483" s="399" t="s">
        <v>70</v>
      </c>
      <c r="L483" s="399" t="s">
        <v>34</v>
      </c>
      <c r="M483" s="399">
        <v>20</v>
      </c>
      <c r="N483" s="356">
        <v>670000</v>
      </c>
      <c r="O483" s="28" t="b">
        <v>1</v>
      </c>
    </row>
    <row r="484" spans="2:15" s="28" customFormat="1" ht="16.5" customHeight="1">
      <c r="B484" s="20"/>
      <c r="C484" s="20"/>
      <c r="D484" s="254"/>
      <c r="E484" s="379">
        <v>144270</v>
      </c>
      <c r="F484" s="395" t="s">
        <v>843</v>
      </c>
      <c r="G484" s="396"/>
      <c r="H484" s="397"/>
      <c r="I484" s="383">
        <v>1005000</v>
      </c>
      <c r="J484" s="398">
        <v>144270</v>
      </c>
      <c r="K484" s="399" t="s">
        <v>71</v>
      </c>
      <c r="L484" s="399" t="s">
        <v>34</v>
      </c>
      <c r="M484" s="399">
        <v>200</v>
      </c>
      <c r="N484" s="356">
        <v>71700</v>
      </c>
      <c r="O484" s="28" t="b">
        <v>1</v>
      </c>
    </row>
    <row r="485" spans="2:15" s="28" customFormat="1" ht="16.5" customHeight="1">
      <c r="B485" s="20"/>
      <c r="C485" s="20"/>
      <c r="D485" s="254"/>
      <c r="E485" s="379">
        <v>135441</v>
      </c>
      <c r="F485" s="395" t="s">
        <v>298</v>
      </c>
      <c r="G485" s="396"/>
      <c r="H485" s="397"/>
      <c r="I485" s="383">
        <v>287000</v>
      </c>
      <c r="J485" s="398">
        <v>135441</v>
      </c>
      <c r="K485" s="399" t="s">
        <v>70</v>
      </c>
      <c r="L485" s="399" t="s">
        <v>34</v>
      </c>
      <c r="M485" s="399">
        <v>20</v>
      </c>
      <c r="N485" s="356" t="e">
        <v>#N/A</v>
      </c>
      <c r="O485" s="28" t="e">
        <v>#N/A</v>
      </c>
    </row>
    <row r="486" spans="2:15" s="28" customFormat="1" ht="16.5" customHeight="1">
      <c r="B486" s="20"/>
      <c r="C486" s="20"/>
      <c r="D486" s="254"/>
      <c r="E486" s="379">
        <v>128430</v>
      </c>
      <c r="F486" s="395" t="s">
        <v>847</v>
      </c>
      <c r="G486" s="396"/>
      <c r="H486" s="397"/>
      <c r="I486" s="383">
        <v>1800000</v>
      </c>
      <c r="J486" s="398">
        <v>128430</v>
      </c>
      <c r="K486" s="399" t="s">
        <v>71</v>
      </c>
      <c r="L486" s="399" t="s">
        <v>34</v>
      </c>
      <c r="M486" s="399">
        <v>181</v>
      </c>
      <c r="N486" s="356">
        <v>756000</v>
      </c>
      <c r="O486" s="28" t="b">
        <v>1</v>
      </c>
    </row>
    <row r="487" spans="2:15" s="28" customFormat="1" ht="16.5" customHeight="1">
      <c r="B487" s="20"/>
      <c r="C487" s="20"/>
      <c r="D487" s="254"/>
      <c r="E487" s="379">
        <v>141257</v>
      </c>
      <c r="F487" s="395" t="s">
        <v>856</v>
      </c>
      <c r="G487" s="396"/>
      <c r="H487" s="397"/>
      <c r="I487" s="383">
        <v>85932</v>
      </c>
      <c r="J487" s="398">
        <v>141257</v>
      </c>
      <c r="K487" s="378" t="s">
        <v>73</v>
      </c>
      <c r="L487" s="378" t="s">
        <v>35</v>
      </c>
      <c r="M487" s="399">
        <v>12</v>
      </c>
      <c r="N487" s="356" t="e">
        <v>#N/A</v>
      </c>
      <c r="O487" s="28" t="e">
        <v>#N/A</v>
      </c>
    </row>
    <row r="488" spans="2:15" s="28" customFormat="1" ht="16.5" customHeight="1">
      <c r="B488" s="20"/>
      <c r="C488" s="20"/>
      <c r="D488" s="254"/>
      <c r="E488" s="411">
        <v>147122</v>
      </c>
      <c r="F488" s="395" t="s">
        <v>868</v>
      </c>
      <c r="G488" s="396"/>
      <c r="H488" s="397"/>
      <c r="I488" s="383">
        <f>VLOOKUP(E488,'[1]Table 1'!$A$6:$C$21,3,0)</f>
        <v>51828</v>
      </c>
      <c r="J488" s="398">
        <v>147122</v>
      </c>
      <c r="K488" s="399" t="s">
        <v>761</v>
      </c>
      <c r="L488" s="399" t="s">
        <v>872</v>
      </c>
      <c r="M488" s="399">
        <v>12</v>
      </c>
      <c r="N488" s="356">
        <v>80200</v>
      </c>
      <c r="O488" s="28" t="b">
        <v>1</v>
      </c>
    </row>
    <row r="489" spans="2:15" s="28" customFormat="1" ht="16.5" customHeight="1">
      <c r="B489" s="20"/>
      <c r="C489" s="20"/>
      <c r="D489" s="254"/>
      <c r="E489" s="411">
        <v>140901</v>
      </c>
      <c r="F489" s="395" t="s">
        <v>98</v>
      </c>
      <c r="G489" s="396"/>
      <c r="H489" s="397"/>
      <c r="I489" s="383">
        <f>VLOOKUP(E489,'[1]Table 1'!$A$6:$C$21,3,0)</f>
        <v>88308</v>
      </c>
      <c r="J489" s="398">
        <v>140901</v>
      </c>
      <c r="K489" s="399" t="s">
        <v>761</v>
      </c>
      <c r="L489" s="399" t="s">
        <v>872</v>
      </c>
      <c r="M489" s="399">
        <v>20</v>
      </c>
      <c r="N489" s="356">
        <v>670000</v>
      </c>
      <c r="O489" s="28" t="b">
        <v>1</v>
      </c>
    </row>
    <row r="490" spans="2:15" s="28" customFormat="1" ht="16.5" customHeight="1">
      <c r="B490" s="20"/>
      <c r="C490" s="20"/>
      <c r="D490" s="254"/>
      <c r="E490" s="411">
        <v>140904</v>
      </c>
      <c r="F490" s="395" t="s">
        <v>859</v>
      </c>
      <c r="G490" s="396"/>
      <c r="H490" s="397"/>
      <c r="I490" s="383">
        <f>VLOOKUP(E490,'[1]Table 1'!$A$6:$C$21,3,0)</f>
        <v>96792</v>
      </c>
      <c r="J490" s="398">
        <v>140904</v>
      </c>
      <c r="K490" s="399" t="s">
        <v>761</v>
      </c>
      <c r="L490" s="399" t="s">
        <v>872</v>
      </c>
      <c r="M490" s="399">
        <v>20</v>
      </c>
      <c r="N490" s="356">
        <v>71700</v>
      </c>
      <c r="O490" s="28" t="b">
        <v>1</v>
      </c>
    </row>
    <row r="491" spans="2:15" s="28" customFormat="1" ht="16.5" customHeight="1">
      <c r="B491" s="20"/>
      <c r="C491" s="20"/>
      <c r="D491" s="254"/>
      <c r="E491" s="411">
        <v>147379</v>
      </c>
      <c r="F491" s="395" t="s">
        <v>862</v>
      </c>
      <c r="G491" s="396"/>
      <c r="H491" s="397"/>
      <c r="I491" s="383">
        <f>VLOOKUP(E491,'[1]Table 1'!$A$6:$C$21,3,0)</f>
        <v>37740</v>
      </c>
      <c r="J491" s="398">
        <v>147379</v>
      </c>
      <c r="K491" s="399" t="s">
        <v>761</v>
      </c>
      <c r="L491" s="399" t="s">
        <v>872</v>
      </c>
      <c r="M491" s="399">
        <v>12</v>
      </c>
      <c r="N491" s="356">
        <v>670000</v>
      </c>
      <c r="O491" s="28" t="b">
        <v>1</v>
      </c>
    </row>
    <row r="492" spans="2:15" s="28" customFormat="1" ht="16.5" customHeight="1">
      <c r="B492" s="20"/>
      <c r="C492" s="20"/>
      <c r="D492" s="254"/>
      <c r="E492" s="411">
        <v>138583</v>
      </c>
      <c r="F492" s="395" t="s">
        <v>740</v>
      </c>
      <c r="G492" s="396"/>
      <c r="H492" s="397"/>
      <c r="I492" s="383">
        <f>VLOOKUP(E492,'[1]Table 1'!$A$6:$C$21,3,0)</f>
        <v>44600</v>
      </c>
      <c r="J492" s="398">
        <v>138583</v>
      </c>
      <c r="K492" s="399" t="s">
        <v>761</v>
      </c>
      <c r="L492" s="399" t="s">
        <v>872</v>
      </c>
      <c r="M492" s="399">
        <v>12</v>
      </c>
      <c r="N492" s="356">
        <v>71700</v>
      </c>
      <c r="O492" s="28" t="b">
        <v>1</v>
      </c>
    </row>
    <row r="493" spans="2:15" s="28" customFormat="1" ht="16.5" customHeight="1">
      <c r="B493" s="20"/>
      <c r="C493" s="20"/>
      <c r="D493" s="254"/>
      <c r="E493" s="411">
        <v>140876</v>
      </c>
      <c r="F493" s="395" t="s">
        <v>105</v>
      </c>
      <c r="G493" s="396"/>
      <c r="H493" s="397"/>
      <c r="I493" s="383">
        <f>VLOOKUP(E493,'[1]Table 1'!$A$6:$C$21,3,0)</f>
        <v>529893</v>
      </c>
      <c r="J493" s="398">
        <v>140876</v>
      </c>
      <c r="K493" s="399" t="s">
        <v>70</v>
      </c>
      <c r="L493" s="399" t="s">
        <v>872</v>
      </c>
      <c r="M493" s="399">
        <v>20</v>
      </c>
      <c r="N493" s="356">
        <v>670000</v>
      </c>
      <c r="O493" s="28" t="b">
        <v>1</v>
      </c>
    </row>
    <row r="494" spans="2:15" s="28" customFormat="1" ht="16.5" customHeight="1">
      <c r="B494" s="20"/>
      <c r="C494" s="20"/>
      <c r="D494" s="254"/>
      <c r="E494" s="411">
        <v>140877</v>
      </c>
      <c r="F494" s="395" t="s">
        <v>99</v>
      </c>
      <c r="G494" s="396"/>
      <c r="H494" s="397"/>
      <c r="I494" s="383">
        <f>VLOOKUP(E494,'[1]Table 1'!$A$6:$C$21,3,0)</f>
        <v>80739</v>
      </c>
      <c r="J494" s="398">
        <v>140877</v>
      </c>
      <c r="K494" s="399" t="s">
        <v>70</v>
      </c>
      <c r="L494" s="399" t="s">
        <v>872</v>
      </c>
      <c r="M494" s="399">
        <v>20</v>
      </c>
      <c r="N494" s="356">
        <v>71700</v>
      </c>
      <c r="O494" s="28" t="b">
        <v>1</v>
      </c>
    </row>
    <row r="495" spans="2:15" s="28" customFormat="1" ht="16.5" customHeight="1">
      <c r="B495" s="20"/>
      <c r="C495" s="20"/>
      <c r="D495" s="254"/>
      <c r="E495" s="411">
        <v>140878</v>
      </c>
      <c r="F495" s="395" t="s">
        <v>860</v>
      </c>
      <c r="G495" s="396"/>
      <c r="H495" s="397"/>
      <c r="I495" s="383">
        <f>VLOOKUP(E495,'[1]Table 1'!$A$6:$C$21,3,0)</f>
        <v>121830</v>
      </c>
      <c r="J495" s="398">
        <v>140878</v>
      </c>
      <c r="K495" s="399" t="s">
        <v>70</v>
      </c>
      <c r="L495" s="399" t="s">
        <v>872</v>
      </c>
      <c r="M495" s="399">
        <v>20</v>
      </c>
      <c r="N495" s="356" t="e">
        <v>#N/A</v>
      </c>
      <c r="O495" s="28" t="e">
        <v>#N/A</v>
      </c>
    </row>
    <row r="496" spans="2:15" s="28" customFormat="1" ht="16.5" customHeight="1">
      <c r="B496" s="20"/>
      <c r="C496" s="20"/>
      <c r="D496" s="254"/>
      <c r="E496" s="411">
        <v>140922</v>
      </c>
      <c r="F496" s="395" t="s">
        <v>94</v>
      </c>
      <c r="G496" s="396"/>
      <c r="H496" s="397"/>
      <c r="I496" s="383">
        <f>VLOOKUP(E496,'[1]Table 1'!$A$6:$C$21,3,0)</f>
        <v>210521</v>
      </c>
      <c r="J496" s="398">
        <v>140922</v>
      </c>
      <c r="K496" s="399" t="s">
        <v>70</v>
      </c>
      <c r="L496" s="399" t="s">
        <v>872</v>
      </c>
      <c r="M496" s="399">
        <v>20</v>
      </c>
      <c r="N496" s="356" t="e">
        <v>#N/A</v>
      </c>
      <c r="O496" s="28" t="e">
        <v>#N/A</v>
      </c>
    </row>
    <row r="497" spans="2:23" s="28" customFormat="1" ht="16.5" customHeight="1">
      <c r="B497" s="20"/>
      <c r="C497" s="20"/>
      <c r="D497" s="254"/>
      <c r="E497" s="411">
        <v>140902</v>
      </c>
      <c r="F497" s="395" t="s">
        <v>95</v>
      </c>
      <c r="G497" s="396"/>
      <c r="H497" s="397"/>
      <c r="I497" s="383">
        <f>VLOOKUP(E497,'[1]Table 1'!$A$6:$C$21,3,0)</f>
        <v>870316</v>
      </c>
      <c r="J497" s="398">
        <v>140902</v>
      </c>
      <c r="K497" s="399" t="s">
        <v>873</v>
      </c>
      <c r="L497" s="399" t="s">
        <v>872</v>
      </c>
      <c r="M497" s="399">
        <v>200</v>
      </c>
      <c r="N497" s="356" t="e">
        <v>#N/A</v>
      </c>
      <c r="O497" s="28" t="e">
        <v>#N/A</v>
      </c>
    </row>
    <row r="498" spans="2:23" s="28" customFormat="1" ht="16.5" customHeight="1">
      <c r="B498" s="20"/>
      <c r="C498" s="20"/>
      <c r="D498" s="254"/>
      <c r="E498" s="411">
        <v>140905</v>
      </c>
      <c r="F498" s="395" t="s">
        <v>96</v>
      </c>
      <c r="G498" s="396"/>
      <c r="H498" s="397"/>
      <c r="I498" s="383">
        <f>VLOOKUP(E498,'[1]Table 1'!$A$6:$C$21,3,0)</f>
        <v>874413</v>
      </c>
      <c r="J498" s="398">
        <v>140905</v>
      </c>
      <c r="K498" s="399" t="s">
        <v>873</v>
      </c>
      <c r="L498" s="399" t="s">
        <v>872</v>
      </c>
      <c r="M498" s="399">
        <v>200</v>
      </c>
      <c r="N498" s="356">
        <v>670000</v>
      </c>
      <c r="O498" s="28" t="b">
        <v>1</v>
      </c>
    </row>
    <row r="499" spans="2:23" s="28" customFormat="1" ht="16.5" customHeight="1">
      <c r="B499" s="20"/>
      <c r="C499" s="20"/>
      <c r="D499" s="254"/>
      <c r="E499" s="411">
        <v>147284</v>
      </c>
      <c r="F499" s="395" t="s">
        <v>837</v>
      </c>
      <c r="G499" s="396"/>
      <c r="H499" s="397"/>
      <c r="I499" s="383">
        <f>VLOOKUP(E499,'[1]Table 1'!$A$6:$C$21,3,0)</f>
        <v>530625</v>
      </c>
      <c r="J499" s="398">
        <v>147284</v>
      </c>
      <c r="K499" s="399" t="s">
        <v>873</v>
      </c>
      <c r="L499" s="399" t="s">
        <v>872</v>
      </c>
      <c r="M499" s="399">
        <v>208</v>
      </c>
      <c r="N499" s="356">
        <v>71700</v>
      </c>
      <c r="O499" s="28" t="b">
        <v>1</v>
      </c>
    </row>
    <row r="500" spans="2:23" s="28" customFormat="1" ht="16.5" customHeight="1">
      <c r="B500" s="20"/>
      <c r="C500" s="20"/>
      <c r="D500" s="254"/>
      <c r="E500" s="411">
        <v>147391</v>
      </c>
      <c r="F500" s="395" t="s">
        <v>838</v>
      </c>
      <c r="G500" s="396"/>
      <c r="H500" s="397"/>
      <c r="I500" s="383">
        <f>VLOOKUP(E500,'[1]Table 1'!$A$6:$C$21,3,0)</f>
        <v>522994</v>
      </c>
      <c r="J500" s="398">
        <v>147391</v>
      </c>
      <c r="K500" s="399" t="s">
        <v>873</v>
      </c>
      <c r="L500" s="399" t="s">
        <v>872</v>
      </c>
      <c r="M500" s="399">
        <v>208</v>
      </c>
      <c r="N500" s="356">
        <v>670000</v>
      </c>
      <c r="O500" s="28" t="b">
        <v>1</v>
      </c>
    </row>
    <row r="501" spans="2:23" s="28" customFormat="1" ht="16.5" customHeight="1">
      <c r="B501" s="20"/>
      <c r="C501" s="20"/>
      <c r="D501" s="254"/>
      <c r="E501" s="411">
        <v>144515</v>
      </c>
      <c r="F501" s="395" t="s">
        <v>839</v>
      </c>
      <c r="G501" s="396"/>
      <c r="H501" s="397"/>
      <c r="I501" s="383">
        <v>631617</v>
      </c>
      <c r="J501" s="398">
        <v>144515</v>
      </c>
      <c r="K501" s="399" t="s">
        <v>873</v>
      </c>
      <c r="L501" s="399" t="s">
        <v>872</v>
      </c>
      <c r="M501" s="399">
        <v>208</v>
      </c>
      <c r="N501" s="356">
        <v>71700</v>
      </c>
      <c r="O501" s="28" t="b">
        <v>1</v>
      </c>
    </row>
    <row r="502" spans="2:23" s="28" customFormat="1" ht="16.5" customHeight="1">
      <c r="B502" s="20"/>
      <c r="C502" s="20"/>
      <c r="D502" s="254"/>
      <c r="E502" s="411">
        <v>147370</v>
      </c>
      <c r="F502" s="395" t="s">
        <v>839</v>
      </c>
      <c r="G502" s="396"/>
      <c r="H502" s="397"/>
      <c r="I502" s="383">
        <f>VLOOKUP(E502,'[1]Table 1'!$A$6:$C$21,3,0)</f>
        <v>528082</v>
      </c>
      <c r="J502" s="398">
        <v>147370</v>
      </c>
      <c r="K502" s="399" t="s">
        <v>873</v>
      </c>
      <c r="L502" s="399" t="s">
        <v>872</v>
      </c>
      <c r="M502" s="399">
        <v>208</v>
      </c>
      <c r="N502" s="356">
        <v>670000</v>
      </c>
      <c r="O502" s="28" t="b">
        <v>1</v>
      </c>
    </row>
    <row r="503" spans="2:23" s="28" customFormat="1" ht="16.5" customHeight="1">
      <c r="B503" s="20"/>
      <c r="C503" s="20"/>
      <c r="D503" s="254"/>
      <c r="E503" s="411">
        <v>140597</v>
      </c>
      <c r="F503" s="395" t="s">
        <v>869</v>
      </c>
      <c r="G503" s="396"/>
      <c r="H503" s="397"/>
      <c r="I503" s="383">
        <v>124000</v>
      </c>
      <c r="J503" s="398">
        <v>140597</v>
      </c>
      <c r="K503" s="399" t="s">
        <v>761</v>
      </c>
      <c r="L503" s="399" t="s">
        <v>872</v>
      </c>
      <c r="M503" s="399">
        <v>12</v>
      </c>
      <c r="N503" s="356">
        <v>71700</v>
      </c>
      <c r="O503" s="28" t="b">
        <v>1</v>
      </c>
    </row>
    <row r="504" spans="2:23" s="28" customFormat="1" ht="16.5" customHeight="1">
      <c r="B504" s="20"/>
      <c r="C504" s="20"/>
      <c r="D504" s="254"/>
      <c r="E504" s="411">
        <v>147279</v>
      </c>
      <c r="F504" s="395" t="s">
        <v>870</v>
      </c>
      <c r="G504" s="396"/>
      <c r="H504" s="397"/>
      <c r="I504" s="383">
        <f>VLOOKUP(E504,'[1]Table 1'!$A$6:$C$21,3,0)</f>
        <v>50796</v>
      </c>
      <c r="J504" s="398">
        <v>147279</v>
      </c>
      <c r="K504" s="399" t="s">
        <v>761</v>
      </c>
      <c r="L504" s="399" t="s">
        <v>872</v>
      </c>
      <c r="M504" s="399">
        <v>12</v>
      </c>
      <c r="N504" s="356" t="e">
        <v>#N/A</v>
      </c>
      <c r="O504" s="28" t="e">
        <v>#N/A</v>
      </c>
    </row>
    <row r="505" spans="2:23" s="28" customFormat="1" ht="16.5" customHeight="1">
      <c r="B505" s="20"/>
      <c r="C505" s="20"/>
      <c r="D505" s="254"/>
      <c r="E505" s="411">
        <v>141257</v>
      </c>
      <c r="F505" s="395" t="s">
        <v>871</v>
      </c>
      <c r="G505" s="396"/>
      <c r="H505" s="397"/>
      <c r="I505" s="383">
        <f>VLOOKUP(E505,'[1]Table 1'!$A$6:$C$21,3,0)</f>
        <v>82344</v>
      </c>
      <c r="J505" s="398">
        <v>141257</v>
      </c>
      <c r="K505" s="399" t="s">
        <v>761</v>
      </c>
      <c r="L505" s="399" t="s">
        <v>872</v>
      </c>
      <c r="M505" s="399">
        <v>12</v>
      </c>
      <c r="N505" s="356" t="e">
        <v>#N/A</v>
      </c>
      <c r="O505" s="28" t="e">
        <v>#N/A</v>
      </c>
    </row>
    <row r="506" spans="2:23" s="28" customFormat="1" ht="16.5" customHeight="1">
      <c r="B506" s="20"/>
      <c r="C506" s="20"/>
      <c r="D506" s="448"/>
      <c r="E506" s="32">
        <v>143396</v>
      </c>
      <c r="F506" s="37" t="s">
        <v>157</v>
      </c>
      <c r="G506" s="452"/>
      <c r="H506" s="453"/>
      <c r="I506" s="325">
        <v>60500</v>
      </c>
      <c r="J506" s="33">
        <v>143396</v>
      </c>
      <c r="K506" s="32" t="s">
        <v>73</v>
      </c>
      <c r="L506" s="32" t="s">
        <v>79</v>
      </c>
      <c r="M506" s="32">
        <v>18</v>
      </c>
      <c r="N506" s="356">
        <f>VLOOKUP(E506,'[2]Price list'!$A$2:$F$145,6,0)</f>
        <v>60500</v>
      </c>
      <c r="O506" s="28" t="b">
        <f t="shared" ref="O506:O511" si="15">I506=N506</f>
        <v>1</v>
      </c>
      <c r="R506" s="43"/>
      <c r="S506" s="43"/>
      <c r="T506" s="43"/>
      <c r="U506" s="449"/>
      <c r="V506" s="449"/>
      <c r="W506" s="43"/>
    </row>
    <row r="507" spans="2:23" s="28" customFormat="1" ht="16.5" customHeight="1">
      <c r="B507" s="20"/>
      <c r="C507" s="20"/>
      <c r="D507" s="448"/>
      <c r="E507" s="32">
        <v>143210</v>
      </c>
      <c r="F507" s="37" t="s">
        <v>901</v>
      </c>
      <c r="G507" s="452"/>
      <c r="H507" s="453"/>
      <c r="I507" s="325">
        <v>45300</v>
      </c>
      <c r="J507" s="33">
        <v>143210</v>
      </c>
      <c r="K507" s="32" t="s">
        <v>73</v>
      </c>
      <c r="L507" s="32" t="s">
        <v>35</v>
      </c>
      <c r="M507" s="32">
        <v>12</v>
      </c>
      <c r="N507" s="356">
        <f>VLOOKUP(E507,'[2]Price list'!$A$2:$F$145,6,0)</f>
        <v>45300</v>
      </c>
      <c r="O507" s="28" t="b">
        <f t="shared" si="15"/>
        <v>1</v>
      </c>
      <c r="R507" s="43"/>
      <c r="S507" s="43"/>
      <c r="T507" s="43"/>
      <c r="U507" s="449"/>
      <c r="V507" s="449"/>
      <c r="W507" s="43"/>
    </row>
    <row r="508" spans="2:23" s="28" customFormat="1" ht="16.5" customHeight="1">
      <c r="B508" s="20"/>
      <c r="C508" s="20"/>
      <c r="D508" s="448"/>
      <c r="E508" s="32">
        <v>144255</v>
      </c>
      <c r="F508" s="458" t="s">
        <v>914</v>
      </c>
      <c r="G508" s="452"/>
      <c r="H508" s="453"/>
      <c r="I508" s="325">
        <v>66500</v>
      </c>
      <c r="J508" s="33">
        <v>144255</v>
      </c>
      <c r="K508" s="32" t="s">
        <v>72</v>
      </c>
      <c r="L508" s="32" t="s">
        <v>35</v>
      </c>
      <c r="M508" s="32">
        <v>12</v>
      </c>
      <c r="N508" s="356">
        <f>VLOOKUP(E508,'[2]Price list'!$A$2:$F$145,6,0)</f>
        <v>66500</v>
      </c>
      <c r="O508" s="28" t="b">
        <f t="shared" si="15"/>
        <v>1</v>
      </c>
      <c r="R508" s="43"/>
      <c r="S508" s="43"/>
      <c r="T508" s="43"/>
      <c r="U508" s="449"/>
      <c r="V508" s="449"/>
      <c r="W508" s="43"/>
    </row>
    <row r="509" spans="2:23" s="28" customFormat="1" ht="16.5" customHeight="1">
      <c r="B509" s="20"/>
      <c r="C509" s="20"/>
      <c r="D509" s="448"/>
      <c r="E509" s="32">
        <v>143207</v>
      </c>
      <c r="F509" s="37" t="s">
        <v>915</v>
      </c>
      <c r="G509" s="452"/>
      <c r="H509" s="453"/>
      <c r="I509" s="325">
        <v>50300</v>
      </c>
      <c r="J509" s="33">
        <v>143207</v>
      </c>
      <c r="K509" s="32" t="s">
        <v>73</v>
      </c>
      <c r="L509" s="32" t="s">
        <v>35</v>
      </c>
      <c r="M509" s="32">
        <v>12</v>
      </c>
      <c r="N509" s="356">
        <f>VLOOKUP(E509,'[2]Price list'!$A$2:$F$145,6,0)</f>
        <v>50300</v>
      </c>
      <c r="O509" s="28" t="b">
        <f t="shared" si="15"/>
        <v>1</v>
      </c>
      <c r="R509" s="43"/>
      <c r="S509" s="43"/>
      <c r="T509" s="43"/>
      <c r="U509" s="449"/>
      <c r="V509" s="449"/>
      <c r="W509" s="43"/>
    </row>
    <row r="510" spans="2:23" s="28" customFormat="1" ht="16.5" customHeight="1">
      <c r="B510" s="20"/>
      <c r="C510" s="20"/>
      <c r="D510" s="448"/>
      <c r="E510" s="32">
        <v>143902</v>
      </c>
      <c r="F510" s="37" t="s">
        <v>916</v>
      </c>
      <c r="G510" s="452"/>
      <c r="H510" s="453"/>
      <c r="I510" s="325">
        <v>76500</v>
      </c>
      <c r="J510" s="32">
        <v>143902</v>
      </c>
      <c r="K510" s="32" t="s">
        <v>70</v>
      </c>
      <c r="L510" s="32" t="s">
        <v>917</v>
      </c>
      <c r="M510" s="32">
        <v>20</v>
      </c>
      <c r="N510" s="356">
        <f>VLOOKUP(E510,'[2]Price list'!$A$2:$F$145,6,0)</f>
        <v>76500</v>
      </c>
      <c r="O510" s="28" t="b">
        <f t="shared" si="15"/>
        <v>1</v>
      </c>
      <c r="R510" s="43"/>
      <c r="S510" s="43"/>
      <c r="T510" s="43"/>
      <c r="U510" s="449"/>
      <c r="V510" s="449"/>
      <c r="W510" s="43"/>
    </row>
    <row r="511" spans="2:23" s="28" customFormat="1" ht="16.5" customHeight="1">
      <c r="B511" s="20"/>
      <c r="C511" s="20"/>
      <c r="D511" s="448"/>
      <c r="E511" s="32">
        <v>143903</v>
      </c>
      <c r="F511" s="37" t="s">
        <v>918</v>
      </c>
      <c r="G511" s="452"/>
      <c r="H511" s="453"/>
      <c r="I511" s="325">
        <v>66100</v>
      </c>
      <c r="J511" s="32">
        <v>143903</v>
      </c>
      <c r="K511" s="32" t="s">
        <v>73</v>
      </c>
      <c r="L511" s="32" t="s">
        <v>919</v>
      </c>
      <c r="M511" s="32">
        <v>16</v>
      </c>
      <c r="N511" s="356">
        <f>VLOOKUP(E511,'[2]Price list'!$A$2:$F$145,6,0)</f>
        <v>66100</v>
      </c>
      <c r="O511" s="28" t="b">
        <f t="shared" si="15"/>
        <v>1</v>
      </c>
      <c r="R511" s="43"/>
      <c r="S511" s="43"/>
      <c r="T511" s="43"/>
      <c r="U511" s="449"/>
      <c r="V511" s="449"/>
      <c r="W511" s="43"/>
    </row>
    <row r="512" spans="2:23" ht="16.5" customHeight="1">
      <c r="D512" s="254"/>
      <c r="E512" s="379">
        <v>144620</v>
      </c>
      <c r="F512" s="395" t="s">
        <v>161</v>
      </c>
      <c r="G512" s="396"/>
      <c r="H512" s="397"/>
      <c r="I512" s="383">
        <v>50300</v>
      </c>
      <c r="J512" s="379">
        <v>144620</v>
      </c>
      <c r="K512" s="32" t="s">
        <v>72</v>
      </c>
      <c r="L512" s="32" t="s">
        <v>35</v>
      </c>
      <c r="M512" s="32">
        <v>12</v>
      </c>
      <c r="N512" t="e">
        <v>#N/A</v>
      </c>
      <c r="R512"/>
      <c r="S512"/>
      <c r="T512"/>
      <c r="U512" s="12"/>
    </row>
    <row r="513" spans="2:23" s="28" customFormat="1" ht="16.5" customHeight="1">
      <c r="B513" s="20"/>
      <c r="C513" s="20"/>
      <c r="D513" s="448"/>
      <c r="E513" s="32">
        <v>143248</v>
      </c>
      <c r="F513" s="37" t="s">
        <v>211</v>
      </c>
      <c r="G513" s="452"/>
      <c r="H513" s="453"/>
      <c r="I513" s="325">
        <v>59400</v>
      </c>
      <c r="J513" s="33">
        <v>128857</v>
      </c>
      <c r="K513" s="32" t="s">
        <v>70</v>
      </c>
      <c r="L513" s="32" t="s">
        <v>0</v>
      </c>
      <c r="M513" s="32">
        <v>20</v>
      </c>
      <c r="N513" s="356">
        <f>VLOOKUP(E513,'[2]Price list'!$A$2:$F$145,6,0)</f>
        <v>59400</v>
      </c>
      <c r="O513" s="28" t="b">
        <f t="shared" ref="O513:O514" si="16">I513=N513</f>
        <v>1</v>
      </c>
      <c r="R513" s="43"/>
      <c r="S513" s="43"/>
      <c r="T513" s="43"/>
      <c r="U513" s="449"/>
      <c r="V513" s="449"/>
      <c r="W513" s="43"/>
    </row>
    <row r="514" spans="2:23" s="28" customFormat="1" ht="16.5" customHeight="1">
      <c r="B514" s="20"/>
      <c r="C514" s="20"/>
      <c r="D514" s="448"/>
      <c r="E514" s="32">
        <v>141765</v>
      </c>
      <c r="F514" s="37" t="s">
        <v>184</v>
      </c>
      <c r="G514" s="452"/>
      <c r="H514" s="453"/>
      <c r="I514" s="325">
        <v>64300</v>
      </c>
      <c r="J514" s="32">
        <v>141765</v>
      </c>
      <c r="K514" s="32" t="s">
        <v>72</v>
      </c>
      <c r="L514" s="32" t="s">
        <v>920</v>
      </c>
      <c r="M514" s="32">
        <v>6</v>
      </c>
      <c r="N514" s="356">
        <f>VLOOKUP(E514,'[2]Price list'!$A$2:$F$145,6,0)</f>
        <v>64300</v>
      </c>
      <c r="O514" s="28" t="b">
        <f t="shared" si="16"/>
        <v>1</v>
      </c>
      <c r="R514" s="43"/>
      <c r="S514" s="43"/>
      <c r="T514" s="43"/>
      <c r="U514" s="449"/>
      <c r="V514" s="449"/>
      <c r="W514" s="43"/>
    </row>
    <row r="515" spans="2:23" ht="16.5" customHeight="1">
      <c r="D515" s="254"/>
      <c r="E515" s="379"/>
      <c r="F515" s="395"/>
      <c r="G515" s="396"/>
      <c r="H515" s="397"/>
      <c r="I515" s="383"/>
      <c r="J515" s="398"/>
      <c r="K515" s="399"/>
      <c r="L515" s="399"/>
      <c r="M515" s="399"/>
      <c r="N515" t="e">
        <v>#N/A</v>
      </c>
      <c r="R515"/>
      <c r="S515"/>
      <c r="T515"/>
      <c r="U515" s="12"/>
    </row>
    <row r="516" spans="2:23" ht="16.5" customHeight="1">
      <c r="D516" s="254"/>
      <c r="E516" s="379"/>
      <c r="F516" s="395"/>
      <c r="G516" s="396"/>
      <c r="H516" s="397"/>
      <c r="I516" s="383"/>
      <c r="J516" s="398"/>
      <c r="K516" s="399"/>
      <c r="L516" s="399"/>
      <c r="M516" s="399"/>
      <c r="N516" t="e">
        <v>#N/A</v>
      </c>
      <c r="R516"/>
      <c r="S516"/>
      <c r="T516"/>
      <c r="U516" s="12"/>
    </row>
    <row r="517" spans="2:23">
      <c r="E517" s="379"/>
      <c r="F517" s="395"/>
      <c r="G517" s="396"/>
      <c r="H517" s="397"/>
      <c r="I517" s="383"/>
      <c r="J517" s="398"/>
      <c r="K517" s="399"/>
      <c r="L517" s="399"/>
      <c r="M517" s="399"/>
    </row>
    <row r="518" spans="2:23">
      <c r="E518" s="379"/>
      <c r="F518" s="395"/>
      <c r="G518" s="396"/>
      <c r="H518" s="397"/>
      <c r="I518" s="383"/>
      <c r="J518" s="398"/>
      <c r="K518" s="399"/>
      <c r="L518" s="399"/>
      <c r="M518" s="399"/>
    </row>
  </sheetData>
  <protectedRanges>
    <protectedRange sqref="M46:O64" name="범위10_1_1"/>
    <protectedRange sqref="L8" name="범위11_1"/>
    <protectedRange sqref="L8" name="범위4_1"/>
    <protectedRange sqref="P12:P26" name="범위14_1_1"/>
    <protectedRange sqref="D9" name="범위13_1_1"/>
    <protectedRange sqref="G8:H8" name="범위15_1_1"/>
    <protectedRange sqref="G61 D46:E46 D48:E64 G46:G59" name="범위8_1_1_2_1_1_1"/>
    <protectedRange sqref="G63:K63 G64:J64 G62:H63 J63:K64 H61:K61 G60:H60 H46:K59" name="범위9_1_1_1_1_2"/>
    <protectedRange sqref="G7:H7" name="범위15_1_1_1"/>
    <protectedRange sqref="C16:C26" name="범위1_3_1_2"/>
    <protectedRange sqref="L12:L26" name="범위3_2_1_1_1"/>
    <protectedRange sqref="D27" name="범위23_1_1_1_2_1_1"/>
    <protectedRange sqref="D27" name="범위1_3_1_1_1_1_2_1_1"/>
    <protectedRange sqref="C15:C16" name="범위1_3_1_2_1"/>
    <protectedRange sqref="D12:D25" name="범위23_1_1_1_2_1_1_1"/>
    <protectedRange sqref="D12:D25" name="범위1_3_1_1_1_1_2_1_1_1"/>
    <protectedRange sqref="D26" name="범위23_1_1_1_2_1_1_1_1"/>
    <protectedRange sqref="D26" name="범위1_3_1_1_1_1_2_1_1_1_1"/>
    <protectedRange sqref="D512 D515" name="범위5_1_3_1"/>
    <protectedRange sqref="D498:D505" name="범위5_1_2_1_2_1_2_2"/>
    <protectedRange sqref="D71:D497" name="범위5_1_2_1_2_1_2_1_1"/>
    <protectedRange sqref="C12" name="범위1_3_1_2_2"/>
    <protectedRange sqref="C13:C14" name="범위1_3_1_2_1_1"/>
    <protectedRange sqref="I484" name="범위6_1_1_1_2_1_2_8_3"/>
    <protectedRange sqref="G484:H484" name="범위6_1_1_1_2_1_9_1_2_1"/>
    <protectedRange sqref="M478:M480" name="범위26_2_1_2_1_1_7_3_2_1"/>
    <protectedRange sqref="G478:H480" name="범위6_1_1_1_2_1_2_8_1_3"/>
    <protectedRange sqref="M484" name="범위26_2_1_2_1_19_1_1_1_2_1"/>
    <protectedRange sqref="G482:H482" name="범위6_1_1_1_2_1_2_1_2_2"/>
    <protectedRange sqref="M481:M482" name="범위26_2_1_2_1_1_7_2_1_3"/>
    <protectedRange sqref="M483" name="범위26_2_1_2_1_1_8_2"/>
    <protectedRange sqref="G483:H483" name="범위6_1_1_1_2_1_2_8_1_1_2_1"/>
    <protectedRange sqref="F483" name="범위1_3_1_1_1_2"/>
    <protectedRange sqref="M98 M96" name="범위26_2_1_2_1_8_1_2_1"/>
    <protectedRange sqref="G100:H100 G98:H98 G96:H96" name="범위6_1_1_1_2_1_9_2_1_1"/>
    <protectedRange sqref="F98" name="범위1_1_2_1_1"/>
    <protectedRange sqref="M99 M97 M72:M94 M102:M113" name="범위26_2_1_2_1_1_7_1_1_1"/>
    <protectedRange sqref="G99:H99 G110:H113 G87:H87 I71:I72 G72:H72 G97:H97 G73:I86 I87:I483 G89:H92 G102:H107 I485:I505 I512 I515:I518" name="범위6_1_1_1_2_1_2_8_2_1"/>
    <protectedRange sqref="F110 F113" name="범위1_3_1_1_2_1"/>
    <protectedRange sqref="G93:H94" name="범위6_1_1_1_2_1_1_1_1_2_1_1"/>
    <protectedRange sqref="M101" name="범위26_2_1_2_1_1_1_1_1_1_1"/>
    <protectedRange sqref="G101:H101" name="범위6_1_1_1_2_1_2_1_1_1_1_1"/>
    <protectedRange sqref="M100" name="범위26_2_1_2_1_19_1_1_2_1_1"/>
    <protectedRange sqref="M95" name="범위26_2_1_2_1_1_4_1_2_1_1"/>
    <protectedRange sqref="G95:H95" name="범위6_1_1_1_2_1_2_4_1_2_1_1"/>
    <protectedRange sqref="M71" name="범위26_2_1_2_1_1_3_1_1_1_1"/>
    <protectedRange sqref="G71:H71" name="범위6_1_1_1_2_1_2_2_1_1_1_1"/>
    <protectedRange sqref="F71" name="범위1_3_3_1_1_1_1"/>
    <protectedRange sqref="M419 M389:M391 M399:M401" name="범위26_2_1_2_1_8_2_1_1_1"/>
    <protectedRange sqref="G389:H391 G399:H401 G405:H419 G485:H485" name="범위6_1_1_1_2_1_9_1_1_1_1"/>
    <protectedRange sqref="F399:F401" name="범위1_1_1_1_1_1"/>
    <protectedRange sqref="F419" name="범위1_4_2_1_1_1_1"/>
    <protectedRange sqref="M402:M404 M420:M425 M429:M457 M392:M396 M459 M470:M474 M114:M295 M297:M387" name="범위26_2_1_2_1_1_7_3_1_1_1"/>
    <protectedRange sqref="G140:H142 G150:H150 G374:H376 G148:H148 G159:H160 G445:H445 G223:H224 G363:H365 G232:H232 G254:H254 G247:H247 G245:H245 G256:H256 G249:H249 G260:H260 G470:H474 G216:H217 G328:H328 G318:H326 G338:H338 G368:H372 G393:H396 G298:H299 G274:H295 G301:H303 G305:H315 G330:H335 G402:H404 G429:H437 G439:H443 G448:H456 G459:H459 G206:H213 G114:H126 G262:H269 G197:H202 G420:H425 G128:H135 G347:H358" name="범위6_1_1_1_2_1_2_8_1_2_1_1"/>
    <protectedRange sqref="G444:H444" name="범위6_1_1_1_1_1_1_1_1_1_1_1_1"/>
    <protectedRange sqref="F284:F285 F180:F182 F229:F231 F172:F174 F301 F347 F327:F328 F396 F295 F368 F274 F129:F130 F219:F222 F257:F261 F402 F250:F255 F133:F135 F233:F248" name="범위1_3_1_3_1_1_1"/>
    <protectedRange sqref="G377:H377 G379:H387" name="범위6_1_1_1_2_1_1_1_1_1_1_1_1"/>
    <protectedRange sqref="F356" name="범위1_2_1_1_1_1_1_1"/>
    <protectedRange sqref="F345" name="범위1_5_1_1_1_1_1_1"/>
    <protectedRange sqref="M405:M418 M485" name="범위26_2_1_2_1_19_1_1_1_1_1_1"/>
    <protectedRange sqref="M388" name="범위26_2_1_2_1_1_4_1_1_1_1_1"/>
    <protectedRange sqref="G388:H388" name="범위6_1_1_1_2_1_2_4_1_1_1_1_1"/>
    <protectedRange sqref="G392:H392" name="범위6_1_1_1_2_1_2_5_1_1_1_1_1"/>
    <protectedRange sqref="M458 M469" name="범위26_2_1_2_1_1_2_1_1_1_1_1"/>
    <protectedRange sqref="F458" name="범위1_3_2_1_1_1_1_1"/>
    <protectedRange sqref="M397:M398" name="범위26_2_1_2_1_3_1_1_1_1_1"/>
    <protectedRange sqref="G397:H398" name="범위6_1_1_1_2_1_3_1_1_1_1_1"/>
    <protectedRange sqref="F397:F398" name="범위1_2_2_1_1_1_1"/>
    <protectedRange sqref="M426:M428" name="범위26_2_1_2_1_1_5_1_1_1_1_1"/>
    <protectedRange sqref="G426:H428" name="범위6_1_1_1_2_1_2_3_1_1_1_1_1"/>
    <protectedRange sqref="M296" name="범위26_2_1_2_1_1_6_1_1_1_1_1"/>
    <protectedRange sqref="G296:H296" name="범위6_1_1_1_2_1_2_6_1_1_1_1_1"/>
    <protectedRange sqref="G469:H469" name="범위6_1_1_1_2_1_4_1_1_1_1_1"/>
    <protectedRange sqref="F469" name="범위1_5_2_1_1_1_1"/>
    <protectedRange sqref="G476:H476 G461:H461" name="범위6_1_1_1_2_1_2_1_2_1_1_1"/>
    <protectedRange sqref="M475:M476 M460:M461" name="범위26_2_1_2_1_1_7_2_1_2_1_1"/>
    <protectedRange sqref="M477 M462" name="범위26_2_1_2_1_1_8_1_1_1"/>
    <protectedRange sqref="G477:H477 G462:H462" name="범위6_1_1_1_2_1_2_8_1_1_1_1_1"/>
    <protectedRange sqref="F477 F462" name="범위1_3_1_1_1_1_1_1"/>
    <protectedRange sqref="M463" name="범위26_2_1_2_1_8_1_1_2_1_1"/>
    <protectedRange sqref="M464" name="범위26_2_1_2_1_1_7_2_1_1_1_1_1"/>
    <protectedRange sqref="F465:F468" name="범위1_2_1_1_1_1"/>
    <protectedRange sqref="M468 M465" name="범위26_2_1_2_1_8_1_1_1_1_1_1"/>
    <protectedRange sqref="M466:M467" name="범위26_2_1_2_1_1_7_2_2_1_1_1"/>
    <protectedRange sqref="F486:F505 F512 F515:F518" name="범위1_2_1_2_1_1"/>
    <protectedRange sqref="M486:M505 M515:M518" name="범위26_2_1_2_1_1_7_2_2_2_1_1"/>
    <protectedRange sqref="D506" name="범위5_1_2_1_2_1_1"/>
    <protectedRange sqref="M506" name="범위26_2_1_2_1_1_10_1"/>
    <protectedRange sqref="I506" name="범위6_1_1_1_2_1_2_10"/>
    <protectedRange sqref="F506" name="범위1_3_4_1"/>
    <protectedRange sqref="D507" name="범위5_1_2_1_2_1_1_1"/>
    <protectedRange sqref="M507" name="범위26_2_1_2_1_1_10_1_1"/>
    <protectedRange sqref="G507:I507" name="범위6_1_1_1_2_1_2_10_1"/>
    <protectedRange sqref="D508" name="범위5_1_2_1_2_1_1_2"/>
    <protectedRange sqref="M508 M512" name="범위26_2_1_2_1_1_10_1_2"/>
    <protectedRange sqref="G508:I508" name="범위6_1_1_1_2_1_2_10_2"/>
    <protectedRange sqref="D509" name="범위5_1_2_1_2_1_1_3"/>
    <protectedRange sqref="M509" name="범위26_2_1_2_1_1_10_1_3"/>
    <protectedRange sqref="G509:I509" name="범위6_1_1_1_2_1_2_10_3"/>
    <protectedRange sqref="D510:D511" name="범위5_1_2_1_2_1_1_4"/>
    <protectedRange sqref="M510:M511" name="범위26_2_1_2_1_1_10_1_4"/>
    <protectedRange sqref="I510:I511" name="범위6_1_1_1_2_1_2_10_4"/>
    <protectedRange sqref="D513" name="범위5_1_2_1_2_1_1_5"/>
    <protectedRange sqref="M513" name="범위26_2_1_2_1_1_10_1_5"/>
    <protectedRange sqref="I513" name="범위6_1_1_1_2_1_2_10_5"/>
    <protectedRange sqref="D514" name="범위5_1_2_1_2_1_1_6"/>
    <protectedRange sqref="M514" name="범위26_2_1_2_1_1_10_1_6"/>
    <protectedRange sqref="G514:I514" name="범위6_1_1_1_2_1_2_10_6"/>
  </protectedRanges>
  <autoFilter ref="D70:M509" xr:uid="{00000000-0009-0000-0000-00000B000000}"/>
  <mergeCells count="22">
    <mergeCell ref="B41:E42"/>
    <mergeCell ref="D69:E69"/>
    <mergeCell ref="L10:P10"/>
    <mergeCell ref="G11:I11"/>
    <mergeCell ref="I28:I29"/>
    <mergeCell ref="M28:M29"/>
    <mergeCell ref="O28:P28"/>
    <mergeCell ref="O29:P29"/>
    <mergeCell ref="B9:C9"/>
    <mergeCell ref="D9:I9"/>
    <mergeCell ref="L9:P9"/>
    <mergeCell ref="B2:E3"/>
    <mergeCell ref="F2:L4"/>
    <mergeCell ref="B7:C7"/>
    <mergeCell ref="D7:E7"/>
    <mergeCell ref="G7:I7"/>
    <mergeCell ref="L7:M7"/>
    <mergeCell ref="B8:C8"/>
    <mergeCell ref="D8:E8"/>
    <mergeCell ref="G8:I8"/>
    <mergeCell ref="L8:M8"/>
    <mergeCell ref="O8:P8"/>
  </mergeCells>
  <phoneticPr fontId="16" type="noConversion"/>
  <dataValidations count="7">
    <dataValidation type="list" allowBlank="1" showInputMessage="1" showErrorMessage="1" sqref="D12:D26" xr:uid="{00000000-0002-0000-0B00-000000000000}">
      <formula1>$D$45:$D$64</formula1>
    </dataValidation>
    <dataValidation type="list" allowBlank="1" showInputMessage="1" showErrorMessage="1" sqref="L8:M8" xr:uid="{00000000-0002-0000-0B00-000001000000}">
      <formula1>$M$48:$M$64</formula1>
    </dataValidation>
    <dataValidation type="list" allowBlank="1" showInputMessage="1" showErrorMessage="1" sqref="D27" xr:uid="{00000000-0002-0000-0B00-000002000000}">
      <formula1>$D$48:$D$64</formula1>
    </dataValidation>
    <dataValidation type="list" allowBlank="1" showInputMessage="1" showErrorMessage="1" sqref="F218 F203:F205 F161:F162 F167:F171" xr:uid="{00000000-0002-0000-0B00-000003000000}">
      <formula1>$A$3:$A$327</formula1>
    </dataValidation>
    <dataValidation type="list" allowBlank="1" showInputMessage="1" showErrorMessage="1" sqref="D506:D507" xr:uid="{00000000-0002-0000-0B00-000004000000}">
      <formula1>$D$53:$D$144</formula1>
    </dataValidation>
    <dataValidation type="list" allowBlank="1" showInputMessage="1" showErrorMessage="1" sqref="D508:D511 D513:D514" xr:uid="{00000000-0002-0000-0B00-000005000000}">
      <formula1>$D$51:$D$120</formula1>
    </dataValidation>
    <dataValidation type="list" allowBlank="1" showInputMessage="1" showErrorMessage="1" sqref="F513" xr:uid="{00000000-0002-0000-0B00-000006000000}">
      <formula1>$A$3:$A$565</formula1>
    </dataValidation>
  </dataValidations>
  <printOptions horizontalCentered="1"/>
  <pageMargins left="7.874015748031496E-2" right="7.874015748031496E-2" top="0.43307086614173229" bottom="0.47244094488188981" header="0.27559055118110237" footer="0.23622047244094491"/>
  <pageSetup paperSize="9" scale="65" orientation="landscape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2:Q618"/>
  <sheetViews>
    <sheetView zoomScaleNormal="100" workbookViewId="0">
      <pane xSplit="2" ySplit="3" topLeftCell="C4" activePane="bottomRight" state="frozen"/>
      <selection activeCell="F19" sqref="F19"/>
      <selection pane="topRight" activeCell="F19" sqref="F19"/>
      <selection pane="bottomLeft" activeCell="F19" sqref="F19"/>
      <selection pane="bottomRight" activeCell="F19" sqref="F19"/>
    </sheetView>
  </sheetViews>
  <sheetFormatPr defaultColWidth="7.5546875" defaultRowHeight="13.5"/>
  <cols>
    <col min="1" max="1" width="5.21875" style="134" customWidth="1"/>
    <col min="2" max="2" width="7" style="135" customWidth="1"/>
    <col min="3" max="3" width="33" style="134" bestFit="1" customWidth="1"/>
    <col min="4" max="4" width="10.6640625" style="134" bestFit="1" customWidth="1"/>
    <col min="5" max="5" width="12.6640625" style="172" bestFit="1" customWidth="1"/>
    <col min="6" max="6" width="8" style="173" customWidth="1"/>
    <col min="7" max="7" width="7.44140625" style="134"/>
    <col min="8" max="15" width="7.5546875" style="73"/>
    <col min="16" max="16" width="10.21875" style="73" customWidth="1"/>
    <col min="17" max="16384" width="7.5546875" style="73"/>
  </cols>
  <sheetData>
    <row r="2" spans="1:17" ht="17.25" thickBot="1">
      <c r="A2" s="136" t="s">
        <v>422</v>
      </c>
      <c r="B2" s="137"/>
      <c r="E2" s="172" t="s">
        <v>138</v>
      </c>
    </row>
    <row r="3" spans="1:17" s="74" customFormat="1" ht="27.75" thickBot="1">
      <c r="A3" s="174" t="s">
        <v>139</v>
      </c>
      <c r="B3" s="174" t="s">
        <v>128</v>
      </c>
      <c r="C3" s="174" t="s">
        <v>140</v>
      </c>
      <c r="D3" s="174" t="s">
        <v>141</v>
      </c>
      <c r="E3" s="175" t="s">
        <v>142</v>
      </c>
      <c r="F3" s="174" t="s">
        <v>143</v>
      </c>
      <c r="G3" s="176"/>
      <c r="I3" s="151" t="s">
        <v>417</v>
      </c>
      <c r="J3" s="152" t="s">
        <v>149</v>
      </c>
      <c r="K3" s="153" t="s">
        <v>163</v>
      </c>
      <c r="L3" s="153" t="s">
        <v>158</v>
      </c>
      <c r="M3" s="153" t="s">
        <v>175</v>
      </c>
      <c r="N3" s="154" t="s">
        <v>70</v>
      </c>
      <c r="O3" s="176"/>
    </row>
    <row r="4" spans="1:17" ht="13.7" customHeight="1">
      <c r="A4" s="184" t="s">
        <v>35</v>
      </c>
      <c r="B4" s="185">
        <v>138814</v>
      </c>
      <c r="C4" s="186" t="s">
        <v>535</v>
      </c>
      <c r="D4" s="184" t="s">
        <v>71</v>
      </c>
      <c r="E4" s="207" t="s">
        <v>71</v>
      </c>
      <c r="F4" s="187">
        <v>1</v>
      </c>
      <c r="I4" s="155" t="s">
        <v>145</v>
      </c>
      <c r="J4" s="156">
        <v>70</v>
      </c>
      <c r="K4" s="157"/>
      <c r="L4" s="158">
        <v>48</v>
      </c>
      <c r="M4" s="157"/>
      <c r="N4" s="159">
        <v>42</v>
      </c>
      <c r="O4" s="134"/>
      <c r="P4" s="73" t="s">
        <v>736</v>
      </c>
      <c r="Q4" s="73">
        <v>65</v>
      </c>
    </row>
    <row r="5" spans="1:17" ht="13.7" customHeight="1">
      <c r="A5" s="184" t="s">
        <v>35</v>
      </c>
      <c r="B5" s="185">
        <v>138827</v>
      </c>
      <c r="C5" s="186" t="s">
        <v>536</v>
      </c>
      <c r="D5" s="184" t="s">
        <v>71</v>
      </c>
      <c r="E5" s="207" t="s">
        <v>71</v>
      </c>
      <c r="F5" s="187">
        <v>1</v>
      </c>
      <c r="I5" s="160" t="s">
        <v>147</v>
      </c>
      <c r="J5" s="161"/>
      <c r="K5" s="162">
        <v>60</v>
      </c>
      <c r="L5" s="163"/>
      <c r="M5" s="163"/>
      <c r="N5" s="164"/>
      <c r="O5" s="134"/>
      <c r="P5" s="73" t="s">
        <v>737</v>
      </c>
      <c r="Q5" s="73">
        <v>32</v>
      </c>
    </row>
    <row r="6" spans="1:17" ht="13.7" customHeight="1">
      <c r="A6" s="184" t="s">
        <v>35</v>
      </c>
      <c r="B6" s="185">
        <v>140136</v>
      </c>
      <c r="C6" s="186" t="s">
        <v>649</v>
      </c>
      <c r="D6" s="184" t="s">
        <v>71</v>
      </c>
      <c r="E6" s="207" t="s">
        <v>71</v>
      </c>
      <c r="F6" s="187">
        <v>1</v>
      </c>
      <c r="I6" s="160" t="s">
        <v>150</v>
      </c>
      <c r="J6" s="161"/>
      <c r="K6" s="162">
        <v>30</v>
      </c>
      <c r="L6" s="163"/>
      <c r="M6" s="163"/>
      <c r="N6" s="165">
        <v>28</v>
      </c>
      <c r="O6" s="134"/>
    </row>
    <row r="7" spans="1:17">
      <c r="A7" s="184" t="s">
        <v>35</v>
      </c>
      <c r="B7" s="185">
        <v>140658</v>
      </c>
      <c r="C7" s="186" t="s">
        <v>679</v>
      </c>
      <c r="D7" s="184" t="s">
        <v>71</v>
      </c>
      <c r="E7" s="207" t="s">
        <v>71</v>
      </c>
      <c r="F7" s="187">
        <v>1</v>
      </c>
      <c r="I7" s="160" t="s">
        <v>159</v>
      </c>
      <c r="J7" s="161"/>
      <c r="K7" s="162">
        <v>36</v>
      </c>
      <c r="L7" s="163"/>
      <c r="M7" s="163"/>
      <c r="N7" s="164"/>
      <c r="O7" s="134"/>
    </row>
    <row r="8" spans="1:17" ht="13.7" customHeight="1">
      <c r="A8" s="184" t="s">
        <v>35</v>
      </c>
      <c r="B8" s="185">
        <v>140661</v>
      </c>
      <c r="C8" s="186" t="s">
        <v>106</v>
      </c>
      <c r="D8" s="184" t="s">
        <v>71</v>
      </c>
      <c r="E8" s="207" t="s">
        <v>71</v>
      </c>
      <c r="F8" s="187">
        <v>1</v>
      </c>
      <c r="I8" s="160" t="s">
        <v>151</v>
      </c>
      <c r="J8" s="166">
        <v>14</v>
      </c>
      <c r="K8" s="162">
        <v>10</v>
      </c>
      <c r="L8" s="162">
        <v>12</v>
      </c>
      <c r="M8" s="162">
        <v>1</v>
      </c>
      <c r="N8" s="165">
        <v>28</v>
      </c>
      <c r="O8" s="134"/>
    </row>
    <row r="9" spans="1:17" ht="13.7" customHeight="1" thickBot="1">
      <c r="A9" s="184" t="s">
        <v>35</v>
      </c>
      <c r="B9" s="185">
        <v>141593</v>
      </c>
      <c r="C9" s="186" t="s">
        <v>687</v>
      </c>
      <c r="D9" s="184" t="s">
        <v>71</v>
      </c>
      <c r="E9" s="207" t="s">
        <v>71</v>
      </c>
      <c r="F9" s="187">
        <v>1</v>
      </c>
      <c r="I9" s="167" t="s">
        <v>153</v>
      </c>
      <c r="J9" s="168"/>
      <c r="K9" s="169">
        <v>12</v>
      </c>
      <c r="L9" s="170"/>
      <c r="M9" s="170"/>
      <c r="N9" s="171"/>
      <c r="O9" s="134"/>
    </row>
    <row r="10" spans="1:17">
      <c r="A10" s="184" t="s">
        <v>35</v>
      </c>
      <c r="B10" s="185">
        <v>141665</v>
      </c>
      <c r="C10" s="186" t="s">
        <v>692</v>
      </c>
      <c r="D10" s="184" t="s">
        <v>71</v>
      </c>
      <c r="E10" s="207" t="s">
        <v>71</v>
      </c>
      <c r="F10" s="187">
        <v>1</v>
      </c>
      <c r="I10" s="134" t="s">
        <v>418</v>
      </c>
      <c r="J10" s="134"/>
      <c r="K10" s="134"/>
      <c r="L10" s="134"/>
      <c r="M10" s="134"/>
      <c r="N10" s="134"/>
      <c r="O10" s="134"/>
    </row>
    <row r="11" spans="1:17">
      <c r="A11" s="184" t="s">
        <v>35</v>
      </c>
      <c r="B11" s="185">
        <v>141778</v>
      </c>
      <c r="C11" s="186" t="s">
        <v>698</v>
      </c>
      <c r="D11" s="184" t="s">
        <v>71</v>
      </c>
      <c r="E11" s="207" t="s">
        <v>71</v>
      </c>
      <c r="F11" s="187">
        <v>1</v>
      </c>
    </row>
    <row r="12" spans="1:17" ht="13.7" customHeight="1">
      <c r="A12" s="184" t="s">
        <v>35</v>
      </c>
      <c r="B12" s="185">
        <v>142150</v>
      </c>
      <c r="C12" s="186" t="s">
        <v>700</v>
      </c>
      <c r="D12" s="184" t="s">
        <v>71</v>
      </c>
      <c r="E12" s="207" t="s">
        <v>71</v>
      </c>
      <c r="F12" s="187">
        <v>1</v>
      </c>
    </row>
    <row r="13" spans="1:17" ht="13.7" customHeight="1">
      <c r="A13" s="184" t="s">
        <v>35</v>
      </c>
      <c r="B13" s="185">
        <v>142223</v>
      </c>
      <c r="C13" s="186" t="s">
        <v>701</v>
      </c>
      <c r="D13" s="184" t="s">
        <v>71</v>
      </c>
      <c r="E13" s="207" t="s">
        <v>71</v>
      </c>
      <c r="F13" s="187">
        <v>1</v>
      </c>
    </row>
    <row r="14" spans="1:17" ht="13.7" customHeight="1">
      <c r="A14" s="184" t="s">
        <v>35</v>
      </c>
      <c r="B14" s="185">
        <v>142231</v>
      </c>
      <c r="C14" s="186" t="s">
        <v>703</v>
      </c>
      <c r="D14" s="184" t="s">
        <v>71</v>
      </c>
      <c r="E14" s="207" t="s">
        <v>71</v>
      </c>
      <c r="F14" s="187">
        <v>1</v>
      </c>
    </row>
    <row r="15" spans="1:17" ht="13.7" customHeight="1">
      <c r="A15" s="184" t="s">
        <v>35</v>
      </c>
      <c r="B15" s="185">
        <v>143128</v>
      </c>
      <c r="C15" s="186" t="s">
        <v>709</v>
      </c>
      <c r="D15" s="184" t="s">
        <v>71</v>
      </c>
      <c r="E15" s="207" t="s">
        <v>71</v>
      </c>
      <c r="F15" s="187">
        <v>1</v>
      </c>
    </row>
    <row r="16" spans="1:17" ht="13.7" customHeight="1">
      <c r="A16" s="184" t="s">
        <v>35</v>
      </c>
      <c r="B16" s="185">
        <v>143192</v>
      </c>
      <c r="C16" s="186" t="s">
        <v>710</v>
      </c>
      <c r="D16" s="184" t="s">
        <v>71</v>
      </c>
      <c r="E16" s="207" t="s">
        <v>71</v>
      </c>
      <c r="F16" s="187">
        <v>1</v>
      </c>
    </row>
    <row r="17" spans="1:6" ht="13.7" customHeight="1">
      <c r="A17" s="184" t="s">
        <v>35</v>
      </c>
      <c r="B17" s="185">
        <v>143194</v>
      </c>
      <c r="C17" s="186" t="s">
        <v>711</v>
      </c>
      <c r="D17" s="184" t="s">
        <v>71</v>
      </c>
      <c r="E17" s="207" t="s">
        <v>71</v>
      </c>
      <c r="F17" s="187">
        <v>1</v>
      </c>
    </row>
    <row r="18" spans="1:6" ht="13.7" customHeight="1">
      <c r="A18" s="184" t="s">
        <v>35</v>
      </c>
      <c r="B18" s="185">
        <v>143195</v>
      </c>
      <c r="C18" s="186" t="s">
        <v>712</v>
      </c>
      <c r="D18" s="184" t="s">
        <v>71</v>
      </c>
      <c r="E18" s="207" t="s">
        <v>71</v>
      </c>
      <c r="F18" s="187">
        <v>1</v>
      </c>
    </row>
    <row r="19" spans="1:6" ht="13.7" customHeight="1">
      <c r="A19" s="184" t="s">
        <v>35</v>
      </c>
      <c r="B19" s="185">
        <v>143196</v>
      </c>
      <c r="C19" s="186" t="s">
        <v>713</v>
      </c>
      <c r="D19" s="184" t="s">
        <v>71</v>
      </c>
      <c r="E19" s="207" t="s">
        <v>71</v>
      </c>
      <c r="F19" s="187">
        <v>1</v>
      </c>
    </row>
    <row r="20" spans="1:6" ht="13.7" customHeight="1">
      <c r="A20" s="184" t="s">
        <v>35</v>
      </c>
      <c r="B20" s="185">
        <v>143197</v>
      </c>
      <c r="C20" s="186" t="s">
        <v>714</v>
      </c>
      <c r="D20" s="184" t="s">
        <v>71</v>
      </c>
      <c r="E20" s="207" t="s">
        <v>71</v>
      </c>
      <c r="F20" s="187">
        <v>1</v>
      </c>
    </row>
    <row r="21" spans="1:6" ht="13.7" customHeight="1">
      <c r="A21" s="184" t="s">
        <v>35</v>
      </c>
      <c r="B21" s="185">
        <v>143201</v>
      </c>
      <c r="C21" s="186" t="s">
        <v>715</v>
      </c>
      <c r="D21" s="184" t="s">
        <v>71</v>
      </c>
      <c r="E21" s="207" t="s">
        <v>71</v>
      </c>
      <c r="F21" s="187">
        <v>1</v>
      </c>
    </row>
    <row r="22" spans="1:6" ht="13.7" customHeight="1">
      <c r="A22" s="184" t="s">
        <v>35</v>
      </c>
      <c r="B22" s="185">
        <v>143202</v>
      </c>
      <c r="C22" s="186" t="s">
        <v>716</v>
      </c>
      <c r="D22" s="184" t="s">
        <v>71</v>
      </c>
      <c r="E22" s="207" t="s">
        <v>71</v>
      </c>
      <c r="F22" s="187">
        <v>1</v>
      </c>
    </row>
    <row r="23" spans="1:6" ht="13.7" customHeight="1">
      <c r="A23" s="184" t="s">
        <v>35</v>
      </c>
      <c r="B23" s="185">
        <v>143203</v>
      </c>
      <c r="C23" s="186" t="s">
        <v>717</v>
      </c>
      <c r="D23" s="184" t="s">
        <v>71</v>
      </c>
      <c r="E23" s="207" t="s">
        <v>71</v>
      </c>
      <c r="F23" s="187">
        <v>1</v>
      </c>
    </row>
    <row r="24" spans="1:6" ht="13.7" customHeight="1">
      <c r="A24" s="184" t="s">
        <v>35</v>
      </c>
      <c r="B24" s="185">
        <v>143206</v>
      </c>
      <c r="C24" s="186" t="s">
        <v>718</v>
      </c>
      <c r="D24" s="184" t="s">
        <v>71</v>
      </c>
      <c r="E24" s="207" t="s">
        <v>71</v>
      </c>
      <c r="F24" s="187">
        <v>1</v>
      </c>
    </row>
    <row r="25" spans="1:6" ht="13.7" customHeight="1">
      <c r="A25" s="184" t="s">
        <v>35</v>
      </c>
      <c r="B25" s="205">
        <v>143789</v>
      </c>
      <c r="C25" s="206" t="s">
        <v>727</v>
      </c>
      <c r="D25" s="184" t="s">
        <v>71</v>
      </c>
      <c r="E25" s="207" t="s">
        <v>71</v>
      </c>
      <c r="F25" s="187">
        <v>1</v>
      </c>
    </row>
    <row r="26" spans="1:6">
      <c r="A26" s="138" t="s">
        <v>35</v>
      </c>
      <c r="B26" s="63">
        <v>124476</v>
      </c>
      <c r="C26" s="64" t="s">
        <v>144</v>
      </c>
      <c r="D26" s="138" t="s">
        <v>70</v>
      </c>
      <c r="E26" s="208" t="s">
        <v>145</v>
      </c>
      <c r="F26" s="196">
        <v>42</v>
      </c>
    </row>
    <row r="27" spans="1:6" ht="13.7" customHeight="1">
      <c r="A27" s="138" t="s">
        <v>35</v>
      </c>
      <c r="B27" s="63">
        <v>138815</v>
      </c>
      <c r="C27" s="64" t="s">
        <v>146</v>
      </c>
      <c r="D27" s="138" t="s">
        <v>70</v>
      </c>
      <c r="E27" s="208" t="s">
        <v>145</v>
      </c>
      <c r="F27" s="196">
        <v>42</v>
      </c>
    </row>
    <row r="28" spans="1:6" ht="13.7" customHeight="1">
      <c r="A28" s="138" t="s">
        <v>35</v>
      </c>
      <c r="B28" s="63">
        <v>140169</v>
      </c>
      <c r="C28" s="64" t="s">
        <v>148</v>
      </c>
      <c r="D28" s="138" t="s">
        <v>149</v>
      </c>
      <c r="E28" s="208" t="s">
        <v>145</v>
      </c>
      <c r="F28" s="196">
        <v>70</v>
      </c>
    </row>
    <row r="29" spans="1:6" ht="13.7" customHeight="1">
      <c r="A29" s="138" t="s">
        <v>35</v>
      </c>
      <c r="B29" s="63">
        <v>140660</v>
      </c>
      <c r="C29" s="64" t="s">
        <v>167</v>
      </c>
      <c r="D29" s="138" t="s">
        <v>149</v>
      </c>
      <c r="E29" s="208" t="s">
        <v>728</v>
      </c>
      <c r="F29" s="196">
        <v>1</v>
      </c>
    </row>
    <row r="30" spans="1:6" ht="13.7" customHeight="1">
      <c r="A30" s="138" t="s">
        <v>35</v>
      </c>
      <c r="B30" s="63">
        <v>141777</v>
      </c>
      <c r="C30" s="64" t="s">
        <v>133</v>
      </c>
      <c r="D30" s="138" t="s">
        <v>149</v>
      </c>
      <c r="E30" s="208" t="s">
        <v>145</v>
      </c>
      <c r="F30" s="196">
        <v>70</v>
      </c>
    </row>
    <row r="31" spans="1:6" ht="13.7" customHeight="1">
      <c r="A31" s="138" t="s">
        <v>35</v>
      </c>
      <c r="B31" s="63">
        <v>142039</v>
      </c>
      <c r="C31" s="64" t="s">
        <v>152</v>
      </c>
      <c r="D31" s="138" t="s">
        <v>149</v>
      </c>
      <c r="E31" s="208" t="s">
        <v>145</v>
      </c>
      <c r="F31" s="196">
        <v>70</v>
      </c>
    </row>
    <row r="32" spans="1:6" ht="13.7" customHeight="1">
      <c r="A32" s="138" t="s">
        <v>35</v>
      </c>
      <c r="B32" s="63">
        <v>143207</v>
      </c>
      <c r="C32" s="64" t="s">
        <v>154</v>
      </c>
      <c r="D32" s="138" t="s">
        <v>149</v>
      </c>
      <c r="E32" s="208" t="s">
        <v>145</v>
      </c>
      <c r="F32" s="196">
        <v>70</v>
      </c>
    </row>
    <row r="33" spans="1:6" ht="13.7" customHeight="1">
      <c r="A33" s="138" t="s">
        <v>35</v>
      </c>
      <c r="B33" s="63">
        <v>143209</v>
      </c>
      <c r="C33" s="64" t="s">
        <v>155</v>
      </c>
      <c r="D33" s="138" t="s">
        <v>149</v>
      </c>
      <c r="E33" s="208" t="s">
        <v>145</v>
      </c>
      <c r="F33" s="196">
        <v>70</v>
      </c>
    </row>
    <row r="34" spans="1:6" ht="13.7" customHeight="1">
      <c r="A34" s="138" t="s">
        <v>35</v>
      </c>
      <c r="B34" s="63">
        <v>143210</v>
      </c>
      <c r="C34" s="64" t="s">
        <v>156</v>
      </c>
      <c r="D34" s="138" t="s">
        <v>149</v>
      </c>
      <c r="E34" s="208" t="s">
        <v>145</v>
      </c>
      <c r="F34" s="196">
        <v>70</v>
      </c>
    </row>
    <row r="35" spans="1:6">
      <c r="A35" s="138" t="s">
        <v>35</v>
      </c>
      <c r="B35" s="63">
        <v>143211</v>
      </c>
      <c r="C35" s="64" t="s">
        <v>169</v>
      </c>
      <c r="D35" s="138" t="s">
        <v>149</v>
      </c>
      <c r="E35" s="208" t="s">
        <v>728</v>
      </c>
      <c r="F35" s="196">
        <v>1</v>
      </c>
    </row>
    <row r="36" spans="1:6">
      <c r="A36" s="138" t="s">
        <v>35</v>
      </c>
      <c r="B36" s="63">
        <v>143212</v>
      </c>
      <c r="C36" s="64" t="s">
        <v>170</v>
      </c>
      <c r="D36" s="138" t="s">
        <v>149</v>
      </c>
      <c r="E36" s="208" t="s">
        <v>728</v>
      </c>
      <c r="F36" s="196">
        <v>1</v>
      </c>
    </row>
    <row r="37" spans="1:6">
      <c r="A37" s="138" t="s">
        <v>35</v>
      </c>
      <c r="B37" s="63">
        <v>143396</v>
      </c>
      <c r="C37" s="64" t="s">
        <v>157</v>
      </c>
      <c r="D37" s="138" t="s">
        <v>158</v>
      </c>
      <c r="E37" s="208" t="s">
        <v>145</v>
      </c>
      <c r="F37" s="196">
        <v>48</v>
      </c>
    </row>
    <row r="38" spans="1:6" ht="13.7" customHeight="1">
      <c r="A38" s="138" t="s">
        <v>35</v>
      </c>
      <c r="B38" s="63">
        <v>143397</v>
      </c>
      <c r="C38" s="64" t="s">
        <v>172</v>
      </c>
      <c r="D38" s="138" t="s">
        <v>158</v>
      </c>
      <c r="E38" s="208" t="s">
        <v>729</v>
      </c>
      <c r="F38" s="196">
        <v>1</v>
      </c>
    </row>
    <row r="39" spans="1:6" ht="13.7" customHeight="1">
      <c r="A39" s="138" t="s">
        <v>35</v>
      </c>
      <c r="B39" s="63">
        <v>143398</v>
      </c>
      <c r="C39" s="64" t="s">
        <v>160</v>
      </c>
      <c r="D39" s="138" t="s">
        <v>158</v>
      </c>
      <c r="E39" s="208" t="s">
        <v>145</v>
      </c>
      <c r="F39" s="196">
        <v>48</v>
      </c>
    </row>
    <row r="40" spans="1:6" ht="13.7" customHeight="1">
      <c r="A40" s="138" t="s">
        <v>35</v>
      </c>
      <c r="B40" s="203">
        <v>143753</v>
      </c>
      <c r="C40" s="204" t="s">
        <v>161</v>
      </c>
      <c r="D40" s="138" t="s">
        <v>149</v>
      </c>
      <c r="E40" s="208" t="s">
        <v>145</v>
      </c>
      <c r="F40" s="196">
        <v>70</v>
      </c>
    </row>
    <row r="41" spans="1:6" ht="13.7" customHeight="1">
      <c r="A41" s="138" t="s">
        <v>35</v>
      </c>
      <c r="B41" s="63">
        <v>141592</v>
      </c>
      <c r="C41" s="64" t="s">
        <v>165</v>
      </c>
      <c r="D41" s="138" t="s">
        <v>545</v>
      </c>
      <c r="E41" s="208" t="s">
        <v>730</v>
      </c>
      <c r="F41" s="196">
        <v>36</v>
      </c>
    </row>
    <row r="42" spans="1:6" ht="13.7" customHeight="1">
      <c r="A42" s="138" t="s">
        <v>35</v>
      </c>
      <c r="B42" s="63">
        <v>143215</v>
      </c>
      <c r="C42" s="64" t="s">
        <v>190</v>
      </c>
      <c r="D42" s="138" t="s">
        <v>545</v>
      </c>
      <c r="E42" s="208" t="s">
        <v>731</v>
      </c>
      <c r="F42" s="196">
        <v>1</v>
      </c>
    </row>
    <row r="43" spans="1:6">
      <c r="A43" s="138" t="s">
        <v>35</v>
      </c>
      <c r="B43" s="63">
        <v>143216</v>
      </c>
      <c r="C43" s="64" t="s">
        <v>191</v>
      </c>
      <c r="D43" s="138" t="s">
        <v>545</v>
      </c>
      <c r="E43" s="208" t="s">
        <v>731</v>
      </c>
      <c r="F43" s="196">
        <v>1</v>
      </c>
    </row>
    <row r="44" spans="1:6" ht="13.7" customHeight="1">
      <c r="A44" s="138" t="s">
        <v>35</v>
      </c>
      <c r="B44" s="63">
        <v>143219</v>
      </c>
      <c r="C44" s="64" t="s">
        <v>162</v>
      </c>
      <c r="D44" s="138" t="s">
        <v>545</v>
      </c>
      <c r="E44" s="208" t="s">
        <v>719</v>
      </c>
      <c r="F44" s="196">
        <v>60</v>
      </c>
    </row>
    <row r="45" spans="1:6" ht="13.7" customHeight="1">
      <c r="A45" s="138" t="s">
        <v>35</v>
      </c>
      <c r="B45" s="63">
        <v>143221</v>
      </c>
      <c r="C45" s="64" t="s">
        <v>164</v>
      </c>
      <c r="D45" s="138" t="s">
        <v>545</v>
      </c>
      <c r="E45" s="208" t="s">
        <v>719</v>
      </c>
      <c r="F45" s="196">
        <v>60</v>
      </c>
    </row>
    <row r="46" spans="1:6" ht="13.7" customHeight="1">
      <c r="A46" s="140" t="s">
        <v>35</v>
      </c>
      <c r="B46" s="65">
        <v>138832</v>
      </c>
      <c r="C46" s="66" t="s">
        <v>166</v>
      </c>
      <c r="D46" s="140" t="s">
        <v>70</v>
      </c>
      <c r="E46" s="209" t="s">
        <v>150</v>
      </c>
      <c r="F46" s="194">
        <v>28</v>
      </c>
    </row>
    <row r="47" spans="1:6" ht="13.7" customHeight="1">
      <c r="A47" s="140" t="s">
        <v>35</v>
      </c>
      <c r="B47" s="65">
        <v>138816</v>
      </c>
      <c r="C47" s="66" t="s">
        <v>173</v>
      </c>
      <c r="D47" s="140" t="s">
        <v>149</v>
      </c>
      <c r="E47" s="209" t="s">
        <v>728</v>
      </c>
      <c r="F47" s="194">
        <v>1</v>
      </c>
    </row>
    <row r="48" spans="1:6" ht="13.7" customHeight="1">
      <c r="A48" s="140" t="s">
        <v>35</v>
      </c>
      <c r="B48" s="65">
        <v>139641</v>
      </c>
      <c r="C48" s="66" t="s">
        <v>90</v>
      </c>
      <c r="D48" s="140" t="s">
        <v>149</v>
      </c>
      <c r="E48" s="209" t="s">
        <v>728</v>
      </c>
      <c r="F48" s="194">
        <v>1</v>
      </c>
    </row>
    <row r="49" spans="1:6">
      <c r="A49" s="142" t="s">
        <v>35</v>
      </c>
      <c r="B49" s="67">
        <v>142741</v>
      </c>
      <c r="C49" s="68" t="s">
        <v>168</v>
      </c>
      <c r="D49" s="142" t="s">
        <v>149</v>
      </c>
      <c r="E49" s="210" t="s">
        <v>728</v>
      </c>
      <c r="F49" s="183">
        <v>1</v>
      </c>
    </row>
    <row r="50" spans="1:6" ht="13.7" customHeight="1">
      <c r="A50" s="142" t="s">
        <v>35</v>
      </c>
      <c r="B50" s="67">
        <v>143314</v>
      </c>
      <c r="C50" s="68" t="s">
        <v>171</v>
      </c>
      <c r="D50" s="142" t="s">
        <v>149</v>
      </c>
      <c r="E50" s="210" t="s">
        <v>728</v>
      </c>
      <c r="F50" s="183">
        <v>1</v>
      </c>
    </row>
    <row r="51" spans="1:6">
      <c r="A51" s="142" t="s">
        <v>35</v>
      </c>
      <c r="B51" s="67">
        <v>123205</v>
      </c>
      <c r="C51" s="68" t="s">
        <v>174</v>
      </c>
      <c r="D51" s="142" t="s">
        <v>175</v>
      </c>
      <c r="E51" s="210" t="s">
        <v>732</v>
      </c>
      <c r="F51" s="183">
        <v>1</v>
      </c>
    </row>
    <row r="52" spans="1:6" ht="13.7" customHeight="1">
      <c r="A52" s="142" t="s">
        <v>35</v>
      </c>
      <c r="B52" s="67">
        <v>135080</v>
      </c>
      <c r="C52" s="68" t="s">
        <v>176</v>
      </c>
      <c r="D52" s="142" t="s">
        <v>149</v>
      </c>
      <c r="E52" s="210" t="s">
        <v>728</v>
      </c>
      <c r="F52" s="183">
        <v>1</v>
      </c>
    </row>
    <row r="53" spans="1:6" ht="13.7" customHeight="1">
      <c r="A53" s="142" t="s">
        <v>35</v>
      </c>
      <c r="B53" s="67">
        <v>135123</v>
      </c>
      <c r="C53" s="68" t="s">
        <v>177</v>
      </c>
      <c r="D53" s="142" t="s">
        <v>70</v>
      </c>
      <c r="E53" s="210" t="s">
        <v>733</v>
      </c>
      <c r="F53" s="183">
        <v>1</v>
      </c>
    </row>
    <row r="54" spans="1:6" ht="13.7" customHeight="1">
      <c r="A54" s="142" t="s">
        <v>35</v>
      </c>
      <c r="B54" s="67">
        <v>138806</v>
      </c>
      <c r="C54" s="68" t="s">
        <v>178</v>
      </c>
      <c r="D54" s="142" t="s">
        <v>175</v>
      </c>
      <c r="E54" s="210" t="s">
        <v>732</v>
      </c>
      <c r="F54" s="183">
        <v>1</v>
      </c>
    </row>
    <row r="55" spans="1:6">
      <c r="A55" s="142" t="s">
        <v>35</v>
      </c>
      <c r="B55" s="67">
        <v>138833</v>
      </c>
      <c r="C55" s="68" t="s">
        <v>179</v>
      </c>
      <c r="D55" s="142" t="s">
        <v>149</v>
      </c>
      <c r="E55" s="210" t="s">
        <v>728</v>
      </c>
      <c r="F55" s="183">
        <v>1</v>
      </c>
    </row>
    <row r="56" spans="1:6" ht="13.7" customHeight="1">
      <c r="A56" s="142" t="s">
        <v>35</v>
      </c>
      <c r="B56" s="67">
        <v>140597</v>
      </c>
      <c r="C56" s="68" t="s">
        <v>180</v>
      </c>
      <c r="D56" s="142" t="s">
        <v>149</v>
      </c>
      <c r="E56" s="210" t="s">
        <v>728</v>
      </c>
      <c r="F56" s="183">
        <v>1</v>
      </c>
    </row>
    <row r="57" spans="1:6">
      <c r="A57" s="142" t="s">
        <v>35</v>
      </c>
      <c r="B57" s="67">
        <v>140657</v>
      </c>
      <c r="C57" s="68" t="s">
        <v>181</v>
      </c>
      <c r="D57" s="142" t="s">
        <v>149</v>
      </c>
      <c r="E57" s="210" t="s">
        <v>728</v>
      </c>
      <c r="F57" s="183">
        <v>1</v>
      </c>
    </row>
    <row r="58" spans="1:6" ht="13.7" customHeight="1">
      <c r="A58" s="142" t="s">
        <v>35</v>
      </c>
      <c r="B58" s="67">
        <v>140727</v>
      </c>
      <c r="C58" s="68" t="s">
        <v>182</v>
      </c>
      <c r="D58" s="142" t="s">
        <v>149</v>
      </c>
      <c r="E58" s="210" t="s">
        <v>728</v>
      </c>
      <c r="F58" s="183">
        <v>1</v>
      </c>
    </row>
    <row r="59" spans="1:6" ht="13.7" customHeight="1">
      <c r="A59" s="142" t="s">
        <v>35</v>
      </c>
      <c r="B59" s="67">
        <v>141441</v>
      </c>
      <c r="C59" s="68" t="s">
        <v>183</v>
      </c>
      <c r="D59" s="142" t="s">
        <v>149</v>
      </c>
      <c r="E59" s="210" t="s">
        <v>728</v>
      </c>
      <c r="F59" s="183">
        <v>1</v>
      </c>
    </row>
    <row r="60" spans="1:6">
      <c r="A60" s="142" t="s">
        <v>35</v>
      </c>
      <c r="B60" s="67">
        <v>141765</v>
      </c>
      <c r="C60" s="68" t="s">
        <v>184</v>
      </c>
      <c r="D60" s="142" t="s">
        <v>175</v>
      </c>
      <c r="E60" s="210" t="s">
        <v>732</v>
      </c>
      <c r="F60" s="183">
        <v>1</v>
      </c>
    </row>
    <row r="61" spans="1:6">
      <c r="A61" s="142" t="s">
        <v>35</v>
      </c>
      <c r="B61" s="67">
        <v>142230</v>
      </c>
      <c r="C61" s="68" t="s">
        <v>185</v>
      </c>
      <c r="D61" s="142" t="s">
        <v>149</v>
      </c>
      <c r="E61" s="210" t="s">
        <v>728</v>
      </c>
      <c r="F61" s="183">
        <v>1</v>
      </c>
    </row>
    <row r="62" spans="1:6" ht="13.7" customHeight="1">
      <c r="A62" s="142" t="s">
        <v>35</v>
      </c>
      <c r="B62" s="67">
        <v>143449</v>
      </c>
      <c r="C62" s="68" t="s">
        <v>186</v>
      </c>
      <c r="D62" s="142" t="s">
        <v>149</v>
      </c>
      <c r="E62" s="210" t="s">
        <v>728</v>
      </c>
      <c r="F62" s="183">
        <v>1</v>
      </c>
    </row>
    <row r="63" spans="1:6" ht="13.7" customHeight="1">
      <c r="A63" s="142" t="s">
        <v>35</v>
      </c>
      <c r="B63" s="67">
        <v>143487</v>
      </c>
      <c r="C63" s="68" t="s">
        <v>187</v>
      </c>
      <c r="D63" s="142" t="s">
        <v>149</v>
      </c>
      <c r="E63" s="210" t="s">
        <v>728</v>
      </c>
      <c r="F63" s="183">
        <v>1</v>
      </c>
    </row>
    <row r="64" spans="1:6" ht="13.7" customHeight="1">
      <c r="A64" s="142" t="s">
        <v>35</v>
      </c>
      <c r="B64" s="67">
        <v>143533</v>
      </c>
      <c r="C64" s="68" t="s">
        <v>188</v>
      </c>
      <c r="D64" s="142" t="s">
        <v>149</v>
      </c>
      <c r="E64" s="210" t="s">
        <v>728</v>
      </c>
      <c r="F64" s="183">
        <v>1</v>
      </c>
    </row>
    <row r="65" spans="1:6" ht="13.7" customHeight="1">
      <c r="A65" s="142" t="s">
        <v>35</v>
      </c>
      <c r="B65" s="67">
        <v>143534</v>
      </c>
      <c r="C65" s="68" t="s">
        <v>189</v>
      </c>
      <c r="D65" s="142" t="s">
        <v>149</v>
      </c>
      <c r="E65" s="210" t="s">
        <v>728</v>
      </c>
      <c r="F65" s="183">
        <v>1</v>
      </c>
    </row>
    <row r="66" spans="1:6" ht="13.7" customHeight="1">
      <c r="A66" s="142" t="s">
        <v>35</v>
      </c>
      <c r="B66" s="67">
        <v>143217</v>
      </c>
      <c r="C66" s="68" t="s">
        <v>192</v>
      </c>
      <c r="D66" s="142" t="s">
        <v>545</v>
      </c>
      <c r="E66" s="210" t="s">
        <v>731</v>
      </c>
      <c r="F66" s="183">
        <v>1</v>
      </c>
    </row>
    <row r="67" spans="1:6" ht="13.7" customHeight="1">
      <c r="A67" s="142" t="s">
        <v>35</v>
      </c>
      <c r="B67" s="67">
        <v>143223</v>
      </c>
      <c r="C67" s="68" t="s">
        <v>193</v>
      </c>
      <c r="D67" s="142" t="s">
        <v>545</v>
      </c>
      <c r="E67" s="210" t="s">
        <v>731</v>
      </c>
      <c r="F67" s="183">
        <v>1</v>
      </c>
    </row>
    <row r="68" spans="1:6">
      <c r="A68" s="177" t="s">
        <v>34</v>
      </c>
      <c r="B68" s="178">
        <v>120247</v>
      </c>
      <c r="C68" s="179" t="s">
        <v>423</v>
      </c>
      <c r="D68" s="177" t="s">
        <v>424</v>
      </c>
      <c r="E68" s="211" t="s">
        <v>424</v>
      </c>
      <c r="F68" s="180">
        <v>1</v>
      </c>
    </row>
    <row r="69" spans="1:6" ht="13.7" customHeight="1">
      <c r="A69" s="181" t="s">
        <v>34</v>
      </c>
      <c r="B69" s="162">
        <v>120336</v>
      </c>
      <c r="C69" s="60" t="s">
        <v>425</v>
      </c>
      <c r="D69" s="181" t="s">
        <v>424</v>
      </c>
      <c r="E69" s="212" t="s">
        <v>424</v>
      </c>
      <c r="F69" s="180">
        <v>1</v>
      </c>
    </row>
    <row r="70" spans="1:6" ht="13.7" customHeight="1">
      <c r="A70" s="181" t="s">
        <v>34</v>
      </c>
      <c r="B70" s="162">
        <v>121290</v>
      </c>
      <c r="C70" s="60" t="s">
        <v>426</v>
      </c>
      <c r="D70" s="181" t="s">
        <v>424</v>
      </c>
      <c r="E70" s="212" t="s">
        <v>424</v>
      </c>
      <c r="F70" s="180">
        <v>1</v>
      </c>
    </row>
    <row r="71" spans="1:6" ht="13.7" customHeight="1">
      <c r="A71" s="181" t="s">
        <v>34</v>
      </c>
      <c r="B71" s="162">
        <v>121685</v>
      </c>
      <c r="C71" s="60" t="s">
        <v>427</v>
      </c>
      <c r="D71" s="181" t="s">
        <v>424</v>
      </c>
      <c r="E71" s="212" t="s">
        <v>424</v>
      </c>
      <c r="F71" s="180">
        <v>1</v>
      </c>
    </row>
    <row r="72" spans="1:6" ht="13.7" customHeight="1">
      <c r="A72" s="181" t="s">
        <v>34</v>
      </c>
      <c r="B72" s="162">
        <v>121686</v>
      </c>
      <c r="C72" s="60" t="s">
        <v>428</v>
      </c>
      <c r="D72" s="181" t="s">
        <v>424</v>
      </c>
      <c r="E72" s="212" t="s">
        <v>424</v>
      </c>
      <c r="F72" s="180">
        <v>1</v>
      </c>
    </row>
    <row r="73" spans="1:6">
      <c r="A73" s="181" t="s">
        <v>34</v>
      </c>
      <c r="B73" s="162">
        <v>121698</v>
      </c>
      <c r="C73" s="60" t="s">
        <v>429</v>
      </c>
      <c r="D73" s="181" t="s">
        <v>424</v>
      </c>
      <c r="E73" s="212" t="s">
        <v>424</v>
      </c>
      <c r="F73" s="180">
        <v>1</v>
      </c>
    </row>
    <row r="74" spans="1:6">
      <c r="A74" s="181" t="s">
        <v>34</v>
      </c>
      <c r="B74" s="162">
        <v>121700</v>
      </c>
      <c r="C74" s="60" t="s">
        <v>430</v>
      </c>
      <c r="D74" s="181" t="s">
        <v>424</v>
      </c>
      <c r="E74" s="212" t="s">
        <v>424</v>
      </c>
      <c r="F74" s="180">
        <v>1</v>
      </c>
    </row>
    <row r="75" spans="1:6">
      <c r="A75" s="181" t="s">
        <v>34</v>
      </c>
      <c r="B75" s="162">
        <v>121702</v>
      </c>
      <c r="C75" s="60" t="s">
        <v>431</v>
      </c>
      <c r="D75" s="181" t="s">
        <v>424</v>
      </c>
      <c r="E75" s="212" t="s">
        <v>424</v>
      </c>
      <c r="F75" s="180">
        <v>1</v>
      </c>
    </row>
    <row r="76" spans="1:6" ht="13.7" customHeight="1">
      <c r="A76" s="181" t="s">
        <v>34</v>
      </c>
      <c r="B76" s="162">
        <v>121704</v>
      </c>
      <c r="C76" s="60" t="s">
        <v>432</v>
      </c>
      <c r="D76" s="181" t="s">
        <v>424</v>
      </c>
      <c r="E76" s="212" t="s">
        <v>424</v>
      </c>
      <c r="F76" s="180">
        <v>1</v>
      </c>
    </row>
    <row r="77" spans="1:6" ht="13.7" customHeight="1">
      <c r="A77" s="181" t="s">
        <v>34</v>
      </c>
      <c r="B77" s="162">
        <v>121851</v>
      </c>
      <c r="C77" s="60" t="s">
        <v>436</v>
      </c>
      <c r="D77" s="181" t="s">
        <v>424</v>
      </c>
      <c r="E77" s="212" t="s">
        <v>424</v>
      </c>
      <c r="F77" s="180">
        <v>1</v>
      </c>
    </row>
    <row r="78" spans="1:6" ht="13.7" customHeight="1">
      <c r="A78" s="177" t="s">
        <v>34</v>
      </c>
      <c r="B78" s="178">
        <v>122347</v>
      </c>
      <c r="C78" s="179" t="s">
        <v>440</v>
      </c>
      <c r="D78" s="177" t="s">
        <v>424</v>
      </c>
      <c r="E78" s="211" t="s">
        <v>424</v>
      </c>
      <c r="F78" s="180">
        <v>1</v>
      </c>
    </row>
    <row r="79" spans="1:6" ht="13.7" customHeight="1">
      <c r="A79" s="177" t="s">
        <v>34</v>
      </c>
      <c r="B79" s="178">
        <v>122365</v>
      </c>
      <c r="C79" s="179" t="s">
        <v>441</v>
      </c>
      <c r="D79" s="177" t="s">
        <v>424</v>
      </c>
      <c r="E79" s="211" t="s">
        <v>424</v>
      </c>
      <c r="F79" s="180">
        <v>1</v>
      </c>
    </row>
    <row r="80" spans="1:6">
      <c r="A80" s="177" t="s">
        <v>34</v>
      </c>
      <c r="B80" s="178">
        <v>122366</v>
      </c>
      <c r="C80" s="179" t="s">
        <v>442</v>
      </c>
      <c r="D80" s="177" t="s">
        <v>424</v>
      </c>
      <c r="E80" s="211" t="s">
        <v>424</v>
      </c>
      <c r="F80" s="180">
        <v>1</v>
      </c>
    </row>
    <row r="81" spans="1:6">
      <c r="A81" s="177" t="s">
        <v>34</v>
      </c>
      <c r="B81" s="178">
        <v>122367</v>
      </c>
      <c r="C81" s="179" t="s">
        <v>443</v>
      </c>
      <c r="D81" s="177" t="s">
        <v>424</v>
      </c>
      <c r="E81" s="211" t="s">
        <v>424</v>
      </c>
      <c r="F81" s="180">
        <v>1</v>
      </c>
    </row>
    <row r="82" spans="1:6">
      <c r="A82" s="181" t="s">
        <v>34</v>
      </c>
      <c r="B82" s="162">
        <v>122397</v>
      </c>
      <c r="C82" s="60" t="s">
        <v>444</v>
      </c>
      <c r="D82" s="181" t="s">
        <v>424</v>
      </c>
      <c r="E82" s="212" t="s">
        <v>424</v>
      </c>
      <c r="F82" s="180">
        <v>1</v>
      </c>
    </row>
    <row r="83" spans="1:6">
      <c r="A83" s="181" t="s">
        <v>34</v>
      </c>
      <c r="B83" s="162">
        <v>122398</v>
      </c>
      <c r="C83" s="60" t="s">
        <v>445</v>
      </c>
      <c r="D83" s="181" t="s">
        <v>424</v>
      </c>
      <c r="E83" s="212" t="s">
        <v>424</v>
      </c>
      <c r="F83" s="180">
        <v>1</v>
      </c>
    </row>
    <row r="84" spans="1:6">
      <c r="A84" s="181" t="s">
        <v>34</v>
      </c>
      <c r="B84" s="162">
        <v>126307</v>
      </c>
      <c r="C84" s="60" t="s">
        <v>451</v>
      </c>
      <c r="D84" s="181" t="s">
        <v>424</v>
      </c>
      <c r="E84" s="212" t="s">
        <v>424</v>
      </c>
      <c r="F84" s="180">
        <v>1</v>
      </c>
    </row>
    <row r="85" spans="1:6">
      <c r="A85" s="181" t="s">
        <v>34</v>
      </c>
      <c r="B85" s="162">
        <v>126318</v>
      </c>
      <c r="C85" s="60" t="s">
        <v>452</v>
      </c>
      <c r="D85" s="181" t="s">
        <v>424</v>
      </c>
      <c r="E85" s="212" t="s">
        <v>424</v>
      </c>
      <c r="F85" s="180">
        <v>1</v>
      </c>
    </row>
    <row r="86" spans="1:6">
      <c r="A86" s="181" t="s">
        <v>34</v>
      </c>
      <c r="B86" s="162">
        <v>126331</v>
      </c>
      <c r="C86" s="60" t="s">
        <v>454</v>
      </c>
      <c r="D86" s="181" t="s">
        <v>424</v>
      </c>
      <c r="E86" s="212" t="s">
        <v>424</v>
      </c>
      <c r="F86" s="180">
        <v>1</v>
      </c>
    </row>
    <row r="87" spans="1:6">
      <c r="A87" s="181" t="s">
        <v>34</v>
      </c>
      <c r="B87" s="162">
        <v>126332</v>
      </c>
      <c r="C87" s="60" t="s">
        <v>455</v>
      </c>
      <c r="D87" s="181" t="s">
        <v>424</v>
      </c>
      <c r="E87" s="212" t="s">
        <v>424</v>
      </c>
      <c r="F87" s="180">
        <v>1</v>
      </c>
    </row>
    <row r="88" spans="1:6">
      <c r="A88" s="181" t="s">
        <v>34</v>
      </c>
      <c r="B88" s="162">
        <v>126349</v>
      </c>
      <c r="C88" s="60" t="s">
        <v>456</v>
      </c>
      <c r="D88" s="181" t="s">
        <v>424</v>
      </c>
      <c r="E88" s="212" t="s">
        <v>424</v>
      </c>
      <c r="F88" s="180">
        <v>1</v>
      </c>
    </row>
    <row r="89" spans="1:6">
      <c r="A89" s="181" t="s">
        <v>34</v>
      </c>
      <c r="B89" s="162">
        <v>132809</v>
      </c>
      <c r="C89" s="60" t="s">
        <v>468</v>
      </c>
      <c r="D89" s="181" t="s">
        <v>424</v>
      </c>
      <c r="E89" s="212" t="s">
        <v>424</v>
      </c>
      <c r="F89" s="180">
        <v>1</v>
      </c>
    </row>
    <row r="90" spans="1:6">
      <c r="A90" s="181" t="s">
        <v>34</v>
      </c>
      <c r="B90" s="162">
        <v>132812</v>
      </c>
      <c r="C90" s="60" t="s">
        <v>469</v>
      </c>
      <c r="D90" s="181" t="s">
        <v>424</v>
      </c>
      <c r="E90" s="212" t="s">
        <v>424</v>
      </c>
      <c r="F90" s="180">
        <v>1</v>
      </c>
    </row>
    <row r="91" spans="1:6">
      <c r="A91" s="181" t="s">
        <v>34</v>
      </c>
      <c r="B91" s="162">
        <v>132815</v>
      </c>
      <c r="C91" s="60" t="s">
        <v>470</v>
      </c>
      <c r="D91" s="181" t="s">
        <v>424</v>
      </c>
      <c r="E91" s="212" t="s">
        <v>424</v>
      </c>
      <c r="F91" s="180">
        <v>1</v>
      </c>
    </row>
    <row r="92" spans="1:6">
      <c r="A92" s="181" t="s">
        <v>34</v>
      </c>
      <c r="B92" s="162">
        <v>132818</v>
      </c>
      <c r="C92" s="60" t="s">
        <v>471</v>
      </c>
      <c r="D92" s="181" t="s">
        <v>424</v>
      </c>
      <c r="E92" s="212" t="s">
        <v>424</v>
      </c>
      <c r="F92" s="180">
        <v>1</v>
      </c>
    </row>
    <row r="93" spans="1:6">
      <c r="A93" s="181" t="s">
        <v>34</v>
      </c>
      <c r="B93" s="162">
        <v>132821</v>
      </c>
      <c r="C93" s="60" t="s">
        <v>472</v>
      </c>
      <c r="D93" s="181" t="s">
        <v>424</v>
      </c>
      <c r="E93" s="212" t="s">
        <v>424</v>
      </c>
      <c r="F93" s="180">
        <v>1</v>
      </c>
    </row>
    <row r="94" spans="1:6">
      <c r="A94" s="181" t="s">
        <v>34</v>
      </c>
      <c r="B94" s="162">
        <v>132824</v>
      </c>
      <c r="C94" s="60" t="s">
        <v>473</v>
      </c>
      <c r="D94" s="181" t="s">
        <v>424</v>
      </c>
      <c r="E94" s="212" t="s">
        <v>424</v>
      </c>
      <c r="F94" s="180">
        <v>1</v>
      </c>
    </row>
    <row r="95" spans="1:6">
      <c r="A95" s="181" t="s">
        <v>34</v>
      </c>
      <c r="B95" s="162">
        <v>134359</v>
      </c>
      <c r="C95" s="60" t="s">
        <v>478</v>
      </c>
      <c r="D95" s="181" t="s">
        <v>424</v>
      </c>
      <c r="E95" s="212" t="s">
        <v>424</v>
      </c>
      <c r="F95" s="180">
        <v>1</v>
      </c>
    </row>
    <row r="96" spans="1:6">
      <c r="A96" s="181" t="s">
        <v>34</v>
      </c>
      <c r="B96" s="162">
        <v>134360</v>
      </c>
      <c r="C96" s="60" t="s">
        <v>479</v>
      </c>
      <c r="D96" s="181" t="s">
        <v>424</v>
      </c>
      <c r="E96" s="212" t="s">
        <v>424</v>
      </c>
      <c r="F96" s="180">
        <v>1</v>
      </c>
    </row>
    <row r="97" spans="1:6">
      <c r="A97" s="181" t="s">
        <v>34</v>
      </c>
      <c r="B97" s="162">
        <v>134395</v>
      </c>
      <c r="C97" s="60" t="s">
        <v>480</v>
      </c>
      <c r="D97" s="181" t="s">
        <v>424</v>
      </c>
      <c r="E97" s="212" t="s">
        <v>424</v>
      </c>
      <c r="F97" s="180">
        <v>1</v>
      </c>
    </row>
    <row r="98" spans="1:6">
      <c r="A98" s="181" t="s">
        <v>34</v>
      </c>
      <c r="B98" s="162">
        <v>134902</v>
      </c>
      <c r="C98" s="60" t="s">
        <v>482</v>
      </c>
      <c r="D98" s="181" t="s">
        <v>424</v>
      </c>
      <c r="E98" s="212" t="s">
        <v>424</v>
      </c>
      <c r="F98" s="180">
        <v>1</v>
      </c>
    </row>
    <row r="99" spans="1:6">
      <c r="A99" s="181" t="s">
        <v>34</v>
      </c>
      <c r="B99" s="162">
        <v>134905</v>
      </c>
      <c r="C99" s="60" t="s">
        <v>483</v>
      </c>
      <c r="D99" s="181" t="s">
        <v>424</v>
      </c>
      <c r="E99" s="212" t="s">
        <v>424</v>
      </c>
      <c r="F99" s="180">
        <v>1</v>
      </c>
    </row>
    <row r="100" spans="1:6">
      <c r="A100" s="181" t="s">
        <v>34</v>
      </c>
      <c r="B100" s="162">
        <v>134908</v>
      </c>
      <c r="C100" s="60" t="s">
        <v>484</v>
      </c>
      <c r="D100" s="181" t="s">
        <v>424</v>
      </c>
      <c r="E100" s="212" t="s">
        <v>424</v>
      </c>
      <c r="F100" s="180">
        <v>1</v>
      </c>
    </row>
    <row r="101" spans="1:6">
      <c r="A101" s="181" t="s">
        <v>34</v>
      </c>
      <c r="B101" s="162">
        <v>134912</v>
      </c>
      <c r="C101" s="60" t="s">
        <v>485</v>
      </c>
      <c r="D101" s="181" t="s">
        <v>424</v>
      </c>
      <c r="E101" s="212" t="s">
        <v>424</v>
      </c>
      <c r="F101" s="180">
        <v>1</v>
      </c>
    </row>
    <row r="102" spans="1:6">
      <c r="A102" s="181" t="s">
        <v>34</v>
      </c>
      <c r="B102" s="162">
        <v>136033</v>
      </c>
      <c r="C102" s="60" t="s">
        <v>519</v>
      </c>
      <c r="D102" s="181" t="s">
        <v>424</v>
      </c>
      <c r="E102" s="212" t="s">
        <v>424</v>
      </c>
      <c r="F102" s="180">
        <v>1</v>
      </c>
    </row>
    <row r="103" spans="1:6">
      <c r="A103" s="181" t="s">
        <v>34</v>
      </c>
      <c r="B103" s="162">
        <v>138012</v>
      </c>
      <c r="C103" s="60" t="s">
        <v>529</v>
      </c>
      <c r="D103" s="181" t="s">
        <v>424</v>
      </c>
      <c r="E103" s="212" t="s">
        <v>424</v>
      </c>
      <c r="F103" s="180">
        <v>1</v>
      </c>
    </row>
    <row r="104" spans="1:6">
      <c r="A104" s="181" t="s">
        <v>34</v>
      </c>
      <c r="B104" s="162">
        <v>138017</v>
      </c>
      <c r="C104" s="60" t="s">
        <v>530</v>
      </c>
      <c r="D104" s="181" t="s">
        <v>424</v>
      </c>
      <c r="E104" s="212" t="s">
        <v>424</v>
      </c>
      <c r="F104" s="180">
        <v>1</v>
      </c>
    </row>
    <row r="105" spans="1:6">
      <c r="A105" s="181" t="s">
        <v>34</v>
      </c>
      <c r="B105" s="162">
        <v>138020</v>
      </c>
      <c r="C105" s="60" t="s">
        <v>531</v>
      </c>
      <c r="D105" s="181" t="s">
        <v>424</v>
      </c>
      <c r="E105" s="212" t="s">
        <v>424</v>
      </c>
      <c r="F105" s="180">
        <v>1</v>
      </c>
    </row>
    <row r="106" spans="1:6">
      <c r="A106" s="181" t="s">
        <v>34</v>
      </c>
      <c r="B106" s="162">
        <v>138021</v>
      </c>
      <c r="C106" s="60" t="s">
        <v>532</v>
      </c>
      <c r="D106" s="181" t="s">
        <v>424</v>
      </c>
      <c r="E106" s="212" t="s">
        <v>424</v>
      </c>
      <c r="F106" s="180">
        <v>1</v>
      </c>
    </row>
    <row r="107" spans="1:6">
      <c r="A107" s="181" t="s">
        <v>34</v>
      </c>
      <c r="B107" s="162">
        <v>138023</v>
      </c>
      <c r="C107" s="60" t="s">
        <v>533</v>
      </c>
      <c r="D107" s="181" t="s">
        <v>424</v>
      </c>
      <c r="E107" s="212" t="s">
        <v>424</v>
      </c>
      <c r="F107" s="180">
        <v>1</v>
      </c>
    </row>
    <row r="108" spans="1:6">
      <c r="A108" s="181" t="s">
        <v>34</v>
      </c>
      <c r="B108" s="162">
        <v>138026</v>
      </c>
      <c r="C108" s="60" t="s">
        <v>534</v>
      </c>
      <c r="D108" s="181" t="s">
        <v>424</v>
      </c>
      <c r="E108" s="212" t="s">
        <v>424</v>
      </c>
      <c r="F108" s="180">
        <v>1</v>
      </c>
    </row>
    <row r="109" spans="1:6">
      <c r="A109" s="181" t="s">
        <v>34</v>
      </c>
      <c r="B109" s="162">
        <v>138926</v>
      </c>
      <c r="C109" s="60" t="s">
        <v>557</v>
      </c>
      <c r="D109" s="181" t="s">
        <v>424</v>
      </c>
      <c r="E109" s="212" t="s">
        <v>424</v>
      </c>
      <c r="F109" s="180">
        <v>1</v>
      </c>
    </row>
    <row r="110" spans="1:6">
      <c r="A110" s="181" t="s">
        <v>34</v>
      </c>
      <c r="B110" s="162">
        <v>139025</v>
      </c>
      <c r="C110" s="60" t="s">
        <v>570</v>
      </c>
      <c r="D110" s="181" t="s">
        <v>424</v>
      </c>
      <c r="E110" s="212" t="s">
        <v>424</v>
      </c>
      <c r="F110" s="180">
        <v>1</v>
      </c>
    </row>
    <row r="111" spans="1:6" ht="13.7" customHeight="1">
      <c r="A111" s="181" t="s">
        <v>34</v>
      </c>
      <c r="B111" s="162">
        <v>139046</v>
      </c>
      <c r="C111" s="60" t="s">
        <v>580</v>
      </c>
      <c r="D111" s="181" t="s">
        <v>424</v>
      </c>
      <c r="E111" s="212" t="s">
        <v>424</v>
      </c>
      <c r="F111" s="180">
        <v>1</v>
      </c>
    </row>
    <row r="112" spans="1:6" ht="13.7" customHeight="1">
      <c r="A112" s="181" t="s">
        <v>34</v>
      </c>
      <c r="B112" s="162">
        <v>139047</v>
      </c>
      <c r="C112" s="60" t="s">
        <v>581</v>
      </c>
      <c r="D112" s="181" t="s">
        <v>424</v>
      </c>
      <c r="E112" s="212" t="s">
        <v>424</v>
      </c>
      <c r="F112" s="180">
        <v>1</v>
      </c>
    </row>
    <row r="113" spans="1:6" ht="13.7" customHeight="1">
      <c r="A113" s="181" t="s">
        <v>34</v>
      </c>
      <c r="B113" s="162">
        <v>139168</v>
      </c>
      <c r="C113" s="60" t="s">
        <v>631</v>
      </c>
      <c r="D113" s="181" t="s">
        <v>424</v>
      </c>
      <c r="E113" s="212" t="s">
        <v>424</v>
      </c>
      <c r="F113" s="180">
        <v>1</v>
      </c>
    </row>
    <row r="114" spans="1:6" ht="13.7" customHeight="1">
      <c r="A114" s="181" t="s">
        <v>34</v>
      </c>
      <c r="B114" s="162">
        <v>139170</v>
      </c>
      <c r="C114" s="60" t="s">
        <v>632</v>
      </c>
      <c r="D114" s="181" t="s">
        <v>424</v>
      </c>
      <c r="E114" s="212" t="s">
        <v>424</v>
      </c>
      <c r="F114" s="180">
        <v>1</v>
      </c>
    </row>
    <row r="115" spans="1:6" ht="13.7" customHeight="1">
      <c r="A115" s="181" t="s">
        <v>34</v>
      </c>
      <c r="B115" s="162">
        <v>139176</v>
      </c>
      <c r="C115" s="60" t="s">
        <v>633</v>
      </c>
      <c r="D115" s="181" t="s">
        <v>424</v>
      </c>
      <c r="E115" s="212" t="s">
        <v>424</v>
      </c>
      <c r="F115" s="180">
        <v>1</v>
      </c>
    </row>
    <row r="116" spans="1:6" ht="13.7" customHeight="1">
      <c r="A116" s="181" t="s">
        <v>34</v>
      </c>
      <c r="B116" s="162">
        <v>139227</v>
      </c>
      <c r="C116" s="60" t="s">
        <v>634</v>
      </c>
      <c r="D116" s="181" t="s">
        <v>424</v>
      </c>
      <c r="E116" s="212" t="s">
        <v>424</v>
      </c>
      <c r="F116" s="180">
        <v>1</v>
      </c>
    </row>
    <row r="117" spans="1:6" ht="13.7" customHeight="1">
      <c r="A117" s="181" t="s">
        <v>34</v>
      </c>
      <c r="B117" s="162">
        <v>140057</v>
      </c>
      <c r="C117" s="60" t="s">
        <v>644</v>
      </c>
      <c r="D117" s="181" t="s">
        <v>424</v>
      </c>
      <c r="E117" s="212" t="s">
        <v>424</v>
      </c>
      <c r="F117" s="180">
        <v>1</v>
      </c>
    </row>
    <row r="118" spans="1:6" ht="13.7" customHeight="1">
      <c r="A118" s="181" t="s">
        <v>34</v>
      </c>
      <c r="B118" s="162">
        <v>141220</v>
      </c>
      <c r="C118" s="60" t="s">
        <v>683</v>
      </c>
      <c r="D118" s="181" t="s">
        <v>424</v>
      </c>
      <c r="E118" s="212" t="s">
        <v>424</v>
      </c>
      <c r="F118" s="180">
        <v>1</v>
      </c>
    </row>
    <row r="119" spans="1:6" ht="13.7" customHeight="1">
      <c r="A119" s="181" t="s">
        <v>34</v>
      </c>
      <c r="B119" s="162">
        <v>141366</v>
      </c>
      <c r="C119" s="60" t="s">
        <v>685</v>
      </c>
      <c r="D119" s="181" t="s">
        <v>424</v>
      </c>
      <c r="E119" s="212" t="s">
        <v>424</v>
      </c>
      <c r="F119" s="180">
        <v>1</v>
      </c>
    </row>
    <row r="120" spans="1:6" ht="13.7" customHeight="1">
      <c r="A120" s="181" t="s">
        <v>34</v>
      </c>
      <c r="B120" s="162">
        <v>141653</v>
      </c>
      <c r="C120" s="60" t="s">
        <v>688</v>
      </c>
      <c r="D120" s="181" t="s">
        <v>424</v>
      </c>
      <c r="E120" s="212" t="s">
        <v>424</v>
      </c>
      <c r="F120" s="180">
        <v>1</v>
      </c>
    </row>
    <row r="121" spans="1:6" ht="13.7" customHeight="1">
      <c r="A121" s="181" t="s">
        <v>34</v>
      </c>
      <c r="B121" s="162">
        <v>141656</v>
      </c>
      <c r="C121" s="60" t="s">
        <v>690</v>
      </c>
      <c r="D121" s="181" t="s">
        <v>424</v>
      </c>
      <c r="E121" s="212" t="s">
        <v>424</v>
      </c>
      <c r="F121" s="180">
        <v>1</v>
      </c>
    </row>
    <row r="122" spans="1:6" ht="13.7" customHeight="1">
      <c r="A122" s="181" t="s">
        <v>34</v>
      </c>
      <c r="B122" s="162">
        <v>141740</v>
      </c>
      <c r="C122" s="60" t="s">
        <v>695</v>
      </c>
      <c r="D122" s="181" t="s">
        <v>424</v>
      </c>
      <c r="E122" s="212" t="s">
        <v>424</v>
      </c>
      <c r="F122" s="180">
        <v>1</v>
      </c>
    </row>
    <row r="123" spans="1:6" ht="13.7" customHeight="1">
      <c r="A123" s="181" t="s">
        <v>34</v>
      </c>
      <c r="B123" s="162">
        <v>141744</v>
      </c>
      <c r="C123" s="60" t="s">
        <v>696</v>
      </c>
      <c r="D123" s="181" t="s">
        <v>424</v>
      </c>
      <c r="E123" s="212" t="s">
        <v>424</v>
      </c>
      <c r="F123" s="180">
        <v>1</v>
      </c>
    </row>
    <row r="124" spans="1:6" ht="13.7" customHeight="1">
      <c r="A124" s="181" t="s">
        <v>34</v>
      </c>
      <c r="B124" s="162">
        <v>141748</v>
      </c>
      <c r="C124" s="60" t="s">
        <v>697</v>
      </c>
      <c r="D124" s="181" t="s">
        <v>424</v>
      </c>
      <c r="E124" s="212" t="s">
        <v>424</v>
      </c>
      <c r="F124" s="180">
        <v>1</v>
      </c>
    </row>
    <row r="125" spans="1:6" ht="13.7" customHeight="1">
      <c r="A125" s="181" t="s">
        <v>34</v>
      </c>
      <c r="B125" s="162">
        <v>142259</v>
      </c>
      <c r="C125" s="60" t="s">
        <v>704</v>
      </c>
      <c r="D125" s="181" t="s">
        <v>424</v>
      </c>
      <c r="E125" s="212" t="s">
        <v>424</v>
      </c>
      <c r="F125" s="180">
        <v>1</v>
      </c>
    </row>
    <row r="126" spans="1:6" ht="13.7" customHeight="1">
      <c r="A126" s="181" t="s">
        <v>34</v>
      </c>
      <c r="B126" s="162">
        <v>142630</v>
      </c>
      <c r="C126" s="60" t="s">
        <v>706</v>
      </c>
      <c r="D126" s="181" t="s">
        <v>424</v>
      </c>
      <c r="E126" s="212" t="s">
        <v>424</v>
      </c>
      <c r="F126" s="180">
        <v>1</v>
      </c>
    </row>
    <row r="127" spans="1:6" ht="13.7" customHeight="1">
      <c r="A127" s="188" t="s">
        <v>34</v>
      </c>
      <c r="B127" s="189">
        <v>121540</v>
      </c>
      <c r="C127" s="190" t="s">
        <v>419</v>
      </c>
      <c r="D127" s="188" t="s">
        <v>71</v>
      </c>
      <c r="E127" s="213" t="s">
        <v>71</v>
      </c>
      <c r="F127" s="187">
        <v>1</v>
      </c>
    </row>
    <row r="128" spans="1:6" ht="13.7" customHeight="1">
      <c r="A128" s="188" t="s">
        <v>34</v>
      </c>
      <c r="B128" s="189">
        <v>121759</v>
      </c>
      <c r="C128" s="190" t="s">
        <v>433</v>
      </c>
      <c r="D128" s="188" t="s">
        <v>71</v>
      </c>
      <c r="E128" s="213" t="s">
        <v>71</v>
      </c>
      <c r="F128" s="187">
        <v>1</v>
      </c>
    </row>
    <row r="129" spans="1:6" ht="13.7" customHeight="1">
      <c r="A129" s="188" t="s">
        <v>34</v>
      </c>
      <c r="B129" s="189">
        <v>121762</v>
      </c>
      <c r="C129" s="190" t="s">
        <v>434</v>
      </c>
      <c r="D129" s="188" t="s">
        <v>71</v>
      </c>
      <c r="E129" s="213" t="s">
        <v>71</v>
      </c>
      <c r="F129" s="187">
        <v>1</v>
      </c>
    </row>
    <row r="130" spans="1:6" ht="13.7" customHeight="1">
      <c r="A130" s="188" t="s">
        <v>34</v>
      </c>
      <c r="B130" s="189">
        <v>121764</v>
      </c>
      <c r="C130" s="190" t="s">
        <v>435</v>
      </c>
      <c r="D130" s="188" t="s">
        <v>71</v>
      </c>
      <c r="E130" s="213" t="s">
        <v>71</v>
      </c>
      <c r="F130" s="187">
        <v>1</v>
      </c>
    </row>
    <row r="131" spans="1:6" ht="13.7" customHeight="1">
      <c r="A131" s="188" t="s">
        <v>34</v>
      </c>
      <c r="B131" s="189">
        <v>122135</v>
      </c>
      <c r="C131" s="190" t="s">
        <v>437</v>
      </c>
      <c r="D131" s="188" t="s">
        <v>71</v>
      </c>
      <c r="E131" s="213" t="s">
        <v>71</v>
      </c>
      <c r="F131" s="187">
        <v>1</v>
      </c>
    </row>
    <row r="132" spans="1:6" ht="13.7" customHeight="1">
      <c r="A132" s="188" t="s">
        <v>34</v>
      </c>
      <c r="B132" s="189">
        <v>122167</v>
      </c>
      <c r="C132" s="190" t="s">
        <v>438</v>
      </c>
      <c r="D132" s="188" t="s">
        <v>71</v>
      </c>
      <c r="E132" s="213" t="s">
        <v>71</v>
      </c>
      <c r="F132" s="187">
        <v>1</v>
      </c>
    </row>
    <row r="133" spans="1:6" ht="13.7" customHeight="1">
      <c r="A133" s="188" t="s">
        <v>34</v>
      </c>
      <c r="B133" s="189">
        <v>122187</v>
      </c>
      <c r="C133" s="190" t="s">
        <v>439</v>
      </c>
      <c r="D133" s="188" t="s">
        <v>71</v>
      </c>
      <c r="E133" s="213" t="s">
        <v>71</v>
      </c>
      <c r="F133" s="187">
        <v>1</v>
      </c>
    </row>
    <row r="134" spans="1:6" ht="13.7" customHeight="1">
      <c r="A134" s="188" t="s">
        <v>34</v>
      </c>
      <c r="B134" s="189">
        <v>122612</v>
      </c>
      <c r="C134" s="190" t="s">
        <v>446</v>
      </c>
      <c r="D134" s="188" t="s">
        <v>71</v>
      </c>
      <c r="E134" s="213" t="s">
        <v>71</v>
      </c>
      <c r="F134" s="187">
        <v>1</v>
      </c>
    </row>
    <row r="135" spans="1:6" ht="13.7" customHeight="1">
      <c r="A135" s="188" t="s">
        <v>34</v>
      </c>
      <c r="B135" s="189">
        <v>122650</v>
      </c>
      <c r="C135" s="190" t="s">
        <v>447</v>
      </c>
      <c r="D135" s="188" t="s">
        <v>71</v>
      </c>
      <c r="E135" s="213" t="s">
        <v>71</v>
      </c>
      <c r="F135" s="187">
        <v>1</v>
      </c>
    </row>
    <row r="136" spans="1:6" ht="13.7" customHeight="1">
      <c r="A136" s="188" t="s">
        <v>34</v>
      </c>
      <c r="B136" s="189">
        <v>122821</v>
      </c>
      <c r="C136" s="190" t="s">
        <v>448</v>
      </c>
      <c r="D136" s="188" t="s">
        <v>71</v>
      </c>
      <c r="E136" s="213" t="s">
        <v>71</v>
      </c>
      <c r="F136" s="187">
        <v>1</v>
      </c>
    </row>
    <row r="137" spans="1:6" ht="13.7" customHeight="1">
      <c r="A137" s="188" t="s">
        <v>34</v>
      </c>
      <c r="B137" s="189">
        <v>124528</v>
      </c>
      <c r="C137" s="190" t="s">
        <v>450</v>
      </c>
      <c r="D137" s="188" t="s">
        <v>71</v>
      </c>
      <c r="E137" s="213" t="s">
        <v>71</v>
      </c>
      <c r="F137" s="187">
        <v>1</v>
      </c>
    </row>
    <row r="138" spans="1:6" ht="13.7" customHeight="1">
      <c r="A138" s="188" t="s">
        <v>34</v>
      </c>
      <c r="B138" s="189">
        <v>126328</v>
      </c>
      <c r="C138" s="190" t="s">
        <v>453</v>
      </c>
      <c r="D138" s="188" t="s">
        <v>71</v>
      </c>
      <c r="E138" s="213" t="s">
        <v>71</v>
      </c>
      <c r="F138" s="187">
        <v>1</v>
      </c>
    </row>
    <row r="139" spans="1:6" ht="13.7" customHeight="1">
      <c r="A139" s="188" t="s">
        <v>34</v>
      </c>
      <c r="B139" s="189">
        <v>128771</v>
      </c>
      <c r="C139" s="190" t="s">
        <v>457</v>
      </c>
      <c r="D139" s="188" t="s">
        <v>71</v>
      </c>
      <c r="E139" s="213" t="s">
        <v>71</v>
      </c>
      <c r="F139" s="187">
        <v>1</v>
      </c>
    </row>
    <row r="140" spans="1:6" ht="13.7" customHeight="1">
      <c r="A140" s="188" t="s">
        <v>34</v>
      </c>
      <c r="B140" s="189">
        <v>129364</v>
      </c>
      <c r="C140" s="190" t="s">
        <v>458</v>
      </c>
      <c r="D140" s="188" t="s">
        <v>71</v>
      </c>
      <c r="E140" s="213" t="s">
        <v>71</v>
      </c>
      <c r="F140" s="187">
        <v>1</v>
      </c>
    </row>
    <row r="141" spans="1:6" ht="13.7" customHeight="1">
      <c r="A141" s="184" t="s">
        <v>34</v>
      </c>
      <c r="B141" s="185">
        <v>129389</v>
      </c>
      <c r="C141" s="186" t="s">
        <v>459</v>
      </c>
      <c r="D141" s="184" t="s">
        <v>71</v>
      </c>
      <c r="E141" s="207" t="s">
        <v>71</v>
      </c>
      <c r="F141" s="187">
        <v>1</v>
      </c>
    </row>
    <row r="142" spans="1:6" ht="13.7" customHeight="1">
      <c r="A142" s="188" t="s">
        <v>34</v>
      </c>
      <c r="B142" s="189">
        <v>130248</v>
      </c>
      <c r="C142" s="190" t="s">
        <v>460</v>
      </c>
      <c r="D142" s="188" t="s">
        <v>71</v>
      </c>
      <c r="E142" s="213" t="s">
        <v>71</v>
      </c>
      <c r="F142" s="187">
        <v>1</v>
      </c>
    </row>
    <row r="143" spans="1:6" ht="13.7" customHeight="1">
      <c r="A143" s="188" t="s">
        <v>34</v>
      </c>
      <c r="B143" s="189">
        <v>130938</v>
      </c>
      <c r="C143" s="190" t="s">
        <v>461</v>
      </c>
      <c r="D143" s="188" t="s">
        <v>71</v>
      </c>
      <c r="E143" s="213" t="s">
        <v>71</v>
      </c>
      <c r="F143" s="187">
        <v>1</v>
      </c>
    </row>
    <row r="144" spans="1:6" ht="13.7" customHeight="1">
      <c r="A144" s="188" t="s">
        <v>34</v>
      </c>
      <c r="B144" s="189">
        <v>131773</v>
      </c>
      <c r="C144" s="190" t="s">
        <v>462</v>
      </c>
      <c r="D144" s="188" t="s">
        <v>71</v>
      </c>
      <c r="E144" s="213" t="s">
        <v>71</v>
      </c>
      <c r="F144" s="187">
        <v>1</v>
      </c>
    </row>
    <row r="145" spans="1:6" ht="13.7" customHeight="1">
      <c r="A145" s="188" t="s">
        <v>34</v>
      </c>
      <c r="B145" s="189">
        <v>132549</v>
      </c>
      <c r="C145" s="190" t="s">
        <v>463</v>
      </c>
      <c r="D145" s="188" t="s">
        <v>71</v>
      </c>
      <c r="E145" s="213" t="s">
        <v>71</v>
      </c>
      <c r="F145" s="187">
        <v>1</v>
      </c>
    </row>
    <row r="146" spans="1:6" ht="13.7" customHeight="1">
      <c r="A146" s="188" t="s">
        <v>34</v>
      </c>
      <c r="B146" s="189">
        <v>132550</v>
      </c>
      <c r="C146" s="190" t="s">
        <v>464</v>
      </c>
      <c r="D146" s="188" t="s">
        <v>71</v>
      </c>
      <c r="E146" s="213" t="s">
        <v>71</v>
      </c>
      <c r="F146" s="187">
        <v>1</v>
      </c>
    </row>
    <row r="147" spans="1:6" ht="13.7" customHeight="1">
      <c r="A147" s="188" t="s">
        <v>34</v>
      </c>
      <c r="B147" s="189">
        <v>132558</v>
      </c>
      <c r="C147" s="190" t="s">
        <v>465</v>
      </c>
      <c r="D147" s="188" t="s">
        <v>71</v>
      </c>
      <c r="E147" s="213" t="s">
        <v>71</v>
      </c>
      <c r="F147" s="187">
        <v>1</v>
      </c>
    </row>
    <row r="148" spans="1:6" ht="13.7" customHeight="1">
      <c r="A148" s="188" t="s">
        <v>34</v>
      </c>
      <c r="B148" s="189">
        <v>132610</v>
      </c>
      <c r="C148" s="190" t="s">
        <v>466</v>
      </c>
      <c r="D148" s="188" t="s">
        <v>71</v>
      </c>
      <c r="E148" s="213" t="s">
        <v>71</v>
      </c>
      <c r="F148" s="187">
        <v>1</v>
      </c>
    </row>
    <row r="149" spans="1:6" ht="13.7" customHeight="1">
      <c r="A149" s="188" t="s">
        <v>34</v>
      </c>
      <c r="B149" s="189">
        <v>132793</v>
      </c>
      <c r="C149" s="190" t="s">
        <v>467</v>
      </c>
      <c r="D149" s="188" t="s">
        <v>71</v>
      </c>
      <c r="E149" s="213" t="s">
        <v>71</v>
      </c>
      <c r="F149" s="187">
        <v>1</v>
      </c>
    </row>
    <row r="150" spans="1:6" ht="13.7" customHeight="1">
      <c r="A150" s="188" t="s">
        <v>34</v>
      </c>
      <c r="B150" s="189">
        <v>132835</v>
      </c>
      <c r="C150" s="190" t="s">
        <v>474</v>
      </c>
      <c r="D150" s="188" t="s">
        <v>71</v>
      </c>
      <c r="E150" s="213" t="s">
        <v>71</v>
      </c>
      <c r="F150" s="187">
        <v>1</v>
      </c>
    </row>
    <row r="151" spans="1:6" ht="13.7" customHeight="1">
      <c r="A151" s="188" t="s">
        <v>34</v>
      </c>
      <c r="B151" s="189">
        <v>133450</v>
      </c>
      <c r="C151" s="190" t="s">
        <v>475</v>
      </c>
      <c r="D151" s="188" t="s">
        <v>71</v>
      </c>
      <c r="E151" s="213" t="s">
        <v>71</v>
      </c>
      <c r="F151" s="187">
        <v>1</v>
      </c>
    </row>
    <row r="152" spans="1:6" ht="13.7" customHeight="1">
      <c r="A152" s="188" t="s">
        <v>34</v>
      </c>
      <c r="B152" s="189">
        <v>134221</v>
      </c>
      <c r="C152" s="190" t="s">
        <v>476</v>
      </c>
      <c r="D152" s="188" t="s">
        <v>71</v>
      </c>
      <c r="E152" s="213" t="s">
        <v>71</v>
      </c>
      <c r="F152" s="187">
        <v>1</v>
      </c>
    </row>
    <row r="153" spans="1:6" ht="13.7" customHeight="1">
      <c r="A153" s="188" t="s">
        <v>34</v>
      </c>
      <c r="B153" s="189">
        <v>134320</v>
      </c>
      <c r="C153" s="190" t="s">
        <v>477</v>
      </c>
      <c r="D153" s="188" t="s">
        <v>71</v>
      </c>
      <c r="E153" s="213" t="s">
        <v>71</v>
      </c>
      <c r="F153" s="187">
        <v>1</v>
      </c>
    </row>
    <row r="154" spans="1:6" ht="13.7" customHeight="1">
      <c r="A154" s="188" t="s">
        <v>34</v>
      </c>
      <c r="B154" s="189">
        <v>134602</v>
      </c>
      <c r="C154" s="190" t="s">
        <v>481</v>
      </c>
      <c r="D154" s="188" t="s">
        <v>71</v>
      </c>
      <c r="E154" s="213" t="s">
        <v>71</v>
      </c>
      <c r="F154" s="187">
        <v>1</v>
      </c>
    </row>
    <row r="155" spans="1:6" ht="13.7" customHeight="1">
      <c r="A155" s="188" t="s">
        <v>34</v>
      </c>
      <c r="B155" s="189">
        <v>134937</v>
      </c>
      <c r="C155" s="190" t="s">
        <v>486</v>
      </c>
      <c r="D155" s="188" t="s">
        <v>71</v>
      </c>
      <c r="E155" s="213" t="s">
        <v>71</v>
      </c>
      <c r="F155" s="187">
        <v>1</v>
      </c>
    </row>
    <row r="156" spans="1:6" ht="13.7" customHeight="1">
      <c r="A156" s="188" t="s">
        <v>34</v>
      </c>
      <c r="B156" s="189">
        <v>135000</v>
      </c>
      <c r="C156" s="190" t="s">
        <v>487</v>
      </c>
      <c r="D156" s="188" t="s">
        <v>71</v>
      </c>
      <c r="E156" s="213" t="s">
        <v>71</v>
      </c>
      <c r="F156" s="187">
        <v>1</v>
      </c>
    </row>
    <row r="157" spans="1:6" ht="13.7" customHeight="1">
      <c r="A157" s="188" t="s">
        <v>34</v>
      </c>
      <c r="B157" s="189">
        <v>135010</v>
      </c>
      <c r="C157" s="190" t="s">
        <v>488</v>
      </c>
      <c r="D157" s="188" t="s">
        <v>71</v>
      </c>
      <c r="E157" s="213" t="s">
        <v>71</v>
      </c>
      <c r="F157" s="187">
        <v>1</v>
      </c>
    </row>
    <row r="158" spans="1:6" ht="13.7" customHeight="1">
      <c r="A158" s="188" t="s">
        <v>34</v>
      </c>
      <c r="B158" s="189">
        <v>135013</v>
      </c>
      <c r="C158" s="190" t="s">
        <v>489</v>
      </c>
      <c r="D158" s="188" t="s">
        <v>71</v>
      </c>
      <c r="E158" s="213" t="s">
        <v>71</v>
      </c>
      <c r="F158" s="187">
        <v>1</v>
      </c>
    </row>
    <row r="159" spans="1:6" ht="13.7" customHeight="1">
      <c r="A159" s="188" t="s">
        <v>34</v>
      </c>
      <c r="B159" s="189">
        <v>135014</v>
      </c>
      <c r="C159" s="190" t="s">
        <v>490</v>
      </c>
      <c r="D159" s="188" t="s">
        <v>71</v>
      </c>
      <c r="E159" s="213" t="s">
        <v>71</v>
      </c>
      <c r="F159" s="187">
        <v>1</v>
      </c>
    </row>
    <row r="160" spans="1:6" ht="13.7" customHeight="1">
      <c r="A160" s="188" t="s">
        <v>34</v>
      </c>
      <c r="B160" s="189">
        <v>135179</v>
      </c>
      <c r="C160" s="190" t="s">
        <v>491</v>
      </c>
      <c r="D160" s="188" t="s">
        <v>71</v>
      </c>
      <c r="E160" s="213" t="s">
        <v>71</v>
      </c>
      <c r="F160" s="187">
        <v>1</v>
      </c>
    </row>
    <row r="161" spans="1:6" ht="13.7" customHeight="1">
      <c r="A161" s="188" t="s">
        <v>34</v>
      </c>
      <c r="B161" s="189">
        <v>135180</v>
      </c>
      <c r="C161" s="190" t="s">
        <v>492</v>
      </c>
      <c r="D161" s="188" t="s">
        <v>71</v>
      </c>
      <c r="E161" s="213" t="s">
        <v>71</v>
      </c>
      <c r="F161" s="187">
        <v>1</v>
      </c>
    </row>
    <row r="162" spans="1:6" ht="13.7" customHeight="1">
      <c r="A162" s="188" t="s">
        <v>34</v>
      </c>
      <c r="B162" s="189">
        <v>135182</v>
      </c>
      <c r="C162" s="190" t="s">
        <v>493</v>
      </c>
      <c r="D162" s="188" t="s">
        <v>71</v>
      </c>
      <c r="E162" s="213" t="s">
        <v>71</v>
      </c>
      <c r="F162" s="187">
        <v>1</v>
      </c>
    </row>
    <row r="163" spans="1:6" ht="13.7" customHeight="1">
      <c r="A163" s="188" t="s">
        <v>34</v>
      </c>
      <c r="B163" s="189">
        <v>135184</v>
      </c>
      <c r="C163" s="190" t="s">
        <v>494</v>
      </c>
      <c r="D163" s="188" t="s">
        <v>71</v>
      </c>
      <c r="E163" s="213" t="s">
        <v>71</v>
      </c>
      <c r="F163" s="187">
        <v>1</v>
      </c>
    </row>
    <row r="164" spans="1:6" ht="13.7" customHeight="1">
      <c r="A164" s="188" t="s">
        <v>34</v>
      </c>
      <c r="B164" s="189">
        <v>135185</v>
      </c>
      <c r="C164" s="190" t="s">
        <v>495</v>
      </c>
      <c r="D164" s="188" t="s">
        <v>71</v>
      </c>
      <c r="E164" s="213" t="s">
        <v>71</v>
      </c>
      <c r="F164" s="187">
        <v>1</v>
      </c>
    </row>
    <row r="165" spans="1:6" ht="13.7" customHeight="1">
      <c r="A165" s="188" t="s">
        <v>34</v>
      </c>
      <c r="B165" s="189">
        <v>135186</v>
      </c>
      <c r="C165" s="190" t="s">
        <v>496</v>
      </c>
      <c r="D165" s="188" t="s">
        <v>71</v>
      </c>
      <c r="E165" s="213" t="s">
        <v>71</v>
      </c>
      <c r="F165" s="187">
        <v>1</v>
      </c>
    </row>
    <row r="166" spans="1:6" ht="13.7" customHeight="1">
      <c r="A166" s="188" t="s">
        <v>34</v>
      </c>
      <c r="B166" s="189">
        <v>135187</v>
      </c>
      <c r="C166" s="190" t="s">
        <v>497</v>
      </c>
      <c r="D166" s="188" t="s">
        <v>71</v>
      </c>
      <c r="E166" s="213" t="s">
        <v>71</v>
      </c>
      <c r="F166" s="187">
        <v>1</v>
      </c>
    </row>
    <row r="167" spans="1:6" ht="13.7" customHeight="1">
      <c r="A167" s="188" t="s">
        <v>34</v>
      </c>
      <c r="B167" s="189">
        <v>135249</v>
      </c>
      <c r="C167" s="190" t="s">
        <v>498</v>
      </c>
      <c r="D167" s="188" t="s">
        <v>71</v>
      </c>
      <c r="E167" s="213" t="s">
        <v>71</v>
      </c>
      <c r="F167" s="187">
        <v>1</v>
      </c>
    </row>
    <row r="168" spans="1:6" ht="13.7" customHeight="1">
      <c r="A168" s="188" t="s">
        <v>34</v>
      </c>
      <c r="B168" s="189">
        <v>135304</v>
      </c>
      <c r="C168" s="190" t="s">
        <v>499</v>
      </c>
      <c r="D168" s="188" t="s">
        <v>71</v>
      </c>
      <c r="E168" s="213" t="s">
        <v>71</v>
      </c>
      <c r="F168" s="187">
        <v>1</v>
      </c>
    </row>
    <row r="169" spans="1:6" ht="13.7" customHeight="1">
      <c r="A169" s="188" t="s">
        <v>34</v>
      </c>
      <c r="B169" s="189">
        <v>135421</v>
      </c>
      <c r="C169" s="190" t="s">
        <v>500</v>
      </c>
      <c r="D169" s="188" t="s">
        <v>71</v>
      </c>
      <c r="E169" s="213" t="s">
        <v>71</v>
      </c>
      <c r="F169" s="187">
        <v>1</v>
      </c>
    </row>
    <row r="170" spans="1:6" ht="13.7" customHeight="1">
      <c r="A170" s="188" t="s">
        <v>34</v>
      </c>
      <c r="B170" s="189">
        <v>135431</v>
      </c>
      <c r="C170" s="190" t="s">
        <v>501</v>
      </c>
      <c r="D170" s="188" t="s">
        <v>71</v>
      </c>
      <c r="E170" s="213" t="s">
        <v>71</v>
      </c>
      <c r="F170" s="187">
        <v>1</v>
      </c>
    </row>
    <row r="171" spans="1:6" ht="13.7" customHeight="1">
      <c r="A171" s="188" t="s">
        <v>34</v>
      </c>
      <c r="B171" s="189">
        <v>135432</v>
      </c>
      <c r="C171" s="190" t="s">
        <v>502</v>
      </c>
      <c r="D171" s="188" t="s">
        <v>71</v>
      </c>
      <c r="E171" s="213" t="s">
        <v>71</v>
      </c>
      <c r="F171" s="187">
        <v>1</v>
      </c>
    </row>
    <row r="172" spans="1:6" ht="13.7" customHeight="1">
      <c r="A172" s="188" t="s">
        <v>34</v>
      </c>
      <c r="B172" s="189">
        <v>135437</v>
      </c>
      <c r="C172" s="190" t="s">
        <v>503</v>
      </c>
      <c r="D172" s="188" t="s">
        <v>71</v>
      </c>
      <c r="E172" s="213" t="s">
        <v>71</v>
      </c>
      <c r="F172" s="187">
        <v>1</v>
      </c>
    </row>
    <row r="173" spans="1:6" ht="13.7" customHeight="1">
      <c r="A173" s="188" t="s">
        <v>34</v>
      </c>
      <c r="B173" s="189">
        <v>135439</v>
      </c>
      <c r="C173" s="190" t="s">
        <v>504</v>
      </c>
      <c r="D173" s="188" t="s">
        <v>71</v>
      </c>
      <c r="E173" s="213" t="s">
        <v>71</v>
      </c>
      <c r="F173" s="187">
        <v>1</v>
      </c>
    </row>
    <row r="174" spans="1:6" ht="13.7" customHeight="1">
      <c r="A174" s="188" t="s">
        <v>34</v>
      </c>
      <c r="B174" s="189">
        <v>135440</v>
      </c>
      <c r="C174" s="190" t="s">
        <v>505</v>
      </c>
      <c r="D174" s="188" t="s">
        <v>71</v>
      </c>
      <c r="E174" s="213" t="s">
        <v>71</v>
      </c>
      <c r="F174" s="187">
        <v>1</v>
      </c>
    </row>
    <row r="175" spans="1:6" ht="13.7" customHeight="1">
      <c r="A175" s="188" t="s">
        <v>34</v>
      </c>
      <c r="B175" s="189">
        <v>135443</v>
      </c>
      <c r="C175" s="190" t="s">
        <v>506</v>
      </c>
      <c r="D175" s="188" t="s">
        <v>71</v>
      </c>
      <c r="E175" s="213" t="s">
        <v>71</v>
      </c>
      <c r="F175" s="187">
        <v>1</v>
      </c>
    </row>
    <row r="176" spans="1:6" ht="13.7" customHeight="1">
      <c r="A176" s="188" t="s">
        <v>34</v>
      </c>
      <c r="B176" s="189">
        <v>135444</v>
      </c>
      <c r="C176" s="190" t="s">
        <v>507</v>
      </c>
      <c r="D176" s="188" t="s">
        <v>71</v>
      </c>
      <c r="E176" s="213" t="s">
        <v>71</v>
      </c>
      <c r="F176" s="187">
        <v>1</v>
      </c>
    </row>
    <row r="177" spans="1:6" ht="13.7" customHeight="1">
      <c r="A177" s="188" t="s">
        <v>34</v>
      </c>
      <c r="B177" s="189">
        <v>135448</v>
      </c>
      <c r="C177" s="190" t="s">
        <v>508</v>
      </c>
      <c r="D177" s="188" t="s">
        <v>71</v>
      </c>
      <c r="E177" s="213" t="s">
        <v>71</v>
      </c>
      <c r="F177" s="187">
        <v>1</v>
      </c>
    </row>
    <row r="178" spans="1:6" ht="13.7" customHeight="1">
      <c r="A178" s="188" t="s">
        <v>34</v>
      </c>
      <c r="B178" s="189">
        <v>135451</v>
      </c>
      <c r="C178" s="190" t="s">
        <v>509</v>
      </c>
      <c r="D178" s="188" t="s">
        <v>71</v>
      </c>
      <c r="E178" s="213" t="s">
        <v>71</v>
      </c>
      <c r="F178" s="187">
        <v>1</v>
      </c>
    </row>
    <row r="179" spans="1:6">
      <c r="A179" s="188" t="s">
        <v>34</v>
      </c>
      <c r="B179" s="189">
        <v>135452</v>
      </c>
      <c r="C179" s="190" t="s">
        <v>510</v>
      </c>
      <c r="D179" s="188" t="s">
        <v>71</v>
      </c>
      <c r="E179" s="213" t="s">
        <v>71</v>
      </c>
      <c r="F179" s="187">
        <v>1</v>
      </c>
    </row>
    <row r="180" spans="1:6">
      <c r="A180" s="188" t="s">
        <v>34</v>
      </c>
      <c r="B180" s="189">
        <v>135454</v>
      </c>
      <c r="C180" s="190" t="s">
        <v>511</v>
      </c>
      <c r="D180" s="188" t="s">
        <v>71</v>
      </c>
      <c r="E180" s="213" t="s">
        <v>71</v>
      </c>
      <c r="F180" s="187">
        <v>1</v>
      </c>
    </row>
    <row r="181" spans="1:6">
      <c r="A181" s="188" t="s">
        <v>34</v>
      </c>
      <c r="B181" s="189">
        <v>135456</v>
      </c>
      <c r="C181" s="190" t="s">
        <v>512</v>
      </c>
      <c r="D181" s="188" t="s">
        <v>71</v>
      </c>
      <c r="E181" s="213" t="s">
        <v>71</v>
      </c>
      <c r="F181" s="187">
        <v>1</v>
      </c>
    </row>
    <row r="182" spans="1:6" ht="13.7" customHeight="1">
      <c r="A182" s="188" t="s">
        <v>34</v>
      </c>
      <c r="B182" s="189">
        <v>135458</v>
      </c>
      <c r="C182" s="190" t="s">
        <v>420</v>
      </c>
      <c r="D182" s="188" t="s">
        <v>71</v>
      </c>
      <c r="E182" s="213" t="s">
        <v>71</v>
      </c>
      <c r="F182" s="187">
        <v>1</v>
      </c>
    </row>
    <row r="183" spans="1:6" ht="13.7" customHeight="1">
      <c r="A183" s="188" t="s">
        <v>34</v>
      </c>
      <c r="B183" s="189">
        <v>135459</v>
      </c>
      <c r="C183" s="190" t="s">
        <v>130</v>
      </c>
      <c r="D183" s="188" t="s">
        <v>71</v>
      </c>
      <c r="E183" s="213" t="s">
        <v>71</v>
      </c>
      <c r="F183" s="187">
        <v>1</v>
      </c>
    </row>
    <row r="184" spans="1:6" ht="13.7" customHeight="1">
      <c r="A184" s="188" t="s">
        <v>34</v>
      </c>
      <c r="B184" s="189">
        <v>135461</v>
      </c>
      <c r="C184" s="190" t="s">
        <v>513</v>
      </c>
      <c r="D184" s="188" t="s">
        <v>71</v>
      </c>
      <c r="E184" s="213" t="s">
        <v>71</v>
      </c>
      <c r="F184" s="187">
        <v>1</v>
      </c>
    </row>
    <row r="185" spans="1:6" ht="13.7" customHeight="1">
      <c r="A185" s="188" t="s">
        <v>34</v>
      </c>
      <c r="B185" s="189">
        <v>135463</v>
      </c>
      <c r="C185" s="190" t="s">
        <v>514</v>
      </c>
      <c r="D185" s="188" t="s">
        <v>71</v>
      </c>
      <c r="E185" s="213" t="s">
        <v>71</v>
      </c>
      <c r="F185" s="187">
        <v>1</v>
      </c>
    </row>
    <row r="186" spans="1:6" ht="13.7" customHeight="1">
      <c r="A186" s="188" t="s">
        <v>34</v>
      </c>
      <c r="B186" s="189">
        <v>135557</v>
      </c>
      <c r="C186" s="190" t="s">
        <v>515</v>
      </c>
      <c r="D186" s="188" t="s">
        <v>71</v>
      </c>
      <c r="E186" s="213" t="s">
        <v>71</v>
      </c>
      <c r="F186" s="187">
        <v>1</v>
      </c>
    </row>
    <row r="187" spans="1:6" ht="13.7" customHeight="1">
      <c r="A187" s="188" t="s">
        <v>34</v>
      </c>
      <c r="B187" s="189">
        <v>135627</v>
      </c>
      <c r="C187" s="190" t="s">
        <v>36</v>
      </c>
      <c r="D187" s="188" t="s">
        <v>71</v>
      </c>
      <c r="E187" s="213" t="s">
        <v>71</v>
      </c>
      <c r="F187" s="187">
        <v>1</v>
      </c>
    </row>
    <row r="188" spans="1:6" ht="13.7" customHeight="1">
      <c r="A188" s="188" t="s">
        <v>34</v>
      </c>
      <c r="B188" s="189">
        <v>135836</v>
      </c>
      <c r="C188" s="190" t="s">
        <v>66</v>
      </c>
      <c r="D188" s="188" t="s">
        <v>71</v>
      </c>
      <c r="E188" s="213" t="s">
        <v>71</v>
      </c>
      <c r="F188" s="187">
        <v>1</v>
      </c>
    </row>
    <row r="189" spans="1:6">
      <c r="A189" s="188" t="s">
        <v>34</v>
      </c>
      <c r="B189" s="189">
        <v>135916</v>
      </c>
      <c r="C189" s="190" t="s">
        <v>516</v>
      </c>
      <c r="D189" s="188" t="s">
        <v>71</v>
      </c>
      <c r="E189" s="213" t="s">
        <v>71</v>
      </c>
      <c r="F189" s="187">
        <v>1</v>
      </c>
    </row>
    <row r="190" spans="1:6" ht="13.7" customHeight="1">
      <c r="A190" s="188" t="s">
        <v>34</v>
      </c>
      <c r="B190" s="189">
        <v>148680</v>
      </c>
      <c r="C190" s="190" t="s">
        <v>45</v>
      </c>
      <c r="D190" s="188" t="s">
        <v>71</v>
      </c>
      <c r="E190" s="213" t="s">
        <v>71</v>
      </c>
      <c r="F190" s="187">
        <v>1</v>
      </c>
    </row>
    <row r="191" spans="1:6" ht="13.7" customHeight="1">
      <c r="A191" s="188" t="s">
        <v>34</v>
      </c>
      <c r="B191" s="189">
        <v>135935</v>
      </c>
      <c r="C191" s="190" t="s">
        <v>517</v>
      </c>
      <c r="D191" s="188" t="s">
        <v>71</v>
      </c>
      <c r="E191" s="213" t="s">
        <v>71</v>
      </c>
      <c r="F191" s="187">
        <v>1</v>
      </c>
    </row>
    <row r="192" spans="1:6" ht="13.7" customHeight="1">
      <c r="A192" s="188" t="s">
        <v>34</v>
      </c>
      <c r="B192" s="189">
        <v>135945</v>
      </c>
      <c r="C192" s="190" t="s">
        <v>518</v>
      </c>
      <c r="D192" s="188" t="s">
        <v>71</v>
      </c>
      <c r="E192" s="213" t="s">
        <v>71</v>
      </c>
      <c r="F192" s="187">
        <v>1</v>
      </c>
    </row>
    <row r="193" spans="1:6" ht="13.7" customHeight="1">
      <c r="A193" s="188" t="s">
        <v>34</v>
      </c>
      <c r="B193" s="189">
        <v>148676</v>
      </c>
      <c r="C193" s="190" t="s">
        <v>520</v>
      </c>
      <c r="D193" s="188" t="s">
        <v>71</v>
      </c>
      <c r="E193" s="213" t="s">
        <v>71</v>
      </c>
      <c r="F193" s="187">
        <v>1</v>
      </c>
    </row>
    <row r="194" spans="1:6" ht="13.7" customHeight="1">
      <c r="A194" s="188" t="s">
        <v>34</v>
      </c>
      <c r="B194" s="189">
        <v>136131</v>
      </c>
      <c r="C194" s="190" t="s">
        <v>521</v>
      </c>
      <c r="D194" s="188" t="s">
        <v>71</v>
      </c>
      <c r="E194" s="213" t="s">
        <v>71</v>
      </c>
      <c r="F194" s="187">
        <v>1</v>
      </c>
    </row>
    <row r="195" spans="1:6" ht="13.7" customHeight="1">
      <c r="A195" s="188" t="s">
        <v>34</v>
      </c>
      <c r="B195" s="189">
        <v>136133</v>
      </c>
      <c r="C195" s="190" t="s">
        <v>522</v>
      </c>
      <c r="D195" s="188" t="s">
        <v>71</v>
      </c>
      <c r="E195" s="213" t="s">
        <v>71</v>
      </c>
      <c r="F195" s="187">
        <v>1</v>
      </c>
    </row>
    <row r="196" spans="1:6" ht="13.7" customHeight="1">
      <c r="A196" s="188" t="s">
        <v>34</v>
      </c>
      <c r="B196" s="189">
        <v>136141</v>
      </c>
      <c r="C196" s="190" t="s">
        <v>523</v>
      </c>
      <c r="D196" s="188" t="s">
        <v>71</v>
      </c>
      <c r="E196" s="213" t="s">
        <v>71</v>
      </c>
      <c r="F196" s="187">
        <v>1</v>
      </c>
    </row>
    <row r="197" spans="1:6" ht="13.7" customHeight="1">
      <c r="A197" s="188" t="s">
        <v>34</v>
      </c>
      <c r="B197" s="189">
        <v>136155</v>
      </c>
      <c r="C197" s="190" t="s">
        <v>524</v>
      </c>
      <c r="D197" s="188" t="s">
        <v>71</v>
      </c>
      <c r="E197" s="213" t="s">
        <v>71</v>
      </c>
      <c r="F197" s="187">
        <v>1</v>
      </c>
    </row>
    <row r="198" spans="1:6" ht="13.7" customHeight="1">
      <c r="A198" s="188" t="s">
        <v>34</v>
      </c>
      <c r="B198" s="189">
        <v>136159</v>
      </c>
      <c r="C198" s="190" t="s">
        <v>525</v>
      </c>
      <c r="D198" s="188" t="s">
        <v>71</v>
      </c>
      <c r="E198" s="213" t="s">
        <v>71</v>
      </c>
      <c r="F198" s="187">
        <v>1</v>
      </c>
    </row>
    <row r="199" spans="1:6" ht="13.7" customHeight="1">
      <c r="A199" s="188" t="s">
        <v>34</v>
      </c>
      <c r="B199" s="189">
        <v>136174</v>
      </c>
      <c r="C199" s="190" t="s">
        <v>526</v>
      </c>
      <c r="D199" s="188" t="s">
        <v>71</v>
      </c>
      <c r="E199" s="213" t="s">
        <v>71</v>
      </c>
      <c r="F199" s="187">
        <v>1</v>
      </c>
    </row>
    <row r="200" spans="1:6" ht="13.7" customHeight="1">
      <c r="A200" s="188" t="s">
        <v>34</v>
      </c>
      <c r="B200" s="189">
        <v>148678</v>
      </c>
      <c r="C200" s="190" t="s">
        <v>527</v>
      </c>
      <c r="D200" s="188" t="s">
        <v>71</v>
      </c>
      <c r="E200" s="213" t="s">
        <v>71</v>
      </c>
      <c r="F200" s="187">
        <v>1</v>
      </c>
    </row>
    <row r="201" spans="1:6" ht="13.7" customHeight="1">
      <c r="A201" s="188" t="s">
        <v>34</v>
      </c>
      <c r="B201" s="189">
        <v>137333</v>
      </c>
      <c r="C201" s="190" t="s">
        <v>528</v>
      </c>
      <c r="D201" s="188" t="s">
        <v>71</v>
      </c>
      <c r="E201" s="213" t="s">
        <v>71</v>
      </c>
      <c r="F201" s="187">
        <v>1</v>
      </c>
    </row>
    <row r="202" spans="1:6" ht="13.7" customHeight="1">
      <c r="A202" s="188" t="s">
        <v>34</v>
      </c>
      <c r="B202" s="189">
        <v>144355</v>
      </c>
      <c r="C202" s="190" t="s">
        <v>551</v>
      </c>
      <c r="D202" s="188" t="s">
        <v>71</v>
      </c>
      <c r="E202" s="213" t="s">
        <v>71</v>
      </c>
      <c r="F202" s="187">
        <v>1</v>
      </c>
    </row>
    <row r="203" spans="1:6" ht="13.7" customHeight="1">
      <c r="A203" s="188" t="s">
        <v>34</v>
      </c>
      <c r="B203" s="189">
        <v>144358</v>
      </c>
      <c r="C203" s="190" t="s">
        <v>552</v>
      </c>
      <c r="D203" s="188" t="s">
        <v>71</v>
      </c>
      <c r="E203" s="213" t="s">
        <v>71</v>
      </c>
      <c r="F203" s="187">
        <v>1</v>
      </c>
    </row>
    <row r="204" spans="1:6" ht="13.7" customHeight="1">
      <c r="A204" s="188" t="s">
        <v>34</v>
      </c>
      <c r="B204" s="189">
        <v>144361</v>
      </c>
      <c r="C204" s="190" t="s">
        <v>553</v>
      </c>
      <c r="D204" s="188" t="s">
        <v>71</v>
      </c>
      <c r="E204" s="213" t="s">
        <v>71</v>
      </c>
      <c r="F204" s="187">
        <v>1</v>
      </c>
    </row>
    <row r="205" spans="1:6" ht="13.7" customHeight="1">
      <c r="A205" s="188" t="s">
        <v>34</v>
      </c>
      <c r="B205" s="189">
        <v>144353</v>
      </c>
      <c r="C205" s="190" t="s">
        <v>554</v>
      </c>
      <c r="D205" s="188" t="s">
        <v>71</v>
      </c>
      <c r="E205" s="213" t="s">
        <v>71</v>
      </c>
      <c r="F205" s="187">
        <v>1</v>
      </c>
    </row>
    <row r="206" spans="1:6" ht="13.7" customHeight="1">
      <c r="A206" s="188" t="s">
        <v>34</v>
      </c>
      <c r="B206" s="189">
        <v>144364</v>
      </c>
      <c r="C206" s="190" t="s">
        <v>555</v>
      </c>
      <c r="D206" s="188" t="s">
        <v>71</v>
      </c>
      <c r="E206" s="213" t="s">
        <v>71</v>
      </c>
      <c r="F206" s="187">
        <v>1</v>
      </c>
    </row>
    <row r="207" spans="1:6" ht="13.7" customHeight="1">
      <c r="A207" s="188" t="s">
        <v>34</v>
      </c>
      <c r="B207" s="189">
        <v>144353</v>
      </c>
      <c r="C207" s="190" t="s">
        <v>556</v>
      </c>
      <c r="D207" s="188" t="s">
        <v>71</v>
      </c>
      <c r="E207" s="213" t="s">
        <v>71</v>
      </c>
      <c r="F207" s="187">
        <v>1</v>
      </c>
    </row>
    <row r="208" spans="1:6" ht="13.7" customHeight="1">
      <c r="A208" s="188" t="s">
        <v>34</v>
      </c>
      <c r="B208" s="189">
        <v>138959</v>
      </c>
      <c r="C208" s="190" t="s">
        <v>558</v>
      </c>
      <c r="D208" s="188" t="s">
        <v>71</v>
      </c>
      <c r="E208" s="213" t="s">
        <v>71</v>
      </c>
      <c r="F208" s="187">
        <v>1</v>
      </c>
    </row>
    <row r="209" spans="1:6" ht="13.7" customHeight="1">
      <c r="A209" s="188" t="s">
        <v>34</v>
      </c>
      <c r="B209" s="189">
        <v>138960</v>
      </c>
      <c r="C209" s="190" t="s">
        <v>559</v>
      </c>
      <c r="D209" s="188" t="s">
        <v>71</v>
      </c>
      <c r="E209" s="213" t="s">
        <v>71</v>
      </c>
      <c r="F209" s="187">
        <v>1</v>
      </c>
    </row>
    <row r="210" spans="1:6" ht="13.7" customHeight="1">
      <c r="A210" s="188" t="s">
        <v>34</v>
      </c>
      <c r="B210" s="189">
        <v>138961</v>
      </c>
      <c r="C210" s="190" t="s">
        <v>560</v>
      </c>
      <c r="D210" s="188" t="s">
        <v>71</v>
      </c>
      <c r="E210" s="213" t="s">
        <v>71</v>
      </c>
      <c r="F210" s="187">
        <v>1</v>
      </c>
    </row>
    <row r="211" spans="1:6" ht="13.7" customHeight="1">
      <c r="A211" s="188" t="s">
        <v>34</v>
      </c>
      <c r="B211" s="189">
        <v>138962</v>
      </c>
      <c r="C211" s="190" t="s">
        <v>561</v>
      </c>
      <c r="D211" s="188" t="s">
        <v>71</v>
      </c>
      <c r="E211" s="213" t="s">
        <v>71</v>
      </c>
      <c r="F211" s="187">
        <v>1</v>
      </c>
    </row>
    <row r="212" spans="1:6" ht="13.7" customHeight="1">
      <c r="A212" s="188" t="s">
        <v>34</v>
      </c>
      <c r="B212" s="189">
        <v>138963</v>
      </c>
      <c r="C212" s="190" t="s">
        <v>562</v>
      </c>
      <c r="D212" s="188" t="s">
        <v>71</v>
      </c>
      <c r="E212" s="213" t="s">
        <v>71</v>
      </c>
      <c r="F212" s="187">
        <v>1</v>
      </c>
    </row>
    <row r="213" spans="1:6" ht="13.7" customHeight="1">
      <c r="A213" s="188" t="s">
        <v>34</v>
      </c>
      <c r="B213" s="189">
        <v>138978</v>
      </c>
      <c r="C213" s="190" t="s">
        <v>563</v>
      </c>
      <c r="D213" s="188" t="s">
        <v>71</v>
      </c>
      <c r="E213" s="213" t="s">
        <v>71</v>
      </c>
      <c r="F213" s="187">
        <v>1</v>
      </c>
    </row>
    <row r="214" spans="1:6" ht="13.7" customHeight="1">
      <c r="A214" s="188" t="s">
        <v>34</v>
      </c>
      <c r="B214" s="189">
        <v>138981</v>
      </c>
      <c r="C214" s="190" t="s">
        <v>564</v>
      </c>
      <c r="D214" s="188" t="s">
        <v>71</v>
      </c>
      <c r="E214" s="213" t="s">
        <v>71</v>
      </c>
      <c r="F214" s="187">
        <v>1</v>
      </c>
    </row>
    <row r="215" spans="1:6" ht="13.7" customHeight="1">
      <c r="A215" s="188" t="s">
        <v>34</v>
      </c>
      <c r="B215" s="189">
        <v>138985</v>
      </c>
      <c r="C215" s="190" t="s">
        <v>565</v>
      </c>
      <c r="D215" s="188" t="s">
        <v>71</v>
      </c>
      <c r="E215" s="213" t="s">
        <v>71</v>
      </c>
      <c r="F215" s="187">
        <v>1</v>
      </c>
    </row>
    <row r="216" spans="1:6" ht="13.7" customHeight="1">
      <c r="A216" s="188" t="s">
        <v>34</v>
      </c>
      <c r="B216" s="189">
        <v>138987</v>
      </c>
      <c r="C216" s="190" t="s">
        <v>566</v>
      </c>
      <c r="D216" s="188" t="s">
        <v>71</v>
      </c>
      <c r="E216" s="213" t="s">
        <v>71</v>
      </c>
      <c r="F216" s="187">
        <v>1</v>
      </c>
    </row>
    <row r="217" spans="1:6" ht="13.7" customHeight="1">
      <c r="A217" s="188" t="s">
        <v>34</v>
      </c>
      <c r="B217" s="189">
        <v>138993</v>
      </c>
      <c r="C217" s="190" t="s">
        <v>567</v>
      </c>
      <c r="D217" s="188" t="s">
        <v>71</v>
      </c>
      <c r="E217" s="213" t="s">
        <v>71</v>
      </c>
      <c r="F217" s="187">
        <v>1</v>
      </c>
    </row>
    <row r="218" spans="1:6" ht="13.7" customHeight="1">
      <c r="A218" s="188" t="s">
        <v>34</v>
      </c>
      <c r="B218" s="189">
        <v>139000</v>
      </c>
      <c r="C218" s="190" t="s">
        <v>568</v>
      </c>
      <c r="D218" s="188" t="s">
        <v>71</v>
      </c>
      <c r="E218" s="213" t="s">
        <v>71</v>
      </c>
      <c r="F218" s="187">
        <v>1</v>
      </c>
    </row>
    <row r="219" spans="1:6" ht="13.7" customHeight="1">
      <c r="A219" s="188" t="s">
        <v>34</v>
      </c>
      <c r="B219" s="189">
        <v>139023</v>
      </c>
      <c r="C219" s="190" t="s">
        <v>569</v>
      </c>
      <c r="D219" s="188" t="s">
        <v>71</v>
      </c>
      <c r="E219" s="213" t="s">
        <v>71</v>
      </c>
      <c r="F219" s="187">
        <v>1</v>
      </c>
    </row>
    <row r="220" spans="1:6" ht="13.7" customHeight="1">
      <c r="A220" s="188" t="s">
        <v>34</v>
      </c>
      <c r="B220" s="189">
        <v>139026</v>
      </c>
      <c r="C220" s="190" t="s">
        <v>571</v>
      </c>
      <c r="D220" s="188" t="s">
        <v>71</v>
      </c>
      <c r="E220" s="213" t="s">
        <v>71</v>
      </c>
      <c r="F220" s="187">
        <v>1</v>
      </c>
    </row>
    <row r="221" spans="1:6" ht="13.7" customHeight="1">
      <c r="A221" s="188" t="s">
        <v>34</v>
      </c>
      <c r="B221" s="189">
        <v>139027</v>
      </c>
      <c r="C221" s="190" t="s">
        <v>572</v>
      </c>
      <c r="D221" s="188" t="s">
        <v>71</v>
      </c>
      <c r="E221" s="213" t="s">
        <v>71</v>
      </c>
      <c r="F221" s="187">
        <v>1</v>
      </c>
    </row>
    <row r="222" spans="1:6" ht="13.7" customHeight="1">
      <c r="A222" s="188" t="s">
        <v>34</v>
      </c>
      <c r="B222" s="189">
        <v>139028</v>
      </c>
      <c r="C222" s="190" t="s">
        <v>573</v>
      </c>
      <c r="D222" s="188" t="s">
        <v>71</v>
      </c>
      <c r="E222" s="213" t="s">
        <v>71</v>
      </c>
      <c r="F222" s="187">
        <v>1</v>
      </c>
    </row>
    <row r="223" spans="1:6" ht="13.7" customHeight="1">
      <c r="A223" s="188" t="s">
        <v>34</v>
      </c>
      <c r="B223" s="189">
        <v>139029</v>
      </c>
      <c r="C223" s="190" t="s">
        <v>574</v>
      </c>
      <c r="D223" s="188" t="s">
        <v>71</v>
      </c>
      <c r="E223" s="213" t="s">
        <v>71</v>
      </c>
      <c r="F223" s="187">
        <v>1</v>
      </c>
    </row>
    <row r="224" spans="1:6" ht="13.7" customHeight="1">
      <c r="A224" s="188" t="s">
        <v>34</v>
      </c>
      <c r="B224" s="189">
        <v>139036</v>
      </c>
      <c r="C224" s="190" t="s">
        <v>575</v>
      </c>
      <c r="D224" s="188" t="s">
        <v>71</v>
      </c>
      <c r="E224" s="213" t="s">
        <v>71</v>
      </c>
      <c r="F224" s="187">
        <v>1</v>
      </c>
    </row>
    <row r="225" spans="1:6" ht="13.7" customHeight="1">
      <c r="A225" s="188" t="s">
        <v>34</v>
      </c>
      <c r="B225" s="189">
        <v>139038</v>
      </c>
      <c r="C225" s="190" t="s">
        <v>576</v>
      </c>
      <c r="D225" s="188" t="s">
        <v>71</v>
      </c>
      <c r="E225" s="213" t="s">
        <v>71</v>
      </c>
      <c r="F225" s="187">
        <v>1</v>
      </c>
    </row>
    <row r="226" spans="1:6" ht="13.7" customHeight="1">
      <c r="A226" s="188" t="s">
        <v>34</v>
      </c>
      <c r="B226" s="189">
        <v>139040</v>
      </c>
      <c r="C226" s="190" t="s">
        <v>577</v>
      </c>
      <c r="D226" s="188" t="s">
        <v>71</v>
      </c>
      <c r="E226" s="213" t="s">
        <v>71</v>
      </c>
      <c r="F226" s="187">
        <v>1</v>
      </c>
    </row>
    <row r="227" spans="1:6" ht="13.7" customHeight="1">
      <c r="A227" s="188" t="s">
        <v>34</v>
      </c>
      <c r="B227" s="189">
        <v>139042</v>
      </c>
      <c r="C227" s="190" t="s">
        <v>578</v>
      </c>
      <c r="D227" s="188" t="s">
        <v>71</v>
      </c>
      <c r="E227" s="213" t="s">
        <v>71</v>
      </c>
      <c r="F227" s="187">
        <v>1</v>
      </c>
    </row>
    <row r="228" spans="1:6" ht="13.7" customHeight="1">
      <c r="A228" s="188" t="s">
        <v>34</v>
      </c>
      <c r="B228" s="189">
        <v>139044</v>
      </c>
      <c r="C228" s="190" t="s">
        <v>579</v>
      </c>
      <c r="D228" s="188" t="s">
        <v>71</v>
      </c>
      <c r="E228" s="213" t="s">
        <v>71</v>
      </c>
      <c r="F228" s="187">
        <v>1</v>
      </c>
    </row>
    <row r="229" spans="1:6" ht="13.7" customHeight="1">
      <c r="A229" s="188" t="s">
        <v>34</v>
      </c>
      <c r="B229" s="189">
        <v>139052</v>
      </c>
      <c r="C229" s="190" t="s">
        <v>582</v>
      </c>
      <c r="D229" s="188" t="s">
        <v>71</v>
      </c>
      <c r="E229" s="213" t="s">
        <v>71</v>
      </c>
      <c r="F229" s="187">
        <v>1</v>
      </c>
    </row>
    <row r="230" spans="1:6" ht="13.7" customHeight="1">
      <c r="A230" s="188" t="s">
        <v>34</v>
      </c>
      <c r="B230" s="189">
        <v>139057</v>
      </c>
      <c r="C230" s="190" t="s">
        <v>583</v>
      </c>
      <c r="D230" s="188" t="s">
        <v>71</v>
      </c>
      <c r="E230" s="213" t="s">
        <v>71</v>
      </c>
      <c r="F230" s="187">
        <v>1</v>
      </c>
    </row>
    <row r="231" spans="1:6" ht="13.7" customHeight="1">
      <c r="A231" s="188" t="s">
        <v>34</v>
      </c>
      <c r="B231" s="189">
        <v>139058</v>
      </c>
      <c r="C231" s="190" t="s">
        <v>584</v>
      </c>
      <c r="D231" s="188" t="s">
        <v>71</v>
      </c>
      <c r="E231" s="213" t="s">
        <v>71</v>
      </c>
      <c r="F231" s="187">
        <v>1</v>
      </c>
    </row>
    <row r="232" spans="1:6" ht="13.7" customHeight="1">
      <c r="A232" s="184" t="s">
        <v>34</v>
      </c>
      <c r="B232" s="185">
        <v>139059</v>
      </c>
      <c r="C232" s="186" t="s">
        <v>585</v>
      </c>
      <c r="D232" s="184" t="s">
        <v>71</v>
      </c>
      <c r="E232" s="207" t="s">
        <v>71</v>
      </c>
      <c r="F232" s="187">
        <v>1</v>
      </c>
    </row>
    <row r="233" spans="1:6" ht="13.7" customHeight="1">
      <c r="A233" s="184" t="s">
        <v>34</v>
      </c>
      <c r="B233" s="185">
        <v>139062</v>
      </c>
      <c r="C233" s="186" t="s">
        <v>586</v>
      </c>
      <c r="D233" s="184" t="s">
        <v>71</v>
      </c>
      <c r="E233" s="207" t="s">
        <v>71</v>
      </c>
      <c r="F233" s="187">
        <v>1</v>
      </c>
    </row>
    <row r="234" spans="1:6" ht="13.7" customHeight="1">
      <c r="A234" s="184" t="s">
        <v>34</v>
      </c>
      <c r="B234" s="185">
        <v>139063</v>
      </c>
      <c r="C234" s="186" t="s">
        <v>587</v>
      </c>
      <c r="D234" s="184" t="s">
        <v>71</v>
      </c>
      <c r="E234" s="207" t="s">
        <v>71</v>
      </c>
      <c r="F234" s="187">
        <v>1</v>
      </c>
    </row>
    <row r="235" spans="1:6" ht="13.7" customHeight="1">
      <c r="A235" s="188" t="s">
        <v>34</v>
      </c>
      <c r="B235" s="189">
        <v>139065</v>
      </c>
      <c r="C235" s="190" t="s">
        <v>588</v>
      </c>
      <c r="D235" s="188" t="s">
        <v>71</v>
      </c>
      <c r="E235" s="213" t="s">
        <v>71</v>
      </c>
      <c r="F235" s="187">
        <v>1</v>
      </c>
    </row>
    <row r="236" spans="1:6" ht="13.7" customHeight="1">
      <c r="A236" s="188" t="s">
        <v>34</v>
      </c>
      <c r="B236" s="189">
        <v>139068</v>
      </c>
      <c r="C236" s="190" t="s">
        <v>589</v>
      </c>
      <c r="D236" s="188" t="s">
        <v>71</v>
      </c>
      <c r="E236" s="213" t="s">
        <v>71</v>
      </c>
      <c r="F236" s="187">
        <v>1</v>
      </c>
    </row>
    <row r="237" spans="1:6" ht="13.7" customHeight="1">
      <c r="A237" s="188" t="s">
        <v>34</v>
      </c>
      <c r="B237" s="189">
        <v>139071</v>
      </c>
      <c r="C237" s="190" t="s">
        <v>590</v>
      </c>
      <c r="D237" s="188" t="s">
        <v>71</v>
      </c>
      <c r="E237" s="213" t="s">
        <v>71</v>
      </c>
      <c r="F237" s="187">
        <v>1</v>
      </c>
    </row>
    <row r="238" spans="1:6" ht="13.7" customHeight="1">
      <c r="A238" s="188" t="s">
        <v>34</v>
      </c>
      <c r="B238" s="189">
        <v>139074</v>
      </c>
      <c r="C238" s="190" t="s">
        <v>591</v>
      </c>
      <c r="D238" s="188" t="s">
        <v>71</v>
      </c>
      <c r="E238" s="213" t="s">
        <v>71</v>
      </c>
      <c r="F238" s="187">
        <v>1</v>
      </c>
    </row>
    <row r="239" spans="1:6" ht="13.7" customHeight="1">
      <c r="A239" s="188" t="s">
        <v>34</v>
      </c>
      <c r="B239" s="189">
        <v>139075</v>
      </c>
      <c r="C239" s="190" t="s">
        <v>592</v>
      </c>
      <c r="D239" s="188" t="s">
        <v>71</v>
      </c>
      <c r="E239" s="213" t="s">
        <v>71</v>
      </c>
      <c r="F239" s="187">
        <v>1</v>
      </c>
    </row>
    <row r="240" spans="1:6" ht="13.7" customHeight="1">
      <c r="A240" s="188" t="s">
        <v>34</v>
      </c>
      <c r="B240" s="189">
        <v>139085</v>
      </c>
      <c r="C240" s="190" t="s">
        <v>593</v>
      </c>
      <c r="D240" s="188" t="s">
        <v>71</v>
      </c>
      <c r="E240" s="213" t="s">
        <v>71</v>
      </c>
      <c r="F240" s="187">
        <v>1</v>
      </c>
    </row>
    <row r="241" spans="1:6" ht="13.7" customHeight="1">
      <c r="A241" s="188" t="s">
        <v>34</v>
      </c>
      <c r="B241" s="189">
        <v>139087</v>
      </c>
      <c r="C241" s="190" t="s">
        <v>594</v>
      </c>
      <c r="D241" s="188" t="s">
        <v>71</v>
      </c>
      <c r="E241" s="213" t="s">
        <v>71</v>
      </c>
      <c r="F241" s="187">
        <v>1</v>
      </c>
    </row>
    <row r="242" spans="1:6" ht="13.7" customHeight="1">
      <c r="A242" s="188" t="s">
        <v>34</v>
      </c>
      <c r="B242" s="189">
        <v>139089</v>
      </c>
      <c r="C242" s="190" t="s">
        <v>595</v>
      </c>
      <c r="D242" s="188" t="s">
        <v>71</v>
      </c>
      <c r="E242" s="213" t="s">
        <v>71</v>
      </c>
      <c r="F242" s="187">
        <v>1</v>
      </c>
    </row>
    <row r="243" spans="1:6" ht="13.7" customHeight="1">
      <c r="A243" s="188" t="s">
        <v>34</v>
      </c>
      <c r="B243" s="189">
        <v>139090</v>
      </c>
      <c r="C243" s="190" t="s">
        <v>596</v>
      </c>
      <c r="D243" s="188" t="s">
        <v>71</v>
      </c>
      <c r="E243" s="213" t="s">
        <v>71</v>
      </c>
      <c r="F243" s="187">
        <v>1</v>
      </c>
    </row>
    <row r="244" spans="1:6" ht="13.7" customHeight="1">
      <c r="A244" s="188" t="s">
        <v>34</v>
      </c>
      <c r="B244" s="189">
        <v>139091</v>
      </c>
      <c r="C244" s="190" t="s">
        <v>597</v>
      </c>
      <c r="D244" s="188" t="s">
        <v>71</v>
      </c>
      <c r="E244" s="213" t="s">
        <v>71</v>
      </c>
      <c r="F244" s="187">
        <v>1</v>
      </c>
    </row>
    <row r="245" spans="1:6" ht="13.7" customHeight="1">
      <c r="A245" s="188" t="s">
        <v>34</v>
      </c>
      <c r="B245" s="189">
        <v>139092</v>
      </c>
      <c r="C245" s="190" t="s">
        <v>598</v>
      </c>
      <c r="D245" s="188" t="s">
        <v>71</v>
      </c>
      <c r="E245" s="213" t="s">
        <v>71</v>
      </c>
      <c r="F245" s="187">
        <v>1</v>
      </c>
    </row>
    <row r="246" spans="1:6" ht="13.7" customHeight="1">
      <c r="A246" s="188" t="s">
        <v>34</v>
      </c>
      <c r="B246" s="189">
        <v>139094</v>
      </c>
      <c r="C246" s="190" t="s">
        <v>599</v>
      </c>
      <c r="D246" s="188" t="s">
        <v>71</v>
      </c>
      <c r="E246" s="213" t="s">
        <v>71</v>
      </c>
      <c r="F246" s="187">
        <v>1</v>
      </c>
    </row>
    <row r="247" spans="1:6" ht="13.7" customHeight="1">
      <c r="A247" s="188" t="s">
        <v>34</v>
      </c>
      <c r="B247" s="189">
        <v>139095</v>
      </c>
      <c r="C247" s="190" t="s">
        <v>600</v>
      </c>
      <c r="D247" s="188" t="s">
        <v>71</v>
      </c>
      <c r="E247" s="213" t="s">
        <v>71</v>
      </c>
      <c r="F247" s="187">
        <v>1</v>
      </c>
    </row>
    <row r="248" spans="1:6" ht="13.7" customHeight="1">
      <c r="A248" s="188" t="s">
        <v>34</v>
      </c>
      <c r="B248" s="189">
        <v>139097</v>
      </c>
      <c r="C248" s="190" t="s">
        <v>601</v>
      </c>
      <c r="D248" s="188" t="s">
        <v>71</v>
      </c>
      <c r="E248" s="213" t="s">
        <v>71</v>
      </c>
      <c r="F248" s="187">
        <v>1</v>
      </c>
    </row>
    <row r="249" spans="1:6" ht="13.7" customHeight="1">
      <c r="A249" s="188" t="s">
        <v>34</v>
      </c>
      <c r="B249" s="189">
        <v>139099</v>
      </c>
      <c r="C249" s="190" t="s">
        <v>602</v>
      </c>
      <c r="D249" s="188" t="s">
        <v>71</v>
      </c>
      <c r="E249" s="213" t="s">
        <v>71</v>
      </c>
      <c r="F249" s="187">
        <v>1</v>
      </c>
    </row>
    <row r="250" spans="1:6" ht="13.7" customHeight="1">
      <c r="A250" s="188" t="s">
        <v>34</v>
      </c>
      <c r="B250" s="189">
        <v>139101</v>
      </c>
      <c r="C250" s="190" t="s">
        <v>603</v>
      </c>
      <c r="D250" s="188" t="s">
        <v>71</v>
      </c>
      <c r="E250" s="213" t="s">
        <v>71</v>
      </c>
      <c r="F250" s="187">
        <v>1</v>
      </c>
    </row>
    <row r="251" spans="1:6" ht="13.7" customHeight="1">
      <c r="A251" s="188" t="s">
        <v>34</v>
      </c>
      <c r="B251" s="189">
        <v>139103</v>
      </c>
      <c r="C251" s="190" t="s">
        <v>604</v>
      </c>
      <c r="D251" s="188" t="s">
        <v>71</v>
      </c>
      <c r="E251" s="213" t="s">
        <v>71</v>
      </c>
      <c r="F251" s="187">
        <v>1</v>
      </c>
    </row>
    <row r="252" spans="1:6" ht="13.7" customHeight="1">
      <c r="A252" s="188" t="s">
        <v>34</v>
      </c>
      <c r="B252" s="189">
        <v>139105</v>
      </c>
      <c r="C252" s="190" t="s">
        <v>605</v>
      </c>
      <c r="D252" s="188" t="s">
        <v>71</v>
      </c>
      <c r="E252" s="213" t="s">
        <v>71</v>
      </c>
      <c r="F252" s="187">
        <v>1</v>
      </c>
    </row>
    <row r="253" spans="1:6" ht="13.7" customHeight="1">
      <c r="A253" s="188" t="s">
        <v>34</v>
      </c>
      <c r="B253" s="189">
        <v>139107</v>
      </c>
      <c r="C253" s="190" t="s">
        <v>606</v>
      </c>
      <c r="D253" s="188" t="s">
        <v>71</v>
      </c>
      <c r="E253" s="213" t="s">
        <v>71</v>
      </c>
      <c r="F253" s="187">
        <v>1</v>
      </c>
    </row>
    <row r="254" spans="1:6" ht="13.7" customHeight="1">
      <c r="A254" s="188" t="s">
        <v>34</v>
      </c>
      <c r="B254" s="189">
        <v>139109</v>
      </c>
      <c r="C254" s="190" t="s">
        <v>607</v>
      </c>
      <c r="D254" s="188" t="s">
        <v>71</v>
      </c>
      <c r="E254" s="213" t="s">
        <v>71</v>
      </c>
      <c r="F254" s="187">
        <v>1</v>
      </c>
    </row>
    <row r="255" spans="1:6" ht="13.7" customHeight="1">
      <c r="A255" s="188" t="s">
        <v>34</v>
      </c>
      <c r="B255" s="189">
        <v>139111</v>
      </c>
      <c r="C255" s="190" t="s">
        <v>608</v>
      </c>
      <c r="D255" s="188" t="s">
        <v>71</v>
      </c>
      <c r="E255" s="213" t="s">
        <v>71</v>
      </c>
      <c r="F255" s="187">
        <v>1</v>
      </c>
    </row>
    <row r="256" spans="1:6" ht="13.7" customHeight="1">
      <c r="A256" s="188" t="s">
        <v>34</v>
      </c>
      <c r="B256" s="189">
        <v>139118</v>
      </c>
      <c r="C256" s="190" t="s">
        <v>609</v>
      </c>
      <c r="D256" s="188" t="s">
        <v>71</v>
      </c>
      <c r="E256" s="213" t="s">
        <v>71</v>
      </c>
      <c r="F256" s="187">
        <v>1</v>
      </c>
    </row>
    <row r="257" spans="1:6" ht="13.7" customHeight="1">
      <c r="A257" s="188" t="s">
        <v>34</v>
      </c>
      <c r="B257" s="189">
        <v>139121</v>
      </c>
      <c r="C257" s="190" t="s">
        <v>610</v>
      </c>
      <c r="D257" s="188" t="s">
        <v>71</v>
      </c>
      <c r="E257" s="213" t="s">
        <v>71</v>
      </c>
      <c r="F257" s="187">
        <v>1</v>
      </c>
    </row>
    <row r="258" spans="1:6" ht="13.7" customHeight="1">
      <c r="A258" s="188" t="s">
        <v>34</v>
      </c>
      <c r="B258" s="189">
        <v>139123</v>
      </c>
      <c r="C258" s="190" t="s">
        <v>611</v>
      </c>
      <c r="D258" s="188" t="s">
        <v>71</v>
      </c>
      <c r="E258" s="213" t="s">
        <v>71</v>
      </c>
      <c r="F258" s="187">
        <v>1</v>
      </c>
    </row>
    <row r="259" spans="1:6" ht="13.7" customHeight="1">
      <c r="A259" s="188" t="s">
        <v>34</v>
      </c>
      <c r="B259" s="189">
        <v>139125</v>
      </c>
      <c r="C259" s="190" t="s">
        <v>612</v>
      </c>
      <c r="D259" s="188" t="s">
        <v>71</v>
      </c>
      <c r="E259" s="213" t="s">
        <v>71</v>
      </c>
      <c r="F259" s="187">
        <v>1</v>
      </c>
    </row>
    <row r="260" spans="1:6" ht="13.7" customHeight="1">
      <c r="A260" s="188" t="s">
        <v>34</v>
      </c>
      <c r="B260" s="189">
        <v>139128</v>
      </c>
      <c r="C260" s="190" t="s">
        <v>613</v>
      </c>
      <c r="D260" s="188" t="s">
        <v>71</v>
      </c>
      <c r="E260" s="213" t="s">
        <v>71</v>
      </c>
      <c r="F260" s="187">
        <v>1</v>
      </c>
    </row>
    <row r="261" spans="1:6" ht="13.7" customHeight="1">
      <c r="A261" s="188" t="s">
        <v>34</v>
      </c>
      <c r="B261" s="189">
        <v>139130</v>
      </c>
      <c r="C261" s="190" t="s">
        <v>614</v>
      </c>
      <c r="D261" s="188" t="s">
        <v>71</v>
      </c>
      <c r="E261" s="213" t="s">
        <v>71</v>
      </c>
      <c r="F261" s="187">
        <v>1</v>
      </c>
    </row>
    <row r="262" spans="1:6" ht="13.7" customHeight="1">
      <c r="A262" s="188" t="s">
        <v>34</v>
      </c>
      <c r="B262" s="189">
        <v>139132</v>
      </c>
      <c r="C262" s="190" t="s">
        <v>615</v>
      </c>
      <c r="D262" s="188" t="s">
        <v>71</v>
      </c>
      <c r="E262" s="213" t="s">
        <v>71</v>
      </c>
      <c r="F262" s="187">
        <v>1</v>
      </c>
    </row>
    <row r="263" spans="1:6" ht="13.7" customHeight="1">
      <c r="A263" s="188" t="s">
        <v>34</v>
      </c>
      <c r="B263" s="189">
        <v>139135</v>
      </c>
      <c r="C263" s="190" t="s">
        <v>616</v>
      </c>
      <c r="D263" s="188" t="s">
        <v>71</v>
      </c>
      <c r="E263" s="213" t="s">
        <v>71</v>
      </c>
      <c r="F263" s="187">
        <v>1</v>
      </c>
    </row>
    <row r="264" spans="1:6" ht="13.7" customHeight="1">
      <c r="A264" s="188" t="s">
        <v>34</v>
      </c>
      <c r="B264" s="189">
        <v>139138</v>
      </c>
      <c r="C264" s="190" t="s">
        <v>617</v>
      </c>
      <c r="D264" s="188" t="s">
        <v>71</v>
      </c>
      <c r="E264" s="213" t="s">
        <v>71</v>
      </c>
      <c r="F264" s="187">
        <v>1</v>
      </c>
    </row>
    <row r="265" spans="1:6" ht="13.7" customHeight="1">
      <c r="A265" s="188" t="s">
        <v>34</v>
      </c>
      <c r="B265" s="189">
        <v>139140</v>
      </c>
      <c r="C265" s="190" t="s">
        <v>618</v>
      </c>
      <c r="D265" s="188" t="s">
        <v>71</v>
      </c>
      <c r="E265" s="213" t="s">
        <v>71</v>
      </c>
      <c r="F265" s="187">
        <v>1</v>
      </c>
    </row>
    <row r="266" spans="1:6" ht="13.7" customHeight="1">
      <c r="A266" s="188" t="s">
        <v>34</v>
      </c>
      <c r="B266" s="189">
        <v>139142</v>
      </c>
      <c r="C266" s="190" t="s">
        <v>619</v>
      </c>
      <c r="D266" s="188" t="s">
        <v>71</v>
      </c>
      <c r="E266" s="213" t="s">
        <v>71</v>
      </c>
      <c r="F266" s="187">
        <v>1</v>
      </c>
    </row>
    <row r="267" spans="1:6" ht="13.7" customHeight="1">
      <c r="A267" s="188" t="s">
        <v>34</v>
      </c>
      <c r="B267" s="189">
        <v>139144</v>
      </c>
      <c r="C267" s="190" t="s">
        <v>620</v>
      </c>
      <c r="D267" s="188" t="s">
        <v>71</v>
      </c>
      <c r="E267" s="213" t="s">
        <v>71</v>
      </c>
      <c r="F267" s="187">
        <v>1</v>
      </c>
    </row>
    <row r="268" spans="1:6" ht="13.7" customHeight="1">
      <c r="A268" s="188" t="s">
        <v>34</v>
      </c>
      <c r="B268" s="189">
        <v>139146</v>
      </c>
      <c r="C268" s="190" t="s">
        <v>621</v>
      </c>
      <c r="D268" s="188" t="s">
        <v>71</v>
      </c>
      <c r="E268" s="213" t="s">
        <v>71</v>
      </c>
      <c r="F268" s="187">
        <v>1</v>
      </c>
    </row>
    <row r="269" spans="1:6" ht="13.7" customHeight="1">
      <c r="A269" s="188" t="s">
        <v>34</v>
      </c>
      <c r="B269" s="189">
        <v>139147</v>
      </c>
      <c r="C269" s="190" t="s">
        <v>622</v>
      </c>
      <c r="D269" s="188" t="s">
        <v>71</v>
      </c>
      <c r="E269" s="213" t="s">
        <v>71</v>
      </c>
      <c r="F269" s="187">
        <v>1</v>
      </c>
    </row>
    <row r="270" spans="1:6">
      <c r="A270" s="188" t="s">
        <v>34</v>
      </c>
      <c r="B270" s="189">
        <v>139149</v>
      </c>
      <c r="C270" s="190" t="s">
        <v>623</v>
      </c>
      <c r="D270" s="188" t="s">
        <v>71</v>
      </c>
      <c r="E270" s="213" t="s">
        <v>71</v>
      </c>
      <c r="F270" s="187">
        <v>1</v>
      </c>
    </row>
    <row r="271" spans="1:6">
      <c r="A271" s="188" t="s">
        <v>34</v>
      </c>
      <c r="B271" s="189">
        <v>139151</v>
      </c>
      <c r="C271" s="190" t="s">
        <v>624</v>
      </c>
      <c r="D271" s="188" t="s">
        <v>71</v>
      </c>
      <c r="E271" s="213" t="s">
        <v>71</v>
      </c>
      <c r="F271" s="187">
        <v>1</v>
      </c>
    </row>
    <row r="272" spans="1:6">
      <c r="A272" s="188" t="s">
        <v>34</v>
      </c>
      <c r="B272" s="189">
        <v>139153</v>
      </c>
      <c r="C272" s="190" t="s">
        <v>625</v>
      </c>
      <c r="D272" s="188" t="s">
        <v>71</v>
      </c>
      <c r="E272" s="213" t="s">
        <v>71</v>
      </c>
      <c r="F272" s="187">
        <v>1</v>
      </c>
    </row>
    <row r="273" spans="1:6">
      <c r="A273" s="188" t="s">
        <v>34</v>
      </c>
      <c r="B273" s="189">
        <v>139155</v>
      </c>
      <c r="C273" s="190" t="s">
        <v>626</v>
      </c>
      <c r="D273" s="188" t="s">
        <v>71</v>
      </c>
      <c r="E273" s="213" t="s">
        <v>71</v>
      </c>
      <c r="F273" s="187">
        <v>1</v>
      </c>
    </row>
    <row r="274" spans="1:6">
      <c r="A274" s="188" t="s">
        <v>34</v>
      </c>
      <c r="B274" s="189">
        <v>139158</v>
      </c>
      <c r="C274" s="190" t="s">
        <v>627</v>
      </c>
      <c r="D274" s="188" t="s">
        <v>71</v>
      </c>
      <c r="E274" s="213" t="s">
        <v>71</v>
      </c>
      <c r="F274" s="187">
        <v>1</v>
      </c>
    </row>
    <row r="275" spans="1:6">
      <c r="A275" s="188" t="s">
        <v>34</v>
      </c>
      <c r="B275" s="189">
        <v>139160</v>
      </c>
      <c r="C275" s="190" t="s">
        <v>628</v>
      </c>
      <c r="D275" s="188" t="s">
        <v>71</v>
      </c>
      <c r="E275" s="213" t="s">
        <v>71</v>
      </c>
      <c r="F275" s="187">
        <v>1</v>
      </c>
    </row>
    <row r="276" spans="1:6">
      <c r="A276" s="188" t="s">
        <v>34</v>
      </c>
      <c r="B276" s="189">
        <v>139163</v>
      </c>
      <c r="C276" s="190" t="s">
        <v>629</v>
      </c>
      <c r="D276" s="188" t="s">
        <v>71</v>
      </c>
      <c r="E276" s="213" t="s">
        <v>71</v>
      </c>
      <c r="F276" s="187">
        <v>1</v>
      </c>
    </row>
    <row r="277" spans="1:6">
      <c r="A277" s="188" t="s">
        <v>34</v>
      </c>
      <c r="B277" s="189">
        <v>139167</v>
      </c>
      <c r="C277" s="190" t="s">
        <v>630</v>
      </c>
      <c r="D277" s="188" t="s">
        <v>71</v>
      </c>
      <c r="E277" s="213" t="s">
        <v>71</v>
      </c>
      <c r="F277" s="187">
        <v>1</v>
      </c>
    </row>
    <row r="278" spans="1:6">
      <c r="A278" s="188" t="s">
        <v>34</v>
      </c>
      <c r="B278" s="189">
        <v>139634</v>
      </c>
      <c r="C278" s="190" t="s">
        <v>635</v>
      </c>
      <c r="D278" s="188" t="s">
        <v>71</v>
      </c>
      <c r="E278" s="213" t="s">
        <v>71</v>
      </c>
      <c r="F278" s="187">
        <v>1</v>
      </c>
    </row>
    <row r="279" spans="1:6">
      <c r="A279" s="188" t="s">
        <v>34</v>
      </c>
      <c r="B279" s="189">
        <v>139636</v>
      </c>
      <c r="C279" s="190" t="s">
        <v>636</v>
      </c>
      <c r="D279" s="188" t="s">
        <v>71</v>
      </c>
      <c r="E279" s="213" t="s">
        <v>71</v>
      </c>
      <c r="F279" s="187">
        <v>1</v>
      </c>
    </row>
    <row r="280" spans="1:6">
      <c r="A280" s="188" t="s">
        <v>34</v>
      </c>
      <c r="B280" s="189">
        <v>148679</v>
      </c>
      <c r="C280" s="190" t="s">
        <v>421</v>
      </c>
      <c r="D280" s="188" t="s">
        <v>71</v>
      </c>
      <c r="E280" s="213" t="s">
        <v>71</v>
      </c>
      <c r="F280" s="187">
        <v>1</v>
      </c>
    </row>
    <row r="281" spans="1:6">
      <c r="A281" s="188" t="s">
        <v>34</v>
      </c>
      <c r="B281" s="189">
        <v>139731</v>
      </c>
      <c r="C281" s="190" t="s">
        <v>637</v>
      </c>
      <c r="D281" s="188" t="s">
        <v>71</v>
      </c>
      <c r="E281" s="213" t="s">
        <v>71</v>
      </c>
      <c r="F281" s="187">
        <v>1</v>
      </c>
    </row>
    <row r="282" spans="1:6">
      <c r="A282" s="188" t="s">
        <v>34</v>
      </c>
      <c r="B282" s="189">
        <v>139733</v>
      </c>
      <c r="C282" s="190" t="s">
        <v>638</v>
      </c>
      <c r="D282" s="188" t="s">
        <v>71</v>
      </c>
      <c r="E282" s="213" t="s">
        <v>71</v>
      </c>
      <c r="F282" s="187">
        <v>1</v>
      </c>
    </row>
    <row r="283" spans="1:6">
      <c r="A283" s="188" t="s">
        <v>34</v>
      </c>
      <c r="B283" s="189">
        <v>139735</v>
      </c>
      <c r="C283" s="190" t="s">
        <v>639</v>
      </c>
      <c r="D283" s="188" t="s">
        <v>71</v>
      </c>
      <c r="E283" s="213" t="s">
        <v>71</v>
      </c>
      <c r="F283" s="187">
        <v>1</v>
      </c>
    </row>
    <row r="284" spans="1:6">
      <c r="A284" s="188" t="s">
        <v>34</v>
      </c>
      <c r="B284" s="189">
        <v>139817</v>
      </c>
      <c r="C284" s="190" t="s">
        <v>641</v>
      </c>
      <c r="D284" s="188" t="s">
        <v>71</v>
      </c>
      <c r="E284" s="213" t="s">
        <v>71</v>
      </c>
      <c r="F284" s="187">
        <v>1</v>
      </c>
    </row>
    <row r="285" spans="1:6">
      <c r="A285" s="188" t="s">
        <v>34</v>
      </c>
      <c r="B285" s="189">
        <v>139819</v>
      </c>
      <c r="C285" s="190" t="s">
        <v>642</v>
      </c>
      <c r="D285" s="188" t="s">
        <v>71</v>
      </c>
      <c r="E285" s="213" t="s">
        <v>71</v>
      </c>
      <c r="F285" s="187">
        <v>1</v>
      </c>
    </row>
    <row r="286" spans="1:6">
      <c r="A286" s="188" t="s">
        <v>34</v>
      </c>
      <c r="B286" s="189">
        <v>139821</v>
      </c>
      <c r="C286" s="190" t="s">
        <v>643</v>
      </c>
      <c r="D286" s="188" t="s">
        <v>71</v>
      </c>
      <c r="E286" s="213" t="s">
        <v>71</v>
      </c>
      <c r="F286" s="187">
        <v>1</v>
      </c>
    </row>
    <row r="287" spans="1:6">
      <c r="A287" s="188" t="s">
        <v>34</v>
      </c>
      <c r="B287" s="189">
        <v>140058</v>
      </c>
      <c r="C287" s="190" t="s">
        <v>645</v>
      </c>
      <c r="D287" s="188" t="s">
        <v>71</v>
      </c>
      <c r="E287" s="213" t="s">
        <v>71</v>
      </c>
      <c r="F287" s="187">
        <v>1</v>
      </c>
    </row>
    <row r="288" spans="1:6">
      <c r="A288" s="188" t="s">
        <v>34</v>
      </c>
      <c r="B288" s="189">
        <v>140107</v>
      </c>
      <c r="C288" s="190" t="s">
        <v>646</v>
      </c>
      <c r="D288" s="188" t="s">
        <v>71</v>
      </c>
      <c r="E288" s="213" t="s">
        <v>71</v>
      </c>
      <c r="F288" s="187">
        <v>1</v>
      </c>
    </row>
    <row r="289" spans="1:6">
      <c r="A289" s="188" t="s">
        <v>34</v>
      </c>
      <c r="B289" s="189">
        <v>140108</v>
      </c>
      <c r="C289" s="190" t="s">
        <v>647</v>
      </c>
      <c r="D289" s="188" t="s">
        <v>71</v>
      </c>
      <c r="E289" s="213" t="s">
        <v>71</v>
      </c>
      <c r="F289" s="187">
        <v>1</v>
      </c>
    </row>
    <row r="290" spans="1:6">
      <c r="A290" s="188" t="s">
        <v>34</v>
      </c>
      <c r="B290" s="189">
        <v>140110</v>
      </c>
      <c r="C290" s="190" t="s">
        <v>648</v>
      </c>
      <c r="D290" s="188" t="s">
        <v>71</v>
      </c>
      <c r="E290" s="213" t="s">
        <v>71</v>
      </c>
      <c r="F290" s="187">
        <v>1</v>
      </c>
    </row>
    <row r="291" spans="1:6">
      <c r="A291" s="188" t="s">
        <v>34</v>
      </c>
      <c r="B291" s="189">
        <v>140148</v>
      </c>
      <c r="C291" s="190" t="s">
        <v>650</v>
      </c>
      <c r="D291" s="188" t="s">
        <v>71</v>
      </c>
      <c r="E291" s="213" t="s">
        <v>71</v>
      </c>
      <c r="F291" s="187">
        <v>1</v>
      </c>
    </row>
    <row r="292" spans="1:6">
      <c r="A292" s="188" t="s">
        <v>34</v>
      </c>
      <c r="B292" s="189">
        <v>140149</v>
      </c>
      <c r="C292" s="190" t="s">
        <v>651</v>
      </c>
      <c r="D292" s="188" t="s">
        <v>71</v>
      </c>
      <c r="E292" s="213" t="s">
        <v>71</v>
      </c>
      <c r="F292" s="187">
        <v>1</v>
      </c>
    </row>
    <row r="293" spans="1:6">
      <c r="A293" s="188" t="s">
        <v>34</v>
      </c>
      <c r="B293" s="189">
        <v>140150</v>
      </c>
      <c r="C293" s="190" t="s">
        <v>652</v>
      </c>
      <c r="D293" s="188" t="s">
        <v>71</v>
      </c>
      <c r="E293" s="213" t="s">
        <v>71</v>
      </c>
      <c r="F293" s="187">
        <v>1</v>
      </c>
    </row>
    <row r="294" spans="1:6">
      <c r="A294" s="188" t="s">
        <v>34</v>
      </c>
      <c r="B294" s="189">
        <v>140151</v>
      </c>
      <c r="C294" s="190" t="s">
        <v>653</v>
      </c>
      <c r="D294" s="188" t="s">
        <v>71</v>
      </c>
      <c r="E294" s="213" t="s">
        <v>71</v>
      </c>
      <c r="F294" s="187">
        <v>1</v>
      </c>
    </row>
    <row r="295" spans="1:6">
      <c r="A295" s="188" t="s">
        <v>34</v>
      </c>
      <c r="B295" s="189">
        <v>140152</v>
      </c>
      <c r="C295" s="190" t="s">
        <v>654</v>
      </c>
      <c r="D295" s="188" t="s">
        <v>71</v>
      </c>
      <c r="E295" s="213" t="s">
        <v>71</v>
      </c>
      <c r="F295" s="187">
        <v>1</v>
      </c>
    </row>
    <row r="296" spans="1:6">
      <c r="A296" s="188" t="s">
        <v>34</v>
      </c>
      <c r="B296" s="189">
        <v>140153</v>
      </c>
      <c r="C296" s="190" t="s">
        <v>655</v>
      </c>
      <c r="D296" s="188" t="s">
        <v>71</v>
      </c>
      <c r="E296" s="213" t="s">
        <v>71</v>
      </c>
      <c r="F296" s="187">
        <v>1</v>
      </c>
    </row>
    <row r="297" spans="1:6">
      <c r="A297" s="188" t="s">
        <v>34</v>
      </c>
      <c r="B297" s="189">
        <v>140154</v>
      </c>
      <c r="C297" s="190" t="s">
        <v>656</v>
      </c>
      <c r="D297" s="188" t="s">
        <v>71</v>
      </c>
      <c r="E297" s="213" t="s">
        <v>71</v>
      </c>
      <c r="F297" s="187">
        <v>1</v>
      </c>
    </row>
    <row r="298" spans="1:6">
      <c r="A298" s="188" t="s">
        <v>34</v>
      </c>
      <c r="B298" s="189">
        <v>140155</v>
      </c>
      <c r="C298" s="190" t="s">
        <v>657</v>
      </c>
      <c r="D298" s="188" t="s">
        <v>71</v>
      </c>
      <c r="E298" s="213" t="s">
        <v>71</v>
      </c>
      <c r="F298" s="187">
        <v>1</v>
      </c>
    </row>
    <row r="299" spans="1:6">
      <c r="A299" s="188" t="s">
        <v>34</v>
      </c>
      <c r="B299" s="189">
        <v>140156</v>
      </c>
      <c r="C299" s="190" t="s">
        <v>658</v>
      </c>
      <c r="D299" s="188" t="s">
        <v>71</v>
      </c>
      <c r="E299" s="213" t="s">
        <v>71</v>
      </c>
      <c r="F299" s="187">
        <v>1</v>
      </c>
    </row>
    <row r="300" spans="1:6">
      <c r="A300" s="188" t="s">
        <v>34</v>
      </c>
      <c r="B300" s="189">
        <v>140206</v>
      </c>
      <c r="C300" s="190" t="s">
        <v>659</v>
      </c>
      <c r="D300" s="188" t="s">
        <v>71</v>
      </c>
      <c r="E300" s="213" t="s">
        <v>71</v>
      </c>
      <c r="F300" s="187">
        <v>1</v>
      </c>
    </row>
    <row r="301" spans="1:6">
      <c r="A301" s="188" t="s">
        <v>34</v>
      </c>
      <c r="B301" s="189">
        <v>140207</v>
      </c>
      <c r="C301" s="190" t="s">
        <v>660</v>
      </c>
      <c r="D301" s="188" t="s">
        <v>71</v>
      </c>
      <c r="E301" s="213" t="s">
        <v>71</v>
      </c>
      <c r="F301" s="187">
        <v>1</v>
      </c>
    </row>
    <row r="302" spans="1:6">
      <c r="A302" s="188" t="s">
        <v>34</v>
      </c>
      <c r="B302" s="189">
        <v>140208</v>
      </c>
      <c r="C302" s="190" t="s">
        <v>661</v>
      </c>
      <c r="D302" s="188" t="s">
        <v>71</v>
      </c>
      <c r="E302" s="213" t="s">
        <v>71</v>
      </c>
      <c r="F302" s="187">
        <v>1</v>
      </c>
    </row>
    <row r="303" spans="1:6">
      <c r="A303" s="188" t="s">
        <v>34</v>
      </c>
      <c r="B303" s="189">
        <v>140209</v>
      </c>
      <c r="C303" s="190" t="s">
        <v>662</v>
      </c>
      <c r="D303" s="188" t="s">
        <v>71</v>
      </c>
      <c r="E303" s="213" t="s">
        <v>71</v>
      </c>
      <c r="F303" s="187">
        <v>1</v>
      </c>
    </row>
    <row r="304" spans="1:6">
      <c r="A304" s="188" t="s">
        <v>34</v>
      </c>
      <c r="B304" s="189">
        <v>140210</v>
      </c>
      <c r="C304" s="190" t="s">
        <v>663</v>
      </c>
      <c r="D304" s="188" t="s">
        <v>71</v>
      </c>
      <c r="E304" s="213" t="s">
        <v>71</v>
      </c>
      <c r="F304" s="187">
        <v>1</v>
      </c>
    </row>
    <row r="305" spans="1:6">
      <c r="A305" s="188" t="s">
        <v>34</v>
      </c>
      <c r="B305" s="189">
        <v>140211</v>
      </c>
      <c r="C305" s="190" t="s">
        <v>664</v>
      </c>
      <c r="D305" s="188" t="s">
        <v>71</v>
      </c>
      <c r="E305" s="213" t="s">
        <v>71</v>
      </c>
      <c r="F305" s="187">
        <v>1</v>
      </c>
    </row>
    <row r="306" spans="1:6">
      <c r="A306" s="188" t="s">
        <v>34</v>
      </c>
      <c r="B306" s="189">
        <v>140257</v>
      </c>
      <c r="C306" s="190" t="s">
        <v>127</v>
      </c>
      <c r="D306" s="188" t="s">
        <v>71</v>
      </c>
      <c r="E306" s="213" t="s">
        <v>71</v>
      </c>
      <c r="F306" s="187">
        <v>1</v>
      </c>
    </row>
    <row r="307" spans="1:6">
      <c r="A307" s="188" t="s">
        <v>34</v>
      </c>
      <c r="B307" s="189">
        <v>140259</v>
      </c>
      <c r="C307" s="190" t="s">
        <v>665</v>
      </c>
      <c r="D307" s="188" t="s">
        <v>71</v>
      </c>
      <c r="E307" s="213" t="s">
        <v>71</v>
      </c>
      <c r="F307" s="187">
        <v>1</v>
      </c>
    </row>
    <row r="308" spans="1:6">
      <c r="A308" s="188" t="s">
        <v>34</v>
      </c>
      <c r="B308" s="189">
        <v>140260</v>
      </c>
      <c r="C308" s="190" t="s">
        <v>666</v>
      </c>
      <c r="D308" s="188" t="s">
        <v>71</v>
      </c>
      <c r="E308" s="213" t="s">
        <v>71</v>
      </c>
      <c r="F308" s="187">
        <v>1</v>
      </c>
    </row>
    <row r="309" spans="1:6">
      <c r="A309" s="188" t="s">
        <v>34</v>
      </c>
      <c r="B309" s="189">
        <v>140261</v>
      </c>
      <c r="C309" s="190" t="s">
        <v>667</v>
      </c>
      <c r="D309" s="188" t="s">
        <v>71</v>
      </c>
      <c r="E309" s="213" t="s">
        <v>71</v>
      </c>
      <c r="F309" s="187">
        <v>1</v>
      </c>
    </row>
    <row r="310" spans="1:6">
      <c r="A310" s="188" t="s">
        <v>34</v>
      </c>
      <c r="B310" s="189">
        <v>140262</v>
      </c>
      <c r="C310" s="190" t="s">
        <v>668</v>
      </c>
      <c r="D310" s="188" t="s">
        <v>71</v>
      </c>
      <c r="E310" s="213" t="s">
        <v>71</v>
      </c>
      <c r="F310" s="187">
        <v>1</v>
      </c>
    </row>
    <row r="311" spans="1:6">
      <c r="A311" s="188" t="s">
        <v>34</v>
      </c>
      <c r="B311" s="189">
        <v>140499</v>
      </c>
      <c r="C311" s="190" t="s">
        <v>670</v>
      </c>
      <c r="D311" s="188" t="s">
        <v>71</v>
      </c>
      <c r="E311" s="213" t="s">
        <v>71</v>
      </c>
      <c r="F311" s="187">
        <v>1</v>
      </c>
    </row>
    <row r="312" spans="1:6">
      <c r="A312" s="188" t="s">
        <v>34</v>
      </c>
      <c r="B312" s="189">
        <v>140501</v>
      </c>
      <c r="C312" s="190" t="s">
        <v>671</v>
      </c>
      <c r="D312" s="188" t="s">
        <v>71</v>
      </c>
      <c r="E312" s="213" t="s">
        <v>71</v>
      </c>
      <c r="F312" s="187">
        <v>1</v>
      </c>
    </row>
    <row r="313" spans="1:6">
      <c r="A313" s="188" t="s">
        <v>34</v>
      </c>
      <c r="B313" s="189">
        <v>140503</v>
      </c>
      <c r="C313" s="190" t="s">
        <v>672</v>
      </c>
      <c r="D313" s="188" t="s">
        <v>71</v>
      </c>
      <c r="E313" s="213" t="s">
        <v>71</v>
      </c>
      <c r="F313" s="187">
        <v>1</v>
      </c>
    </row>
    <row r="314" spans="1:6">
      <c r="A314" s="188" t="s">
        <v>34</v>
      </c>
      <c r="B314" s="189">
        <v>140627</v>
      </c>
      <c r="C314" s="190" t="s">
        <v>676</v>
      </c>
      <c r="D314" s="188" t="s">
        <v>71</v>
      </c>
      <c r="E314" s="213" t="s">
        <v>71</v>
      </c>
      <c r="F314" s="187">
        <v>1</v>
      </c>
    </row>
    <row r="315" spans="1:6">
      <c r="A315" s="188" t="s">
        <v>34</v>
      </c>
      <c r="B315" s="189">
        <v>140629</v>
      </c>
      <c r="C315" s="190" t="s">
        <v>677</v>
      </c>
      <c r="D315" s="188" t="s">
        <v>71</v>
      </c>
      <c r="E315" s="213" t="s">
        <v>71</v>
      </c>
      <c r="F315" s="187">
        <v>1</v>
      </c>
    </row>
    <row r="316" spans="1:6">
      <c r="A316" s="188" t="s">
        <v>34</v>
      </c>
      <c r="B316" s="189">
        <v>140631</v>
      </c>
      <c r="C316" s="190" t="s">
        <v>678</v>
      </c>
      <c r="D316" s="188" t="s">
        <v>71</v>
      </c>
      <c r="E316" s="213" t="s">
        <v>71</v>
      </c>
      <c r="F316" s="187">
        <v>1</v>
      </c>
    </row>
    <row r="317" spans="1:6">
      <c r="A317" s="188" t="s">
        <v>34</v>
      </c>
      <c r="B317" s="189">
        <v>140787</v>
      </c>
      <c r="C317" s="190" t="s">
        <v>682</v>
      </c>
      <c r="D317" s="188" t="s">
        <v>71</v>
      </c>
      <c r="E317" s="213" t="s">
        <v>71</v>
      </c>
      <c r="F317" s="187">
        <v>1</v>
      </c>
    </row>
    <row r="318" spans="1:6">
      <c r="A318" s="188" t="s">
        <v>34</v>
      </c>
      <c r="B318" s="189">
        <v>140817</v>
      </c>
      <c r="C318" s="190" t="s">
        <v>122</v>
      </c>
      <c r="D318" s="188" t="s">
        <v>71</v>
      </c>
      <c r="E318" s="213" t="s">
        <v>71</v>
      </c>
      <c r="F318" s="187">
        <v>1</v>
      </c>
    </row>
    <row r="319" spans="1:6">
      <c r="A319" s="188" t="s">
        <v>34</v>
      </c>
      <c r="B319" s="189">
        <v>141187</v>
      </c>
      <c r="C319" s="190" t="s">
        <v>125</v>
      </c>
      <c r="D319" s="188" t="s">
        <v>71</v>
      </c>
      <c r="E319" s="213" t="s">
        <v>71</v>
      </c>
      <c r="F319" s="187">
        <v>1</v>
      </c>
    </row>
    <row r="320" spans="1:6">
      <c r="A320" s="188" t="s">
        <v>34</v>
      </c>
      <c r="B320" s="189">
        <v>148677</v>
      </c>
      <c r="C320" s="190" t="s">
        <v>134</v>
      </c>
      <c r="D320" s="188" t="s">
        <v>71</v>
      </c>
      <c r="E320" s="213" t="s">
        <v>71</v>
      </c>
      <c r="F320" s="187">
        <v>1</v>
      </c>
    </row>
    <row r="321" spans="1:6">
      <c r="A321" s="188" t="s">
        <v>34</v>
      </c>
      <c r="B321" s="189">
        <v>141429</v>
      </c>
      <c r="C321" s="190" t="s">
        <v>119</v>
      </c>
      <c r="D321" s="188" t="s">
        <v>71</v>
      </c>
      <c r="E321" s="213" t="s">
        <v>71</v>
      </c>
      <c r="F321" s="187">
        <v>1</v>
      </c>
    </row>
    <row r="322" spans="1:6">
      <c r="A322" s="188" t="s">
        <v>34</v>
      </c>
      <c r="B322" s="189">
        <v>141468</v>
      </c>
      <c r="C322" s="190" t="s">
        <v>686</v>
      </c>
      <c r="D322" s="188" t="s">
        <v>71</v>
      </c>
      <c r="E322" s="213" t="s">
        <v>71</v>
      </c>
      <c r="F322" s="187">
        <v>1</v>
      </c>
    </row>
    <row r="323" spans="1:6">
      <c r="A323" s="188" t="s">
        <v>34</v>
      </c>
      <c r="B323" s="189">
        <v>141655</v>
      </c>
      <c r="C323" s="190" t="s">
        <v>689</v>
      </c>
      <c r="D323" s="188" t="s">
        <v>71</v>
      </c>
      <c r="E323" s="213" t="s">
        <v>71</v>
      </c>
      <c r="F323" s="187">
        <v>1</v>
      </c>
    </row>
    <row r="324" spans="1:6">
      <c r="A324" s="188" t="s">
        <v>34</v>
      </c>
      <c r="B324" s="189">
        <v>141658</v>
      </c>
      <c r="C324" s="190" t="s">
        <v>691</v>
      </c>
      <c r="D324" s="188" t="s">
        <v>71</v>
      </c>
      <c r="E324" s="213" t="s">
        <v>71</v>
      </c>
      <c r="F324" s="187">
        <v>1</v>
      </c>
    </row>
    <row r="325" spans="1:6">
      <c r="A325" s="188" t="s">
        <v>34</v>
      </c>
      <c r="B325" s="189">
        <v>141666</v>
      </c>
      <c r="C325" s="190" t="s">
        <v>693</v>
      </c>
      <c r="D325" s="188" t="s">
        <v>71</v>
      </c>
      <c r="E325" s="213" t="s">
        <v>71</v>
      </c>
      <c r="F325" s="187">
        <v>1</v>
      </c>
    </row>
    <row r="326" spans="1:6">
      <c r="A326" s="188" t="s">
        <v>34</v>
      </c>
      <c r="B326" s="189">
        <v>141667</v>
      </c>
      <c r="C326" s="190" t="s">
        <v>694</v>
      </c>
      <c r="D326" s="188" t="s">
        <v>71</v>
      </c>
      <c r="E326" s="213" t="s">
        <v>71</v>
      </c>
      <c r="F326" s="187">
        <v>1</v>
      </c>
    </row>
    <row r="327" spans="1:6">
      <c r="A327" s="188" t="s">
        <v>34</v>
      </c>
      <c r="B327" s="189">
        <v>141738</v>
      </c>
      <c r="C327" s="190" t="s">
        <v>115</v>
      </c>
      <c r="D327" s="188" t="s">
        <v>71</v>
      </c>
      <c r="E327" s="213" t="s">
        <v>71</v>
      </c>
      <c r="F327" s="187">
        <v>1</v>
      </c>
    </row>
    <row r="328" spans="1:6">
      <c r="A328" s="188" t="s">
        <v>34</v>
      </c>
      <c r="B328" s="189">
        <v>141742</v>
      </c>
      <c r="C328" s="190" t="s">
        <v>113</v>
      </c>
      <c r="D328" s="188" t="s">
        <v>71</v>
      </c>
      <c r="E328" s="213" t="s">
        <v>71</v>
      </c>
      <c r="F328" s="187">
        <v>1</v>
      </c>
    </row>
    <row r="329" spans="1:6">
      <c r="A329" s="188" t="s">
        <v>34</v>
      </c>
      <c r="B329" s="189">
        <v>141746</v>
      </c>
      <c r="C329" s="190" t="s">
        <v>111</v>
      </c>
      <c r="D329" s="188" t="s">
        <v>71</v>
      </c>
      <c r="E329" s="213" t="s">
        <v>71</v>
      </c>
      <c r="F329" s="187">
        <v>1</v>
      </c>
    </row>
    <row r="330" spans="1:6">
      <c r="A330" s="188" t="s">
        <v>34</v>
      </c>
      <c r="B330" s="189">
        <v>141751</v>
      </c>
      <c r="C330" s="190" t="s">
        <v>110</v>
      </c>
      <c r="D330" s="188" t="s">
        <v>71</v>
      </c>
      <c r="E330" s="213" t="s">
        <v>71</v>
      </c>
      <c r="F330" s="187">
        <v>1</v>
      </c>
    </row>
    <row r="331" spans="1:6">
      <c r="A331" s="188" t="s">
        <v>34</v>
      </c>
      <c r="B331" s="189">
        <v>141825</v>
      </c>
      <c r="C331" s="190" t="s">
        <v>699</v>
      </c>
      <c r="D331" s="188" t="s">
        <v>71</v>
      </c>
      <c r="E331" s="213" t="s">
        <v>71</v>
      </c>
      <c r="F331" s="187">
        <v>1</v>
      </c>
    </row>
    <row r="332" spans="1:6">
      <c r="A332" s="188" t="s">
        <v>34</v>
      </c>
      <c r="B332" s="189">
        <v>142288</v>
      </c>
      <c r="C332" s="190" t="s">
        <v>121</v>
      </c>
      <c r="D332" s="188" t="s">
        <v>71</v>
      </c>
      <c r="E332" s="213" t="s">
        <v>71</v>
      </c>
      <c r="F332" s="187">
        <v>1</v>
      </c>
    </row>
    <row r="333" spans="1:6">
      <c r="A333" s="188" t="s">
        <v>34</v>
      </c>
      <c r="B333" s="189">
        <v>142411</v>
      </c>
      <c r="C333" s="190" t="s">
        <v>705</v>
      </c>
      <c r="D333" s="188" t="s">
        <v>71</v>
      </c>
      <c r="E333" s="213" t="s">
        <v>71</v>
      </c>
      <c r="F333" s="187">
        <v>1</v>
      </c>
    </row>
    <row r="334" spans="1:6">
      <c r="A334" s="188" t="s">
        <v>34</v>
      </c>
      <c r="B334" s="189">
        <v>142637</v>
      </c>
      <c r="C334" s="190" t="s">
        <v>707</v>
      </c>
      <c r="D334" s="188" t="s">
        <v>71</v>
      </c>
      <c r="E334" s="213" t="s">
        <v>71</v>
      </c>
      <c r="F334" s="187">
        <v>1</v>
      </c>
    </row>
    <row r="335" spans="1:6">
      <c r="A335" s="188" t="s">
        <v>34</v>
      </c>
      <c r="B335" s="189">
        <v>142722</v>
      </c>
      <c r="C335" s="190" t="s">
        <v>708</v>
      </c>
      <c r="D335" s="188" t="s">
        <v>71</v>
      </c>
      <c r="E335" s="213" t="s">
        <v>71</v>
      </c>
      <c r="F335" s="187">
        <v>1</v>
      </c>
    </row>
    <row r="336" spans="1:6">
      <c r="A336" s="188" t="s">
        <v>34</v>
      </c>
      <c r="B336" s="189">
        <v>143560</v>
      </c>
      <c r="C336" s="190" t="s">
        <v>724</v>
      </c>
      <c r="D336" s="188" t="s">
        <v>71</v>
      </c>
      <c r="E336" s="213" t="s">
        <v>71</v>
      </c>
      <c r="F336" s="187">
        <v>1</v>
      </c>
    </row>
    <row r="337" spans="1:6">
      <c r="A337" s="188" t="s">
        <v>34</v>
      </c>
      <c r="B337" s="189">
        <v>143561</v>
      </c>
      <c r="C337" s="190" t="s">
        <v>725</v>
      </c>
      <c r="D337" s="188" t="s">
        <v>71</v>
      </c>
      <c r="E337" s="213" t="s">
        <v>71</v>
      </c>
      <c r="F337" s="187">
        <v>1</v>
      </c>
    </row>
    <row r="338" spans="1:6">
      <c r="A338" s="188" t="s">
        <v>34</v>
      </c>
      <c r="B338" s="189">
        <v>143563</v>
      </c>
      <c r="C338" s="190" t="s">
        <v>726</v>
      </c>
      <c r="D338" s="188" t="s">
        <v>71</v>
      </c>
      <c r="E338" s="213" t="s">
        <v>71</v>
      </c>
      <c r="F338" s="187">
        <v>1</v>
      </c>
    </row>
    <row r="339" spans="1:6">
      <c r="A339" s="188" t="s">
        <v>34</v>
      </c>
      <c r="B339" s="454">
        <v>139030</v>
      </c>
      <c r="C339" s="455" t="s">
        <v>236</v>
      </c>
      <c r="D339" s="188" t="s">
        <v>70</v>
      </c>
      <c r="E339" s="213" t="s">
        <v>912</v>
      </c>
      <c r="F339" s="187">
        <v>42</v>
      </c>
    </row>
    <row r="340" spans="1:6">
      <c r="A340" s="188" t="s">
        <v>34</v>
      </c>
      <c r="B340" s="454">
        <v>144165</v>
      </c>
      <c r="C340" s="455" t="s">
        <v>750</v>
      </c>
      <c r="D340" s="188" t="s">
        <v>70</v>
      </c>
      <c r="E340" s="213" t="s">
        <v>912</v>
      </c>
      <c r="F340" s="187">
        <v>42</v>
      </c>
    </row>
    <row r="341" spans="1:6">
      <c r="A341" s="188" t="s">
        <v>34</v>
      </c>
      <c r="B341" s="454">
        <v>141750</v>
      </c>
      <c r="C341" s="455" t="s">
        <v>231</v>
      </c>
      <c r="D341" s="188" t="s">
        <v>70</v>
      </c>
      <c r="E341" s="213" t="s">
        <v>912</v>
      </c>
      <c r="F341" s="187">
        <v>42</v>
      </c>
    </row>
    <row r="342" spans="1:6">
      <c r="A342" s="188" t="s">
        <v>34</v>
      </c>
      <c r="B342" s="454">
        <v>139131</v>
      </c>
      <c r="C342" s="455" t="s">
        <v>902</v>
      </c>
      <c r="D342" s="188" t="s">
        <v>70</v>
      </c>
      <c r="E342" s="213" t="s">
        <v>912</v>
      </c>
      <c r="F342" s="187">
        <v>42</v>
      </c>
    </row>
    <row r="343" spans="1:6">
      <c r="A343" s="188" t="s">
        <v>34</v>
      </c>
      <c r="B343" s="454">
        <v>139064</v>
      </c>
      <c r="C343" s="455" t="s">
        <v>903</v>
      </c>
      <c r="D343" s="188" t="s">
        <v>70</v>
      </c>
      <c r="E343" s="213" t="s">
        <v>912</v>
      </c>
      <c r="F343" s="187">
        <v>42</v>
      </c>
    </row>
    <row r="344" spans="1:6">
      <c r="A344" s="188" t="s">
        <v>34</v>
      </c>
      <c r="B344" s="454">
        <v>141741</v>
      </c>
      <c r="C344" s="455" t="s">
        <v>114</v>
      </c>
      <c r="D344" s="188" t="s">
        <v>70</v>
      </c>
      <c r="E344" s="213" t="s">
        <v>912</v>
      </c>
      <c r="F344" s="187">
        <v>42</v>
      </c>
    </row>
    <row r="345" spans="1:6">
      <c r="A345" s="188" t="s">
        <v>34</v>
      </c>
      <c r="B345" s="454">
        <v>144277</v>
      </c>
      <c r="C345" s="455" t="s">
        <v>904</v>
      </c>
      <c r="D345" s="188" t="s">
        <v>70</v>
      </c>
      <c r="E345" s="213" t="s">
        <v>912</v>
      </c>
      <c r="F345" s="187">
        <v>42</v>
      </c>
    </row>
    <row r="346" spans="1:6">
      <c r="A346" s="188" t="s">
        <v>34</v>
      </c>
      <c r="B346" s="454">
        <v>122837</v>
      </c>
      <c r="C346" s="455" t="s">
        <v>905</v>
      </c>
      <c r="D346" s="188" t="s">
        <v>70</v>
      </c>
      <c r="E346" s="213" t="s">
        <v>912</v>
      </c>
      <c r="F346" s="187">
        <v>42</v>
      </c>
    </row>
    <row r="347" spans="1:6">
      <c r="A347" s="188" t="s">
        <v>34</v>
      </c>
      <c r="B347" s="454">
        <v>139088</v>
      </c>
      <c r="C347" s="455" t="s">
        <v>906</v>
      </c>
      <c r="D347" s="188" t="s">
        <v>70</v>
      </c>
      <c r="E347" s="213" t="s">
        <v>912</v>
      </c>
      <c r="F347" s="187">
        <v>42</v>
      </c>
    </row>
    <row r="348" spans="1:6">
      <c r="A348" s="188" t="s">
        <v>34</v>
      </c>
      <c r="B348" s="454">
        <v>148661</v>
      </c>
      <c r="C348" s="455" t="s">
        <v>907</v>
      </c>
      <c r="D348" s="188" t="s">
        <v>70</v>
      </c>
      <c r="E348" s="213" t="s">
        <v>912</v>
      </c>
      <c r="F348" s="187">
        <v>42</v>
      </c>
    </row>
    <row r="349" spans="1:6">
      <c r="A349" s="188" t="s">
        <v>34</v>
      </c>
      <c r="B349" s="454">
        <v>144167</v>
      </c>
      <c r="C349" s="455" t="s">
        <v>745</v>
      </c>
      <c r="D349" s="188" t="s">
        <v>70</v>
      </c>
      <c r="E349" s="213" t="s">
        <v>912</v>
      </c>
      <c r="F349" s="187">
        <v>42</v>
      </c>
    </row>
    <row r="350" spans="1:6">
      <c r="A350" s="188" t="s">
        <v>34</v>
      </c>
      <c r="B350" s="454">
        <v>141745</v>
      </c>
      <c r="C350" s="455" t="s">
        <v>112</v>
      </c>
      <c r="D350" s="188" t="s">
        <v>70</v>
      </c>
      <c r="E350" s="213" t="s">
        <v>912</v>
      </c>
      <c r="F350" s="187">
        <v>42</v>
      </c>
    </row>
    <row r="351" spans="1:6">
      <c r="A351" s="188" t="s">
        <v>34</v>
      </c>
      <c r="B351" s="454">
        <v>139134</v>
      </c>
      <c r="C351" s="455" t="s">
        <v>908</v>
      </c>
      <c r="D351" s="188" t="s">
        <v>70</v>
      </c>
      <c r="E351" s="213" t="s">
        <v>912</v>
      </c>
      <c r="F351" s="187">
        <v>42</v>
      </c>
    </row>
    <row r="352" spans="1:6">
      <c r="A352" s="188" t="s">
        <v>34</v>
      </c>
      <c r="B352" s="454">
        <v>139145</v>
      </c>
      <c r="C352" s="455" t="s">
        <v>909</v>
      </c>
      <c r="D352" s="188" t="s">
        <v>70</v>
      </c>
      <c r="E352" s="213" t="s">
        <v>912</v>
      </c>
      <c r="F352" s="187">
        <v>42</v>
      </c>
    </row>
    <row r="353" spans="1:6">
      <c r="A353" s="188" t="s">
        <v>34</v>
      </c>
      <c r="B353" s="454">
        <v>142721</v>
      </c>
      <c r="C353" s="455" t="s">
        <v>230</v>
      </c>
      <c r="D353" s="188" t="s">
        <v>70</v>
      </c>
      <c r="E353" s="213" t="s">
        <v>912</v>
      </c>
      <c r="F353" s="187">
        <v>42</v>
      </c>
    </row>
    <row r="354" spans="1:6">
      <c r="A354" s="188" t="s">
        <v>34</v>
      </c>
      <c r="B354" s="454">
        <v>139086</v>
      </c>
      <c r="C354" s="455" t="s">
        <v>910</v>
      </c>
      <c r="D354" s="188" t="s">
        <v>70</v>
      </c>
      <c r="E354" s="213" t="s">
        <v>912</v>
      </c>
      <c r="F354" s="187">
        <v>42</v>
      </c>
    </row>
    <row r="355" spans="1:6">
      <c r="A355" s="188" t="s">
        <v>34</v>
      </c>
      <c r="B355" s="454">
        <v>148662</v>
      </c>
      <c r="C355" s="455" t="s">
        <v>911</v>
      </c>
      <c r="D355" s="188" t="s">
        <v>70</v>
      </c>
      <c r="E355" s="213" t="s">
        <v>912</v>
      </c>
      <c r="F355" s="187">
        <v>42</v>
      </c>
    </row>
    <row r="356" spans="1:6">
      <c r="A356" s="188"/>
      <c r="B356" s="189"/>
      <c r="C356" s="190"/>
      <c r="D356" s="188"/>
      <c r="E356" s="213"/>
      <c r="F356" s="187"/>
    </row>
    <row r="357" spans="1:6">
      <c r="A357" s="188"/>
      <c r="B357" s="189"/>
      <c r="C357" s="190"/>
      <c r="D357" s="188"/>
      <c r="E357" s="213"/>
      <c r="F357" s="187"/>
    </row>
    <row r="358" spans="1:6">
      <c r="A358" s="188"/>
      <c r="B358" s="189"/>
      <c r="C358" s="190"/>
      <c r="D358" s="188"/>
      <c r="E358" s="213"/>
      <c r="F358" s="187"/>
    </row>
    <row r="359" spans="1:6">
      <c r="A359" s="188"/>
      <c r="B359" s="189"/>
      <c r="C359" s="190"/>
      <c r="D359" s="188"/>
      <c r="E359" s="213"/>
      <c r="F359" s="187"/>
    </row>
    <row r="360" spans="1:6">
      <c r="A360" s="188"/>
      <c r="B360" s="189"/>
      <c r="C360" s="190"/>
      <c r="D360" s="188"/>
      <c r="E360" s="213"/>
      <c r="F360" s="187"/>
    </row>
    <row r="361" spans="1:6">
      <c r="A361" s="188"/>
      <c r="B361" s="189"/>
      <c r="C361" s="190"/>
      <c r="D361" s="188"/>
      <c r="E361" s="213"/>
      <c r="F361" s="187"/>
    </row>
    <row r="362" spans="1:6">
      <c r="A362" s="188"/>
      <c r="B362" s="189"/>
      <c r="C362" s="190"/>
      <c r="D362" s="188"/>
      <c r="E362" s="213"/>
      <c r="F362" s="187"/>
    </row>
    <row r="363" spans="1:6">
      <c r="A363" s="195" t="s">
        <v>34</v>
      </c>
      <c r="B363" s="139">
        <v>148661</v>
      </c>
      <c r="C363" s="145" t="s">
        <v>235</v>
      </c>
      <c r="D363" s="195" t="s">
        <v>70</v>
      </c>
      <c r="E363" s="214" t="s">
        <v>733</v>
      </c>
      <c r="F363" s="196">
        <v>1</v>
      </c>
    </row>
    <row r="364" spans="1:6">
      <c r="A364" s="195" t="s">
        <v>34</v>
      </c>
      <c r="B364" s="139">
        <v>148662</v>
      </c>
      <c r="C364" s="145" t="s">
        <v>225</v>
      </c>
      <c r="D364" s="195" t="s">
        <v>70</v>
      </c>
      <c r="E364" s="214" t="s">
        <v>145</v>
      </c>
      <c r="F364" s="196">
        <v>42</v>
      </c>
    </row>
    <row r="365" spans="1:6">
      <c r="A365" s="195" t="s">
        <v>34</v>
      </c>
      <c r="B365" s="139">
        <v>139030</v>
      </c>
      <c r="C365" s="145" t="s">
        <v>236</v>
      </c>
      <c r="D365" s="195" t="s">
        <v>70</v>
      </c>
      <c r="E365" s="214" t="s">
        <v>733</v>
      </c>
      <c r="F365" s="196">
        <v>1</v>
      </c>
    </row>
    <row r="366" spans="1:6">
      <c r="A366" s="195" t="s">
        <v>34</v>
      </c>
      <c r="B366" s="139">
        <v>139086</v>
      </c>
      <c r="C366" s="145" t="s">
        <v>226</v>
      </c>
      <c r="D366" s="195" t="s">
        <v>70</v>
      </c>
      <c r="E366" s="214" t="s">
        <v>145</v>
      </c>
      <c r="F366" s="196">
        <v>42</v>
      </c>
    </row>
    <row r="367" spans="1:6">
      <c r="A367" s="195" t="s">
        <v>34</v>
      </c>
      <c r="B367" s="139">
        <v>139131</v>
      </c>
      <c r="C367" s="145" t="s">
        <v>237</v>
      </c>
      <c r="D367" s="195" t="s">
        <v>70</v>
      </c>
      <c r="E367" s="214" t="s">
        <v>733</v>
      </c>
      <c r="F367" s="196">
        <v>1</v>
      </c>
    </row>
    <row r="368" spans="1:6">
      <c r="A368" s="195" t="s">
        <v>34</v>
      </c>
      <c r="B368" s="139">
        <v>139134</v>
      </c>
      <c r="C368" s="145" t="s">
        <v>227</v>
      </c>
      <c r="D368" s="195" t="s">
        <v>70</v>
      </c>
      <c r="E368" s="214" t="s">
        <v>145</v>
      </c>
      <c r="F368" s="196">
        <v>42</v>
      </c>
    </row>
    <row r="369" spans="1:6">
      <c r="A369" s="195" t="s">
        <v>34</v>
      </c>
      <c r="B369" s="139">
        <v>139145</v>
      </c>
      <c r="C369" s="145" t="s">
        <v>228</v>
      </c>
      <c r="D369" s="195" t="s">
        <v>70</v>
      </c>
      <c r="E369" s="214" t="s">
        <v>145</v>
      </c>
      <c r="F369" s="196">
        <v>42</v>
      </c>
    </row>
    <row r="370" spans="1:6">
      <c r="A370" s="195" t="s">
        <v>34</v>
      </c>
      <c r="B370" s="139">
        <v>141741</v>
      </c>
      <c r="C370" s="145" t="s">
        <v>114</v>
      </c>
      <c r="D370" s="195" t="s">
        <v>70</v>
      </c>
      <c r="E370" s="214" t="s">
        <v>150</v>
      </c>
      <c r="F370" s="196">
        <v>28</v>
      </c>
    </row>
    <row r="371" spans="1:6">
      <c r="A371" s="195" t="s">
        <v>34</v>
      </c>
      <c r="B371" s="139">
        <v>141745</v>
      </c>
      <c r="C371" s="145" t="s">
        <v>112</v>
      </c>
      <c r="D371" s="195" t="s">
        <v>70</v>
      </c>
      <c r="E371" s="214" t="s">
        <v>145</v>
      </c>
      <c r="F371" s="196">
        <v>42</v>
      </c>
    </row>
    <row r="372" spans="1:6">
      <c r="A372" s="195" t="s">
        <v>34</v>
      </c>
      <c r="B372" s="139">
        <v>141750</v>
      </c>
      <c r="C372" s="145" t="s">
        <v>231</v>
      </c>
      <c r="D372" s="195" t="s">
        <v>70</v>
      </c>
      <c r="E372" s="214" t="s">
        <v>150</v>
      </c>
      <c r="F372" s="196">
        <v>28</v>
      </c>
    </row>
    <row r="373" spans="1:6">
      <c r="A373" s="195" t="s">
        <v>34</v>
      </c>
      <c r="B373" s="139">
        <v>142012</v>
      </c>
      <c r="C373" s="145" t="s">
        <v>129</v>
      </c>
      <c r="D373" s="195" t="s">
        <v>70</v>
      </c>
      <c r="E373" s="214" t="s">
        <v>145</v>
      </c>
      <c r="F373" s="196">
        <v>42</v>
      </c>
    </row>
    <row r="374" spans="1:6">
      <c r="A374" s="195" t="s">
        <v>34</v>
      </c>
      <c r="B374" s="139">
        <v>142536</v>
      </c>
      <c r="C374" s="145" t="s">
        <v>229</v>
      </c>
      <c r="D374" s="195" t="s">
        <v>70</v>
      </c>
      <c r="E374" s="214" t="s">
        <v>145</v>
      </c>
      <c r="F374" s="196">
        <v>42</v>
      </c>
    </row>
    <row r="375" spans="1:6">
      <c r="A375" s="195" t="s">
        <v>34</v>
      </c>
      <c r="B375" s="139">
        <v>142721</v>
      </c>
      <c r="C375" s="145" t="s">
        <v>230</v>
      </c>
      <c r="D375" s="195" t="s">
        <v>70</v>
      </c>
      <c r="E375" s="214" t="s">
        <v>145</v>
      </c>
      <c r="F375" s="196">
        <v>42</v>
      </c>
    </row>
    <row r="376" spans="1:6">
      <c r="A376" s="149" t="s">
        <v>34</v>
      </c>
      <c r="B376" s="71">
        <v>122766</v>
      </c>
      <c r="C376" s="72" t="s">
        <v>68</v>
      </c>
      <c r="D376" s="149" t="s">
        <v>70</v>
      </c>
      <c r="E376" s="209" t="s">
        <v>733</v>
      </c>
      <c r="F376" s="191">
        <v>1</v>
      </c>
    </row>
    <row r="377" spans="1:6">
      <c r="A377" s="192" t="s">
        <v>34</v>
      </c>
      <c r="B377" s="147">
        <v>122837</v>
      </c>
      <c r="C377" s="148" t="s">
        <v>65</v>
      </c>
      <c r="D377" s="192" t="s">
        <v>70</v>
      </c>
      <c r="E377" s="215" t="s">
        <v>150</v>
      </c>
      <c r="F377" s="191">
        <v>28</v>
      </c>
    </row>
    <row r="378" spans="1:6">
      <c r="A378" s="193" t="s">
        <v>34</v>
      </c>
      <c r="B378" s="141">
        <v>122842</v>
      </c>
      <c r="C378" s="146" t="s">
        <v>238</v>
      </c>
      <c r="D378" s="193" t="s">
        <v>70</v>
      </c>
      <c r="E378" s="215" t="s">
        <v>733</v>
      </c>
      <c r="F378" s="194">
        <v>1</v>
      </c>
    </row>
    <row r="379" spans="1:6">
      <c r="A379" s="193" t="s">
        <v>34</v>
      </c>
      <c r="B379" s="141">
        <v>144277</v>
      </c>
      <c r="C379" s="146" t="s">
        <v>232</v>
      </c>
      <c r="D379" s="193" t="s">
        <v>70</v>
      </c>
      <c r="E379" s="215" t="s">
        <v>150</v>
      </c>
      <c r="F379" s="194">
        <v>28</v>
      </c>
    </row>
    <row r="380" spans="1:6">
      <c r="A380" s="193" t="s">
        <v>34</v>
      </c>
      <c r="B380" s="141">
        <v>134445</v>
      </c>
      <c r="C380" s="146" t="s">
        <v>239</v>
      </c>
      <c r="D380" s="193" t="s">
        <v>70</v>
      </c>
      <c r="E380" s="215" t="s">
        <v>733</v>
      </c>
      <c r="F380" s="194">
        <v>1</v>
      </c>
    </row>
    <row r="381" spans="1:6">
      <c r="A381" s="193" t="s">
        <v>34</v>
      </c>
      <c r="B381" s="141">
        <v>135488</v>
      </c>
      <c r="C381" s="146" t="s">
        <v>240</v>
      </c>
      <c r="D381" s="193" t="s">
        <v>70</v>
      </c>
      <c r="E381" s="215" t="s">
        <v>733</v>
      </c>
      <c r="F381" s="194">
        <v>1</v>
      </c>
    </row>
    <row r="382" spans="1:6">
      <c r="A382" s="193" t="s">
        <v>34</v>
      </c>
      <c r="B382" s="141">
        <v>148669</v>
      </c>
      <c r="C382" s="146" t="s">
        <v>37</v>
      </c>
      <c r="D382" s="193" t="s">
        <v>70</v>
      </c>
      <c r="E382" s="215" t="s">
        <v>733</v>
      </c>
      <c r="F382" s="194">
        <v>1</v>
      </c>
    </row>
    <row r="383" spans="1:6">
      <c r="A383" s="193" t="s">
        <v>34</v>
      </c>
      <c r="B383" s="141">
        <v>148670</v>
      </c>
      <c r="C383" s="146" t="s">
        <v>241</v>
      </c>
      <c r="D383" s="193" t="s">
        <v>70</v>
      </c>
      <c r="E383" s="215" t="s">
        <v>733</v>
      </c>
      <c r="F383" s="194">
        <v>1</v>
      </c>
    </row>
    <row r="384" spans="1:6">
      <c r="A384" s="149" t="s">
        <v>34</v>
      </c>
      <c r="B384" s="71">
        <v>139061</v>
      </c>
      <c r="C384" s="72" t="s">
        <v>242</v>
      </c>
      <c r="D384" s="149" t="s">
        <v>70</v>
      </c>
      <c r="E384" s="209" t="s">
        <v>733</v>
      </c>
      <c r="F384" s="191">
        <v>1</v>
      </c>
    </row>
    <row r="385" spans="1:6">
      <c r="A385" s="149" t="s">
        <v>34</v>
      </c>
      <c r="B385" s="71">
        <v>139064</v>
      </c>
      <c r="C385" s="72" t="s">
        <v>233</v>
      </c>
      <c r="D385" s="149" t="s">
        <v>70</v>
      </c>
      <c r="E385" s="209" t="s">
        <v>150</v>
      </c>
      <c r="F385" s="191">
        <v>28</v>
      </c>
    </row>
    <row r="386" spans="1:6">
      <c r="A386" s="193" t="s">
        <v>34</v>
      </c>
      <c r="B386" s="141">
        <v>139084</v>
      </c>
      <c r="C386" s="146" t="s">
        <v>243</v>
      </c>
      <c r="D386" s="193" t="s">
        <v>70</v>
      </c>
      <c r="E386" s="215" t="s">
        <v>733</v>
      </c>
      <c r="F386" s="194">
        <v>1</v>
      </c>
    </row>
    <row r="387" spans="1:6">
      <c r="A387" s="193" t="s">
        <v>34</v>
      </c>
      <c r="B387" s="141">
        <v>139088</v>
      </c>
      <c r="C387" s="146" t="s">
        <v>234</v>
      </c>
      <c r="D387" s="193" t="s">
        <v>70</v>
      </c>
      <c r="E387" s="215" t="s">
        <v>150</v>
      </c>
      <c r="F387" s="194">
        <v>28</v>
      </c>
    </row>
    <row r="388" spans="1:6">
      <c r="A388" s="193" t="s">
        <v>34</v>
      </c>
      <c r="B388" s="141">
        <v>139127</v>
      </c>
      <c r="C388" s="146" t="s">
        <v>244</v>
      </c>
      <c r="D388" s="193" t="s">
        <v>70</v>
      </c>
      <c r="E388" s="215" t="s">
        <v>733</v>
      </c>
      <c r="F388" s="194">
        <v>1</v>
      </c>
    </row>
    <row r="389" spans="1:6">
      <c r="A389" s="193" t="s">
        <v>34</v>
      </c>
      <c r="B389" s="141">
        <v>139129</v>
      </c>
      <c r="C389" s="146" t="s">
        <v>245</v>
      </c>
      <c r="D389" s="193" t="s">
        <v>70</v>
      </c>
      <c r="E389" s="215" t="s">
        <v>733</v>
      </c>
      <c r="F389" s="194">
        <v>1</v>
      </c>
    </row>
    <row r="390" spans="1:6">
      <c r="A390" s="193" t="s">
        <v>34</v>
      </c>
      <c r="B390" s="141">
        <v>139137</v>
      </c>
      <c r="C390" s="146" t="s">
        <v>246</v>
      </c>
      <c r="D390" s="193" t="s">
        <v>70</v>
      </c>
      <c r="E390" s="215" t="s">
        <v>733</v>
      </c>
      <c r="F390" s="194">
        <v>1</v>
      </c>
    </row>
    <row r="391" spans="1:6">
      <c r="A391" s="193" t="s">
        <v>34</v>
      </c>
      <c r="B391" s="141">
        <v>139139</v>
      </c>
      <c r="C391" s="146" t="s">
        <v>247</v>
      </c>
      <c r="D391" s="193" t="s">
        <v>70</v>
      </c>
      <c r="E391" s="215" t="s">
        <v>733</v>
      </c>
      <c r="F391" s="194">
        <v>1</v>
      </c>
    </row>
    <row r="392" spans="1:6">
      <c r="A392" s="193" t="s">
        <v>34</v>
      </c>
      <c r="B392" s="141">
        <v>139143</v>
      </c>
      <c r="C392" s="146" t="s">
        <v>248</v>
      </c>
      <c r="D392" s="193" t="s">
        <v>70</v>
      </c>
      <c r="E392" s="215" t="s">
        <v>733</v>
      </c>
      <c r="F392" s="194">
        <v>1</v>
      </c>
    </row>
    <row r="393" spans="1:6">
      <c r="A393" s="193" t="s">
        <v>34</v>
      </c>
      <c r="B393" s="141">
        <v>139150</v>
      </c>
      <c r="C393" s="146" t="s">
        <v>249</v>
      </c>
      <c r="D393" s="193" t="s">
        <v>70</v>
      </c>
      <c r="E393" s="215" t="s">
        <v>733</v>
      </c>
      <c r="F393" s="194">
        <v>1</v>
      </c>
    </row>
    <row r="394" spans="1:6">
      <c r="A394" s="193" t="s">
        <v>34</v>
      </c>
      <c r="B394" s="141">
        <v>139152</v>
      </c>
      <c r="C394" s="146" t="s">
        <v>250</v>
      </c>
      <c r="D394" s="193" t="s">
        <v>70</v>
      </c>
      <c r="E394" s="215" t="s">
        <v>733</v>
      </c>
      <c r="F394" s="194">
        <v>1</v>
      </c>
    </row>
    <row r="395" spans="1:6">
      <c r="A395" s="193" t="s">
        <v>34</v>
      </c>
      <c r="B395" s="141">
        <v>139154</v>
      </c>
      <c r="C395" s="146" t="s">
        <v>251</v>
      </c>
      <c r="D395" s="193" t="s">
        <v>70</v>
      </c>
      <c r="E395" s="215" t="s">
        <v>733</v>
      </c>
      <c r="F395" s="194">
        <v>1</v>
      </c>
    </row>
    <row r="396" spans="1:6">
      <c r="A396" s="193" t="s">
        <v>34</v>
      </c>
      <c r="B396" s="141">
        <v>139156</v>
      </c>
      <c r="C396" s="146" t="s">
        <v>252</v>
      </c>
      <c r="D396" s="193" t="s">
        <v>70</v>
      </c>
      <c r="E396" s="215" t="s">
        <v>733</v>
      </c>
      <c r="F396" s="194">
        <v>1</v>
      </c>
    </row>
    <row r="397" spans="1:6">
      <c r="A397" s="193" t="s">
        <v>34</v>
      </c>
      <c r="B397" s="141">
        <v>141737</v>
      </c>
      <c r="C397" s="146" t="s">
        <v>116</v>
      </c>
      <c r="D397" s="193" t="s">
        <v>70</v>
      </c>
      <c r="E397" s="215" t="s">
        <v>733</v>
      </c>
      <c r="F397" s="194">
        <v>1</v>
      </c>
    </row>
    <row r="398" spans="1:6">
      <c r="A398" s="182" t="s">
        <v>34</v>
      </c>
      <c r="B398" s="143">
        <v>120455</v>
      </c>
      <c r="C398" s="150" t="s">
        <v>253</v>
      </c>
      <c r="D398" s="142" t="s">
        <v>175</v>
      </c>
      <c r="E398" s="210" t="s">
        <v>732</v>
      </c>
      <c r="F398" s="183">
        <v>1</v>
      </c>
    </row>
    <row r="399" spans="1:6">
      <c r="A399" s="182" t="s">
        <v>34</v>
      </c>
      <c r="B399" s="143">
        <v>120969</v>
      </c>
      <c r="C399" s="150" t="s">
        <v>254</v>
      </c>
      <c r="D399" s="182" t="s">
        <v>70</v>
      </c>
      <c r="E399" s="216" t="s">
        <v>733</v>
      </c>
      <c r="F399" s="183">
        <v>1</v>
      </c>
    </row>
    <row r="400" spans="1:6">
      <c r="A400" s="182" t="s">
        <v>34</v>
      </c>
      <c r="B400" s="143">
        <v>121558</v>
      </c>
      <c r="C400" s="150" t="s">
        <v>255</v>
      </c>
      <c r="D400" s="182" t="s">
        <v>70</v>
      </c>
      <c r="E400" s="216" t="s">
        <v>733</v>
      </c>
      <c r="F400" s="183">
        <v>1</v>
      </c>
    </row>
    <row r="401" spans="1:6">
      <c r="A401" s="182" t="s">
        <v>34</v>
      </c>
      <c r="B401" s="143">
        <v>121892</v>
      </c>
      <c r="C401" s="150" t="s">
        <v>256</v>
      </c>
      <c r="D401" s="182" t="s">
        <v>70</v>
      </c>
      <c r="E401" s="216" t="s">
        <v>733</v>
      </c>
      <c r="F401" s="183">
        <v>1</v>
      </c>
    </row>
    <row r="402" spans="1:6">
      <c r="A402" s="182" t="s">
        <v>34</v>
      </c>
      <c r="B402" s="143">
        <v>121902</v>
      </c>
      <c r="C402" s="150" t="s">
        <v>257</v>
      </c>
      <c r="D402" s="182" t="s">
        <v>70</v>
      </c>
      <c r="E402" s="216" t="s">
        <v>733</v>
      </c>
      <c r="F402" s="183">
        <v>1</v>
      </c>
    </row>
    <row r="403" spans="1:6">
      <c r="A403" s="182" t="s">
        <v>34</v>
      </c>
      <c r="B403" s="143">
        <v>121904</v>
      </c>
      <c r="C403" s="150" t="s">
        <v>258</v>
      </c>
      <c r="D403" s="182" t="s">
        <v>70</v>
      </c>
      <c r="E403" s="216" t="s">
        <v>733</v>
      </c>
      <c r="F403" s="183">
        <v>1</v>
      </c>
    </row>
    <row r="404" spans="1:6">
      <c r="A404" s="182" t="s">
        <v>34</v>
      </c>
      <c r="B404" s="143">
        <v>121907</v>
      </c>
      <c r="C404" s="150" t="s">
        <v>259</v>
      </c>
      <c r="D404" s="182" t="s">
        <v>70</v>
      </c>
      <c r="E404" s="216" t="s">
        <v>733</v>
      </c>
      <c r="F404" s="183">
        <v>1</v>
      </c>
    </row>
    <row r="405" spans="1:6">
      <c r="A405" s="182" t="s">
        <v>34</v>
      </c>
      <c r="B405" s="143">
        <v>142028</v>
      </c>
      <c r="C405" s="150" t="s">
        <v>260</v>
      </c>
      <c r="D405" s="182" t="s">
        <v>70</v>
      </c>
      <c r="E405" s="216" t="s">
        <v>733</v>
      </c>
      <c r="F405" s="183">
        <v>1</v>
      </c>
    </row>
    <row r="406" spans="1:6">
      <c r="A406" s="182" t="s">
        <v>34</v>
      </c>
      <c r="B406" s="143">
        <v>122713</v>
      </c>
      <c r="C406" s="150" t="s">
        <v>67</v>
      </c>
      <c r="D406" s="182" t="s">
        <v>70</v>
      </c>
      <c r="E406" s="216" t="s">
        <v>733</v>
      </c>
      <c r="F406" s="183">
        <v>1</v>
      </c>
    </row>
    <row r="407" spans="1:6">
      <c r="A407" s="182" t="s">
        <v>34</v>
      </c>
      <c r="B407" s="143">
        <v>123004</v>
      </c>
      <c r="C407" s="150" t="s">
        <v>41</v>
      </c>
      <c r="D407" s="182" t="s">
        <v>70</v>
      </c>
      <c r="E407" s="216" t="s">
        <v>733</v>
      </c>
      <c r="F407" s="183">
        <v>1</v>
      </c>
    </row>
    <row r="408" spans="1:6">
      <c r="A408" s="182" t="s">
        <v>34</v>
      </c>
      <c r="B408" s="143">
        <v>123291</v>
      </c>
      <c r="C408" s="150" t="s">
        <v>261</v>
      </c>
      <c r="D408" s="182" t="s">
        <v>70</v>
      </c>
      <c r="E408" s="216" t="s">
        <v>733</v>
      </c>
      <c r="F408" s="183">
        <v>1</v>
      </c>
    </row>
    <row r="409" spans="1:6">
      <c r="A409" s="182" t="s">
        <v>34</v>
      </c>
      <c r="B409" s="143">
        <v>148674</v>
      </c>
      <c r="C409" s="150" t="s">
        <v>262</v>
      </c>
      <c r="D409" s="182" t="s">
        <v>70</v>
      </c>
      <c r="E409" s="216" t="s">
        <v>733</v>
      </c>
      <c r="F409" s="183">
        <v>1</v>
      </c>
    </row>
    <row r="410" spans="1:6">
      <c r="A410" s="182" t="s">
        <v>34</v>
      </c>
      <c r="B410" s="143">
        <v>148687</v>
      </c>
      <c r="C410" s="150" t="s">
        <v>263</v>
      </c>
      <c r="D410" s="182" t="s">
        <v>70</v>
      </c>
      <c r="E410" s="216" t="s">
        <v>733</v>
      </c>
      <c r="F410" s="183">
        <v>1</v>
      </c>
    </row>
    <row r="411" spans="1:6">
      <c r="A411" s="182" t="s">
        <v>34</v>
      </c>
      <c r="B411" s="143">
        <v>148663</v>
      </c>
      <c r="C411" s="150" t="s">
        <v>264</v>
      </c>
      <c r="D411" s="182" t="s">
        <v>70</v>
      </c>
      <c r="E411" s="216" t="s">
        <v>733</v>
      </c>
      <c r="F411" s="183">
        <v>1</v>
      </c>
    </row>
    <row r="412" spans="1:6">
      <c r="A412" s="182" t="s">
        <v>34</v>
      </c>
      <c r="B412" s="143">
        <v>127356</v>
      </c>
      <c r="C412" s="150" t="s">
        <v>265</v>
      </c>
      <c r="D412" s="182" t="s">
        <v>70</v>
      </c>
      <c r="E412" s="216" t="s">
        <v>733</v>
      </c>
      <c r="F412" s="183">
        <v>1</v>
      </c>
    </row>
    <row r="413" spans="1:6">
      <c r="A413" s="182" t="s">
        <v>34</v>
      </c>
      <c r="B413" s="143">
        <v>129351</v>
      </c>
      <c r="C413" s="150" t="s">
        <v>266</v>
      </c>
      <c r="D413" s="182" t="s">
        <v>70</v>
      </c>
      <c r="E413" s="216" t="s">
        <v>733</v>
      </c>
      <c r="F413" s="183">
        <v>1</v>
      </c>
    </row>
    <row r="414" spans="1:6">
      <c r="A414" s="182" t="s">
        <v>34</v>
      </c>
      <c r="B414" s="143">
        <v>130939</v>
      </c>
      <c r="C414" s="150" t="s">
        <v>267</v>
      </c>
      <c r="D414" s="182" t="s">
        <v>70</v>
      </c>
      <c r="E414" s="216" t="s">
        <v>733</v>
      </c>
      <c r="F414" s="183">
        <v>1</v>
      </c>
    </row>
    <row r="415" spans="1:6">
      <c r="A415" s="182" t="s">
        <v>34</v>
      </c>
      <c r="B415" s="143">
        <v>131462</v>
      </c>
      <c r="C415" s="150" t="s">
        <v>268</v>
      </c>
      <c r="D415" s="182" t="s">
        <v>70</v>
      </c>
      <c r="E415" s="216" t="s">
        <v>733</v>
      </c>
      <c r="F415" s="183">
        <v>1</v>
      </c>
    </row>
    <row r="416" spans="1:6">
      <c r="A416" s="182" t="s">
        <v>34</v>
      </c>
      <c r="B416" s="143">
        <v>132133</v>
      </c>
      <c r="C416" s="150" t="s">
        <v>269</v>
      </c>
      <c r="D416" s="182" t="s">
        <v>70</v>
      </c>
      <c r="E416" s="216" t="s">
        <v>733</v>
      </c>
      <c r="F416" s="183">
        <v>1</v>
      </c>
    </row>
    <row r="417" spans="1:6">
      <c r="A417" s="182" t="s">
        <v>34</v>
      </c>
      <c r="B417" s="143">
        <v>132528</v>
      </c>
      <c r="C417" s="150" t="s">
        <v>270</v>
      </c>
      <c r="D417" s="182" t="s">
        <v>70</v>
      </c>
      <c r="E417" s="216" t="s">
        <v>733</v>
      </c>
      <c r="F417" s="183">
        <v>1</v>
      </c>
    </row>
    <row r="418" spans="1:6">
      <c r="A418" s="182" t="s">
        <v>34</v>
      </c>
      <c r="B418" s="143">
        <v>132545</v>
      </c>
      <c r="C418" s="150" t="s">
        <v>271</v>
      </c>
      <c r="D418" s="182" t="s">
        <v>70</v>
      </c>
      <c r="E418" s="216" t="s">
        <v>733</v>
      </c>
      <c r="F418" s="183">
        <v>1</v>
      </c>
    </row>
    <row r="419" spans="1:6">
      <c r="A419" s="182" t="s">
        <v>34</v>
      </c>
      <c r="B419" s="143">
        <v>132568</v>
      </c>
      <c r="C419" s="150" t="s">
        <v>272</v>
      </c>
      <c r="D419" s="182" t="s">
        <v>70</v>
      </c>
      <c r="E419" s="216" t="s">
        <v>733</v>
      </c>
      <c r="F419" s="183">
        <v>1</v>
      </c>
    </row>
    <row r="420" spans="1:6">
      <c r="A420" s="182" t="s">
        <v>34</v>
      </c>
      <c r="B420" s="143">
        <v>132569</v>
      </c>
      <c r="C420" s="150" t="s">
        <v>273</v>
      </c>
      <c r="D420" s="182" t="s">
        <v>70</v>
      </c>
      <c r="E420" s="216" t="s">
        <v>733</v>
      </c>
      <c r="F420" s="183">
        <v>1</v>
      </c>
    </row>
    <row r="421" spans="1:6">
      <c r="A421" s="182" t="s">
        <v>34</v>
      </c>
      <c r="B421" s="143">
        <v>132575</v>
      </c>
      <c r="C421" s="150" t="s">
        <v>274</v>
      </c>
      <c r="D421" s="182" t="s">
        <v>70</v>
      </c>
      <c r="E421" s="216" t="s">
        <v>733</v>
      </c>
      <c r="F421" s="183">
        <v>1</v>
      </c>
    </row>
    <row r="422" spans="1:6">
      <c r="A422" s="182" t="s">
        <v>34</v>
      </c>
      <c r="B422" s="143">
        <v>132611</v>
      </c>
      <c r="C422" s="150" t="s">
        <v>275</v>
      </c>
      <c r="D422" s="182" t="s">
        <v>70</v>
      </c>
      <c r="E422" s="216" t="s">
        <v>733</v>
      </c>
      <c r="F422" s="183">
        <v>1</v>
      </c>
    </row>
    <row r="423" spans="1:6">
      <c r="A423" s="182" t="s">
        <v>34</v>
      </c>
      <c r="B423" s="143">
        <v>132642</v>
      </c>
      <c r="C423" s="150" t="s">
        <v>276</v>
      </c>
      <c r="D423" s="182" t="s">
        <v>70</v>
      </c>
      <c r="E423" s="216" t="s">
        <v>733</v>
      </c>
      <c r="F423" s="183">
        <v>1</v>
      </c>
    </row>
    <row r="424" spans="1:6">
      <c r="A424" s="182" t="s">
        <v>34</v>
      </c>
      <c r="B424" s="143">
        <v>132789</v>
      </c>
      <c r="C424" s="150" t="s">
        <v>277</v>
      </c>
      <c r="D424" s="182" t="s">
        <v>70</v>
      </c>
      <c r="E424" s="216" t="s">
        <v>733</v>
      </c>
      <c r="F424" s="183">
        <v>1</v>
      </c>
    </row>
    <row r="425" spans="1:6">
      <c r="A425" s="182" t="s">
        <v>34</v>
      </c>
      <c r="B425" s="143">
        <v>132796</v>
      </c>
      <c r="C425" s="150" t="s">
        <v>278</v>
      </c>
      <c r="D425" s="182" t="s">
        <v>70</v>
      </c>
      <c r="E425" s="216" t="s">
        <v>733</v>
      </c>
      <c r="F425" s="183">
        <v>1</v>
      </c>
    </row>
    <row r="426" spans="1:6">
      <c r="A426" s="182" t="s">
        <v>34</v>
      </c>
      <c r="B426" s="143">
        <v>132828</v>
      </c>
      <c r="C426" s="150" t="s">
        <v>279</v>
      </c>
      <c r="D426" s="182" t="s">
        <v>70</v>
      </c>
      <c r="E426" s="216" t="s">
        <v>733</v>
      </c>
      <c r="F426" s="183">
        <v>1</v>
      </c>
    </row>
    <row r="427" spans="1:6">
      <c r="A427" s="182" t="s">
        <v>34</v>
      </c>
      <c r="B427" s="143">
        <v>134604</v>
      </c>
      <c r="C427" s="150" t="s">
        <v>280</v>
      </c>
      <c r="D427" s="182" t="s">
        <v>70</v>
      </c>
      <c r="E427" s="216" t="s">
        <v>733</v>
      </c>
      <c r="F427" s="183">
        <v>1</v>
      </c>
    </row>
    <row r="428" spans="1:6">
      <c r="A428" s="182" t="s">
        <v>34</v>
      </c>
      <c r="B428" s="143">
        <v>134884</v>
      </c>
      <c r="C428" s="150" t="s">
        <v>281</v>
      </c>
      <c r="D428" s="182" t="s">
        <v>70</v>
      </c>
      <c r="E428" s="216" t="s">
        <v>733</v>
      </c>
      <c r="F428" s="183">
        <v>1</v>
      </c>
    </row>
    <row r="429" spans="1:6">
      <c r="A429" s="182" t="s">
        <v>34</v>
      </c>
      <c r="B429" s="143">
        <v>148668</v>
      </c>
      <c r="C429" s="150" t="s">
        <v>282</v>
      </c>
      <c r="D429" s="182" t="s">
        <v>70</v>
      </c>
      <c r="E429" s="216" t="s">
        <v>733</v>
      </c>
      <c r="F429" s="183">
        <v>1</v>
      </c>
    </row>
    <row r="430" spans="1:6">
      <c r="A430" s="182" t="s">
        <v>34</v>
      </c>
      <c r="B430" s="143">
        <v>134962</v>
      </c>
      <c r="C430" s="150" t="s">
        <v>47</v>
      </c>
      <c r="D430" s="182" t="s">
        <v>70</v>
      </c>
      <c r="E430" s="216" t="s">
        <v>733</v>
      </c>
      <c r="F430" s="183">
        <v>1</v>
      </c>
    </row>
    <row r="431" spans="1:6">
      <c r="A431" s="182" t="s">
        <v>34</v>
      </c>
      <c r="B431" s="143">
        <v>134995</v>
      </c>
      <c r="C431" s="150" t="s">
        <v>283</v>
      </c>
      <c r="D431" s="182" t="s">
        <v>70</v>
      </c>
      <c r="E431" s="216" t="s">
        <v>733</v>
      </c>
      <c r="F431" s="183">
        <v>1</v>
      </c>
    </row>
    <row r="432" spans="1:6">
      <c r="A432" s="182" t="s">
        <v>34</v>
      </c>
      <c r="B432" s="143">
        <v>134997</v>
      </c>
      <c r="C432" s="150" t="s">
        <v>284</v>
      </c>
      <c r="D432" s="182" t="s">
        <v>70</v>
      </c>
      <c r="E432" s="216" t="s">
        <v>733</v>
      </c>
      <c r="F432" s="183">
        <v>1</v>
      </c>
    </row>
    <row r="433" spans="1:6">
      <c r="A433" s="182" t="s">
        <v>34</v>
      </c>
      <c r="B433" s="143">
        <v>134999</v>
      </c>
      <c r="C433" s="150" t="s">
        <v>285</v>
      </c>
      <c r="D433" s="182" t="s">
        <v>70</v>
      </c>
      <c r="E433" s="216" t="s">
        <v>733</v>
      </c>
      <c r="F433" s="183">
        <v>1</v>
      </c>
    </row>
    <row r="434" spans="1:6">
      <c r="A434" s="182" t="s">
        <v>34</v>
      </c>
      <c r="B434" s="143">
        <v>135002</v>
      </c>
      <c r="C434" s="150" t="s">
        <v>286</v>
      </c>
      <c r="D434" s="182" t="s">
        <v>70</v>
      </c>
      <c r="E434" s="216" t="s">
        <v>733</v>
      </c>
      <c r="F434" s="183">
        <v>1</v>
      </c>
    </row>
    <row r="435" spans="1:6">
      <c r="A435" s="182" t="s">
        <v>34</v>
      </c>
      <c r="B435" s="143">
        <v>135004</v>
      </c>
      <c r="C435" s="150" t="s">
        <v>287</v>
      </c>
      <c r="D435" s="182" t="s">
        <v>70</v>
      </c>
      <c r="E435" s="216" t="s">
        <v>733</v>
      </c>
      <c r="F435" s="183">
        <v>1</v>
      </c>
    </row>
    <row r="436" spans="1:6">
      <c r="A436" s="182" t="s">
        <v>34</v>
      </c>
      <c r="B436" s="143">
        <v>135008</v>
      </c>
      <c r="C436" s="150" t="s">
        <v>288</v>
      </c>
      <c r="D436" s="182" t="s">
        <v>70</v>
      </c>
      <c r="E436" s="216" t="s">
        <v>733</v>
      </c>
      <c r="F436" s="183">
        <v>1</v>
      </c>
    </row>
    <row r="437" spans="1:6">
      <c r="A437" s="182" t="s">
        <v>34</v>
      </c>
      <c r="B437" s="143">
        <v>135016</v>
      </c>
      <c r="C437" s="150" t="s">
        <v>289</v>
      </c>
      <c r="D437" s="182" t="s">
        <v>70</v>
      </c>
      <c r="E437" s="216" t="s">
        <v>733</v>
      </c>
      <c r="F437" s="183">
        <v>1</v>
      </c>
    </row>
    <row r="438" spans="1:6">
      <c r="A438" s="182" t="s">
        <v>34</v>
      </c>
      <c r="B438" s="143">
        <v>135152</v>
      </c>
      <c r="C438" s="150" t="s">
        <v>290</v>
      </c>
      <c r="D438" s="182" t="s">
        <v>70</v>
      </c>
      <c r="E438" s="216" t="s">
        <v>733</v>
      </c>
      <c r="F438" s="183">
        <v>1</v>
      </c>
    </row>
    <row r="439" spans="1:6">
      <c r="A439" s="182" t="s">
        <v>34</v>
      </c>
      <c r="B439" s="143">
        <v>135153</v>
      </c>
      <c r="C439" s="150" t="s">
        <v>291</v>
      </c>
      <c r="D439" s="182" t="s">
        <v>70</v>
      </c>
      <c r="E439" s="216" t="s">
        <v>733</v>
      </c>
      <c r="F439" s="183">
        <v>1</v>
      </c>
    </row>
    <row r="440" spans="1:6">
      <c r="A440" s="182" t="s">
        <v>34</v>
      </c>
      <c r="B440" s="143">
        <v>135181</v>
      </c>
      <c r="C440" s="150" t="s">
        <v>292</v>
      </c>
      <c r="D440" s="182" t="s">
        <v>70</v>
      </c>
      <c r="E440" s="216" t="s">
        <v>733</v>
      </c>
      <c r="F440" s="183">
        <v>1</v>
      </c>
    </row>
    <row r="441" spans="1:6">
      <c r="A441" s="182" t="s">
        <v>34</v>
      </c>
      <c r="B441" s="143">
        <v>135183</v>
      </c>
      <c r="C441" s="150" t="s">
        <v>293</v>
      </c>
      <c r="D441" s="182" t="s">
        <v>70</v>
      </c>
      <c r="E441" s="216" t="s">
        <v>733</v>
      </c>
      <c r="F441" s="183">
        <v>1</v>
      </c>
    </row>
    <row r="442" spans="1:6">
      <c r="A442" s="182" t="s">
        <v>34</v>
      </c>
      <c r="B442" s="143">
        <v>135188</v>
      </c>
      <c r="C442" s="150" t="s">
        <v>294</v>
      </c>
      <c r="D442" s="182" t="s">
        <v>70</v>
      </c>
      <c r="E442" s="216" t="s">
        <v>733</v>
      </c>
      <c r="F442" s="183">
        <v>1</v>
      </c>
    </row>
    <row r="443" spans="1:6">
      <c r="A443" s="182" t="s">
        <v>34</v>
      </c>
      <c r="B443" s="143">
        <v>135190</v>
      </c>
      <c r="C443" s="150" t="s">
        <v>295</v>
      </c>
      <c r="D443" s="182" t="s">
        <v>70</v>
      </c>
      <c r="E443" s="216" t="s">
        <v>733</v>
      </c>
      <c r="F443" s="183">
        <v>1</v>
      </c>
    </row>
    <row r="444" spans="1:6">
      <c r="A444" s="182" t="s">
        <v>34</v>
      </c>
      <c r="B444" s="143">
        <v>135361</v>
      </c>
      <c r="C444" s="150" t="s">
        <v>296</v>
      </c>
      <c r="D444" s="182" t="s">
        <v>70</v>
      </c>
      <c r="E444" s="216" t="s">
        <v>733</v>
      </c>
      <c r="F444" s="183">
        <v>1</v>
      </c>
    </row>
    <row r="445" spans="1:6">
      <c r="A445" s="182" t="s">
        <v>34</v>
      </c>
      <c r="B445" s="143">
        <v>135371</v>
      </c>
      <c r="C445" s="150" t="s">
        <v>297</v>
      </c>
      <c r="D445" s="182" t="s">
        <v>70</v>
      </c>
      <c r="E445" s="216" t="s">
        <v>733</v>
      </c>
      <c r="F445" s="183">
        <v>1</v>
      </c>
    </row>
    <row r="446" spans="1:6">
      <c r="A446" s="182" t="s">
        <v>34</v>
      </c>
      <c r="B446" s="143">
        <v>140854</v>
      </c>
      <c r="C446" s="150" t="s">
        <v>298</v>
      </c>
      <c r="D446" s="182" t="s">
        <v>70</v>
      </c>
      <c r="E446" s="216" t="s">
        <v>733</v>
      </c>
      <c r="F446" s="183">
        <v>1</v>
      </c>
    </row>
    <row r="447" spans="1:6">
      <c r="A447" s="182" t="s">
        <v>34</v>
      </c>
      <c r="B447" s="143">
        <v>143988</v>
      </c>
      <c r="C447" s="150" t="s">
        <v>299</v>
      </c>
      <c r="D447" s="182" t="s">
        <v>70</v>
      </c>
      <c r="E447" s="216" t="s">
        <v>733</v>
      </c>
      <c r="F447" s="183">
        <v>1</v>
      </c>
    </row>
    <row r="448" spans="1:6">
      <c r="A448" s="182" t="s">
        <v>34</v>
      </c>
      <c r="B448" s="143">
        <v>135449</v>
      </c>
      <c r="C448" s="150" t="s">
        <v>300</v>
      </c>
      <c r="D448" s="142" t="s">
        <v>175</v>
      </c>
      <c r="E448" s="210" t="s">
        <v>732</v>
      </c>
      <c r="F448" s="183">
        <v>1</v>
      </c>
    </row>
    <row r="449" spans="1:6">
      <c r="A449" s="182" t="s">
        <v>34</v>
      </c>
      <c r="B449" s="143">
        <v>135453</v>
      </c>
      <c r="C449" s="150" t="s">
        <v>301</v>
      </c>
      <c r="D449" s="182" t="s">
        <v>70</v>
      </c>
      <c r="E449" s="216" t="s">
        <v>733</v>
      </c>
      <c r="F449" s="183">
        <v>1</v>
      </c>
    </row>
    <row r="450" spans="1:6">
      <c r="A450" s="182" t="s">
        <v>34</v>
      </c>
      <c r="B450" s="143">
        <v>135455</v>
      </c>
      <c r="C450" s="150" t="s">
        <v>302</v>
      </c>
      <c r="D450" s="182" t="s">
        <v>70</v>
      </c>
      <c r="E450" s="216" t="s">
        <v>733</v>
      </c>
      <c r="F450" s="183">
        <v>1</v>
      </c>
    </row>
    <row r="451" spans="1:6">
      <c r="A451" s="182" t="s">
        <v>34</v>
      </c>
      <c r="B451" s="143">
        <v>143983</v>
      </c>
      <c r="C451" s="150" t="s">
        <v>303</v>
      </c>
      <c r="D451" s="182" t="s">
        <v>70</v>
      </c>
      <c r="E451" s="216" t="s">
        <v>733</v>
      </c>
      <c r="F451" s="183">
        <v>1</v>
      </c>
    </row>
    <row r="452" spans="1:6">
      <c r="A452" s="182" t="s">
        <v>34</v>
      </c>
      <c r="B452" s="143">
        <v>143991</v>
      </c>
      <c r="C452" s="150" t="s">
        <v>304</v>
      </c>
      <c r="D452" s="182" t="s">
        <v>70</v>
      </c>
      <c r="E452" s="216" t="s">
        <v>733</v>
      </c>
      <c r="F452" s="183">
        <v>1</v>
      </c>
    </row>
    <row r="453" spans="1:6">
      <c r="A453" s="182" t="s">
        <v>34</v>
      </c>
      <c r="B453" s="143">
        <v>143994</v>
      </c>
      <c r="C453" s="150" t="s">
        <v>305</v>
      </c>
      <c r="D453" s="182" t="s">
        <v>70</v>
      </c>
      <c r="E453" s="216" t="s">
        <v>733</v>
      </c>
      <c r="F453" s="183">
        <v>1</v>
      </c>
    </row>
    <row r="454" spans="1:6">
      <c r="A454" s="182" t="s">
        <v>34</v>
      </c>
      <c r="B454" s="143">
        <v>135464</v>
      </c>
      <c r="C454" s="150" t="s">
        <v>306</v>
      </c>
      <c r="D454" s="182" t="s">
        <v>70</v>
      </c>
      <c r="E454" s="216" t="s">
        <v>733</v>
      </c>
      <c r="F454" s="183">
        <v>1</v>
      </c>
    </row>
    <row r="455" spans="1:6">
      <c r="A455" s="182" t="s">
        <v>34</v>
      </c>
      <c r="B455" s="143">
        <v>148688</v>
      </c>
      <c r="C455" s="150" t="s">
        <v>307</v>
      </c>
      <c r="D455" s="182" t="s">
        <v>70</v>
      </c>
      <c r="E455" s="216" t="s">
        <v>733</v>
      </c>
      <c r="F455" s="183">
        <v>1</v>
      </c>
    </row>
    <row r="456" spans="1:6">
      <c r="A456" s="182" t="s">
        <v>34</v>
      </c>
      <c r="B456" s="143">
        <v>135877</v>
      </c>
      <c r="C456" s="150" t="s">
        <v>308</v>
      </c>
      <c r="D456" s="182" t="s">
        <v>70</v>
      </c>
      <c r="E456" s="216" t="s">
        <v>733</v>
      </c>
      <c r="F456" s="183">
        <v>1</v>
      </c>
    </row>
    <row r="457" spans="1:6">
      <c r="A457" s="182" t="s">
        <v>34</v>
      </c>
      <c r="B457" s="143">
        <v>135934</v>
      </c>
      <c r="C457" s="150" t="s">
        <v>309</v>
      </c>
      <c r="D457" s="182" t="s">
        <v>70</v>
      </c>
      <c r="E457" s="216" t="s">
        <v>733</v>
      </c>
      <c r="F457" s="183">
        <v>1</v>
      </c>
    </row>
    <row r="458" spans="1:6">
      <c r="A458" s="182" t="s">
        <v>34</v>
      </c>
      <c r="B458" s="143">
        <v>135998</v>
      </c>
      <c r="C458" s="150" t="s">
        <v>310</v>
      </c>
      <c r="D458" s="142" t="s">
        <v>175</v>
      </c>
      <c r="E458" s="210" t="s">
        <v>732</v>
      </c>
      <c r="F458" s="183">
        <v>1</v>
      </c>
    </row>
    <row r="459" spans="1:6">
      <c r="A459" s="182" t="s">
        <v>34</v>
      </c>
      <c r="B459" s="143">
        <v>136130</v>
      </c>
      <c r="C459" s="150" t="s">
        <v>311</v>
      </c>
      <c r="D459" s="182" t="s">
        <v>70</v>
      </c>
      <c r="E459" s="216" t="s">
        <v>733</v>
      </c>
      <c r="F459" s="183">
        <v>1</v>
      </c>
    </row>
    <row r="460" spans="1:6">
      <c r="A460" s="182" t="s">
        <v>34</v>
      </c>
      <c r="B460" s="143">
        <v>136132</v>
      </c>
      <c r="C460" s="150" t="s">
        <v>312</v>
      </c>
      <c r="D460" s="182" t="s">
        <v>70</v>
      </c>
      <c r="E460" s="216" t="s">
        <v>733</v>
      </c>
      <c r="F460" s="183">
        <v>1</v>
      </c>
    </row>
    <row r="461" spans="1:6">
      <c r="A461" s="182" t="s">
        <v>34</v>
      </c>
      <c r="B461" s="143">
        <v>148671</v>
      </c>
      <c r="C461" s="150" t="s">
        <v>313</v>
      </c>
      <c r="D461" s="182" t="s">
        <v>70</v>
      </c>
      <c r="E461" s="216" t="s">
        <v>733</v>
      </c>
      <c r="F461" s="183">
        <v>1</v>
      </c>
    </row>
    <row r="462" spans="1:6">
      <c r="A462" s="182" t="s">
        <v>34</v>
      </c>
      <c r="B462" s="143">
        <v>148672</v>
      </c>
      <c r="C462" s="150" t="s">
        <v>39</v>
      </c>
      <c r="D462" s="182" t="s">
        <v>70</v>
      </c>
      <c r="E462" s="216" t="s">
        <v>733</v>
      </c>
      <c r="F462" s="183">
        <v>1</v>
      </c>
    </row>
    <row r="463" spans="1:6">
      <c r="A463" s="182" t="s">
        <v>34</v>
      </c>
      <c r="B463" s="143">
        <v>148673</v>
      </c>
      <c r="C463" s="150" t="s">
        <v>38</v>
      </c>
      <c r="D463" s="182" t="s">
        <v>70</v>
      </c>
      <c r="E463" s="216" t="s">
        <v>733</v>
      </c>
      <c r="F463" s="183">
        <v>1</v>
      </c>
    </row>
    <row r="464" spans="1:6">
      <c r="A464" s="182" t="s">
        <v>34</v>
      </c>
      <c r="B464" s="143">
        <v>137243</v>
      </c>
      <c r="C464" s="150" t="s">
        <v>314</v>
      </c>
      <c r="D464" s="182" t="s">
        <v>70</v>
      </c>
      <c r="E464" s="216" t="s">
        <v>733</v>
      </c>
      <c r="F464" s="183">
        <v>1</v>
      </c>
    </row>
    <row r="465" spans="1:6">
      <c r="A465" s="182" t="s">
        <v>34</v>
      </c>
      <c r="B465" s="143">
        <v>138964</v>
      </c>
      <c r="C465" s="150" t="s">
        <v>315</v>
      </c>
      <c r="D465" s="182" t="s">
        <v>70</v>
      </c>
      <c r="E465" s="216" t="s">
        <v>733</v>
      </c>
      <c r="F465" s="183">
        <v>1</v>
      </c>
    </row>
    <row r="466" spans="1:6">
      <c r="A466" s="182" t="s">
        <v>34</v>
      </c>
      <c r="B466" s="143">
        <v>136234</v>
      </c>
      <c r="C466" s="150" t="s">
        <v>316</v>
      </c>
      <c r="D466" s="182" t="s">
        <v>70</v>
      </c>
      <c r="E466" s="216" t="s">
        <v>733</v>
      </c>
      <c r="F466" s="183">
        <v>1</v>
      </c>
    </row>
    <row r="467" spans="1:6">
      <c r="A467" s="182" t="s">
        <v>34</v>
      </c>
      <c r="B467" s="143">
        <v>138982</v>
      </c>
      <c r="C467" s="150" t="s">
        <v>317</v>
      </c>
      <c r="D467" s="182" t="s">
        <v>70</v>
      </c>
      <c r="E467" s="216" t="s">
        <v>733</v>
      </c>
      <c r="F467" s="183">
        <v>1</v>
      </c>
    </row>
    <row r="468" spans="1:6">
      <c r="A468" s="182" t="s">
        <v>34</v>
      </c>
      <c r="B468" s="143">
        <v>138986</v>
      </c>
      <c r="C468" s="150" t="s">
        <v>318</v>
      </c>
      <c r="D468" s="182" t="s">
        <v>70</v>
      </c>
      <c r="E468" s="216" t="s">
        <v>733</v>
      </c>
      <c r="F468" s="183">
        <v>1</v>
      </c>
    </row>
    <row r="469" spans="1:6">
      <c r="A469" s="182" t="s">
        <v>34</v>
      </c>
      <c r="B469" s="143">
        <v>138988</v>
      </c>
      <c r="C469" s="150" t="s">
        <v>319</v>
      </c>
      <c r="D469" s="182" t="s">
        <v>70</v>
      </c>
      <c r="E469" s="216" t="s">
        <v>733</v>
      </c>
      <c r="F469" s="183">
        <v>1</v>
      </c>
    </row>
    <row r="470" spans="1:6">
      <c r="A470" s="182" t="s">
        <v>34</v>
      </c>
      <c r="B470" s="143">
        <v>138994</v>
      </c>
      <c r="C470" s="150" t="s">
        <v>320</v>
      </c>
      <c r="D470" s="182" t="s">
        <v>70</v>
      </c>
      <c r="E470" s="216" t="s">
        <v>733</v>
      </c>
      <c r="F470" s="183">
        <v>1</v>
      </c>
    </row>
    <row r="471" spans="1:6">
      <c r="A471" s="182" t="s">
        <v>34</v>
      </c>
      <c r="B471" s="143">
        <v>138999</v>
      </c>
      <c r="C471" s="150" t="s">
        <v>321</v>
      </c>
      <c r="D471" s="182" t="s">
        <v>70</v>
      </c>
      <c r="E471" s="216" t="s">
        <v>733</v>
      </c>
      <c r="F471" s="183">
        <v>1</v>
      </c>
    </row>
    <row r="472" spans="1:6">
      <c r="A472" s="182" t="s">
        <v>34</v>
      </c>
      <c r="B472" s="143">
        <v>139032</v>
      </c>
      <c r="C472" s="150" t="s">
        <v>322</v>
      </c>
      <c r="D472" s="182" t="s">
        <v>70</v>
      </c>
      <c r="E472" s="216" t="s">
        <v>733</v>
      </c>
      <c r="F472" s="183">
        <v>1</v>
      </c>
    </row>
    <row r="473" spans="1:6">
      <c r="A473" s="182" t="s">
        <v>34</v>
      </c>
      <c r="B473" s="143">
        <v>139033</v>
      </c>
      <c r="C473" s="150" t="s">
        <v>323</v>
      </c>
      <c r="D473" s="182" t="s">
        <v>70</v>
      </c>
      <c r="E473" s="216" t="s">
        <v>733</v>
      </c>
      <c r="F473" s="183">
        <v>1</v>
      </c>
    </row>
    <row r="474" spans="1:6">
      <c r="A474" s="182" t="s">
        <v>34</v>
      </c>
      <c r="B474" s="143">
        <v>139037</v>
      </c>
      <c r="C474" s="150" t="s">
        <v>324</v>
      </c>
      <c r="D474" s="182" t="s">
        <v>70</v>
      </c>
      <c r="E474" s="216" t="s">
        <v>733</v>
      </c>
      <c r="F474" s="183">
        <v>1</v>
      </c>
    </row>
    <row r="475" spans="1:6">
      <c r="A475" s="182" t="s">
        <v>34</v>
      </c>
      <c r="B475" s="143">
        <v>139041</v>
      </c>
      <c r="C475" s="150" t="s">
        <v>325</v>
      </c>
      <c r="D475" s="182" t="s">
        <v>70</v>
      </c>
      <c r="E475" s="216" t="s">
        <v>733</v>
      </c>
      <c r="F475" s="183">
        <v>1</v>
      </c>
    </row>
    <row r="476" spans="1:6">
      <c r="A476" s="182" t="s">
        <v>34</v>
      </c>
      <c r="B476" s="143">
        <v>139043</v>
      </c>
      <c r="C476" s="150" t="s">
        <v>326</v>
      </c>
      <c r="D476" s="182" t="s">
        <v>70</v>
      </c>
      <c r="E476" s="216" t="s">
        <v>733</v>
      </c>
      <c r="F476" s="183">
        <v>1</v>
      </c>
    </row>
    <row r="477" spans="1:6">
      <c r="A477" s="182" t="s">
        <v>34</v>
      </c>
      <c r="B477" s="143">
        <v>139045</v>
      </c>
      <c r="C477" s="150" t="s">
        <v>327</v>
      </c>
      <c r="D477" s="182" t="s">
        <v>70</v>
      </c>
      <c r="E477" s="216" t="s">
        <v>733</v>
      </c>
      <c r="F477" s="183">
        <v>1</v>
      </c>
    </row>
    <row r="478" spans="1:6">
      <c r="A478" s="182" t="s">
        <v>34</v>
      </c>
      <c r="B478" s="143">
        <v>139048</v>
      </c>
      <c r="C478" s="150" t="s">
        <v>328</v>
      </c>
      <c r="D478" s="182" t="s">
        <v>70</v>
      </c>
      <c r="E478" s="216" t="s">
        <v>733</v>
      </c>
      <c r="F478" s="183">
        <v>1</v>
      </c>
    </row>
    <row r="479" spans="1:6">
      <c r="A479" s="182" t="s">
        <v>34</v>
      </c>
      <c r="B479" s="143">
        <v>139049</v>
      </c>
      <c r="C479" s="150" t="s">
        <v>329</v>
      </c>
      <c r="D479" s="182" t="s">
        <v>70</v>
      </c>
      <c r="E479" s="216" t="s">
        <v>733</v>
      </c>
      <c r="F479" s="183">
        <v>1</v>
      </c>
    </row>
    <row r="480" spans="1:6">
      <c r="A480" s="182" t="s">
        <v>34</v>
      </c>
      <c r="B480" s="143">
        <v>139050</v>
      </c>
      <c r="C480" s="150" t="s">
        <v>330</v>
      </c>
      <c r="D480" s="182" t="s">
        <v>70</v>
      </c>
      <c r="E480" s="216" t="s">
        <v>733</v>
      </c>
      <c r="F480" s="183">
        <v>1</v>
      </c>
    </row>
    <row r="481" spans="1:6">
      <c r="A481" s="182" t="s">
        <v>34</v>
      </c>
      <c r="B481" s="143">
        <v>139051</v>
      </c>
      <c r="C481" s="150" t="s">
        <v>331</v>
      </c>
      <c r="D481" s="182" t="s">
        <v>70</v>
      </c>
      <c r="E481" s="216" t="s">
        <v>733</v>
      </c>
      <c r="F481" s="183">
        <v>1</v>
      </c>
    </row>
    <row r="482" spans="1:6">
      <c r="A482" s="182" t="s">
        <v>34</v>
      </c>
      <c r="B482" s="143">
        <v>139066</v>
      </c>
      <c r="C482" s="150" t="s">
        <v>332</v>
      </c>
      <c r="D482" s="182" t="s">
        <v>70</v>
      </c>
      <c r="E482" s="216" t="s">
        <v>733</v>
      </c>
      <c r="F482" s="183">
        <v>1</v>
      </c>
    </row>
    <row r="483" spans="1:6">
      <c r="A483" s="182" t="s">
        <v>34</v>
      </c>
      <c r="B483" s="143">
        <v>139067</v>
      </c>
      <c r="C483" s="150" t="s">
        <v>333</v>
      </c>
      <c r="D483" s="182" t="s">
        <v>70</v>
      </c>
      <c r="E483" s="216" t="s">
        <v>733</v>
      </c>
      <c r="F483" s="183">
        <v>1</v>
      </c>
    </row>
    <row r="484" spans="1:6">
      <c r="A484" s="182" t="s">
        <v>34</v>
      </c>
      <c r="B484" s="143">
        <v>139069</v>
      </c>
      <c r="C484" s="150" t="s">
        <v>334</v>
      </c>
      <c r="D484" s="182" t="s">
        <v>70</v>
      </c>
      <c r="E484" s="216" t="s">
        <v>733</v>
      </c>
      <c r="F484" s="183">
        <v>1</v>
      </c>
    </row>
    <row r="485" spans="1:6">
      <c r="A485" s="182" t="s">
        <v>34</v>
      </c>
      <c r="B485" s="143">
        <v>139070</v>
      </c>
      <c r="C485" s="150" t="s">
        <v>335</v>
      </c>
      <c r="D485" s="182" t="s">
        <v>70</v>
      </c>
      <c r="E485" s="216" t="s">
        <v>733</v>
      </c>
      <c r="F485" s="183">
        <v>1</v>
      </c>
    </row>
    <row r="486" spans="1:6">
      <c r="A486" s="182" t="s">
        <v>34</v>
      </c>
      <c r="B486" s="143">
        <v>135303</v>
      </c>
      <c r="C486" s="150" t="s">
        <v>336</v>
      </c>
      <c r="D486" s="182" t="s">
        <v>70</v>
      </c>
      <c r="E486" s="216" t="s">
        <v>733</v>
      </c>
      <c r="F486" s="183">
        <v>1</v>
      </c>
    </row>
    <row r="487" spans="1:6">
      <c r="A487" s="182" t="s">
        <v>34</v>
      </c>
      <c r="B487" s="143">
        <v>139080</v>
      </c>
      <c r="C487" s="150" t="s">
        <v>337</v>
      </c>
      <c r="D487" s="182" t="s">
        <v>70</v>
      </c>
      <c r="E487" s="216" t="s">
        <v>733</v>
      </c>
      <c r="F487" s="183">
        <v>1</v>
      </c>
    </row>
    <row r="488" spans="1:6">
      <c r="A488" s="182" t="s">
        <v>34</v>
      </c>
      <c r="B488" s="143">
        <v>139082</v>
      </c>
      <c r="C488" s="150" t="s">
        <v>338</v>
      </c>
      <c r="D488" s="182" t="s">
        <v>70</v>
      </c>
      <c r="E488" s="216" t="s">
        <v>733</v>
      </c>
      <c r="F488" s="183">
        <v>1</v>
      </c>
    </row>
    <row r="489" spans="1:6">
      <c r="A489" s="182" t="s">
        <v>34</v>
      </c>
      <c r="B489" s="143">
        <v>139096</v>
      </c>
      <c r="C489" s="150" t="s">
        <v>339</v>
      </c>
      <c r="D489" s="182" t="s">
        <v>70</v>
      </c>
      <c r="E489" s="216" t="s">
        <v>733</v>
      </c>
      <c r="F489" s="183">
        <v>1</v>
      </c>
    </row>
    <row r="490" spans="1:6">
      <c r="A490" s="182" t="s">
        <v>34</v>
      </c>
      <c r="B490" s="143">
        <v>139106</v>
      </c>
      <c r="C490" s="150" t="s">
        <v>340</v>
      </c>
      <c r="D490" s="182" t="s">
        <v>70</v>
      </c>
      <c r="E490" s="216" t="s">
        <v>733</v>
      </c>
      <c r="F490" s="183">
        <v>1</v>
      </c>
    </row>
    <row r="491" spans="1:6">
      <c r="A491" s="182" t="s">
        <v>34</v>
      </c>
      <c r="B491" s="143">
        <v>139108</v>
      </c>
      <c r="C491" s="150" t="s">
        <v>341</v>
      </c>
      <c r="D491" s="182" t="s">
        <v>70</v>
      </c>
      <c r="E491" s="216" t="s">
        <v>733</v>
      </c>
      <c r="F491" s="183">
        <v>1</v>
      </c>
    </row>
    <row r="492" spans="1:6">
      <c r="A492" s="182" t="s">
        <v>34</v>
      </c>
      <c r="B492" s="143">
        <v>139110</v>
      </c>
      <c r="C492" s="150" t="s">
        <v>342</v>
      </c>
      <c r="D492" s="182" t="s">
        <v>70</v>
      </c>
      <c r="E492" s="216" t="s">
        <v>733</v>
      </c>
      <c r="F492" s="183">
        <v>1</v>
      </c>
    </row>
    <row r="493" spans="1:6">
      <c r="A493" s="182" t="s">
        <v>34</v>
      </c>
      <c r="B493" s="143">
        <v>139112</v>
      </c>
      <c r="C493" s="150" t="s">
        <v>343</v>
      </c>
      <c r="D493" s="182" t="s">
        <v>70</v>
      </c>
      <c r="E493" s="216" t="s">
        <v>733</v>
      </c>
      <c r="F493" s="183">
        <v>1</v>
      </c>
    </row>
    <row r="494" spans="1:6">
      <c r="A494" s="182" t="s">
        <v>34</v>
      </c>
      <c r="B494" s="143">
        <v>139113</v>
      </c>
      <c r="C494" s="150" t="s">
        <v>344</v>
      </c>
      <c r="D494" s="182" t="s">
        <v>70</v>
      </c>
      <c r="E494" s="216" t="s">
        <v>733</v>
      </c>
      <c r="F494" s="183">
        <v>1</v>
      </c>
    </row>
    <row r="495" spans="1:6">
      <c r="A495" s="182" t="s">
        <v>34</v>
      </c>
      <c r="B495" s="143">
        <v>139141</v>
      </c>
      <c r="C495" s="150" t="s">
        <v>345</v>
      </c>
      <c r="D495" s="182" t="s">
        <v>70</v>
      </c>
      <c r="E495" s="216" t="s">
        <v>733</v>
      </c>
      <c r="F495" s="183">
        <v>1</v>
      </c>
    </row>
    <row r="496" spans="1:6">
      <c r="A496" s="182" t="s">
        <v>34</v>
      </c>
      <c r="B496" s="143">
        <v>139148</v>
      </c>
      <c r="C496" s="150" t="s">
        <v>346</v>
      </c>
      <c r="D496" s="182" t="s">
        <v>70</v>
      </c>
      <c r="E496" s="216" t="s">
        <v>733</v>
      </c>
      <c r="F496" s="183">
        <v>1</v>
      </c>
    </row>
    <row r="497" spans="1:6">
      <c r="A497" s="182" t="s">
        <v>34</v>
      </c>
      <c r="B497" s="143">
        <v>139161</v>
      </c>
      <c r="C497" s="150" t="s">
        <v>347</v>
      </c>
      <c r="D497" s="182" t="s">
        <v>70</v>
      </c>
      <c r="E497" s="216" t="s">
        <v>733</v>
      </c>
      <c r="F497" s="183">
        <v>1</v>
      </c>
    </row>
    <row r="498" spans="1:6">
      <c r="A498" s="182" t="s">
        <v>34</v>
      </c>
      <c r="B498" s="143">
        <v>139164</v>
      </c>
      <c r="C498" s="150" t="s">
        <v>348</v>
      </c>
      <c r="D498" s="182" t="s">
        <v>70</v>
      </c>
      <c r="E498" s="216" t="s">
        <v>733</v>
      </c>
      <c r="F498" s="183">
        <v>1</v>
      </c>
    </row>
    <row r="499" spans="1:6">
      <c r="A499" s="182" t="s">
        <v>34</v>
      </c>
      <c r="B499" s="143">
        <v>139379</v>
      </c>
      <c r="C499" s="150" t="s">
        <v>46</v>
      </c>
      <c r="D499" s="182" t="s">
        <v>70</v>
      </c>
      <c r="E499" s="216" t="s">
        <v>733</v>
      </c>
      <c r="F499" s="183">
        <v>1</v>
      </c>
    </row>
    <row r="500" spans="1:6">
      <c r="A500" s="182" t="s">
        <v>34</v>
      </c>
      <c r="B500" s="143">
        <v>139600</v>
      </c>
      <c r="C500" s="150" t="s">
        <v>349</v>
      </c>
      <c r="D500" s="182" t="s">
        <v>70</v>
      </c>
      <c r="E500" s="216" t="s">
        <v>733</v>
      </c>
      <c r="F500" s="183">
        <v>1</v>
      </c>
    </row>
    <row r="501" spans="1:6">
      <c r="A501" s="182" t="s">
        <v>34</v>
      </c>
      <c r="B501" s="143">
        <v>139635</v>
      </c>
      <c r="C501" s="150" t="s">
        <v>350</v>
      </c>
      <c r="D501" s="182" t="s">
        <v>70</v>
      </c>
      <c r="E501" s="216" t="s">
        <v>733</v>
      </c>
      <c r="F501" s="183">
        <v>1</v>
      </c>
    </row>
    <row r="502" spans="1:6">
      <c r="A502" s="182" t="s">
        <v>34</v>
      </c>
      <c r="B502" s="143">
        <v>139637</v>
      </c>
      <c r="C502" s="150" t="s">
        <v>351</v>
      </c>
      <c r="D502" s="182" t="s">
        <v>70</v>
      </c>
      <c r="E502" s="216" t="s">
        <v>733</v>
      </c>
      <c r="F502" s="183">
        <v>1</v>
      </c>
    </row>
    <row r="503" spans="1:6">
      <c r="A503" s="182" t="s">
        <v>34</v>
      </c>
      <c r="B503" s="143">
        <v>139638</v>
      </c>
      <c r="C503" s="150" t="s">
        <v>352</v>
      </c>
      <c r="D503" s="182" t="s">
        <v>70</v>
      </c>
      <c r="E503" s="216" t="s">
        <v>733</v>
      </c>
      <c r="F503" s="183">
        <v>1</v>
      </c>
    </row>
    <row r="504" spans="1:6">
      <c r="A504" s="182" t="s">
        <v>34</v>
      </c>
      <c r="B504" s="143">
        <v>139639</v>
      </c>
      <c r="C504" s="150" t="s">
        <v>353</v>
      </c>
      <c r="D504" s="182" t="s">
        <v>70</v>
      </c>
      <c r="E504" s="216" t="s">
        <v>733</v>
      </c>
      <c r="F504" s="183">
        <v>1</v>
      </c>
    </row>
    <row r="505" spans="1:6">
      <c r="A505" s="182" t="s">
        <v>34</v>
      </c>
      <c r="B505" s="143">
        <v>139643</v>
      </c>
      <c r="C505" s="150" t="s">
        <v>354</v>
      </c>
      <c r="D505" s="182" t="s">
        <v>70</v>
      </c>
      <c r="E505" s="216" t="s">
        <v>733</v>
      </c>
      <c r="F505" s="183">
        <v>1</v>
      </c>
    </row>
    <row r="506" spans="1:6">
      <c r="A506" s="182" t="s">
        <v>34</v>
      </c>
      <c r="B506" s="143">
        <v>139730</v>
      </c>
      <c r="C506" s="150" t="s">
        <v>355</v>
      </c>
      <c r="D506" s="182" t="s">
        <v>70</v>
      </c>
      <c r="E506" s="216" t="s">
        <v>733</v>
      </c>
      <c r="F506" s="183">
        <v>1</v>
      </c>
    </row>
    <row r="507" spans="1:6">
      <c r="A507" s="182" t="s">
        <v>34</v>
      </c>
      <c r="B507" s="143">
        <v>139732</v>
      </c>
      <c r="C507" s="150" t="s">
        <v>86</v>
      </c>
      <c r="D507" s="182" t="s">
        <v>70</v>
      </c>
      <c r="E507" s="216" t="s">
        <v>733</v>
      </c>
      <c r="F507" s="183">
        <v>1</v>
      </c>
    </row>
    <row r="508" spans="1:6">
      <c r="A508" s="182" t="s">
        <v>34</v>
      </c>
      <c r="B508" s="143">
        <v>139734</v>
      </c>
      <c r="C508" s="150" t="s">
        <v>356</v>
      </c>
      <c r="D508" s="182" t="s">
        <v>70</v>
      </c>
      <c r="E508" s="216" t="s">
        <v>733</v>
      </c>
      <c r="F508" s="183">
        <v>1</v>
      </c>
    </row>
    <row r="509" spans="1:6">
      <c r="A509" s="182" t="s">
        <v>34</v>
      </c>
      <c r="B509" s="143">
        <v>139949</v>
      </c>
      <c r="C509" s="150" t="s">
        <v>80</v>
      </c>
      <c r="D509" s="142" t="s">
        <v>175</v>
      </c>
      <c r="E509" s="210" t="s">
        <v>732</v>
      </c>
      <c r="F509" s="183">
        <v>1</v>
      </c>
    </row>
    <row r="510" spans="1:6">
      <c r="A510" s="182" t="s">
        <v>34</v>
      </c>
      <c r="B510" s="143">
        <v>139955</v>
      </c>
      <c r="C510" s="150" t="s">
        <v>357</v>
      </c>
      <c r="D510" s="142" t="s">
        <v>175</v>
      </c>
      <c r="E510" s="210" t="s">
        <v>732</v>
      </c>
      <c r="F510" s="183">
        <v>1</v>
      </c>
    </row>
    <row r="511" spans="1:6">
      <c r="A511" s="182" t="s">
        <v>34</v>
      </c>
      <c r="B511" s="143">
        <v>139961</v>
      </c>
      <c r="C511" s="150" t="s">
        <v>358</v>
      </c>
      <c r="D511" s="182" t="s">
        <v>70</v>
      </c>
      <c r="E511" s="216" t="s">
        <v>733</v>
      </c>
      <c r="F511" s="183">
        <v>1</v>
      </c>
    </row>
    <row r="512" spans="1:6">
      <c r="A512" s="182" t="s">
        <v>34</v>
      </c>
      <c r="B512" s="143">
        <v>139962</v>
      </c>
      <c r="C512" s="150" t="s">
        <v>359</v>
      </c>
      <c r="D512" s="182" t="s">
        <v>70</v>
      </c>
      <c r="E512" s="216" t="s">
        <v>733</v>
      </c>
      <c r="F512" s="183">
        <v>1</v>
      </c>
    </row>
    <row r="513" spans="1:6">
      <c r="A513" s="182" t="s">
        <v>34</v>
      </c>
      <c r="B513" s="143">
        <v>139963</v>
      </c>
      <c r="C513" s="150" t="s">
        <v>360</v>
      </c>
      <c r="D513" s="182" t="s">
        <v>70</v>
      </c>
      <c r="E513" s="216" t="s">
        <v>733</v>
      </c>
      <c r="F513" s="183">
        <v>1</v>
      </c>
    </row>
    <row r="514" spans="1:6">
      <c r="A514" s="182" t="s">
        <v>34</v>
      </c>
      <c r="B514" s="143">
        <v>140059</v>
      </c>
      <c r="C514" s="150" t="s">
        <v>361</v>
      </c>
      <c r="D514" s="182" t="s">
        <v>70</v>
      </c>
      <c r="E514" s="216" t="s">
        <v>733</v>
      </c>
      <c r="F514" s="183">
        <v>1</v>
      </c>
    </row>
    <row r="515" spans="1:6">
      <c r="A515" s="182" t="s">
        <v>34</v>
      </c>
      <c r="B515" s="143">
        <v>140109</v>
      </c>
      <c r="C515" s="150" t="s">
        <v>362</v>
      </c>
      <c r="D515" s="182" t="s">
        <v>70</v>
      </c>
      <c r="E515" s="216" t="s">
        <v>733</v>
      </c>
      <c r="F515" s="183">
        <v>1</v>
      </c>
    </row>
    <row r="516" spans="1:6">
      <c r="A516" s="182" t="s">
        <v>34</v>
      </c>
      <c r="B516" s="143">
        <v>140111</v>
      </c>
      <c r="C516" s="150" t="s">
        <v>363</v>
      </c>
      <c r="D516" s="182" t="s">
        <v>70</v>
      </c>
      <c r="E516" s="216" t="s">
        <v>733</v>
      </c>
      <c r="F516" s="183">
        <v>1</v>
      </c>
    </row>
    <row r="517" spans="1:6">
      <c r="A517" s="182" t="s">
        <v>34</v>
      </c>
      <c r="B517" s="143">
        <v>140112</v>
      </c>
      <c r="C517" s="150" t="s">
        <v>364</v>
      </c>
      <c r="D517" s="182" t="s">
        <v>70</v>
      </c>
      <c r="E517" s="216" t="s">
        <v>733</v>
      </c>
      <c r="F517" s="183">
        <v>1</v>
      </c>
    </row>
    <row r="518" spans="1:6">
      <c r="A518" s="182" t="s">
        <v>34</v>
      </c>
      <c r="B518" s="143">
        <v>140128</v>
      </c>
      <c r="C518" s="150" t="s">
        <v>365</v>
      </c>
      <c r="D518" s="142" t="s">
        <v>175</v>
      </c>
      <c r="E518" s="210" t="s">
        <v>732</v>
      </c>
      <c r="F518" s="183">
        <v>1</v>
      </c>
    </row>
    <row r="519" spans="1:6">
      <c r="A519" s="182" t="s">
        <v>34</v>
      </c>
      <c r="B519" s="143">
        <v>140129</v>
      </c>
      <c r="C519" s="150" t="s">
        <v>366</v>
      </c>
      <c r="D519" s="142" t="s">
        <v>149</v>
      </c>
      <c r="E519" s="210" t="s">
        <v>728</v>
      </c>
      <c r="F519" s="183">
        <v>1</v>
      </c>
    </row>
    <row r="520" spans="1:6">
      <c r="A520" s="182" t="s">
        <v>34</v>
      </c>
      <c r="B520" s="143">
        <v>140138</v>
      </c>
      <c r="C520" s="150" t="s">
        <v>367</v>
      </c>
      <c r="D520" s="182" t="s">
        <v>70</v>
      </c>
      <c r="E520" s="216" t="s">
        <v>733</v>
      </c>
      <c r="F520" s="183">
        <v>1</v>
      </c>
    </row>
    <row r="521" spans="1:6">
      <c r="A521" s="182" t="s">
        <v>34</v>
      </c>
      <c r="B521" s="143">
        <v>140139</v>
      </c>
      <c r="C521" s="150" t="s">
        <v>368</v>
      </c>
      <c r="D521" s="182" t="s">
        <v>70</v>
      </c>
      <c r="E521" s="216" t="s">
        <v>733</v>
      </c>
      <c r="F521" s="183">
        <v>1</v>
      </c>
    </row>
    <row r="522" spans="1:6">
      <c r="A522" s="182" t="s">
        <v>34</v>
      </c>
      <c r="B522" s="143">
        <v>140140</v>
      </c>
      <c r="C522" s="150" t="s">
        <v>369</v>
      </c>
      <c r="D522" s="182" t="s">
        <v>70</v>
      </c>
      <c r="E522" s="216" t="s">
        <v>733</v>
      </c>
      <c r="F522" s="183">
        <v>1</v>
      </c>
    </row>
    <row r="523" spans="1:6">
      <c r="A523" s="182" t="s">
        <v>34</v>
      </c>
      <c r="B523" s="143">
        <v>140141</v>
      </c>
      <c r="C523" s="150" t="s">
        <v>370</v>
      </c>
      <c r="D523" s="182" t="s">
        <v>70</v>
      </c>
      <c r="E523" s="216" t="s">
        <v>733</v>
      </c>
      <c r="F523" s="183">
        <v>1</v>
      </c>
    </row>
    <row r="524" spans="1:6">
      <c r="A524" s="182" t="s">
        <v>34</v>
      </c>
      <c r="B524" s="143">
        <v>140142</v>
      </c>
      <c r="C524" s="150" t="s">
        <v>371</v>
      </c>
      <c r="D524" s="182" t="s">
        <v>70</v>
      </c>
      <c r="E524" s="216" t="s">
        <v>733</v>
      </c>
      <c r="F524" s="183">
        <v>1</v>
      </c>
    </row>
    <row r="525" spans="1:6">
      <c r="A525" s="182" t="s">
        <v>34</v>
      </c>
      <c r="B525" s="143">
        <v>140143</v>
      </c>
      <c r="C525" s="150" t="s">
        <v>372</v>
      </c>
      <c r="D525" s="182" t="s">
        <v>70</v>
      </c>
      <c r="E525" s="216" t="s">
        <v>733</v>
      </c>
      <c r="F525" s="183">
        <v>1</v>
      </c>
    </row>
    <row r="526" spans="1:6">
      <c r="A526" s="182" t="s">
        <v>34</v>
      </c>
      <c r="B526" s="143">
        <v>140144</v>
      </c>
      <c r="C526" s="150" t="s">
        <v>373</v>
      </c>
      <c r="D526" s="182" t="s">
        <v>70</v>
      </c>
      <c r="E526" s="216" t="s">
        <v>733</v>
      </c>
      <c r="F526" s="183">
        <v>1</v>
      </c>
    </row>
    <row r="527" spans="1:6">
      <c r="A527" s="182" t="s">
        <v>34</v>
      </c>
      <c r="B527" s="143">
        <v>140145</v>
      </c>
      <c r="C527" s="150" t="s">
        <v>374</v>
      </c>
      <c r="D527" s="182" t="s">
        <v>70</v>
      </c>
      <c r="E527" s="216" t="s">
        <v>733</v>
      </c>
      <c r="F527" s="183">
        <v>1</v>
      </c>
    </row>
    <row r="528" spans="1:6">
      <c r="A528" s="182" t="s">
        <v>34</v>
      </c>
      <c r="B528" s="143">
        <v>140200</v>
      </c>
      <c r="C528" s="150" t="s">
        <v>375</v>
      </c>
      <c r="D528" s="182" t="s">
        <v>70</v>
      </c>
      <c r="E528" s="216" t="s">
        <v>733</v>
      </c>
      <c r="F528" s="183">
        <v>1</v>
      </c>
    </row>
    <row r="529" spans="1:6">
      <c r="A529" s="182" t="s">
        <v>34</v>
      </c>
      <c r="B529" s="143">
        <v>140201</v>
      </c>
      <c r="C529" s="150" t="s">
        <v>376</v>
      </c>
      <c r="D529" s="182" t="s">
        <v>70</v>
      </c>
      <c r="E529" s="216" t="s">
        <v>733</v>
      </c>
      <c r="F529" s="183">
        <v>1</v>
      </c>
    </row>
    <row r="530" spans="1:6">
      <c r="A530" s="182" t="s">
        <v>34</v>
      </c>
      <c r="B530" s="143">
        <v>140202</v>
      </c>
      <c r="C530" s="150" t="s">
        <v>377</v>
      </c>
      <c r="D530" s="182" t="s">
        <v>70</v>
      </c>
      <c r="E530" s="216" t="s">
        <v>733</v>
      </c>
      <c r="F530" s="183">
        <v>1</v>
      </c>
    </row>
    <row r="531" spans="1:6">
      <c r="A531" s="182" t="s">
        <v>34</v>
      </c>
      <c r="B531" s="143">
        <v>140203</v>
      </c>
      <c r="C531" s="150" t="s">
        <v>378</v>
      </c>
      <c r="D531" s="182" t="s">
        <v>70</v>
      </c>
      <c r="E531" s="216" t="s">
        <v>733</v>
      </c>
      <c r="F531" s="183">
        <v>1</v>
      </c>
    </row>
    <row r="532" spans="1:6">
      <c r="A532" s="182" t="s">
        <v>34</v>
      </c>
      <c r="B532" s="143">
        <v>140204</v>
      </c>
      <c r="C532" s="150" t="s">
        <v>379</v>
      </c>
      <c r="D532" s="182" t="s">
        <v>70</v>
      </c>
      <c r="E532" s="216" t="s">
        <v>733</v>
      </c>
      <c r="F532" s="183">
        <v>1</v>
      </c>
    </row>
    <row r="533" spans="1:6">
      <c r="A533" s="182" t="s">
        <v>34</v>
      </c>
      <c r="B533" s="143">
        <v>140205</v>
      </c>
      <c r="C533" s="150" t="s">
        <v>380</v>
      </c>
      <c r="D533" s="182" t="s">
        <v>70</v>
      </c>
      <c r="E533" s="216" t="s">
        <v>733</v>
      </c>
      <c r="F533" s="183">
        <v>1</v>
      </c>
    </row>
    <row r="534" spans="1:6">
      <c r="A534" s="182" t="s">
        <v>34</v>
      </c>
      <c r="B534" s="143">
        <v>140252</v>
      </c>
      <c r="C534" s="150" t="s">
        <v>381</v>
      </c>
      <c r="D534" s="182" t="s">
        <v>70</v>
      </c>
      <c r="E534" s="216" t="s">
        <v>733</v>
      </c>
      <c r="F534" s="183">
        <v>1</v>
      </c>
    </row>
    <row r="535" spans="1:6">
      <c r="A535" s="182" t="s">
        <v>34</v>
      </c>
      <c r="B535" s="143">
        <v>140254</v>
      </c>
      <c r="C535" s="150" t="s">
        <v>382</v>
      </c>
      <c r="D535" s="182" t="s">
        <v>70</v>
      </c>
      <c r="E535" s="216" t="s">
        <v>733</v>
      </c>
      <c r="F535" s="183">
        <v>1</v>
      </c>
    </row>
    <row r="536" spans="1:6">
      <c r="A536" s="182" t="s">
        <v>34</v>
      </c>
      <c r="B536" s="143">
        <v>140255</v>
      </c>
      <c r="C536" s="150" t="s">
        <v>383</v>
      </c>
      <c r="D536" s="182" t="s">
        <v>70</v>
      </c>
      <c r="E536" s="216" t="s">
        <v>733</v>
      </c>
      <c r="F536" s="183">
        <v>1</v>
      </c>
    </row>
    <row r="537" spans="1:6">
      <c r="A537" s="182" t="s">
        <v>34</v>
      </c>
      <c r="B537" s="143">
        <v>140256</v>
      </c>
      <c r="C537" s="150" t="s">
        <v>384</v>
      </c>
      <c r="D537" s="182" t="s">
        <v>70</v>
      </c>
      <c r="E537" s="216" t="s">
        <v>733</v>
      </c>
      <c r="F537" s="183">
        <v>1</v>
      </c>
    </row>
    <row r="538" spans="1:6">
      <c r="A538" s="182" t="s">
        <v>34</v>
      </c>
      <c r="B538" s="143">
        <v>140263</v>
      </c>
      <c r="C538" s="150" t="s">
        <v>126</v>
      </c>
      <c r="D538" s="182" t="s">
        <v>70</v>
      </c>
      <c r="E538" s="216" t="s">
        <v>733</v>
      </c>
      <c r="F538" s="183">
        <v>1</v>
      </c>
    </row>
    <row r="539" spans="1:6">
      <c r="A539" s="182" t="s">
        <v>34</v>
      </c>
      <c r="B539" s="143">
        <v>140355</v>
      </c>
      <c r="C539" s="150" t="s">
        <v>385</v>
      </c>
      <c r="D539" s="182" t="s">
        <v>70</v>
      </c>
      <c r="E539" s="216" t="s">
        <v>733</v>
      </c>
      <c r="F539" s="183">
        <v>1</v>
      </c>
    </row>
    <row r="540" spans="1:6">
      <c r="A540" s="182" t="s">
        <v>34</v>
      </c>
      <c r="B540" s="143">
        <v>140435</v>
      </c>
      <c r="C540" s="150" t="s">
        <v>89</v>
      </c>
      <c r="D540" s="182" t="s">
        <v>70</v>
      </c>
      <c r="E540" s="216" t="s">
        <v>733</v>
      </c>
      <c r="F540" s="183">
        <v>1</v>
      </c>
    </row>
    <row r="541" spans="1:6">
      <c r="A541" s="182" t="s">
        <v>34</v>
      </c>
      <c r="B541" s="143">
        <v>140485</v>
      </c>
      <c r="C541" s="150" t="s">
        <v>386</v>
      </c>
      <c r="D541" s="182" t="s">
        <v>70</v>
      </c>
      <c r="E541" s="216" t="s">
        <v>733</v>
      </c>
      <c r="F541" s="183">
        <v>1</v>
      </c>
    </row>
    <row r="542" spans="1:6">
      <c r="A542" s="182" t="s">
        <v>34</v>
      </c>
      <c r="B542" s="143">
        <v>140541</v>
      </c>
      <c r="C542" s="150" t="s">
        <v>387</v>
      </c>
      <c r="D542" s="182" t="s">
        <v>70</v>
      </c>
      <c r="E542" s="216" t="s">
        <v>733</v>
      </c>
      <c r="F542" s="183">
        <v>1</v>
      </c>
    </row>
    <row r="543" spans="1:6">
      <c r="A543" s="182" t="s">
        <v>34</v>
      </c>
      <c r="B543" s="143">
        <v>140675</v>
      </c>
      <c r="C543" s="150" t="s">
        <v>388</v>
      </c>
      <c r="D543" s="182" t="s">
        <v>70</v>
      </c>
      <c r="E543" s="216" t="s">
        <v>733</v>
      </c>
      <c r="F543" s="183">
        <v>1</v>
      </c>
    </row>
    <row r="544" spans="1:6">
      <c r="A544" s="182" t="s">
        <v>34</v>
      </c>
      <c r="B544" s="143">
        <v>140676</v>
      </c>
      <c r="C544" s="150" t="s">
        <v>389</v>
      </c>
      <c r="D544" s="182" t="s">
        <v>70</v>
      </c>
      <c r="E544" s="216" t="s">
        <v>733</v>
      </c>
      <c r="F544" s="183">
        <v>1</v>
      </c>
    </row>
    <row r="545" spans="1:6">
      <c r="A545" s="182" t="s">
        <v>34</v>
      </c>
      <c r="B545" s="143">
        <v>140677</v>
      </c>
      <c r="C545" s="150" t="s">
        <v>390</v>
      </c>
      <c r="D545" s="182" t="s">
        <v>70</v>
      </c>
      <c r="E545" s="216" t="s">
        <v>733</v>
      </c>
      <c r="F545" s="183">
        <v>1</v>
      </c>
    </row>
    <row r="546" spans="1:6">
      <c r="A546" s="182" t="s">
        <v>34</v>
      </c>
      <c r="B546" s="143">
        <v>141361</v>
      </c>
      <c r="C546" s="150" t="s">
        <v>391</v>
      </c>
      <c r="D546" s="182" t="s">
        <v>70</v>
      </c>
      <c r="E546" s="216" t="s">
        <v>733</v>
      </c>
      <c r="F546" s="183">
        <v>1</v>
      </c>
    </row>
    <row r="547" spans="1:6">
      <c r="A547" s="182" t="s">
        <v>34</v>
      </c>
      <c r="B547" s="143">
        <v>141367</v>
      </c>
      <c r="C547" s="150" t="s">
        <v>392</v>
      </c>
      <c r="D547" s="182" t="s">
        <v>70</v>
      </c>
      <c r="E547" s="216" t="s">
        <v>733</v>
      </c>
      <c r="F547" s="183">
        <v>1</v>
      </c>
    </row>
    <row r="548" spans="1:6">
      <c r="A548" s="182" t="s">
        <v>34</v>
      </c>
      <c r="B548" s="143">
        <v>141467</v>
      </c>
      <c r="C548" s="150" t="s">
        <v>393</v>
      </c>
      <c r="D548" s="182" t="s">
        <v>70</v>
      </c>
      <c r="E548" s="216" t="s">
        <v>733</v>
      </c>
      <c r="F548" s="183">
        <v>1</v>
      </c>
    </row>
    <row r="549" spans="1:6">
      <c r="A549" s="182" t="s">
        <v>34</v>
      </c>
      <c r="B549" s="143">
        <v>141654</v>
      </c>
      <c r="C549" s="150" t="s">
        <v>394</v>
      </c>
      <c r="D549" s="182" t="s">
        <v>70</v>
      </c>
      <c r="E549" s="216" t="s">
        <v>733</v>
      </c>
      <c r="F549" s="183">
        <v>1</v>
      </c>
    </row>
    <row r="550" spans="1:6">
      <c r="A550" s="182" t="s">
        <v>34</v>
      </c>
      <c r="B550" s="143">
        <v>141657</v>
      </c>
      <c r="C550" s="150" t="s">
        <v>395</v>
      </c>
      <c r="D550" s="182" t="s">
        <v>70</v>
      </c>
      <c r="E550" s="216" t="s">
        <v>733</v>
      </c>
      <c r="F550" s="183">
        <v>1</v>
      </c>
    </row>
    <row r="551" spans="1:6">
      <c r="A551" s="182" t="s">
        <v>34</v>
      </c>
      <c r="B551" s="143">
        <v>141763</v>
      </c>
      <c r="C551" s="150" t="s">
        <v>396</v>
      </c>
      <c r="D551" s="182" t="s">
        <v>70</v>
      </c>
      <c r="E551" s="216" t="s">
        <v>733</v>
      </c>
      <c r="F551" s="183">
        <v>1</v>
      </c>
    </row>
    <row r="552" spans="1:6">
      <c r="A552" s="182" t="s">
        <v>34</v>
      </c>
      <c r="B552" s="143">
        <v>141840</v>
      </c>
      <c r="C552" s="150" t="s">
        <v>397</v>
      </c>
      <c r="D552" s="182" t="s">
        <v>70</v>
      </c>
      <c r="E552" s="216" t="s">
        <v>733</v>
      </c>
      <c r="F552" s="183">
        <v>1</v>
      </c>
    </row>
    <row r="553" spans="1:6">
      <c r="A553" s="184" t="s">
        <v>0</v>
      </c>
      <c r="B553" s="185">
        <v>120645</v>
      </c>
      <c r="C553" s="186" t="s">
        <v>53</v>
      </c>
      <c r="D553" s="184" t="s">
        <v>71</v>
      </c>
      <c r="E553" s="207" t="s">
        <v>71</v>
      </c>
      <c r="F553" s="187">
        <v>1</v>
      </c>
    </row>
    <row r="554" spans="1:6">
      <c r="A554" s="184" t="s">
        <v>0</v>
      </c>
      <c r="B554" s="185">
        <v>124065</v>
      </c>
      <c r="C554" s="186" t="s">
        <v>449</v>
      </c>
      <c r="D554" s="184" t="s">
        <v>71</v>
      </c>
      <c r="E554" s="207" t="s">
        <v>71</v>
      </c>
      <c r="F554" s="187">
        <v>1</v>
      </c>
    </row>
    <row r="555" spans="1:6">
      <c r="A555" s="184" t="s">
        <v>0</v>
      </c>
      <c r="B555" s="185">
        <v>138838</v>
      </c>
      <c r="C555" s="186" t="s">
        <v>537</v>
      </c>
      <c r="D555" s="184" t="s">
        <v>71</v>
      </c>
      <c r="E555" s="207" t="s">
        <v>71</v>
      </c>
      <c r="F555" s="187">
        <v>1</v>
      </c>
    </row>
    <row r="556" spans="1:6">
      <c r="A556" s="184" t="s">
        <v>0</v>
      </c>
      <c r="B556" s="185">
        <v>138851</v>
      </c>
      <c r="C556" s="186" t="s">
        <v>538</v>
      </c>
      <c r="D556" s="184" t="s">
        <v>71</v>
      </c>
      <c r="E556" s="207" t="s">
        <v>71</v>
      </c>
      <c r="F556" s="187">
        <v>1</v>
      </c>
    </row>
    <row r="557" spans="1:6">
      <c r="A557" s="184" t="s">
        <v>0</v>
      </c>
      <c r="B557" s="185">
        <v>138872</v>
      </c>
      <c r="C557" s="186" t="s">
        <v>539</v>
      </c>
      <c r="D557" s="184" t="s">
        <v>71</v>
      </c>
      <c r="E557" s="207" t="s">
        <v>71</v>
      </c>
      <c r="F557" s="187">
        <v>1</v>
      </c>
    </row>
    <row r="558" spans="1:6">
      <c r="A558" s="184" t="s">
        <v>0</v>
      </c>
      <c r="B558" s="185">
        <v>138874</v>
      </c>
      <c r="C558" s="186" t="s">
        <v>540</v>
      </c>
      <c r="D558" s="184" t="s">
        <v>71</v>
      </c>
      <c r="E558" s="207" t="s">
        <v>71</v>
      </c>
      <c r="F558" s="187">
        <v>1</v>
      </c>
    </row>
    <row r="559" spans="1:6">
      <c r="A559" s="184" t="s">
        <v>0</v>
      </c>
      <c r="B559" s="185">
        <v>138882</v>
      </c>
      <c r="C559" s="186" t="s">
        <v>541</v>
      </c>
      <c r="D559" s="184" t="s">
        <v>71</v>
      </c>
      <c r="E559" s="207" t="s">
        <v>71</v>
      </c>
      <c r="F559" s="187">
        <v>1</v>
      </c>
    </row>
    <row r="560" spans="1:6">
      <c r="A560" s="184" t="s">
        <v>0</v>
      </c>
      <c r="B560" s="185">
        <v>138889</v>
      </c>
      <c r="C560" s="186" t="s">
        <v>544</v>
      </c>
      <c r="D560" s="184" t="s">
        <v>71</v>
      </c>
      <c r="E560" s="207" t="s">
        <v>71</v>
      </c>
      <c r="F560" s="187">
        <v>1</v>
      </c>
    </row>
    <row r="561" spans="1:7">
      <c r="A561" s="184" t="s">
        <v>0</v>
      </c>
      <c r="B561" s="185">
        <v>138893</v>
      </c>
      <c r="C561" s="186" t="s">
        <v>546</v>
      </c>
      <c r="D561" s="184" t="s">
        <v>71</v>
      </c>
      <c r="E561" s="207" t="s">
        <v>71</v>
      </c>
      <c r="F561" s="187">
        <v>1</v>
      </c>
    </row>
    <row r="562" spans="1:7">
      <c r="A562" s="184" t="s">
        <v>0</v>
      </c>
      <c r="B562" s="185">
        <v>138895</v>
      </c>
      <c r="C562" s="186" t="s">
        <v>547</v>
      </c>
      <c r="D562" s="184" t="s">
        <v>71</v>
      </c>
      <c r="E562" s="207" t="s">
        <v>71</v>
      </c>
      <c r="F562" s="187">
        <v>1</v>
      </c>
    </row>
    <row r="563" spans="1:7">
      <c r="A563" s="184" t="s">
        <v>0</v>
      </c>
      <c r="B563" s="185">
        <v>138897</v>
      </c>
      <c r="C563" s="186" t="s">
        <v>548</v>
      </c>
      <c r="D563" s="184" t="s">
        <v>71</v>
      </c>
      <c r="E563" s="207" t="s">
        <v>71</v>
      </c>
      <c r="F563" s="187">
        <v>1</v>
      </c>
    </row>
    <row r="564" spans="1:7">
      <c r="A564" s="184" t="s">
        <v>0</v>
      </c>
      <c r="B564" s="185">
        <v>138898</v>
      </c>
      <c r="C564" s="186" t="s">
        <v>549</v>
      </c>
      <c r="D564" s="184" t="s">
        <v>71</v>
      </c>
      <c r="E564" s="207" t="s">
        <v>71</v>
      </c>
      <c r="F564" s="187">
        <v>1</v>
      </c>
    </row>
    <row r="565" spans="1:7">
      <c r="A565" s="184" t="s">
        <v>0</v>
      </c>
      <c r="B565" s="185">
        <v>138900</v>
      </c>
      <c r="C565" s="186" t="s">
        <v>550</v>
      </c>
      <c r="D565" s="184" t="s">
        <v>71</v>
      </c>
      <c r="E565" s="207" t="s">
        <v>71</v>
      </c>
      <c r="F565" s="187">
        <v>1</v>
      </c>
    </row>
    <row r="566" spans="1:7">
      <c r="A566" s="184" t="s">
        <v>0</v>
      </c>
      <c r="B566" s="185">
        <v>139737</v>
      </c>
      <c r="C566" s="186" t="s">
        <v>640</v>
      </c>
      <c r="D566" s="184" t="s">
        <v>71</v>
      </c>
      <c r="E566" s="207" t="s">
        <v>71</v>
      </c>
      <c r="F566" s="187">
        <v>1</v>
      </c>
    </row>
    <row r="567" spans="1:7">
      <c r="A567" s="184" t="s">
        <v>0</v>
      </c>
      <c r="B567" s="185">
        <v>139877</v>
      </c>
      <c r="C567" s="186" t="s">
        <v>735</v>
      </c>
      <c r="D567" s="184" t="s">
        <v>71</v>
      </c>
      <c r="E567" s="207" t="s">
        <v>71</v>
      </c>
      <c r="F567" s="187">
        <v>1</v>
      </c>
    </row>
    <row r="568" spans="1:7">
      <c r="A568" s="184" t="s">
        <v>0</v>
      </c>
      <c r="B568" s="185">
        <v>139881</v>
      </c>
      <c r="C568" s="186" t="s">
        <v>101</v>
      </c>
      <c r="D568" s="184" t="s">
        <v>71</v>
      </c>
      <c r="E568" s="207" t="s">
        <v>71</v>
      </c>
      <c r="F568" s="187">
        <v>1</v>
      </c>
    </row>
    <row r="569" spans="1:7">
      <c r="A569" s="184" t="s">
        <v>0</v>
      </c>
      <c r="B569" s="185">
        <v>140382</v>
      </c>
      <c r="C569" s="186" t="s">
        <v>669</v>
      </c>
      <c r="D569" s="184" t="s">
        <v>71</v>
      </c>
      <c r="E569" s="207" t="s">
        <v>71</v>
      </c>
      <c r="F569" s="187">
        <v>1</v>
      </c>
    </row>
    <row r="570" spans="1:7">
      <c r="A570" s="184" t="s">
        <v>0</v>
      </c>
      <c r="B570" s="185">
        <v>140557</v>
      </c>
      <c r="C570" s="186" t="s">
        <v>673</v>
      </c>
      <c r="D570" s="184" t="s">
        <v>71</v>
      </c>
      <c r="E570" s="207" t="s">
        <v>71</v>
      </c>
      <c r="F570" s="187">
        <v>1</v>
      </c>
    </row>
    <row r="571" spans="1:7">
      <c r="A571" s="184" t="s">
        <v>0</v>
      </c>
      <c r="B571" s="185">
        <v>140561</v>
      </c>
      <c r="C571" s="186" t="s">
        <v>674</v>
      </c>
      <c r="D571" s="184" t="s">
        <v>71</v>
      </c>
      <c r="E571" s="207" t="s">
        <v>71</v>
      </c>
      <c r="F571" s="187">
        <v>1</v>
      </c>
    </row>
    <row r="572" spans="1:7">
      <c r="A572" s="184" t="s">
        <v>0</v>
      </c>
      <c r="B572" s="185">
        <v>140585</v>
      </c>
      <c r="C572" s="186" t="s">
        <v>675</v>
      </c>
      <c r="D572" s="184" t="s">
        <v>71</v>
      </c>
      <c r="E572" s="207" t="s">
        <v>71</v>
      </c>
      <c r="F572" s="187">
        <v>1</v>
      </c>
    </row>
    <row r="573" spans="1:7">
      <c r="A573" s="184" t="s">
        <v>0</v>
      </c>
      <c r="B573" s="185">
        <v>140670</v>
      </c>
      <c r="C573" s="186" t="s">
        <v>681</v>
      </c>
      <c r="D573" s="184" t="s">
        <v>71</v>
      </c>
      <c r="E573" s="207" t="s">
        <v>71</v>
      </c>
      <c r="F573" s="187">
        <v>1</v>
      </c>
      <c r="G573" s="134" t="s">
        <v>680</v>
      </c>
    </row>
    <row r="574" spans="1:7">
      <c r="A574" s="184" t="s">
        <v>0</v>
      </c>
      <c r="B574" s="185">
        <v>141365</v>
      </c>
      <c r="C574" s="186" t="s">
        <v>684</v>
      </c>
      <c r="D574" s="184" t="s">
        <v>71</v>
      </c>
      <c r="E574" s="207" t="s">
        <v>71</v>
      </c>
      <c r="F574" s="187">
        <v>1</v>
      </c>
    </row>
    <row r="575" spans="1:7">
      <c r="A575" s="184" t="s">
        <v>0</v>
      </c>
      <c r="B575" s="185">
        <v>142227</v>
      </c>
      <c r="C575" s="186" t="s">
        <v>702</v>
      </c>
      <c r="D575" s="184" t="s">
        <v>71</v>
      </c>
      <c r="E575" s="207" t="s">
        <v>71</v>
      </c>
      <c r="F575" s="187">
        <v>1</v>
      </c>
    </row>
    <row r="576" spans="1:7">
      <c r="A576" s="184" t="s">
        <v>0</v>
      </c>
      <c r="B576" s="185">
        <v>143229</v>
      </c>
      <c r="C576" s="186" t="s">
        <v>720</v>
      </c>
      <c r="D576" s="184" t="s">
        <v>71</v>
      </c>
      <c r="E576" s="207" t="s">
        <v>71</v>
      </c>
      <c r="F576" s="187">
        <v>1</v>
      </c>
    </row>
    <row r="577" spans="1:7">
      <c r="A577" s="184" t="s">
        <v>0</v>
      </c>
      <c r="B577" s="185">
        <v>143232</v>
      </c>
      <c r="C577" s="186" t="s">
        <v>721</v>
      </c>
      <c r="D577" s="184" t="s">
        <v>71</v>
      </c>
      <c r="E577" s="207" t="s">
        <v>71</v>
      </c>
      <c r="F577" s="187">
        <v>1</v>
      </c>
    </row>
    <row r="578" spans="1:7">
      <c r="A578" s="184" t="s">
        <v>0</v>
      </c>
      <c r="B578" s="185">
        <v>143235</v>
      </c>
      <c r="C578" s="186" t="s">
        <v>722</v>
      </c>
      <c r="D578" s="184" t="s">
        <v>71</v>
      </c>
      <c r="E578" s="207" t="s">
        <v>71</v>
      </c>
      <c r="F578" s="187">
        <v>1</v>
      </c>
    </row>
    <row r="579" spans="1:7">
      <c r="A579" s="184" t="s">
        <v>0</v>
      </c>
      <c r="B579" s="185">
        <v>143238</v>
      </c>
      <c r="C579" s="186" t="s">
        <v>723</v>
      </c>
      <c r="D579" s="184" t="s">
        <v>71</v>
      </c>
      <c r="E579" s="207" t="s">
        <v>71</v>
      </c>
      <c r="F579" s="187">
        <v>1</v>
      </c>
    </row>
    <row r="580" spans="1:7">
      <c r="A580" s="184" t="s">
        <v>0</v>
      </c>
      <c r="B580" s="185">
        <v>143250</v>
      </c>
      <c r="C580" s="186" t="s">
        <v>136</v>
      </c>
      <c r="D580" s="184" t="s">
        <v>71</v>
      </c>
      <c r="E580" s="207" t="s">
        <v>71</v>
      </c>
      <c r="F580" s="187">
        <v>1</v>
      </c>
    </row>
    <row r="581" spans="1:7">
      <c r="A581" s="184" t="s">
        <v>0</v>
      </c>
      <c r="B581" s="185">
        <v>143251</v>
      </c>
      <c r="C581" s="186" t="s">
        <v>135</v>
      </c>
      <c r="D581" s="184" t="s">
        <v>71</v>
      </c>
      <c r="E581" s="207" t="s">
        <v>71</v>
      </c>
      <c r="F581" s="187">
        <v>1</v>
      </c>
    </row>
    <row r="582" spans="1:7">
      <c r="A582" s="184" t="s">
        <v>0</v>
      </c>
      <c r="B582" s="185">
        <v>143335</v>
      </c>
      <c r="C582" s="186" t="s">
        <v>131</v>
      </c>
      <c r="D582" s="184" t="s">
        <v>71</v>
      </c>
      <c r="E582" s="207" t="s">
        <v>71</v>
      </c>
      <c r="F582" s="187">
        <v>1</v>
      </c>
    </row>
    <row r="583" spans="1:7">
      <c r="A583" s="138" t="s">
        <v>0</v>
      </c>
      <c r="B583" s="63">
        <v>128872</v>
      </c>
      <c r="C583" s="64" t="s">
        <v>194</v>
      </c>
      <c r="D583" s="138" t="s">
        <v>70</v>
      </c>
      <c r="E583" s="208" t="s">
        <v>145</v>
      </c>
      <c r="F583" s="196">
        <v>42</v>
      </c>
    </row>
    <row r="584" spans="1:7">
      <c r="A584" s="197" t="s">
        <v>0</v>
      </c>
      <c r="B584" s="198">
        <v>138884</v>
      </c>
      <c r="C584" s="199" t="s">
        <v>542</v>
      </c>
      <c r="D584" s="197" t="s">
        <v>163</v>
      </c>
      <c r="E584" s="217" t="s">
        <v>734</v>
      </c>
      <c r="F584" s="200">
        <v>1</v>
      </c>
      <c r="G584" s="201" t="s">
        <v>543</v>
      </c>
    </row>
    <row r="585" spans="1:7">
      <c r="A585" s="138" t="s">
        <v>0</v>
      </c>
      <c r="B585" s="63">
        <v>138890</v>
      </c>
      <c r="C585" s="64" t="s">
        <v>195</v>
      </c>
      <c r="D585" s="138" t="s">
        <v>70</v>
      </c>
      <c r="E585" s="208" t="s">
        <v>145</v>
      </c>
      <c r="F585" s="196">
        <v>42</v>
      </c>
    </row>
    <row r="586" spans="1:7">
      <c r="A586" s="138" t="s">
        <v>0</v>
      </c>
      <c r="B586" s="63">
        <v>138899</v>
      </c>
      <c r="C586" s="64" t="s">
        <v>196</v>
      </c>
      <c r="D586" s="138" t="s">
        <v>70</v>
      </c>
      <c r="E586" s="208" t="s">
        <v>145</v>
      </c>
      <c r="F586" s="196">
        <v>42</v>
      </c>
    </row>
    <row r="587" spans="1:7">
      <c r="A587" s="138" t="s">
        <v>0</v>
      </c>
      <c r="B587" s="63">
        <v>139883</v>
      </c>
      <c r="C587" s="64" t="s">
        <v>197</v>
      </c>
      <c r="D587" s="138" t="s">
        <v>158</v>
      </c>
      <c r="E587" s="208" t="s">
        <v>145</v>
      </c>
      <c r="F587" s="196">
        <v>48</v>
      </c>
    </row>
    <row r="588" spans="1:7">
      <c r="A588" s="138" t="s">
        <v>0</v>
      </c>
      <c r="B588" s="63">
        <v>140668</v>
      </c>
      <c r="C588" s="64" t="s">
        <v>202</v>
      </c>
      <c r="D588" s="138" t="s">
        <v>163</v>
      </c>
      <c r="E588" s="208" t="s">
        <v>150</v>
      </c>
      <c r="F588" s="196">
        <v>30</v>
      </c>
      <c r="G588" s="134" t="s">
        <v>680</v>
      </c>
    </row>
    <row r="589" spans="1:7">
      <c r="A589" s="138" t="s">
        <v>0</v>
      </c>
      <c r="B589" s="63">
        <v>140669</v>
      </c>
      <c r="C589" s="64" t="s">
        <v>198</v>
      </c>
      <c r="D589" s="138" t="s">
        <v>70</v>
      </c>
      <c r="E589" s="208" t="s">
        <v>145</v>
      </c>
      <c r="F589" s="196">
        <v>42</v>
      </c>
      <c r="G589" s="134" t="s">
        <v>680</v>
      </c>
    </row>
    <row r="590" spans="1:7">
      <c r="A590" s="138" t="s">
        <v>0</v>
      </c>
      <c r="B590" s="63">
        <v>143231</v>
      </c>
      <c r="C590" s="64" t="s">
        <v>199</v>
      </c>
      <c r="D590" s="138" t="s">
        <v>70</v>
      </c>
      <c r="E590" s="208" t="s">
        <v>145</v>
      </c>
      <c r="F590" s="196">
        <v>42</v>
      </c>
    </row>
    <row r="591" spans="1:7">
      <c r="A591" s="138" t="s">
        <v>0</v>
      </c>
      <c r="B591" s="63">
        <v>143234</v>
      </c>
      <c r="C591" s="64" t="s">
        <v>200</v>
      </c>
      <c r="D591" s="138" t="s">
        <v>70</v>
      </c>
      <c r="E591" s="208" t="s">
        <v>145</v>
      </c>
      <c r="F591" s="196">
        <v>42</v>
      </c>
    </row>
    <row r="592" spans="1:7">
      <c r="A592" s="138" t="s">
        <v>0</v>
      </c>
      <c r="B592" s="63">
        <v>143237</v>
      </c>
      <c r="C592" s="64" t="s">
        <v>206</v>
      </c>
      <c r="D592" s="138" t="s">
        <v>70</v>
      </c>
      <c r="E592" s="208" t="s">
        <v>733</v>
      </c>
      <c r="F592" s="196">
        <v>1</v>
      </c>
    </row>
    <row r="593" spans="1:7">
      <c r="A593" s="138" t="s">
        <v>0</v>
      </c>
      <c r="B593" s="63">
        <v>143336</v>
      </c>
      <c r="C593" s="64" t="s">
        <v>201</v>
      </c>
      <c r="D593" s="138" t="s">
        <v>70</v>
      </c>
      <c r="E593" s="208" t="s">
        <v>145</v>
      </c>
      <c r="F593" s="196">
        <v>42</v>
      </c>
    </row>
    <row r="594" spans="1:7">
      <c r="A594" s="138" t="s">
        <v>0</v>
      </c>
      <c r="B594" s="63">
        <v>143230</v>
      </c>
      <c r="C594" s="64" t="s">
        <v>203</v>
      </c>
      <c r="D594" s="138" t="s">
        <v>545</v>
      </c>
      <c r="E594" s="208" t="s">
        <v>730</v>
      </c>
      <c r="F594" s="196">
        <v>36</v>
      </c>
    </row>
    <row r="595" spans="1:7">
      <c r="A595" s="138" t="s">
        <v>0</v>
      </c>
      <c r="B595" s="63">
        <v>143233</v>
      </c>
      <c r="C595" s="64" t="s">
        <v>222</v>
      </c>
      <c r="D595" s="138" t="s">
        <v>545</v>
      </c>
      <c r="E595" s="208" t="s">
        <v>731</v>
      </c>
      <c r="F595" s="196">
        <v>1</v>
      </c>
    </row>
    <row r="596" spans="1:7">
      <c r="A596" s="138" t="s">
        <v>0</v>
      </c>
      <c r="B596" s="63">
        <v>143334</v>
      </c>
      <c r="C596" s="64" t="s">
        <v>204</v>
      </c>
      <c r="D596" s="138" t="s">
        <v>545</v>
      </c>
      <c r="E596" s="208" t="s">
        <v>730</v>
      </c>
      <c r="F596" s="196">
        <v>36</v>
      </c>
    </row>
    <row r="597" spans="1:7">
      <c r="A597" s="149" t="s">
        <v>0</v>
      </c>
      <c r="B597" s="71">
        <v>129171</v>
      </c>
      <c r="C597" s="72" t="s">
        <v>207</v>
      </c>
      <c r="D597" s="149" t="s">
        <v>70</v>
      </c>
      <c r="E597" s="209" t="s">
        <v>733</v>
      </c>
      <c r="F597" s="191">
        <v>1</v>
      </c>
    </row>
    <row r="598" spans="1:7">
      <c r="A598" s="149" t="s">
        <v>0</v>
      </c>
      <c r="B598" s="71">
        <v>129174</v>
      </c>
      <c r="C598" s="72" t="s">
        <v>208</v>
      </c>
      <c r="D598" s="149" t="s">
        <v>70</v>
      </c>
      <c r="E598" s="209" t="s">
        <v>733</v>
      </c>
      <c r="F598" s="191">
        <v>1</v>
      </c>
    </row>
    <row r="599" spans="1:7">
      <c r="A599" s="140" t="s">
        <v>0</v>
      </c>
      <c r="B599" s="65">
        <v>135691</v>
      </c>
      <c r="C599" s="66" t="s">
        <v>209</v>
      </c>
      <c r="D599" s="140" t="s">
        <v>70</v>
      </c>
      <c r="E599" s="209" t="s">
        <v>733</v>
      </c>
      <c r="F599" s="194">
        <v>1</v>
      </c>
    </row>
    <row r="600" spans="1:7">
      <c r="A600" s="140" t="s">
        <v>0</v>
      </c>
      <c r="B600" s="65">
        <v>138865</v>
      </c>
      <c r="C600" s="66" t="s">
        <v>210</v>
      </c>
      <c r="D600" s="140" t="s">
        <v>70</v>
      </c>
      <c r="E600" s="209" t="s">
        <v>733</v>
      </c>
      <c r="F600" s="194">
        <v>1</v>
      </c>
    </row>
    <row r="601" spans="1:7">
      <c r="A601" s="149" t="s">
        <v>0</v>
      </c>
      <c r="B601" s="71">
        <v>143249</v>
      </c>
      <c r="C601" s="72" t="s">
        <v>212</v>
      </c>
      <c r="D601" s="149" t="s">
        <v>70</v>
      </c>
      <c r="E601" s="209" t="s">
        <v>733</v>
      </c>
      <c r="F601" s="191">
        <v>1</v>
      </c>
    </row>
    <row r="602" spans="1:7">
      <c r="A602" s="140" t="s">
        <v>0</v>
      </c>
      <c r="B602" s="65">
        <v>138892</v>
      </c>
      <c r="C602" s="66" t="s">
        <v>213</v>
      </c>
      <c r="D602" s="140" t="s">
        <v>545</v>
      </c>
      <c r="E602" s="209" t="s">
        <v>783</v>
      </c>
      <c r="F602" s="194">
        <v>1</v>
      </c>
      <c r="G602" s="172"/>
    </row>
    <row r="603" spans="1:7">
      <c r="A603" s="140" t="s">
        <v>0</v>
      </c>
      <c r="B603" s="65">
        <v>139882</v>
      </c>
      <c r="C603" s="66" t="s">
        <v>214</v>
      </c>
      <c r="D603" s="140" t="s">
        <v>149</v>
      </c>
      <c r="E603" s="209" t="s">
        <v>728</v>
      </c>
      <c r="F603" s="194">
        <v>1</v>
      </c>
    </row>
    <row r="604" spans="1:7">
      <c r="A604" s="142" t="s">
        <v>0</v>
      </c>
      <c r="B604" s="67">
        <v>138888</v>
      </c>
      <c r="C604" s="68" t="s">
        <v>205</v>
      </c>
      <c r="D604" s="142" t="s">
        <v>70</v>
      </c>
      <c r="E604" s="210" t="s">
        <v>733</v>
      </c>
      <c r="F604" s="183">
        <v>1</v>
      </c>
    </row>
    <row r="605" spans="1:7">
      <c r="A605" s="144" t="s">
        <v>0</v>
      </c>
      <c r="B605" s="69">
        <v>143248</v>
      </c>
      <c r="C605" s="70" t="s">
        <v>211</v>
      </c>
      <c r="D605" s="144" t="s">
        <v>70</v>
      </c>
      <c r="E605" s="210" t="s">
        <v>733</v>
      </c>
      <c r="F605" s="202">
        <v>1</v>
      </c>
    </row>
    <row r="606" spans="1:7">
      <c r="A606" s="142" t="s">
        <v>0</v>
      </c>
      <c r="B606" s="67">
        <v>122916</v>
      </c>
      <c r="C606" s="68" t="s">
        <v>215</v>
      </c>
      <c r="D606" s="142" t="s">
        <v>149</v>
      </c>
      <c r="E606" s="210" t="s">
        <v>728</v>
      </c>
      <c r="F606" s="183">
        <v>1</v>
      </c>
    </row>
    <row r="607" spans="1:7">
      <c r="A607" s="142" t="s">
        <v>0</v>
      </c>
      <c r="B607" s="67">
        <v>134989</v>
      </c>
      <c r="C607" s="68" t="s">
        <v>216</v>
      </c>
      <c r="D607" s="142" t="s">
        <v>70</v>
      </c>
      <c r="E607" s="210" t="s">
        <v>733</v>
      </c>
      <c r="F607" s="183">
        <v>1</v>
      </c>
    </row>
    <row r="608" spans="1:7">
      <c r="A608" s="142" t="s">
        <v>0</v>
      </c>
      <c r="B608" s="67">
        <v>138840</v>
      </c>
      <c r="C608" s="68" t="s">
        <v>137</v>
      </c>
      <c r="D608" s="142" t="s">
        <v>70</v>
      </c>
      <c r="E608" s="210" t="s">
        <v>733</v>
      </c>
      <c r="F608" s="183">
        <v>1</v>
      </c>
    </row>
    <row r="609" spans="1:6">
      <c r="A609" s="142" t="s">
        <v>0</v>
      </c>
      <c r="B609" s="67">
        <v>138867</v>
      </c>
      <c r="C609" s="68" t="s">
        <v>217</v>
      </c>
      <c r="D609" s="142" t="s">
        <v>163</v>
      </c>
      <c r="E609" s="210" t="s">
        <v>734</v>
      </c>
      <c r="F609" s="183">
        <v>1</v>
      </c>
    </row>
    <row r="610" spans="1:6">
      <c r="A610" s="142" t="s">
        <v>0</v>
      </c>
      <c r="B610" s="67">
        <v>139593</v>
      </c>
      <c r="C610" s="68" t="s">
        <v>120</v>
      </c>
      <c r="D610" s="142" t="s">
        <v>70</v>
      </c>
      <c r="E610" s="210" t="s">
        <v>733</v>
      </c>
      <c r="F610" s="183">
        <v>1</v>
      </c>
    </row>
    <row r="611" spans="1:6">
      <c r="A611" s="142" t="s">
        <v>0</v>
      </c>
      <c r="B611" s="67">
        <v>140563</v>
      </c>
      <c r="C611" s="68" t="s">
        <v>124</v>
      </c>
      <c r="D611" s="142" t="s">
        <v>70</v>
      </c>
      <c r="E611" s="210" t="s">
        <v>733</v>
      </c>
      <c r="F611" s="183">
        <v>1</v>
      </c>
    </row>
    <row r="612" spans="1:6">
      <c r="A612" s="142" t="s">
        <v>0</v>
      </c>
      <c r="B612" s="67">
        <v>140564</v>
      </c>
      <c r="C612" s="68" t="s">
        <v>218</v>
      </c>
      <c r="D612" s="142" t="s">
        <v>70</v>
      </c>
      <c r="E612" s="210" t="s">
        <v>733</v>
      </c>
      <c r="F612" s="183">
        <v>1</v>
      </c>
    </row>
    <row r="613" spans="1:6">
      <c r="A613" s="142" t="s">
        <v>0</v>
      </c>
      <c r="B613" s="67">
        <v>142226</v>
      </c>
      <c r="C613" s="68" t="s">
        <v>219</v>
      </c>
      <c r="D613" s="142" t="s">
        <v>70</v>
      </c>
      <c r="E613" s="210" t="s">
        <v>733</v>
      </c>
      <c r="F613" s="183">
        <v>1</v>
      </c>
    </row>
    <row r="614" spans="1:6">
      <c r="A614" s="142" t="s">
        <v>0</v>
      </c>
      <c r="B614" s="67">
        <v>143003</v>
      </c>
      <c r="C614" s="68" t="s">
        <v>220</v>
      </c>
      <c r="D614" s="142" t="s">
        <v>70</v>
      </c>
      <c r="E614" s="210" t="s">
        <v>733</v>
      </c>
      <c r="F614" s="183">
        <v>1</v>
      </c>
    </row>
    <row r="615" spans="1:6">
      <c r="A615" s="142" t="s">
        <v>0</v>
      </c>
      <c r="B615" s="67">
        <v>143228</v>
      </c>
      <c r="C615" s="68" t="s">
        <v>221</v>
      </c>
      <c r="D615" s="142" t="s">
        <v>70</v>
      </c>
      <c r="E615" s="210" t="s">
        <v>733</v>
      </c>
      <c r="F615" s="183">
        <v>1</v>
      </c>
    </row>
    <row r="616" spans="1:6">
      <c r="A616" s="142" t="s">
        <v>0</v>
      </c>
      <c r="B616" s="67">
        <v>143236</v>
      </c>
      <c r="C616" s="68" t="s">
        <v>223</v>
      </c>
      <c r="D616" s="142" t="s">
        <v>545</v>
      </c>
      <c r="E616" s="210" t="s">
        <v>731</v>
      </c>
      <c r="F616" s="183">
        <v>1</v>
      </c>
    </row>
    <row r="617" spans="1:6">
      <c r="A617" s="142" t="s">
        <v>0</v>
      </c>
      <c r="B617" s="67">
        <v>143227</v>
      </c>
      <c r="C617" s="68" t="s">
        <v>224</v>
      </c>
      <c r="D617" s="142" t="s">
        <v>545</v>
      </c>
      <c r="E617" s="210" t="s">
        <v>731</v>
      </c>
      <c r="F617" s="183">
        <v>1</v>
      </c>
    </row>
    <row r="618" spans="1:6">
      <c r="F618" s="218"/>
    </row>
  </sheetData>
  <autoFilter ref="A3:G617" xr:uid="{00000000-0009-0000-0000-00000C000000}"/>
  <phoneticPr fontId="16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I407"/>
  <sheetViews>
    <sheetView topLeftCell="A24" workbookViewId="0">
      <selection activeCell="M33" sqref="M33"/>
    </sheetView>
  </sheetViews>
  <sheetFormatPr defaultRowHeight="13.5"/>
  <cols>
    <col min="2" max="2" width="23.5546875" bestFit="1" customWidth="1"/>
  </cols>
  <sheetData>
    <row r="1" spans="1:4">
      <c r="A1" s="307" t="s">
        <v>128</v>
      </c>
      <c r="B1" s="307" t="s">
        <v>834</v>
      </c>
      <c r="C1" s="307" t="s">
        <v>835</v>
      </c>
    </row>
    <row r="2" spans="1:4">
      <c r="A2" s="308">
        <v>135452</v>
      </c>
      <c r="B2" s="309" t="s">
        <v>510</v>
      </c>
      <c r="C2" s="310" t="s">
        <v>71</v>
      </c>
      <c r="D2">
        <f>VLOOKUP(A2,'자차(대명)'!$E$66:$I$551,5,0)</f>
        <v>2586000</v>
      </c>
    </row>
    <row r="3" spans="1:4">
      <c r="A3" s="308">
        <v>135453</v>
      </c>
      <c r="B3" s="309" t="s">
        <v>301</v>
      </c>
      <c r="C3" s="310" t="s">
        <v>70</v>
      </c>
      <c r="D3">
        <f>VLOOKUP(A3,'자차(대명)'!$E$66:$I$551,5,0)</f>
        <v>262000</v>
      </c>
    </row>
    <row r="4" spans="1:4">
      <c r="A4" s="308">
        <v>135454</v>
      </c>
      <c r="B4" s="309" t="s">
        <v>511</v>
      </c>
      <c r="C4" s="310" t="s">
        <v>71</v>
      </c>
      <c r="D4">
        <f>VLOOKUP(A4,'자차(대명)'!$E$66:$I$551,5,0)</f>
        <v>2602000</v>
      </c>
    </row>
    <row r="5" spans="1:4">
      <c r="A5" s="308">
        <v>135455</v>
      </c>
      <c r="B5" s="309" t="s">
        <v>302</v>
      </c>
      <c r="C5" s="310" t="s">
        <v>70</v>
      </c>
      <c r="D5">
        <f>VLOOKUP(A5,'자차(대명)'!$E$66:$I$551,5,0)</f>
        <v>282000</v>
      </c>
    </row>
    <row r="6" spans="1:4">
      <c r="A6" s="308">
        <v>135440</v>
      </c>
      <c r="B6" s="309" t="s">
        <v>505</v>
      </c>
      <c r="C6" s="310" t="s">
        <v>71</v>
      </c>
      <c r="D6">
        <f>VLOOKUP(A6,'자차(대명)'!$E$66:$I$551,5,0)</f>
        <v>2915000</v>
      </c>
    </row>
    <row r="7" spans="1:4">
      <c r="A7" s="311">
        <v>143982</v>
      </c>
      <c r="B7" s="312" t="s">
        <v>749</v>
      </c>
      <c r="C7" s="313" t="s">
        <v>71</v>
      </c>
      <c r="D7">
        <f>VLOOKUP(A7,'자차(대명)'!$E$66:$I$551,5,0)</f>
        <v>2995000</v>
      </c>
    </row>
    <row r="8" spans="1:4">
      <c r="A8" s="311">
        <v>143983</v>
      </c>
      <c r="B8" s="312" t="s">
        <v>743</v>
      </c>
      <c r="C8" s="313" t="s">
        <v>70</v>
      </c>
      <c r="D8">
        <f>VLOOKUP(A8,'자차(대명)'!$E$66:$I$551,5,0)</f>
        <v>287000</v>
      </c>
    </row>
    <row r="9" spans="1:4">
      <c r="A9" s="314">
        <v>135456</v>
      </c>
      <c r="B9" s="315" t="s">
        <v>512</v>
      </c>
      <c r="C9" s="316" t="s">
        <v>71</v>
      </c>
      <c r="D9">
        <f>VLOOKUP(A9,'자차(대명)'!$E$66:$I$551,5,0)</f>
        <v>2995000</v>
      </c>
    </row>
    <row r="10" spans="1:4">
      <c r="A10" s="308">
        <v>135457</v>
      </c>
      <c r="B10" s="309" t="s">
        <v>303</v>
      </c>
      <c r="C10" s="310" t="s">
        <v>70</v>
      </c>
      <c r="D10">
        <f>VLOOKUP(A10,'자차(대명)'!$E$66:$I$551,5,0)</f>
        <v>287000</v>
      </c>
    </row>
    <row r="11" spans="1:4">
      <c r="A11" s="311">
        <v>143985</v>
      </c>
      <c r="B11" s="312" t="s">
        <v>769</v>
      </c>
      <c r="C11" s="313" t="s">
        <v>71</v>
      </c>
      <c r="D11">
        <f>VLOOKUP(A11,'자차(대명)'!$E$66:$I$551,5,0)</f>
        <v>2763000</v>
      </c>
    </row>
    <row r="12" spans="1:4">
      <c r="A12" s="311">
        <v>140854</v>
      </c>
      <c r="B12" s="312" t="s">
        <v>756</v>
      </c>
      <c r="C12" s="313" t="s">
        <v>70</v>
      </c>
      <c r="D12">
        <f>VLOOKUP(A12,'자차(대명)'!$E$66:$I$551,5,0)</f>
        <v>287000</v>
      </c>
    </row>
    <row r="13" spans="1:4">
      <c r="A13" s="308">
        <v>135458</v>
      </c>
      <c r="B13" s="309" t="s">
        <v>420</v>
      </c>
      <c r="C13" s="310" t="s">
        <v>71</v>
      </c>
      <c r="D13">
        <f>VLOOKUP(A13,'자차(대명)'!$E$66:$I$551,5,0)</f>
        <v>2763000</v>
      </c>
    </row>
    <row r="14" spans="1:4">
      <c r="A14" s="314">
        <v>135441</v>
      </c>
      <c r="B14" s="315" t="s">
        <v>836</v>
      </c>
      <c r="C14" s="316" t="s">
        <v>70</v>
      </c>
      <c r="D14">
        <f>VLOOKUP(A14,'자차(대명)'!$E$66:$I$551,5,0)</f>
        <v>287000</v>
      </c>
    </row>
    <row r="15" spans="1:4">
      <c r="A15" s="311">
        <v>143987</v>
      </c>
      <c r="B15" s="312" t="s">
        <v>747</v>
      </c>
      <c r="C15" s="313" t="s">
        <v>71</v>
      </c>
      <c r="D15">
        <f>VLOOKUP(A15,'자차(대명)'!$E$66:$I$551,5,0)</f>
        <v>2938000</v>
      </c>
    </row>
    <row r="16" spans="1:4">
      <c r="A16" s="311">
        <v>143988</v>
      </c>
      <c r="B16" s="312" t="s">
        <v>742</v>
      </c>
      <c r="C16" s="313" t="s">
        <v>70</v>
      </c>
      <c r="D16">
        <f>VLOOKUP(A16,'자차(대명)'!$E$66:$I$551,5,0)</f>
        <v>289000</v>
      </c>
    </row>
    <row r="17" spans="1:4">
      <c r="A17" s="317">
        <v>135459</v>
      </c>
      <c r="B17" s="318" t="s">
        <v>130</v>
      </c>
      <c r="C17" s="319" t="s">
        <v>71</v>
      </c>
      <c r="D17" t="e">
        <f>VLOOKUP(A17,'자차(대명)'!$E$66:$I$551,5,0)</f>
        <v>#N/A</v>
      </c>
    </row>
    <row r="18" spans="1:4">
      <c r="A18" s="317">
        <v>135442</v>
      </c>
      <c r="B18" s="318" t="s">
        <v>299</v>
      </c>
      <c r="C18" s="319" t="s">
        <v>70</v>
      </c>
      <c r="D18" t="e">
        <f>VLOOKUP(A18,'자차(대명)'!$E$66:$I$551,5,0)</f>
        <v>#N/A</v>
      </c>
    </row>
    <row r="19" spans="1:4">
      <c r="A19" s="311">
        <v>143990</v>
      </c>
      <c r="B19" s="312" t="s">
        <v>770</v>
      </c>
      <c r="C19" s="313" t="s">
        <v>71</v>
      </c>
      <c r="D19">
        <f>VLOOKUP(A19,'자차(대명)'!$E$66:$I$551,5,0)</f>
        <v>3124000</v>
      </c>
    </row>
    <row r="20" spans="1:4">
      <c r="A20" s="311">
        <v>143991</v>
      </c>
      <c r="B20" s="312" t="s">
        <v>771</v>
      </c>
      <c r="C20" s="313" t="s">
        <v>70</v>
      </c>
      <c r="D20">
        <f>VLOOKUP(A20,'자차(대명)'!$E$66:$I$551,5,0)</f>
        <v>337000</v>
      </c>
    </row>
    <row r="21" spans="1:4">
      <c r="A21" s="314">
        <v>135443</v>
      </c>
      <c r="B21" s="315" t="s">
        <v>506</v>
      </c>
      <c r="C21" s="316" t="s">
        <v>71</v>
      </c>
      <c r="D21" t="e">
        <f>VLOOKUP(A21,'자차(대명)'!$E$66:$I$551,5,0)</f>
        <v>#N/A</v>
      </c>
    </row>
    <row r="22" spans="1:4">
      <c r="A22" s="308">
        <v>135460</v>
      </c>
      <c r="B22" s="309" t="s">
        <v>304</v>
      </c>
      <c r="C22" s="310" t="s">
        <v>70</v>
      </c>
      <c r="D22">
        <f>VLOOKUP(A22,'자차(대명)'!$E$66:$I$551,5,0)</f>
        <v>337000</v>
      </c>
    </row>
    <row r="23" spans="1:4">
      <c r="A23" s="311">
        <v>143993</v>
      </c>
      <c r="B23" s="312" t="s">
        <v>772</v>
      </c>
      <c r="C23" s="313" t="s">
        <v>71</v>
      </c>
      <c r="D23">
        <f>VLOOKUP(A23,'자차(대명)'!$E$66:$I$551,5,0)</f>
        <v>3255000</v>
      </c>
    </row>
    <row r="24" spans="1:4">
      <c r="A24" s="311">
        <v>143994</v>
      </c>
      <c r="B24" s="312" t="s">
        <v>773</v>
      </c>
      <c r="C24" s="313" t="s">
        <v>70</v>
      </c>
      <c r="D24">
        <f>VLOOKUP(A24,'자차(대명)'!$E$66:$I$551,5,0)</f>
        <v>351000</v>
      </c>
    </row>
    <row r="25" spans="1:4">
      <c r="A25" s="308">
        <v>135461</v>
      </c>
      <c r="B25" s="309" t="s">
        <v>513</v>
      </c>
      <c r="C25" s="310" t="s">
        <v>71</v>
      </c>
      <c r="D25">
        <f>VLOOKUP(A25,'자차(대명)'!$E$66:$I$551,5,0)</f>
        <v>3255000</v>
      </c>
    </row>
    <row r="26" spans="1:4">
      <c r="A26" s="308">
        <v>135462</v>
      </c>
      <c r="B26" s="309" t="s">
        <v>305</v>
      </c>
      <c r="C26" s="310" t="s">
        <v>70</v>
      </c>
      <c r="D26">
        <f>VLOOKUP(A26,'자차(대명)'!$E$66:$I$551,5,0)</f>
        <v>351000</v>
      </c>
    </row>
    <row r="27" spans="1:4">
      <c r="A27" s="308">
        <v>135463</v>
      </c>
      <c r="B27" s="309" t="s">
        <v>514</v>
      </c>
      <c r="C27" s="310" t="s">
        <v>71</v>
      </c>
      <c r="D27">
        <f>VLOOKUP(A27,'자차(대명)'!$E$66:$I$551,5,0)</f>
        <v>3383000</v>
      </c>
    </row>
    <row r="28" spans="1:4">
      <c r="A28" s="308">
        <v>135464</v>
      </c>
      <c r="B28" s="309" t="s">
        <v>306</v>
      </c>
      <c r="C28" s="310" t="s">
        <v>70</v>
      </c>
      <c r="D28">
        <f>VLOOKUP(A28,'자차(대명)'!$E$66:$I$551,5,0)</f>
        <v>364000</v>
      </c>
    </row>
    <row r="35" spans="1:9">
      <c r="A35" s="235">
        <v>128773</v>
      </c>
      <c r="B35" s="236" t="s">
        <v>766</v>
      </c>
      <c r="C35" s="320"/>
      <c r="D35" s="322"/>
      <c r="E35" s="324">
        <v>165000</v>
      </c>
      <c r="F35" s="240">
        <v>128773</v>
      </c>
      <c r="G35" s="241" t="s">
        <v>70</v>
      </c>
      <c r="H35" s="241" t="s">
        <v>34</v>
      </c>
      <c r="I35" s="241">
        <v>18.899999999999999</v>
      </c>
    </row>
    <row r="36" spans="1:9">
      <c r="A36" s="235">
        <v>134999</v>
      </c>
      <c r="B36" s="236" t="s">
        <v>285</v>
      </c>
      <c r="C36" s="320"/>
      <c r="D36" s="322"/>
      <c r="E36" s="324">
        <v>401000</v>
      </c>
      <c r="F36" s="240">
        <v>134999</v>
      </c>
      <c r="G36" s="241" t="s">
        <v>70</v>
      </c>
      <c r="H36" s="241" t="s">
        <v>34</v>
      </c>
      <c r="I36" s="241">
        <v>15.87</v>
      </c>
    </row>
    <row r="37" spans="1:9">
      <c r="A37" s="235">
        <v>121892</v>
      </c>
      <c r="B37" s="236" t="s">
        <v>256</v>
      </c>
      <c r="C37" s="320"/>
      <c r="D37" s="322"/>
      <c r="E37" s="324">
        <v>375000</v>
      </c>
      <c r="F37" s="241">
        <v>121892</v>
      </c>
      <c r="G37" s="241" t="s">
        <v>70</v>
      </c>
      <c r="H37" s="241" t="s">
        <v>34</v>
      </c>
      <c r="I37" s="241">
        <v>18.899999999999999</v>
      </c>
    </row>
    <row r="38" spans="1:9">
      <c r="A38" s="235">
        <v>121902</v>
      </c>
      <c r="B38" s="236" t="s">
        <v>257</v>
      </c>
      <c r="C38" s="320"/>
      <c r="D38" s="322"/>
      <c r="E38" s="324">
        <v>344000</v>
      </c>
      <c r="F38" s="240">
        <v>121902</v>
      </c>
      <c r="G38" s="241" t="s">
        <v>70</v>
      </c>
      <c r="H38" s="241" t="s">
        <v>34</v>
      </c>
      <c r="I38" s="241">
        <v>18.899999999999999</v>
      </c>
    </row>
    <row r="39" spans="1:9">
      <c r="A39" s="235">
        <v>121904</v>
      </c>
      <c r="B39" s="236" t="s">
        <v>258</v>
      </c>
      <c r="C39" s="320"/>
      <c r="D39" s="322"/>
      <c r="E39" s="324">
        <v>335000</v>
      </c>
      <c r="F39" s="240">
        <v>121904</v>
      </c>
      <c r="G39" s="241" t="s">
        <v>70</v>
      </c>
      <c r="H39" s="241" t="s">
        <v>34</v>
      </c>
      <c r="I39" s="241">
        <v>18.899999999999999</v>
      </c>
    </row>
    <row r="40" spans="1:9">
      <c r="A40" s="235">
        <v>121764</v>
      </c>
      <c r="B40" s="236" t="s">
        <v>435</v>
      </c>
      <c r="C40" s="320"/>
      <c r="D40" s="322"/>
      <c r="E40" s="324">
        <v>1050000</v>
      </c>
      <c r="F40" s="241">
        <v>121764</v>
      </c>
      <c r="G40" s="241" t="s">
        <v>71</v>
      </c>
      <c r="H40" s="241" t="s">
        <v>34</v>
      </c>
      <c r="I40" s="241">
        <v>208</v>
      </c>
    </row>
    <row r="41" spans="1:9">
      <c r="A41" s="235">
        <v>121762</v>
      </c>
      <c r="B41" s="236" t="s">
        <v>434</v>
      </c>
      <c r="C41" s="320"/>
      <c r="D41" s="322"/>
      <c r="E41" s="324">
        <v>1097000</v>
      </c>
      <c r="F41" s="241">
        <v>121762</v>
      </c>
      <c r="G41" s="241" t="s">
        <v>71</v>
      </c>
      <c r="H41" s="241" t="s">
        <v>34</v>
      </c>
      <c r="I41" s="241">
        <v>208</v>
      </c>
    </row>
    <row r="42" spans="1:9">
      <c r="A42" s="235">
        <v>135390</v>
      </c>
      <c r="B42" s="37" t="s">
        <v>764</v>
      </c>
      <c r="C42" s="30"/>
      <c r="D42" s="31"/>
      <c r="E42" s="36">
        <v>433000</v>
      </c>
      <c r="F42" s="32">
        <v>135390</v>
      </c>
      <c r="G42" s="32" t="s">
        <v>70</v>
      </c>
      <c r="H42" s="32" t="s">
        <v>69</v>
      </c>
      <c r="I42" s="32">
        <v>20</v>
      </c>
    </row>
    <row r="43" spans="1:9">
      <c r="A43" s="235">
        <v>120084</v>
      </c>
      <c r="B43" s="37" t="s">
        <v>760</v>
      </c>
      <c r="C43" s="30"/>
      <c r="D43" s="31"/>
      <c r="E43" s="36">
        <v>320000</v>
      </c>
      <c r="F43" s="38">
        <v>120084</v>
      </c>
      <c r="G43" s="39" t="s">
        <v>761</v>
      </c>
      <c r="H43" s="32" t="s">
        <v>69</v>
      </c>
      <c r="I43" s="32">
        <v>22.8</v>
      </c>
    </row>
    <row r="44" spans="1:9">
      <c r="A44" s="235">
        <v>139051</v>
      </c>
      <c r="B44" s="236" t="s">
        <v>331</v>
      </c>
      <c r="C44" s="320"/>
      <c r="D44" s="322"/>
      <c r="E44" s="324">
        <v>145000</v>
      </c>
      <c r="F44" s="240">
        <v>139051</v>
      </c>
      <c r="G44" s="241" t="s">
        <v>70</v>
      </c>
      <c r="H44" s="241" t="s">
        <v>34</v>
      </c>
      <c r="I44" s="241">
        <v>18.899999999999999</v>
      </c>
    </row>
    <row r="45" spans="1:9">
      <c r="A45" s="235">
        <v>136131</v>
      </c>
      <c r="B45" s="236" t="s">
        <v>521</v>
      </c>
      <c r="C45" s="320"/>
      <c r="D45" s="322"/>
      <c r="E45" s="324">
        <v>1826000</v>
      </c>
      <c r="F45" s="240">
        <v>136131</v>
      </c>
      <c r="G45" s="241" t="s">
        <v>71</v>
      </c>
      <c r="H45" s="241" t="s">
        <v>34</v>
      </c>
      <c r="I45" s="241">
        <v>180</v>
      </c>
    </row>
    <row r="46" spans="1:9">
      <c r="A46" s="235">
        <v>136130</v>
      </c>
      <c r="B46" s="236" t="s">
        <v>311</v>
      </c>
      <c r="C46" s="320"/>
      <c r="D46" s="322"/>
      <c r="E46" s="324">
        <v>167200</v>
      </c>
      <c r="F46" s="240">
        <v>136130</v>
      </c>
      <c r="G46" s="241" t="s">
        <v>70</v>
      </c>
      <c r="H46" s="241" t="s">
        <v>34</v>
      </c>
      <c r="I46" s="241">
        <v>16</v>
      </c>
    </row>
    <row r="47" spans="1:9">
      <c r="A47" s="235">
        <v>136133</v>
      </c>
      <c r="B47" s="236" t="s">
        <v>522</v>
      </c>
      <c r="C47" s="320"/>
      <c r="D47" s="322"/>
      <c r="E47" s="324">
        <v>1873000</v>
      </c>
      <c r="F47" s="240">
        <v>136133</v>
      </c>
      <c r="G47" s="241" t="s">
        <v>71</v>
      </c>
      <c r="H47" s="241" t="s">
        <v>34</v>
      </c>
      <c r="I47" s="241">
        <v>180</v>
      </c>
    </row>
    <row r="48" spans="1:9">
      <c r="A48" s="235">
        <v>136132</v>
      </c>
      <c r="B48" s="236" t="s">
        <v>312</v>
      </c>
      <c r="C48" s="320"/>
      <c r="D48" s="322"/>
      <c r="E48" s="324">
        <v>167200</v>
      </c>
      <c r="F48" s="240">
        <v>136132</v>
      </c>
      <c r="G48" s="241" t="s">
        <v>70</v>
      </c>
      <c r="H48" s="241" t="s">
        <v>34</v>
      </c>
      <c r="I48" s="241">
        <v>16</v>
      </c>
    </row>
    <row r="49" spans="1:9">
      <c r="A49" s="235">
        <v>133450</v>
      </c>
      <c r="B49" s="236" t="s">
        <v>475</v>
      </c>
      <c r="C49" s="320"/>
      <c r="D49" s="322"/>
      <c r="E49" s="324">
        <v>3932000</v>
      </c>
      <c r="F49" s="240">
        <v>133450</v>
      </c>
      <c r="G49" s="241" t="s">
        <v>71</v>
      </c>
      <c r="H49" s="241" t="s">
        <v>34</v>
      </c>
      <c r="I49" s="241">
        <v>208</v>
      </c>
    </row>
    <row r="50" spans="1:9">
      <c r="A50" s="235">
        <v>139050</v>
      </c>
      <c r="B50" s="236" t="s">
        <v>330</v>
      </c>
      <c r="C50" s="320"/>
      <c r="D50" s="322"/>
      <c r="E50" s="324">
        <v>112400</v>
      </c>
      <c r="F50" s="240">
        <v>139050</v>
      </c>
      <c r="G50" s="241" t="s">
        <v>70</v>
      </c>
      <c r="H50" s="241" t="s">
        <v>34</v>
      </c>
      <c r="I50" s="241">
        <v>20</v>
      </c>
    </row>
    <row r="51" spans="1:9">
      <c r="A51" s="235">
        <v>136159</v>
      </c>
      <c r="B51" s="236" t="s">
        <v>525</v>
      </c>
      <c r="C51" s="320"/>
      <c r="D51" s="322"/>
      <c r="E51" s="324">
        <v>3866000</v>
      </c>
      <c r="F51" s="240">
        <v>136159</v>
      </c>
      <c r="G51" s="241" t="s">
        <v>71</v>
      </c>
      <c r="H51" s="241" t="s">
        <v>34</v>
      </c>
      <c r="I51" s="241">
        <v>208</v>
      </c>
    </row>
    <row r="52" spans="1:9">
      <c r="A52" s="235">
        <v>134937</v>
      </c>
      <c r="B52" s="243" t="s">
        <v>486</v>
      </c>
      <c r="C52" s="320"/>
      <c r="D52" s="322"/>
      <c r="E52" s="324">
        <v>2584000</v>
      </c>
      <c r="F52" s="250">
        <v>134937</v>
      </c>
      <c r="G52" s="241" t="s">
        <v>71</v>
      </c>
      <c r="H52" s="241" t="s">
        <v>34</v>
      </c>
      <c r="I52" s="241">
        <v>208</v>
      </c>
    </row>
    <row r="53" spans="1:9">
      <c r="A53" s="235">
        <v>139955</v>
      </c>
      <c r="B53" s="236" t="s">
        <v>357</v>
      </c>
      <c r="C53" s="320"/>
      <c r="D53" s="322"/>
      <c r="E53" s="324">
        <v>383900</v>
      </c>
      <c r="F53" s="240">
        <v>139955</v>
      </c>
      <c r="G53" s="241" t="s">
        <v>73</v>
      </c>
      <c r="H53" s="241" t="s">
        <v>34</v>
      </c>
      <c r="I53" s="241">
        <v>15.6</v>
      </c>
    </row>
    <row r="54" spans="1:9">
      <c r="A54" s="235">
        <v>139949</v>
      </c>
      <c r="B54" s="236" t="s">
        <v>80</v>
      </c>
      <c r="C54" s="320"/>
      <c r="D54" s="322"/>
      <c r="E54" s="324">
        <v>169400</v>
      </c>
      <c r="F54" s="240">
        <v>139949</v>
      </c>
      <c r="G54" s="241" t="s">
        <v>73</v>
      </c>
      <c r="H54" s="241" t="s">
        <v>34</v>
      </c>
      <c r="I54" s="241">
        <v>15.87</v>
      </c>
    </row>
    <row r="55" spans="1:9">
      <c r="A55" s="235">
        <v>140355</v>
      </c>
      <c r="B55" s="236" t="s">
        <v>385</v>
      </c>
      <c r="C55" s="320"/>
      <c r="D55" s="322"/>
      <c r="E55" s="324">
        <v>196900</v>
      </c>
      <c r="F55" s="240">
        <v>140355</v>
      </c>
      <c r="G55" s="241" t="s">
        <v>70</v>
      </c>
      <c r="H55" s="241" t="s">
        <v>34</v>
      </c>
      <c r="I55" s="241">
        <v>18</v>
      </c>
    </row>
    <row r="56" spans="1:9">
      <c r="A56" s="235">
        <v>135934</v>
      </c>
      <c r="B56" s="236" t="s">
        <v>309</v>
      </c>
      <c r="C56" s="320"/>
      <c r="D56" s="322"/>
      <c r="E56" s="324">
        <v>154000</v>
      </c>
      <c r="F56" s="240">
        <v>135934</v>
      </c>
      <c r="G56" s="241" t="s">
        <v>70</v>
      </c>
      <c r="H56" s="241" t="s">
        <v>34</v>
      </c>
      <c r="I56" s="241">
        <v>16</v>
      </c>
    </row>
    <row r="57" spans="1:9">
      <c r="A57" s="235">
        <v>135935</v>
      </c>
      <c r="B57" s="236" t="s">
        <v>517</v>
      </c>
      <c r="C57" s="321"/>
      <c r="D57" s="323"/>
      <c r="E57" s="324">
        <v>1577000</v>
      </c>
      <c r="F57" s="240">
        <v>135935</v>
      </c>
      <c r="G57" s="241" t="s">
        <v>71</v>
      </c>
      <c r="H57" s="241" t="s">
        <v>34</v>
      </c>
      <c r="I57" s="241">
        <v>180</v>
      </c>
    </row>
    <row r="58" spans="1:9">
      <c r="A58" s="235">
        <v>134601</v>
      </c>
      <c r="B58" s="37" t="s">
        <v>763</v>
      </c>
      <c r="C58" s="30"/>
      <c r="D58" s="31"/>
      <c r="E58" s="36">
        <v>1782000</v>
      </c>
      <c r="F58" s="33">
        <v>134601</v>
      </c>
      <c r="G58" s="32" t="s">
        <v>71</v>
      </c>
      <c r="H58" s="32" t="s">
        <v>69</v>
      </c>
      <c r="I58" s="32">
        <v>200</v>
      </c>
    </row>
    <row r="59" spans="1:9">
      <c r="A59" s="235">
        <v>139052</v>
      </c>
      <c r="B59" s="236" t="s">
        <v>582</v>
      </c>
      <c r="C59" s="320"/>
      <c r="D59" s="322"/>
      <c r="E59" s="324">
        <v>840000</v>
      </c>
      <c r="F59" s="240">
        <v>139052</v>
      </c>
      <c r="G59" s="241" t="s">
        <v>71</v>
      </c>
      <c r="H59" s="241" t="s">
        <v>34</v>
      </c>
      <c r="I59" s="241">
        <v>200</v>
      </c>
    </row>
    <row r="60" spans="1:9">
      <c r="A60" s="235">
        <v>122713</v>
      </c>
      <c r="B60" s="236" t="s">
        <v>67</v>
      </c>
      <c r="C60" s="320"/>
      <c r="D60" s="322"/>
      <c r="E60" s="324">
        <v>89000</v>
      </c>
      <c r="F60" s="241">
        <v>122713</v>
      </c>
      <c r="G60" s="241" t="s">
        <v>70</v>
      </c>
      <c r="H60" s="241" t="s">
        <v>34</v>
      </c>
      <c r="I60" s="241">
        <v>20</v>
      </c>
    </row>
    <row r="61" spans="1:9">
      <c r="A61" s="235">
        <v>138924</v>
      </c>
      <c r="B61" s="236" t="s">
        <v>555</v>
      </c>
      <c r="C61" s="320"/>
      <c r="D61" s="322"/>
      <c r="E61" s="324">
        <v>630000</v>
      </c>
      <c r="F61" s="240">
        <v>138924</v>
      </c>
      <c r="G61" s="241" t="s">
        <v>71</v>
      </c>
      <c r="H61" s="241" t="s">
        <v>34</v>
      </c>
      <c r="I61" s="241">
        <v>200</v>
      </c>
    </row>
    <row r="62" spans="1:9">
      <c r="A62" s="235">
        <v>144364</v>
      </c>
      <c r="B62" s="236" t="s">
        <v>780</v>
      </c>
      <c r="C62" s="320"/>
      <c r="D62" s="322"/>
      <c r="E62" s="324">
        <v>630000</v>
      </c>
      <c r="F62" s="242">
        <v>144364</v>
      </c>
      <c r="G62" s="241" t="s">
        <v>71</v>
      </c>
      <c r="H62" s="241" t="s">
        <v>34</v>
      </c>
      <c r="I62" s="241">
        <v>200</v>
      </c>
    </row>
    <row r="63" spans="1:9">
      <c r="A63" s="235">
        <v>136171</v>
      </c>
      <c r="B63" s="236" t="s">
        <v>39</v>
      </c>
      <c r="C63" s="320"/>
      <c r="D63" s="322"/>
      <c r="E63" s="324">
        <v>67200</v>
      </c>
      <c r="F63" s="240">
        <v>136171</v>
      </c>
      <c r="G63" s="241" t="s">
        <v>70</v>
      </c>
      <c r="H63" s="241" t="s">
        <v>34</v>
      </c>
      <c r="I63" s="241">
        <v>20</v>
      </c>
    </row>
    <row r="64" spans="1:9">
      <c r="A64" s="235">
        <v>144363</v>
      </c>
      <c r="B64" s="236" t="s">
        <v>779</v>
      </c>
      <c r="C64" s="320"/>
      <c r="D64" s="322"/>
      <c r="E64" s="324">
        <v>67200</v>
      </c>
      <c r="F64" s="242">
        <v>144363</v>
      </c>
      <c r="G64" s="241" t="s">
        <v>70</v>
      </c>
      <c r="H64" s="241" t="s">
        <v>34</v>
      </c>
      <c r="I64" s="241">
        <v>20</v>
      </c>
    </row>
    <row r="65" spans="1:9">
      <c r="A65" s="235">
        <v>144353</v>
      </c>
      <c r="B65" s="236" t="s">
        <v>774</v>
      </c>
      <c r="C65" s="320"/>
      <c r="D65" s="322"/>
      <c r="E65" s="324">
        <v>592000</v>
      </c>
      <c r="F65" s="242">
        <v>144353</v>
      </c>
      <c r="G65" s="241" t="s">
        <v>71</v>
      </c>
      <c r="H65" s="241" t="s">
        <v>34</v>
      </c>
      <c r="I65" s="241">
        <v>200</v>
      </c>
    </row>
    <row r="66" spans="1:9">
      <c r="A66" s="235">
        <v>144351</v>
      </c>
      <c r="B66" s="236" t="s">
        <v>758</v>
      </c>
      <c r="C66" s="320"/>
      <c r="D66" s="322"/>
      <c r="E66" s="324">
        <v>63300</v>
      </c>
      <c r="F66" s="242">
        <v>144351</v>
      </c>
      <c r="G66" s="241" t="s">
        <v>70</v>
      </c>
      <c r="H66" s="241" t="s">
        <v>34</v>
      </c>
      <c r="I66" s="241">
        <v>20</v>
      </c>
    </row>
    <row r="67" spans="1:9">
      <c r="A67" s="235">
        <v>138925</v>
      </c>
      <c r="B67" s="236" t="s">
        <v>556</v>
      </c>
      <c r="C67" s="320"/>
      <c r="D67" s="322"/>
      <c r="E67" s="324">
        <v>668000</v>
      </c>
      <c r="F67" s="240">
        <v>138925</v>
      </c>
      <c r="G67" s="241" t="s">
        <v>71</v>
      </c>
      <c r="H67" s="241" t="s">
        <v>34</v>
      </c>
      <c r="I67" s="241">
        <v>200</v>
      </c>
    </row>
    <row r="68" spans="1:9">
      <c r="A68" s="235">
        <v>144367</v>
      </c>
      <c r="B68" s="236" t="s">
        <v>782</v>
      </c>
      <c r="C68" s="320"/>
      <c r="D68" s="322"/>
      <c r="E68" s="324">
        <v>668000</v>
      </c>
      <c r="F68" s="242">
        <v>144367</v>
      </c>
      <c r="G68" s="241" t="s">
        <v>71</v>
      </c>
      <c r="H68" s="241" t="s">
        <v>34</v>
      </c>
      <c r="I68" s="241">
        <v>200</v>
      </c>
    </row>
    <row r="69" spans="1:9">
      <c r="A69" s="235">
        <v>136172</v>
      </c>
      <c r="B69" s="236" t="s">
        <v>38</v>
      </c>
      <c r="C69" s="320"/>
      <c r="D69" s="322"/>
      <c r="E69" s="324">
        <v>70800</v>
      </c>
      <c r="F69" s="240">
        <v>136172</v>
      </c>
      <c r="G69" s="241" t="s">
        <v>70</v>
      </c>
      <c r="H69" s="241" t="s">
        <v>34</v>
      </c>
      <c r="I69" s="241">
        <v>20</v>
      </c>
    </row>
    <row r="70" spans="1:9">
      <c r="A70" s="235">
        <v>144366</v>
      </c>
      <c r="B70" s="236" t="s">
        <v>781</v>
      </c>
      <c r="C70" s="320"/>
      <c r="D70" s="322"/>
      <c r="E70" s="324">
        <v>70800</v>
      </c>
      <c r="F70" s="242">
        <v>144366</v>
      </c>
      <c r="G70" s="241" t="s">
        <v>70</v>
      </c>
      <c r="H70" s="241" t="s">
        <v>34</v>
      </c>
      <c r="I70" s="241">
        <v>20</v>
      </c>
    </row>
    <row r="71" spans="1:9">
      <c r="A71" s="235">
        <v>144355</v>
      </c>
      <c r="B71" s="236" t="s">
        <v>775</v>
      </c>
      <c r="C71" s="320"/>
      <c r="D71" s="322"/>
      <c r="E71" s="324">
        <v>592000</v>
      </c>
      <c r="F71" s="242">
        <v>144355</v>
      </c>
      <c r="G71" s="241" t="s">
        <v>71</v>
      </c>
      <c r="H71" s="241" t="s">
        <v>34</v>
      </c>
      <c r="I71" s="241">
        <v>200</v>
      </c>
    </row>
    <row r="72" spans="1:9">
      <c r="A72" s="235">
        <v>144352</v>
      </c>
      <c r="B72" s="236" t="s">
        <v>755</v>
      </c>
      <c r="C72" s="320"/>
      <c r="D72" s="322"/>
      <c r="E72" s="324">
        <v>63300</v>
      </c>
      <c r="F72" s="242">
        <v>144352</v>
      </c>
      <c r="G72" s="241" t="s">
        <v>70</v>
      </c>
      <c r="H72" s="241" t="s">
        <v>34</v>
      </c>
      <c r="I72" s="241">
        <v>20</v>
      </c>
    </row>
    <row r="73" spans="1:9">
      <c r="A73" s="235">
        <v>144358</v>
      </c>
      <c r="B73" s="236" t="s">
        <v>754</v>
      </c>
      <c r="C73" s="320"/>
      <c r="D73" s="322"/>
      <c r="E73" s="324">
        <v>592000</v>
      </c>
      <c r="F73" s="242">
        <v>144358</v>
      </c>
      <c r="G73" s="241" t="s">
        <v>71</v>
      </c>
      <c r="H73" s="241" t="s">
        <v>34</v>
      </c>
      <c r="I73" s="241">
        <v>200</v>
      </c>
    </row>
    <row r="74" spans="1:9">
      <c r="A74" s="235">
        <v>144357</v>
      </c>
      <c r="B74" s="236" t="s">
        <v>776</v>
      </c>
      <c r="C74" s="320"/>
      <c r="D74" s="322"/>
      <c r="E74" s="324">
        <v>63300</v>
      </c>
      <c r="F74" s="242">
        <v>144357</v>
      </c>
      <c r="G74" s="241" t="s">
        <v>70</v>
      </c>
      <c r="H74" s="241" t="s">
        <v>34</v>
      </c>
      <c r="I74" s="241">
        <v>20</v>
      </c>
    </row>
    <row r="75" spans="1:9">
      <c r="A75" s="235">
        <v>144361</v>
      </c>
      <c r="B75" s="236" t="s">
        <v>778</v>
      </c>
      <c r="C75" s="320"/>
      <c r="D75" s="322"/>
      <c r="E75" s="324">
        <v>592000</v>
      </c>
      <c r="F75" s="242">
        <v>144361</v>
      </c>
      <c r="G75" s="241" t="s">
        <v>71</v>
      </c>
      <c r="H75" s="241" t="s">
        <v>34</v>
      </c>
      <c r="I75" s="241">
        <v>200</v>
      </c>
    </row>
    <row r="76" spans="1:9">
      <c r="A76" s="235">
        <v>144360</v>
      </c>
      <c r="B76" s="236" t="s">
        <v>777</v>
      </c>
      <c r="C76" s="320"/>
      <c r="D76" s="322"/>
      <c r="E76" s="324">
        <v>63300</v>
      </c>
      <c r="F76" s="242">
        <v>144360</v>
      </c>
      <c r="G76" s="241" t="s">
        <v>70</v>
      </c>
      <c r="H76" s="241" t="s">
        <v>34</v>
      </c>
      <c r="I76" s="241">
        <v>20</v>
      </c>
    </row>
    <row r="77" spans="1:9">
      <c r="A77" s="235">
        <v>141738</v>
      </c>
      <c r="B77" s="236" t="s">
        <v>115</v>
      </c>
      <c r="C77" s="320"/>
      <c r="D77" s="322"/>
      <c r="E77" s="324">
        <v>437000</v>
      </c>
      <c r="F77" s="240">
        <v>141738</v>
      </c>
      <c r="G77" s="241" t="s">
        <v>71</v>
      </c>
      <c r="H77" s="241" t="s">
        <v>34</v>
      </c>
      <c r="I77" s="241">
        <v>200</v>
      </c>
    </row>
    <row r="78" spans="1:9">
      <c r="A78" s="235">
        <v>141737</v>
      </c>
      <c r="B78" s="236" t="s">
        <v>116</v>
      </c>
      <c r="C78" s="320"/>
      <c r="D78" s="322"/>
      <c r="E78" s="324">
        <v>47300</v>
      </c>
      <c r="F78" s="240">
        <v>141737</v>
      </c>
      <c r="G78" s="241" t="s">
        <v>70</v>
      </c>
      <c r="H78" s="241" t="s">
        <v>34</v>
      </c>
      <c r="I78" s="241">
        <v>20</v>
      </c>
    </row>
    <row r="79" spans="1:9">
      <c r="A79" s="235">
        <v>141742</v>
      </c>
      <c r="B79" s="236" t="s">
        <v>113</v>
      </c>
      <c r="C79" s="320"/>
      <c r="D79" s="322"/>
      <c r="E79" s="324">
        <v>414000</v>
      </c>
      <c r="F79" s="240">
        <v>141742</v>
      </c>
      <c r="G79" s="241" t="s">
        <v>71</v>
      </c>
      <c r="H79" s="241" t="s">
        <v>34</v>
      </c>
      <c r="I79" s="241">
        <v>200</v>
      </c>
    </row>
    <row r="80" spans="1:9">
      <c r="A80" s="235">
        <v>141741</v>
      </c>
      <c r="B80" s="236" t="s">
        <v>114</v>
      </c>
      <c r="C80" s="320"/>
      <c r="D80" s="322"/>
      <c r="E80" s="324">
        <v>45200</v>
      </c>
      <c r="F80" s="240">
        <v>141741</v>
      </c>
      <c r="G80" s="241" t="s">
        <v>70</v>
      </c>
      <c r="H80" s="241" t="s">
        <v>34</v>
      </c>
      <c r="I80" s="241">
        <v>20</v>
      </c>
    </row>
    <row r="81" spans="1:9">
      <c r="A81" s="235">
        <v>141746</v>
      </c>
      <c r="B81" s="236" t="s">
        <v>111</v>
      </c>
      <c r="C81" s="320"/>
      <c r="D81" s="322"/>
      <c r="E81" s="324">
        <v>414000</v>
      </c>
      <c r="F81" s="240">
        <v>141746</v>
      </c>
      <c r="G81" s="241" t="s">
        <v>71</v>
      </c>
      <c r="H81" s="241" t="s">
        <v>34</v>
      </c>
      <c r="I81" s="241">
        <v>200</v>
      </c>
    </row>
    <row r="82" spans="1:9">
      <c r="A82" s="235">
        <v>141745</v>
      </c>
      <c r="B82" s="236" t="s">
        <v>112</v>
      </c>
      <c r="C82" s="237"/>
      <c r="D82" s="238"/>
      <c r="E82" s="239">
        <v>45200</v>
      </c>
      <c r="F82" s="240">
        <v>141745</v>
      </c>
      <c r="G82" s="241" t="s">
        <v>70</v>
      </c>
      <c r="H82" s="241" t="s">
        <v>34</v>
      </c>
      <c r="I82" s="241">
        <v>20</v>
      </c>
    </row>
    <row r="83" spans="1:9">
      <c r="A83" s="235">
        <v>141751</v>
      </c>
      <c r="B83" s="236" t="s">
        <v>110</v>
      </c>
      <c r="C83" s="237"/>
      <c r="D83" s="238"/>
      <c r="E83" s="239">
        <v>414000</v>
      </c>
      <c r="F83" s="240">
        <v>141751</v>
      </c>
      <c r="G83" s="241" t="s">
        <v>71</v>
      </c>
      <c r="H83" s="241" t="s">
        <v>34</v>
      </c>
      <c r="I83" s="241">
        <v>200</v>
      </c>
    </row>
    <row r="84" spans="1:9">
      <c r="A84" s="235">
        <v>141750</v>
      </c>
      <c r="B84" s="236" t="s">
        <v>231</v>
      </c>
      <c r="C84" s="237"/>
      <c r="D84" s="238"/>
      <c r="E84" s="239">
        <v>45200</v>
      </c>
      <c r="F84" s="242">
        <v>141750</v>
      </c>
      <c r="G84" s="241" t="s">
        <v>70</v>
      </c>
      <c r="H84" s="241" t="s">
        <v>34</v>
      </c>
      <c r="I84" s="241">
        <v>20</v>
      </c>
    </row>
    <row r="85" spans="1:9">
      <c r="A85" s="235">
        <v>139040</v>
      </c>
      <c r="B85" s="236" t="s">
        <v>577</v>
      </c>
      <c r="C85" s="237"/>
      <c r="D85" s="238"/>
      <c r="E85" s="239">
        <v>485000</v>
      </c>
      <c r="F85" s="240">
        <v>139040</v>
      </c>
      <c r="G85" s="241" t="s">
        <v>71</v>
      </c>
      <c r="H85" s="241" t="s">
        <v>34</v>
      </c>
      <c r="I85" s="241">
        <v>200</v>
      </c>
    </row>
    <row r="86" spans="1:9">
      <c r="A86" s="235">
        <v>140485</v>
      </c>
      <c r="B86" s="236" t="s">
        <v>386</v>
      </c>
      <c r="C86" s="237"/>
      <c r="D86" s="238"/>
      <c r="E86" s="239">
        <v>90200</v>
      </c>
      <c r="F86" s="240">
        <v>140485</v>
      </c>
      <c r="G86" s="241" t="s">
        <v>70</v>
      </c>
      <c r="H86" s="241" t="s">
        <v>34</v>
      </c>
      <c r="I86" s="241">
        <v>20</v>
      </c>
    </row>
    <row r="87" spans="1:9">
      <c r="A87" s="235">
        <v>148677</v>
      </c>
      <c r="B87" s="236" t="s">
        <v>134</v>
      </c>
      <c r="C87" s="237"/>
      <c r="D87" s="238"/>
      <c r="E87" s="239">
        <v>867000</v>
      </c>
      <c r="F87" s="240">
        <v>148677</v>
      </c>
      <c r="G87" s="241" t="s">
        <v>71</v>
      </c>
      <c r="H87" s="241" t="s">
        <v>34</v>
      </c>
      <c r="I87" s="241">
        <v>200</v>
      </c>
    </row>
    <row r="88" spans="1:9">
      <c r="A88" s="235">
        <v>141367</v>
      </c>
      <c r="B88" s="236" t="s">
        <v>392</v>
      </c>
      <c r="C88" s="237"/>
      <c r="D88" s="238"/>
      <c r="E88" s="239">
        <v>90200</v>
      </c>
      <c r="F88" s="240">
        <v>141367</v>
      </c>
      <c r="G88" s="241" t="s">
        <v>70</v>
      </c>
      <c r="H88" s="241" t="s">
        <v>34</v>
      </c>
      <c r="I88" s="241">
        <v>20</v>
      </c>
    </row>
    <row r="89" spans="1:9">
      <c r="A89" s="235">
        <v>148676</v>
      </c>
      <c r="B89" s="236" t="s">
        <v>520</v>
      </c>
      <c r="C89" s="237"/>
      <c r="D89" s="238"/>
      <c r="E89" s="239">
        <v>543000</v>
      </c>
      <c r="F89" s="240">
        <v>148676</v>
      </c>
      <c r="G89" s="241" t="s">
        <v>71</v>
      </c>
      <c r="H89" s="241" t="s">
        <v>34</v>
      </c>
      <c r="I89" s="241">
        <v>208</v>
      </c>
    </row>
    <row r="90" spans="1:9">
      <c r="A90" s="235">
        <v>139041</v>
      </c>
      <c r="B90" s="236" t="s">
        <v>325</v>
      </c>
      <c r="C90" s="237"/>
      <c r="D90" s="238"/>
      <c r="E90" s="239">
        <v>51700</v>
      </c>
      <c r="F90" s="240">
        <v>139041</v>
      </c>
      <c r="G90" s="241" t="s">
        <v>70</v>
      </c>
      <c r="H90" s="241" t="s">
        <v>34</v>
      </c>
      <c r="I90" s="241">
        <v>20</v>
      </c>
    </row>
    <row r="91" spans="1:9">
      <c r="A91" s="235">
        <v>139042</v>
      </c>
      <c r="B91" s="236" t="s">
        <v>578</v>
      </c>
      <c r="C91" s="237"/>
      <c r="D91" s="238"/>
      <c r="E91" s="239">
        <v>485000</v>
      </c>
      <c r="F91" s="240">
        <v>139042</v>
      </c>
      <c r="G91" s="241" t="s">
        <v>71</v>
      </c>
      <c r="H91" s="241" t="s">
        <v>34</v>
      </c>
      <c r="I91" s="241">
        <v>200</v>
      </c>
    </row>
    <row r="92" spans="1:9">
      <c r="A92" s="235">
        <v>139043</v>
      </c>
      <c r="B92" s="236" t="s">
        <v>326</v>
      </c>
      <c r="C92" s="237"/>
      <c r="D92" s="238"/>
      <c r="E92" s="239">
        <v>84700</v>
      </c>
      <c r="F92" s="240">
        <v>139043</v>
      </c>
      <c r="G92" s="241" t="s">
        <v>70</v>
      </c>
      <c r="H92" s="241" t="s">
        <v>34</v>
      </c>
      <c r="I92" s="241">
        <v>20</v>
      </c>
    </row>
    <row r="93" spans="1:9">
      <c r="A93" s="235">
        <v>139044</v>
      </c>
      <c r="B93" s="236" t="s">
        <v>579</v>
      </c>
      <c r="C93" s="237"/>
      <c r="D93" s="238"/>
      <c r="E93" s="239">
        <v>809000</v>
      </c>
      <c r="F93" s="240">
        <v>139044</v>
      </c>
      <c r="G93" s="241" t="s">
        <v>71</v>
      </c>
      <c r="H93" s="241" t="s">
        <v>34</v>
      </c>
      <c r="I93" s="241">
        <v>200</v>
      </c>
    </row>
    <row r="94" spans="1:9">
      <c r="A94" s="235">
        <v>139045</v>
      </c>
      <c r="B94" s="236" t="s">
        <v>327</v>
      </c>
      <c r="C94" s="237"/>
      <c r="D94" s="238"/>
      <c r="E94" s="239">
        <v>84700</v>
      </c>
      <c r="F94" s="240">
        <v>139045</v>
      </c>
      <c r="G94" s="241" t="s">
        <v>70</v>
      </c>
      <c r="H94" s="241" t="s">
        <v>34</v>
      </c>
      <c r="I94" s="241">
        <v>20</v>
      </c>
    </row>
    <row r="95" spans="1:9">
      <c r="A95" s="235">
        <v>148678</v>
      </c>
      <c r="B95" s="236" t="s">
        <v>527</v>
      </c>
      <c r="C95" s="237"/>
      <c r="D95" s="238"/>
      <c r="E95" s="239">
        <v>543000</v>
      </c>
      <c r="F95" s="240">
        <v>148678</v>
      </c>
      <c r="G95" s="241" t="s">
        <v>71</v>
      </c>
      <c r="H95" s="241" t="s">
        <v>34</v>
      </c>
      <c r="I95" s="241">
        <v>208</v>
      </c>
    </row>
    <row r="96" spans="1:9">
      <c r="A96" s="235">
        <v>148679</v>
      </c>
      <c r="B96" s="236" t="s">
        <v>421</v>
      </c>
      <c r="C96" s="237"/>
      <c r="D96" s="238"/>
      <c r="E96" s="239">
        <v>543000</v>
      </c>
      <c r="F96" s="240">
        <v>148679</v>
      </c>
      <c r="G96" s="241" t="s">
        <v>71</v>
      </c>
      <c r="H96" s="241" t="s">
        <v>34</v>
      </c>
      <c r="I96" s="241">
        <v>208</v>
      </c>
    </row>
    <row r="97" spans="1:9">
      <c r="A97" s="235">
        <v>148680</v>
      </c>
      <c r="B97" s="236" t="s">
        <v>45</v>
      </c>
      <c r="C97" s="237"/>
      <c r="D97" s="238"/>
      <c r="E97" s="239">
        <v>959000</v>
      </c>
      <c r="F97" s="240">
        <v>148680</v>
      </c>
      <c r="G97" s="241" t="s">
        <v>71</v>
      </c>
      <c r="H97" s="241" t="s">
        <v>34</v>
      </c>
      <c r="I97" s="241">
        <v>208</v>
      </c>
    </row>
    <row r="98" spans="1:9">
      <c r="A98" s="235">
        <v>141655</v>
      </c>
      <c r="B98" s="236" t="s">
        <v>689</v>
      </c>
      <c r="C98" s="237"/>
      <c r="D98" s="238"/>
      <c r="E98" s="239">
        <v>499000</v>
      </c>
      <c r="F98" s="240">
        <v>141655</v>
      </c>
      <c r="G98" s="241" t="s">
        <v>71</v>
      </c>
      <c r="H98" s="241" t="s">
        <v>34</v>
      </c>
      <c r="I98" s="241">
        <v>200</v>
      </c>
    </row>
    <row r="99" spans="1:9">
      <c r="A99" s="235">
        <v>141654</v>
      </c>
      <c r="B99" s="236" t="s">
        <v>394</v>
      </c>
      <c r="C99" s="237"/>
      <c r="D99" s="238"/>
      <c r="E99" s="239">
        <v>53800</v>
      </c>
      <c r="F99" s="240">
        <v>141654</v>
      </c>
      <c r="G99" s="241" t="s">
        <v>70</v>
      </c>
      <c r="H99" s="241" t="s">
        <v>34</v>
      </c>
      <c r="I99" s="241">
        <v>20</v>
      </c>
    </row>
    <row r="100" spans="1:9">
      <c r="A100" s="235">
        <v>141658</v>
      </c>
      <c r="B100" s="236" t="s">
        <v>691</v>
      </c>
      <c r="C100" s="237"/>
      <c r="D100" s="238"/>
      <c r="E100" s="239">
        <v>499000</v>
      </c>
      <c r="F100" s="240">
        <v>141658</v>
      </c>
      <c r="G100" s="241" t="s">
        <v>71</v>
      </c>
      <c r="H100" s="241" t="s">
        <v>34</v>
      </c>
      <c r="I100" s="241">
        <v>200</v>
      </c>
    </row>
    <row r="101" spans="1:9">
      <c r="A101" s="235">
        <v>141657</v>
      </c>
      <c r="B101" s="236" t="s">
        <v>395</v>
      </c>
      <c r="C101" s="237"/>
      <c r="D101" s="238"/>
      <c r="E101" s="239">
        <v>53800</v>
      </c>
      <c r="F101" s="240">
        <v>141657</v>
      </c>
      <c r="G101" s="241" t="s">
        <v>70</v>
      </c>
      <c r="H101" s="241" t="s">
        <v>34</v>
      </c>
      <c r="I101" s="241">
        <v>20</v>
      </c>
    </row>
    <row r="102" spans="1:9">
      <c r="A102" s="235">
        <v>139062</v>
      </c>
      <c r="B102" s="236" t="s">
        <v>586</v>
      </c>
      <c r="C102" s="237"/>
      <c r="D102" s="238"/>
      <c r="E102" s="239">
        <v>572000</v>
      </c>
      <c r="F102" s="240">
        <v>139062</v>
      </c>
      <c r="G102" s="241" t="s">
        <v>71</v>
      </c>
      <c r="H102" s="241" t="s">
        <v>34</v>
      </c>
      <c r="I102" s="241">
        <v>200</v>
      </c>
    </row>
    <row r="103" spans="1:9">
      <c r="A103" s="235">
        <v>139059</v>
      </c>
      <c r="B103" s="236" t="s">
        <v>585</v>
      </c>
      <c r="C103" s="237"/>
      <c r="D103" s="238"/>
      <c r="E103" s="239">
        <v>576000</v>
      </c>
      <c r="F103" s="240">
        <v>139059</v>
      </c>
      <c r="G103" s="241" t="s">
        <v>71</v>
      </c>
      <c r="H103" s="241" t="s">
        <v>34</v>
      </c>
      <c r="I103" s="241">
        <v>200</v>
      </c>
    </row>
    <row r="104" spans="1:9">
      <c r="A104" s="235">
        <v>139061</v>
      </c>
      <c r="B104" s="236" t="s">
        <v>242</v>
      </c>
      <c r="C104" s="237"/>
      <c r="D104" s="238"/>
      <c r="E104" s="239">
        <v>69600</v>
      </c>
      <c r="F104" s="240">
        <v>139061</v>
      </c>
      <c r="G104" s="241" t="s">
        <v>70</v>
      </c>
      <c r="H104" s="241" t="s">
        <v>34</v>
      </c>
      <c r="I104" s="241">
        <v>20</v>
      </c>
    </row>
    <row r="105" spans="1:9">
      <c r="A105" s="235">
        <v>122766</v>
      </c>
      <c r="B105" s="236" t="s">
        <v>68</v>
      </c>
      <c r="C105" s="237"/>
      <c r="D105" s="238"/>
      <c r="E105" s="239">
        <v>69600</v>
      </c>
      <c r="F105" s="240">
        <v>122766</v>
      </c>
      <c r="G105" s="241" t="s">
        <v>70</v>
      </c>
      <c r="H105" s="241" t="s">
        <v>34</v>
      </c>
      <c r="I105" s="241">
        <v>20</v>
      </c>
    </row>
    <row r="106" spans="1:9">
      <c r="A106" s="235">
        <v>139063</v>
      </c>
      <c r="B106" s="236" t="s">
        <v>587</v>
      </c>
      <c r="C106" s="237"/>
      <c r="D106" s="238"/>
      <c r="E106" s="239">
        <v>558000</v>
      </c>
      <c r="F106" s="240">
        <v>139063</v>
      </c>
      <c r="G106" s="241" t="s">
        <v>71</v>
      </c>
      <c r="H106" s="241" t="s">
        <v>34</v>
      </c>
      <c r="I106" s="241">
        <v>200</v>
      </c>
    </row>
    <row r="107" spans="1:9">
      <c r="A107" s="235">
        <v>139064</v>
      </c>
      <c r="B107" s="236" t="s">
        <v>233</v>
      </c>
      <c r="C107" s="237"/>
      <c r="D107" s="238"/>
      <c r="E107" s="239">
        <v>55200</v>
      </c>
      <c r="F107" s="240">
        <v>139064</v>
      </c>
      <c r="G107" s="241" t="s">
        <v>70</v>
      </c>
      <c r="H107" s="241" t="s">
        <v>34</v>
      </c>
      <c r="I107" s="241">
        <v>20</v>
      </c>
    </row>
    <row r="108" spans="1:9">
      <c r="A108" s="235">
        <v>139065</v>
      </c>
      <c r="B108" s="236" t="s">
        <v>588</v>
      </c>
      <c r="C108" s="237"/>
      <c r="D108" s="238"/>
      <c r="E108" s="239">
        <v>570000</v>
      </c>
      <c r="F108" s="240">
        <v>139065</v>
      </c>
      <c r="G108" s="241" t="s">
        <v>71</v>
      </c>
      <c r="H108" s="241" t="s">
        <v>34</v>
      </c>
      <c r="I108" s="241">
        <v>200</v>
      </c>
    </row>
    <row r="109" spans="1:9">
      <c r="A109" s="235">
        <v>139066</v>
      </c>
      <c r="B109" s="236" t="s">
        <v>332</v>
      </c>
      <c r="C109" s="237"/>
      <c r="D109" s="238"/>
      <c r="E109" s="239">
        <v>57600</v>
      </c>
      <c r="F109" s="240">
        <v>139066</v>
      </c>
      <c r="G109" s="241" t="s">
        <v>70</v>
      </c>
      <c r="H109" s="241" t="s">
        <v>34</v>
      </c>
      <c r="I109" s="241">
        <v>20</v>
      </c>
    </row>
    <row r="110" spans="1:9">
      <c r="A110" s="235">
        <v>139057</v>
      </c>
      <c r="B110" s="236" t="s">
        <v>583</v>
      </c>
      <c r="C110" s="237"/>
      <c r="D110" s="238"/>
      <c r="E110" s="239">
        <v>608000</v>
      </c>
      <c r="F110" s="240">
        <v>139057</v>
      </c>
      <c r="G110" s="241" t="s">
        <v>71</v>
      </c>
      <c r="H110" s="241" t="s">
        <v>34</v>
      </c>
      <c r="I110" s="241">
        <v>200</v>
      </c>
    </row>
    <row r="111" spans="1:9">
      <c r="A111" s="235">
        <v>139058</v>
      </c>
      <c r="B111" s="236" t="s">
        <v>584</v>
      </c>
      <c r="C111" s="237"/>
      <c r="D111" s="238"/>
      <c r="E111" s="239">
        <v>752000</v>
      </c>
      <c r="F111" s="240">
        <v>139058</v>
      </c>
      <c r="G111" s="241" t="s">
        <v>71</v>
      </c>
      <c r="H111" s="241" t="s">
        <v>34</v>
      </c>
      <c r="I111" s="241">
        <v>200</v>
      </c>
    </row>
    <row r="112" spans="1:9">
      <c r="A112" s="235">
        <v>139067</v>
      </c>
      <c r="B112" s="236" t="s">
        <v>333</v>
      </c>
      <c r="C112" s="237"/>
      <c r="D112" s="238"/>
      <c r="E112" s="239">
        <v>380000</v>
      </c>
      <c r="F112" s="240">
        <v>139067</v>
      </c>
      <c r="G112" s="241" t="s">
        <v>70</v>
      </c>
      <c r="H112" s="241" t="s">
        <v>34</v>
      </c>
      <c r="I112" s="241">
        <v>18.899999999999999</v>
      </c>
    </row>
    <row r="113" spans="1:9">
      <c r="A113" s="235">
        <v>139068</v>
      </c>
      <c r="B113" s="236" t="s">
        <v>589</v>
      </c>
      <c r="C113" s="237"/>
      <c r="D113" s="238"/>
      <c r="E113" s="239">
        <v>3932000</v>
      </c>
      <c r="F113" s="240">
        <v>139068</v>
      </c>
      <c r="G113" s="241" t="s">
        <v>71</v>
      </c>
      <c r="H113" s="241" t="s">
        <v>34</v>
      </c>
      <c r="I113" s="241">
        <v>208</v>
      </c>
    </row>
    <row r="114" spans="1:9">
      <c r="A114" s="235">
        <v>135877</v>
      </c>
      <c r="B114" s="236" t="s">
        <v>308</v>
      </c>
      <c r="C114" s="237"/>
      <c r="D114" s="238"/>
      <c r="E114" s="239">
        <v>397000</v>
      </c>
      <c r="F114" s="240">
        <v>135877</v>
      </c>
      <c r="G114" s="241" t="s">
        <v>70</v>
      </c>
      <c r="H114" s="241" t="s">
        <v>34</v>
      </c>
      <c r="I114" s="241">
        <v>20</v>
      </c>
    </row>
    <row r="115" spans="1:9">
      <c r="A115" s="235">
        <v>121907</v>
      </c>
      <c r="B115" s="236" t="s">
        <v>259</v>
      </c>
      <c r="C115" s="237"/>
      <c r="D115" s="238"/>
      <c r="E115" s="239">
        <v>333000</v>
      </c>
      <c r="F115" s="240">
        <v>121907</v>
      </c>
      <c r="G115" s="241" t="s">
        <v>70</v>
      </c>
      <c r="H115" s="241" t="s">
        <v>34</v>
      </c>
      <c r="I115" s="241">
        <v>18.899999999999999</v>
      </c>
    </row>
    <row r="116" spans="1:9">
      <c r="A116" s="235">
        <v>139167</v>
      </c>
      <c r="B116" s="236" t="s">
        <v>630</v>
      </c>
      <c r="C116" s="237"/>
      <c r="D116" s="238"/>
      <c r="E116" s="239">
        <v>420000</v>
      </c>
      <c r="F116" s="240">
        <v>139167</v>
      </c>
      <c r="G116" s="241" t="s">
        <v>71</v>
      </c>
      <c r="H116" s="241" t="s">
        <v>34</v>
      </c>
      <c r="I116" s="241">
        <v>200</v>
      </c>
    </row>
    <row r="117" spans="1:9">
      <c r="A117" s="235">
        <v>139048</v>
      </c>
      <c r="B117" s="236" t="s">
        <v>328</v>
      </c>
      <c r="C117" s="237"/>
      <c r="D117" s="238"/>
      <c r="E117" s="239">
        <v>108200</v>
      </c>
      <c r="F117" s="240">
        <v>139048</v>
      </c>
      <c r="G117" s="241" t="s">
        <v>70</v>
      </c>
      <c r="H117" s="241" t="s">
        <v>34</v>
      </c>
      <c r="I117" s="241">
        <v>20</v>
      </c>
    </row>
    <row r="118" spans="1:9">
      <c r="A118" s="235">
        <v>139049</v>
      </c>
      <c r="B118" s="236" t="s">
        <v>329</v>
      </c>
      <c r="C118" s="237"/>
      <c r="D118" s="238"/>
      <c r="E118" s="239">
        <v>102900</v>
      </c>
      <c r="F118" s="240">
        <v>139049</v>
      </c>
      <c r="G118" s="241" t="s">
        <v>70</v>
      </c>
      <c r="H118" s="241" t="s">
        <v>34</v>
      </c>
      <c r="I118" s="241">
        <v>20</v>
      </c>
    </row>
    <row r="119" spans="1:9">
      <c r="A119" s="235">
        <v>121759</v>
      </c>
      <c r="B119" s="236" t="s">
        <v>765</v>
      </c>
      <c r="C119" s="237"/>
      <c r="D119" s="238"/>
      <c r="E119" s="239">
        <v>1036000</v>
      </c>
      <c r="F119" s="241">
        <v>121759</v>
      </c>
      <c r="G119" s="241" t="s">
        <v>71</v>
      </c>
      <c r="H119" s="241" t="s">
        <v>34</v>
      </c>
      <c r="I119" s="241">
        <v>208</v>
      </c>
    </row>
    <row r="120" spans="1:9">
      <c r="A120" s="235">
        <v>135000</v>
      </c>
      <c r="B120" s="236" t="s">
        <v>487</v>
      </c>
      <c r="C120" s="237"/>
      <c r="D120" s="238"/>
      <c r="E120" s="239">
        <v>2449000</v>
      </c>
      <c r="F120" s="240">
        <v>135000</v>
      </c>
      <c r="G120" s="241" t="s">
        <v>71</v>
      </c>
      <c r="H120" s="241" t="s">
        <v>34</v>
      </c>
      <c r="I120" s="241">
        <v>208</v>
      </c>
    </row>
    <row r="121" spans="1:9">
      <c r="A121" s="235">
        <v>135004</v>
      </c>
      <c r="B121" s="236" t="s">
        <v>287</v>
      </c>
      <c r="C121" s="237"/>
      <c r="D121" s="238"/>
      <c r="E121" s="239">
        <v>251000</v>
      </c>
      <c r="F121" s="240">
        <v>135004</v>
      </c>
      <c r="G121" s="241" t="s">
        <v>70</v>
      </c>
      <c r="H121" s="241" t="s">
        <v>34</v>
      </c>
      <c r="I121" s="241">
        <v>18.899999999999999</v>
      </c>
    </row>
    <row r="122" spans="1:9">
      <c r="A122" s="235">
        <v>122650</v>
      </c>
      <c r="B122" s="236" t="s">
        <v>447</v>
      </c>
      <c r="C122" s="237"/>
      <c r="D122" s="238"/>
      <c r="E122" s="239">
        <v>2676000</v>
      </c>
      <c r="F122" s="240">
        <v>122650</v>
      </c>
      <c r="G122" s="241" t="s">
        <v>71</v>
      </c>
      <c r="H122" s="241" t="s">
        <v>34</v>
      </c>
      <c r="I122" s="241">
        <v>208</v>
      </c>
    </row>
    <row r="123" spans="1:9">
      <c r="A123" s="235">
        <v>123291</v>
      </c>
      <c r="B123" s="236" t="s">
        <v>261</v>
      </c>
      <c r="C123" s="237"/>
      <c r="D123" s="238"/>
      <c r="E123" s="239">
        <v>273000</v>
      </c>
      <c r="F123" s="240">
        <v>123291</v>
      </c>
      <c r="G123" s="241" t="s">
        <v>70</v>
      </c>
      <c r="H123" s="241" t="s">
        <v>34</v>
      </c>
      <c r="I123" s="241">
        <v>20</v>
      </c>
    </row>
    <row r="124" spans="1:9">
      <c r="A124" s="235">
        <v>135002</v>
      </c>
      <c r="B124" s="236" t="s">
        <v>286</v>
      </c>
      <c r="C124" s="237"/>
      <c r="D124" s="238"/>
      <c r="E124" s="239">
        <v>305000</v>
      </c>
      <c r="F124" s="240">
        <v>135002</v>
      </c>
      <c r="G124" s="241" t="s">
        <v>70</v>
      </c>
      <c r="H124" s="241" t="s">
        <v>34</v>
      </c>
      <c r="I124" s="241">
        <v>20</v>
      </c>
    </row>
    <row r="125" spans="1:9">
      <c r="A125" s="235">
        <v>135836</v>
      </c>
      <c r="B125" s="236" t="s">
        <v>66</v>
      </c>
      <c r="C125" s="237"/>
      <c r="D125" s="238"/>
      <c r="E125" s="239">
        <v>2787000</v>
      </c>
      <c r="F125" s="240">
        <v>135836</v>
      </c>
      <c r="G125" s="241" t="s">
        <v>71</v>
      </c>
      <c r="H125" s="241" t="s">
        <v>34</v>
      </c>
      <c r="I125" s="241">
        <v>208</v>
      </c>
    </row>
    <row r="126" spans="1:9">
      <c r="A126" s="235">
        <v>127356</v>
      </c>
      <c r="B126" s="236" t="s">
        <v>265</v>
      </c>
      <c r="C126" s="237"/>
      <c r="D126" s="238"/>
      <c r="E126" s="239">
        <v>283000</v>
      </c>
      <c r="F126" s="240">
        <v>127356</v>
      </c>
      <c r="G126" s="241" t="s">
        <v>70</v>
      </c>
      <c r="H126" s="241" t="s">
        <v>34</v>
      </c>
      <c r="I126" s="241">
        <v>20</v>
      </c>
    </row>
    <row r="127" spans="1:9">
      <c r="A127" s="235">
        <v>134221</v>
      </c>
      <c r="B127" s="243" t="s">
        <v>476</v>
      </c>
      <c r="C127" s="244"/>
      <c r="D127" s="245"/>
      <c r="E127" s="239">
        <v>3701000</v>
      </c>
      <c r="F127" s="250">
        <v>134221</v>
      </c>
      <c r="G127" s="241" t="s">
        <v>71</v>
      </c>
      <c r="H127" s="241" t="s">
        <v>34</v>
      </c>
      <c r="I127" s="241">
        <v>216</v>
      </c>
    </row>
    <row r="128" spans="1:9">
      <c r="A128" s="235">
        <v>134320</v>
      </c>
      <c r="B128" s="243" t="s">
        <v>477</v>
      </c>
      <c r="C128" s="237"/>
      <c r="D128" s="238"/>
      <c r="E128" s="239">
        <v>2637000</v>
      </c>
      <c r="F128" s="240">
        <v>134320</v>
      </c>
      <c r="G128" s="241" t="s">
        <v>71</v>
      </c>
      <c r="H128" s="241" t="s">
        <v>34</v>
      </c>
      <c r="I128" s="241">
        <v>208</v>
      </c>
    </row>
    <row r="129" spans="1:9">
      <c r="A129" s="235">
        <v>132549</v>
      </c>
      <c r="B129" s="236" t="s">
        <v>463</v>
      </c>
      <c r="C129" s="237"/>
      <c r="D129" s="238"/>
      <c r="E129" s="239">
        <v>2542000</v>
      </c>
      <c r="F129" s="240">
        <v>132549</v>
      </c>
      <c r="G129" s="241" t="s">
        <v>71</v>
      </c>
      <c r="H129" s="241" t="s">
        <v>34</v>
      </c>
      <c r="I129" s="241">
        <v>208</v>
      </c>
    </row>
    <row r="130" spans="1:9">
      <c r="A130" s="235">
        <v>139069</v>
      </c>
      <c r="B130" s="236" t="s">
        <v>334</v>
      </c>
      <c r="C130" s="237"/>
      <c r="D130" s="238"/>
      <c r="E130" s="239">
        <v>249000</v>
      </c>
      <c r="F130" s="240">
        <v>139069</v>
      </c>
      <c r="G130" s="241" t="s">
        <v>70</v>
      </c>
      <c r="H130" s="241" t="s">
        <v>34</v>
      </c>
      <c r="I130" s="241">
        <v>20</v>
      </c>
    </row>
    <row r="131" spans="1:9">
      <c r="A131" s="235">
        <v>135013</v>
      </c>
      <c r="B131" s="236" t="s">
        <v>489</v>
      </c>
      <c r="C131" s="237"/>
      <c r="D131" s="238"/>
      <c r="E131" s="239">
        <v>2451000</v>
      </c>
      <c r="F131" s="240">
        <v>135013</v>
      </c>
      <c r="G131" s="241" t="s">
        <v>71</v>
      </c>
      <c r="H131" s="241" t="s">
        <v>34</v>
      </c>
      <c r="I131" s="241">
        <v>208</v>
      </c>
    </row>
    <row r="132" spans="1:9">
      <c r="A132" s="235">
        <v>132550</v>
      </c>
      <c r="B132" s="236" t="s">
        <v>464</v>
      </c>
      <c r="C132" s="237"/>
      <c r="D132" s="238"/>
      <c r="E132" s="239">
        <v>2662000</v>
      </c>
      <c r="F132" s="240">
        <v>132550</v>
      </c>
      <c r="G132" s="241" t="s">
        <v>71</v>
      </c>
      <c r="H132" s="241" t="s">
        <v>34</v>
      </c>
      <c r="I132" s="241">
        <v>208</v>
      </c>
    </row>
    <row r="133" spans="1:9">
      <c r="A133" s="235">
        <v>139070</v>
      </c>
      <c r="B133" s="236" t="s">
        <v>335</v>
      </c>
      <c r="C133" s="237"/>
      <c r="D133" s="238"/>
      <c r="E133" s="239">
        <v>267000</v>
      </c>
      <c r="F133" s="240">
        <v>139070</v>
      </c>
      <c r="G133" s="241" t="s">
        <v>70</v>
      </c>
      <c r="H133" s="241" t="s">
        <v>34</v>
      </c>
      <c r="I133" s="241">
        <v>20</v>
      </c>
    </row>
    <row r="134" spans="1:9">
      <c r="A134" s="235">
        <v>135014</v>
      </c>
      <c r="B134" s="236" t="s">
        <v>490</v>
      </c>
      <c r="C134" s="237"/>
      <c r="D134" s="238"/>
      <c r="E134" s="239">
        <v>2644000</v>
      </c>
      <c r="F134" s="240">
        <v>135014</v>
      </c>
      <c r="G134" s="241" t="s">
        <v>71</v>
      </c>
      <c r="H134" s="241" t="s">
        <v>34</v>
      </c>
      <c r="I134" s="241">
        <v>208</v>
      </c>
    </row>
    <row r="135" spans="1:9">
      <c r="A135" s="235">
        <v>132558</v>
      </c>
      <c r="B135" s="236" t="s">
        <v>465</v>
      </c>
      <c r="C135" s="237"/>
      <c r="D135" s="238"/>
      <c r="E135" s="239">
        <v>2970000</v>
      </c>
      <c r="F135" s="240">
        <v>132558</v>
      </c>
      <c r="G135" s="241" t="s">
        <v>71</v>
      </c>
      <c r="H135" s="241" t="s">
        <v>34</v>
      </c>
      <c r="I135" s="241">
        <v>208</v>
      </c>
    </row>
    <row r="136" spans="1:9">
      <c r="A136" s="235">
        <v>132835</v>
      </c>
      <c r="B136" s="236" t="s">
        <v>474</v>
      </c>
      <c r="C136" s="237"/>
      <c r="D136" s="238"/>
      <c r="E136" s="239">
        <v>2919000</v>
      </c>
      <c r="F136" s="240">
        <v>132835</v>
      </c>
      <c r="G136" s="241" t="s">
        <v>71</v>
      </c>
      <c r="H136" s="241" t="s">
        <v>34</v>
      </c>
      <c r="I136" s="241">
        <v>208</v>
      </c>
    </row>
    <row r="137" spans="1:9">
      <c r="A137" s="235">
        <v>135016</v>
      </c>
      <c r="B137" s="236" t="s">
        <v>289</v>
      </c>
      <c r="C137" s="237"/>
      <c r="D137" s="238"/>
      <c r="E137" s="239">
        <v>296000</v>
      </c>
      <c r="F137" s="240">
        <v>135016</v>
      </c>
      <c r="G137" s="241" t="s">
        <v>70</v>
      </c>
      <c r="H137" s="241" t="s">
        <v>34</v>
      </c>
      <c r="I137" s="241">
        <v>20</v>
      </c>
    </row>
    <row r="138" spans="1:9">
      <c r="A138" s="235">
        <v>144166</v>
      </c>
      <c r="B138" s="236" t="s">
        <v>748</v>
      </c>
      <c r="C138" s="237"/>
      <c r="D138" s="238"/>
      <c r="E138" s="239">
        <v>275000</v>
      </c>
      <c r="F138" s="242">
        <v>144166</v>
      </c>
      <c r="G138" s="241" t="s">
        <v>71</v>
      </c>
      <c r="H138" s="241" t="s">
        <v>34</v>
      </c>
      <c r="I138" s="241">
        <v>200</v>
      </c>
    </row>
    <row r="139" spans="1:9">
      <c r="A139" s="235">
        <v>144165</v>
      </c>
      <c r="B139" s="236" t="s">
        <v>750</v>
      </c>
      <c r="C139" s="237"/>
      <c r="D139" s="238"/>
      <c r="E139" s="239">
        <v>28500</v>
      </c>
      <c r="F139" s="242">
        <v>144165</v>
      </c>
      <c r="G139" s="241" t="s">
        <v>70</v>
      </c>
      <c r="H139" s="241" t="s">
        <v>34</v>
      </c>
      <c r="I139" s="241">
        <v>20</v>
      </c>
    </row>
    <row r="140" spans="1:9">
      <c r="A140" s="235">
        <v>144168</v>
      </c>
      <c r="B140" s="236" t="s">
        <v>744</v>
      </c>
      <c r="C140" s="237"/>
      <c r="D140" s="238"/>
      <c r="E140" s="239">
        <v>275000</v>
      </c>
      <c r="F140" s="242">
        <v>144168</v>
      </c>
      <c r="G140" s="241" t="s">
        <v>71</v>
      </c>
      <c r="H140" s="241" t="s">
        <v>34</v>
      </c>
      <c r="I140" s="241">
        <v>200</v>
      </c>
    </row>
    <row r="141" spans="1:9">
      <c r="A141" s="235">
        <v>144167</v>
      </c>
      <c r="B141" s="236" t="s">
        <v>745</v>
      </c>
      <c r="C141" s="237"/>
      <c r="D141" s="238"/>
      <c r="E141" s="239">
        <v>28500</v>
      </c>
      <c r="F141" s="242">
        <v>144167</v>
      </c>
      <c r="G141" s="241" t="s">
        <v>70</v>
      </c>
      <c r="H141" s="241" t="s">
        <v>34</v>
      </c>
      <c r="I141" s="241">
        <v>20</v>
      </c>
    </row>
    <row r="142" spans="1:9">
      <c r="A142" s="235">
        <v>144170</v>
      </c>
      <c r="B142" s="236" t="s">
        <v>752</v>
      </c>
      <c r="C142" s="237"/>
      <c r="D142" s="238"/>
      <c r="E142" s="239">
        <v>285000</v>
      </c>
      <c r="F142" s="242">
        <v>144170</v>
      </c>
      <c r="G142" s="241" t="s">
        <v>71</v>
      </c>
      <c r="H142" s="241" t="s">
        <v>34</v>
      </c>
      <c r="I142" s="241">
        <v>200</v>
      </c>
    </row>
    <row r="143" spans="1:9">
      <c r="A143" s="235">
        <v>144169</v>
      </c>
      <c r="B143" s="236" t="s">
        <v>751</v>
      </c>
      <c r="C143" s="237"/>
      <c r="D143" s="238"/>
      <c r="E143" s="239">
        <v>29500</v>
      </c>
      <c r="F143" s="242">
        <v>144169</v>
      </c>
      <c r="G143" s="241" t="s">
        <v>70</v>
      </c>
      <c r="H143" s="241" t="s">
        <v>34</v>
      </c>
      <c r="I143" s="241">
        <v>20</v>
      </c>
    </row>
    <row r="144" spans="1:9">
      <c r="A144" s="235">
        <v>120089</v>
      </c>
      <c r="B144" s="37" t="s">
        <v>762</v>
      </c>
      <c r="C144" s="34"/>
      <c r="D144" s="35"/>
      <c r="E144" s="62">
        <v>288000</v>
      </c>
      <c r="F144" s="33">
        <v>120089</v>
      </c>
      <c r="G144" s="32" t="s">
        <v>761</v>
      </c>
      <c r="H144" s="32" t="s">
        <v>69</v>
      </c>
      <c r="I144" s="32">
        <v>22.8</v>
      </c>
    </row>
    <row r="145" spans="1:9">
      <c r="A145" s="235">
        <v>120088</v>
      </c>
      <c r="B145" s="37" t="s">
        <v>118</v>
      </c>
      <c r="C145" s="34"/>
      <c r="D145" s="35"/>
      <c r="E145" s="62">
        <v>3039000</v>
      </c>
      <c r="F145" s="33">
        <v>120088</v>
      </c>
      <c r="G145" s="32" t="s">
        <v>71</v>
      </c>
      <c r="H145" s="32" t="s">
        <v>69</v>
      </c>
      <c r="I145" s="32">
        <v>208</v>
      </c>
    </row>
    <row r="146" spans="1:9">
      <c r="A146" s="235">
        <v>141187</v>
      </c>
      <c r="B146" s="236" t="s">
        <v>125</v>
      </c>
      <c r="C146" s="237"/>
      <c r="D146" s="238"/>
      <c r="E146" s="239">
        <v>439000</v>
      </c>
      <c r="F146" s="240">
        <v>141187</v>
      </c>
      <c r="G146" s="241" t="s">
        <v>71</v>
      </c>
      <c r="H146" s="241" t="s">
        <v>34</v>
      </c>
      <c r="I146" s="241">
        <v>200</v>
      </c>
    </row>
    <row r="147" spans="1:9">
      <c r="A147" s="235">
        <v>140817</v>
      </c>
      <c r="B147" s="236" t="s">
        <v>122</v>
      </c>
      <c r="C147" s="237"/>
      <c r="D147" s="238"/>
      <c r="E147" s="239">
        <v>847000</v>
      </c>
      <c r="F147" s="240">
        <v>140817</v>
      </c>
      <c r="G147" s="241" t="s">
        <v>71</v>
      </c>
      <c r="H147" s="241" t="s">
        <v>34</v>
      </c>
      <c r="I147" s="241">
        <v>208</v>
      </c>
    </row>
    <row r="148" spans="1:9">
      <c r="A148" s="235">
        <v>139107</v>
      </c>
      <c r="B148" s="236" t="s">
        <v>606</v>
      </c>
      <c r="C148" s="237"/>
      <c r="D148" s="238"/>
      <c r="E148" s="239">
        <v>507000</v>
      </c>
      <c r="F148" s="240">
        <v>139107</v>
      </c>
      <c r="G148" s="241" t="s">
        <v>71</v>
      </c>
      <c r="H148" s="241" t="s">
        <v>34</v>
      </c>
      <c r="I148" s="241">
        <v>200</v>
      </c>
    </row>
    <row r="149" spans="1:9">
      <c r="A149" s="235">
        <v>122135</v>
      </c>
      <c r="B149" s="236" t="s">
        <v>437</v>
      </c>
      <c r="C149" s="237"/>
      <c r="D149" s="238"/>
      <c r="E149" s="239">
        <v>971000</v>
      </c>
      <c r="F149" s="241">
        <v>122135</v>
      </c>
      <c r="G149" s="241" t="s">
        <v>71</v>
      </c>
      <c r="H149" s="241" t="s">
        <v>34</v>
      </c>
      <c r="I149" s="241">
        <v>208</v>
      </c>
    </row>
    <row r="150" spans="1:9">
      <c r="A150" s="235">
        <v>141467</v>
      </c>
      <c r="B150" s="236" t="s">
        <v>393</v>
      </c>
      <c r="C150" s="237"/>
      <c r="D150" s="238"/>
      <c r="E150" s="239">
        <v>196900</v>
      </c>
      <c r="F150" s="240">
        <v>141467</v>
      </c>
      <c r="G150" s="241" t="s">
        <v>70</v>
      </c>
      <c r="H150" s="241" t="s">
        <v>34</v>
      </c>
      <c r="I150" s="241">
        <v>15.87</v>
      </c>
    </row>
    <row r="151" spans="1:9">
      <c r="A151" s="235">
        <v>140627</v>
      </c>
      <c r="B151" s="236" t="s">
        <v>676</v>
      </c>
      <c r="C151" s="237"/>
      <c r="D151" s="238"/>
      <c r="E151" s="239">
        <v>628000</v>
      </c>
      <c r="F151" s="240">
        <v>140627</v>
      </c>
      <c r="G151" s="241" t="s">
        <v>71</v>
      </c>
      <c r="H151" s="241" t="s">
        <v>34</v>
      </c>
      <c r="I151" s="241">
        <v>200</v>
      </c>
    </row>
    <row r="152" spans="1:9">
      <c r="A152" s="235">
        <v>140675</v>
      </c>
      <c r="B152" s="236" t="s">
        <v>388</v>
      </c>
      <c r="C152" s="237"/>
      <c r="D152" s="238"/>
      <c r="E152" s="239">
        <v>66700</v>
      </c>
      <c r="F152" s="240">
        <v>140675</v>
      </c>
      <c r="G152" s="241" t="s">
        <v>70</v>
      </c>
      <c r="H152" s="241" t="s">
        <v>34</v>
      </c>
      <c r="I152" s="241">
        <v>20</v>
      </c>
    </row>
    <row r="153" spans="1:9">
      <c r="A153" s="235">
        <v>139038</v>
      </c>
      <c r="B153" s="236" t="s">
        <v>576</v>
      </c>
      <c r="C153" s="237"/>
      <c r="D153" s="238"/>
      <c r="E153" s="239">
        <v>628000</v>
      </c>
      <c r="F153" s="240">
        <v>139038</v>
      </c>
      <c r="G153" s="241" t="s">
        <v>71</v>
      </c>
      <c r="H153" s="241" t="s">
        <v>34</v>
      </c>
      <c r="I153" s="241">
        <v>200</v>
      </c>
    </row>
    <row r="154" spans="1:9">
      <c r="A154" s="235">
        <v>122837</v>
      </c>
      <c r="B154" s="236" t="s">
        <v>65</v>
      </c>
      <c r="C154" s="237"/>
      <c r="D154" s="238"/>
      <c r="E154" s="239">
        <v>52900</v>
      </c>
      <c r="F154" s="240">
        <v>122837</v>
      </c>
      <c r="G154" s="241" t="s">
        <v>70</v>
      </c>
      <c r="H154" s="241" t="s">
        <v>34</v>
      </c>
      <c r="I154" s="241">
        <v>20</v>
      </c>
    </row>
    <row r="155" spans="1:9">
      <c r="A155" s="235">
        <v>139071</v>
      </c>
      <c r="B155" s="236" t="s">
        <v>590</v>
      </c>
      <c r="C155" s="237"/>
      <c r="D155" s="238"/>
      <c r="E155" s="239">
        <v>628000</v>
      </c>
      <c r="F155" s="240">
        <v>139071</v>
      </c>
      <c r="G155" s="241" t="s">
        <v>71</v>
      </c>
      <c r="H155" s="241" t="s">
        <v>34</v>
      </c>
      <c r="I155" s="241">
        <v>200</v>
      </c>
    </row>
    <row r="156" spans="1:9">
      <c r="A156" s="235">
        <v>139643</v>
      </c>
      <c r="B156" s="236" t="s">
        <v>354</v>
      </c>
      <c r="C156" s="237"/>
      <c r="D156" s="238"/>
      <c r="E156" s="239">
        <v>66700</v>
      </c>
      <c r="F156" s="240">
        <v>139643</v>
      </c>
      <c r="G156" s="241" t="s">
        <v>70</v>
      </c>
      <c r="H156" s="241" t="s">
        <v>34</v>
      </c>
      <c r="I156" s="241">
        <v>20</v>
      </c>
    </row>
    <row r="157" spans="1:9">
      <c r="A157" s="235">
        <v>139074</v>
      </c>
      <c r="B157" s="236" t="s">
        <v>591</v>
      </c>
      <c r="C157" s="237"/>
      <c r="D157" s="238"/>
      <c r="E157" s="239">
        <v>628000</v>
      </c>
      <c r="F157" s="240">
        <v>139074</v>
      </c>
      <c r="G157" s="241" t="s">
        <v>71</v>
      </c>
      <c r="H157" s="241" t="s">
        <v>34</v>
      </c>
      <c r="I157" s="241">
        <v>200</v>
      </c>
    </row>
    <row r="158" spans="1:9">
      <c r="A158" s="235">
        <v>134445</v>
      </c>
      <c r="B158" s="243" t="s">
        <v>239</v>
      </c>
      <c r="C158" s="237"/>
      <c r="D158" s="238"/>
      <c r="E158" s="239">
        <v>56400</v>
      </c>
      <c r="F158" s="240">
        <v>134445</v>
      </c>
      <c r="G158" s="241" t="s">
        <v>70</v>
      </c>
      <c r="H158" s="241" t="s">
        <v>34</v>
      </c>
      <c r="I158" s="241">
        <v>20</v>
      </c>
    </row>
    <row r="159" spans="1:9">
      <c r="A159" s="235">
        <v>139075</v>
      </c>
      <c r="B159" s="236" t="s">
        <v>592</v>
      </c>
      <c r="C159" s="237"/>
      <c r="D159" s="238"/>
      <c r="E159" s="239">
        <v>628000</v>
      </c>
      <c r="F159" s="240">
        <v>139075</v>
      </c>
      <c r="G159" s="241" t="s">
        <v>71</v>
      </c>
      <c r="H159" s="241" t="s">
        <v>34</v>
      </c>
      <c r="I159" s="241">
        <v>200</v>
      </c>
    </row>
    <row r="160" spans="1:9">
      <c r="A160" s="235">
        <v>122842</v>
      </c>
      <c r="B160" s="236" t="s">
        <v>238</v>
      </c>
      <c r="C160" s="237"/>
      <c r="D160" s="238"/>
      <c r="E160" s="239">
        <v>66700</v>
      </c>
      <c r="F160" s="241">
        <v>122842</v>
      </c>
      <c r="G160" s="241" t="s">
        <v>70</v>
      </c>
      <c r="H160" s="241" t="s">
        <v>34</v>
      </c>
      <c r="I160" s="241">
        <v>20</v>
      </c>
    </row>
    <row r="161" spans="1:9">
      <c r="A161" s="235">
        <v>140629</v>
      </c>
      <c r="B161" s="236" t="s">
        <v>677</v>
      </c>
      <c r="C161" s="237"/>
      <c r="D161" s="238"/>
      <c r="E161" s="239">
        <v>628000</v>
      </c>
      <c r="F161" s="240">
        <v>140629</v>
      </c>
      <c r="G161" s="241" t="s">
        <v>71</v>
      </c>
      <c r="H161" s="241" t="s">
        <v>34</v>
      </c>
      <c r="I161" s="241">
        <v>200</v>
      </c>
    </row>
    <row r="162" spans="1:9">
      <c r="A162" s="235">
        <v>140676</v>
      </c>
      <c r="B162" s="236" t="s">
        <v>389</v>
      </c>
      <c r="C162" s="237"/>
      <c r="D162" s="238"/>
      <c r="E162" s="239">
        <v>66700</v>
      </c>
      <c r="F162" s="240">
        <v>140676</v>
      </c>
      <c r="G162" s="241" t="s">
        <v>70</v>
      </c>
      <c r="H162" s="241" t="s">
        <v>34</v>
      </c>
      <c r="I162" s="241">
        <v>20</v>
      </c>
    </row>
    <row r="163" spans="1:9">
      <c r="A163" s="235">
        <v>140631</v>
      </c>
      <c r="B163" s="236" t="s">
        <v>678</v>
      </c>
      <c r="C163" s="237"/>
      <c r="D163" s="238"/>
      <c r="E163" s="239">
        <v>628000</v>
      </c>
      <c r="F163" s="240">
        <v>140631</v>
      </c>
      <c r="G163" s="241" t="s">
        <v>71</v>
      </c>
      <c r="H163" s="241" t="s">
        <v>34</v>
      </c>
      <c r="I163" s="241">
        <v>200</v>
      </c>
    </row>
    <row r="164" spans="1:9">
      <c r="A164" s="235">
        <v>140677</v>
      </c>
      <c r="B164" s="236" t="s">
        <v>390</v>
      </c>
      <c r="C164" s="237"/>
      <c r="D164" s="238"/>
      <c r="E164" s="239">
        <v>66700</v>
      </c>
      <c r="F164" s="240">
        <v>140677</v>
      </c>
      <c r="G164" s="241" t="s">
        <v>70</v>
      </c>
      <c r="H164" s="241" t="s">
        <v>34</v>
      </c>
      <c r="I164" s="241">
        <v>20</v>
      </c>
    </row>
    <row r="165" spans="1:9">
      <c r="A165" s="235">
        <v>140541</v>
      </c>
      <c r="B165" s="236" t="s">
        <v>387</v>
      </c>
      <c r="C165" s="237"/>
      <c r="D165" s="238"/>
      <c r="E165" s="239">
        <v>278000</v>
      </c>
      <c r="F165" s="240">
        <v>140541</v>
      </c>
      <c r="G165" s="241" t="s">
        <v>70</v>
      </c>
      <c r="H165" s="241" t="s">
        <v>34</v>
      </c>
      <c r="I165" s="241">
        <v>20</v>
      </c>
    </row>
    <row r="166" spans="1:9">
      <c r="A166" s="235">
        <v>122167</v>
      </c>
      <c r="B166" s="236" t="s">
        <v>438</v>
      </c>
      <c r="C166" s="237"/>
      <c r="D166" s="238"/>
      <c r="E166" s="239">
        <v>2621000</v>
      </c>
      <c r="F166" s="240">
        <v>122167</v>
      </c>
      <c r="G166" s="241" t="s">
        <v>71</v>
      </c>
      <c r="H166" s="241" t="s">
        <v>34</v>
      </c>
      <c r="I166" s="241">
        <v>208</v>
      </c>
    </row>
    <row r="167" spans="1:9">
      <c r="A167" s="235">
        <v>135361</v>
      </c>
      <c r="B167" s="236" t="s">
        <v>296</v>
      </c>
      <c r="C167" s="237"/>
      <c r="D167" s="238"/>
      <c r="E167" s="239">
        <v>266000</v>
      </c>
      <c r="F167" s="240">
        <v>135361</v>
      </c>
      <c r="G167" s="241" t="s">
        <v>70</v>
      </c>
      <c r="H167" s="241" t="s">
        <v>34</v>
      </c>
      <c r="I167" s="241">
        <v>18.899999999999999</v>
      </c>
    </row>
    <row r="168" spans="1:9">
      <c r="A168" s="235">
        <v>139076</v>
      </c>
      <c r="B168" s="236" t="s">
        <v>336</v>
      </c>
      <c r="C168" s="237"/>
      <c r="D168" s="238"/>
      <c r="E168" s="239">
        <v>266000</v>
      </c>
      <c r="F168" s="240">
        <v>139076</v>
      </c>
      <c r="G168" s="241" t="s">
        <v>70</v>
      </c>
      <c r="H168" s="241" t="s">
        <v>34</v>
      </c>
      <c r="I168" s="241">
        <v>20</v>
      </c>
    </row>
    <row r="169" spans="1:9">
      <c r="A169" s="235">
        <v>135304</v>
      </c>
      <c r="B169" s="236" t="s">
        <v>499</v>
      </c>
      <c r="C169" s="237"/>
      <c r="D169" s="238"/>
      <c r="E169" s="239">
        <v>2711000</v>
      </c>
      <c r="F169" s="240">
        <v>135304</v>
      </c>
      <c r="G169" s="241" t="s">
        <v>71</v>
      </c>
      <c r="H169" s="241" t="s">
        <v>34</v>
      </c>
      <c r="I169" s="241">
        <v>208</v>
      </c>
    </row>
    <row r="170" spans="1:9">
      <c r="A170" s="235">
        <v>139080</v>
      </c>
      <c r="B170" s="236" t="s">
        <v>337</v>
      </c>
      <c r="C170" s="237"/>
      <c r="D170" s="238"/>
      <c r="E170" s="239">
        <v>234000</v>
      </c>
      <c r="F170" s="240">
        <v>139080</v>
      </c>
      <c r="G170" s="241" t="s">
        <v>70</v>
      </c>
      <c r="H170" s="241" t="s">
        <v>34</v>
      </c>
      <c r="I170" s="241">
        <v>20</v>
      </c>
    </row>
    <row r="171" spans="1:9">
      <c r="A171" s="235">
        <v>135008</v>
      </c>
      <c r="B171" s="236" t="s">
        <v>288</v>
      </c>
      <c r="C171" s="237"/>
      <c r="D171" s="238"/>
      <c r="E171" s="239">
        <v>230000</v>
      </c>
      <c r="F171" s="240">
        <v>135008</v>
      </c>
      <c r="G171" s="241" t="s">
        <v>70</v>
      </c>
      <c r="H171" s="241" t="s">
        <v>34</v>
      </c>
      <c r="I171" s="241">
        <v>20</v>
      </c>
    </row>
    <row r="172" spans="1:9">
      <c r="A172" s="235">
        <v>139082</v>
      </c>
      <c r="B172" s="236" t="s">
        <v>338</v>
      </c>
      <c r="C172" s="237"/>
      <c r="D172" s="238"/>
      <c r="E172" s="239">
        <v>307000</v>
      </c>
      <c r="F172" s="240">
        <v>139082</v>
      </c>
      <c r="G172" s="241" t="s">
        <v>70</v>
      </c>
      <c r="H172" s="241" t="s">
        <v>34</v>
      </c>
      <c r="I172" s="241">
        <v>20</v>
      </c>
    </row>
    <row r="173" spans="1:9">
      <c r="A173" s="235">
        <v>134602</v>
      </c>
      <c r="B173" s="243" t="s">
        <v>481</v>
      </c>
      <c r="C173" s="237"/>
      <c r="D173" s="238"/>
      <c r="E173" s="239">
        <v>3088000</v>
      </c>
      <c r="F173" s="250">
        <v>134602</v>
      </c>
      <c r="G173" s="241" t="s">
        <v>71</v>
      </c>
      <c r="H173" s="241" t="s">
        <v>34</v>
      </c>
      <c r="I173" s="241">
        <v>208</v>
      </c>
    </row>
    <row r="174" spans="1:9">
      <c r="A174" s="235">
        <v>135452</v>
      </c>
      <c r="B174" s="236" t="s">
        <v>510</v>
      </c>
      <c r="C174" s="237"/>
      <c r="D174" s="238"/>
      <c r="E174" s="239">
        <v>2170000</v>
      </c>
      <c r="F174" s="240">
        <v>135452</v>
      </c>
      <c r="G174" s="241" t="s">
        <v>71</v>
      </c>
      <c r="H174" s="241" t="s">
        <v>34</v>
      </c>
      <c r="I174" s="241">
        <v>208</v>
      </c>
    </row>
    <row r="175" spans="1:9">
      <c r="A175" s="235">
        <v>135453</v>
      </c>
      <c r="B175" s="236" t="s">
        <v>301</v>
      </c>
      <c r="C175" s="237"/>
      <c r="D175" s="238"/>
      <c r="E175" s="239">
        <v>220000</v>
      </c>
      <c r="F175" s="240">
        <v>135453</v>
      </c>
      <c r="G175" s="241" t="s">
        <v>70</v>
      </c>
      <c r="H175" s="241" t="s">
        <v>34</v>
      </c>
      <c r="I175" s="241">
        <v>18.899999999999999</v>
      </c>
    </row>
    <row r="176" spans="1:9">
      <c r="A176" s="235">
        <v>135454</v>
      </c>
      <c r="B176" s="236" t="s">
        <v>511</v>
      </c>
      <c r="C176" s="237"/>
      <c r="D176" s="238"/>
      <c r="E176" s="239">
        <v>2183000</v>
      </c>
      <c r="F176" s="240">
        <v>135454</v>
      </c>
      <c r="G176" s="241" t="s">
        <v>71</v>
      </c>
      <c r="H176" s="241" t="s">
        <v>34</v>
      </c>
      <c r="I176" s="241">
        <v>208</v>
      </c>
    </row>
    <row r="177" spans="1:9">
      <c r="A177" s="235">
        <v>135455</v>
      </c>
      <c r="B177" s="236" t="s">
        <v>302</v>
      </c>
      <c r="C177" s="237"/>
      <c r="D177" s="238"/>
      <c r="E177" s="239">
        <v>237000</v>
      </c>
      <c r="F177" s="240">
        <v>135455</v>
      </c>
      <c r="G177" s="241" t="s">
        <v>70</v>
      </c>
      <c r="H177" s="241" t="s">
        <v>34</v>
      </c>
      <c r="I177" s="241">
        <v>18.899999999999999</v>
      </c>
    </row>
    <row r="178" spans="1:9">
      <c r="A178" s="235">
        <v>135440</v>
      </c>
      <c r="B178" s="236" t="s">
        <v>505</v>
      </c>
      <c r="C178" s="237"/>
      <c r="D178" s="238"/>
      <c r="E178" s="239">
        <v>2446000</v>
      </c>
      <c r="F178" s="240">
        <v>135440</v>
      </c>
      <c r="G178" s="241" t="s">
        <v>71</v>
      </c>
      <c r="H178" s="241" t="s">
        <v>34</v>
      </c>
      <c r="I178" s="241">
        <v>208</v>
      </c>
    </row>
    <row r="179" spans="1:9">
      <c r="A179" s="235">
        <v>143982</v>
      </c>
      <c r="B179" s="236" t="s">
        <v>749</v>
      </c>
      <c r="C179" s="237"/>
      <c r="D179" s="238"/>
      <c r="E179" s="239">
        <v>2512000</v>
      </c>
      <c r="F179" s="240">
        <v>143982</v>
      </c>
      <c r="G179" s="241" t="s">
        <v>71</v>
      </c>
      <c r="H179" s="241" t="s">
        <v>34</v>
      </c>
      <c r="I179" s="241">
        <v>208</v>
      </c>
    </row>
    <row r="180" spans="1:9">
      <c r="A180" s="235">
        <v>143983</v>
      </c>
      <c r="B180" s="236" t="s">
        <v>743</v>
      </c>
      <c r="C180" s="237"/>
      <c r="D180" s="238"/>
      <c r="E180" s="239">
        <v>240000</v>
      </c>
      <c r="F180" s="241">
        <v>143983</v>
      </c>
      <c r="G180" s="241" t="s">
        <v>70</v>
      </c>
      <c r="H180" s="241" t="s">
        <v>34</v>
      </c>
      <c r="I180" s="241">
        <v>20</v>
      </c>
    </row>
    <row r="181" spans="1:9">
      <c r="A181" s="235">
        <v>135456</v>
      </c>
      <c r="B181" s="236" t="s">
        <v>512</v>
      </c>
      <c r="C181" s="237"/>
      <c r="D181" s="238"/>
      <c r="E181" s="239">
        <v>2512000</v>
      </c>
      <c r="F181" s="240">
        <v>135456</v>
      </c>
      <c r="G181" s="241" t="s">
        <v>71</v>
      </c>
      <c r="H181" s="241" t="s">
        <v>34</v>
      </c>
      <c r="I181" s="241">
        <v>208</v>
      </c>
    </row>
    <row r="182" spans="1:9">
      <c r="A182" s="235">
        <v>135457</v>
      </c>
      <c r="B182" s="236" t="s">
        <v>303</v>
      </c>
      <c r="C182" s="237"/>
      <c r="D182" s="238"/>
      <c r="E182" s="239">
        <v>240000</v>
      </c>
      <c r="F182" s="240">
        <v>135457</v>
      </c>
      <c r="G182" s="241" t="s">
        <v>70</v>
      </c>
      <c r="H182" s="241" t="s">
        <v>34</v>
      </c>
      <c r="I182" s="241">
        <v>18.899999999999999</v>
      </c>
    </row>
    <row r="183" spans="1:9">
      <c r="A183" s="235">
        <v>143985</v>
      </c>
      <c r="B183" s="236" t="s">
        <v>769</v>
      </c>
      <c r="C183" s="237"/>
      <c r="D183" s="238"/>
      <c r="E183" s="239">
        <v>2318000</v>
      </c>
      <c r="F183" s="242">
        <v>143985</v>
      </c>
      <c r="G183" s="241" t="s">
        <v>71</v>
      </c>
      <c r="H183" s="241" t="s">
        <v>34</v>
      </c>
      <c r="I183" s="241">
        <v>208</v>
      </c>
    </row>
    <row r="184" spans="1:9">
      <c r="A184" s="235">
        <v>140854</v>
      </c>
      <c r="B184" s="236" t="s">
        <v>756</v>
      </c>
      <c r="C184" s="237"/>
      <c r="D184" s="238"/>
      <c r="E184" s="239">
        <v>240000</v>
      </c>
      <c r="F184" s="240">
        <v>140854</v>
      </c>
      <c r="G184" s="241" t="s">
        <v>70</v>
      </c>
      <c r="H184" s="241" t="s">
        <v>34</v>
      </c>
      <c r="I184" s="241">
        <v>20</v>
      </c>
    </row>
    <row r="185" spans="1:9">
      <c r="A185" s="235">
        <v>135458</v>
      </c>
      <c r="B185" s="236" t="s">
        <v>420</v>
      </c>
      <c r="C185" s="237"/>
      <c r="D185" s="238"/>
      <c r="E185" s="239">
        <v>2318000</v>
      </c>
      <c r="F185" s="240">
        <v>135458</v>
      </c>
      <c r="G185" s="241" t="s">
        <v>71</v>
      </c>
      <c r="H185" s="241" t="s">
        <v>34</v>
      </c>
      <c r="I185" s="241">
        <v>208</v>
      </c>
    </row>
    <row r="186" spans="1:9">
      <c r="A186" s="235">
        <v>143987</v>
      </c>
      <c r="B186" s="236" t="s">
        <v>747</v>
      </c>
      <c r="C186" s="237"/>
      <c r="D186" s="238"/>
      <c r="E186" s="239">
        <v>2465000</v>
      </c>
      <c r="F186" s="242">
        <v>143987</v>
      </c>
      <c r="G186" s="241" t="s">
        <v>71</v>
      </c>
      <c r="H186" s="241" t="s">
        <v>34</v>
      </c>
      <c r="I186" s="241">
        <v>208</v>
      </c>
    </row>
    <row r="187" spans="1:9">
      <c r="A187" s="235">
        <v>143988</v>
      </c>
      <c r="B187" s="236" t="s">
        <v>742</v>
      </c>
      <c r="C187" s="237"/>
      <c r="D187" s="238"/>
      <c r="E187" s="239">
        <v>242000</v>
      </c>
      <c r="F187" s="242">
        <v>143988</v>
      </c>
      <c r="G187" s="241" t="s">
        <v>70</v>
      </c>
      <c r="H187" s="241" t="s">
        <v>34</v>
      </c>
      <c r="I187" s="241">
        <v>20</v>
      </c>
    </row>
    <row r="188" spans="1:9">
      <c r="A188" s="235">
        <v>143990</v>
      </c>
      <c r="B188" s="236" t="s">
        <v>770</v>
      </c>
      <c r="C188" s="237"/>
      <c r="D188" s="238"/>
      <c r="E188" s="239">
        <v>2621000</v>
      </c>
      <c r="F188" s="242">
        <v>143990</v>
      </c>
      <c r="G188" s="241" t="s">
        <v>71</v>
      </c>
      <c r="H188" s="241" t="s">
        <v>34</v>
      </c>
      <c r="I188" s="241">
        <v>208</v>
      </c>
    </row>
    <row r="189" spans="1:9">
      <c r="A189" s="235">
        <v>143991</v>
      </c>
      <c r="B189" s="236" t="s">
        <v>771</v>
      </c>
      <c r="C189" s="237"/>
      <c r="D189" s="238"/>
      <c r="E189" s="239">
        <v>283000</v>
      </c>
      <c r="F189" s="240">
        <v>143991</v>
      </c>
      <c r="G189" s="241" t="s">
        <v>70</v>
      </c>
      <c r="H189" s="241" t="s">
        <v>34</v>
      </c>
      <c r="I189" s="241">
        <v>20</v>
      </c>
    </row>
    <row r="190" spans="1:9">
      <c r="A190" s="235">
        <v>135460</v>
      </c>
      <c r="B190" s="236" t="s">
        <v>304</v>
      </c>
      <c r="C190" s="237"/>
      <c r="D190" s="238"/>
      <c r="E190" s="239">
        <v>283000</v>
      </c>
      <c r="F190" s="240">
        <v>135460</v>
      </c>
      <c r="G190" s="241" t="s">
        <v>70</v>
      </c>
      <c r="H190" s="241" t="s">
        <v>34</v>
      </c>
      <c r="I190" s="241">
        <v>18.899999999999999</v>
      </c>
    </row>
    <row r="191" spans="1:9">
      <c r="A191" s="235">
        <v>143993</v>
      </c>
      <c r="B191" s="236" t="s">
        <v>772</v>
      </c>
      <c r="C191" s="237"/>
      <c r="D191" s="238"/>
      <c r="E191" s="239">
        <v>2730000</v>
      </c>
      <c r="F191" s="241">
        <v>143993</v>
      </c>
      <c r="G191" s="241" t="s">
        <v>71</v>
      </c>
      <c r="H191" s="241" t="s">
        <v>34</v>
      </c>
      <c r="I191" s="241">
        <v>208</v>
      </c>
    </row>
    <row r="192" spans="1:9">
      <c r="A192" s="235">
        <v>143994</v>
      </c>
      <c r="B192" s="236" t="s">
        <v>773</v>
      </c>
      <c r="C192" s="237"/>
      <c r="D192" s="238"/>
      <c r="E192" s="239">
        <v>294000</v>
      </c>
      <c r="F192" s="242">
        <v>143994</v>
      </c>
      <c r="G192" s="241" t="s">
        <v>70</v>
      </c>
      <c r="H192" s="241" t="s">
        <v>34</v>
      </c>
      <c r="I192" s="241">
        <v>20</v>
      </c>
    </row>
    <row r="193" spans="1:9">
      <c r="A193" s="235">
        <v>135461</v>
      </c>
      <c r="B193" s="236" t="s">
        <v>513</v>
      </c>
      <c r="C193" s="237"/>
      <c r="D193" s="238"/>
      <c r="E193" s="239">
        <v>2730000</v>
      </c>
      <c r="F193" s="240">
        <v>135461</v>
      </c>
      <c r="G193" s="241" t="s">
        <v>71</v>
      </c>
      <c r="H193" s="241" t="s">
        <v>34</v>
      </c>
      <c r="I193" s="241">
        <v>208</v>
      </c>
    </row>
    <row r="194" spans="1:9">
      <c r="A194" s="235">
        <v>135462</v>
      </c>
      <c r="B194" s="236" t="s">
        <v>305</v>
      </c>
      <c r="C194" s="237"/>
      <c r="D194" s="238"/>
      <c r="E194" s="239">
        <v>294000</v>
      </c>
      <c r="F194" s="240">
        <v>135462</v>
      </c>
      <c r="G194" s="241" t="s">
        <v>70</v>
      </c>
      <c r="H194" s="241" t="s">
        <v>34</v>
      </c>
      <c r="I194" s="241">
        <v>18.899999999999999</v>
      </c>
    </row>
    <row r="195" spans="1:9">
      <c r="A195" s="235">
        <v>135463</v>
      </c>
      <c r="B195" s="236" t="s">
        <v>514</v>
      </c>
      <c r="C195" s="237"/>
      <c r="D195" s="238"/>
      <c r="E195" s="239">
        <v>2839000</v>
      </c>
      <c r="F195" s="240">
        <v>135463</v>
      </c>
      <c r="G195" s="241" t="s">
        <v>71</v>
      </c>
      <c r="H195" s="241" t="s">
        <v>34</v>
      </c>
      <c r="I195" s="241">
        <v>208</v>
      </c>
    </row>
    <row r="196" spans="1:9">
      <c r="A196" s="235">
        <v>135464</v>
      </c>
      <c r="B196" s="236" t="s">
        <v>306</v>
      </c>
      <c r="C196" s="237"/>
      <c r="D196" s="238"/>
      <c r="E196" s="239">
        <v>305000</v>
      </c>
      <c r="F196" s="240">
        <v>135464</v>
      </c>
      <c r="G196" s="241" t="s">
        <v>70</v>
      </c>
      <c r="H196" s="241" t="s">
        <v>34</v>
      </c>
      <c r="I196" s="241">
        <v>18.899999999999999</v>
      </c>
    </row>
    <row r="197" spans="1:9">
      <c r="A197" s="235">
        <v>126328</v>
      </c>
      <c r="B197" s="236" t="s">
        <v>453</v>
      </c>
      <c r="C197" s="237"/>
      <c r="D197" s="238"/>
      <c r="E197" s="239">
        <v>3404000</v>
      </c>
      <c r="F197" s="241">
        <v>126328</v>
      </c>
      <c r="G197" s="241" t="s">
        <v>71</v>
      </c>
      <c r="H197" s="241" t="s">
        <v>34</v>
      </c>
      <c r="I197" s="241">
        <v>208</v>
      </c>
    </row>
    <row r="198" spans="1:9">
      <c r="A198" s="235">
        <v>142637</v>
      </c>
      <c r="B198" s="236" t="s">
        <v>707</v>
      </c>
      <c r="C198" s="237"/>
      <c r="D198" s="238"/>
      <c r="E198" s="239">
        <v>3423000</v>
      </c>
      <c r="F198" s="241">
        <v>142637</v>
      </c>
      <c r="G198" s="241" t="s">
        <v>71</v>
      </c>
      <c r="H198" s="241" t="s">
        <v>34</v>
      </c>
      <c r="I198" s="241">
        <v>200</v>
      </c>
    </row>
    <row r="199" spans="1:9">
      <c r="A199" s="235">
        <v>140435</v>
      </c>
      <c r="B199" s="236" t="s">
        <v>89</v>
      </c>
      <c r="C199" s="237"/>
      <c r="D199" s="238"/>
      <c r="E199" s="239">
        <v>331000</v>
      </c>
      <c r="F199" s="240">
        <v>140435</v>
      </c>
      <c r="G199" s="241" t="s">
        <v>70</v>
      </c>
      <c r="H199" s="241" t="s">
        <v>34</v>
      </c>
      <c r="I199" s="241">
        <v>20</v>
      </c>
    </row>
    <row r="200" spans="1:9">
      <c r="A200" s="235">
        <v>135187</v>
      </c>
      <c r="B200" s="236" t="s">
        <v>497</v>
      </c>
      <c r="C200" s="237"/>
      <c r="D200" s="238"/>
      <c r="E200" s="239">
        <v>2621000</v>
      </c>
      <c r="F200" s="240">
        <v>135187</v>
      </c>
      <c r="G200" s="241" t="s">
        <v>71</v>
      </c>
      <c r="H200" s="241" t="s">
        <v>34</v>
      </c>
      <c r="I200" s="241">
        <v>208</v>
      </c>
    </row>
    <row r="201" spans="1:9">
      <c r="A201" s="235">
        <v>135188</v>
      </c>
      <c r="B201" s="236" t="s">
        <v>294</v>
      </c>
      <c r="C201" s="237"/>
      <c r="D201" s="238"/>
      <c r="E201" s="239">
        <v>264000</v>
      </c>
      <c r="F201" s="240">
        <v>135188</v>
      </c>
      <c r="G201" s="241" t="s">
        <v>70</v>
      </c>
      <c r="H201" s="241" t="s">
        <v>34</v>
      </c>
      <c r="I201" s="241">
        <v>20</v>
      </c>
    </row>
    <row r="202" spans="1:9">
      <c r="A202" s="235">
        <v>135184</v>
      </c>
      <c r="B202" s="236" t="s">
        <v>494</v>
      </c>
      <c r="C202" s="237"/>
      <c r="D202" s="238"/>
      <c r="E202" s="239">
        <v>2730000</v>
      </c>
      <c r="F202" s="240">
        <v>135184</v>
      </c>
      <c r="G202" s="241" t="s">
        <v>71</v>
      </c>
      <c r="H202" s="241" t="s">
        <v>34</v>
      </c>
      <c r="I202" s="241">
        <v>208</v>
      </c>
    </row>
    <row r="203" spans="1:9">
      <c r="A203" s="235">
        <v>135152</v>
      </c>
      <c r="B203" s="236" t="s">
        <v>290</v>
      </c>
      <c r="C203" s="237"/>
      <c r="D203" s="238"/>
      <c r="E203" s="239">
        <v>274000</v>
      </c>
      <c r="F203" s="240">
        <v>135152</v>
      </c>
      <c r="G203" s="241" t="s">
        <v>70</v>
      </c>
      <c r="H203" s="241" t="s">
        <v>34</v>
      </c>
      <c r="I203" s="241">
        <v>20</v>
      </c>
    </row>
    <row r="204" spans="1:9">
      <c r="A204" s="235">
        <v>135179</v>
      </c>
      <c r="B204" s="236" t="s">
        <v>491</v>
      </c>
      <c r="C204" s="237"/>
      <c r="D204" s="238"/>
      <c r="E204" s="239">
        <v>2293000</v>
      </c>
      <c r="F204" s="240">
        <v>135179</v>
      </c>
      <c r="G204" s="241" t="s">
        <v>71</v>
      </c>
      <c r="H204" s="241" t="s">
        <v>34</v>
      </c>
      <c r="I204" s="241">
        <v>208</v>
      </c>
    </row>
    <row r="205" spans="1:9">
      <c r="A205" s="235">
        <v>135153</v>
      </c>
      <c r="B205" s="236" t="s">
        <v>291</v>
      </c>
      <c r="C205" s="237"/>
      <c r="D205" s="238"/>
      <c r="E205" s="239">
        <v>232000</v>
      </c>
      <c r="F205" s="240">
        <v>135153</v>
      </c>
      <c r="G205" s="241" t="s">
        <v>70</v>
      </c>
      <c r="H205" s="241" t="s">
        <v>34</v>
      </c>
      <c r="I205" s="241">
        <v>20</v>
      </c>
    </row>
    <row r="206" spans="1:9">
      <c r="A206" s="235">
        <v>135185</v>
      </c>
      <c r="B206" s="236" t="s">
        <v>495</v>
      </c>
      <c r="C206" s="237"/>
      <c r="D206" s="238"/>
      <c r="E206" s="239">
        <v>2894000</v>
      </c>
      <c r="F206" s="240">
        <v>135185</v>
      </c>
      <c r="G206" s="241" t="s">
        <v>71</v>
      </c>
      <c r="H206" s="241" t="s">
        <v>34</v>
      </c>
      <c r="I206" s="241">
        <v>208</v>
      </c>
    </row>
    <row r="207" spans="1:9">
      <c r="A207" s="235">
        <v>135190</v>
      </c>
      <c r="B207" s="236" t="s">
        <v>295</v>
      </c>
      <c r="C207" s="237"/>
      <c r="D207" s="238"/>
      <c r="E207" s="239">
        <v>290000</v>
      </c>
      <c r="F207" s="240">
        <v>135190</v>
      </c>
      <c r="G207" s="241" t="s">
        <v>70</v>
      </c>
      <c r="H207" s="241" t="s">
        <v>34</v>
      </c>
      <c r="I207" s="241">
        <v>20</v>
      </c>
    </row>
    <row r="208" spans="1:9">
      <c r="A208" s="235">
        <v>135180</v>
      </c>
      <c r="B208" s="236" t="s">
        <v>492</v>
      </c>
      <c r="C208" s="244"/>
      <c r="D208" s="245"/>
      <c r="E208" s="239">
        <v>2621000</v>
      </c>
      <c r="F208" s="240">
        <v>135180</v>
      </c>
      <c r="G208" s="241" t="s">
        <v>71</v>
      </c>
      <c r="H208" s="241" t="s">
        <v>34</v>
      </c>
      <c r="I208" s="241">
        <v>208</v>
      </c>
    </row>
    <row r="209" spans="1:9">
      <c r="A209" s="235">
        <v>135181</v>
      </c>
      <c r="B209" s="236" t="s">
        <v>292</v>
      </c>
      <c r="C209" s="237"/>
      <c r="D209" s="238"/>
      <c r="E209" s="239">
        <v>226000</v>
      </c>
      <c r="F209" s="240">
        <v>135181</v>
      </c>
      <c r="G209" s="241" t="s">
        <v>70</v>
      </c>
      <c r="H209" s="241" t="s">
        <v>34</v>
      </c>
      <c r="I209" s="241">
        <v>20</v>
      </c>
    </row>
    <row r="210" spans="1:9">
      <c r="A210" s="235">
        <v>134962</v>
      </c>
      <c r="B210" s="236" t="s">
        <v>47</v>
      </c>
      <c r="C210" s="237"/>
      <c r="D210" s="238"/>
      <c r="E210" s="239">
        <v>305000</v>
      </c>
      <c r="F210" s="240">
        <v>134962</v>
      </c>
      <c r="G210" s="241" t="s">
        <v>70</v>
      </c>
      <c r="H210" s="241" t="s">
        <v>34</v>
      </c>
      <c r="I210" s="241">
        <v>20</v>
      </c>
    </row>
    <row r="211" spans="1:9">
      <c r="A211" s="235">
        <v>135186</v>
      </c>
      <c r="B211" s="236" t="s">
        <v>496</v>
      </c>
      <c r="C211" s="237"/>
      <c r="D211" s="238"/>
      <c r="E211" s="239">
        <v>3058000</v>
      </c>
      <c r="F211" s="240">
        <v>135186</v>
      </c>
      <c r="G211" s="241" t="s">
        <v>71</v>
      </c>
      <c r="H211" s="241" t="s">
        <v>34</v>
      </c>
      <c r="I211" s="241">
        <v>208</v>
      </c>
    </row>
    <row r="212" spans="1:9">
      <c r="A212" s="235">
        <v>135182</v>
      </c>
      <c r="B212" s="236" t="s">
        <v>493</v>
      </c>
      <c r="C212" s="237"/>
      <c r="D212" s="238"/>
      <c r="E212" s="239">
        <v>2512000</v>
      </c>
      <c r="F212" s="240">
        <v>135182</v>
      </c>
      <c r="G212" s="241" t="s">
        <v>71</v>
      </c>
      <c r="H212" s="241" t="s">
        <v>34</v>
      </c>
      <c r="I212" s="241">
        <v>208</v>
      </c>
    </row>
    <row r="213" spans="1:9">
      <c r="A213" s="235">
        <v>135183</v>
      </c>
      <c r="B213" s="236" t="s">
        <v>293</v>
      </c>
      <c r="C213" s="237"/>
      <c r="D213" s="238"/>
      <c r="E213" s="239">
        <v>253000</v>
      </c>
      <c r="F213" s="240">
        <v>135183</v>
      </c>
      <c r="G213" s="241" t="s">
        <v>70</v>
      </c>
      <c r="H213" s="241" t="s">
        <v>34</v>
      </c>
      <c r="I213" s="241">
        <v>20</v>
      </c>
    </row>
    <row r="214" spans="1:9">
      <c r="A214" s="235">
        <v>139032</v>
      </c>
      <c r="B214" s="236" t="s">
        <v>322</v>
      </c>
      <c r="C214" s="237"/>
      <c r="D214" s="238"/>
      <c r="E214" s="239">
        <v>311000</v>
      </c>
      <c r="F214" s="240">
        <v>139032</v>
      </c>
      <c r="G214" s="241" t="s">
        <v>70</v>
      </c>
      <c r="H214" s="241" t="s">
        <v>34</v>
      </c>
      <c r="I214" s="241">
        <v>20</v>
      </c>
    </row>
    <row r="215" spans="1:9">
      <c r="A215" s="235">
        <v>135431</v>
      </c>
      <c r="B215" s="236" t="s">
        <v>501</v>
      </c>
      <c r="C215" s="237"/>
      <c r="D215" s="238"/>
      <c r="E215" s="239">
        <v>3250000</v>
      </c>
      <c r="F215" s="240">
        <v>135431</v>
      </c>
      <c r="G215" s="241" t="s">
        <v>71</v>
      </c>
      <c r="H215" s="241" t="s">
        <v>34</v>
      </c>
      <c r="I215" s="241">
        <v>177</v>
      </c>
    </row>
    <row r="216" spans="1:9">
      <c r="A216" s="235">
        <v>139033</v>
      </c>
      <c r="B216" s="236" t="s">
        <v>323</v>
      </c>
      <c r="C216" s="237"/>
      <c r="D216" s="238"/>
      <c r="E216" s="239">
        <v>329000</v>
      </c>
      <c r="F216" s="240">
        <v>139033</v>
      </c>
      <c r="G216" s="241" t="s">
        <v>70</v>
      </c>
      <c r="H216" s="241" t="s">
        <v>34</v>
      </c>
      <c r="I216" s="241">
        <v>20</v>
      </c>
    </row>
    <row r="217" spans="1:9">
      <c r="A217" s="235">
        <v>135432</v>
      </c>
      <c r="B217" s="236" t="s">
        <v>502</v>
      </c>
      <c r="C217" s="237"/>
      <c r="D217" s="238"/>
      <c r="E217" s="239">
        <v>3324000</v>
      </c>
      <c r="F217" s="240">
        <v>135432</v>
      </c>
      <c r="G217" s="241" t="s">
        <v>71</v>
      </c>
      <c r="H217" s="241" t="s">
        <v>34</v>
      </c>
      <c r="I217" s="241">
        <v>177</v>
      </c>
    </row>
    <row r="218" spans="1:9">
      <c r="A218" s="235">
        <v>135421</v>
      </c>
      <c r="B218" s="236" t="s">
        <v>500</v>
      </c>
      <c r="C218" s="237"/>
      <c r="D218" s="238"/>
      <c r="E218" s="239">
        <v>4237000</v>
      </c>
      <c r="F218" s="240">
        <v>135421</v>
      </c>
      <c r="G218" s="241" t="s">
        <v>71</v>
      </c>
      <c r="H218" s="241" t="s">
        <v>34</v>
      </c>
      <c r="I218" s="241">
        <v>208</v>
      </c>
    </row>
    <row r="219" spans="1:9">
      <c r="A219" s="235">
        <v>139600</v>
      </c>
      <c r="B219" s="236" t="s">
        <v>767</v>
      </c>
      <c r="C219" s="237"/>
      <c r="D219" s="238"/>
      <c r="E219" s="239">
        <v>404000</v>
      </c>
      <c r="F219" s="240">
        <v>139600</v>
      </c>
      <c r="G219" s="241" t="s">
        <v>70</v>
      </c>
      <c r="H219" s="241" t="s">
        <v>34</v>
      </c>
      <c r="I219" s="241">
        <v>20</v>
      </c>
    </row>
    <row r="220" spans="1:9">
      <c r="A220" s="235">
        <v>135444</v>
      </c>
      <c r="B220" s="236" t="s">
        <v>507</v>
      </c>
      <c r="C220" s="237"/>
      <c r="D220" s="238"/>
      <c r="E220" s="239">
        <v>3467000</v>
      </c>
      <c r="F220" s="241">
        <v>135444</v>
      </c>
      <c r="G220" s="241" t="s">
        <v>71</v>
      </c>
      <c r="H220" s="241" t="s">
        <v>34</v>
      </c>
      <c r="I220" s="241">
        <v>177</v>
      </c>
    </row>
    <row r="221" spans="1:9">
      <c r="A221" s="235">
        <v>135439</v>
      </c>
      <c r="B221" s="236" t="s">
        <v>504</v>
      </c>
      <c r="C221" s="237"/>
      <c r="D221" s="238"/>
      <c r="E221" s="239">
        <v>3385000</v>
      </c>
      <c r="F221" s="240">
        <v>135439</v>
      </c>
      <c r="G221" s="241" t="s">
        <v>71</v>
      </c>
      <c r="H221" s="241" t="s">
        <v>34</v>
      </c>
      <c r="I221" s="241">
        <v>176.9</v>
      </c>
    </row>
    <row r="222" spans="1:9">
      <c r="A222" s="235">
        <v>135448</v>
      </c>
      <c r="B222" s="236" t="s">
        <v>508</v>
      </c>
      <c r="C222" s="237"/>
      <c r="D222" s="238"/>
      <c r="E222" s="239">
        <v>3223000</v>
      </c>
      <c r="F222" s="240">
        <v>135448</v>
      </c>
      <c r="G222" s="241" t="s">
        <v>71</v>
      </c>
      <c r="H222" s="241" t="s">
        <v>34</v>
      </c>
      <c r="I222" s="241">
        <v>177</v>
      </c>
    </row>
    <row r="223" spans="1:9">
      <c r="A223" s="235">
        <v>135627</v>
      </c>
      <c r="B223" s="236" t="s">
        <v>36</v>
      </c>
      <c r="C223" s="237"/>
      <c r="D223" s="238"/>
      <c r="E223" s="239">
        <v>4123000</v>
      </c>
      <c r="F223" s="240">
        <v>135627</v>
      </c>
      <c r="G223" s="241" t="s">
        <v>71</v>
      </c>
      <c r="H223" s="241" t="s">
        <v>34</v>
      </c>
      <c r="I223" s="241">
        <v>175</v>
      </c>
    </row>
    <row r="224" spans="1:9">
      <c r="A224" s="235">
        <v>134995</v>
      </c>
      <c r="B224" s="236" t="s">
        <v>283</v>
      </c>
      <c r="C224" s="237"/>
      <c r="D224" s="238"/>
      <c r="E224" s="239">
        <v>398000</v>
      </c>
      <c r="F224" s="242">
        <v>134995</v>
      </c>
      <c r="G224" s="241" t="s">
        <v>70</v>
      </c>
      <c r="H224" s="241" t="s">
        <v>34</v>
      </c>
      <c r="I224" s="241">
        <v>16</v>
      </c>
    </row>
    <row r="225" spans="1:9">
      <c r="A225" s="235">
        <v>129389</v>
      </c>
      <c r="B225" s="236" t="s">
        <v>459</v>
      </c>
      <c r="C225" s="237"/>
      <c r="D225" s="238"/>
      <c r="E225" s="239">
        <v>3324000</v>
      </c>
      <c r="F225" s="240">
        <v>129389</v>
      </c>
      <c r="G225" s="241" t="s">
        <v>71</v>
      </c>
      <c r="H225" s="241" t="s">
        <v>34</v>
      </c>
      <c r="I225" s="241">
        <v>208</v>
      </c>
    </row>
    <row r="226" spans="1:9">
      <c r="A226" s="235">
        <v>136141</v>
      </c>
      <c r="B226" s="236" t="s">
        <v>523</v>
      </c>
      <c r="C226" s="237"/>
      <c r="D226" s="238"/>
      <c r="E226" s="239">
        <v>2973000</v>
      </c>
      <c r="F226" s="240">
        <v>136141</v>
      </c>
      <c r="G226" s="241" t="s">
        <v>71</v>
      </c>
      <c r="H226" s="241" t="s">
        <v>34</v>
      </c>
      <c r="I226" s="241">
        <v>181</v>
      </c>
    </row>
    <row r="227" spans="1:9">
      <c r="A227" s="235">
        <v>121558</v>
      </c>
      <c r="B227" s="236" t="s">
        <v>255</v>
      </c>
      <c r="C227" s="237"/>
      <c r="D227" s="238"/>
      <c r="E227" s="239">
        <v>261800</v>
      </c>
      <c r="F227" s="240">
        <v>121558</v>
      </c>
      <c r="G227" s="241" t="s">
        <v>70</v>
      </c>
      <c r="H227" s="241" t="s">
        <v>34</v>
      </c>
      <c r="I227" s="241">
        <v>17.251999999999999</v>
      </c>
    </row>
    <row r="228" spans="1:9">
      <c r="A228" s="235">
        <v>142012</v>
      </c>
      <c r="B228" s="236" t="s">
        <v>129</v>
      </c>
      <c r="C228" s="237"/>
      <c r="D228" s="238"/>
      <c r="E228" s="239">
        <v>38400</v>
      </c>
      <c r="F228" s="240">
        <v>142012</v>
      </c>
      <c r="G228" s="241" t="s">
        <v>70</v>
      </c>
      <c r="H228" s="241" t="s">
        <v>34</v>
      </c>
      <c r="I228" s="241">
        <v>20</v>
      </c>
    </row>
    <row r="229" spans="1:9">
      <c r="A229" s="235">
        <v>139029</v>
      </c>
      <c r="B229" s="236" t="s">
        <v>574</v>
      </c>
      <c r="C229" s="237"/>
      <c r="D229" s="238"/>
      <c r="E229" s="239">
        <v>485000</v>
      </c>
      <c r="F229" s="240">
        <v>139029</v>
      </c>
      <c r="G229" s="241" t="s">
        <v>71</v>
      </c>
      <c r="H229" s="241" t="s">
        <v>34</v>
      </c>
      <c r="I229" s="241">
        <v>200</v>
      </c>
    </row>
    <row r="230" spans="1:9">
      <c r="A230" s="235">
        <v>139030</v>
      </c>
      <c r="B230" s="236" t="s">
        <v>236</v>
      </c>
      <c r="C230" s="237"/>
      <c r="D230" s="238"/>
      <c r="E230" s="239">
        <v>52000</v>
      </c>
      <c r="F230" s="240">
        <v>139030</v>
      </c>
      <c r="G230" s="241" t="s">
        <v>70</v>
      </c>
      <c r="H230" s="241" t="s">
        <v>34</v>
      </c>
      <c r="I230" s="241">
        <v>20</v>
      </c>
    </row>
    <row r="231" spans="1:9">
      <c r="A231" s="235">
        <v>135916</v>
      </c>
      <c r="B231" s="236" t="s">
        <v>516</v>
      </c>
      <c r="C231" s="237"/>
      <c r="D231" s="238"/>
      <c r="E231" s="239">
        <v>485000</v>
      </c>
      <c r="F231" s="240">
        <v>135916</v>
      </c>
      <c r="G231" s="241" t="s">
        <v>71</v>
      </c>
      <c r="H231" s="241" t="s">
        <v>34</v>
      </c>
      <c r="I231" s="241">
        <v>200</v>
      </c>
    </row>
    <row r="232" spans="1:9">
      <c r="A232" s="235">
        <v>139084</v>
      </c>
      <c r="B232" s="236" t="s">
        <v>243</v>
      </c>
      <c r="C232" s="244"/>
      <c r="D232" s="245"/>
      <c r="E232" s="239">
        <v>52000</v>
      </c>
      <c r="F232" s="241">
        <v>139084</v>
      </c>
      <c r="G232" s="241" t="s">
        <v>70</v>
      </c>
      <c r="H232" s="241" t="s">
        <v>34</v>
      </c>
      <c r="I232" s="241">
        <v>20</v>
      </c>
    </row>
    <row r="233" spans="1:9">
      <c r="A233" s="235">
        <v>139085</v>
      </c>
      <c r="B233" s="236" t="s">
        <v>593</v>
      </c>
      <c r="C233" s="244"/>
      <c r="D233" s="245"/>
      <c r="E233" s="239">
        <v>485000</v>
      </c>
      <c r="F233" s="240">
        <v>139085</v>
      </c>
      <c r="G233" s="241" t="s">
        <v>71</v>
      </c>
      <c r="H233" s="241" t="s">
        <v>34</v>
      </c>
      <c r="I233" s="241">
        <v>200</v>
      </c>
    </row>
    <row r="234" spans="1:9">
      <c r="A234" s="235">
        <v>139086</v>
      </c>
      <c r="B234" s="236" t="s">
        <v>226</v>
      </c>
      <c r="C234" s="244"/>
      <c r="D234" s="245"/>
      <c r="E234" s="239">
        <v>52000</v>
      </c>
      <c r="F234" s="240">
        <v>139086</v>
      </c>
      <c r="G234" s="241" t="s">
        <v>70</v>
      </c>
      <c r="H234" s="241" t="s">
        <v>34</v>
      </c>
      <c r="I234" s="241">
        <v>20</v>
      </c>
    </row>
    <row r="235" spans="1:9">
      <c r="A235" s="235">
        <v>139087</v>
      </c>
      <c r="B235" s="236" t="s">
        <v>594</v>
      </c>
      <c r="C235" s="244"/>
      <c r="D235" s="245"/>
      <c r="E235" s="239">
        <v>485000</v>
      </c>
      <c r="F235" s="240">
        <v>139087</v>
      </c>
      <c r="G235" s="241" t="s">
        <v>71</v>
      </c>
      <c r="H235" s="241" t="s">
        <v>34</v>
      </c>
      <c r="I235" s="241">
        <v>200</v>
      </c>
    </row>
    <row r="236" spans="1:9">
      <c r="A236" s="235">
        <v>139088</v>
      </c>
      <c r="B236" s="236" t="s">
        <v>234</v>
      </c>
      <c r="C236" s="244"/>
      <c r="D236" s="245"/>
      <c r="E236" s="239">
        <v>52000</v>
      </c>
      <c r="F236" s="240">
        <v>139088</v>
      </c>
      <c r="G236" s="241" t="s">
        <v>70</v>
      </c>
      <c r="H236" s="241" t="s">
        <v>34</v>
      </c>
      <c r="I236" s="241">
        <v>20</v>
      </c>
    </row>
    <row r="237" spans="1:9">
      <c r="A237" s="235">
        <v>141763</v>
      </c>
      <c r="B237" s="236" t="s">
        <v>396</v>
      </c>
      <c r="C237" s="237"/>
      <c r="D237" s="238"/>
      <c r="E237" s="239">
        <v>67100</v>
      </c>
      <c r="F237" s="240">
        <v>141763</v>
      </c>
      <c r="G237" s="241" t="s">
        <v>70</v>
      </c>
      <c r="H237" s="241" t="s">
        <v>34</v>
      </c>
      <c r="I237" s="241">
        <v>20</v>
      </c>
    </row>
    <row r="238" spans="1:9">
      <c r="A238" s="235">
        <v>135542</v>
      </c>
      <c r="B238" s="236" t="s">
        <v>307</v>
      </c>
      <c r="C238" s="237"/>
      <c r="D238" s="238"/>
      <c r="E238" s="239">
        <v>58600</v>
      </c>
      <c r="F238" s="240">
        <v>135542</v>
      </c>
      <c r="G238" s="241" t="s">
        <v>70</v>
      </c>
      <c r="H238" s="241" t="s">
        <v>34</v>
      </c>
      <c r="I238" s="241">
        <v>20</v>
      </c>
    </row>
    <row r="239" spans="1:9">
      <c r="A239" s="235">
        <v>139026</v>
      </c>
      <c r="B239" s="236" t="s">
        <v>571</v>
      </c>
      <c r="C239" s="237"/>
      <c r="D239" s="238"/>
      <c r="E239" s="239">
        <v>565000</v>
      </c>
      <c r="F239" s="240">
        <v>139026</v>
      </c>
      <c r="G239" s="241" t="s">
        <v>71</v>
      </c>
      <c r="H239" s="241" t="s">
        <v>34</v>
      </c>
      <c r="I239" s="241">
        <v>200</v>
      </c>
    </row>
    <row r="240" spans="1:9">
      <c r="A240" s="235">
        <v>139089</v>
      </c>
      <c r="B240" s="236" t="s">
        <v>595</v>
      </c>
      <c r="C240" s="244"/>
      <c r="D240" s="245"/>
      <c r="E240" s="239">
        <v>631000</v>
      </c>
      <c r="F240" s="240">
        <v>139089</v>
      </c>
      <c r="G240" s="241" t="s">
        <v>71</v>
      </c>
      <c r="H240" s="241" t="s">
        <v>34</v>
      </c>
      <c r="I240" s="241">
        <v>200</v>
      </c>
    </row>
    <row r="241" spans="1:9">
      <c r="A241" s="235">
        <v>139090</v>
      </c>
      <c r="B241" s="236" t="s">
        <v>596</v>
      </c>
      <c r="C241" s="237"/>
      <c r="D241" s="238"/>
      <c r="E241" s="239">
        <v>537000</v>
      </c>
      <c r="F241" s="240">
        <v>139090</v>
      </c>
      <c r="G241" s="241" t="s">
        <v>71</v>
      </c>
      <c r="H241" s="241" t="s">
        <v>34</v>
      </c>
      <c r="I241" s="241">
        <v>200</v>
      </c>
    </row>
    <row r="242" spans="1:9">
      <c r="A242" s="235">
        <v>139091</v>
      </c>
      <c r="B242" s="236" t="s">
        <v>597</v>
      </c>
      <c r="C242" s="244"/>
      <c r="D242" s="245"/>
      <c r="E242" s="239">
        <v>415000</v>
      </c>
      <c r="F242" s="241">
        <v>139091</v>
      </c>
      <c r="G242" s="241" t="s">
        <v>71</v>
      </c>
      <c r="H242" s="241" t="s">
        <v>34</v>
      </c>
      <c r="I242" s="241">
        <v>200</v>
      </c>
    </row>
    <row r="243" spans="1:9">
      <c r="A243" s="235">
        <v>144277</v>
      </c>
      <c r="B243" s="236" t="s">
        <v>232</v>
      </c>
      <c r="C243" s="237"/>
      <c r="D243" s="238"/>
      <c r="E243" s="239">
        <v>42000</v>
      </c>
      <c r="F243" s="240">
        <v>122885</v>
      </c>
      <c r="G243" s="241" t="s">
        <v>70</v>
      </c>
      <c r="H243" s="241" t="s">
        <v>34</v>
      </c>
      <c r="I243" s="241">
        <v>20</v>
      </c>
    </row>
    <row r="244" spans="1:9">
      <c r="A244" s="235">
        <v>139027</v>
      </c>
      <c r="B244" s="236" t="s">
        <v>572</v>
      </c>
      <c r="C244" s="237"/>
      <c r="D244" s="238"/>
      <c r="E244" s="239">
        <v>631000</v>
      </c>
      <c r="F244" s="240">
        <v>139027</v>
      </c>
      <c r="G244" s="241" t="s">
        <v>71</v>
      </c>
      <c r="H244" s="241" t="s">
        <v>34</v>
      </c>
      <c r="I244" s="241">
        <v>200</v>
      </c>
    </row>
    <row r="245" spans="1:9">
      <c r="A245" s="235">
        <v>139092</v>
      </c>
      <c r="B245" s="236" t="s">
        <v>598</v>
      </c>
      <c r="C245" s="244"/>
      <c r="D245" s="245"/>
      <c r="E245" s="239">
        <v>765000</v>
      </c>
      <c r="F245" s="240">
        <v>139092</v>
      </c>
      <c r="G245" s="241" t="s">
        <v>71</v>
      </c>
      <c r="H245" s="241" t="s">
        <v>34</v>
      </c>
      <c r="I245" s="241">
        <v>200</v>
      </c>
    </row>
    <row r="246" spans="1:9">
      <c r="A246" s="235">
        <v>139094</v>
      </c>
      <c r="B246" s="236" t="s">
        <v>599</v>
      </c>
      <c r="C246" s="244"/>
      <c r="D246" s="245"/>
      <c r="E246" s="239">
        <v>658000</v>
      </c>
      <c r="F246" s="240">
        <v>139094</v>
      </c>
      <c r="G246" s="241" t="s">
        <v>71</v>
      </c>
      <c r="H246" s="241" t="s">
        <v>34</v>
      </c>
      <c r="I246" s="241">
        <v>200</v>
      </c>
    </row>
    <row r="247" spans="1:9">
      <c r="A247" s="235">
        <v>139036</v>
      </c>
      <c r="B247" s="236" t="s">
        <v>575</v>
      </c>
      <c r="C247" s="237"/>
      <c r="D247" s="238"/>
      <c r="E247" s="239">
        <v>547000</v>
      </c>
      <c r="F247" s="240">
        <v>139036</v>
      </c>
      <c r="G247" s="241" t="s">
        <v>71</v>
      </c>
      <c r="H247" s="241" t="s">
        <v>34</v>
      </c>
      <c r="I247" s="241">
        <v>200</v>
      </c>
    </row>
    <row r="248" spans="1:9">
      <c r="A248" s="235">
        <v>139037</v>
      </c>
      <c r="B248" s="236" t="s">
        <v>324</v>
      </c>
      <c r="C248" s="237"/>
      <c r="D248" s="238"/>
      <c r="E248" s="239">
        <v>69500</v>
      </c>
      <c r="F248" s="240">
        <v>139037</v>
      </c>
      <c r="G248" s="241" t="s">
        <v>70</v>
      </c>
      <c r="H248" s="241" t="s">
        <v>34</v>
      </c>
      <c r="I248" s="241">
        <v>20</v>
      </c>
    </row>
    <row r="249" spans="1:9">
      <c r="A249" s="235">
        <v>139111</v>
      </c>
      <c r="B249" s="236" t="s">
        <v>608</v>
      </c>
      <c r="C249" s="237"/>
      <c r="D249" s="238"/>
      <c r="E249" s="239">
        <v>551000</v>
      </c>
      <c r="F249" s="240">
        <v>139111</v>
      </c>
      <c r="G249" s="241" t="s">
        <v>71</v>
      </c>
      <c r="H249" s="241" t="s">
        <v>34</v>
      </c>
      <c r="I249" s="241">
        <v>200</v>
      </c>
    </row>
    <row r="250" spans="1:9">
      <c r="A250" s="235">
        <v>139095</v>
      </c>
      <c r="B250" s="236" t="s">
        <v>600</v>
      </c>
      <c r="C250" s="244"/>
      <c r="D250" s="245"/>
      <c r="E250" s="239">
        <v>711000</v>
      </c>
      <c r="F250" s="240">
        <v>139095</v>
      </c>
      <c r="G250" s="241" t="s">
        <v>71</v>
      </c>
      <c r="H250" s="241" t="s">
        <v>34</v>
      </c>
      <c r="I250" s="241">
        <v>200</v>
      </c>
    </row>
    <row r="251" spans="1:9">
      <c r="A251" s="235">
        <v>139096</v>
      </c>
      <c r="B251" s="236" t="s">
        <v>339</v>
      </c>
      <c r="C251" s="244"/>
      <c r="D251" s="245"/>
      <c r="E251" s="239">
        <v>75600</v>
      </c>
      <c r="F251" s="240">
        <v>139096</v>
      </c>
      <c r="G251" s="241" t="s">
        <v>70</v>
      </c>
      <c r="H251" s="241" t="s">
        <v>34</v>
      </c>
      <c r="I251" s="241">
        <v>20</v>
      </c>
    </row>
    <row r="252" spans="1:9">
      <c r="A252" s="235">
        <v>139023</v>
      </c>
      <c r="B252" s="236" t="s">
        <v>569</v>
      </c>
      <c r="C252" s="237"/>
      <c r="D252" s="238"/>
      <c r="E252" s="239">
        <v>752000</v>
      </c>
      <c r="F252" s="240">
        <v>139023</v>
      </c>
      <c r="G252" s="241" t="s">
        <v>71</v>
      </c>
      <c r="H252" s="241" t="s">
        <v>34</v>
      </c>
      <c r="I252" s="241">
        <v>200</v>
      </c>
    </row>
    <row r="253" spans="1:9">
      <c r="A253" s="235">
        <v>139639</v>
      </c>
      <c r="B253" s="236" t="s">
        <v>353</v>
      </c>
      <c r="C253" s="237"/>
      <c r="D253" s="238"/>
      <c r="E253" s="239">
        <v>79300</v>
      </c>
      <c r="F253" s="240">
        <v>139639</v>
      </c>
      <c r="G253" s="241" t="s">
        <v>70</v>
      </c>
      <c r="H253" s="241" t="s">
        <v>34</v>
      </c>
      <c r="I253" s="241">
        <v>20</v>
      </c>
    </row>
    <row r="254" spans="1:9">
      <c r="A254" s="235">
        <v>139028</v>
      </c>
      <c r="B254" s="236" t="s">
        <v>573</v>
      </c>
      <c r="C254" s="237"/>
      <c r="D254" s="238"/>
      <c r="E254" s="239">
        <v>752000</v>
      </c>
      <c r="F254" s="240">
        <v>139028</v>
      </c>
      <c r="G254" s="241" t="s">
        <v>71</v>
      </c>
      <c r="H254" s="241" t="s">
        <v>34</v>
      </c>
      <c r="I254" s="241">
        <v>200</v>
      </c>
    </row>
    <row r="255" spans="1:9">
      <c r="A255" s="235">
        <v>139097</v>
      </c>
      <c r="B255" s="236" t="s">
        <v>601</v>
      </c>
      <c r="C255" s="244"/>
      <c r="D255" s="245"/>
      <c r="E255" s="239">
        <v>832000</v>
      </c>
      <c r="F255" s="240">
        <v>139097</v>
      </c>
      <c r="G255" s="241" t="s">
        <v>71</v>
      </c>
      <c r="H255" s="241" t="s">
        <v>34</v>
      </c>
      <c r="I255" s="241">
        <v>200</v>
      </c>
    </row>
    <row r="256" spans="1:9">
      <c r="A256" s="235">
        <v>123339</v>
      </c>
      <c r="B256" s="236" t="s">
        <v>225</v>
      </c>
      <c r="C256" s="237"/>
      <c r="D256" s="238"/>
      <c r="E256" s="239">
        <v>46200</v>
      </c>
      <c r="F256" s="241">
        <v>123339</v>
      </c>
      <c r="G256" s="241" t="s">
        <v>70</v>
      </c>
      <c r="H256" s="241" t="s">
        <v>34</v>
      </c>
      <c r="I256" s="241">
        <v>20</v>
      </c>
    </row>
    <row r="257" spans="1:9">
      <c r="A257" s="235">
        <v>139158</v>
      </c>
      <c r="B257" s="236" t="s">
        <v>627</v>
      </c>
      <c r="C257" s="237"/>
      <c r="D257" s="238"/>
      <c r="E257" s="239">
        <v>530000</v>
      </c>
      <c r="F257" s="240">
        <v>139158</v>
      </c>
      <c r="G257" s="241" t="s">
        <v>71</v>
      </c>
      <c r="H257" s="241" t="s">
        <v>34</v>
      </c>
      <c r="I257" s="241">
        <v>200</v>
      </c>
    </row>
    <row r="258" spans="1:9">
      <c r="A258" s="235">
        <v>134884</v>
      </c>
      <c r="B258" s="243" t="s">
        <v>281</v>
      </c>
      <c r="C258" s="237"/>
      <c r="D258" s="238"/>
      <c r="E258" s="239">
        <v>67100</v>
      </c>
      <c r="F258" s="250">
        <v>134884</v>
      </c>
      <c r="G258" s="241" t="s">
        <v>70</v>
      </c>
      <c r="H258" s="241" t="s">
        <v>34</v>
      </c>
      <c r="I258" s="241">
        <v>20</v>
      </c>
    </row>
    <row r="259" spans="1:9">
      <c r="A259" s="235">
        <v>139160</v>
      </c>
      <c r="B259" s="236" t="s">
        <v>628</v>
      </c>
      <c r="C259" s="237"/>
      <c r="D259" s="238"/>
      <c r="E259" s="239">
        <v>569000</v>
      </c>
      <c r="F259" s="240">
        <v>139160</v>
      </c>
      <c r="G259" s="241" t="s">
        <v>71</v>
      </c>
      <c r="H259" s="241" t="s">
        <v>34</v>
      </c>
      <c r="I259" s="241">
        <v>200</v>
      </c>
    </row>
    <row r="260" spans="1:9">
      <c r="A260" s="235">
        <v>139161</v>
      </c>
      <c r="B260" s="236" t="s">
        <v>347</v>
      </c>
      <c r="C260" s="237"/>
      <c r="D260" s="238"/>
      <c r="E260" s="239">
        <v>67100</v>
      </c>
      <c r="F260" s="240">
        <v>139161</v>
      </c>
      <c r="G260" s="241" t="s">
        <v>70</v>
      </c>
      <c r="H260" s="241" t="s">
        <v>34</v>
      </c>
      <c r="I260" s="241">
        <v>20</v>
      </c>
    </row>
    <row r="261" spans="1:9">
      <c r="A261" s="235">
        <v>139163</v>
      </c>
      <c r="B261" s="236" t="s">
        <v>629</v>
      </c>
      <c r="C261" s="237"/>
      <c r="D261" s="238"/>
      <c r="E261" s="239">
        <v>636000</v>
      </c>
      <c r="F261" s="240">
        <v>139163</v>
      </c>
      <c r="G261" s="241" t="s">
        <v>71</v>
      </c>
      <c r="H261" s="241" t="s">
        <v>34</v>
      </c>
      <c r="I261" s="241">
        <v>200</v>
      </c>
    </row>
    <row r="262" spans="1:9">
      <c r="A262" s="235">
        <v>139164</v>
      </c>
      <c r="B262" s="236" t="s">
        <v>348</v>
      </c>
      <c r="C262" s="237"/>
      <c r="D262" s="238"/>
      <c r="E262" s="239">
        <v>67100</v>
      </c>
      <c r="F262" s="240">
        <v>139164</v>
      </c>
      <c r="G262" s="241" t="s">
        <v>70</v>
      </c>
      <c r="H262" s="241" t="s">
        <v>34</v>
      </c>
      <c r="I262" s="241">
        <v>20</v>
      </c>
    </row>
    <row r="263" spans="1:9">
      <c r="A263" s="235">
        <v>139099</v>
      </c>
      <c r="B263" s="236" t="s">
        <v>602</v>
      </c>
      <c r="C263" s="237"/>
      <c r="D263" s="238"/>
      <c r="E263" s="239">
        <v>531000</v>
      </c>
      <c r="F263" s="240">
        <v>139099</v>
      </c>
      <c r="G263" s="241" t="s">
        <v>71</v>
      </c>
      <c r="H263" s="241" t="s">
        <v>34</v>
      </c>
      <c r="I263" s="241">
        <v>200</v>
      </c>
    </row>
    <row r="264" spans="1:9">
      <c r="A264" s="235">
        <v>139101</v>
      </c>
      <c r="B264" s="236" t="s">
        <v>603</v>
      </c>
      <c r="C264" s="237"/>
      <c r="D264" s="238"/>
      <c r="E264" s="239">
        <v>514000</v>
      </c>
      <c r="F264" s="240">
        <v>139101</v>
      </c>
      <c r="G264" s="241" t="s">
        <v>71</v>
      </c>
      <c r="H264" s="241" t="s">
        <v>34</v>
      </c>
      <c r="I264" s="241">
        <v>200</v>
      </c>
    </row>
    <row r="265" spans="1:9">
      <c r="A265" s="235">
        <v>123336</v>
      </c>
      <c r="B265" s="236" t="s">
        <v>235</v>
      </c>
      <c r="C265" s="237"/>
      <c r="D265" s="238"/>
      <c r="E265" s="239">
        <v>52800</v>
      </c>
      <c r="F265" s="240">
        <v>123336</v>
      </c>
      <c r="G265" s="241" t="s">
        <v>70</v>
      </c>
      <c r="H265" s="241" t="s">
        <v>34</v>
      </c>
      <c r="I265" s="241">
        <v>20</v>
      </c>
    </row>
    <row r="266" spans="1:9">
      <c r="A266" s="235">
        <v>139103</v>
      </c>
      <c r="B266" s="236" t="s">
        <v>604</v>
      </c>
      <c r="C266" s="237"/>
      <c r="D266" s="238"/>
      <c r="E266" s="239">
        <v>470000</v>
      </c>
      <c r="F266" s="240">
        <v>139103</v>
      </c>
      <c r="G266" s="241" t="s">
        <v>71</v>
      </c>
      <c r="H266" s="241" t="s">
        <v>34</v>
      </c>
      <c r="I266" s="241">
        <v>200</v>
      </c>
    </row>
    <row r="267" spans="1:9">
      <c r="A267" s="235">
        <v>120969</v>
      </c>
      <c r="B267" s="236" t="s">
        <v>254</v>
      </c>
      <c r="C267" s="237"/>
      <c r="D267" s="238"/>
      <c r="E267" s="239">
        <v>187000</v>
      </c>
      <c r="F267" s="240">
        <v>120969</v>
      </c>
      <c r="G267" s="241" t="s">
        <v>70</v>
      </c>
      <c r="H267" s="241" t="s">
        <v>34</v>
      </c>
      <c r="I267" s="241">
        <v>18.899999999999999</v>
      </c>
    </row>
    <row r="268" spans="1:9">
      <c r="A268" s="235">
        <v>138980</v>
      </c>
      <c r="B268" s="236" t="s">
        <v>316</v>
      </c>
      <c r="C268" s="237"/>
      <c r="D268" s="238"/>
      <c r="E268" s="239">
        <v>72500</v>
      </c>
      <c r="F268" s="240">
        <v>138980</v>
      </c>
      <c r="G268" s="241" t="s">
        <v>70</v>
      </c>
      <c r="H268" s="241" t="s">
        <v>34</v>
      </c>
      <c r="I268" s="241">
        <v>20</v>
      </c>
    </row>
    <row r="269" spans="1:9">
      <c r="A269" s="235">
        <v>136235</v>
      </c>
      <c r="B269" s="236" t="s">
        <v>739</v>
      </c>
      <c r="C269" s="237"/>
      <c r="D269" s="238"/>
      <c r="E269" s="239">
        <v>722800</v>
      </c>
      <c r="F269" s="240">
        <v>136235</v>
      </c>
      <c r="G269" s="241" t="s">
        <v>71</v>
      </c>
      <c r="H269" s="241" t="s">
        <v>34</v>
      </c>
      <c r="I269" s="241">
        <v>208</v>
      </c>
    </row>
    <row r="270" spans="1:9">
      <c r="A270" s="235">
        <v>138967</v>
      </c>
      <c r="B270" s="37" t="s">
        <v>81</v>
      </c>
      <c r="C270" s="34"/>
      <c r="D270" s="35"/>
      <c r="E270" s="325"/>
      <c r="F270" s="33">
        <v>138967</v>
      </c>
      <c r="G270" s="32" t="s">
        <v>71</v>
      </c>
      <c r="H270" s="32" t="s">
        <v>82</v>
      </c>
      <c r="I270" s="32">
        <v>200</v>
      </c>
    </row>
    <row r="271" spans="1:9">
      <c r="A271" s="235">
        <v>139128</v>
      </c>
      <c r="B271" s="236" t="s">
        <v>613</v>
      </c>
      <c r="C271" s="237"/>
      <c r="D271" s="238"/>
      <c r="E271" s="239">
        <v>536000</v>
      </c>
      <c r="F271" s="240">
        <v>139128</v>
      </c>
      <c r="G271" s="241" t="s">
        <v>71</v>
      </c>
      <c r="H271" s="241" t="s">
        <v>34</v>
      </c>
      <c r="I271" s="241">
        <v>200</v>
      </c>
    </row>
    <row r="272" spans="1:9">
      <c r="A272" s="235">
        <v>139129</v>
      </c>
      <c r="B272" s="236" t="s">
        <v>245</v>
      </c>
      <c r="C272" s="237"/>
      <c r="D272" s="238"/>
      <c r="E272" s="239">
        <v>61600</v>
      </c>
      <c r="F272" s="240">
        <v>139129</v>
      </c>
      <c r="G272" s="241" t="s">
        <v>70</v>
      </c>
      <c r="H272" s="241" t="s">
        <v>34</v>
      </c>
      <c r="I272" s="241">
        <v>20</v>
      </c>
    </row>
    <row r="273" spans="1:9">
      <c r="A273" s="235">
        <v>139130</v>
      </c>
      <c r="B273" s="236" t="s">
        <v>614</v>
      </c>
      <c r="C273" s="237"/>
      <c r="D273" s="238"/>
      <c r="E273" s="239">
        <v>550000</v>
      </c>
      <c r="F273" s="240">
        <v>139130</v>
      </c>
      <c r="G273" s="241" t="s">
        <v>71</v>
      </c>
      <c r="H273" s="241" t="s">
        <v>34</v>
      </c>
      <c r="I273" s="241">
        <v>200</v>
      </c>
    </row>
    <row r="274" spans="1:9">
      <c r="A274" s="235">
        <v>139131</v>
      </c>
      <c r="B274" s="236" t="s">
        <v>237</v>
      </c>
      <c r="C274" s="237"/>
      <c r="D274" s="238"/>
      <c r="E274" s="239">
        <v>65900</v>
      </c>
      <c r="F274" s="240">
        <v>139131</v>
      </c>
      <c r="G274" s="241" t="s">
        <v>70</v>
      </c>
      <c r="H274" s="241" t="s">
        <v>34</v>
      </c>
      <c r="I274" s="241">
        <v>20</v>
      </c>
    </row>
    <row r="275" spans="1:9">
      <c r="A275" s="235">
        <v>139132</v>
      </c>
      <c r="B275" s="236" t="s">
        <v>615</v>
      </c>
      <c r="C275" s="237"/>
      <c r="D275" s="238"/>
      <c r="E275" s="239">
        <v>550000</v>
      </c>
      <c r="F275" s="240">
        <v>139132</v>
      </c>
      <c r="G275" s="241" t="s">
        <v>71</v>
      </c>
      <c r="H275" s="241" t="s">
        <v>34</v>
      </c>
      <c r="I275" s="241">
        <v>200</v>
      </c>
    </row>
    <row r="276" spans="1:9">
      <c r="A276" s="235">
        <v>139134</v>
      </c>
      <c r="B276" s="236" t="s">
        <v>227</v>
      </c>
      <c r="C276" s="237"/>
      <c r="D276" s="238"/>
      <c r="E276" s="239">
        <v>62600</v>
      </c>
      <c r="F276" s="240">
        <v>139134</v>
      </c>
      <c r="G276" s="241" t="s">
        <v>70</v>
      </c>
      <c r="H276" s="241" t="s">
        <v>34</v>
      </c>
      <c r="I276" s="241">
        <v>20</v>
      </c>
    </row>
    <row r="277" spans="1:9">
      <c r="A277" s="235">
        <v>139135</v>
      </c>
      <c r="B277" s="236" t="s">
        <v>616</v>
      </c>
      <c r="C277" s="237"/>
      <c r="D277" s="238"/>
      <c r="E277" s="239">
        <v>556000</v>
      </c>
      <c r="F277" s="240">
        <v>139135</v>
      </c>
      <c r="G277" s="241" t="s">
        <v>71</v>
      </c>
      <c r="H277" s="241" t="s">
        <v>34</v>
      </c>
      <c r="I277" s="241">
        <v>200</v>
      </c>
    </row>
    <row r="278" spans="1:9">
      <c r="A278" s="235">
        <v>139137</v>
      </c>
      <c r="B278" s="236" t="s">
        <v>246</v>
      </c>
      <c r="C278" s="237"/>
      <c r="D278" s="238"/>
      <c r="E278" s="239">
        <v>70200</v>
      </c>
      <c r="F278" s="240">
        <v>139137</v>
      </c>
      <c r="G278" s="241" t="s">
        <v>70</v>
      </c>
      <c r="H278" s="241" t="s">
        <v>34</v>
      </c>
      <c r="I278" s="241">
        <v>20</v>
      </c>
    </row>
    <row r="279" spans="1:9">
      <c r="A279" s="235">
        <v>139138</v>
      </c>
      <c r="B279" s="236" t="s">
        <v>617</v>
      </c>
      <c r="C279" s="237"/>
      <c r="D279" s="238"/>
      <c r="E279" s="239">
        <v>642000</v>
      </c>
      <c r="F279" s="240">
        <v>139138</v>
      </c>
      <c r="G279" s="241" t="s">
        <v>71</v>
      </c>
      <c r="H279" s="241" t="s">
        <v>34</v>
      </c>
      <c r="I279" s="241">
        <v>200</v>
      </c>
    </row>
    <row r="280" spans="1:9">
      <c r="A280" s="235">
        <v>139139</v>
      </c>
      <c r="B280" s="236" t="s">
        <v>247</v>
      </c>
      <c r="C280" s="237"/>
      <c r="D280" s="238"/>
      <c r="E280" s="239">
        <v>70200</v>
      </c>
      <c r="F280" s="240">
        <v>139139</v>
      </c>
      <c r="G280" s="241" t="s">
        <v>70</v>
      </c>
      <c r="H280" s="241" t="s">
        <v>34</v>
      </c>
      <c r="I280" s="241">
        <v>20</v>
      </c>
    </row>
    <row r="281" spans="1:9">
      <c r="A281" s="235">
        <v>139125</v>
      </c>
      <c r="B281" s="236" t="s">
        <v>612</v>
      </c>
      <c r="C281" s="237"/>
      <c r="D281" s="238"/>
      <c r="E281" s="239">
        <v>536000</v>
      </c>
      <c r="F281" s="240">
        <v>139125</v>
      </c>
      <c r="G281" s="241" t="s">
        <v>71</v>
      </c>
      <c r="H281" s="241" t="s">
        <v>34</v>
      </c>
      <c r="I281" s="241">
        <v>200</v>
      </c>
    </row>
    <row r="282" spans="1:9">
      <c r="A282" s="235">
        <v>139127</v>
      </c>
      <c r="B282" s="236" t="s">
        <v>244</v>
      </c>
      <c r="C282" s="237"/>
      <c r="D282" s="238"/>
      <c r="E282" s="239">
        <v>61600</v>
      </c>
      <c r="F282" s="240">
        <v>139127</v>
      </c>
      <c r="G282" s="241" t="s">
        <v>70</v>
      </c>
      <c r="H282" s="241" t="s">
        <v>34</v>
      </c>
      <c r="I282" s="241">
        <v>20</v>
      </c>
    </row>
    <row r="283" spans="1:9">
      <c r="A283" s="235">
        <v>139140</v>
      </c>
      <c r="B283" s="236" t="s">
        <v>618</v>
      </c>
      <c r="C283" s="237"/>
      <c r="D283" s="238"/>
      <c r="E283" s="239">
        <v>650000</v>
      </c>
      <c r="F283" s="240">
        <v>139140</v>
      </c>
      <c r="G283" s="241" t="s">
        <v>71</v>
      </c>
      <c r="H283" s="241" t="s">
        <v>34</v>
      </c>
      <c r="I283" s="241">
        <v>200</v>
      </c>
    </row>
    <row r="284" spans="1:9">
      <c r="A284" s="235">
        <v>139141</v>
      </c>
      <c r="B284" s="236" t="s">
        <v>345</v>
      </c>
      <c r="C284" s="237"/>
      <c r="D284" s="238"/>
      <c r="E284" s="239">
        <v>75600</v>
      </c>
      <c r="F284" s="240">
        <v>139141</v>
      </c>
      <c r="G284" s="241" t="s">
        <v>70</v>
      </c>
      <c r="H284" s="241" t="s">
        <v>34</v>
      </c>
      <c r="I284" s="241">
        <v>20</v>
      </c>
    </row>
    <row r="285" spans="1:9">
      <c r="A285" s="235">
        <v>139123</v>
      </c>
      <c r="B285" s="236" t="s">
        <v>611</v>
      </c>
      <c r="C285" s="237"/>
      <c r="D285" s="238"/>
      <c r="E285" s="239">
        <v>803000</v>
      </c>
      <c r="F285" s="240">
        <v>139123</v>
      </c>
      <c r="G285" s="241" t="s">
        <v>71</v>
      </c>
      <c r="H285" s="241" t="s">
        <v>34</v>
      </c>
      <c r="I285" s="241">
        <v>200</v>
      </c>
    </row>
    <row r="286" spans="1:9">
      <c r="A286" s="235">
        <v>139121</v>
      </c>
      <c r="B286" s="236" t="s">
        <v>610</v>
      </c>
      <c r="C286" s="237"/>
      <c r="D286" s="238"/>
      <c r="E286" s="239">
        <v>803000</v>
      </c>
      <c r="F286" s="240">
        <v>139121</v>
      </c>
      <c r="G286" s="241" t="s">
        <v>71</v>
      </c>
      <c r="H286" s="241" t="s">
        <v>34</v>
      </c>
      <c r="I286" s="241">
        <v>200</v>
      </c>
    </row>
    <row r="287" spans="1:9">
      <c r="A287" s="235">
        <v>139118</v>
      </c>
      <c r="B287" s="236" t="s">
        <v>609</v>
      </c>
      <c r="C287" s="237"/>
      <c r="D287" s="238"/>
      <c r="E287" s="239">
        <v>803000</v>
      </c>
      <c r="F287" s="240">
        <v>139118</v>
      </c>
      <c r="G287" s="241" t="s">
        <v>71</v>
      </c>
      <c r="H287" s="241" t="s">
        <v>34</v>
      </c>
      <c r="I287" s="241">
        <v>200</v>
      </c>
    </row>
    <row r="288" spans="1:9">
      <c r="A288" s="235">
        <v>139112</v>
      </c>
      <c r="B288" s="236" t="s">
        <v>343</v>
      </c>
      <c r="C288" s="237"/>
      <c r="D288" s="238"/>
      <c r="E288" s="239">
        <v>390000</v>
      </c>
      <c r="F288" s="240">
        <v>139112</v>
      </c>
      <c r="G288" s="241" t="s">
        <v>70</v>
      </c>
      <c r="H288" s="241" t="s">
        <v>34</v>
      </c>
      <c r="I288" s="241">
        <v>20</v>
      </c>
    </row>
    <row r="289" spans="1:9">
      <c r="A289" s="235">
        <v>139113</v>
      </c>
      <c r="B289" s="236" t="s">
        <v>344</v>
      </c>
      <c r="C289" s="237"/>
      <c r="D289" s="238"/>
      <c r="E289" s="239">
        <v>305000</v>
      </c>
      <c r="F289" s="240">
        <v>139113</v>
      </c>
      <c r="G289" s="241" t="s">
        <v>70</v>
      </c>
      <c r="H289" s="241" t="s">
        <v>34</v>
      </c>
      <c r="I289" s="241">
        <v>20</v>
      </c>
    </row>
    <row r="290" spans="1:9">
      <c r="A290" s="235">
        <v>124528</v>
      </c>
      <c r="B290" s="236" t="s">
        <v>450</v>
      </c>
      <c r="C290" s="237"/>
      <c r="D290" s="238"/>
      <c r="E290" s="239">
        <v>3049000</v>
      </c>
      <c r="F290" s="240">
        <v>124528</v>
      </c>
      <c r="G290" s="241" t="s">
        <v>71</v>
      </c>
      <c r="H290" s="241" t="s">
        <v>34</v>
      </c>
      <c r="I290" s="241">
        <v>208</v>
      </c>
    </row>
    <row r="291" spans="1:9">
      <c r="A291" s="235">
        <v>120082</v>
      </c>
      <c r="B291" s="37" t="s">
        <v>97</v>
      </c>
      <c r="C291" s="34"/>
      <c r="D291" s="35"/>
      <c r="E291" s="62">
        <v>419000</v>
      </c>
      <c r="F291" s="33">
        <v>120082</v>
      </c>
      <c r="G291" s="32" t="s">
        <v>70</v>
      </c>
      <c r="H291" s="32" t="s">
        <v>69</v>
      </c>
      <c r="I291" s="32">
        <v>16</v>
      </c>
    </row>
    <row r="292" spans="1:9">
      <c r="A292" s="235">
        <v>134756</v>
      </c>
      <c r="B292" s="37" t="s">
        <v>107</v>
      </c>
      <c r="C292" s="34"/>
      <c r="D292" s="35"/>
      <c r="E292" s="62">
        <v>536000</v>
      </c>
      <c r="F292" s="32">
        <v>134756</v>
      </c>
      <c r="G292" s="32" t="s">
        <v>70</v>
      </c>
      <c r="H292" s="32" t="s">
        <v>69</v>
      </c>
      <c r="I292" s="32">
        <v>16</v>
      </c>
    </row>
    <row r="293" spans="1:9">
      <c r="A293" s="235">
        <v>132528</v>
      </c>
      <c r="B293" s="236" t="s">
        <v>270</v>
      </c>
      <c r="C293" s="237"/>
      <c r="D293" s="238"/>
      <c r="E293" s="239">
        <v>226600</v>
      </c>
      <c r="F293" s="240">
        <v>132528</v>
      </c>
      <c r="G293" s="241" t="s">
        <v>70</v>
      </c>
      <c r="H293" s="241" t="s">
        <v>34</v>
      </c>
      <c r="I293" s="241">
        <v>16</v>
      </c>
    </row>
    <row r="294" spans="1:9">
      <c r="A294" s="235">
        <v>134604</v>
      </c>
      <c r="B294" s="243" t="s">
        <v>280</v>
      </c>
      <c r="C294" s="237"/>
      <c r="D294" s="238"/>
      <c r="E294" s="239">
        <v>101200</v>
      </c>
      <c r="F294" s="240">
        <v>134604</v>
      </c>
      <c r="G294" s="241" t="s">
        <v>70</v>
      </c>
      <c r="H294" s="241" t="s">
        <v>34</v>
      </c>
      <c r="I294" s="241">
        <v>16</v>
      </c>
    </row>
    <row r="295" spans="1:9">
      <c r="A295" s="235">
        <v>140148</v>
      </c>
      <c r="B295" s="236" t="s">
        <v>650</v>
      </c>
      <c r="C295" s="244"/>
      <c r="D295" s="245"/>
      <c r="E295" s="239">
        <v>1250000</v>
      </c>
      <c r="F295" s="240">
        <v>140148</v>
      </c>
      <c r="G295" s="241" t="s">
        <v>71</v>
      </c>
      <c r="H295" s="241" t="s">
        <v>34</v>
      </c>
      <c r="I295" s="241">
        <v>180</v>
      </c>
    </row>
    <row r="296" spans="1:9">
      <c r="A296" s="235">
        <v>140139</v>
      </c>
      <c r="B296" s="236" t="s">
        <v>368</v>
      </c>
      <c r="C296" s="237"/>
      <c r="D296" s="238"/>
      <c r="E296" s="239">
        <v>117700</v>
      </c>
      <c r="F296" s="240">
        <v>140139</v>
      </c>
      <c r="G296" s="241" t="s">
        <v>70</v>
      </c>
      <c r="H296" s="241" t="s">
        <v>34</v>
      </c>
      <c r="I296" s="241">
        <v>16</v>
      </c>
    </row>
    <row r="297" spans="1:9">
      <c r="A297" s="235">
        <v>140149</v>
      </c>
      <c r="B297" s="236" t="s">
        <v>651</v>
      </c>
      <c r="C297" s="237"/>
      <c r="D297" s="238"/>
      <c r="E297" s="239">
        <v>1098000</v>
      </c>
      <c r="F297" s="240">
        <v>140149</v>
      </c>
      <c r="G297" s="241" t="s">
        <v>71</v>
      </c>
      <c r="H297" s="241" t="s">
        <v>34</v>
      </c>
      <c r="I297" s="241">
        <v>180</v>
      </c>
    </row>
    <row r="298" spans="1:9">
      <c r="A298" s="235">
        <v>140140</v>
      </c>
      <c r="B298" s="236" t="s">
        <v>369</v>
      </c>
      <c r="C298" s="237"/>
      <c r="D298" s="238"/>
      <c r="E298" s="239">
        <v>101200</v>
      </c>
      <c r="F298" s="240">
        <v>140140</v>
      </c>
      <c r="G298" s="241" t="s">
        <v>70</v>
      </c>
      <c r="H298" s="241" t="s">
        <v>34</v>
      </c>
      <c r="I298" s="241">
        <v>16</v>
      </c>
    </row>
    <row r="299" spans="1:9">
      <c r="A299" s="235">
        <v>140141</v>
      </c>
      <c r="B299" s="236" t="s">
        <v>370</v>
      </c>
      <c r="C299" s="237"/>
      <c r="D299" s="238"/>
      <c r="E299" s="239">
        <v>158400</v>
      </c>
      <c r="F299" s="240">
        <v>140141</v>
      </c>
      <c r="G299" s="241" t="s">
        <v>70</v>
      </c>
      <c r="H299" s="241" t="s">
        <v>34</v>
      </c>
      <c r="I299" s="241">
        <v>16</v>
      </c>
    </row>
    <row r="300" spans="1:9">
      <c r="A300" s="235">
        <v>140150</v>
      </c>
      <c r="B300" s="236" t="s">
        <v>652</v>
      </c>
      <c r="C300" s="237"/>
      <c r="D300" s="238"/>
      <c r="E300" s="239">
        <v>1250000</v>
      </c>
      <c r="F300" s="240">
        <v>140150</v>
      </c>
      <c r="G300" s="241" t="s">
        <v>71</v>
      </c>
      <c r="H300" s="241" t="s">
        <v>34</v>
      </c>
      <c r="I300" s="241">
        <v>180</v>
      </c>
    </row>
    <row r="301" spans="1:9">
      <c r="A301" s="235">
        <v>140151</v>
      </c>
      <c r="B301" s="236" t="s">
        <v>653</v>
      </c>
      <c r="C301" s="237"/>
      <c r="D301" s="238"/>
      <c r="E301" s="239">
        <v>1321000</v>
      </c>
      <c r="F301" s="240">
        <v>140151</v>
      </c>
      <c r="G301" s="241" t="s">
        <v>71</v>
      </c>
      <c r="H301" s="241" t="s">
        <v>34</v>
      </c>
      <c r="I301" s="241">
        <v>180</v>
      </c>
    </row>
    <row r="302" spans="1:9">
      <c r="A302" s="235">
        <v>140142</v>
      </c>
      <c r="B302" s="236" t="s">
        <v>371</v>
      </c>
      <c r="C302" s="237"/>
      <c r="D302" s="238"/>
      <c r="E302" s="239">
        <v>110000</v>
      </c>
      <c r="F302" s="240">
        <v>140142</v>
      </c>
      <c r="G302" s="241" t="s">
        <v>70</v>
      </c>
      <c r="H302" s="241" t="s">
        <v>34</v>
      </c>
      <c r="I302" s="241">
        <v>16</v>
      </c>
    </row>
    <row r="303" spans="1:9">
      <c r="A303" s="235">
        <v>140152</v>
      </c>
      <c r="B303" s="236" t="s">
        <v>654</v>
      </c>
      <c r="C303" s="237"/>
      <c r="D303" s="238"/>
      <c r="E303" s="239">
        <v>1792000</v>
      </c>
      <c r="F303" s="240">
        <v>140152</v>
      </c>
      <c r="G303" s="241" t="s">
        <v>71</v>
      </c>
      <c r="H303" s="241" t="s">
        <v>34</v>
      </c>
      <c r="I303" s="241">
        <v>180</v>
      </c>
    </row>
    <row r="304" spans="1:9">
      <c r="A304" s="235">
        <v>140153</v>
      </c>
      <c r="B304" s="236" t="s">
        <v>655</v>
      </c>
      <c r="C304" s="237"/>
      <c r="D304" s="238"/>
      <c r="E304" s="239">
        <v>1794000</v>
      </c>
      <c r="F304" s="240">
        <v>140153</v>
      </c>
      <c r="G304" s="241" t="s">
        <v>71</v>
      </c>
      <c r="H304" s="241" t="s">
        <v>34</v>
      </c>
      <c r="I304" s="241">
        <v>180</v>
      </c>
    </row>
    <row r="305" spans="1:9">
      <c r="A305" s="235">
        <v>140154</v>
      </c>
      <c r="B305" s="236" t="s">
        <v>656</v>
      </c>
      <c r="C305" s="237"/>
      <c r="D305" s="238"/>
      <c r="E305" s="239">
        <v>1788000</v>
      </c>
      <c r="F305" s="240">
        <v>140154</v>
      </c>
      <c r="G305" s="241" t="s">
        <v>71</v>
      </c>
      <c r="H305" s="241" t="s">
        <v>34</v>
      </c>
      <c r="I305" s="241">
        <v>180</v>
      </c>
    </row>
    <row r="306" spans="1:9">
      <c r="A306" s="235">
        <v>140143</v>
      </c>
      <c r="B306" s="236" t="s">
        <v>372</v>
      </c>
      <c r="C306" s="237"/>
      <c r="D306" s="238"/>
      <c r="E306" s="239">
        <v>170500</v>
      </c>
      <c r="F306" s="240">
        <v>140143</v>
      </c>
      <c r="G306" s="241" t="s">
        <v>70</v>
      </c>
      <c r="H306" s="241" t="s">
        <v>34</v>
      </c>
      <c r="I306" s="241">
        <v>16</v>
      </c>
    </row>
    <row r="307" spans="1:9">
      <c r="A307" s="235">
        <v>139379</v>
      </c>
      <c r="B307" s="236" t="s">
        <v>46</v>
      </c>
      <c r="C307" s="237"/>
      <c r="D307" s="238"/>
      <c r="E307" s="239">
        <v>154000</v>
      </c>
      <c r="F307" s="240">
        <v>139379</v>
      </c>
      <c r="G307" s="241" t="s">
        <v>70</v>
      </c>
      <c r="H307" s="241" t="s">
        <v>34</v>
      </c>
      <c r="I307" s="241">
        <v>16</v>
      </c>
    </row>
    <row r="308" spans="1:9">
      <c r="A308" s="235">
        <v>135249</v>
      </c>
      <c r="B308" s="236" t="s">
        <v>498</v>
      </c>
      <c r="C308" s="244"/>
      <c r="D308" s="245"/>
      <c r="E308" s="239">
        <v>1577000</v>
      </c>
      <c r="F308" s="240">
        <v>135249</v>
      </c>
      <c r="G308" s="241" t="s">
        <v>71</v>
      </c>
      <c r="H308" s="241" t="s">
        <v>34</v>
      </c>
      <c r="I308" s="241">
        <v>180</v>
      </c>
    </row>
    <row r="309" spans="1:9">
      <c r="A309" s="235">
        <v>142028</v>
      </c>
      <c r="B309" s="236" t="s">
        <v>768</v>
      </c>
      <c r="C309" s="237"/>
      <c r="D309" s="238"/>
      <c r="E309" s="239">
        <v>267000</v>
      </c>
      <c r="F309" s="240">
        <v>142028</v>
      </c>
      <c r="G309" s="241" t="s">
        <v>70</v>
      </c>
      <c r="H309" s="241" t="s">
        <v>34</v>
      </c>
      <c r="I309" s="241">
        <v>16</v>
      </c>
    </row>
    <row r="310" spans="1:9">
      <c r="A310" s="235">
        <v>140206</v>
      </c>
      <c r="B310" s="236" t="s">
        <v>659</v>
      </c>
      <c r="C310" s="237"/>
      <c r="D310" s="238"/>
      <c r="E310" s="239">
        <v>3092000</v>
      </c>
      <c r="F310" s="240">
        <v>140206</v>
      </c>
      <c r="G310" s="241" t="s">
        <v>71</v>
      </c>
      <c r="H310" s="241" t="s">
        <v>34</v>
      </c>
      <c r="I310" s="241">
        <v>174</v>
      </c>
    </row>
    <row r="311" spans="1:9">
      <c r="A311" s="235">
        <v>132642</v>
      </c>
      <c r="B311" s="236" t="s">
        <v>276</v>
      </c>
      <c r="C311" s="237"/>
      <c r="D311" s="238"/>
      <c r="E311" s="239">
        <v>294000</v>
      </c>
      <c r="F311" s="242">
        <v>132642</v>
      </c>
      <c r="G311" s="241" t="s">
        <v>70</v>
      </c>
      <c r="H311" s="241" t="s">
        <v>34</v>
      </c>
      <c r="I311" s="241">
        <v>16</v>
      </c>
    </row>
    <row r="312" spans="1:9">
      <c r="A312" s="235">
        <v>140207</v>
      </c>
      <c r="B312" s="236" t="s">
        <v>660</v>
      </c>
      <c r="C312" s="237"/>
      <c r="D312" s="238"/>
      <c r="E312" s="239">
        <v>3169000</v>
      </c>
      <c r="F312" s="240">
        <v>140207</v>
      </c>
      <c r="G312" s="241" t="s">
        <v>71</v>
      </c>
      <c r="H312" s="241" t="s">
        <v>34</v>
      </c>
      <c r="I312" s="241">
        <v>174</v>
      </c>
    </row>
    <row r="313" spans="1:9">
      <c r="A313" s="235">
        <v>132575</v>
      </c>
      <c r="B313" s="243" t="s">
        <v>274</v>
      </c>
      <c r="C313" s="244"/>
      <c r="D313" s="245"/>
      <c r="E313" s="239">
        <v>330000</v>
      </c>
      <c r="F313" s="240">
        <v>132575</v>
      </c>
      <c r="G313" s="241" t="s">
        <v>70</v>
      </c>
      <c r="H313" s="241" t="s">
        <v>34</v>
      </c>
      <c r="I313" s="241">
        <v>16</v>
      </c>
    </row>
    <row r="314" spans="1:9">
      <c r="A314" s="235">
        <v>135010</v>
      </c>
      <c r="B314" s="236" t="s">
        <v>488</v>
      </c>
      <c r="C314" s="237"/>
      <c r="D314" s="238"/>
      <c r="E314" s="239">
        <v>3169000</v>
      </c>
      <c r="F314" s="240">
        <v>135010</v>
      </c>
      <c r="G314" s="241" t="s">
        <v>71</v>
      </c>
      <c r="H314" s="241" t="s">
        <v>34</v>
      </c>
      <c r="I314" s="241">
        <v>174</v>
      </c>
    </row>
    <row r="315" spans="1:9">
      <c r="A315" s="235">
        <v>140208</v>
      </c>
      <c r="B315" s="236" t="s">
        <v>661</v>
      </c>
      <c r="C315" s="237"/>
      <c r="D315" s="238"/>
      <c r="E315" s="239">
        <v>3095000</v>
      </c>
      <c r="F315" s="240">
        <v>140208</v>
      </c>
      <c r="G315" s="241" t="s">
        <v>71</v>
      </c>
      <c r="H315" s="241" t="s">
        <v>34</v>
      </c>
      <c r="I315" s="241">
        <v>174</v>
      </c>
    </row>
    <row r="316" spans="1:9">
      <c r="A316" s="235">
        <v>132568</v>
      </c>
      <c r="B316" s="236" t="s">
        <v>272</v>
      </c>
      <c r="C316" s="237"/>
      <c r="D316" s="238"/>
      <c r="E316" s="239">
        <v>294000</v>
      </c>
      <c r="F316" s="242">
        <v>132568</v>
      </c>
      <c r="G316" s="241" t="s">
        <v>70</v>
      </c>
      <c r="H316" s="241" t="s">
        <v>34</v>
      </c>
      <c r="I316" s="241">
        <v>16</v>
      </c>
    </row>
    <row r="317" spans="1:9">
      <c r="A317" s="235">
        <v>140209</v>
      </c>
      <c r="B317" s="236" t="s">
        <v>662</v>
      </c>
      <c r="C317" s="237"/>
      <c r="D317" s="238"/>
      <c r="E317" s="239">
        <v>3129000</v>
      </c>
      <c r="F317" s="240">
        <v>140209</v>
      </c>
      <c r="G317" s="241" t="s">
        <v>71</v>
      </c>
      <c r="H317" s="241" t="s">
        <v>34</v>
      </c>
      <c r="I317" s="241">
        <v>174</v>
      </c>
    </row>
    <row r="318" spans="1:9">
      <c r="A318" s="235">
        <v>132569</v>
      </c>
      <c r="B318" s="236" t="s">
        <v>273</v>
      </c>
      <c r="C318" s="237"/>
      <c r="D318" s="238"/>
      <c r="E318" s="239">
        <v>298000</v>
      </c>
      <c r="F318" s="240">
        <v>132569</v>
      </c>
      <c r="G318" s="241" t="s">
        <v>70</v>
      </c>
      <c r="H318" s="241" t="s">
        <v>34</v>
      </c>
      <c r="I318" s="241">
        <v>16</v>
      </c>
    </row>
    <row r="319" spans="1:9">
      <c r="A319" s="235">
        <v>140210</v>
      </c>
      <c r="B319" s="236" t="s">
        <v>663</v>
      </c>
      <c r="C319" s="237"/>
      <c r="D319" s="238"/>
      <c r="E319" s="239">
        <v>3094000</v>
      </c>
      <c r="F319" s="240">
        <v>140210</v>
      </c>
      <c r="G319" s="241" t="s">
        <v>71</v>
      </c>
      <c r="H319" s="241" t="s">
        <v>34</v>
      </c>
      <c r="I319" s="241">
        <v>174</v>
      </c>
    </row>
    <row r="320" spans="1:9">
      <c r="A320" s="235">
        <v>140204</v>
      </c>
      <c r="B320" s="236" t="s">
        <v>379</v>
      </c>
      <c r="C320" s="237"/>
      <c r="D320" s="238"/>
      <c r="E320" s="239">
        <v>295000</v>
      </c>
      <c r="F320" s="240">
        <v>140204</v>
      </c>
      <c r="G320" s="241" t="s">
        <v>70</v>
      </c>
      <c r="H320" s="241" t="s">
        <v>34</v>
      </c>
      <c r="I320" s="241">
        <v>16</v>
      </c>
    </row>
    <row r="321" spans="1:9">
      <c r="A321" s="235">
        <v>140211</v>
      </c>
      <c r="B321" s="236" t="s">
        <v>664</v>
      </c>
      <c r="C321" s="237"/>
      <c r="D321" s="238"/>
      <c r="E321" s="239">
        <v>3129000</v>
      </c>
      <c r="F321" s="240">
        <v>140211</v>
      </c>
      <c r="G321" s="241" t="s">
        <v>71</v>
      </c>
      <c r="H321" s="241" t="s">
        <v>34</v>
      </c>
      <c r="I321" s="241">
        <v>174</v>
      </c>
    </row>
    <row r="322" spans="1:9">
      <c r="A322" s="235">
        <v>140205</v>
      </c>
      <c r="B322" s="236" t="s">
        <v>380</v>
      </c>
      <c r="C322" s="244"/>
      <c r="D322" s="245"/>
      <c r="E322" s="239">
        <v>298000</v>
      </c>
      <c r="F322" s="240">
        <v>140205</v>
      </c>
      <c r="G322" s="241" t="s">
        <v>70</v>
      </c>
      <c r="H322" s="241" t="s">
        <v>34</v>
      </c>
      <c r="I322" s="241">
        <v>16</v>
      </c>
    </row>
    <row r="323" spans="1:9">
      <c r="A323" s="235">
        <v>132610</v>
      </c>
      <c r="B323" s="236" t="s">
        <v>466</v>
      </c>
      <c r="C323" s="237"/>
      <c r="D323" s="238"/>
      <c r="E323" s="239">
        <v>3129000</v>
      </c>
      <c r="F323" s="240">
        <v>132610</v>
      </c>
      <c r="G323" s="241" t="s">
        <v>71</v>
      </c>
      <c r="H323" s="241" t="s">
        <v>34</v>
      </c>
      <c r="I323" s="241">
        <v>174</v>
      </c>
    </row>
    <row r="324" spans="1:9">
      <c r="A324" s="235">
        <v>132611</v>
      </c>
      <c r="B324" s="236" t="s">
        <v>275</v>
      </c>
      <c r="C324" s="237"/>
      <c r="D324" s="238"/>
      <c r="E324" s="239">
        <v>298000</v>
      </c>
      <c r="F324" s="240">
        <v>132611</v>
      </c>
      <c r="G324" s="241" t="s">
        <v>70</v>
      </c>
      <c r="H324" s="241" t="s">
        <v>34</v>
      </c>
      <c r="I324" s="241">
        <v>15.87</v>
      </c>
    </row>
    <row r="325" spans="1:9">
      <c r="A325" s="235">
        <v>141666</v>
      </c>
      <c r="B325" s="236" t="s">
        <v>693</v>
      </c>
      <c r="C325" s="237"/>
      <c r="D325" s="238"/>
      <c r="E325" s="239">
        <v>636000</v>
      </c>
      <c r="F325" s="240">
        <v>141666</v>
      </c>
      <c r="G325" s="241" t="s">
        <v>71</v>
      </c>
      <c r="H325" s="241" t="s">
        <v>34</v>
      </c>
      <c r="I325" s="241">
        <v>200</v>
      </c>
    </row>
    <row r="326" spans="1:9">
      <c r="A326" s="235">
        <v>138961</v>
      </c>
      <c r="B326" s="236" t="s">
        <v>560</v>
      </c>
      <c r="C326" s="237"/>
      <c r="D326" s="238"/>
      <c r="E326" s="239">
        <v>636000</v>
      </c>
      <c r="F326" s="240">
        <v>138961</v>
      </c>
      <c r="G326" s="241" t="s">
        <v>71</v>
      </c>
      <c r="H326" s="241" t="s">
        <v>34</v>
      </c>
      <c r="I326" s="241">
        <v>200</v>
      </c>
    </row>
    <row r="327" spans="1:9">
      <c r="A327" s="235">
        <v>138963</v>
      </c>
      <c r="B327" s="236" t="s">
        <v>562</v>
      </c>
      <c r="C327" s="237"/>
      <c r="D327" s="238"/>
      <c r="E327" s="239">
        <v>636000</v>
      </c>
      <c r="F327" s="240">
        <v>138963</v>
      </c>
      <c r="G327" s="241" t="s">
        <v>71</v>
      </c>
      <c r="H327" s="241" t="s">
        <v>34</v>
      </c>
      <c r="I327" s="241">
        <v>200</v>
      </c>
    </row>
    <row r="328" spans="1:9">
      <c r="A328" s="235">
        <v>138964</v>
      </c>
      <c r="B328" s="236" t="s">
        <v>315</v>
      </c>
      <c r="C328" s="237"/>
      <c r="D328" s="238"/>
      <c r="E328" s="239">
        <v>67100</v>
      </c>
      <c r="F328" s="240">
        <v>138964</v>
      </c>
      <c r="G328" s="241" t="s">
        <v>70</v>
      </c>
      <c r="H328" s="241" t="s">
        <v>34</v>
      </c>
      <c r="I328" s="241">
        <v>20</v>
      </c>
    </row>
    <row r="329" spans="1:9">
      <c r="A329" s="235">
        <v>141667</v>
      </c>
      <c r="B329" s="236" t="s">
        <v>694</v>
      </c>
      <c r="C329" s="237"/>
      <c r="D329" s="238"/>
      <c r="E329" s="239">
        <v>636000</v>
      </c>
      <c r="F329" s="240">
        <v>141667</v>
      </c>
      <c r="G329" s="241" t="s">
        <v>71</v>
      </c>
      <c r="H329" s="241" t="s">
        <v>34</v>
      </c>
      <c r="I329" s="241">
        <v>200</v>
      </c>
    </row>
    <row r="330" spans="1:9">
      <c r="A330" s="235">
        <v>143563</v>
      </c>
      <c r="B330" s="236" t="s">
        <v>726</v>
      </c>
      <c r="C330" s="237"/>
      <c r="D330" s="238"/>
      <c r="E330" s="239">
        <v>613000</v>
      </c>
      <c r="F330" s="242">
        <v>143563</v>
      </c>
      <c r="G330" s="241" t="s">
        <v>71</v>
      </c>
      <c r="H330" s="241" t="s">
        <v>34</v>
      </c>
      <c r="I330" s="241">
        <v>200</v>
      </c>
    </row>
    <row r="331" spans="1:9">
      <c r="A331" s="235">
        <v>138959</v>
      </c>
      <c r="B331" s="236" t="s">
        <v>558</v>
      </c>
      <c r="C331" s="237"/>
      <c r="D331" s="238"/>
      <c r="E331" s="239">
        <v>613000</v>
      </c>
      <c r="F331" s="240">
        <v>138959</v>
      </c>
      <c r="G331" s="241" t="s">
        <v>71</v>
      </c>
      <c r="H331" s="241" t="s">
        <v>34</v>
      </c>
      <c r="I331" s="241">
        <v>200</v>
      </c>
    </row>
    <row r="332" spans="1:9">
      <c r="A332" s="235">
        <v>143561</v>
      </c>
      <c r="B332" s="236" t="s">
        <v>725</v>
      </c>
      <c r="C332" s="237"/>
      <c r="D332" s="238"/>
      <c r="E332" s="239">
        <v>613000</v>
      </c>
      <c r="F332" s="240">
        <v>143561</v>
      </c>
      <c r="G332" s="241" t="s">
        <v>71</v>
      </c>
      <c r="H332" s="241" t="s">
        <v>34</v>
      </c>
      <c r="I332" s="241">
        <v>200</v>
      </c>
    </row>
    <row r="333" spans="1:9">
      <c r="A333" s="235">
        <v>138960</v>
      </c>
      <c r="B333" s="236" t="s">
        <v>559</v>
      </c>
      <c r="C333" s="237"/>
      <c r="D333" s="238"/>
      <c r="E333" s="239">
        <v>613000</v>
      </c>
      <c r="F333" s="240">
        <v>138960</v>
      </c>
      <c r="G333" s="241" t="s">
        <v>71</v>
      </c>
      <c r="H333" s="241" t="s">
        <v>34</v>
      </c>
      <c r="I333" s="241">
        <v>200</v>
      </c>
    </row>
    <row r="334" spans="1:9">
      <c r="A334" s="235">
        <v>143560</v>
      </c>
      <c r="B334" s="236" t="s">
        <v>724</v>
      </c>
      <c r="C334" s="237"/>
      <c r="D334" s="238"/>
      <c r="E334" s="239">
        <v>613000</v>
      </c>
      <c r="F334" s="240">
        <v>143560</v>
      </c>
      <c r="G334" s="241" t="s">
        <v>71</v>
      </c>
      <c r="H334" s="241" t="s">
        <v>34</v>
      </c>
      <c r="I334" s="241">
        <v>200</v>
      </c>
    </row>
    <row r="335" spans="1:9">
      <c r="A335" s="235">
        <v>123004</v>
      </c>
      <c r="B335" s="236" t="s">
        <v>41</v>
      </c>
      <c r="C335" s="237"/>
      <c r="D335" s="238"/>
      <c r="E335" s="239">
        <v>337000</v>
      </c>
      <c r="F335" s="240">
        <v>123004</v>
      </c>
      <c r="G335" s="241" t="s">
        <v>70</v>
      </c>
      <c r="H335" s="241" t="s">
        <v>34</v>
      </c>
      <c r="I335" s="241">
        <v>18</v>
      </c>
    </row>
    <row r="336" spans="1:9">
      <c r="A336" s="235">
        <v>134997</v>
      </c>
      <c r="B336" s="251" t="s">
        <v>284</v>
      </c>
      <c r="C336" s="252"/>
      <c r="D336" s="253"/>
      <c r="E336" s="239">
        <v>265000</v>
      </c>
      <c r="F336" s="240">
        <v>134997</v>
      </c>
      <c r="G336" s="32" t="s">
        <v>70</v>
      </c>
      <c r="H336" s="32" t="s">
        <v>34</v>
      </c>
      <c r="I336" s="32">
        <v>15.87</v>
      </c>
    </row>
    <row r="337" spans="1:9">
      <c r="A337" s="235">
        <v>132796</v>
      </c>
      <c r="B337" s="246" t="s">
        <v>278</v>
      </c>
      <c r="C337" s="247"/>
      <c r="D337" s="248"/>
      <c r="E337" s="239">
        <v>471000</v>
      </c>
      <c r="F337" s="242">
        <v>132796</v>
      </c>
      <c r="G337" s="249" t="s">
        <v>70</v>
      </c>
      <c r="H337" s="249" t="s">
        <v>34</v>
      </c>
      <c r="I337" s="249">
        <v>18</v>
      </c>
    </row>
    <row r="338" spans="1:9">
      <c r="A338" s="235">
        <v>139105</v>
      </c>
      <c r="B338" s="236" t="s">
        <v>605</v>
      </c>
      <c r="C338" s="237"/>
      <c r="D338" s="238"/>
      <c r="E338" s="239">
        <v>529000</v>
      </c>
      <c r="F338" s="240">
        <v>139105</v>
      </c>
      <c r="G338" s="241" t="s">
        <v>71</v>
      </c>
      <c r="H338" s="241" t="s">
        <v>34</v>
      </c>
      <c r="I338" s="241">
        <v>200</v>
      </c>
    </row>
    <row r="339" spans="1:9">
      <c r="A339" s="235">
        <v>139106</v>
      </c>
      <c r="B339" s="236" t="s">
        <v>340</v>
      </c>
      <c r="C339" s="237"/>
      <c r="D339" s="238"/>
      <c r="E339" s="239">
        <v>64400</v>
      </c>
      <c r="F339" s="240">
        <v>139106</v>
      </c>
      <c r="G339" s="241" t="s">
        <v>70</v>
      </c>
      <c r="H339" s="241" t="s">
        <v>34</v>
      </c>
      <c r="I339" s="241">
        <v>20</v>
      </c>
    </row>
    <row r="340" spans="1:9">
      <c r="A340" s="235">
        <v>139109</v>
      </c>
      <c r="B340" s="236" t="s">
        <v>607</v>
      </c>
      <c r="C340" s="237"/>
      <c r="D340" s="238"/>
      <c r="E340" s="239">
        <v>500000</v>
      </c>
      <c r="F340" s="240">
        <v>139109</v>
      </c>
      <c r="G340" s="241" t="s">
        <v>71</v>
      </c>
      <c r="H340" s="241" t="s">
        <v>34</v>
      </c>
      <c r="I340" s="241">
        <v>200</v>
      </c>
    </row>
    <row r="341" spans="1:9">
      <c r="A341" s="235">
        <v>139110</v>
      </c>
      <c r="B341" s="236" t="s">
        <v>342</v>
      </c>
      <c r="C341" s="237"/>
      <c r="D341" s="238"/>
      <c r="E341" s="239">
        <v>61000</v>
      </c>
      <c r="F341" s="240">
        <v>139110</v>
      </c>
      <c r="G341" s="241" t="s">
        <v>70</v>
      </c>
      <c r="H341" s="241" t="s">
        <v>34</v>
      </c>
      <c r="I341" s="241">
        <v>20</v>
      </c>
    </row>
    <row r="342" spans="1:9">
      <c r="A342" s="235">
        <v>142411</v>
      </c>
      <c r="B342" s="236" t="s">
        <v>705</v>
      </c>
      <c r="C342" s="237"/>
      <c r="D342" s="238"/>
      <c r="E342" s="239">
        <v>655000</v>
      </c>
      <c r="F342" s="242">
        <v>142411</v>
      </c>
      <c r="G342" s="241" t="s">
        <v>71</v>
      </c>
      <c r="H342" s="241" t="s">
        <v>34</v>
      </c>
      <c r="I342" s="241">
        <v>200</v>
      </c>
    </row>
    <row r="343" spans="1:9">
      <c r="A343" s="235">
        <v>140257</v>
      </c>
      <c r="B343" s="236" t="s">
        <v>127</v>
      </c>
      <c r="C343" s="237"/>
      <c r="D343" s="238"/>
      <c r="E343" s="239">
        <v>613000</v>
      </c>
      <c r="F343" s="240">
        <v>140257</v>
      </c>
      <c r="G343" s="241" t="s">
        <v>71</v>
      </c>
      <c r="H343" s="241" t="s">
        <v>34</v>
      </c>
      <c r="I343" s="241">
        <v>180</v>
      </c>
    </row>
    <row r="344" spans="1:9">
      <c r="A344" s="235">
        <v>140252</v>
      </c>
      <c r="B344" s="236" t="s">
        <v>381</v>
      </c>
      <c r="C344" s="237"/>
      <c r="D344" s="238"/>
      <c r="E344" s="239">
        <v>68200</v>
      </c>
      <c r="F344" s="240">
        <v>140252</v>
      </c>
      <c r="G344" s="241" t="s">
        <v>70</v>
      </c>
      <c r="H344" s="241" t="s">
        <v>34</v>
      </c>
      <c r="I344" s="241">
        <v>16</v>
      </c>
    </row>
    <row r="345" spans="1:9">
      <c r="A345" s="235">
        <v>140259</v>
      </c>
      <c r="B345" s="236" t="s">
        <v>665</v>
      </c>
      <c r="C345" s="237"/>
      <c r="D345" s="238"/>
      <c r="E345" s="239">
        <v>613000</v>
      </c>
      <c r="F345" s="240">
        <v>140259</v>
      </c>
      <c r="G345" s="241" t="s">
        <v>71</v>
      </c>
      <c r="H345" s="241" t="s">
        <v>34</v>
      </c>
      <c r="I345" s="241">
        <v>180</v>
      </c>
    </row>
    <row r="346" spans="1:9">
      <c r="A346" s="235">
        <v>140254</v>
      </c>
      <c r="B346" s="236" t="s">
        <v>382</v>
      </c>
      <c r="C346" s="237"/>
      <c r="D346" s="238"/>
      <c r="E346" s="239">
        <v>68200</v>
      </c>
      <c r="F346" s="240">
        <v>140254</v>
      </c>
      <c r="G346" s="241" t="s">
        <v>70</v>
      </c>
      <c r="H346" s="241" t="s">
        <v>34</v>
      </c>
      <c r="I346" s="241">
        <v>16</v>
      </c>
    </row>
    <row r="347" spans="1:9">
      <c r="A347" s="235">
        <v>140260</v>
      </c>
      <c r="B347" s="236" t="s">
        <v>666</v>
      </c>
      <c r="C347" s="237"/>
      <c r="D347" s="238"/>
      <c r="E347" s="239">
        <v>613000</v>
      </c>
      <c r="F347" s="240">
        <v>140260</v>
      </c>
      <c r="G347" s="241" t="s">
        <v>71</v>
      </c>
      <c r="H347" s="241" t="s">
        <v>34</v>
      </c>
      <c r="I347" s="241">
        <v>180</v>
      </c>
    </row>
    <row r="348" spans="1:9">
      <c r="A348" s="235">
        <v>140255</v>
      </c>
      <c r="B348" s="236" t="s">
        <v>383</v>
      </c>
      <c r="C348" s="237"/>
      <c r="D348" s="238"/>
      <c r="E348" s="239">
        <v>68200</v>
      </c>
      <c r="F348" s="240">
        <v>140255</v>
      </c>
      <c r="G348" s="241" t="s">
        <v>70</v>
      </c>
      <c r="H348" s="241" t="s">
        <v>34</v>
      </c>
      <c r="I348" s="241">
        <v>16</v>
      </c>
    </row>
    <row r="349" spans="1:9">
      <c r="A349" s="235">
        <v>140261</v>
      </c>
      <c r="B349" s="236" t="s">
        <v>667</v>
      </c>
      <c r="C349" s="237"/>
      <c r="D349" s="238"/>
      <c r="E349" s="239">
        <v>613000</v>
      </c>
      <c r="F349" s="240">
        <v>140261</v>
      </c>
      <c r="G349" s="241" t="s">
        <v>71</v>
      </c>
      <c r="H349" s="241" t="s">
        <v>34</v>
      </c>
      <c r="I349" s="241">
        <v>180</v>
      </c>
    </row>
    <row r="350" spans="1:9">
      <c r="A350" s="235">
        <v>140263</v>
      </c>
      <c r="B350" s="236" t="s">
        <v>126</v>
      </c>
      <c r="C350" s="237"/>
      <c r="D350" s="238"/>
      <c r="E350" s="239">
        <v>68200</v>
      </c>
      <c r="F350" s="240">
        <v>140263</v>
      </c>
      <c r="G350" s="241" t="s">
        <v>70</v>
      </c>
      <c r="H350" s="241" t="s">
        <v>34</v>
      </c>
      <c r="I350" s="241">
        <v>16</v>
      </c>
    </row>
    <row r="351" spans="1:9">
      <c r="A351" s="235">
        <v>140262</v>
      </c>
      <c r="B351" s="236" t="s">
        <v>668</v>
      </c>
      <c r="C351" s="237"/>
      <c r="D351" s="238"/>
      <c r="E351" s="239">
        <v>613000</v>
      </c>
      <c r="F351" s="240">
        <v>140262</v>
      </c>
      <c r="G351" s="241" t="s">
        <v>71</v>
      </c>
      <c r="H351" s="241" t="s">
        <v>34</v>
      </c>
      <c r="I351" s="241">
        <v>180</v>
      </c>
    </row>
    <row r="352" spans="1:9">
      <c r="A352" s="235">
        <v>140256</v>
      </c>
      <c r="B352" s="236" t="s">
        <v>384</v>
      </c>
      <c r="C352" s="237"/>
      <c r="D352" s="238"/>
      <c r="E352" s="239">
        <v>68200</v>
      </c>
      <c r="F352" s="240">
        <v>140256</v>
      </c>
      <c r="G352" s="241" t="s">
        <v>70</v>
      </c>
      <c r="H352" s="241" t="s">
        <v>34</v>
      </c>
      <c r="I352" s="241">
        <v>16</v>
      </c>
    </row>
    <row r="353" spans="1:9">
      <c r="A353" s="235">
        <v>131773</v>
      </c>
      <c r="B353" s="236" t="s">
        <v>462</v>
      </c>
      <c r="C353" s="237"/>
      <c r="D353" s="238"/>
      <c r="E353" s="239">
        <v>3516000</v>
      </c>
      <c r="F353" s="240">
        <v>131773</v>
      </c>
      <c r="G353" s="241" t="s">
        <v>71</v>
      </c>
      <c r="H353" s="241" t="s">
        <v>34</v>
      </c>
      <c r="I353" s="241">
        <v>208</v>
      </c>
    </row>
    <row r="354" spans="1:9">
      <c r="A354" s="235">
        <v>129351</v>
      </c>
      <c r="B354" s="236" t="s">
        <v>266</v>
      </c>
      <c r="C354" s="237"/>
      <c r="D354" s="238"/>
      <c r="E354" s="239">
        <v>349000</v>
      </c>
      <c r="F354" s="240">
        <v>129351</v>
      </c>
      <c r="G354" s="241" t="s">
        <v>70</v>
      </c>
      <c r="H354" s="241" t="s">
        <v>34</v>
      </c>
      <c r="I354" s="241">
        <v>20</v>
      </c>
    </row>
    <row r="355" spans="1:9">
      <c r="A355" s="235">
        <v>140787</v>
      </c>
      <c r="B355" s="236" t="s">
        <v>682</v>
      </c>
      <c r="C355" s="237"/>
      <c r="D355" s="238"/>
      <c r="E355" s="239">
        <v>970000</v>
      </c>
      <c r="F355" s="240">
        <v>140787</v>
      </c>
      <c r="G355" s="241" t="s">
        <v>71</v>
      </c>
      <c r="H355" s="241" t="s">
        <v>34</v>
      </c>
      <c r="I355" s="241">
        <v>208</v>
      </c>
    </row>
    <row r="356" spans="1:9">
      <c r="A356" s="235">
        <v>142288</v>
      </c>
      <c r="B356" s="236" t="s">
        <v>121</v>
      </c>
      <c r="C356" s="237"/>
      <c r="D356" s="238"/>
      <c r="E356" s="239">
        <v>5035000</v>
      </c>
      <c r="F356" s="240">
        <v>142288</v>
      </c>
      <c r="G356" s="241" t="s">
        <v>71</v>
      </c>
      <c r="H356" s="241" t="s">
        <v>34</v>
      </c>
      <c r="I356" s="241">
        <v>208</v>
      </c>
    </row>
    <row r="357" spans="1:9">
      <c r="A357" s="235">
        <v>139817</v>
      </c>
      <c r="B357" s="236" t="s">
        <v>641</v>
      </c>
      <c r="C357" s="237"/>
      <c r="D357" s="238"/>
      <c r="E357" s="239">
        <v>2232000</v>
      </c>
      <c r="F357" s="240">
        <v>139817</v>
      </c>
      <c r="G357" s="241" t="s">
        <v>71</v>
      </c>
      <c r="H357" s="241" t="s">
        <v>34</v>
      </c>
      <c r="I357" s="241">
        <v>208</v>
      </c>
    </row>
    <row r="358" spans="1:9">
      <c r="A358" s="235">
        <v>139961</v>
      </c>
      <c r="B358" s="236" t="s">
        <v>358</v>
      </c>
      <c r="C358" s="237"/>
      <c r="D358" s="238"/>
      <c r="E358" s="239">
        <v>227000</v>
      </c>
      <c r="F358" s="240">
        <v>139961</v>
      </c>
      <c r="G358" s="241" t="s">
        <v>70</v>
      </c>
      <c r="H358" s="241" t="s">
        <v>34</v>
      </c>
      <c r="I358" s="241">
        <v>20</v>
      </c>
    </row>
    <row r="359" spans="1:9">
      <c r="A359" s="235">
        <v>139819</v>
      </c>
      <c r="B359" s="236" t="s">
        <v>642</v>
      </c>
      <c r="C359" s="237"/>
      <c r="D359" s="238"/>
      <c r="E359" s="239">
        <v>2259000</v>
      </c>
      <c r="F359" s="240">
        <v>139819</v>
      </c>
      <c r="G359" s="241" t="s">
        <v>71</v>
      </c>
      <c r="H359" s="241" t="s">
        <v>34</v>
      </c>
      <c r="I359" s="241">
        <v>208</v>
      </c>
    </row>
    <row r="360" spans="1:9">
      <c r="A360" s="235">
        <v>139962</v>
      </c>
      <c r="B360" s="236" t="s">
        <v>359</v>
      </c>
      <c r="C360" s="237"/>
      <c r="D360" s="238"/>
      <c r="E360" s="239">
        <v>213000</v>
      </c>
      <c r="F360" s="240">
        <v>139962</v>
      </c>
      <c r="G360" s="241" t="s">
        <v>70</v>
      </c>
      <c r="H360" s="241" t="s">
        <v>34</v>
      </c>
      <c r="I360" s="241">
        <v>20</v>
      </c>
    </row>
    <row r="361" spans="1:9">
      <c r="A361" s="235">
        <v>139821</v>
      </c>
      <c r="B361" s="236" t="s">
        <v>643</v>
      </c>
      <c r="C361" s="237"/>
      <c r="D361" s="238"/>
      <c r="E361" s="239">
        <v>2877000</v>
      </c>
      <c r="F361" s="240">
        <v>139821</v>
      </c>
      <c r="G361" s="241" t="s">
        <v>71</v>
      </c>
      <c r="H361" s="241" t="s">
        <v>34</v>
      </c>
      <c r="I361" s="241">
        <v>208</v>
      </c>
    </row>
    <row r="362" spans="1:9">
      <c r="A362" s="235">
        <v>139963</v>
      </c>
      <c r="B362" s="236" t="s">
        <v>360</v>
      </c>
      <c r="C362" s="237"/>
      <c r="D362" s="238"/>
      <c r="E362" s="239">
        <v>228000</v>
      </c>
      <c r="F362" s="240">
        <v>139963</v>
      </c>
      <c r="G362" s="241" t="s">
        <v>70</v>
      </c>
      <c r="H362" s="241" t="s">
        <v>34</v>
      </c>
      <c r="I362" s="241">
        <v>20</v>
      </c>
    </row>
    <row r="363" spans="1:9">
      <c r="A363" s="235">
        <v>135437</v>
      </c>
      <c r="B363" s="236" t="s">
        <v>503</v>
      </c>
      <c r="C363" s="237"/>
      <c r="D363" s="238"/>
      <c r="E363" s="239">
        <v>3458000</v>
      </c>
      <c r="F363" s="240">
        <v>135437</v>
      </c>
      <c r="G363" s="241" t="s">
        <v>71</v>
      </c>
      <c r="H363" s="241" t="s">
        <v>34</v>
      </c>
      <c r="I363" s="241">
        <v>176.9</v>
      </c>
    </row>
    <row r="364" spans="1:9">
      <c r="A364" s="235">
        <v>135451</v>
      </c>
      <c r="B364" s="236" t="s">
        <v>509</v>
      </c>
      <c r="C364" s="237"/>
      <c r="D364" s="238"/>
      <c r="E364" s="239">
        <v>3227000</v>
      </c>
      <c r="F364" s="240">
        <v>135451</v>
      </c>
      <c r="G364" s="241" t="s">
        <v>71</v>
      </c>
      <c r="H364" s="241" t="s">
        <v>34</v>
      </c>
      <c r="I364" s="241">
        <v>177</v>
      </c>
    </row>
    <row r="365" spans="1:9">
      <c r="A365" s="235">
        <v>135449</v>
      </c>
      <c r="B365" s="236" t="s">
        <v>300</v>
      </c>
      <c r="C365" s="237"/>
      <c r="D365" s="238"/>
      <c r="E365" s="239">
        <v>406000</v>
      </c>
      <c r="F365" s="240">
        <v>135449</v>
      </c>
      <c r="G365" s="241" t="s">
        <v>73</v>
      </c>
      <c r="H365" s="241" t="s">
        <v>34</v>
      </c>
      <c r="I365" s="241">
        <v>21.1</v>
      </c>
    </row>
    <row r="366" spans="1:9">
      <c r="A366" s="235">
        <v>141429</v>
      </c>
      <c r="B366" s="236" t="s">
        <v>119</v>
      </c>
      <c r="C366" s="237"/>
      <c r="D366" s="238"/>
      <c r="E366" s="239">
        <v>4123000</v>
      </c>
      <c r="F366" s="240">
        <v>141429</v>
      </c>
      <c r="G366" s="241" t="s">
        <v>71</v>
      </c>
      <c r="H366" s="241" t="s">
        <v>34</v>
      </c>
      <c r="I366" s="241">
        <v>174</v>
      </c>
    </row>
    <row r="367" spans="1:9">
      <c r="A367" s="235">
        <v>141361</v>
      </c>
      <c r="B367" s="236" t="s">
        <v>391</v>
      </c>
      <c r="C367" s="237"/>
      <c r="D367" s="238"/>
      <c r="E367" s="239">
        <v>399000</v>
      </c>
      <c r="F367" s="240">
        <v>141361</v>
      </c>
      <c r="G367" s="241" t="s">
        <v>70</v>
      </c>
      <c r="H367" s="241" t="s">
        <v>34</v>
      </c>
      <c r="I367" s="241">
        <v>16</v>
      </c>
    </row>
    <row r="368" spans="1:9">
      <c r="A368" s="235">
        <v>140499</v>
      </c>
      <c r="B368" s="236" t="s">
        <v>670</v>
      </c>
      <c r="C368" s="237"/>
      <c r="D368" s="238"/>
      <c r="E368" s="239">
        <v>2593000</v>
      </c>
      <c r="F368" s="240">
        <v>140499</v>
      </c>
      <c r="G368" s="241" t="s">
        <v>71</v>
      </c>
      <c r="H368" s="241" t="s">
        <v>34</v>
      </c>
      <c r="I368" s="241">
        <v>208</v>
      </c>
    </row>
    <row r="369" spans="1:9">
      <c r="A369" s="235">
        <v>140501</v>
      </c>
      <c r="B369" s="236" t="s">
        <v>671</v>
      </c>
      <c r="C369" s="237"/>
      <c r="D369" s="238"/>
      <c r="E369" s="239">
        <v>3403000</v>
      </c>
      <c r="F369" s="240">
        <v>140501</v>
      </c>
      <c r="G369" s="241" t="s">
        <v>71</v>
      </c>
      <c r="H369" s="241" t="s">
        <v>34</v>
      </c>
      <c r="I369" s="241">
        <v>208</v>
      </c>
    </row>
    <row r="370" spans="1:9">
      <c r="A370" s="235">
        <v>140503</v>
      </c>
      <c r="B370" s="236" t="s">
        <v>672</v>
      </c>
      <c r="C370" s="237"/>
      <c r="D370" s="238"/>
      <c r="E370" s="239">
        <v>3459000</v>
      </c>
      <c r="F370" s="240">
        <v>140503</v>
      </c>
      <c r="G370" s="241" t="s">
        <v>71</v>
      </c>
      <c r="H370" s="241" t="s">
        <v>34</v>
      </c>
      <c r="I370" s="241">
        <v>208</v>
      </c>
    </row>
    <row r="371" spans="1:9">
      <c r="A371" s="235">
        <v>140107</v>
      </c>
      <c r="B371" s="236" t="s">
        <v>646</v>
      </c>
      <c r="C371" s="237"/>
      <c r="D371" s="238"/>
      <c r="E371" s="239">
        <v>2679000</v>
      </c>
      <c r="F371" s="240">
        <v>140107</v>
      </c>
      <c r="G371" s="241" t="s">
        <v>71</v>
      </c>
      <c r="H371" s="241" t="s">
        <v>34</v>
      </c>
      <c r="I371" s="241">
        <v>193.8</v>
      </c>
    </row>
    <row r="372" spans="1:9">
      <c r="A372" s="235">
        <v>140109</v>
      </c>
      <c r="B372" s="236" t="s">
        <v>362</v>
      </c>
      <c r="C372" s="237"/>
      <c r="D372" s="238"/>
      <c r="E372" s="239">
        <v>269000</v>
      </c>
      <c r="F372" s="240">
        <v>140109</v>
      </c>
      <c r="G372" s="241" t="s">
        <v>70</v>
      </c>
      <c r="H372" s="241" t="s">
        <v>34</v>
      </c>
      <c r="I372" s="241">
        <v>17.457000000000001</v>
      </c>
    </row>
    <row r="373" spans="1:9">
      <c r="A373" s="235">
        <v>140110</v>
      </c>
      <c r="B373" s="236" t="s">
        <v>648</v>
      </c>
      <c r="C373" s="237"/>
      <c r="D373" s="238"/>
      <c r="E373" s="239">
        <v>2711000</v>
      </c>
      <c r="F373" s="240">
        <v>140110</v>
      </c>
      <c r="G373" s="241" t="s">
        <v>71</v>
      </c>
      <c r="H373" s="241" t="s">
        <v>34</v>
      </c>
      <c r="I373" s="241">
        <v>193.8</v>
      </c>
    </row>
    <row r="374" spans="1:9">
      <c r="A374" s="235">
        <v>140111</v>
      </c>
      <c r="B374" s="236" t="s">
        <v>363</v>
      </c>
      <c r="C374" s="237"/>
      <c r="D374" s="238"/>
      <c r="E374" s="239">
        <v>273000</v>
      </c>
      <c r="F374" s="240">
        <v>140111</v>
      </c>
      <c r="G374" s="241" t="s">
        <v>70</v>
      </c>
      <c r="H374" s="241" t="s">
        <v>34</v>
      </c>
      <c r="I374" s="241">
        <v>17.329999999999998</v>
      </c>
    </row>
    <row r="375" spans="1:9">
      <c r="A375" s="235">
        <v>140108</v>
      </c>
      <c r="B375" s="236" t="s">
        <v>647</v>
      </c>
      <c r="C375" s="237"/>
      <c r="D375" s="238"/>
      <c r="E375" s="239">
        <v>2854000</v>
      </c>
      <c r="F375" s="240">
        <v>140108</v>
      </c>
      <c r="G375" s="241" t="s">
        <v>71</v>
      </c>
      <c r="H375" s="241" t="s">
        <v>34</v>
      </c>
      <c r="I375" s="241">
        <v>193.8</v>
      </c>
    </row>
    <row r="376" spans="1:9">
      <c r="A376" s="235">
        <v>140112</v>
      </c>
      <c r="B376" s="236" t="s">
        <v>364</v>
      </c>
      <c r="C376" s="237"/>
      <c r="D376" s="238"/>
      <c r="E376" s="239">
        <v>286000</v>
      </c>
      <c r="F376" s="240">
        <v>140112</v>
      </c>
      <c r="G376" s="241" t="s">
        <v>70</v>
      </c>
      <c r="H376" s="241" t="s">
        <v>34</v>
      </c>
      <c r="I376" s="241">
        <v>17.329999999999998</v>
      </c>
    </row>
    <row r="377" spans="1:9">
      <c r="A377" s="235">
        <v>139108</v>
      </c>
      <c r="B377" s="236" t="s">
        <v>341</v>
      </c>
      <c r="C377" s="237"/>
      <c r="D377" s="238"/>
      <c r="E377" s="239">
        <v>290000</v>
      </c>
      <c r="F377" s="240">
        <v>139108</v>
      </c>
      <c r="G377" s="241" t="s">
        <v>70</v>
      </c>
      <c r="H377" s="241" t="s">
        <v>34</v>
      </c>
      <c r="I377" s="241">
        <v>20</v>
      </c>
    </row>
    <row r="378" spans="1:9">
      <c r="A378" s="235">
        <v>139147</v>
      </c>
      <c r="B378" s="236" t="s">
        <v>622</v>
      </c>
      <c r="C378" s="237"/>
      <c r="D378" s="238"/>
      <c r="E378" s="239">
        <v>404000</v>
      </c>
      <c r="F378" s="240">
        <v>139147</v>
      </c>
      <c r="G378" s="241" t="s">
        <v>71</v>
      </c>
      <c r="H378" s="241" t="s">
        <v>34</v>
      </c>
      <c r="I378" s="241">
        <v>200</v>
      </c>
    </row>
    <row r="379" spans="1:9">
      <c r="A379" s="235">
        <v>139148</v>
      </c>
      <c r="B379" s="236" t="s">
        <v>346</v>
      </c>
      <c r="C379" s="237"/>
      <c r="D379" s="238"/>
      <c r="E379" s="239">
        <v>41500</v>
      </c>
      <c r="F379" s="240">
        <v>139148</v>
      </c>
      <c r="G379" s="241" t="s">
        <v>70</v>
      </c>
      <c r="H379" s="241" t="s">
        <v>34</v>
      </c>
      <c r="I379" s="241">
        <v>20</v>
      </c>
    </row>
    <row r="380" spans="1:9">
      <c r="A380" s="235">
        <v>140058</v>
      </c>
      <c r="B380" s="236" t="s">
        <v>645</v>
      </c>
      <c r="C380" s="237"/>
      <c r="D380" s="238"/>
      <c r="E380" s="239">
        <v>461000</v>
      </c>
      <c r="F380" s="240">
        <v>140058</v>
      </c>
      <c r="G380" s="241" t="s">
        <v>71</v>
      </c>
      <c r="H380" s="241" t="s">
        <v>34</v>
      </c>
      <c r="I380" s="241">
        <v>200</v>
      </c>
    </row>
    <row r="381" spans="1:9">
      <c r="A381" s="235">
        <v>140059</v>
      </c>
      <c r="B381" s="236" t="s">
        <v>361</v>
      </c>
      <c r="C381" s="237"/>
      <c r="D381" s="238"/>
      <c r="E381" s="239">
        <v>48800</v>
      </c>
      <c r="F381" s="240">
        <v>140059</v>
      </c>
      <c r="G381" s="241" t="s">
        <v>70</v>
      </c>
      <c r="H381" s="241" t="s">
        <v>34</v>
      </c>
      <c r="I381" s="241">
        <v>20</v>
      </c>
    </row>
    <row r="382" spans="1:9">
      <c r="A382" s="235">
        <v>139142</v>
      </c>
      <c r="B382" s="236" t="s">
        <v>619</v>
      </c>
      <c r="C382" s="237"/>
      <c r="D382" s="238"/>
      <c r="E382" s="239">
        <v>321000</v>
      </c>
      <c r="F382" s="240">
        <v>139142</v>
      </c>
      <c r="G382" s="241" t="s">
        <v>71</v>
      </c>
      <c r="H382" s="241" t="s">
        <v>34</v>
      </c>
      <c r="I382" s="241">
        <v>200</v>
      </c>
    </row>
    <row r="383" spans="1:9">
      <c r="A383" s="235">
        <v>139143</v>
      </c>
      <c r="B383" s="236" t="s">
        <v>248</v>
      </c>
      <c r="C383" s="237"/>
      <c r="D383" s="238"/>
      <c r="E383" s="239">
        <v>33800</v>
      </c>
      <c r="F383" s="240">
        <v>139143</v>
      </c>
      <c r="G383" s="241" t="s">
        <v>70</v>
      </c>
      <c r="H383" s="241" t="s">
        <v>34</v>
      </c>
      <c r="I383" s="241">
        <v>20</v>
      </c>
    </row>
    <row r="384" spans="1:9">
      <c r="A384" s="235">
        <v>139144</v>
      </c>
      <c r="B384" s="236" t="s">
        <v>620</v>
      </c>
      <c r="C384" s="237"/>
      <c r="D384" s="238"/>
      <c r="E384" s="239">
        <v>321000</v>
      </c>
      <c r="F384" s="240">
        <v>139144</v>
      </c>
      <c r="G384" s="241" t="s">
        <v>71</v>
      </c>
      <c r="H384" s="241" t="s">
        <v>34</v>
      </c>
      <c r="I384" s="241">
        <v>200</v>
      </c>
    </row>
    <row r="385" spans="1:9">
      <c r="A385" s="235">
        <v>139145</v>
      </c>
      <c r="B385" s="236" t="s">
        <v>228</v>
      </c>
      <c r="C385" s="237"/>
      <c r="D385" s="238"/>
      <c r="E385" s="239">
        <v>33800</v>
      </c>
      <c r="F385" s="240">
        <v>139145</v>
      </c>
      <c r="G385" s="241" t="s">
        <v>70</v>
      </c>
      <c r="H385" s="241" t="s">
        <v>34</v>
      </c>
      <c r="I385" s="241">
        <v>20</v>
      </c>
    </row>
    <row r="386" spans="1:9">
      <c r="A386" s="235">
        <v>139146</v>
      </c>
      <c r="B386" s="236" t="s">
        <v>621</v>
      </c>
      <c r="C386" s="237"/>
      <c r="D386" s="238"/>
      <c r="E386" s="239">
        <v>353000</v>
      </c>
      <c r="F386" s="240">
        <v>139146</v>
      </c>
      <c r="G386" s="241" t="s">
        <v>71</v>
      </c>
      <c r="H386" s="241" t="s">
        <v>34</v>
      </c>
      <c r="I386" s="241">
        <v>200</v>
      </c>
    </row>
    <row r="387" spans="1:9">
      <c r="A387" s="235">
        <v>135488</v>
      </c>
      <c r="B387" s="236" t="s">
        <v>240</v>
      </c>
      <c r="C387" s="237"/>
      <c r="D387" s="238"/>
      <c r="E387" s="239">
        <v>37200</v>
      </c>
      <c r="F387" s="240">
        <v>135488</v>
      </c>
      <c r="G387" s="241" t="s">
        <v>70</v>
      </c>
      <c r="H387" s="241" t="s">
        <v>34</v>
      </c>
      <c r="I387" s="241">
        <v>20</v>
      </c>
    </row>
    <row r="388" spans="1:9">
      <c r="A388" s="235">
        <v>122821</v>
      </c>
      <c r="B388" s="236" t="s">
        <v>448</v>
      </c>
      <c r="C388" s="237"/>
      <c r="D388" s="238"/>
      <c r="E388" s="239">
        <v>3516000</v>
      </c>
      <c r="F388" s="240">
        <v>122821</v>
      </c>
      <c r="G388" s="241" t="s">
        <v>71</v>
      </c>
      <c r="H388" s="241" t="s">
        <v>34</v>
      </c>
      <c r="I388" s="241">
        <v>208</v>
      </c>
    </row>
    <row r="389" spans="1:9">
      <c r="A389" s="235">
        <v>136174</v>
      </c>
      <c r="B389" s="236" t="s">
        <v>526</v>
      </c>
      <c r="C389" s="237"/>
      <c r="D389" s="238"/>
      <c r="E389" s="239">
        <v>531000</v>
      </c>
      <c r="F389" s="240">
        <v>136174</v>
      </c>
      <c r="G389" s="241" t="s">
        <v>71</v>
      </c>
      <c r="H389" s="241" t="s">
        <v>34</v>
      </c>
      <c r="I389" s="241">
        <v>200</v>
      </c>
    </row>
    <row r="390" spans="1:9">
      <c r="A390" s="235">
        <v>141468</v>
      </c>
      <c r="B390" s="236" t="s">
        <v>686</v>
      </c>
      <c r="C390" s="237"/>
      <c r="D390" s="238"/>
      <c r="E390" s="239">
        <v>2056000</v>
      </c>
      <c r="F390" s="240">
        <v>141468</v>
      </c>
      <c r="G390" s="241" t="s">
        <v>71</v>
      </c>
      <c r="H390" s="241" t="s">
        <v>34</v>
      </c>
      <c r="I390" s="241">
        <v>180</v>
      </c>
    </row>
    <row r="391" spans="1:9">
      <c r="A391" s="235">
        <v>129364</v>
      </c>
      <c r="B391" s="236" t="s">
        <v>458</v>
      </c>
      <c r="C391" s="237"/>
      <c r="D391" s="238"/>
      <c r="E391" s="239">
        <v>5777000</v>
      </c>
      <c r="F391" s="240">
        <v>129364</v>
      </c>
      <c r="G391" s="241" t="s">
        <v>71</v>
      </c>
      <c r="H391" s="241" t="s">
        <v>34</v>
      </c>
      <c r="I391" s="241">
        <v>208</v>
      </c>
    </row>
    <row r="392" spans="1:9">
      <c r="A392" s="235">
        <v>130939</v>
      </c>
      <c r="B392" s="236" t="s">
        <v>267</v>
      </c>
      <c r="C392" s="237"/>
      <c r="D392" s="238"/>
      <c r="E392" s="239">
        <v>150700</v>
      </c>
      <c r="F392" s="240">
        <v>130939</v>
      </c>
      <c r="G392" s="241" t="s">
        <v>70</v>
      </c>
      <c r="H392" s="241" t="s">
        <v>34</v>
      </c>
      <c r="I392" s="241">
        <v>15.87</v>
      </c>
    </row>
    <row r="393" spans="1:9">
      <c r="A393" s="235">
        <v>130938</v>
      </c>
      <c r="B393" s="236" t="s">
        <v>461</v>
      </c>
      <c r="C393" s="237"/>
      <c r="D393" s="238"/>
      <c r="E393" s="239">
        <v>1617000</v>
      </c>
      <c r="F393" s="240">
        <v>130938</v>
      </c>
      <c r="G393" s="241" t="s">
        <v>71</v>
      </c>
      <c r="H393" s="241" t="s">
        <v>34</v>
      </c>
      <c r="I393" s="241">
        <v>181</v>
      </c>
    </row>
    <row r="394" spans="1:9">
      <c r="A394" s="235">
        <v>122187</v>
      </c>
      <c r="B394" s="236" t="s">
        <v>439</v>
      </c>
      <c r="C394" s="237"/>
      <c r="D394" s="238"/>
      <c r="E394" s="239">
        <v>2315000</v>
      </c>
      <c r="F394" s="240">
        <v>122187</v>
      </c>
      <c r="G394" s="241" t="s">
        <v>71</v>
      </c>
      <c r="H394" s="241" t="s">
        <v>34</v>
      </c>
      <c r="I394" s="241">
        <v>208</v>
      </c>
    </row>
    <row r="395" spans="1:9">
      <c r="A395" s="235">
        <v>139149</v>
      </c>
      <c r="B395" s="236" t="s">
        <v>623</v>
      </c>
      <c r="C395" s="237"/>
      <c r="D395" s="238"/>
      <c r="E395" s="239">
        <v>462000</v>
      </c>
      <c r="F395" s="240">
        <v>139149</v>
      </c>
      <c r="G395" s="241" t="s">
        <v>71</v>
      </c>
      <c r="H395" s="241" t="s">
        <v>34</v>
      </c>
      <c r="I395" s="241">
        <v>200</v>
      </c>
    </row>
    <row r="396" spans="1:9">
      <c r="A396" s="235">
        <v>139150</v>
      </c>
      <c r="B396" s="236" t="s">
        <v>249</v>
      </c>
      <c r="C396" s="237"/>
      <c r="D396" s="238"/>
      <c r="E396" s="239">
        <v>48600</v>
      </c>
      <c r="F396" s="240">
        <v>139150</v>
      </c>
      <c r="G396" s="241" t="s">
        <v>70</v>
      </c>
      <c r="H396" s="241" t="s">
        <v>34</v>
      </c>
      <c r="I396" s="241">
        <v>20</v>
      </c>
    </row>
    <row r="397" spans="1:9">
      <c r="A397" s="235">
        <v>139151</v>
      </c>
      <c r="B397" s="236" t="s">
        <v>624</v>
      </c>
      <c r="C397" s="237"/>
      <c r="D397" s="238"/>
      <c r="E397" s="239">
        <v>462000</v>
      </c>
      <c r="F397" s="240">
        <v>139151</v>
      </c>
      <c r="G397" s="241" t="s">
        <v>71</v>
      </c>
      <c r="H397" s="241" t="s">
        <v>34</v>
      </c>
      <c r="I397" s="241">
        <v>200</v>
      </c>
    </row>
    <row r="398" spans="1:9">
      <c r="A398" s="235">
        <v>139152</v>
      </c>
      <c r="B398" s="236" t="s">
        <v>250</v>
      </c>
      <c r="C398" s="237"/>
      <c r="D398" s="238"/>
      <c r="E398" s="239">
        <v>48600</v>
      </c>
      <c r="F398" s="240">
        <v>139152</v>
      </c>
      <c r="G398" s="241" t="s">
        <v>70</v>
      </c>
      <c r="H398" s="241" t="s">
        <v>34</v>
      </c>
      <c r="I398" s="241">
        <v>20</v>
      </c>
    </row>
    <row r="399" spans="1:9">
      <c r="A399" s="235">
        <v>139153</v>
      </c>
      <c r="B399" s="236" t="s">
        <v>625</v>
      </c>
      <c r="C399" s="237"/>
      <c r="D399" s="238"/>
      <c r="E399" s="239">
        <v>498000</v>
      </c>
      <c r="F399" s="240">
        <v>139153</v>
      </c>
      <c r="G399" s="241" t="s">
        <v>71</v>
      </c>
      <c r="H399" s="241" t="s">
        <v>34</v>
      </c>
      <c r="I399" s="241">
        <v>200</v>
      </c>
    </row>
    <row r="400" spans="1:9">
      <c r="A400" s="235">
        <v>139154</v>
      </c>
      <c r="B400" s="236" t="s">
        <v>251</v>
      </c>
      <c r="C400" s="237"/>
      <c r="D400" s="238"/>
      <c r="E400" s="239">
        <v>51900</v>
      </c>
      <c r="F400" s="240">
        <v>139154</v>
      </c>
      <c r="G400" s="241" t="s">
        <v>70</v>
      </c>
      <c r="H400" s="241" t="s">
        <v>34</v>
      </c>
      <c r="I400" s="241">
        <v>20</v>
      </c>
    </row>
    <row r="401" spans="1:9">
      <c r="A401" s="235">
        <v>139155</v>
      </c>
      <c r="B401" s="236" t="s">
        <v>626</v>
      </c>
      <c r="C401" s="237"/>
      <c r="D401" s="238"/>
      <c r="E401" s="239">
        <v>523000</v>
      </c>
      <c r="F401" s="240">
        <v>139155</v>
      </c>
      <c r="G401" s="241" t="s">
        <v>71</v>
      </c>
      <c r="H401" s="241" t="s">
        <v>34</v>
      </c>
      <c r="I401" s="241">
        <v>200</v>
      </c>
    </row>
    <row r="402" spans="1:9">
      <c r="A402" s="235">
        <v>139156</v>
      </c>
      <c r="B402" s="236" t="s">
        <v>252</v>
      </c>
      <c r="C402" s="237"/>
      <c r="D402" s="238"/>
      <c r="E402" s="239">
        <v>55300</v>
      </c>
      <c r="F402" s="240">
        <v>139156</v>
      </c>
      <c r="G402" s="241" t="s">
        <v>70</v>
      </c>
      <c r="H402" s="241" t="s">
        <v>34</v>
      </c>
      <c r="I402" s="241">
        <v>20</v>
      </c>
    </row>
    <row r="403" spans="1:9">
      <c r="A403" s="235">
        <v>121540</v>
      </c>
      <c r="B403" s="236" t="s">
        <v>419</v>
      </c>
      <c r="C403" s="237"/>
      <c r="D403" s="238"/>
      <c r="E403" s="239">
        <v>1445000</v>
      </c>
      <c r="F403" s="240">
        <v>121540</v>
      </c>
      <c r="G403" s="241" t="s">
        <v>71</v>
      </c>
      <c r="H403" s="241" t="s">
        <v>34</v>
      </c>
      <c r="I403" s="241">
        <v>208</v>
      </c>
    </row>
    <row r="404" spans="1:9">
      <c r="A404" s="235">
        <v>123328</v>
      </c>
      <c r="B404" s="236" t="s">
        <v>262</v>
      </c>
      <c r="C404" s="237"/>
      <c r="D404" s="238"/>
      <c r="E404" s="239">
        <v>57300</v>
      </c>
      <c r="F404" s="240">
        <v>123328</v>
      </c>
      <c r="G404" s="241" t="s">
        <v>70</v>
      </c>
      <c r="H404" s="241" t="s">
        <v>34</v>
      </c>
      <c r="I404" s="241">
        <v>20</v>
      </c>
    </row>
    <row r="405" spans="1:9">
      <c r="A405" s="235">
        <v>123330</v>
      </c>
      <c r="B405" s="236" t="s">
        <v>263</v>
      </c>
      <c r="C405" s="237"/>
      <c r="D405" s="238"/>
      <c r="E405" s="239">
        <v>52800</v>
      </c>
      <c r="F405" s="240">
        <v>123330</v>
      </c>
      <c r="G405" s="241" t="s">
        <v>70</v>
      </c>
      <c r="H405" s="241" t="s">
        <v>34</v>
      </c>
      <c r="I405" s="241">
        <v>20</v>
      </c>
    </row>
    <row r="406" spans="1:9">
      <c r="A406" s="235">
        <v>123331</v>
      </c>
      <c r="B406" s="236" t="s">
        <v>264</v>
      </c>
      <c r="C406" s="237"/>
      <c r="D406" s="238"/>
      <c r="E406" s="239">
        <v>45100</v>
      </c>
      <c r="F406" s="240">
        <v>123331</v>
      </c>
      <c r="G406" s="241" t="s">
        <v>70</v>
      </c>
      <c r="H406" s="241" t="s">
        <v>34</v>
      </c>
      <c r="I406" s="241">
        <v>20</v>
      </c>
    </row>
    <row r="407" spans="1:9">
      <c r="A407" s="235">
        <v>122612</v>
      </c>
      <c r="B407" s="236" t="s">
        <v>446</v>
      </c>
      <c r="C407" s="237"/>
      <c r="D407" s="238"/>
      <c r="E407" s="239">
        <v>1285000</v>
      </c>
      <c r="F407" s="240">
        <v>122612</v>
      </c>
      <c r="G407" s="241" t="s">
        <v>71</v>
      </c>
      <c r="H407" s="241" t="s">
        <v>34</v>
      </c>
      <c r="I407" s="241">
        <v>208</v>
      </c>
    </row>
  </sheetData>
  <protectedRanges>
    <protectedRange sqref="I36:I62 I65:I81" name="범위26_2_1_2_1_1_7"/>
    <protectedRange sqref="C75:E75 E35:E40 E48:E50 C61:D62 C74:D74 E42:E46 C78:D81 E76:E81 C36:D58 C65:D72 E58:E74" name="범위6_1_1_1_2_1_2_8"/>
    <protectedRange sqref="B45:B46 B81 B55:B57 B78" name="범위1_3_1"/>
    <protectedRange sqref="C59:D60" name="범위6_1_1_1_2_1_1_1_1"/>
    <protectedRange sqref="I35" name="범위26_2_1_2_1_1_3_1"/>
    <protectedRange sqref="C35:D35" name="범위6_1_1_1_2_1_2_2_1"/>
    <protectedRange sqref="B35" name="범위1_3_3_1"/>
    <protectedRange sqref="I63:I64" name="범위26_2_1_2_1_1_5_1"/>
    <protectedRange sqref="C63:D64" name="범위6_1_1_1_2_1_2_3_1"/>
    <protectedRange sqref="I352 I335:I337" name="범위26_2_1_2_1_8_2"/>
    <protectedRange sqref="C335:D337 C343:D352" name="범위6_1_1_1_2_1_9_1"/>
    <protectedRange sqref="B352" name="범위1_4_2_1"/>
    <protectedRange sqref="I353:I358 I362:I390 I338:I342 I392 I403:I407 I245:I333 I82:I243" name="범위26_2_1_2_1_1_7_3"/>
    <protectedRange sqref="C108:D110 C320:D322 C125:D126 C378:E378 C184:D185 C309:D311 C193:D193 C221:D221 C214:D214 C212:D212 C223:D223 C216:D216 C293:D304 C177:D178 C274:D274 C284:D284 C314:D318 C339:D342 C246:D247 C226:D243 C249:D251 C253:D263 C276:D281 C362:D370 C372:D376 C381:D389 C392:D392 C167:D174 C82:D94 C96:D98 E382:E390 C99:E100 C158:D163 C353:D358 E380 C101:D103 E82:E98 E101:E104 C403:D407 E407 E403:E405 E207:E376 C266:D272 E106:E205" name="범위6_1_1_1_2_1_2_8_1"/>
    <protectedRange sqref="C377:E377" name="범위6_1_1_1_1_1_1_1_1_1"/>
    <protectedRange sqref="B232:B233 B194:B215 B190:B192 B138:B139 B249 B293 B273:B274 B342 B243 B314 B224:B225 B97:B98 B180:B183 B101:B103 B217:B222 B145" name="범위1_3_1_3"/>
    <protectedRange sqref="C323:D323 C325:D333" name="범위6_1_1_1_2_1_1_1_1_1"/>
    <protectedRange sqref="B301" name="범위1_2_1_1_1"/>
    <protectedRange sqref="B291" name="범위1_5_1_1_1"/>
    <protectedRange sqref="I343:I351" name="범위26_2_1_2_1_19_1_1_1"/>
    <protectedRange sqref="I334" name="범위26_2_1_2_1_1_4_1_1"/>
    <protectedRange sqref="C334:D334" name="범위6_1_1_1_2_1_2_4_1_1"/>
    <protectedRange sqref="C338:D338" name="범위6_1_1_1_2_1_2_5_1_1"/>
    <protectedRange sqref="I391 I402" name="범위26_2_1_2_1_1_2_1_1"/>
    <protectedRange sqref="B391" name="범위1_3_2_1_1"/>
    <protectedRange sqref="I359:I361" name="범위26_2_1_2_1_1_5_1_1"/>
    <protectedRange sqref="C359:D361" name="범위6_1_1_1_2_1_2_3_1_1"/>
    <protectedRange sqref="I244" name="범위26_2_1_2_1_1_6_1_1"/>
    <protectedRange sqref="C244:D244" name="범위6_1_1_1_2_1_2_6_1_1"/>
    <protectedRange sqref="C402:D402" name="범위6_1_1_1_2_1_4_1_1"/>
    <protectedRange sqref="B402" name="범위1_5_2_1"/>
    <protectedRange sqref="C394:E394" name="범위6_1_1_1_2_1_2_1_2"/>
    <protectedRange sqref="I393:I394" name="범위26_2_1_2_1_1_7_2_1"/>
    <protectedRange sqref="I395" name="범위26_2_1_2_1_1_8"/>
    <protectedRange sqref="C395:E395" name="범위6_1_1_1_2_1_2_8_1_1"/>
    <protectedRange sqref="B395" name="범위1_3_1_1_1"/>
    <protectedRange sqref="E396" name="범위6_1_1_1_2_1_7_1"/>
    <protectedRange sqref="I396" name="범위26_2_1_2_1_8_1_1"/>
    <protectedRange sqref="I397" name="범위26_2_1_2_1_1_7_2_1_1"/>
    <protectedRange sqref="B398:B401" name="범위1_2_1"/>
    <protectedRange sqref="I398 I401" name="범위26_2_1_2_1_8_1_1_1"/>
    <protectedRange sqref="I399:I400" name="범위26_2_1_2_1_1_7_2_2"/>
  </protectedRanges>
  <phoneticPr fontId="16" type="noConversion"/>
  <dataValidations count="2">
    <dataValidation type="list" allowBlank="1" showInputMessage="1" showErrorMessage="1" sqref="B179 B133:B137 B127:B128 B164:B166" xr:uid="{00000000-0002-0000-0D00-000000000000}">
      <formula1>$A$3:$A$308</formula1>
    </dataValidation>
    <dataValidation type="list" allowBlank="1" showInputMessage="1" showErrorMessage="1" sqref="B47" xr:uid="{00000000-0002-0000-0D00-000001000000}">
      <formula1>$A$3:$A$366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F45"/>
  <sheetViews>
    <sheetView topLeftCell="A6" workbookViewId="0">
      <selection activeCell="M33" sqref="M33"/>
    </sheetView>
  </sheetViews>
  <sheetFormatPr defaultRowHeight="13.5"/>
  <cols>
    <col min="1" max="1" width="8.88671875" style="506"/>
    <col min="2" max="2" width="35.44140625" style="506" bestFit="1" customWidth="1"/>
    <col min="3" max="3" width="8.88671875" style="507"/>
    <col min="4" max="4" width="10.6640625" style="507" bestFit="1" customWidth="1"/>
    <col min="5" max="6" width="8.88671875" style="507"/>
    <col min="7" max="16384" width="8.88671875" style="506"/>
  </cols>
  <sheetData>
    <row r="1" spans="1:6">
      <c r="A1" s="506" t="s">
        <v>926</v>
      </c>
      <c r="B1" s="506" t="s">
        <v>140</v>
      </c>
      <c r="C1" s="507" t="s">
        <v>927</v>
      </c>
      <c r="D1" s="507" t="s">
        <v>928</v>
      </c>
      <c r="E1" s="507">
        <v>2021</v>
      </c>
      <c r="F1" s="507">
        <v>2024</v>
      </c>
    </row>
    <row r="2" spans="1:6">
      <c r="A2" s="506">
        <v>129171</v>
      </c>
      <c r="B2" s="506" t="s">
        <v>929</v>
      </c>
      <c r="C2" s="507" t="s">
        <v>930</v>
      </c>
      <c r="D2" s="507">
        <v>28</v>
      </c>
      <c r="F2" s="507" t="s">
        <v>931</v>
      </c>
    </row>
    <row r="3" spans="1:6">
      <c r="A3" s="506">
        <v>138832</v>
      </c>
      <c r="B3" s="506" t="s">
        <v>932</v>
      </c>
      <c r="C3" s="507" t="s">
        <v>930</v>
      </c>
      <c r="D3" s="507">
        <v>28</v>
      </c>
      <c r="E3" s="507" t="s">
        <v>931</v>
      </c>
      <c r="F3" s="507" t="s">
        <v>931</v>
      </c>
    </row>
    <row r="4" spans="1:6">
      <c r="A4" s="506">
        <v>139030</v>
      </c>
      <c r="B4" s="506" t="s">
        <v>236</v>
      </c>
      <c r="C4" s="507" t="s">
        <v>933</v>
      </c>
      <c r="D4" s="507">
        <v>42</v>
      </c>
      <c r="F4" s="507" t="s">
        <v>912</v>
      </c>
    </row>
    <row r="5" spans="1:6">
      <c r="A5" s="506">
        <v>144165</v>
      </c>
      <c r="B5" s="506" t="s">
        <v>750</v>
      </c>
      <c r="C5" s="507" t="s">
        <v>933</v>
      </c>
      <c r="D5" s="507">
        <v>42</v>
      </c>
      <c r="F5" s="507" t="s">
        <v>912</v>
      </c>
    </row>
    <row r="6" spans="1:6">
      <c r="A6" s="506">
        <v>141750</v>
      </c>
      <c r="B6" s="506" t="s">
        <v>231</v>
      </c>
      <c r="C6" s="507" t="s">
        <v>933</v>
      </c>
      <c r="D6" s="507">
        <v>42</v>
      </c>
      <c r="E6" s="507" t="s">
        <v>931</v>
      </c>
      <c r="F6" s="507" t="s">
        <v>912</v>
      </c>
    </row>
    <row r="7" spans="1:6">
      <c r="A7" s="506">
        <v>139131</v>
      </c>
      <c r="B7" s="506" t="s">
        <v>902</v>
      </c>
      <c r="C7" s="507" t="s">
        <v>933</v>
      </c>
      <c r="D7" s="507">
        <v>42</v>
      </c>
      <c r="F7" s="507" t="s">
        <v>912</v>
      </c>
    </row>
    <row r="8" spans="1:6">
      <c r="A8" s="506">
        <v>139064</v>
      </c>
      <c r="B8" s="506" t="s">
        <v>903</v>
      </c>
      <c r="C8" s="507" t="s">
        <v>933</v>
      </c>
      <c r="D8" s="507">
        <v>42</v>
      </c>
      <c r="E8" s="507" t="s">
        <v>931</v>
      </c>
      <c r="F8" s="507" t="s">
        <v>912</v>
      </c>
    </row>
    <row r="9" spans="1:6">
      <c r="A9" s="506">
        <v>141741</v>
      </c>
      <c r="B9" s="506" t="s">
        <v>114</v>
      </c>
      <c r="C9" s="507" t="s">
        <v>933</v>
      </c>
      <c r="D9" s="507">
        <v>42</v>
      </c>
      <c r="E9" s="507" t="s">
        <v>931</v>
      </c>
      <c r="F9" s="507" t="s">
        <v>912</v>
      </c>
    </row>
    <row r="10" spans="1:6">
      <c r="A10" s="506">
        <v>144277</v>
      </c>
      <c r="B10" s="506" t="s">
        <v>904</v>
      </c>
      <c r="C10" s="507" t="s">
        <v>933</v>
      </c>
      <c r="D10" s="507">
        <v>42</v>
      </c>
      <c r="F10" s="507" t="s">
        <v>912</v>
      </c>
    </row>
    <row r="11" spans="1:6">
      <c r="A11" s="506">
        <v>122837</v>
      </c>
      <c r="B11" s="506" t="s">
        <v>905</v>
      </c>
      <c r="C11" s="507" t="s">
        <v>933</v>
      </c>
      <c r="D11" s="507">
        <v>42</v>
      </c>
      <c r="E11" s="507" t="s">
        <v>931</v>
      </c>
      <c r="F11" s="507" t="s">
        <v>912</v>
      </c>
    </row>
    <row r="12" spans="1:6">
      <c r="A12" s="506">
        <v>139088</v>
      </c>
      <c r="B12" s="506" t="s">
        <v>906</v>
      </c>
      <c r="C12" s="507" t="s">
        <v>933</v>
      </c>
      <c r="D12" s="507">
        <v>42</v>
      </c>
      <c r="E12" s="507" t="s">
        <v>931</v>
      </c>
      <c r="F12" s="507" t="s">
        <v>912</v>
      </c>
    </row>
    <row r="13" spans="1:6">
      <c r="A13" s="506">
        <v>123336</v>
      </c>
      <c r="B13" s="506" t="s">
        <v>907</v>
      </c>
      <c r="C13" s="507" t="s">
        <v>933</v>
      </c>
      <c r="D13" s="507">
        <v>42</v>
      </c>
      <c r="F13" s="507" t="s">
        <v>912</v>
      </c>
    </row>
    <row r="14" spans="1:6">
      <c r="A14" s="506">
        <v>144167</v>
      </c>
      <c r="B14" s="506" t="s">
        <v>745</v>
      </c>
      <c r="C14" s="507" t="s">
        <v>933</v>
      </c>
      <c r="D14" s="507">
        <v>42</v>
      </c>
      <c r="F14" s="507" t="s">
        <v>912</v>
      </c>
    </row>
    <row r="15" spans="1:6">
      <c r="A15" s="506">
        <v>141745</v>
      </c>
      <c r="B15" s="506" t="s">
        <v>112</v>
      </c>
      <c r="C15" s="507" t="s">
        <v>933</v>
      </c>
      <c r="D15" s="507">
        <v>42</v>
      </c>
      <c r="E15" s="507" t="s">
        <v>912</v>
      </c>
      <c r="F15" s="507" t="s">
        <v>912</v>
      </c>
    </row>
    <row r="16" spans="1:6">
      <c r="A16" s="506">
        <v>139134</v>
      </c>
      <c r="B16" s="506" t="s">
        <v>908</v>
      </c>
      <c r="C16" s="507" t="s">
        <v>933</v>
      </c>
      <c r="D16" s="507">
        <v>42</v>
      </c>
      <c r="E16" s="507" t="s">
        <v>912</v>
      </c>
      <c r="F16" s="507" t="s">
        <v>912</v>
      </c>
    </row>
    <row r="17" spans="1:6">
      <c r="A17" s="506">
        <v>139145</v>
      </c>
      <c r="B17" s="506" t="s">
        <v>909</v>
      </c>
      <c r="C17" s="507" t="s">
        <v>933</v>
      </c>
      <c r="D17" s="507">
        <v>42</v>
      </c>
      <c r="E17" s="507" t="s">
        <v>912</v>
      </c>
      <c r="F17" s="507" t="s">
        <v>912</v>
      </c>
    </row>
    <row r="18" spans="1:6">
      <c r="A18" s="506">
        <v>142721</v>
      </c>
      <c r="B18" s="506" t="s">
        <v>230</v>
      </c>
      <c r="C18" s="507" t="s">
        <v>933</v>
      </c>
      <c r="D18" s="507">
        <v>42</v>
      </c>
      <c r="E18" s="507" t="s">
        <v>912</v>
      </c>
      <c r="F18" s="507" t="s">
        <v>912</v>
      </c>
    </row>
    <row r="19" spans="1:6">
      <c r="A19" s="506">
        <v>139086</v>
      </c>
      <c r="B19" s="506" t="s">
        <v>910</v>
      </c>
      <c r="C19" s="507" t="s">
        <v>933</v>
      </c>
      <c r="D19" s="507">
        <v>42</v>
      </c>
      <c r="E19" s="507" t="s">
        <v>912</v>
      </c>
      <c r="F19" s="507" t="s">
        <v>912</v>
      </c>
    </row>
    <row r="20" spans="1:6">
      <c r="A20" s="506">
        <v>123339</v>
      </c>
      <c r="B20" s="506" t="s">
        <v>911</v>
      </c>
      <c r="C20" s="507" t="s">
        <v>933</v>
      </c>
      <c r="D20" s="507">
        <v>42</v>
      </c>
      <c r="E20" s="507" t="s">
        <v>912</v>
      </c>
      <c r="F20" s="507" t="s">
        <v>912</v>
      </c>
    </row>
    <row r="21" spans="1:6">
      <c r="A21" s="506">
        <v>144506</v>
      </c>
      <c r="B21" s="506" t="s">
        <v>934</v>
      </c>
      <c r="C21" s="507" t="s">
        <v>930</v>
      </c>
      <c r="D21" s="507">
        <v>60</v>
      </c>
      <c r="F21" s="507" t="s">
        <v>912</v>
      </c>
    </row>
    <row r="22" spans="1:6">
      <c r="A22" s="506">
        <v>144220</v>
      </c>
      <c r="B22" s="506" t="s">
        <v>935</v>
      </c>
      <c r="C22" s="507" t="s">
        <v>930</v>
      </c>
      <c r="D22" s="507">
        <v>70</v>
      </c>
      <c r="F22" s="507" t="s">
        <v>912</v>
      </c>
    </row>
    <row r="23" spans="1:6">
      <c r="A23" s="506">
        <v>147644</v>
      </c>
      <c r="B23" s="506" t="s">
        <v>936</v>
      </c>
      <c r="C23" s="507" t="s">
        <v>930</v>
      </c>
      <c r="D23" s="507">
        <v>42</v>
      </c>
      <c r="F23" s="507" t="s">
        <v>912</v>
      </c>
    </row>
    <row r="24" spans="1:6">
      <c r="A24" s="506">
        <v>143237</v>
      </c>
      <c r="B24" s="506" t="s">
        <v>206</v>
      </c>
      <c r="C24" s="507" t="s">
        <v>930</v>
      </c>
      <c r="D24" s="507">
        <v>42</v>
      </c>
      <c r="F24" s="507" t="s">
        <v>912</v>
      </c>
    </row>
    <row r="25" spans="1:6">
      <c r="A25" s="506">
        <v>143902</v>
      </c>
      <c r="B25" s="506" t="s">
        <v>937</v>
      </c>
      <c r="C25" s="507" t="s">
        <v>930</v>
      </c>
      <c r="D25" s="507">
        <v>42</v>
      </c>
      <c r="F25" s="507" t="s">
        <v>912</v>
      </c>
    </row>
    <row r="26" spans="1:6">
      <c r="A26" s="506">
        <v>146012</v>
      </c>
      <c r="B26" s="506" t="s">
        <v>938</v>
      </c>
      <c r="C26" s="507" t="s">
        <v>930</v>
      </c>
      <c r="D26" s="507">
        <v>60</v>
      </c>
      <c r="F26" s="507" t="s">
        <v>912</v>
      </c>
    </row>
    <row r="27" spans="1:6">
      <c r="A27" s="506">
        <v>145991</v>
      </c>
      <c r="B27" s="506" t="s">
        <v>939</v>
      </c>
      <c r="C27" s="507" t="s">
        <v>930</v>
      </c>
      <c r="D27" s="507">
        <v>42</v>
      </c>
      <c r="F27" s="507" t="s">
        <v>912</v>
      </c>
    </row>
    <row r="28" spans="1:6">
      <c r="A28" s="506">
        <v>144507</v>
      </c>
      <c r="B28" s="506" t="s">
        <v>940</v>
      </c>
      <c r="C28" s="507" t="s">
        <v>930</v>
      </c>
      <c r="D28" s="507">
        <v>42</v>
      </c>
      <c r="F28" s="507" t="s">
        <v>912</v>
      </c>
    </row>
    <row r="29" spans="1:6">
      <c r="A29" s="506">
        <v>144531</v>
      </c>
      <c r="B29" s="506" t="s">
        <v>941</v>
      </c>
      <c r="C29" s="507" t="s">
        <v>930</v>
      </c>
      <c r="D29" s="507">
        <v>42</v>
      </c>
      <c r="F29" s="507" t="s">
        <v>912</v>
      </c>
    </row>
    <row r="30" spans="1:6">
      <c r="A30" s="506">
        <v>144255</v>
      </c>
      <c r="B30" s="506" t="s">
        <v>914</v>
      </c>
      <c r="C30" s="507" t="s">
        <v>930</v>
      </c>
      <c r="D30" s="507">
        <v>70</v>
      </c>
      <c r="F30" s="507" t="s">
        <v>912</v>
      </c>
    </row>
    <row r="31" spans="1:6">
      <c r="A31" s="506">
        <v>144620</v>
      </c>
      <c r="B31" s="506" t="s">
        <v>942</v>
      </c>
      <c r="C31" s="507" t="s">
        <v>930</v>
      </c>
      <c r="D31" s="507">
        <v>70</v>
      </c>
      <c r="F31" s="507" t="s">
        <v>912</v>
      </c>
    </row>
    <row r="32" spans="1:6">
      <c r="A32" s="506">
        <v>143230</v>
      </c>
      <c r="B32" s="506" t="s">
        <v>203</v>
      </c>
      <c r="C32" s="507" t="s">
        <v>930</v>
      </c>
      <c r="D32" s="507">
        <v>60</v>
      </c>
      <c r="E32" s="507" t="s">
        <v>931</v>
      </c>
      <c r="F32" s="507" t="s">
        <v>912</v>
      </c>
    </row>
    <row r="33" spans="1:6">
      <c r="A33" s="506">
        <v>143231</v>
      </c>
      <c r="B33" s="506" t="s">
        <v>199</v>
      </c>
      <c r="C33" s="507" t="s">
        <v>930</v>
      </c>
      <c r="D33" s="507">
        <v>42</v>
      </c>
      <c r="E33" s="507" t="s">
        <v>912</v>
      </c>
      <c r="F33" s="507" t="s">
        <v>912</v>
      </c>
    </row>
    <row r="34" spans="1:6">
      <c r="A34" s="506">
        <v>143234</v>
      </c>
      <c r="B34" s="506" t="s">
        <v>200</v>
      </c>
      <c r="C34" s="507" t="s">
        <v>930</v>
      </c>
      <c r="D34" s="507">
        <v>42</v>
      </c>
      <c r="E34" s="507" t="s">
        <v>912</v>
      </c>
      <c r="F34" s="507" t="s">
        <v>912</v>
      </c>
    </row>
    <row r="35" spans="1:6">
      <c r="A35" s="506">
        <v>139883</v>
      </c>
      <c r="B35" s="506" t="s">
        <v>943</v>
      </c>
      <c r="C35" s="507" t="s">
        <v>930</v>
      </c>
      <c r="D35" s="507">
        <v>48</v>
      </c>
      <c r="E35" s="507" t="s">
        <v>912</v>
      </c>
      <c r="F35" s="507" t="s">
        <v>912</v>
      </c>
    </row>
    <row r="36" spans="1:6">
      <c r="A36" s="506">
        <v>138899</v>
      </c>
      <c r="B36" s="506" t="s">
        <v>944</v>
      </c>
      <c r="C36" s="507" t="s">
        <v>930</v>
      </c>
      <c r="D36" s="507">
        <v>42</v>
      </c>
      <c r="E36" s="507" t="s">
        <v>912</v>
      </c>
      <c r="F36" s="507" t="s">
        <v>912</v>
      </c>
    </row>
    <row r="37" spans="1:6">
      <c r="A37" s="506">
        <v>138890</v>
      </c>
      <c r="B37" s="506" t="s">
        <v>945</v>
      </c>
      <c r="C37" s="507" t="s">
        <v>930</v>
      </c>
      <c r="D37" s="507">
        <v>42</v>
      </c>
      <c r="E37" s="507" t="s">
        <v>912</v>
      </c>
      <c r="F37" s="507" t="s">
        <v>912</v>
      </c>
    </row>
    <row r="38" spans="1:6">
      <c r="A38" s="506">
        <v>124476</v>
      </c>
      <c r="B38" s="506" t="s">
        <v>946</v>
      </c>
      <c r="C38" s="507" t="s">
        <v>930</v>
      </c>
      <c r="D38" s="507">
        <v>42</v>
      </c>
      <c r="E38" s="507" t="s">
        <v>912</v>
      </c>
      <c r="F38" s="507" t="s">
        <v>912</v>
      </c>
    </row>
    <row r="39" spans="1:6">
      <c r="A39" s="506">
        <v>143398</v>
      </c>
      <c r="B39" s="506" t="s">
        <v>160</v>
      </c>
      <c r="C39" s="507" t="s">
        <v>930</v>
      </c>
      <c r="D39" s="507">
        <v>48</v>
      </c>
      <c r="E39" s="507" t="s">
        <v>912</v>
      </c>
      <c r="F39" s="507" t="s">
        <v>912</v>
      </c>
    </row>
    <row r="40" spans="1:6">
      <c r="A40" s="506">
        <v>143219</v>
      </c>
      <c r="B40" s="506" t="s">
        <v>162</v>
      </c>
      <c r="C40" s="507" t="s">
        <v>930</v>
      </c>
      <c r="D40" s="507">
        <v>60</v>
      </c>
      <c r="E40" s="507" t="s">
        <v>912</v>
      </c>
      <c r="F40" s="507" t="s">
        <v>912</v>
      </c>
    </row>
    <row r="41" spans="1:6">
      <c r="A41" s="506">
        <v>143221</v>
      </c>
      <c r="B41" s="506" t="s">
        <v>164</v>
      </c>
      <c r="C41" s="507" t="s">
        <v>930</v>
      </c>
      <c r="D41" s="507">
        <v>60</v>
      </c>
      <c r="E41" s="507" t="s">
        <v>912</v>
      </c>
      <c r="F41" s="507" t="s">
        <v>912</v>
      </c>
    </row>
    <row r="42" spans="1:6">
      <c r="A42" s="506">
        <v>143396</v>
      </c>
      <c r="B42" s="506" t="s">
        <v>157</v>
      </c>
      <c r="C42" s="507" t="s">
        <v>930</v>
      </c>
      <c r="D42" s="507">
        <v>48</v>
      </c>
      <c r="E42" s="507" t="s">
        <v>912</v>
      </c>
      <c r="F42" s="507" t="s">
        <v>912</v>
      </c>
    </row>
    <row r="43" spans="1:6">
      <c r="A43" s="506">
        <v>143210</v>
      </c>
      <c r="B43" s="506" t="s">
        <v>156</v>
      </c>
      <c r="C43" s="507" t="s">
        <v>930</v>
      </c>
      <c r="D43" s="507">
        <v>70</v>
      </c>
      <c r="E43" s="507" t="s">
        <v>912</v>
      </c>
      <c r="F43" s="507" t="s">
        <v>912</v>
      </c>
    </row>
    <row r="44" spans="1:6">
      <c r="A44" s="506">
        <v>143207</v>
      </c>
      <c r="B44" s="506" t="s">
        <v>154</v>
      </c>
      <c r="C44" s="507" t="s">
        <v>930</v>
      </c>
      <c r="D44" s="507">
        <v>70</v>
      </c>
      <c r="E44" s="507" t="s">
        <v>912</v>
      </c>
      <c r="F44" s="507" t="s">
        <v>912</v>
      </c>
    </row>
    <row r="45" spans="1:6">
      <c r="A45" s="506">
        <v>143209</v>
      </c>
      <c r="B45" s="506" t="s">
        <v>155</v>
      </c>
      <c r="C45" s="507" t="s">
        <v>930</v>
      </c>
      <c r="D45" s="507">
        <v>70</v>
      </c>
      <c r="E45" s="507" t="s">
        <v>912</v>
      </c>
      <c r="F45" s="507" t="s">
        <v>912</v>
      </c>
    </row>
  </sheetData>
  <phoneticPr fontId="1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11</vt:i4>
      </vt:variant>
    </vt:vector>
  </HeadingPairs>
  <TitlesOfParts>
    <vt:vector size="26" baseType="lpstr">
      <vt:lpstr>미출</vt:lpstr>
      <vt:lpstr>양식</vt:lpstr>
      <vt:lpstr>양식0</vt:lpstr>
      <vt:lpstr>양식1 (2)</vt:lpstr>
      <vt:lpstr>양식1</vt:lpstr>
      <vt:lpstr>양식2</vt:lpstr>
      <vt:lpstr>수출</vt:lpstr>
      <vt:lpstr>수출 (2)</vt:lpstr>
      <vt:lpstr>화성특가_자차</vt:lpstr>
      <vt:lpstr>자차(대명)</vt:lpstr>
      <vt:lpstr>자차(경동)</vt:lpstr>
      <vt:lpstr>자차(유승)</vt:lpstr>
      <vt:lpstr>파레트 제품 리스트</vt:lpstr>
      <vt:lpstr>Sheet1</vt:lpstr>
      <vt:lpstr>Sheet3</vt:lpstr>
      <vt:lpstr>수출!Print_Area</vt:lpstr>
      <vt:lpstr>'수출 (2)'!Print_Area</vt:lpstr>
      <vt:lpstr>양식!Print_Area</vt:lpstr>
      <vt:lpstr>양식0!Print_Area</vt:lpstr>
      <vt:lpstr>양식1!Print_Area</vt:lpstr>
      <vt:lpstr>'양식1 (2)'!Print_Area</vt:lpstr>
      <vt:lpstr>양식2!Print_Area</vt:lpstr>
      <vt:lpstr>'자차(경동)'!Print_Area</vt:lpstr>
      <vt:lpstr>'자차(대명)'!Print_Area</vt:lpstr>
      <vt:lpstr>'자차(유승)'!Print_Area</vt:lpstr>
      <vt:lpstr>화성특가_자차!Print_Area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경원유상</dc:creator>
  <cp:lastModifiedBy>형철 신</cp:lastModifiedBy>
  <cp:lastPrinted>2025-11-20T02:09:59Z</cp:lastPrinted>
  <dcterms:created xsi:type="dcterms:W3CDTF">2012-03-08T01:05:46Z</dcterms:created>
  <dcterms:modified xsi:type="dcterms:W3CDTF">2025-11-20T08:53:17Z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-337452661</vt:i4>
  </property>
  <property fmtid="{D5CDD505-2E9C-101B-9397-08002B2CF9AE}" pid="3" name="_NewReviewCycle">
    <vt:lpwstr/>
  </property>
  <property fmtid="{D5CDD505-2E9C-101B-9397-08002B2CF9AE}" pid="4" name="_EmailSubject">
    <vt:lpwstr>발주서</vt:lpwstr>
  </property>
  <property fmtid="{D5CDD505-2E9C-101B-9397-08002B2CF9AE}" pid="5" name="_AuthorEmail">
    <vt:lpwstr>han.lee@exxonmobil.com</vt:lpwstr>
  </property>
  <property fmtid="{D5CDD505-2E9C-101B-9397-08002B2CF9AE}" pid="6" name="_AuthorEmailDisplayName">
    <vt:lpwstr>Lee, Han</vt:lpwstr>
  </property>
  <property fmtid="{D5CDD505-2E9C-101B-9397-08002B2CF9AE}" pid="7" name="_ReviewingToolsShownOnce">
    <vt:lpwstr/>
  </property>
</Properties>
</file>